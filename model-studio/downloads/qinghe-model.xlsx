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30621fc7e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964992ec1c442f"/>
    <x:sheet xmlns:r="http://schemas.openxmlformats.org/officeDocument/2006/relationships" name="Annual" sheetId="2" r:id="R553f3fe96f634c79"/>
    <x:sheet xmlns:r="http://schemas.openxmlformats.org/officeDocument/2006/relationships" name="PL" sheetId="3" r:id="R8b63859434ae4857"/>
    <x:sheet xmlns:r="http://schemas.openxmlformats.org/officeDocument/2006/relationships" name="BS" sheetId="4" r:id="R800fd57fafcc418f"/>
    <x:sheet xmlns:r="http://schemas.openxmlformats.org/officeDocument/2006/relationships" name="CF" sheetId="5" r:id="R4ef12c1ac0a44dd9"/>
    <x:sheet xmlns:r="http://schemas.openxmlformats.org/officeDocument/2006/relationships" name="Assumptions" sheetId="6" r:id="R8d0cd9733d1749e4"/>
    <x:sheet xmlns:r="http://schemas.openxmlformats.org/officeDocument/2006/relationships" name="Revenue" sheetId="7" r:id="Ra88b3a039b17472c"/>
    <x:sheet xmlns:r="http://schemas.openxmlformats.org/officeDocument/2006/relationships" name="WorkingCapital" sheetId="8" r:id="R733053718831485b"/>
    <x:sheet xmlns:r="http://schemas.openxmlformats.org/officeDocument/2006/relationships" name="Assets" sheetId="9" r:id="R180985b175b6438c"/>
    <x:sheet xmlns:r="http://schemas.openxmlformats.org/officeDocument/2006/relationships" name="Funding" sheetId="10" r:id="Ree266bd4d87a4849"/>
    <x:sheet xmlns:r="http://schemas.openxmlformats.org/officeDocument/2006/relationships" name="Wiring" sheetId="11" r:id="Rf85db214618c44c3"/>
    <x:sheet xmlns:r="http://schemas.openxmlformats.org/officeDocument/2006/relationships" name="WiringChecks" sheetId="12" r:id="Rcb0d050c2cdc4023"/>
    <x:sheet xmlns:r="http://schemas.openxmlformats.org/officeDocument/2006/relationships" name="Checks" sheetId="13" r:id="R3f123d93852147e6"/>
    <x:sheet xmlns:r="http://schemas.openxmlformats.org/officeDocument/2006/relationships" name="History" sheetId="14" r:id="R4dd59caf6f594daf"/>
    <x:sheet xmlns:r="http://schemas.openxmlformats.org/officeDocument/2006/relationships" name="TB" sheetId="15" r:id="R9e8096b4871e4b5b"/>
    <x:sheet xmlns:r="http://schemas.openxmlformats.org/officeDocument/2006/relationships" name="Sources" sheetId="16" r:id="R49552135696d42ae"/>
    <x:sheet xmlns:r="http://schemas.openxmlformats.org/officeDocument/2006/relationships" name="Notes" sheetId="17" r:id="R2003f9fa8723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&quot;:&quot;yy"/>
    <x:numFmt numFmtId="201" formatCode="#,##0.0;(#,##0.0);&quot;–&quot;"/>
    <x:numFmt numFmtId="202" formatCode="0"/>
    <x:numFmt numFmtId="203" formatCode="0.0%;(0.0%);&quot;–&quot;"/>
    <x:numFmt numFmtId="204" formatCode="#,##0.00##;(#,##0.00##);&quot;–&quot;"/>
    <x:numFmt numFmtId="205" formatCode="#,##0;(#,##0);&quot;–&quot;"/>
  </x:numFmts>
  <x:fonts count="10">
    <x:font>
      <x:sz val="11"/>
      <x:name val="Carlito"/>
    </x:font>
    <x:font>
      <x:sz val="10"/>
      <x:color rgb="FF111111"/>
      <x:name val="Arial"/>
    </x:font>
    <x:font>
      <x:b/>
      <x:sz val="17"/>
      <x:color rgb="FF111111"/>
      <x:name val="Arial"/>
    </x:font>
    <x:font>
      <x:i/>
      <x:sz val="10"/>
      <x:color rgb="FF666666"/>
      <x:name val="Arial"/>
    </x:font>
    <x:font>
      <x:b/>
      <x:sz val="10"/>
      <x:color rgb="FF111111"/>
      <x:name val="Arial"/>
    </x:font>
    <x:font>
      <x:b/>
      <x:sz val="10"/>
      <x:color rgb="FFFFFFFF"/>
      <x:name val="Arial"/>
    </x:font>
    <x:font>
      <x:b/>
      <x:sz val="10"/>
      <x:color rgb="FF008000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82E"/>
      </x:patternFill>
    </x:fill>
    <x:fill>
      <x:patternFill patternType="solid">
        <x:fgColor rgb="FFFFF2D6"/>
      </x:patternFill>
    </x:fill>
  </x:fills>
  <x:borders count="3">
    <x:border/>
    <x:border>
      <x:bottom style="thin">
        <x:color rgb="FF82958C"/>
      </x:bottom>
    </x:border>
    <x:border>
      <x:top style="thin">
        <x:color rgb="FFC4CDC8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9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9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9" fillId="3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9" fillId="3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95"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  <x:dxf>
      <x:font>
        <x:color rgb="FF7D3B12"/>
      </x:font>
      <x:fill>
        <x:patternFill patternType="solid">
          <x:bgColor rgb="FFFFF0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89b4628f54345" /><Relationship Type="http://schemas.openxmlformats.org/officeDocument/2006/relationships/theme" Target="/xl/theme/theme1.xml" Id="R2671cd93e04c4b1a" /><Relationship Type="http://schemas.openxmlformats.org/officeDocument/2006/relationships/sharedStrings" Target="/xl/sharedStrings.xml" Id="R9f93d9cb01bb4060" /><Relationship Type="http://schemas.openxmlformats.org/officeDocument/2006/relationships/worksheet" Target="/xl/worksheets/sheet1.xml" Id="R5c964992ec1c442f" /><Relationship Type="http://schemas.openxmlformats.org/officeDocument/2006/relationships/worksheet" Target="/xl/worksheets/sheet2.xml" Id="R553f3fe96f634c79" /><Relationship Type="http://schemas.openxmlformats.org/officeDocument/2006/relationships/worksheet" Target="/xl/worksheets/sheet3.xml" Id="R8b63859434ae4857" /><Relationship Type="http://schemas.openxmlformats.org/officeDocument/2006/relationships/worksheet" Target="/xl/worksheets/sheet4.xml" Id="R800fd57fafcc418f" /><Relationship Type="http://schemas.openxmlformats.org/officeDocument/2006/relationships/worksheet" Target="/xl/worksheets/sheet5.xml" Id="R4ef12c1ac0a44dd9" /><Relationship Type="http://schemas.openxmlformats.org/officeDocument/2006/relationships/worksheet" Target="/xl/worksheets/sheet6.xml" Id="R8d0cd9733d1749e4" /><Relationship Type="http://schemas.openxmlformats.org/officeDocument/2006/relationships/worksheet" Target="/xl/worksheets/sheet7.xml" Id="Ra88b3a039b17472c" /><Relationship Type="http://schemas.openxmlformats.org/officeDocument/2006/relationships/worksheet" Target="/xl/worksheets/sheet8.xml" Id="R733053718831485b" /><Relationship Type="http://schemas.openxmlformats.org/officeDocument/2006/relationships/worksheet" Target="/xl/worksheets/sheet9.xml" Id="R180985b175b6438c" /><Relationship Type="http://schemas.openxmlformats.org/officeDocument/2006/relationships/worksheet" Target="/xl/worksheets/sheet10.xml" Id="Ree266bd4d87a4849" /><Relationship Type="http://schemas.openxmlformats.org/officeDocument/2006/relationships/worksheet" Target="/xl/worksheets/sheet11.xml" Id="Rf85db214618c44c3" /><Relationship Type="http://schemas.openxmlformats.org/officeDocument/2006/relationships/worksheet" Target="/xl/worksheets/sheet12.xml" Id="Rcb0d050c2cdc4023" /><Relationship Type="http://schemas.openxmlformats.org/officeDocument/2006/relationships/worksheet" Target="/xl/worksheets/sheet13.xml" Id="R3f123d93852147e6" /><Relationship Type="http://schemas.openxmlformats.org/officeDocument/2006/relationships/worksheet" Target="/xl/worksheets/sheet14.xml" Id="R4dd59caf6f594daf" /><Relationship Type="http://schemas.openxmlformats.org/officeDocument/2006/relationships/worksheet" Target="/xl/worksheets/sheet15.xml" Id="R9e8096b4871e4b5b" /><Relationship Type="http://schemas.openxmlformats.org/officeDocument/2006/relationships/worksheet" Target="/xl/worksheets/sheet16.xml" Id="R49552135696d42ae" /><Relationship Type="http://schemas.openxmlformats.org/officeDocument/2006/relationships/worksheet" Target="/xl/worksheets/sheet17.xml" Id="R2003f9fa87234d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2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1" customHeight="1">
      <x:c r="C2" s="4" t="str">
        <x:v>Summary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C5" s="2" t="str">
        <x:v>Review copy; model scope is on Notes.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2" customHeight="1">
      <x:c r="C7" s="15" t="str">
        <x:v>Forecast month</x:v>
      </x:c>
      <x:c r="D7" s="16" t="n">
        <x:v>46113</x:v>
      </x:c>
      <x:c r="E7" s="16" t="n">
        <x:v>46143</x:v>
      </x:c>
      <x:c r="F7" s="16" t="n">
        <x:v>46174</x:v>
      </x:c>
      <x:c r="G7" s="16" t="n">
        <x:v>46204</x:v>
      </x:c>
      <x:c r="H7" s="16" t="n">
        <x:v>46235</x:v>
      </x:c>
      <x:c r="I7" s="16" t="n">
        <x:v>46266</x:v>
      </x:c>
      <x:c r="J7" s="16" t="n">
        <x:v>46296</x:v>
      </x:c>
      <x:c r="K7" s="16" t="n">
        <x:v>46327</x:v>
      </x:c>
      <x:c r="L7" s="16" t="n">
        <x:v>46357</x:v>
      </x:c>
      <x:c r="M7" s="16" t="n">
        <x:v>46388</x:v>
      </x:c>
      <x:c r="N7" s="16" t="n">
        <x:v>46419</x:v>
      </x:c>
      <x:c r="O7" s="16" t="n">
        <x:v>46447</x:v>
      </x:c>
    </x:row>
    <x:row r="8" ht="32" customHeight="1">
      <x:c r="C8" s="11" t="str">
        <x:v>Revenue</x:v>
      </x:c>
      <x:c r="D8" s="26" t="n">
        <x:f>'PL'!D8</x:f>
        <x:v>505000</x:v>
      </x:c>
      <x:c r="E8" s="26" t="n">
        <x:f>'PL'!E8</x:f>
        <x:v>510050</x:v>
      </x:c>
      <x:c r="F8" s="26" t="n">
        <x:f>'PL'!F8</x:f>
        <x:v>515150.5</x:v>
      </x:c>
      <x:c r="G8" s="26" t="n">
        <x:f>'PL'!G8</x:f>
        <x:v>520302.005</x:v>
      </x:c>
      <x:c r="H8" s="26" t="n">
        <x:f>'PL'!H8</x:f>
        <x:v>525505.0250499999</x:v>
      </x:c>
      <x:c r="I8" s="26" t="n">
        <x:f>'PL'!I8</x:f>
        <x:v>530760.0753005</x:v>
      </x:c>
      <x:c r="J8" s="26" t="n">
        <x:f>'PL'!J8</x:f>
        <x:v>536067.6760535049</x:v>
      </x:c>
      <x:c r="K8" s="26" t="n">
        <x:f>'PL'!K8</x:f>
        <x:v>541428.35281404</x:v>
      </x:c>
      <x:c r="L8" s="26" t="n">
        <x:f>'PL'!L8</x:f>
        <x:v>546842.6363421804</x:v>
      </x:c>
      <x:c r="M8" s="26" t="n">
        <x:f>'PL'!M8</x:f>
        <x:v>552311.0627056023</x:v>
      </x:c>
      <x:c r="N8" s="26" t="n">
        <x:f>'PL'!N8</x:f>
        <x:v>557834.1733326584</x:v>
      </x:c>
      <x:c r="O8" s="26" t="n">
        <x:f>'PL'!O8</x:f>
        <x:v>563412.5150659849</x:v>
      </x:c>
    </x:row>
    <x:row r="9" ht="32" customHeight="1">
      <x:c r="C9" s="11" t="str">
        <x:v>Gross Profit</x:v>
      </x:c>
      <x:c r="D9" s="26" t="n">
        <x:f>'PL'!D10</x:f>
        <x:v>202000</x:v>
      </x:c>
      <x:c r="E9" s="26" t="n">
        <x:f>'PL'!E10</x:f>
        <x:v>204020</x:v>
      </x:c>
      <x:c r="F9" s="26" t="n">
        <x:f>'PL'!F10</x:f>
        <x:v>206060.2</x:v>
      </x:c>
      <x:c r="G9" s="26" t="n">
        <x:f>'PL'!G10</x:f>
        <x:v>208120.80200000003</x:v>
      </x:c>
      <x:c r="H9" s="26" t="n">
        <x:f>'PL'!H10</x:f>
        <x:v>210202.01002</x:v>
      </x:c>
      <x:c r="I9" s="26" t="n">
        <x:f>'PL'!I10</x:f>
        <x:v>212304.0301202</x:v>
      </x:c>
      <x:c r="J9" s="26" t="n">
        <x:f>'PL'!J10</x:f>
        <x:v>214427.070421402</x:v>
      </x:c>
      <x:c r="K9" s="26" t="n">
        <x:f>'PL'!K10</x:f>
        <x:v>216571.34112561605</x:v>
      </x:c>
      <x:c r="L9" s="26" t="n">
        <x:f>'PL'!L10</x:f>
        <x:v>218737.0545368722</x:v>
      </x:c>
      <x:c r="M9" s="26" t="n">
        <x:f>'PL'!M10</x:f>
        <x:v>220924.4250822409</x:v>
      </x:c>
      <x:c r="N9" s="26" t="n">
        <x:f>'PL'!N10</x:f>
        <x:v>223133.66933306336</x:v>
      </x:c>
      <x:c r="O9" s="26" t="n">
        <x:f>'PL'!O10</x:f>
        <x:v>225365.00602639397</x:v>
      </x:c>
    </x:row>
    <x:row r="10" ht="32" customHeight="1">
      <x:c r="C10" s="11" t="str">
        <x:v>EBITDA</x:v>
      </x:c>
      <x:c r="D10" s="26" t="n">
        <x:f>'PL'!D15</x:f>
        <x:v>151500</x:v>
      </x:c>
      <x:c r="E10" s="26" t="n">
        <x:f>'PL'!E15</x:f>
        <x:v>153015</x:v>
      </x:c>
      <x:c r="F10" s="26" t="n">
        <x:f>'PL'!F15</x:f>
        <x:v>154545.15000000002</x:v>
      </x:c>
      <x:c r="G10" s="26" t="n">
        <x:f>'PL'!G15</x:f>
        <x:v>156090.60150000002</x:v>
      </x:c>
      <x:c r="H10" s="26" t="n">
        <x:f>'PL'!H15</x:f>
        <x:v>157651.507515</x:v>
      </x:c>
      <x:c r="I10" s="26" t="n">
        <x:f>'PL'!I15</x:f>
        <x:v>159228.02259015</x:v>
      </x:c>
      <x:c r="J10" s="26" t="n">
        <x:f>'PL'!J15</x:f>
        <x:v>160820.3028160515</x:v>
      </x:c>
      <x:c r="K10" s="26" t="n">
        <x:f>'PL'!K15</x:f>
        <x:v>162428.50584421205</x:v>
      </x:c>
      <x:c r="L10" s="26" t="n">
        <x:f>'PL'!L15</x:f>
        <x:v>164052.79090265415</x:v>
      </x:c>
      <x:c r="M10" s="26" t="n">
        <x:f>'PL'!M15</x:f>
        <x:v>165693.31881168066</x:v>
      </x:c>
      <x:c r="N10" s="26" t="n">
        <x:f>'PL'!N15</x:f>
        <x:v>167350.25199979753</x:v>
      </x:c>
      <x:c r="O10" s="26" t="n">
        <x:f>'PL'!O15</x:f>
        <x:v>169023.75451979548</x:v>
      </x:c>
    </x:row>
    <x:row r="11" ht="32" customHeight="1">
      <x:c r="C11" s="11" t="str">
        <x:v>Net profit</x:v>
      </x:c>
      <x:c r="D11" s="26" t="n">
        <x:f>'PL'!D21</x:f>
        <x:v>110937.5</x:v>
      </x:c>
      <x:c r="E11" s="26" t="n">
        <x:f>'PL'!E21</x:f>
        <x:v>112061.77083333333</x:v>
      </x:c>
      <x:c r="F11" s="26" t="n">
        <x:f>'PL'!F21</x:f>
        <x:v>113197.50399305558</x:v>
      </x:c>
      <x:c r="G11" s="26" t="n">
        <x:f>'PL'!G21</x:f>
        <x:v>114344.8122722801</x:v>
      </x:c>
      <x:c r="H11" s="26" t="n">
        <x:f>'PL'!H21</x:f>
        <x:v>115503.80960730277</x:v>
      </x:c>
      <x:c r="I11" s="26" t="n">
        <x:f>'PL'!I21</x:f>
        <x:v>116674.61108890649</x:v>
      </x:c>
      <x:c r="J11" s="26" t="n">
        <x:f>'PL'!J21</x:f>
        <x:v>117857.33297378014</x:v>
      </x:c>
      <x:c r="K11" s="26" t="n">
        <x:f>'PL'!K21</x:f>
        <x:v>119052.09269605273</x:v>
      </x:c>
      <x:c r="L11" s="26" t="n">
        <x:f>'PL'!L21</x:f>
        <x:v>120259.00887894351</x:v>
      </x:c>
      <x:c r="M11" s="26" t="n">
        <x:f>'PL'!M21</x:f>
        <x:v>121478.20134653046</x:v>
      </x:c>
      <x:c r="N11" s="26" t="n">
        <x:f>'PL'!N21</x:f>
        <x:v>122709.7911356367</x:v>
      </x:c>
      <x:c r="O11" s="26" t="n">
        <x:f>'PL'!O21</x:f>
        <x:v>123953.90050783692</x:v>
      </x:c>
    </x:row>
    <x:row r="12" ht="32" customHeight="1">
      <x:c r="C12" s="11" t="str">
        <x:v>Cash</x:v>
      </x:c>
      <x:c r="D12" s="26" t="n">
        <x:f>'BS'!D8</x:f>
        <x:v>340770.8333333334</x:v>
      </x:c>
      <x:c r="E12" s="26" t="n">
        <x:f>'BS'!E8</x:f>
        <x:v>297482.32595531276</x:v>
      </x:c>
      <x:c r="F12" s="26" t="n">
        <x:f>'BS'!F8</x:f>
        <x:v>423037.56161701016</x:v>
      </x:c>
      <x:c r="G12" s="26" t="n">
        <x:f>'BS'!G8</x:f>
        <x:v>514126.1020664859</x:v>
      </x:c>
      <x:c r="H12" s="26" t="n">
        <x:f>'BS'!H8</x:f>
        <x:v>638768.6650380355</x:v>
      </x:c>
      <x:c r="I12" s="26" t="n">
        <x:f>'BS'!I8</x:f>
        <x:v>753661.0356900755</x:v>
      </x:c>
      <x:c r="J12" s="26" t="n">
        <x:f>'BS'!J8</x:f>
        <x:v>847660.3859887649</x:v>
      </x:c>
      <x:c r="K12" s="26" t="n">
        <x:f>'BS'!K8</x:f>
        <x:v>979873.9630030608</x:v>
      </x:c>
      <x:c r="L12" s="26" t="n">
        <x:f>'BS'!L8</x:f>
        <x:v>1075862.335738624</x:v>
      </x:c>
      <x:c r="M12" s="26" t="n">
        <x:f>'BS'!M8</x:f>
        <x:v>1207115.9651593547</x:v>
      </x:c>
      <x:c r="N12" s="26" t="n">
        <x:f>'BS'!N8</x:f>
        <x:v>1340152.634941611</x:v>
      </x:c>
      <x:c r="O12" s="26" t="n">
        <x:f>'BS'!O8</x:f>
        <x:v>1392464.3173822765</x:v>
      </x:c>
    </x:row>
    <x:row r="13" ht="32" customHeight="1">
      <x:c r="C13" s="11" t="str">
        <x:v>Debt</x:v>
      </x:c>
      <x:c r="D13" s="26" t="n">
        <x:f>'BS'!D16</x:f>
        <x:v>100000</x:v>
      </x:c>
      <x:c r="E13" s="26" t="n">
        <x:f>'BS'!E16</x:f>
        <x:v>100000</x:v>
      </x:c>
      <x:c r="F13" s="26" t="n">
        <x:f>'BS'!F16</x:f>
        <x:v>100000</x:v>
      </x:c>
      <x:c r="G13" s="26" t="n">
        <x:f>'BS'!G16</x:f>
        <x:v>100000</x:v>
      </x:c>
      <x:c r="H13" s="26" t="n">
        <x:f>'BS'!H16</x:f>
        <x:v>100000</x:v>
      </x:c>
      <x:c r="I13" s="26" t="n">
        <x:f>'BS'!I16</x:f>
        <x:v>100000</x:v>
      </x:c>
      <x:c r="J13" s="26" t="n">
        <x:f>'BS'!J16</x:f>
        <x:v>100000</x:v>
      </x:c>
      <x:c r="K13" s="26" t="n">
        <x:f>'BS'!K16</x:f>
        <x:v>100000</x:v>
      </x:c>
      <x:c r="L13" s="26" t="n">
        <x:f>'BS'!L16</x:f>
        <x:v>100000</x:v>
      </x:c>
      <x:c r="M13" s="26" t="n">
        <x:f>'BS'!M16</x:f>
        <x:v>100000</x:v>
      </x:c>
      <x:c r="N13" s="26" t="n">
        <x:f>'BS'!N16</x:f>
        <x:v>100000</x:v>
      </x:c>
      <x:c r="O13" s="26" t="n">
        <x:f>'BS'!O16</x:f>
        <x:v>100000</x:v>
      </x:c>
    </x:row>
    <x:row r="14" ht="32" customHeight="1">
      <x:c r="C14" s="11" t="str">
        <x:v>Operating cash flow</x:v>
      </x:c>
      <x:c r="D14" s="26" t="n">
        <x:f>'CF'!D11</x:f>
        <x:v>12020.833333333401</x:v>
      </x:c>
      <x:c r="E14" s="26" t="n">
        <x:f>'CF'!E11</x:f>
        <x:v>-38288.507378020615</x:v>
      </x:c>
      <x:c r="F14" s="26" t="n">
        <x:f>'CF'!F11</x:f>
        <x:v>130555.2356616974</x:v>
      </x:c>
      <x:c r="G14" s="26" t="n">
        <x:f>'CF'!G11</x:f>
        <x:v>96088.54044947575</x:v>
      </x:c>
      <x:c r="H14" s="26" t="n">
        <x:f>'CF'!H11</x:f>
        <x:v>129642.56297154957</x:v>
      </x:c>
      <x:c r="I14" s="26" t="n">
        <x:f>'CF'!I11</x:f>
        <x:v>119892.37065204006</x:v>
      </x:c>
      <x:c r="J14" s="26" t="n">
        <x:f>'CF'!J11</x:f>
        <x:v>98999.35029868939</x:v>
      </x:c>
      <x:c r="K14" s="26" t="n">
        <x:f>'CF'!K11</x:f>
        <x:v>137213.57701429585</x:v>
      </x:c>
      <x:c r="L14" s="26" t="n">
        <x:f>'CF'!L11</x:f>
        <x:v>100988.37273556332</x:v>
      </x:c>
      <x:c r="M14" s="26" t="n">
        <x:f>'CF'!M11</x:f>
        <x:v>136253.62942073075</x:v>
      </x:c>
      <x:c r="N14" s="26" t="n">
        <x:f>'CF'!N11</x:f>
        <x:v>138036.6697822563</x:v>
      </x:c>
      <x:c r="O14" s="26" t="n">
        <x:f>'CF'!O11</x:f>
        <x:v>57311.682440665434</x:v>
      </x:c>
    </x:row>
    <x:row r="15" ht="32" customHeight="1">
      <x:c r="C15" s="11" t="str">
        <x:v>Investing cash flow</x:v>
      </x:c>
      <x:c r="D15" s="26" t="n">
        <x:f>'CF'!D17</x:f>
        <x:v>-5000</x:v>
      </x:c>
      <x:c r="E15" s="26" t="n">
        <x:f>'CF'!E17</x:f>
        <x:v>-5000</x:v>
      </x:c>
      <x:c r="F15" s="26" t="n">
        <x:f>'CF'!F17</x:f>
        <x:v>-5000</x:v>
      </x:c>
      <x:c r="G15" s="26" t="n">
        <x:f>'CF'!G17</x:f>
        <x:v>-5000</x:v>
      </x:c>
      <x:c r="H15" s="26" t="n">
        <x:f>'CF'!H17</x:f>
        <x:v>-5000</x:v>
      </x:c>
      <x:c r="I15" s="26" t="n">
        <x:f>'CF'!I17</x:f>
        <x:v>-5000</x:v>
      </x:c>
      <x:c r="J15" s="26" t="n">
        <x:f>'CF'!J17</x:f>
        <x:v>-5000</x:v>
      </x:c>
      <x:c r="K15" s="26" t="n">
        <x:f>'CF'!K17</x:f>
        <x:v>-5000</x:v>
      </x:c>
      <x:c r="L15" s="26" t="n">
        <x:f>'CF'!L17</x:f>
        <x:v>-5000</x:v>
      </x:c>
      <x:c r="M15" s="26" t="n">
        <x:f>'CF'!M17</x:f>
        <x:v>-5000</x:v>
      </x:c>
      <x:c r="N15" s="26" t="n">
        <x:f>'CF'!N17</x:f>
        <x:v>-5000</x:v>
      </x:c>
      <x:c r="O15" s="26" t="n">
        <x:f>'CF'!O17</x:f>
        <x:v>-5000</x:v>
      </x:c>
    </x:row>
    <x:row r="16" ht="32" customHeight="1">
      <x:c r="C16" s="11" t="str">
        <x:v>Financing cash flow</x:v>
      </x:c>
      <x:c r="D16" s="26" t="n">
        <x:f>'CF'!D18</x:f>
        <x:v>0</x:v>
      </x:c>
      <x:c r="E16" s="26" t="n">
        <x:f>'CF'!E18</x:f>
        <x:v>0</x:v>
      </x:c>
      <x:c r="F16" s="26" t="n">
        <x:f>'CF'!F18</x:f>
        <x:v>0</x:v>
      </x:c>
      <x:c r="G16" s="26" t="n">
        <x:f>'CF'!G18</x:f>
        <x:v>0</x:v>
      </x:c>
      <x:c r="H16" s="26" t="n">
        <x:f>'CF'!H18</x:f>
        <x:v>0</x:v>
      </x:c>
      <x:c r="I16" s="26" t="n">
        <x:f>'CF'!I18</x:f>
        <x:v>0</x:v>
      </x:c>
      <x:c r="J16" s="26" t="n">
        <x:f>'CF'!J18</x:f>
        <x:v>0</x:v>
      </x:c>
      <x:c r="K16" s="26" t="n">
        <x:f>'CF'!K18</x:f>
        <x:v>0</x:v>
      </x:c>
      <x:c r="L16" s="26" t="n">
        <x:f>'CF'!L18</x:f>
        <x:v>0</x:v>
      </x:c>
      <x:c r="M16" s="26" t="n">
        <x:f>'CF'!M18</x:f>
        <x:v>0</x:v>
      </x:c>
      <x:c r="N16" s="26" t="n">
        <x:f>'CF'!N18</x:f>
        <x:v>0</x:v>
      </x:c>
      <x:c r="O16" s="26" t="n">
        <x:f>'CF'!O18</x:f>
        <x:v>0</x:v>
      </x:c>
    </x:row>
    <x:row r="17" ht="22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2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2" customHeight="1">
      <x:c r="C1" s="2"/>
      <x:c r="D1" s="2"/>
      <x:c r="E1" s="2"/>
      <x:c r="F1" s="2"/>
      <x:c r="G1" s="2"/>
      <x:c r="H1" s="2"/>
    </x:row>
    <x:row r="2" ht="31" customHeight="1">
      <x:c r="C2" s="4" t="str">
        <x:v>Calendar-Year Forecast Aggregation</x:v>
      </x:c>
      <x:c r="D2" s="4"/>
      <x:c r="E2" s="4"/>
      <x:c r="F2" s="4"/>
      <x:c r="G2" s="4"/>
      <x:c r="H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</x:row>
    <x:row r="4" ht="22" customHeight="1">
      <x:c r="C4" s="2"/>
      <x:c r="D4" s="2"/>
      <x:c r="E4" s="2"/>
      <x:c r="F4" s="2"/>
      <x:c r="G4" s="2"/>
      <x:c r="H4" s="2"/>
    </x:row>
    <x:row r="5" ht="22" customHeight="1">
      <x:c r="C5" s="2" t="str">
        <x:v>Calendar years; months included shown below.</x:v>
      </x:c>
      <x:c r="D5" s="2"/>
      <x:c r="E5" s="2"/>
      <x:c r="F5" s="2"/>
      <x:c r="G5" s="2"/>
      <x:c r="H5" s="2"/>
    </x:row>
    <x:row r="6" ht="22" customHeight="1">
      <x:c r="C6" s="2"/>
      <x:c r="D6" s="2"/>
      <x:c r="E6" s="2"/>
      <x:c r="F6" s="2"/>
      <x:c r="G6" s="2"/>
      <x:c r="H6" s="2"/>
    </x:row>
    <x:row r="7" ht="32" customHeight="1">
      <x:c r="C7" s="15" t="str">
        <x:v>Calendar year</x:v>
      </x:c>
      <x:c r="D7" s="15" t="str">
        <x:v>CY2026</x:v>
      </x:c>
      <x:c r="E7" s="15" t="str">
        <x:v>CY2027</x:v>
      </x:c>
      <x:c r="F7" s="15"/>
      <x:c r="G7" s="15"/>
      <x:c r="H7" s="15"/>
    </x:row>
    <x:row r="8" ht="32" customHeight="1">
      <x:c r="C8" s="7" t="str">
        <x:v>Forecast months included</x:v>
      </x:c>
      <x:c r="D8" s="17" t="n">
        <x:v>9</x:v>
      </x:c>
      <x:c r="E8" s="17" t="n">
        <x:v>3</x:v>
      </x:c>
      <x:c r="F8" s="2"/>
      <x:c r="G8" s="2"/>
      <x:c r="H8" s="2"/>
    </x:row>
    <x:row r="9" ht="32" customHeight="1">
      <x:c r="C9" s="11" t="str">
        <x:v>Revenue</x:v>
      </x:c>
      <x:c r="D9" s="26" t="n">
        <x:f>SUM('PL'!D8,'PL'!E8,'PL'!F8,'PL'!G8,'PL'!H8,'PL'!I8,'PL'!J8,'PL'!K8,'PL'!L8)</x:f>
        <x:v>4731106.2705602255</x:v>
      </x:c>
      <x:c r="E9" s="26" t="n">
        <x:f>SUM('PL'!M8,'PL'!N8,'PL'!O8)</x:f>
        <x:v>1673557.7511042454</x:v>
      </x:c>
      <x:c r="F9" s="2"/>
      <x:c r="G9" s="2"/>
      <x:c r="H9" s="2"/>
    </x:row>
    <x:row r="10" ht="32" customHeight="1">
      <x:c r="C10" s="11" t="str">
        <x:v>Gross Profit</x:v>
      </x:c>
      <x:c r="D10" s="26" t="n">
        <x:f>SUM('PL'!D10,'PL'!E10,'PL'!F10,'PL'!G10,'PL'!H10,'PL'!I10,'PL'!J10,'PL'!K10,'PL'!L10)</x:f>
        <x:v>1892442.5082240906</x:v>
      </x:c>
      <x:c r="E10" s="26" t="n">
        <x:f>SUM('PL'!M10,'PL'!N10,'PL'!O10)</x:f>
        <x:v>669423.1004416982</x:v>
      </x:c>
      <x:c r="F10" s="2"/>
      <x:c r="G10" s="2"/>
      <x:c r="H10" s="2"/>
    </x:row>
    <x:row r="11" ht="32" customHeight="1">
      <x:c r="C11" s="11" t="str">
        <x:v>Ebitda</x:v>
      </x:c>
      <x:c r="D11" s="26" t="n">
        <x:f>SUM('PL'!D15,'PL'!E15,'PL'!F15,'PL'!G15,'PL'!H15,'PL'!I15,'PL'!J15,'PL'!K15,'PL'!L15)</x:f>
        <x:v>1419331.8811680677</x:v>
      </x:c>
      <x:c r="E11" s="26" t="n">
        <x:f>SUM('PL'!M15,'PL'!N15,'PL'!O15)</x:f>
        <x:v>502067.32533127366</x:v>
      </x:c>
      <x:c r="F11" s="2"/>
      <x:c r="G11" s="2"/>
      <x:c r="H11" s="2"/>
    </x:row>
    <x:row r="12" ht="32" customHeight="1">
      <x:c r="C12" s="11" t="str">
        <x:v>Net Income</x:v>
      </x:c>
      <x:c r="D12" s="26" t="n">
        <x:f>SUM('PL'!D21,'PL'!E21,'PL'!F21,'PL'!G21,'PL'!H21,'PL'!I21,'PL'!J21,'PL'!K21,'PL'!L21)</x:f>
        <x:v>1039888.4423436547</x:v>
      </x:c>
      <x:c r="E12" s="26" t="n">
        <x:f>SUM('PL'!M21,'PL'!N21,'PL'!O21)</x:f>
        <x:v>368141.89299000404</x:v>
      </x:c>
      <x:c r="F12" s="2"/>
      <x:c r="G12" s="2"/>
      <x:c r="H12" s="2"/>
    </x:row>
    <x:row r="13" ht="32" customHeight="1">
      <x:c r="C13" s="11" t="str">
        <x:v>Cfo</x:v>
      </x:c>
      <x:c r="D13" s="26" t="n">
        <x:f>SUM('CF'!D11,'CF'!E11,'CF'!F11,'CF'!G11,'CF'!H11,'CF'!I11,'CF'!J11,'CF'!K11,'CF'!L11)</x:f>
        <x:v>787112.3357386241</x:v>
      </x:c>
      <x:c r="E13" s="26" t="n">
        <x:f>SUM('CF'!M11,'CF'!N11,'CF'!O11)</x:f>
        <x:v>331601.9816436525</x:v>
      </x:c>
      <x:c r="F13" s="2"/>
      <x:c r="G13" s="2"/>
      <x:c r="H13" s="2"/>
    </x:row>
    <x:row r="14" ht="32" customHeight="1">
      <x:c r="C14" s="11" t="str">
        <x:v>Cfi</x:v>
      </x:c>
      <x:c r="D14" s="26" t="n">
        <x:f>SUM('CF'!D17,'CF'!E17,'CF'!F17,'CF'!G17,'CF'!H17,'CF'!I17,'CF'!J17,'CF'!K17,'CF'!L17)</x:f>
        <x:v>-45000</x:v>
      </x:c>
      <x:c r="E14" s="26" t="n">
        <x:f>SUM('CF'!M17,'CF'!N17,'CF'!O17)</x:f>
        <x:v>-15000</x:v>
      </x:c>
      <x:c r="F14" s="2"/>
      <x:c r="G14" s="2"/>
      <x:c r="H14" s="2"/>
    </x:row>
    <x:row r="15" ht="32" customHeight="1">
      <x:c r="C15" s="11" t="str">
        <x:v>Cff</x:v>
      </x:c>
      <x:c r="D15" s="26" t="n">
        <x:f>SUM('CF'!D18,'CF'!E18,'CF'!F18,'CF'!G18,'CF'!H18,'CF'!I18,'CF'!J18,'CF'!K18,'CF'!L18)</x:f>
        <x:v>0</x:v>
      </x:c>
      <x:c r="E15" s="26" t="n">
        <x:f>SUM('CF'!M18,'CF'!N18,'CF'!O18)</x:f>
        <x:v>0</x:v>
      </x:c>
      <x:c r="F15" s="2"/>
      <x:c r="G15" s="2"/>
      <x:c r="H15" s="2"/>
    </x:row>
    <x:row r="16" ht="32" customHeight="1">
      <x:c r="C16" s="11" t="str">
        <x:v>Cash</x:v>
      </x:c>
      <x:c r="D16" s="26" t="n">
        <x:f>'BS'!L8</x:f>
        <x:v>1075862.335738624</x:v>
      </x:c>
      <x:c r="E16" s="26" t="n">
        <x:f>'BS'!O8</x:f>
        <x:v>1392464.3173822765</x:v>
      </x:c>
      <x:c r="F16" s="2"/>
      <x:c r="G16" s="2"/>
      <x:c r="H16" s="2"/>
    </x:row>
    <x:row r="17" ht="32" customHeight="1">
      <x:c r="C17" s="11" t="str">
        <x:v>Debt</x:v>
      </x:c>
      <x:c r="D17" s="26" t="n">
        <x:f>'BS'!L16</x:f>
        <x:v>100000</x:v>
      </x:c>
      <x:c r="E17" s="26" t="n">
        <x:f>'BS'!O16</x:f>
        <x:v>100000</x:v>
      </x:c>
      <x:c r="F17" s="2"/>
      <x:c r="G17" s="2"/>
      <x:c r="H17" s="2"/>
    </x:row>
    <x:row r="18" ht="32" customHeight="1">
      <x:c r="C18" s="11" t="str">
        <x:v>Assets</x:v>
      </x:c>
      <x:c r="D18" s="26" t="n">
        <x:f>'BS'!L13</x:f>
        <x:v>2309272.459773644</x:v>
      </x:c>
      <x:c r="E18" s="26" t="n">
        <x:f>'BS'!O13</x:f>
        <x:v>2656819.5598170804</x:v>
      </x:c>
      <x:c r="F18" s="2"/>
      <x:c r="G18" s="2"/>
      <x:c r="H18" s="2"/>
    </x:row>
    <x:row r="19" ht="32" customHeight="1">
      <x:c r="C19" s="11" t="str">
        <x:v>Liabilities</x:v>
      </x:c>
      <x:c r="D19" s="26" t="n">
        <x:f>'BS'!L18</x:f>
        <x:v>565634.0174299893</x:v>
      </x:c>
      <x:c r="E19" s="26" t="n">
        <x:f>'BS'!O18</x:f>
        <x:v>545039.2244834218</x:v>
      </x:c>
      <x:c r="F19" s="2"/>
      <x:c r="G19" s="2"/>
      <x:c r="H19" s="2"/>
    </x:row>
    <x:row r="20" ht="32" customHeight="1">
      <x:c r="C20" s="11" t="str">
        <x:v>Equity</x:v>
      </x:c>
      <x:c r="D20" s="26" t="n">
        <x:f>'BS'!L22</x:f>
        <x:v>1743638.4423436548</x:v>
      </x:c>
      <x:c r="E20" s="26" t="n">
        <x:f>'BS'!O22</x:f>
        <x:v>2111780.3353336584</x:v>
      </x:c>
      <x:c r="F20" s="2"/>
      <x:c r="G20" s="2"/>
      <x:c r="H20" s="2"/>
    </x:row>
    <x:row r="21" ht="22" customHeight="1">
      <x:c r="C21" s="2"/>
      <x:c r="D21" s="2"/>
      <x:c r="E21" s="2"/>
      <x:c r="F21" s="2"/>
      <x:c r="G21" s="2"/>
      <x:c r="H2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2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1" customHeight="1">
      <x:c r="C2" s="4" t="str">
        <x:v>Profit and Loss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2" customHeight="1">
      <x:c r="C7" s="15" t="str">
        <x:v>Forecast month</x:v>
      </x:c>
      <x:c r="D7" s="16" t="n">
        <x:v>46113</x:v>
      </x:c>
      <x:c r="E7" s="16" t="n">
        <x:v>46143</x:v>
      </x:c>
      <x:c r="F7" s="16" t="n">
        <x:v>46174</x:v>
      </x:c>
      <x:c r="G7" s="16" t="n">
        <x:v>46204</x:v>
      </x:c>
      <x:c r="H7" s="16" t="n">
        <x:v>46235</x:v>
      </x:c>
      <x:c r="I7" s="16" t="n">
        <x:v>46266</x:v>
      </x:c>
      <x:c r="J7" s="16" t="n">
        <x:v>46296</x:v>
      </x:c>
      <x:c r="K7" s="16" t="n">
        <x:v>46327</x:v>
      </x:c>
      <x:c r="L7" s="16" t="n">
        <x:v>46357</x:v>
      </x:c>
      <x:c r="M7" s="16" t="n">
        <x:v>46388</x:v>
      </x:c>
      <x:c r="N7" s="16" t="n">
        <x:v>46419</x:v>
      </x:c>
      <x:c r="O7" s="16" t="n">
        <x:v>46447</x:v>
      </x:c>
    </x:row>
    <x:row r="8" ht="32" customHeight="1">
      <x:c r="C8" s="11" t="str">
        <x:v>Revenue</x:v>
      </x:c>
      <x:c r="D8" s="26" t="n">
        <x:f>'Revenue'!D11</x:f>
        <x:v>505000</x:v>
      </x:c>
      <x:c r="E8" s="26" t="n">
        <x:f>'Revenue'!E11</x:f>
        <x:v>510050</x:v>
      </x:c>
      <x:c r="F8" s="26" t="n">
        <x:f>'Revenue'!F11</x:f>
        <x:v>515150.5</x:v>
      </x:c>
      <x:c r="G8" s="26" t="n">
        <x:f>'Revenue'!G11</x:f>
        <x:v>520302.005</x:v>
      </x:c>
      <x:c r="H8" s="26" t="n">
        <x:f>'Revenue'!H11</x:f>
        <x:v>525505.0250499999</x:v>
      </x:c>
      <x:c r="I8" s="26" t="n">
        <x:f>'Revenue'!I11</x:f>
        <x:v>530760.0753005</x:v>
      </x:c>
      <x:c r="J8" s="26" t="n">
        <x:f>'Revenue'!J11</x:f>
        <x:v>536067.6760535049</x:v>
      </x:c>
      <x:c r="K8" s="26" t="n">
        <x:f>'Revenue'!K11</x:f>
        <x:v>541428.35281404</x:v>
      </x:c>
      <x:c r="L8" s="26" t="n">
        <x:f>'Revenue'!L11</x:f>
        <x:v>546842.6363421804</x:v>
      </x:c>
      <x:c r="M8" s="26" t="n">
        <x:f>'Revenue'!M11</x:f>
        <x:v>552311.0627056023</x:v>
      </x:c>
      <x:c r="N8" s="26" t="n">
        <x:f>'Revenue'!N11</x:f>
        <x:v>557834.1733326584</x:v>
      </x:c>
      <x:c r="O8" s="26" t="n">
        <x:f>'Revenue'!O11</x:f>
        <x:v>563412.5150659849</x:v>
      </x:c>
    </x:row>
    <x:row r="9" ht="32" customHeight="1">
      <x:c r="C9" s="7" t="str">
        <x:v>Cash cost of sales before depreciation</x:v>
      </x:c>
      <x:c r="D9" s="27" t="n">
        <x:f>'Revenue'!D12</x:f>
        <x:v>303000</x:v>
      </x:c>
      <x:c r="E9" s="27" t="n">
        <x:f>'Revenue'!E12</x:f>
        <x:v>306030</x:v>
      </x:c>
      <x:c r="F9" s="27" t="n">
        <x:f>'Revenue'!F12</x:f>
        <x:v>309090.3</x:v>
      </x:c>
      <x:c r="G9" s="27" t="n">
        <x:f>'Revenue'!G12</x:f>
        <x:v>312181.203</x:v>
      </x:c>
      <x:c r="H9" s="27" t="n">
        <x:f>'Revenue'!H12</x:f>
        <x:v>315303.01502999995</x:v>
      </x:c>
      <x:c r="I9" s="27" t="n">
        <x:f>'Revenue'!I12</x:f>
        <x:v>318456.0451803</x:v>
      </x:c>
      <x:c r="J9" s="27" t="n">
        <x:f>'Revenue'!J12</x:f>
        <x:v>321640.60563210293</x:v>
      </x:c>
      <x:c r="K9" s="27" t="n">
        <x:f>'Revenue'!K12</x:f>
        <x:v>324857.011688424</x:v>
      </x:c>
      <x:c r="L9" s="27" t="n">
        <x:f>'Revenue'!L12</x:f>
        <x:v>328105.58180530823</x:v>
      </x:c>
      <x:c r="M9" s="27" t="n">
        <x:f>'Revenue'!M12</x:f>
        <x:v>331386.63762336137</x:v>
      </x:c>
      <x:c r="N9" s="27" t="n">
        <x:f>'Revenue'!N12</x:f>
        <x:v>334700.503999595</x:v>
      </x:c>
      <x:c r="O9" s="27" t="n">
        <x:f>'Revenue'!O12</x:f>
        <x:v>338047.50903959095</x:v>
      </x:c>
    </x:row>
    <x:row r="10" ht="32" customHeight="1">
      <x:c r="C10" s="11" t="str">
        <x:v>Gross profit before depreciation</x:v>
      </x:c>
      <x:c r="D10" s="26" t="n">
        <x:f>'Revenue'!D13</x:f>
        <x:v>202000</x:v>
      </x:c>
      <x:c r="E10" s="26" t="n">
        <x:f>'Revenue'!E13</x:f>
        <x:v>204020</x:v>
      </x:c>
      <x:c r="F10" s="26" t="n">
        <x:f>'Revenue'!F13</x:f>
        <x:v>206060.2</x:v>
      </x:c>
      <x:c r="G10" s="26" t="n">
        <x:f>'Revenue'!G13</x:f>
        <x:v>208120.80200000003</x:v>
      </x:c>
      <x:c r="H10" s="26" t="n">
        <x:f>'Revenue'!H13</x:f>
        <x:v>210202.01002</x:v>
      </x:c>
      <x:c r="I10" s="26" t="n">
        <x:f>'Revenue'!I13</x:f>
        <x:v>212304.0301202</x:v>
      </x:c>
      <x:c r="J10" s="26" t="n">
        <x:f>'Revenue'!J13</x:f>
        <x:v>214427.070421402</x:v>
      </x:c>
      <x:c r="K10" s="26" t="n">
        <x:f>'Revenue'!K13</x:f>
        <x:v>216571.34112561605</x:v>
      </x:c>
      <x:c r="L10" s="26" t="n">
        <x:f>'Revenue'!L13</x:f>
        <x:v>218737.0545368722</x:v>
      </x:c>
      <x:c r="M10" s="26" t="n">
        <x:f>'Revenue'!M13</x:f>
        <x:v>220924.4250822409</x:v>
      </x:c>
      <x:c r="N10" s="26" t="n">
        <x:f>'Revenue'!N13</x:f>
        <x:v>223133.66933306336</x:v>
      </x:c>
      <x:c r="O10" s="26" t="n">
        <x:f>'Revenue'!O13</x:f>
        <x:v>225365.00602639397</x:v>
      </x:c>
    </x:row>
    <x:row r="11" ht="32" customHeight="1">
      <x:c r="C11" s="7" t="str">
        <x:v>Selling Expense (cash)</x:v>
      </x:c>
      <x:c r="D11" s="27" t="n">
        <x:f>('PL'!D8*'Assumptions'!D24)</x:f>
        <x:v>25250</x:v>
      </x:c>
      <x:c r="E11" s="27" t="n">
        <x:f>('PL'!E8*'Assumptions'!E24)</x:f>
        <x:v>25502.5</x:v>
      </x:c>
      <x:c r="F11" s="27" t="n">
        <x:f>('PL'!F8*'Assumptions'!F24)</x:f>
        <x:v>25757.525</x:v>
      </x:c>
      <x:c r="G11" s="27" t="n">
        <x:f>('PL'!G8*'Assumptions'!G24)</x:f>
        <x:v>26015.100250000003</x:v>
      </x:c>
      <x:c r="H11" s="27" t="n">
        <x:f>('PL'!H8*'Assumptions'!H24)</x:f>
        <x:v>26275.2512525</x:v>
      </x:c>
      <x:c r="I11" s="27" t="n">
        <x:f>('PL'!I8*'Assumptions'!I24)</x:f>
        <x:v>26538.003765025</x:v>
      </x:c>
      <x:c r="J11" s="27" t="n">
        <x:f>('PL'!J8*'Assumptions'!J24)</x:f>
        <x:v>26803.38380267525</x:v>
      </x:c>
      <x:c r="K11" s="27" t="n">
        <x:f>('PL'!K8*'Assumptions'!K24)</x:f>
        <x:v>27071.417640702002</x:v>
      </x:c>
      <x:c r="L11" s="27" t="n">
        <x:f>('PL'!L8*'Assumptions'!L24)</x:f>
        <x:v>27342.131817109024</x:v>
      </x:c>
      <x:c r="M11" s="27" t="n">
        <x:f>('PL'!M8*'Assumptions'!M24)</x:f>
        <x:v>27615.553135280115</x:v>
      </x:c>
      <x:c r="N11" s="27" t="n">
        <x:f>('PL'!N8*'Assumptions'!N24)</x:f>
        <x:v>27891.70866663292</x:v>
      </x:c>
      <x:c r="O11" s="27" t="n">
        <x:f>('PL'!O8*'Assumptions'!O24)</x:f>
        <x:v>28170.625753299246</x:v>
      </x:c>
    </x:row>
    <x:row r="12" ht="32" customHeight="1">
      <x:c r="C12" s="7" t="str">
        <x:v>Admin Expense (cash)</x:v>
      </x:c>
      <x:c r="D12" s="27" t="n">
        <x:f>('PL'!D8*'Assumptions'!D8)</x:f>
        <x:v>25250</x:v>
      </x:c>
      <x:c r="E12" s="27" t="n">
        <x:f>('PL'!E8*'Assumptions'!E8)</x:f>
        <x:v>25502.5</x:v>
      </x:c>
      <x:c r="F12" s="27" t="n">
        <x:f>('PL'!F8*'Assumptions'!F8)</x:f>
        <x:v>25757.525</x:v>
      </x:c>
      <x:c r="G12" s="27" t="n">
        <x:f>('PL'!G8*'Assumptions'!G8)</x:f>
        <x:v>26015.100250000003</x:v>
      </x:c>
      <x:c r="H12" s="27" t="n">
        <x:f>('PL'!H8*'Assumptions'!H8)</x:f>
        <x:v>26275.2512525</x:v>
      </x:c>
      <x:c r="I12" s="27" t="n">
        <x:f>('PL'!I8*'Assumptions'!I8)</x:f>
        <x:v>26538.003765025</x:v>
      </x:c>
      <x:c r="J12" s="27" t="n">
        <x:f>('PL'!J8*'Assumptions'!J8)</x:f>
        <x:v>26803.38380267525</x:v>
      </x:c>
      <x:c r="K12" s="27" t="n">
        <x:f>('PL'!K8*'Assumptions'!K8)</x:f>
        <x:v>27071.417640702002</x:v>
      </x:c>
      <x:c r="L12" s="27" t="n">
        <x:f>('PL'!L8*'Assumptions'!L8)</x:f>
        <x:v>27342.131817109024</x:v>
      </x:c>
      <x:c r="M12" s="27" t="n">
        <x:f>('PL'!M8*'Assumptions'!M8)</x:f>
        <x:v>27615.553135280115</x:v>
      </x:c>
      <x:c r="N12" s="27" t="n">
        <x:f>('PL'!N8*'Assumptions'!N8)</x:f>
        <x:v>27891.70866663292</x:v>
      </x:c>
      <x:c r="O12" s="27" t="n">
        <x:f>('PL'!O8*'Assumptions'!O8)</x:f>
        <x:v>28170.625753299246</x:v>
      </x:c>
    </x:row>
    <x:row r="13" ht="32" customHeight="1">
      <x:c r="C13" s="7" t="str">
        <x:v>Research Expense (cash)</x:v>
      </x:c>
      <x:c r="D13" s="27" t="n">
        <x:f>('PL'!D8*'Assumptions'!D23)</x:f>
        <x:v>0</x:v>
      </x:c>
      <x:c r="E13" s="27" t="n">
        <x:f>('PL'!E8*'Assumptions'!E23)</x:f>
        <x:v>0</x:v>
      </x:c>
      <x:c r="F13" s="27" t="n">
        <x:f>('PL'!F8*'Assumptions'!F23)</x:f>
        <x:v>0</x:v>
      </x:c>
      <x:c r="G13" s="27" t="n">
        <x:f>('PL'!G8*'Assumptions'!G23)</x:f>
        <x:v>0</x:v>
      </x:c>
      <x:c r="H13" s="27" t="n">
        <x:f>('PL'!H8*'Assumptions'!H23)</x:f>
        <x:v>0</x:v>
      </x:c>
      <x:c r="I13" s="27" t="n">
        <x:f>('PL'!I8*'Assumptions'!I23)</x:f>
        <x:v>0</x:v>
      </x:c>
      <x:c r="J13" s="27" t="n">
        <x:f>('PL'!J8*'Assumptions'!J23)</x:f>
        <x:v>0</x:v>
      </x:c>
      <x:c r="K13" s="27" t="n">
        <x:f>('PL'!K8*'Assumptions'!K23)</x:f>
        <x:v>0</x:v>
      </x:c>
      <x:c r="L13" s="27" t="n">
        <x:f>('PL'!L8*'Assumptions'!L23)</x:f>
        <x:v>0</x:v>
      </x:c>
      <x:c r="M13" s="27" t="n">
        <x:f>('PL'!M8*'Assumptions'!M23)</x:f>
        <x:v>0</x:v>
      </x:c>
      <x:c r="N13" s="27" t="n">
        <x:f>('PL'!N8*'Assumptions'!N23)</x:f>
        <x:v>0</x:v>
      </x:c>
      <x:c r="O13" s="27" t="n">
        <x:f>('PL'!O8*'Assumptions'!O23)</x:f>
        <x:v>0</x:v>
      </x:c>
    </x:row>
    <x:row r="14" ht="32" customHeight="1">
      <x:c r="C14" s="7" t="str">
        <x:v>Cash operating expenses</x:v>
      </x:c>
      <x:c r="D14" s="27" t="n">
        <x:f>SUM('PL'!D11,'PL'!D12,'PL'!D13)</x:f>
        <x:v>50500</x:v>
      </x:c>
      <x:c r="E14" s="27" t="n">
        <x:f>SUM('PL'!E11,'PL'!E12,'PL'!E13)</x:f>
        <x:v>51005</x:v>
      </x:c>
      <x:c r="F14" s="27" t="n">
        <x:f>SUM('PL'!F11,'PL'!F12,'PL'!F13)</x:f>
        <x:v>51515.05</x:v>
      </x:c>
      <x:c r="G14" s="27" t="n">
        <x:f>SUM('PL'!G11,'PL'!G12,'PL'!G13)</x:f>
        <x:v>52030.200500000006</x:v>
      </x:c>
      <x:c r="H14" s="27" t="n">
        <x:f>SUM('PL'!H11,'PL'!H12,'PL'!H13)</x:f>
        <x:v>52550.502505</x:v>
      </x:c>
      <x:c r="I14" s="27" t="n">
        <x:f>SUM('PL'!I11,'PL'!I12,'PL'!I13)</x:f>
        <x:v>53076.00753005</x:v>
      </x:c>
      <x:c r="J14" s="27" t="n">
        <x:f>SUM('PL'!J11,'PL'!J12,'PL'!J13)</x:f>
        <x:v>53606.7676053505</x:v>
      </x:c>
      <x:c r="K14" s="27" t="n">
        <x:f>SUM('PL'!K11,'PL'!K12,'PL'!K13)</x:f>
        <x:v>54142.835281404004</x:v>
      </x:c>
      <x:c r="L14" s="27" t="n">
        <x:f>SUM('PL'!L11,'PL'!L12,'PL'!L13)</x:f>
        <x:v>54684.26363421805</x:v>
      </x:c>
      <x:c r="M14" s="27" t="n">
        <x:f>SUM('PL'!M11,'PL'!M12,'PL'!M13)</x:f>
        <x:v>55231.10627056023</x:v>
      </x:c>
      <x:c r="N14" s="27" t="n">
        <x:f>SUM('PL'!N11,'PL'!N12,'PL'!N13)</x:f>
        <x:v>55783.41733326584</x:v>
      </x:c>
      <x:c r="O14" s="27" t="n">
        <x:f>SUM('PL'!O11,'PL'!O12,'PL'!O13)</x:f>
        <x:v>56341.25150659849</x:v>
      </x:c>
    </x:row>
    <x:row r="15" ht="32" customHeight="1">
      <x:c r="C15" s="11" t="str">
        <x:v>Profit before depreciation, interest and tax</x:v>
      </x:c>
      <x:c r="D15" s="26" t="n">
        <x:f>('PL'!D10-'PL'!D14)</x:f>
        <x:v>151500</x:v>
      </x:c>
      <x:c r="E15" s="26" t="n">
        <x:f>('PL'!E10-'PL'!E14)</x:f>
        <x:v>153015</x:v>
      </x:c>
      <x:c r="F15" s="26" t="n">
        <x:f>('PL'!F10-'PL'!F14)</x:f>
        <x:v>154545.15000000002</x:v>
      </x:c>
      <x:c r="G15" s="26" t="n">
        <x:f>('PL'!G10-'PL'!G14)</x:f>
        <x:v>156090.60150000002</x:v>
      </x:c>
      <x:c r="H15" s="26" t="n">
        <x:f>('PL'!H10-'PL'!H14)</x:f>
        <x:v>157651.507515</x:v>
      </x:c>
      <x:c r="I15" s="26" t="n">
        <x:f>('PL'!I10-'PL'!I14)</x:f>
        <x:v>159228.02259015</x:v>
      </x:c>
      <x:c r="J15" s="26" t="n">
        <x:f>('PL'!J10-'PL'!J14)</x:f>
        <x:v>160820.3028160515</x:v>
      </x:c>
      <x:c r="K15" s="26" t="n">
        <x:f>('PL'!K10-'PL'!K14)</x:f>
        <x:v>162428.50584421205</x:v>
      </x:c>
      <x:c r="L15" s="26" t="n">
        <x:f>('PL'!L10-'PL'!L14)</x:f>
        <x:v>164052.79090265415</x:v>
      </x:c>
      <x:c r="M15" s="26" t="n">
        <x:f>('PL'!M10-'PL'!M14)</x:f>
        <x:v>165693.31881168066</x:v>
      </x:c>
      <x:c r="N15" s="26" t="n">
        <x:f>('PL'!N10-'PL'!N14)</x:f>
        <x:v>167350.25199979753</x:v>
      </x:c>
      <x:c r="O15" s="26" t="n">
        <x:f>('PL'!O10-'PL'!O14)</x:f>
        <x:v>169023.75451979548</x:v>
      </x:c>
    </x:row>
    <x:row r="16" ht="32" customHeight="1">
      <x:c r="C16" s="7" t="str">
        <x:v>Depreciation</x:v>
      </x:c>
      <x:c r="D16" s="27" t="n">
        <x:f>'Assets'!D10</x:f>
        <x:v>3083.3333333333335</x:v>
      </x:c>
      <x:c r="E16" s="27" t="n">
        <x:f>'Assets'!E10</x:f>
        <x:v>3099.3055555555557</x:v>
      </x:c>
      <x:c r="F16" s="27" t="n">
        <x:f>'Assets'!F10</x:f>
        <x:v>3115.144675925926</x:v>
      </x:c>
      <x:c r="G16" s="27" t="n">
        <x:f>'Assets'!G10</x:f>
        <x:v>3130.8518036265436</x:v>
      </x:c>
      <x:c r="H16" s="27" t="n">
        <x:f>'Assets'!H10</x:f>
        <x:v>3146.4280385963225</x:v>
      </x:c>
      <x:c r="I16" s="27" t="n">
        <x:f>'Assets'!I10</x:f>
        <x:v>3161.8744716080196</x:v>
      </x:c>
      <x:c r="J16" s="27" t="n">
        <x:f>'Assets'!J10</x:f>
        <x:v>3177.1921843446194</x:v>
      </x:c>
      <x:c r="K16" s="27" t="n">
        <x:f>'Assets'!K10</x:f>
        <x:v>3192.3822494750807</x:v>
      </x:c>
      <x:c r="L16" s="27" t="n">
        <x:f>'Assets'!L10</x:f>
        <x:v>3207.445730729455</x:v>
      </x:c>
      <x:c r="M16" s="27" t="n">
        <x:f>'Assets'!M10</x:f>
        <x:v>3222.3836829733764</x:v>
      </x:c>
      <x:c r="N16" s="27" t="n">
        <x:f>'Assets'!N10</x:f>
        <x:v>3237.1971522819313</x:v>
      </x:c>
      <x:c r="O16" s="27" t="n">
        <x:f>'Assets'!O10</x:f>
        <x:v>3251.887176012915</x:v>
      </x:c>
    </x:row>
    <x:row r="17" ht="32" customHeight="1">
      <x:c r="C17" s="7" t="str">
        <x:v>Operating profit</x:v>
      </x:c>
      <x:c r="D17" s="27" t="n">
        <x:f>('PL'!D15-'PL'!D16)</x:f>
        <x:v>148416.66666666666</x:v>
      </x:c>
      <x:c r="E17" s="27" t="n">
        <x:f>('PL'!E15-'PL'!E16)</x:f>
        <x:v>149915.69444444444</x:v>
      </x:c>
      <x:c r="F17" s="27" t="n">
        <x:f>('PL'!F15-'PL'!F16)</x:f>
        <x:v>151430.0053240741</x:v>
      </x:c>
      <x:c r="G17" s="27" t="n">
        <x:f>('PL'!G15-'PL'!G16)</x:f>
        <x:v>152959.74969637347</x:v>
      </x:c>
      <x:c r="H17" s="27" t="n">
        <x:f>('PL'!H15-'PL'!H16)</x:f>
        <x:v>154505.07947640368</x:v>
      </x:c>
      <x:c r="I17" s="27" t="n">
        <x:f>('PL'!I15-'PL'!I16)</x:f>
        <x:v>156066.14811854198</x:v>
      </x:c>
      <x:c r="J17" s="27" t="n">
        <x:f>('PL'!J15-'PL'!J16)</x:f>
        <x:v>157643.11063170686</x:v>
      </x:c>
      <x:c r="K17" s="27" t="n">
        <x:f>('PL'!K15-'PL'!K16)</x:f>
        <x:v>159236.12359473697</x:v>
      </x:c>
      <x:c r="L17" s="27" t="n">
        <x:f>('PL'!L15-'PL'!L16)</x:f>
        <x:v>160845.34517192468</x:v>
      </x:c>
      <x:c r="M17" s="27" t="n">
        <x:f>('PL'!M15-'PL'!M16)</x:f>
        <x:v>162470.9351287073</x:v>
      </x:c>
      <x:c r="N17" s="27" t="n">
        <x:f>('PL'!N15-'PL'!N16)</x:f>
        <x:v>164113.0548475156</x:v>
      </x:c>
      <x:c r="O17" s="27" t="n">
        <x:f>('PL'!O15-'PL'!O16)</x:f>
        <x:v>165771.86734378256</x:v>
      </x:c>
    </x:row>
    <x:row r="18" ht="32" customHeight="1">
      <x:c r="C18" s="7" t="str">
        <x:v>Interest expense</x:v>
      </x:c>
      <x:c r="D18" s="27" t="n">
        <x:f>'Funding'!D9</x:f>
        <x:v>500</x:v>
      </x:c>
      <x:c r="E18" s="27" t="n">
        <x:f>'Funding'!E9</x:f>
        <x:v>500</x:v>
      </x:c>
      <x:c r="F18" s="27" t="n">
        <x:f>'Funding'!F9</x:f>
        <x:v>500</x:v>
      </x:c>
      <x:c r="G18" s="27" t="n">
        <x:f>'Funding'!G9</x:f>
        <x:v>500</x:v>
      </x:c>
      <x:c r="H18" s="27" t="n">
        <x:f>'Funding'!H9</x:f>
        <x:v>500</x:v>
      </x:c>
      <x:c r="I18" s="27" t="n">
        <x:f>'Funding'!I9</x:f>
        <x:v>500</x:v>
      </x:c>
      <x:c r="J18" s="27" t="n">
        <x:f>'Funding'!J9</x:f>
        <x:v>500</x:v>
      </x:c>
      <x:c r="K18" s="27" t="n">
        <x:f>'Funding'!K9</x:f>
        <x:v>500</x:v>
      </x:c>
      <x:c r="L18" s="27" t="n">
        <x:f>'Funding'!L9</x:f>
        <x:v>500</x:v>
      </x:c>
      <x:c r="M18" s="27" t="n">
        <x:f>'Funding'!M9</x:f>
        <x:v>500</x:v>
      </x:c>
      <x:c r="N18" s="27" t="n">
        <x:f>'Funding'!N9</x:f>
        <x:v>500</x:v>
      </x:c>
      <x:c r="O18" s="27" t="n">
        <x:f>'Funding'!O9</x:f>
        <x:v>500</x:v>
      </x:c>
    </x:row>
    <x:row r="19" ht="32" customHeight="1">
      <x:c r="C19" s="7" t="str">
        <x:v>Profit before tax</x:v>
      </x:c>
      <x:c r="D19" s="27" t="n">
        <x:f>('PL'!D17-'Funding'!D9)</x:f>
        <x:v>147916.66666666666</x:v>
      </x:c>
      <x:c r="E19" s="27" t="n">
        <x:f>('PL'!E17-'Funding'!E9)</x:f>
        <x:v>149415.69444444444</x:v>
      </x:c>
      <x:c r="F19" s="27" t="n">
        <x:f>('PL'!F17-'Funding'!F9)</x:f>
        <x:v>150930.0053240741</x:v>
      </x:c>
      <x:c r="G19" s="27" t="n">
        <x:f>('PL'!G17-'Funding'!G9)</x:f>
        <x:v>152459.74969637347</x:v>
      </x:c>
      <x:c r="H19" s="27" t="n">
        <x:f>('PL'!H17-'Funding'!H9)</x:f>
        <x:v>154005.07947640368</x:v>
      </x:c>
      <x:c r="I19" s="27" t="n">
        <x:f>('PL'!I17-'Funding'!I9)</x:f>
        <x:v>155566.14811854198</x:v>
      </x:c>
      <x:c r="J19" s="27" t="n">
        <x:f>('PL'!J17-'Funding'!J9)</x:f>
        <x:v>157143.11063170686</x:v>
      </x:c>
      <x:c r="K19" s="27" t="n">
        <x:f>('PL'!K17-'Funding'!K9)</x:f>
        <x:v>158736.12359473697</x:v>
      </x:c>
      <x:c r="L19" s="27" t="n">
        <x:f>('PL'!L17-'Funding'!L9)</x:f>
        <x:v>160345.34517192468</x:v>
      </x:c>
      <x:c r="M19" s="27" t="n">
        <x:f>('PL'!M17-'Funding'!M9)</x:f>
        <x:v>161970.9351287073</x:v>
      </x:c>
      <x:c r="N19" s="27" t="n">
        <x:f>('PL'!N17-'Funding'!N9)</x:f>
        <x:v>163613.0548475156</x:v>
      </x:c>
      <x:c r="O19" s="27" t="n">
        <x:f>('PL'!O17-'Funding'!O9)</x:f>
        <x:v>165271.86734378256</x:v>
      </x:c>
    </x:row>
    <x:row r="20" ht="32" customHeight="1">
      <x:c r="C20" s="7" t="str">
        <x:v>Current tax expense</x:v>
      </x:c>
      <x:c r="D20" s="27" t="n">
        <x:f>(MAX(0,'PL'!D19)*'Assumptions'!D25)</x:f>
        <x:v>36979.166666666664</x:v>
      </x:c>
      <x:c r="E20" s="27" t="n">
        <x:f>(MAX(0,'PL'!E19)*'Assumptions'!E25)</x:f>
        <x:v>37353.92361111111</x:v>
      </x:c>
      <x:c r="F20" s="27" t="n">
        <x:f>(MAX(0,'PL'!F19)*'Assumptions'!F25)</x:f>
        <x:v>37732.501331018524</x:v>
      </x:c>
      <x:c r="G20" s="27" t="n">
        <x:f>(MAX(0,'PL'!G19)*'Assumptions'!G25)</x:f>
        <x:v>38114.93742409337</x:v>
      </x:c>
      <x:c r="H20" s="27" t="n">
        <x:f>(MAX(0,'PL'!H19)*'Assumptions'!H25)</x:f>
        <x:v>38501.26986910092</x:v>
      </x:c>
      <x:c r="I20" s="27" t="n">
        <x:f>(MAX(0,'PL'!I19)*'Assumptions'!I25)</x:f>
        <x:v>38891.537029635496</x:v>
      </x:c>
      <x:c r="J20" s="27" t="n">
        <x:f>(MAX(0,'PL'!J19)*'Assumptions'!J25)</x:f>
        <x:v>39285.777657926716</x:v>
      </x:c>
      <x:c r="K20" s="27" t="n">
        <x:f>(MAX(0,'PL'!K19)*'Assumptions'!K25)</x:f>
        <x:v>39684.03089868424</x:v>
      </x:c>
      <x:c r="L20" s="27" t="n">
        <x:f>(MAX(0,'PL'!L19)*'Assumptions'!L25)</x:f>
        <x:v>40086.33629298117</x:v>
      </x:c>
      <x:c r="M20" s="27" t="n">
        <x:f>(MAX(0,'PL'!M19)*'Assumptions'!M25)</x:f>
        <x:v>40492.73378217682</x:v>
      </x:c>
      <x:c r="N20" s="27" t="n">
        <x:f>(MAX(0,'PL'!N19)*'Assumptions'!N25)</x:f>
        <x:v>40903.2637118789</x:v>
      </x:c>
      <x:c r="O20" s="27" t="n">
        <x:f>(MAX(0,'PL'!O19)*'Assumptions'!O25)</x:f>
        <x:v>41317.96683594564</x:v>
      </x:c>
    </x:row>
    <x:row r="21" ht="32" customHeight="1">
      <x:c r="C21" s="11" t="str">
        <x:v>Net profit</x:v>
      </x:c>
      <x:c r="D21" s="26" t="n">
        <x:f>('PL'!D19-'PL'!D20)</x:f>
        <x:v>110937.5</x:v>
      </x:c>
      <x:c r="E21" s="26" t="n">
        <x:f>('PL'!E19-'PL'!E20)</x:f>
        <x:v>112061.77083333333</x:v>
      </x:c>
      <x:c r="F21" s="26" t="n">
        <x:f>('PL'!F19-'PL'!F20)</x:f>
        <x:v>113197.50399305558</x:v>
      </x:c>
      <x:c r="G21" s="26" t="n">
        <x:f>('PL'!G19-'PL'!G20)</x:f>
        <x:v>114344.8122722801</x:v>
      </x:c>
      <x:c r="H21" s="26" t="n">
        <x:f>('PL'!H19-'PL'!H20)</x:f>
        <x:v>115503.80960730277</x:v>
      </x:c>
      <x:c r="I21" s="26" t="n">
        <x:f>('PL'!I19-'PL'!I20)</x:f>
        <x:v>116674.61108890649</x:v>
      </x:c>
      <x:c r="J21" s="26" t="n">
        <x:f>('PL'!J19-'PL'!J20)</x:f>
        <x:v>117857.33297378014</x:v>
      </x:c>
      <x:c r="K21" s="26" t="n">
        <x:f>('PL'!K19-'PL'!K20)</x:f>
        <x:v>119052.09269605273</x:v>
      </x:c>
      <x:c r="L21" s="26" t="n">
        <x:f>('PL'!L19-'PL'!L20)</x:f>
        <x:v>120259.00887894351</x:v>
      </x:c>
      <x:c r="M21" s="26" t="n">
        <x:f>('PL'!M19-'PL'!M20)</x:f>
        <x:v>121478.20134653046</x:v>
      </x:c>
      <x:c r="N21" s="26" t="n">
        <x:f>('PL'!N19-'PL'!N20)</x:f>
        <x:v>122709.7911356367</x:v>
      </x:c>
      <x:c r="O21" s="26" t="n">
        <x:f>('PL'!O19-'PL'!O20)</x:f>
        <x:v>123953.90050783692</x:v>
      </x:c>
    </x:row>
    <x:row r="22" ht="22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2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1" customHeight="1">
      <x:c r="C2" s="4" t="str">
        <x:v>Balance Sheet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2" customHeight="1">
      <x:c r="C7" s="15" t="str">
        <x:v>Forecast month</x:v>
      </x:c>
      <x:c r="D7" s="16" t="n">
        <x:v>46113</x:v>
      </x:c>
      <x:c r="E7" s="16" t="n">
        <x:v>46143</x:v>
      </x:c>
      <x:c r="F7" s="16" t="n">
        <x:v>46174</x:v>
      </x:c>
      <x:c r="G7" s="16" t="n">
        <x:v>46204</x:v>
      </x:c>
      <x:c r="H7" s="16" t="n">
        <x:v>46235</x:v>
      </x:c>
      <x:c r="I7" s="16" t="n">
        <x:v>46266</x:v>
      </x:c>
      <x:c r="J7" s="16" t="n">
        <x:v>46296</x:v>
      </x:c>
      <x:c r="K7" s="16" t="n">
        <x:v>46327</x:v>
      </x:c>
      <x:c r="L7" s="16" t="n">
        <x:v>46357</x:v>
      </x:c>
      <x:c r="M7" s="16" t="n">
        <x:v>46388</x:v>
      </x:c>
      <x:c r="N7" s="16" t="n">
        <x:v>46419</x:v>
      </x:c>
      <x:c r="O7" s="16" t="n">
        <x:v>46447</x:v>
      </x:c>
    </x:row>
    <x:row r="8" ht="32" customHeight="1">
      <x:c r="C8" s="11" t="str">
        <x:v>Cash</x:v>
      </x:c>
      <x:c r="D8" s="26" t="n">
        <x:f>'CF'!D20</x:f>
        <x:v>340770.8333333334</x:v>
      </x:c>
      <x:c r="E8" s="26" t="n">
        <x:f>'CF'!E20</x:f>
        <x:v>297482.32595531276</x:v>
      </x:c>
      <x:c r="F8" s="26" t="n">
        <x:f>'CF'!F20</x:f>
        <x:v>423037.56161701016</x:v>
      </x:c>
      <x:c r="G8" s="26" t="n">
        <x:f>'CF'!G20</x:f>
        <x:v>514126.1020664859</x:v>
      </x:c>
      <x:c r="H8" s="26" t="n">
        <x:f>'CF'!H20</x:f>
        <x:v>638768.6650380355</x:v>
      </x:c>
      <x:c r="I8" s="26" t="n">
        <x:f>'CF'!I20</x:f>
        <x:v>753661.0356900755</x:v>
      </x:c>
      <x:c r="J8" s="26" t="n">
        <x:f>'CF'!J20</x:f>
        <x:v>847660.3859887649</x:v>
      </x:c>
      <x:c r="K8" s="26" t="n">
        <x:f>'CF'!K20</x:f>
        <x:v>979873.9630030608</x:v>
      </x:c>
      <x:c r="L8" s="26" t="n">
        <x:f>'CF'!L20</x:f>
        <x:v>1075862.335738624</x:v>
      </x:c>
      <x:c r="M8" s="26" t="n">
        <x:f>'CF'!M20</x:f>
        <x:v>1207115.9651593547</x:v>
      </x:c>
      <x:c r="N8" s="26" t="n">
        <x:f>'CF'!N20</x:f>
        <x:v>1340152.634941611</x:v>
      </x:c>
      <x:c r="O8" s="26" t="n">
        <x:f>'CF'!O20</x:f>
        <x:v>1392464.3173822765</x:v>
      </x:c>
    </x:row>
    <x:row r="9" ht="32" customHeight="1">
      <x:c r="C9" s="7" t="str">
        <x:v>Trade receivables</x:v>
      </x:c>
      <x:c r="D9" s="27" t="n">
        <x:f>'WorkingCapital'!D10</x:f>
        <x:v>504999.99999999994</x:v>
      </x:c>
      <x:c r="E9" s="27" t="n">
        <x:f>'WorkingCapital'!E10</x:f>
        <x:v>493596.7741935484</x:v>
      </x:c>
      <x:c r="F9" s="27" t="n">
        <x:f>'WorkingCapital'!F10</x:f>
        <x:v>515150.5</x:v>
      </x:c>
      <x:c r="G9" s="27" t="n">
        <x:f>'WorkingCapital'!G10</x:f>
        <x:v>503518.06935483875</x:v>
      </x:c>
      <x:c r="H9" s="27" t="n">
        <x:f>'WorkingCapital'!H10</x:f>
        <x:v>508553.2500483871</x:v>
      </x:c>
      <x:c r="I9" s="27" t="n">
        <x:f>'WorkingCapital'!I10</x:f>
        <x:v>530760.0753005</x:v>
      </x:c>
      <x:c r="J9" s="27" t="n">
        <x:f>'WorkingCapital'!J10</x:f>
        <x:v>518775.17037435964</x:v>
      </x:c>
      <x:c r="K9" s="27" t="n">
        <x:f>'WorkingCapital'!K10</x:f>
        <x:v>541428.35281404</x:v>
      </x:c>
      <x:c r="L9" s="27" t="n">
        <x:f>'WorkingCapital'!L10</x:f>
        <x:v>529202.5512988842</x:v>
      </x:c>
      <x:c r="M9" s="27" t="n">
        <x:f>'WorkingCapital'!M10</x:f>
        <x:v>534494.5768118732</x:v>
      </x:c>
      <x:c r="N9" s="27" t="n">
        <x:f>'WorkingCapital'!N10</x:f>
        <x:v>597679.4714278483</x:v>
      </x:c>
      <x:c r="O9" s="27" t="n">
        <x:f>'WorkingCapital'!O10</x:f>
        <x:v>545237.9178057918</x:v>
      </x:c>
    </x:row>
    <x:row r="10" ht="32" customHeight="1">
      <x:c r="C10" s="7" t="str">
        <x:v>Inventory</x:v>
      </x:c>
      <x:c r="D10" s="27" t="n">
        <x:f>'WorkingCapital'!D15</x:f>
        <x:v>303000</x:v>
      </x:c>
      <x:c r="E10" s="27" t="n">
        <x:f>'WorkingCapital'!E15</x:f>
        <x:v>296158.064516129</x:v>
      </x:c>
      <x:c r="F10" s="27" t="n">
        <x:f>'WorkingCapital'!F15</x:f>
        <x:v>309090.3</x:v>
      </x:c>
      <x:c r="G10" s="27" t="n">
        <x:f>'WorkingCapital'!G15</x:f>
        <x:v>302110.84161290317</x:v>
      </x:c>
      <x:c r="H10" s="27" t="n">
        <x:f>'WorkingCapital'!H15</x:f>
        <x:v>305131.95002903225</x:v>
      </x:c>
      <x:c r="I10" s="27" t="n">
        <x:f>'WorkingCapital'!I15</x:f>
        <x:v>318456.0451803</x:v>
      </x:c>
      <x:c r="J10" s="27" t="n">
        <x:f>'WorkingCapital'!J15</x:f>
        <x:v>311265.10222461575</x:v>
      </x:c>
      <x:c r="K10" s="27" t="n">
        <x:f>'WorkingCapital'!K15</x:f>
        <x:v>324857.011688424</x:v>
      </x:c>
      <x:c r="L10" s="27" t="n">
        <x:f>'WorkingCapital'!L15</x:f>
        <x:v>317521.53077933064</x:v>
      </x:c>
      <x:c r="M10" s="27" t="n">
        <x:f>'WorkingCapital'!M15</x:f>
        <x:v>320696.7460871238</x:v>
      </x:c>
      <x:c r="N10" s="27" t="n">
        <x:f>'WorkingCapital'!N15</x:f>
        <x:v>358607.68285670894</x:v>
      </x:c>
      <x:c r="O10" s="27" t="n">
        <x:f>'WorkingCapital'!O15</x:f>
        <x:v>327142.75068347517</x:v>
      </x:c>
    </x:row>
    <x:row r="11" ht="32" customHeight="1">
      <x:c r="C11" s="11" t="str">
        <x:v>Net PPE</x:v>
      </x:c>
      <x:c r="D11" s="26" t="n">
        <x:f>'Assets'!D11</x:f>
        <x:v>371916.6666666667</x:v>
      </x:c>
      <x:c r="E11" s="26" t="n">
        <x:f>'Assets'!E11</x:f>
        <x:v>373817.3611111111</x:v>
      </x:c>
      <x:c r="F11" s="26" t="n">
        <x:f>'Assets'!F11</x:f>
        <x:v>375702.2164351852</x:v>
      </x:c>
      <x:c r="G11" s="26" t="n">
        <x:f>'Assets'!G11</x:f>
        <x:v>377571.3646315587</x:v>
      </x:c>
      <x:c r="H11" s="26" t="n">
        <x:f>'Assets'!H11</x:f>
        <x:v>379424.93659296236</x:v>
      </x:c>
      <x:c r="I11" s="26" t="n">
        <x:f>'Assets'!I11</x:f>
        <x:v>381263.06212135433</x:v>
      </x:c>
      <x:c r="J11" s="26" t="n">
        <x:f>'Assets'!J11</x:f>
        <x:v>383085.8699370097</x:v>
      </x:c>
      <x:c r="K11" s="26" t="n">
        <x:f>'Assets'!K11</x:f>
        <x:v>384893.4876875346</x:v>
      </x:c>
      <x:c r="L11" s="26" t="n">
        <x:f>'Assets'!L11</x:f>
        <x:v>386686.04195680516</x:v>
      </x:c>
      <x:c r="M11" s="26" t="n">
        <x:f>'Assets'!M11</x:f>
        <x:v>388463.65827383177</x:v>
      </x:c>
      <x:c r="N11" s="26" t="n">
        <x:f>'Assets'!N11</x:f>
        <x:v>390226.46112154983</x:v>
      </x:c>
      <x:c r="O11" s="26" t="n">
        <x:f>'Assets'!O11</x:f>
        <x:v>391974.5739455369</x:v>
      </x:c>
    </x:row>
    <x:row r="12" ht="32" customHeight="1">
      <x:c r="C12" s="7" t="str">
        <x:v>Other assets (constant)</x:v>
      </x:c>
      <x:c r="D12" s="27" t="n">
        <x:f>'History'!F13</x:f>
        <x:v>0</x:v>
      </x:c>
      <x:c r="E12" s="27" t="n">
        <x:f>'BS'!D12</x:f>
        <x:v>0</x:v>
      </x:c>
      <x:c r="F12" s="27" t="n">
        <x:f>'BS'!E12</x:f>
        <x:v>0</x:v>
      </x:c>
      <x:c r="G12" s="27" t="n">
        <x:f>'BS'!F12</x:f>
        <x:v>0</x:v>
      </x:c>
      <x:c r="H12" s="27" t="n">
        <x:f>'BS'!G12</x:f>
        <x:v>0</x:v>
      </x:c>
      <x:c r="I12" s="27" t="n">
        <x:f>'BS'!H12</x:f>
        <x:v>0</x:v>
      </x:c>
      <x:c r="J12" s="27" t="n">
        <x:f>'BS'!I12</x:f>
        <x:v>0</x:v>
      </x:c>
      <x:c r="K12" s="27" t="n">
        <x:f>'BS'!J12</x:f>
        <x:v>0</x:v>
      </x:c>
      <x:c r="L12" s="27" t="n">
        <x:f>'BS'!K12</x:f>
        <x:v>0</x:v>
      </x:c>
      <x:c r="M12" s="27" t="n">
        <x:f>'BS'!L12</x:f>
        <x:v>0</x:v>
      </x:c>
      <x:c r="N12" s="27" t="n">
        <x:f>'BS'!M12</x:f>
        <x:v>0</x:v>
      </x:c>
      <x:c r="O12" s="27" t="n">
        <x:f>'BS'!N12</x:f>
        <x:v>0</x:v>
      </x:c>
    </x:row>
    <x:row r="13" ht="32" customHeight="1">
      <x:c r="C13" s="11" t="str">
        <x:v>Total assets</x:v>
      </x:c>
      <x:c r="D13" s="26" t="n">
        <x:f>SUM('BS'!D8,'BS'!D9,'BS'!D10,'BS'!D11,'BS'!D12)</x:f>
        <x:v>1520687.5</x:v>
      </x:c>
      <x:c r="E13" s="26" t="n">
        <x:f>SUM('BS'!E8,'BS'!E9,'BS'!E10,'BS'!E11,'BS'!E12)</x:f>
        <x:v>1461054.5257761013</x:v>
      </x:c>
      <x:c r="F13" s="26" t="n">
        <x:f>SUM('BS'!F8,'BS'!F9,'BS'!F10,'BS'!F11,'BS'!F12)</x:f>
        <x:v>1622980.5780521953</x:v>
      </x:c>
      <x:c r="G13" s="26" t="n">
        <x:f>SUM('BS'!G8,'BS'!G9,'BS'!G10,'BS'!G11,'BS'!G12)</x:f>
        <x:v>1697326.3776657865</x:v>
      </x:c>
      <x:c r="H13" s="26" t="n">
        <x:f>SUM('BS'!H8,'BS'!H9,'BS'!H10,'BS'!H11,'BS'!H12)</x:f>
        <x:v>1831878.8017084172</x:v>
      </x:c>
      <x:c r="I13" s="26" t="n">
        <x:f>SUM('BS'!I8,'BS'!I9,'BS'!I10,'BS'!I11,'BS'!I12)</x:f>
        <x:v>1984140.2182922298</x:v>
      </x:c>
      <x:c r="J13" s="26" t="n">
        <x:f>SUM('BS'!J8,'BS'!J9,'BS'!J10,'BS'!J11,'BS'!J12)</x:f>
        <x:v>2060786.52852475</x:v>
      </x:c>
      <x:c r="K13" s="26" t="n">
        <x:f>SUM('BS'!K8,'BS'!K9,'BS'!K10,'BS'!K11,'BS'!K12)</x:f>
        <x:v>2231052.8151930594</x:v>
      </x:c>
      <x:c r="L13" s="26" t="n">
        <x:f>SUM('BS'!L8,'BS'!L9,'BS'!L10,'BS'!L11,'BS'!L12)</x:f>
        <x:v>2309272.459773644</x:v>
      </x:c>
      <x:c r="M13" s="26" t="n">
        <x:f>SUM('BS'!M8,'BS'!M9,'BS'!M10,'BS'!M11,'BS'!M12)</x:f>
        <x:v>2450770.9463321837</x:v>
      </x:c>
      <x:c r="N13" s="26" t="n">
        <x:f>SUM('BS'!N8,'BS'!N9,'BS'!N10,'BS'!N11,'BS'!N12)</x:f>
        <x:v>2686666.250347718</x:v>
      </x:c>
      <x:c r="O13" s="26" t="n">
        <x:f>SUM('BS'!O8,'BS'!O9,'BS'!O10,'BS'!O11,'BS'!O12)</x:f>
        <x:v>2656819.5598170804</x:v>
      </x:c>
    </x:row>
    <x:row r="14" ht="32" customHeight="1">
      <x:c r="C14" s="7" t="str">
        <x:v>Trade payables</x:v>
      </x:c>
      <x:c r="D14" s="27" t="n">
        <x:f>'WorkingCapital'!D18</x:f>
        <x:v>606000</x:v>
      </x:c>
      <x:c r="E14" s="27" t="n">
        <x:f>'WorkingCapital'!E18</x:f>
        <x:v>434305.2549427679</x:v>
      </x:c>
      <x:c r="F14" s="27" t="n">
        <x:f>'WorkingCapital'!F18</x:f>
        <x:v>483033.80322580645</x:v>
      </x:c>
      <x:c r="G14" s="27" t="n">
        <x:f>'WorkingCapital'!G18</x:f>
        <x:v>443034.7905671175</x:v>
      </x:c>
      <x:c r="H14" s="27" t="n">
        <x:f>'WorkingCapital'!H18</x:f>
        <x:v>462083.4050024454</x:v>
      </x:c>
      <x:c r="I14" s="27" t="n">
        <x:f>'WorkingCapital'!I18</x:f>
        <x:v>497670.21049735165</x:v>
      </x:c>
      <x:c r="J14" s="27" t="n">
        <x:f>'WorkingCapital'!J18</x:f>
        <x:v>456459.18775609165</x:v>
      </x:c>
      <x:c r="K14" s="27" t="n">
        <x:f>'WorkingCapital'!K18</x:f>
        <x:v>507673.3817283483</x:v>
      </x:c>
      <x:c r="L14" s="27" t="n">
        <x:f>'WorkingCapital'!L18</x:f>
        <x:v>465634.01742998936</x:v>
      </x:c>
      <x:c r="M14" s="27" t="n">
        <x:f>'WorkingCapital'!M18</x:f>
        <x:v>485654.3026419985</x:v>
      </x:c>
      <x:c r="N14" s="27" t="n">
        <x:f>'WorkingCapital'!N18</x:f>
        <x:v>598839.8155218966</x:v>
      </x:c>
      <x:c r="O14" s="27" t="n">
        <x:f>'WorkingCapital'!O18</x:f>
        <x:v>445039.2244834217</x:v>
      </x:c>
    </x:row>
    <x:row r="15" ht="32" customHeight="1">
      <x:c r="C15" s="7" t="str">
        <x:v>Income tax payable</x:v>
      </x:c>
      <x:c r="D15" s="27" t="n">
        <x:f>(SUM('CF'!D9,'PL'!D20)-'CF'!D10)</x:f>
        <x:v>0</x:v>
      </x:c>
      <x:c r="E15" s="27" t="n">
        <x:f>(SUM('CF'!E9,'PL'!E20)-'CF'!E10)</x:f>
        <x:v>0</x:v>
      </x:c>
      <x:c r="F15" s="27" t="n">
        <x:f>(SUM('CF'!F9,'PL'!F20)-'CF'!F10)</x:f>
        <x:v>0</x:v>
      </x:c>
      <x:c r="G15" s="27" t="n">
        <x:f>(SUM('CF'!G9,'PL'!G20)-'CF'!G10)</x:f>
        <x:v>0</x:v>
      </x:c>
      <x:c r="H15" s="27" t="n">
        <x:f>(SUM('CF'!H9,'PL'!H20)-'CF'!H10)</x:f>
        <x:v>0</x:v>
      </x:c>
      <x:c r="I15" s="27" t="n">
        <x:f>(SUM('CF'!I9,'PL'!I20)-'CF'!I10)</x:f>
        <x:v>0</x:v>
      </x:c>
      <x:c r="J15" s="27" t="n">
        <x:f>(SUM('CF'!J9,'PL'!J20)-'CF'!J10)</x:f>
        <x:v>0</x:v>
      </x:c>
      <x:c r="K15" s="27" t="n">
        <x:f>(SUM('CF'!K9,'PL'!K20)-'CF'!K10)</x:f>
        <x:v>0</x:v>
      </x:c>
      <x:c r="L15" s="27" t="n">
        <x:f>(SUM('CF'!L9,'PL'!L20)-'CF'!L10)</x:f>
        <x:v>0</x:v>
      </x:c>
      <x:c r="M15" s="27" t="n">
        <x:f>(SUM('CF'!M9,'PL'!M20)-'CF'!M10)</x:f>
        <x:v>0</x:v>
      </x:c>
      <x:c r="N15" s="27" t="n">
        <x:f>(SUM('CF'!N9,'PL'!N20)-'CF'!N10)</x:f>
        <x:v>0</x:v>
      </x:c>
      <x:c r="O15" s="27" t="n">
        <x:f>(SUM('CF'!O9,'PL'!O20)-'CF'!O10)</x:f>
        <x:v>0</x:v>
      </x:c>
    </x:row>
    <x:row r="16" ht="32" customHeight="1">
      <x:c r="C16" s="11" t="str">
        <x:v>Loan principal</x:v>
      </x:c>
      <x:c r="D16" s="26" t="n">
        <x:f>'Funding'!D18</x:f>
        <x:v>100000</x:v>
      </x:c>
      <x:c r="E16" s="26" t="n">
        <x:f>'Funding'!E18</x:f>
        <x:v>100000</x:v>
      </x:c>
      <x:c r="F16" s="26" t="n">
        <x:f>'Funding'!F18</x:f>
        <x:v>100000</x:v>
      </x:c>
      <x:c r="G16" s="26" t="n">
        <x:f>'Funding'!G18</x:f>
        <x:v>100000</x:v>
      </x:c>
      <x:c r="H16" s="26" t="n">
        <x:f>'Funding'!H18</x:f>
        <x:v>100000</x:v>
      </x:c>
      <x:c r="I16" s="26" t="n">
        <x:f>'Funding'!I18</x:f>
        <x:v>100000</x:v>
      </x:c>
      <x:c r="J16" s="26" t="n">
        <x:f>'Funding'!J18</x:f>
        <x:v>100000</x:v>
      </x:c>
      <x:c r="K16" s="26" t="n">
        <x:f>'Funding'!K18</x:f>
        <x:v>100000</x:v>
      </x:c>
      <x:c r="L16" s="26" t="n">
        <x:f>'Funding'!L18</x:f>
        <x:v>100000</x:v>
      </x:c>
      <x:c r="M16" s="26" t="n">
        <x:f>'Funding'!M18</x:f>
        <x:v>100000</x:v>
      </x:c>
      <x:c r="N16" s="26" t="n">
        <x:f>'Funding'!N18</x:f>
        <x:v>100000</x:v>
      </x:c>
      <x:c r="O16" s="26" t="n">
        <x:f>'Funding'!O18</x:f>
        <x:v>100000</x:v>
      </x:c>
    </x:row>
    <x:row r="17" ht="32" customHeight="1">
      <x:c r="C17" s="7" t="str">
        <x:v>Other liabilities (constant)</x:v>
      </x:c>
      <x:c r="D17" s="27" t="n">
        <x:f>'History'!F18</x:f>
        <x:v>0</x:v>
      </x:c>
      <x:c r="E17" s="27" t="n">
        <x:f>'BS'!D17</x:f>
        <x:v>0</x:v>
      </x:c>
      <x:c r="F17" s="27" t="n">
        <x:f>'BS'!E17</x:f>
        <x:v>0</x:v>
      </x:c>
      <x:c r="G17" s="27" t="n">
        <x:f>'BS'!F17</x:f>
        <x:v>0</x:v>
      </x:c>
      <x:c r="H17" s="27" t="n">
        <x:f>'BS'!G17</x:f>
        <x:v>0</x:v>
      </x:c>
      <x:c r="I17" s="27" t="n">
        <x:f>'BS'!H17</x:f>
        <x:v>0</x:v>
      </x:c>
      <x:c r="J17" s="27" t="n">
        <x:f>'BS'!I17</x:f>
        <x:v>0</x:v>
      </x:c>
      <x:c r="K17" s="27" t="n">
        <x:f>'BS'!J17</x:f>
        <x:v>0</x:v>
      </x:c>
      <x:c r="L17" s="27" t="n">
        <x:f>'BS'!K17</x:f>
        <x:v>0</x:v>
      </x:c>
      <x:c r="M17" s="27" t="n">
        <x:f>'BS'!L17</x:f>
        <x:v>0</x:v>
      </x:c>
      <x:c r="N17" s="27" t="n">
        <x:f>'BS'!M17</x:f>
        <x:v>0</x:v>
      </x:c>
      <x:c r="O17" s="27" t="n">
        <x:f>'BS'!N17</x:f>
        <x:v>0</x:v>
      </x:c>
    </x:row>
    <x:row r="18" ht="32" customHeight="1">
      <x:c r="C18" s="11" t="str">
        <x:v>Total liabilities</x:v>
      </x:c>
      <x:c r="D18" s="26" t="n">
        <x:f>SUM('BS'!D14,'BS'!D15,'BS'!D16,'BS'!D17)</x:f>
        <x:v>706000</x:v>
      </x:c>
      <x:c r="E18" s="26" t="n">
        <x:f>SUM('BS'!E14,'BS'!E15,'BS'!E16,'BS'!E17)</x:f>
        <x:v>534305.2549427679</x:v>
      </x:c>
      <x:c r="F18" s="26" t="n">
        <x:f>SUM('BS'!F14,'BS'!F15,'BS'!F16,'BS'!F17)</x:f>
        <x:v>583033.8032258064</x:v>
      </x:c>
      <x:c r="G18" s="26" t="n">
        <x:f>SUM('BS'!G14,'BS'!G15,'BS'!G16,'BS'!G17)</x:f>
        <x:v>543034.7905671175</x:v>
      </x:c>
      <x:c r="H18" s="26" t="n">
        <x:f>SUM('BS'!H14,'BS'!H15,'BS'!H16,'BS'!H17)</x:f>
        <x:v>562083.4050024454</x:v>
      </x:c>
      <x:c r="I18" s="26" t="n">
        <x:f>SUM('BS'!I14,'BS'!I15,'BS'!I16,'BS'!I17)</x:f>
        <x:v>597670.2104973516</x:v>
      </x:c>
      <x:c r="J18" s="26" t="n">
        <x:f>SUM('BS'!J14,'BS'!J15,'BS'!J16,'BS'!J17)</x:f>
        <x:v>556459.1877560916</x:v>
      </x:c>
      <x:c r="K18" s="26" t="n">
        <x:f>SUM('BS'!K14,'BS'!K15,'BS'!K16,'BS'!K17)</x:f>
        <x:v>607673.3817283483</x:v>
      </x:c>
      <x:c r="L18" s="26" t="n">
        <x:f>SUM('BS'!L14,'BS'!L15,'BS'!L16,'BS'!L17)</x:f>
        <x:v>565634.0174299893</x:v>
      </x:c>
      <x:c r="M18" s="26" t="n">
        <x:f>SUM('BS'!M14,'BS'!M15,'BS'!M16,'BS'!M17)</x:f>
        <x:v>585654.3026419985</x:v>
      </x:c>
      <x:c r="N18" s="26" t="n">
        <x:f>SUM('BS'!N14,'BS'!N15,'BS'!N16,'BS'!N17)</x:f>
        <x:v>698839.8155218966</x:v>
      </x:c>
      <x:c r="O18" s="26" t="n">
        <x:f>SUM('BS'!O14,'BS'!O15,'BS'!O16,'BS'!O17)</x:f>
        <x:v>545039.2244834218</x:v>
      </x:c>
    </x:row>
    <x:row r="19" ht="32" customHeight="1">
      <x:c r="C19" s="7" t="str">
        <x:v>Share capital (constant)</x:v>
      </x:c>
      <x:c r="D19" s="27" t="n">
        <x:f>'History'!F19</x:f>
        <x:v>400000</x:v>
      </x:c>
      <x:c r="E19" s="27" t="n">
        <x:f>'BS'!D19</x:f>
        <x:v>400000</x:v>
      </x:c>
      <x:c r="F19" s="27" t="n">
        <x:f>'BS'!E19</x:f>
        <x:v>400000</x:v>
      </x:c>
      <x:c r="G19" s="27" t="n">
        <x:f>'BS'!F19</x:f>
        <x:v>400000</x:v>
      </x:c>
      <x:c r="H19" s="27" t="n">
        <x:f>'BS'!G19</x:f>
        <x:v>400000</x:v>
      </x:c>
      <x:c r="I19" s="27" t="n">
        <x:f>'BS'!H19</x:f>
        <x:v>400000</x:v>
      </x:c>
      <x:c r="J19" s="27" t="n">
        <x:f>'BS'!I19</x:f>
        <x:v>400000</x:v>
      </x:c>
      <x:c r="K19" s="27" t="n">
        <x:f>'BS'!J19</x:f>
        <x:v>400000</x:v>
      </x:c>
      <x:c r="L19" s="27" t="n">
        <x:f>'BS'!K19</x:f>
        <x:v>400000</x:v>
      </x:c>
      <x:c r="M19" s="27" t="n">
        <x:f>'BS'!L19</x:f>
        <x:v>400000</x:v>
      </x:c>
      <x:c r="N19" s="27" t="n">
        <x:f>'BS'!M19</x:f>
        <x:v>400000</x:v>
      </x:c>
      <x:c r="O19" s="27" t="n">
        <x:f>'BS'!N19</x:f>
        <x:v>400000</x:v>
      </x:c>
    </x:row>
    <x:row r="20" ht="32" customHeight="1">
      <x:c r="C20" s="7" t="str">
        <x:v>Retained earnings</x:v>
      </x:c>
      <x:c r="D20" s="27" t="n">
        <x:f>(SUM('Funding'!D19,'PL'!D21)-'Funding'!D21)</x:f>
        <x:v>414687.5</x:v>
      </x:c>
      <x:c r="E20" s="27" t="n">
        <x:f>(SUM('Funding'!E19,'PL'!E21)-'Funding'!E21)</x:f>
        <x:v>526749.2708333334</x:v>
      </x:c>
      <x:c r="F20" s="27" t="n">
        <x:f>(SUM('Funding'!F19,'PL'!F21)-'Funding'!F21)</x:f>
        <x:v>639946.7748263889</x:v>
      </x:c>
      <x:c r="G20" s="27" t="n">
        <x:f>(SUM('Funding'!G19,'PL'!G21)-'Funding'!G21)</x:f>
        <x:v>754291.587098669</x:v>
      </x:c>
      <x:c r="H20" s="27" t="n">
        <x:f>(SUM('Funding'!H19,'PL'!H21)-'Funding'!H21)</x:f>
        <x:v>869795.3967059718</x:v>
      </x:c>
      <x:c r="I20" s="27" t="n">
        <x:f>(SUM('Funding'!I19,'PL'!I21)-'Funding'!I21)</x:f>
        <x:v>986470.0077948783</x:v>
      </x:c>
      <x:c r="J20" s="27" t="n">
        <x:f>(SUM('Funding'!J19,'PL'!J21)-'Funding'!J21)</x:f>
        <x:v>1104327.3407686586</x:v>
      </x:c>
      <x:c r="K20" s="27" t="n">
        <x:f>(SUM('Funding'!K19,'PL'!K21)-'Funding'!K21)</x:f>
        <x:v>1223379.4334647113</x:v>
      </x:c>
      <x:c r="L20" s="27" t="n">
        <x:f>(SUM('Funding'!L19,'PL'!L21)-'Funding'!L21)</x:f>
        <x:v>1343638.4423436548</x:v>
      </x:c>
      <x:c r="M20" s="27" t="n">
        <x:f>(SUM('Funding'!M19,'PL'!M21)-'Funding'!M21)</x:f>
        <x:v>1465116.6436901852</x:v>
      </x:c>
      <x:c r="N20" s="27" t="n">
        <x:f>(SUM('Funding'!N19,'PL'!N21)-'Funding'!N21)</x:f>
        <x:v>1587826.4348258218</x:v>
      </x:c>
      <x:c r="O20" s="27" t="n">
        <x:f>(SUM('Funding'!O19,'PL'!O21)-'Funding'!O21)</x:f>
        <x:v>1711780.3353336586</x:v>
      </x:c>
    </x:row>
    <x:row r="21" ht="32" customHeight="1">
      <x:c r="C21" s="7" t="str">
        <x:v>Other reserves (constant)</x:v>
      </x:c>
      <x:c r="D21" s="27" t="n">
        <x:f>'History'!F21</x:f>
        <x:v>0</x:v>
      </x:c>
      <x:c r="E21" s="27" t="n">
        <x:f>'BS'!D21</x:f>
        <x:v>0</x:v>
      </x:c>
      <x:c r="F21" s="27" t="n">
        <x:f>'BS'!E21</x:f>
        <x:v>0</x:v>
      </x:c>
      <x:c r="G21" s="27" t="n">
        <x:f>'BS'!F21</x:f>
        <x:v>0</x:v>
      </x:c>
      <x:c r="H21" s="27" t="n">
        <x:f>'BS'!G21</x:f>
        <x:v>0</x:v>
      </x:c>
      <x:c r="I21" s="27" t="n">
        <x:f>'BS'!H21</x:f>
        <x:v>0</x:v>
      </x:c>
      <x:c r="J21" s="27" t="n">
        <x:f>'BS'!I21</x:f>
        <x:v>0</x:v>
      </x:c>
      <x:c r="K21" s="27" t="n">
        <x:f>'BS'!J21</x:f>
        <x:v>0</x:v>
      </x:c>
      <x:c r="L21" s="27" t="n">
        <x:f>'BS'!K21</x:f>
        <x:v>0</x:v>
      </x:c>
      <x:c r="M21" s="27" t="n">
        <x:f>'BS'!L21</x:f>
        <x:v>0</x:v>
      </x:c>
      <x:c r="N21" s="27" t="n">
        <x:f>'BS'!M21</x:f>
        <x:v>0</x:v>
      </x:c>
      <x:c r="O21" s="27" t="n">
        <x:f>'BS'!N21</x:f>
        <x:v>0</x:v>
      </x:c>
    </x:row>
    <x:row r="22" ht="32" customHeight="1">
      <x:c r="C22" s="11" t="str">
        <x:v>Total equity</x:v>
      </x:c>
      <x:c r="D22" s="26" t="n">
        <x:f>SUM('BS'!D19,'BS'!D20,'BS'!D21)</x:f>
        <x:v>814687.5</x:v>
      </x:c>
      <x:c r="E22" s="26" t="n">
        <x:f>SUM('BS'!E19,'BS'!E20,'BS'!E21)</x:f>
        <x:v>926749.2708333334</x:v>
      </x:c>
      <x:c r="F22" s="26" t="n">
        <x:f>SUM('BS'!F19,'BS'!F20,'BS'!F21)</x:f>
        <x:v>1039946.7748263889</x:v>
      </x:c>
      <x:c r="G22" s="26" t="n">
        <x:f>SUM('BS'!G19,'BS'!G20,'BS'!G21)</x:f>
        <x:v>1154291.587098669</x:v>
      </x:c>
      <x:c r="H22" s="26" t="n">
        <x:f>SUM('BS'!H19,'BS'!H20,'BS'!H21)</x:f>
        <x:v>1269795.3967059718</x:v>
      </x:c>
      <x:c r="I22" s="26" t="n">
        <x:f>SUM('BS'!I19,'BS'!I20,'BS'!I21)</x:f>
        <x:v>1386470.0077948784</x:v>
      </x:c>
      <x:c r="J22" s="26" t="n">
        <x:f>SUM('BS'!J19,'BS'!J20,'BS'!J21)</x:f>
        <x:v>1504327.3407686586</x:v>
      </x:c>
      <x:c r="K22" s="26" t="n">
        <x:f>SUM('BS'!K19,'BS'!K20,'BS'!K21)</x:f>
        <x:v>1623379.4334647113</x:v>
      </x:c>
      <x:c r="L22" s="26" t="n">
        <x:f>SUM('BS'!L19,'BS'!L20,'BS'!L21)</x:f>
        <x:v>1743638.4423436548</x:v>
      </x:c>
      <x:c r="M22" s="26" t="n">
        <x:f>SUM('BS'!M19,'BS'!M20,'BS'!M21)</x:f>
        <x:v>1865116.6436901852</x:v>
      </x:c>
      <x:c r="N22" s="26" t="n">
        <x:f>SUM('BS'!N19,'BS'!N20,'BS'!N21)</x:f>
        <x:v>1987826.4348258218</x:v>
      </x:c>
      <x:c r="O22" s="26" t="n">
        <x:f>SUM('BS'!O19,'BS'!O20,'BS'!O21)</x:f>
        <x:v>2111780.3353336584</x:v>
      </x:c>
    </x:row>
    <x:row r="23" ht="22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2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1" customHeight="1">
      <x:c r="C2" s="4" t="str">
        <x:v>Cash Flow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2" customHeight="1">
      <x:c r="C7" s="15" t="str">
        <x:v>Forecast month</x:v>
      </x:c>
      <x:c r="D7" s="16" t="n">
        <x:v>46113</x:v>
      </x:c>
      <x:c r="E7" s="16" t="n">
        <x:v>46143</x:v>
      </x:c>
      <x:c r="F7" s="16" t="n">
        <x:v>46174</x:v>
      </x:c>
      <x:c r="G7" s="16" t="n">
        <x:v>46204</x:v>
      </x:c>
      <x:c r="H7" s="16" t="n">
        <x:v>46235</x:v>
      </x:c>
      <x:c r="I7" s="16" t="n">
        <x:v>46266</x:v>
      </x:c>
      <x:c r="J7" s="16" t="n">
        <x:v>46296</x:v>
      </x:c>
      <x:c r="K7" s="16" t="n">
        <x:v>46327</x:v>
      </x:c>
      <x:c r="L7" s="16" t="n">
        <x:v>46357</x:v>
      </x:c>
      <x:c r="M7" s="16" t="n">
        <x:v>46388</x:v>
      </x:c>
      <x:c r="N7" s="16" t="n">
        <x:v>46419</x:v>
      </x:c>
      <x:c r="O7" s="16" t="n">
        <x:v>46447</x:v>
      </x:c>
    </x:row>
    <x:row r="8" ht="32" customHeight="1">
      <x:c r="C8" s="7" t="str">
        <x:v>Opening cash</x:v>
      </x:c>
      <x:c r="D8" s="27" t="n">
        <x:f>'History'!F8</x:f>
        <x:v>333750</x:v>
      </x:c>
      <x:c r="E8" s="27" t="n">
        <x:f>'BS'!D8</x:f>
        <x:v>340770.8333333334</x:v>
      </x:c>
      <x:c r="F8" s="27" t="n">
        <x:f>'BS'!E8</x:f>
        <x:v>297482.32595531276</x:v>
      </x:c>
      <x:c r="G8" s="27" t="n">
        <x:f>'BS'!F8</x:f>
        <x:v>423037.56161701016</x:v>
      </x:c>
      <x:c r="H8" s="27" t="n">
        <x:f>'BS'!G8</x:f>
        <x:v>514126.1020664859</x:v>
      </x:c>
      <x:c r="I8" s="27" t="n">
        <x:f>'BS'!H8</x:f>
        <x:v>638768.6650380355</x:v>
      </x:c>
      <x:c r="J8" s="27" t="n">
        <x:f>'BS'!I8</x:f>
        <x:v>753661.0356900755</x:v>
      </x:c>
      <x:c r="K8" s="27" t="n">
        <x:f>'BS'!J8</x:f>
        <x:v>847660.3859887649</x:v>
      </x:c>
      <x:c r="L8" s="27" t="n">
        <x:f>'BS'!K8</x:f>
        <x:v>979873.9630030608</x:v>
      </x:c>
      <x:c r="M8" s="27" t="n">
        <x:f>'BS'!L8</x:f>
        <x:v>1075862.335738624</x:v>
      </x:c>
      <x:c r="N8" s="27" t="n">
        <x:f>'BS'!M8</x:f>
        <x:v>1207115.9651593547</x:v>
      </x:c>
      <x:c r="O8" s="27" t="n">
        <x:f>'BS'!N8</x:f>
        <x:v>1340152.634941611</x:v>
      </x:c>
    </x:row>
    <x:row r="9" ht="32" customHeight="1">
      <x:c r="C9" s="7" t="str">
        <x:v>Opening income tax payable</x:v>
      </x:c>
      <x:c r="D9" s="27" t="n">
        <x:f>'History'!F15</x:f>
        <x:v>0</x:v>
      </x:c>
      <x:c r="E9" s="27" t="n">
        <x:f>'BS'!D15</x:f>
        <x:v>0</x:v>
      </x:c>
      <x:c r="F9" s="27" t="n">
        <x:f>'BS'!E15</x:f>
        <x:v>0</x:v>
      </x:c>
      <x:c r="G9" s="27" t="n">
        <x:f>'BS'!F15</x:f>
        <x:v>0</x:v>
      </x:c>
      <x:c r="H9" s="27" t="n">
        <x:f>'BS'!G15</x:f>
        <x:v>0</x:v>
      </x:c>
      <x:c r="I9" s="27" t="n">
        <x:f>'BS'!H15</x:f>
        <x:v>0</x:v>
      </x:c>
      <x:c r="J9" s="27" t="n">
        <x:f>'BS'!I15</x:f>
        <x:v>0</x:v>
      </x:c>
      <x:c r="K9" s="27" t="n">
        <x:f>'BS'!J15</x:f>
        <x:v>0</x:v>
      </x:c>
      <x:c r="L9" s="27" t="n">
        <x:f>'BS'!K15</x:f>
        <x:v>0</x:v>
      </x:c>
      <x:c r="M9" s="27" t="n">
        <x:f>'BS'!L15</x:f>
        <x:v>0</x:v>
      </x:c>
      <x:c r="N9" s="27" t="n">
        <x:f>'BS'!M15</x:f>
        <x:v>0</x:v>
      </x:c>
      <x:c r="O9" s="27" t="n">
        <x:f>'BS'!N15</x:f>
        <x:v>0</x:v>
      </x:c>
    </x:row>
    <x:row r="10" ht="32" customHeight="1">
      <x:c r="C10" s="7" t="str">
        <x:v>Tax paid: opening payable and current expense</x:v>
      </x:c>
      <x:c r="D10" s="27" t="n">
        <x:f>SUM('CF'!D9,'PL'!D20)</x:f>
        <x:v>36979.166666666664</x:v>
      </x:c>
      <x:c r="E10" s="27" t="n">
        <x:f>SUM('CF'!E9,'PL'!E20)</x:f>
        <x:v>37353.92361111111</x:v>
      </x:c>
      <x:c r="F10" s="27" t="n">
        <x:f>SUM('CF'!F9,'PL'!F20)</x:f>
        <x:v>37732.501331018524</x:v>
      </x:c>
      <x:c r="G10" s="27" t="n">
        <x:f>SUM('CF'!G9,'PL'!G20)</x:f>
        <x:v>38114.93742409337</x:v>
      </x:c>
      <x:c r="H10" s="27" t="n">
        <x:f>SUM('CF'!H9,'PL'!H20)</x:f>
        <x:v>38501.26986910092</x:v>
      </x:c>
      <x:c r="I10" s="27" t="n">
        <x:f>SUM('CF'!I9,'PL'!I20)</x:f>
        <x:v>38891.537029635496</x:v>
      </x:c>
      <x:c r="J10" s="27" t="n">
        <x:f>SUM('CF'!J9,'PL'!J20)</x:f>
        <x:v>39285.777657926716</x:v>
      </x:c>
      <x:c r="K10" s="27" t="n">
        <x:f>SUM('CF'!K9,'PL'!K20)</x:f>
        <x:v>39684.03089868424</x:v>
      </x:c>
      <x:c r="L10" s="27" t="n">
        <x:f>SUM('CF'!L9,'PL'!L20)</x:f>
        <x:v>40086.33629298117</x:v>
      </x:c>
      <x:c r="M10" s="27" t="n">
        <x:f>SUM('CF'!M9,'PL'!M20)</x:f>
        <x:v>40492.73378217682</x:v>
      </x:c>
      <x:c r="N10" s="27" t="n">
        <x:f>SUM('CF'!N9,'PL'!N20)</x:f>
        <x:v>40903.2637118789</x:v>
      </x:c>
      <x:c r="O10" s="27" t="n">
        <x:f>SUM('CF'!O9,'PL'!O20)</x:f>
        <x:v>41317.96683594564</x:v>
      </x:c>
    </x:row>
    <x:row r="11" ht="32" customHeight="1">
      <x:c r="C11" s="11" t="str">
        <x:v>Net cash from operating activities</x:v>
      </x:c>
      <x:c r="D11" s="26" t="n">
        <x:f>('WorkingCapital'!D11-SUM('WorkingCapital'!D19,'PL'!D14,'Funding'!D9,'CF'!D10))</x:f>
        <x:v>12020.833333333401</x:v>
      </x:c>
      <x:c r="E11" s="26" t="n">
        <x:f>('WorkingCapital'!E11-SUM('WorkingCapital'!E19,'PL'!E14,'Funding'!E9,'CF'!E10))</x:f>
        <x:v>-38288.507378020615</x:v>
      </x:c>
      <x:c r="F11" s="26" t="n">
        <x:f>('WorkingCapital'!F11-SUM('WorkingCapital'!F19,'PL'!F14,'Funding'!F9,'CF'!F10))</x:f>
        <x:v>130555.2356616974</x:v>
      </x:c>
      <x:c r="G11" s="26" t="n">
        <x:f>('WorkingCapital'!G11-SUM('WorkingCapital'!G19,'PL'!G14,'Funding'!G9,'CF'!G10))</x:f>
        <x:v>96088.54044947575</x:v>
      </x:c>
      <x:c r="H11" s="26" t="n">
        <x:f>('WorkingCapital'!H11-SUM('WorkingCapital'!H19,'PL'!H14,'Funding'!H9,'CF'!H10))</x:f>
        <x:v>129642.56297154957</x:v>
      </x:c>
      <x:c r="I11" s="26" t="n">
        <x:f>('WorkingCapital'!I11-SUM('WorkingCapital'!I19,'PL'!I14,'Funding'!I9,'CF'!I10))</x:f>
        <x:v>119892.37065204006</x:v>
      </x:c>
      <x:c r="J11" s="26" t="n">
        <x:f>('WorkingCapital'!J11-SUM('WorkingCapital'!J19,'PL'!J14,'Funding'!J9,'CF'!J10))</x:f>
        <x:v>98999.35029868939</x:v>
      </x:c>
      <x:c r="K11" s="26" t="n">
        <x:f>('WorkingCapital'!K11-SUM('WorkingCapital'!K19,'PL'!K14,'Funding'!K9,'CF'!K10))</x:f>
        <x:v>137213.57701429585</x:v>
      </x:c>
      <x:c r="L11" s="26" t="n">
        <x:f>('WorkingCapital'!L11-SUM('WorkingCapital'!L19,'PL'!L14,'Funding'!L9,'CF'!L10))</x:f>
        <x:v>100988.37273556332</x:v>
      </x:c>
      <x:c r="M11" s="26" t="n">
        <x:f>('WorkingCapital'!M11-SUM('WorkingCapital'!M19,'PL'!M14,'Funding'!M9,'CF'!M10))</x:f>
        <x:v>136253.62942073075</x:v>
      </x:c>
      <x:c r="N11" s="26" t="n">
        <x:f>('WorkingCapital'!N11-SUM('WorkingCapital'!N19,'PL'!N14,'Funding'!N9,'CF'!N10))</x:f>
        <x:v>138036.6697822563</x:v>
      </x:c>
      <x:c r="O11" s="26" t="n">
        <x:f>('WorkingCapital'!O11-SUM('WorkingCapital'!O19,'PL'!O14,'Funding'!O9,'CF'!O10))</x:f>
        <x:v>57311.682440665434</x:v>
      </x:c>
    </x:row>
    <x:row r="12" ht="32" customHeight="1">
      <x:c r="C12" s="7" t="str">
        <x:v>Cash adjustment: receivables</x:v>
      </x:c>
      <x:c r="D12" s="27" t="n">
        <x:f>('WorkingCapital'!D8-'WorkingCapital'!D10)</x:f>
        <x:v>-404999.99999999994</x:v>
      </x:c>
      <x:c r="E12" s="27" t="n">
        <x:f>('WorkingCapital'!E8-'WorkingCapital'!E10)</x:f>
        <x:v>11403.225806451519</x:v>
      </x:c>
      <x:c r="F12" s="27" t="n">
        <x:f>('WorkingCapital'!F8-'WorkingCapital'!F10)</x:f>
        <x:v>-21553.725806451577</x:v>
      </x:c>
      <x:c r="G12" s="27" t="n">
        <x:f>('WorkingCapital'!G8-'WorkingCapital'!G10)</x:f>
        <x:v>11632.43064516125</x:v>
      </x:c>
      <x:c r="H12" s="27" t="n">
        <x:f>('WorkingCapital'!H8-'WorkingCapital'!H10)</x:f>
        <x:v>-5035.180693548347</x:v>
      </x:c>
      <x:c r="I12" s="27" t="n">
        <x:f>('WorkingCapital'!I8-'WorkingCapital'!I10)</x:f>
        <x:v>-22206.825252112933</x:v>
      </x:c>
      <x:c r="J12" s="27" t="n">
        <x:f>('WorkingCapital'!J8-'WorkingCapital'!J10)</x:f>
        <x:v>11984.904926140385</x:v>
      </x:c>
      <x:c r="K12" s="27" t="n">
        <x:f>('WorkingCapital'!K8-'WorkingCapital'!K10)</x:f>
        <x:v>-22653.182439680386</x:v>
      </x:c>
      <x:c r="L12" s="27" t="n">
        <x:f>('WorkingCapital'!L8-'WorkingCapital'!L10)</x:f>
        <x:v>12225.801515155821</x:v>
      </x:c>
      <x:c r="M12" s="27" t="n">
        <x:f>('WorkingCapital'!M8-'WorkingCapital'!M10)</x:f>
        <x:v>-5292.025512989028</x:v>
      </x:c>
      <x:c r="N12" s="27" t="n">
        <x:f>('WorkingCapital'!N8-'WorkingCapital'!N10)</x:f>
        <x:v>-63184.89461597509</x:v>
      </x:c>
      <x:c r="O12" s="27" t="n">
        <x:f>('WorkingCapital'!O8-'WorkingCapital'!O10)</x:f>
        <x:v>52441.5536220565</x:v>
      </x:c>
    </x:row>
    <x:row r="13" ht="32" customHeight="1">
      <x:c r="C13" s="7" t="str">
        <x:v>Cash adjustment: inventory</x:v>
      </x:c>
      <x:c r="D13" s="27" t="n">
        <x:f>('WorkingCapital'!D12-'WorkingCapital'!D15)</x:f>
        <x:v>-203000</x:v>
      </x:c>
      <x:c r="E13" s="27" t="n">
        <x:f>('WorkingCapital'!E12-'WorkingCapital'!E15)</x:f>
        <x:v>6841.935483871028</x:v>
      </x:c>
      <x:c r="F13" s="27" t="n">
        <x:f>('WorkingCapital'!F12-'WorkingCapital'!F15)</x:f>
        <x:v>-12932.235483871016</x:v>
      </x:c>
      <x:c r="G13" s="27" t="n">
        <x:f>('WorkingCapital'!G12-'WorkingCapital'!G15)</x:f>
        <x:v>6979.45838709682</x:v>
      </x:c>
      <x:c r="H13" s="27" t="n">
        <x:f>('WorkingCapital'!H12-'WorkingCapital'!H15)</x:f>
        <x:v>-3021.1084161290783</x:v>
      </x:c>
      <x:c r="I13" s="27" t="n">
        <x:f>('WorkingCapital'!I12-'WorkingCapital'!I15)</x:f>
        <x:v>-13324.095151267771</x:v>
      </x:c>
      <x:c r="J13" s="27" t="n">
        <x:f>('WorkingCapital'!J12-'WorkingCapital'!J15)</x:f>
        <x:v>7190.942955684266</x:v>
      </x:c>
      <x:c r="K13" s="27" t="n">
        <x:f>('WorkingCapital'!K12-'WorkingCapital'!K15)</x:f>
        <x:v>-13591.909463808232</x:v>
      </x:c>
      <x:c r="L13" s="27" t="n">
        <x:f>('WorkingCapital'!L12-'WorkingCapital'!L15)</x:f>
        <x:v>7335.480909093341</x:v>
      </x:c>
      <x:c r="M13" s="27" t="n">
        <x:f>('WorkingCapital'!M12-'WorkingCapital'!M15)</x:f>
        <x:v>-3175.2153077931725</x:v>
      </x:c>
      <x:c r="N13" s="27" t="n">
        <x:f>('WorkingCapital'!N12-'WorkingCapital'!N15)</x:f>
        <x:v>-37910.936769585125</x:v>
      </x:c>
      <x:c r="O13" s="27" t="n">
        <x:f>('WorkingCapital'!O12-'WorkingCapital'!O15)</x:f>
        <x:v>31464.93217323377</x:v>
      </x:c>
    </x:row>
    <x:row r="14" ht="32" customHeight="1">
      <x:c r="C14" s="7" t="str">
        <x:v>Cash adjustment: payables</x:v>
      </x:c>
      <x:c r="D14" s="27" t="n">
        <x:f>('WorkingCapital'!D18-'WorkingCapital'!D16)</x:f>
        <x:v>506000</x:v>
      </x:c>
      <x:c r="E14" s="27" t="n">
        <x:f>('WorkingCapital'!E18-'WorkingCapital'!E16)</x:f>
        <x:v>-171694.7450572321</x:v>
      </x:c>
      <x:c r="F14" s="27" t="n">
        <x:f>('WorkingCapital'!F18-'WorkingCapital'!F16)</x:f>
        <x:v>48728.548283038544</x:v>
      </x:c>
      <x:c r="G14" s="27" t="n">
        <x:f>('WorkingCapital'!G18-'WorkingCapital'!G16)</x:f>
        <x:v>-39999.01265868894</x:v>
      </x:c>
      <x:c r="H14" s="27" t="n">
        <x:f>('WorkingCapital'!H18-'WorkingCapital'!H16)</x:f>
        <x:v>19048.61443532788</x:v>
      </x:c>
      <x:c r="I14" s="27" t="n">
        <x:f>('WorkingCapital'!I18-'WorkingCapital'!I16)</x:f>
        <x:v>35586.805494906264</x:v>
      </x:c>
      <x:c r="J14" s="27" t="n">
        <x:f>('WorkingCapital'!J18-'WorkingCapital'!J16)</x:f>
        <x:v>-41211.02274126001</x:v>
      </x:c>
      <x:c r="K14" s="27" t="n">
        <x:f>('WorkingCapital'!K18-'WorkingCapital'!K16)</x:f>
        <x:v>51214.193972256675</x:v>
      </x:c>
      <x:c r="L14" s="27" t="n">
        <x:f>('WorkingCapital'!L18-'WorkingCapital'!L16)</x:f>
        <x:v>-42039.36429835897</x:v>
      </x:c>
      <x:c r="M14" s="27" t="n">
        <x:f>('WorkingCapital'!M18-'WorkingCapital'!M16)</x:f>
        <x:v>20020.285212009156</x:v>
      </x:c>
      <x:c r="N14" s="27" t="n">
        <x:f>('WorkingCapital'!N18-'WorkingCapital'!N16)</x:f>
        <x:v>113185.51287989807</x:v>
      </x:c>
      <x:c r="O14" s="27" t="n">
        <x:f>('WorkingCapital'!O18-'WorkingCapital'!O16)</x:f>
        <x:v>-153800.59103847487</x:v>
      </x:c>
    </x:row>
    <x:row r="15" ht="32" customHeight="1">
      <x:c r="C15" s="7" t="str">
        <x:v>Cash adjustment: income tax payable</x:v>
      </x:c>
      <x:c r="D15" s="27" t="n">
        <x:f>('PL'!D20-'CF'!D10)</x:f>
        <x:v>0</x:v>
      </x:c>
      <x:c r="E15" s="27" t="n">
        <x:f>('PL'!E20-'CF'!E10)</x:f>
        <x:v>0</x:v>
      </x:c>
      <x:c r="F15" s="27" t="n">
        <x:f>('PL'!F20-'CF'!F10)</x:f>
        <x:v>0</x:v>
      </x:c>
      <x:c r="G15" s="27" t="n">
        <x:f>('PL'!G20-'CF'!G10)</x:f>
        <x:v>0</x:v>
      </x:c>
      <x:c r="H15" s="27" t="n">
        <x:f>('PL'!H20-'CF'!H10)</x:f>
        <x:v>0</x:v>
      </x:c>
      <x:c r="I15" s="27" t="n">
        <x:f>('PL'!I20-'CF'!I10)</x:f>
        <x:v>0</x:v>
      </x:c>
      <x:c r="J15" s="27" t="n">
        <x:f>('PL'!J20-'CF'!J10)</x:f>
        <x:v>0</x:v>
      </x:c>
      <x:c r="K15" s="27" t="n">
        <x:f>('PL'!K20-'CF'!K10)</x:f>
        <x:v>0</x:v>
      </x:c>
      <x:c r="L15" s="27" t="n">
        <x:f>('PL'!L20-'CF'!L10)</x:f>
        <x:v>0</x:v>
      </x:c>
      <x:c r="M15" s="27" t="n">
        <x:f>('PL'!M20-'CF'!M10)</x:f>
        <x:v>0</x:v>
      </x:c>
      <x:c r="N15" s="27" t="n">
        <x:f>('PL'!N20-'CF'!N10)</x:f>
        <x:v>0</x:v>
      </x:c>
      <x:c r="O15" s="27" t="n">
        <x:f>('PL'!O20-'CF'!O10)</x:f>
        <x:v>0</x:v>
      </x:c>
    </x:row>
    <x:row r="16" ht="32" customHeight="1">
      <x:c r="C16" s="7" t="str">
        <x:v>Operating cash flow: indirect reconciliation</x:v>
      </x:c>
      <x:c r="D16" s="27" t="n">
        <x:f>SUM('PL'!D21,'PL'!D16,'CF'!D12,'CF'!D13,'CF'!D14,'CF'!D15)</x:f>
        <x:v>12020.833333333372</x:v>
      </x:c>
      <x:c r="E16" s="27" t="n">
        <x:f>SUM('PL'!E21,'PL'!E16,'CF'!E12,'CF'!E13,'CF'!E14,'CF'!E15)</x:f>
        <x:v>-38288.50737802067</x:v>
      </x:c>
      <x:c r="F16" s="27" t="n">
        <x:f>SUM('PL'!F21,'PL'!F16,'CF'!F12,'CF'!F13,'CF'!F14,'CF'!F15)</x:f>
        <x:v>130555.23566169746</x:v>
      </x:c>
      <x:c r="G16" s="27" t="n">
        <x:f>SUM('PL'!G21,'PL'!G16,'CF'!G12,'CF'!G13,'CF'!G14,'CF'!G15)</x:f>
        <x:v>96088.54044947578</x:v>
      </x:c>
      <x:c r="H16" s="27" t="n">
        <x:f>SUM('PL'!H21,'PL'!H16,'CF'!H12,'CF'!H13,'CF'!H14,'CF'!H15)</x:f>
        <x:v>129642.56297154955</x:v>
      </x:c>
      <x:c r="I16" s="27" t="n">
        <x:f>SUM('PL'!I21,'PL'!I16,'CF'!I12,'CF'!I13,'CF'!I14,'CF'!I15)</x:f>
        <x:v>119892.37065204007</x:v>
      </x:c>
      <x:c r="J16" s="27" t="n">
        <x:f>SUM('PL'!J21,'PL'!J16,'CF'!J12,'CF'!J13,'CF'!J14,'CF'!J15)</x:f>
        <x:v>98999.35029868939</x:v>
      </x:c>
      <x:c r="K16" s="27" t="n">
        <x:f>SUM('PL'!K21,'PL'!K16,'CF'!K12,'CF'!K13,'CF'!K14,'CF'!K15)</x:f>
        <x:v>137213.57701429585</x:v>
      </x:c>
      <x:c r="L16" s="27" t="n">
        <x:f>SUM('PL'!L21,'PL'!L16,'CF'!L12,'CF'!L13,'CF'!L14,'CF'!L15)</x:f>
        <x:v>100988.37273556314</x:v>
      </x:c>
      <x:c r="M16" s="27" t="n">
        <x:f>SUM('PL'!M21,'PL'!M16,'CF'!M12,'CF'!M13,'CF'!M14,'CF'!M15)</x:f>
        <x:v>136253.6294207308</x:v>
      </x:c>
      <x:c r="N16" s="27" t="n">
        <x:f>SUM('PL'!N21,'PL'!N16,'CF'!N12,'CF'!N13,'CF'!N14,'CF'!N15)</x:f>
        <x:v>138036.66978225647</x:v>
      </x:c>
      <x:c r="O16" s="27" t="n">
        <x:f>SUM('PL'!O21,'PL'!O16,'CF'!O12,'CF'!O13,'CF'!O14,'CF'!O15)</x:f>
        <x:v>57311.68244066523</x:v>
      </x:c>
    </x:row>
    <x:row r="17" ht="32" customHeight="1">
      <x:c r="C17" s="11" t="str">
        <x:v>Net cash from investing activities</x:v>
      </x:c>
      <x:c r="D17" s="26" t="n">
        <x:f>(-1*'Assets'!D9)</x:f>
        <x:v>-5000</x:v>
      </x:c>
      <x:c r="E17" s="26" t="n">
        <x:f>(-1*'Assets'!E9)</x:f>
        <x:v>-5000</x:v>
      </x:c>
      <x:c r="F17" s="26" t="n">
        <x:f>(-1*'Assets'!F9)</x:f>
        <x:v>-5000</x:v>
      </x:c>
      <x:c r="G17" s="26" t="n">
        <x:f>(-1*'Assets'!G9)</x:f>
        <x:v>-5000</x:v>
      </x:c>
      <x:c r="H17" s="26" t="n">
        <x:f>(-1*'Assets'!H9)</x:f>
        <x:v>-5000</x:v>
      </x:c>
      <x:c r="I17" s="26" t="n">
        <x:f>(-1*'Assets'!I9)</x:f>
        <x:v>-5000</x:v>
      </x:c>
      <x:c r="J17" s="26" t="n">
        <x:f>(-1*'Assets'!J9)</x:f>
        <x:v>-5000</x:v>
      </x:c>
      <x:c r="K17" s="26" t="n">
        <x:f>(-1*'Assets'!K9)</x:f>
        <x:v>-5000</x:v>
      </x:c>
      <x:c r="L17" s="26" t="n">
        <x:f>(-1*'Assets'!L9)</x:f>
        <x:v>-5000</x:v>
      </x:c>
      <x:c r="M17" s="26" t="n">
        <x:f>(-1*'Assets'!M9)</x:f>
        <x:v>-5000</x:v>
      </x:c>
      <x:c r="N17" s="26" t="n">
        <x:f>(-1*'Assets'!N9)</x:f>
        <x:v>-5000</x:v>
      </x:c>
      <x:c r="O17" s="26" t="n">
        <x:f>(-1*'Assets'!O9)</x:f>
        <x:v>-5000</x:v>
      </x:c>
    </x:row>
    <x:row r="18" ht="32" customHeight="1">
      <x:c r="C18" s="11" t="str">
        <x:v>Net cash from financing activities</x:v>
      </x:c>
      <x:c r="D18" s="26" t="n">
        <x:f>('Funding'!D12-SUM('Funding'!D16,'Funding'!D21))</x:f>
        <x:v>0</x:v>
      </x:c>
      <x:c r="E18" s="26" t="n">
        <x:f>('Funding'!E12-SUM('Funding'!E16,'Funding'!E21))</x:f>
        <x:v>0</x:v>
      </x:c>
      <x:c r="F18" s="26" t="n">
        <x:f>('Funding'!F12-SUM('Funding'!F16,'Funding'!F21))</x:f>
        <x:v>0</x:v>
      </x:c>
      <x:c r="G18" s="26" t="n">
        <x:f>('Funding'!G12-SUM('Funding'!G16,'Funding'!G21))</x:f>
        <x:v>0</x:v>
      </x:c>
      <x:c r="H18" s="26" t="n">
        <x:f>('Funding'!H12-SUM('Funding'!H16,'Funding'!H21))</x:f>
        <x:v>0</x:v>
      </x:c>
      <x:c r="I18" s="26" t="n">
        <x:f>('Funding'!I12-SUM('Funding'!I16,'Funding'!I21))</x:f>
        <x:v>0</x:v>
      </x:c>
      <x:c r="J18" s="26" t="n">
        <x:f>('Funding'!J12-SUM('Funding'!J16,'Funding'!J21))</x:f>
        <x:v>0</x:v>
      </x:c>
      <x:c r="K18" s="26" t="n">
        <x:f>('Funding'!K12-SUM('Funding'!K16,'Funding'!K21))</x:f>
        <x:v>0</x:v>
      </x:c>
      <x:c r="L18" s="26" t="n">
        <x:f>('Funding'!L12-SUM('Funding'!L16,'Funding'!L21))</x:f>
        <x:v>0</x:v>
      </x:c>
      <x:c r="M18" s="26" t="n">
        <x:f>('Funding'!M12-SUM('Funding'!M16,'Funding'!M21))</x:f>
        <x:v>0</x:v>
      </x:c>
      <x:c r="N18" s="26" t="n">
        <x:f>('Funding'!N12-SUM('Funding'!N16,'Funding'!N21))</x:f>
        <x:v>0</x:v>
      </x:c>
      <x:c r="O18" s="26" t="n">
        <x:f>('Funding'!O12-SUM('Funding'!O16,'Funding'!O21))</x:f>
        <x:v>0</x:v>
      </x:c>
    </x:row>
    <x:row r="19" ht="32" customHeight="1">
      <x:c r="C19" s="7" t="str">
        <x:v>Net change in cash</x:v>
      </x:c>
      <x:c r="D19" s="27" t="n">
        <x:f>SUM('CF'!D11,'CF'!D17,'CF'!D18)</x:f>
        <x:v>7020.833333333401</x:v>
      </x:c>
      <x:c r="E19" s="27" t="n">
        <x:f>SUM('CF'!E11,'CF'!E17,'CF'!E18)</x:f>
        <x:v>-43288.507378020615</x:v>
      </x:c>
      <x:c r="F19" s="27" t="n">
        <x:f>SUM('CF'!F11,'CF'!F17,'CF'!F18)</x:f>
        <x:v>125555.2356616974</x:v>
      </x:c>
      <x:c r="G19" s="27" t="n">
        <x:f>SUM('CF'!G11,'CF'!G17,'CF'!G18)</x:f>
        <x:v>91088.54044947575</x:v>
      </x:c>
      <x:c r="H19" s="27" t="n">
        <x:f>SUM('CF'!H11,'CF'!H17,'CF'!H18)</x:f>
        <x:v>124642.56297154957</x:v>
      </x:c>
      <x:c r="I19" s="27" t="n">
        <x:f>SUM('CF'!I11,'CF'!I17,'CF'!I18)</x:f>
        <x:v>114892.37065204006</x:v>
      </x:c>
      <x:c r="J19" s="27" t="n">
        <x:f>SUM('CF'!J11,'CF'!J17,'CF'!J18)</x:f>
        <x:v>93999.35029868939</x:v>
      </x:c>
      <x:c r="K19" s="27" t="n">
        <x:f>SUM('CF'!K11,'CF'!K17,'CF'!K18)</x:f>
        <x:v>132213.57701429585</x:v>
      </x:c>
      <x:c r="L19" s="27" t="n">
        <x:f>SUM('CF'!L11,'CF'!L17,'CF'!L18)</x:f>
        <x:v>95988.37273556332</x:v>
      </x:c>
      <x:c r="M19" s="27" t="n">
        <x:f>SUM('CF'!M11,'CF'!M17,'CF'!M18)</x:f>
        <x:v>131253.62942073075</x:v>
      </x:c>
      <x:c r="N19" s="27" t="n">
        <x:f>SUM('CF'!N11,'CF'!N17,'CF'!N18)</x:f>
        <x:v>133036.6697822563</x:v>
      </x:c>
      <x:c r="O19" s="27" t="n">
        <x:f>SUM('CF'!O11,'CF'!O17,'CF'!O18)</x:f>
        <x:v>52311.682440665434</x:v>
      </x:c>
    </x:row>
    <x:row r="20" ht="32" customHeight="1">
      <x:c r="C20" s="11" t="str">
        <x:v>Closing cash</x:v>
      </x:c>
      <x:c r="D20" s="26" t="n">
        <x:f>SUM('CF'!D8,'CF'!D19)</x:f>
        <x:v>340770.8333333334</x:v>
      </x:c>
      <x:c r="E20" s="26" t="n">
        <x:f>SUM('CF'!E8,'CF'!E19)</x:f>
        <x:v>297482.32595531276</x:v>
      </x:c>
      <x:c r="F20" s="26" t="n">
        <x:f>SUM('CF'!F8,'CF'!F19)</x:f>
        <x:v>423037.56161701016</x:v>
      </x:c>
      <x:c r="G20" s="26" t="n">
        <x:f>SUM('CF'!G8,'CF'!G19)</x:f>
        <x:v>514126.1020664859</x:v>
      </x:c>
      <x:c r="H20" s="26" t="n">
        <x:f>SUM('CF'!H8,'CF'!H19)</x:f>
        <x:v>638768.6650380355</x:v>
      </x:c>
      <x:c r="I20" s="26" t="n">
        <x:f>SUM('CF'!I8,'CF'!I19)</x:f>
        <x:v>753661.0356900755</x:v>
      </x:c>
      <x:c r="J20" s="26" t="n">
        <x:f>SUM('CF'!J8,'CF'!J19)</x:f>
        <x:v>847660.3859887649</x:v>
      </x:c>
      <x:c r="K20" s="26" t="n">
        <x:f>SUM('CF'!K8,'CF'!K19)</x:f>
        <x:v>979873.9630030608</x:v>
      </x:c>
      <x:c r="L20" s="26" t="n">
        <x:f>SUM('CF'!L8,'CF'!L19)</x:f>
        <x:v>1075862.335738624</x:v>
      </x:c>
      <x:c r="M20" s="26" t="n">
        <x:f>SUM('CF'!M8,'CF'!M19)</x:f>
        <x:v>1207115.9651593547</x:v>
      </x:c>
      <x:c r="N20" s="26" t="n">
        <x:f>SUM('CF'!N8,'CF'!N19)</x:f>
        <x:v>1340152.634941611</x:v>
      </x:c>
      <x:c r="O20" s="26" t="n">
        <x:f>SUM('CF'!O8,'CF'!O19)</x:f>
        <x:v>1392464.3173822765</x:v>
      </x:c>
    </x:row>
    <x:row r="21" ht="22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FCFB6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2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1" customHeight="1">
      <x:c r="C2" s="4" t="str">
        <x:v>Assumptions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C5" s="2" t="str">
        <x:v>Blue cells: confirmed scenario inputs.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2" customHeight="1">
      <x:c r="C7" s="15" t="str">
        <x:v>Forecast month</x:v>
      </x:c>
      <x:c r="D7" s="16" t="n">
        <x:v>46113</x:v>
      </x:c>
      <x:c r="E7" s="16" t="n">
        <x:v>46143</x:v>
      </x:c>
      <x:c r="F7" s="16" t="n">
        <x:v>46174</x:v>
      </x:c>
      <x:c r="G7" s="16" t="n">
        <x:v>46204</x:v>
      </x:c>
      <x:c r="H7" s="16" t="n">
        <x:v>46235</x:v>
      </x:c>
      <x:c r="I7" s="16" t="n">
        <x:v>46266</x:v>
      </x:c>
      <x:c r="J7" s="16" t="n">
        <x:v>46296</x:v>
      </x:c>
      <x:c r="K7" s="16" t="n">
        <x:v>46327</x:v>
      </x:c>
      <x:c r="L7" s="16" t="n">
        <x:v>46357</x:v>
      </x:c>
      <x:c r="M7" s="16" t="n">
        <x:v>46388</x:v>
      </x:c>
      <x:c r="N7" s="16" t="n">
        <x:v>46419</x:v>
      </x:c>
      <x:c r="O7" s="16" t="n">
        <x:v>46447</x:v>
      </x:c>
    </x:row>
    <x:row r="8" ht="32" customHeight="1">
      <x:c r="C8" s="7" t="str">
        <x:v>Cash administration expense / revenue</x:v>
      </x:c>
      <x:c r="D8" s="30" t="n">
        <x:v>0.05</x:v>
      </x:c>
      <x:c r="E8" s="30" t="n">
        <x:v>0.05</x:v>
      </x:c>
      <x:c r="F8" s="30" t="n">
        <x:v>0.05</x:v>
      </x:c>
      <x:c r="G8" s="30" t="n">
        <x:v>0.05</x:v>
      </x:c>
      <x:c r="H8" s="30" t="n">
        <x:v>0.05</x:v>
      </x:c>
      <x:c r="I8" s="30" t="n">
        <x:v>0.05</x:v>
      </x:c>
      <x:c r="J8" s="30" t="n">
        <x:v>0.05</x:v>
      </x:c>
      <x:c r="K8" s="30" t="n">
        <x:v>0.05</x:v>
      </x:c>
      <x:c r="L8" s="30" t="n">
        <x:v>0.05</x:v>
      </x:c>
      <x:c r="M8" s="30" t="n">
        <x:v>0.05</x:v>
      </x:c>
      <x:c r="N8" s="30" t="n">
        <x:v>0.05</x:v>
      </x:c>
      <x:c r="O8" s="30" t="n">
        <x:v>0.05</x:v>
      </x:c>
    </x:row>
    <x:row r="9" ht="32" customHeight="1">
      <x:c r="C9" s="7" t="str">
        <x:v>Product unit price (adopted input basis)</x:v>
      </x:c>
      <x:c r="D9" s="32" t="n">
        <x:v>5000</x:v>
      </x:c>
      <x:c r="E9" s="32" t="n">
        <x:v>5000</x:v>
      </x:c>
      <x:c r="F9" s="32" t="n">
        <x:v>5000</x:v>
      </x:c>
      <x:c r="G9" s="32" t="n">
        <x:v>5000</x:v>
      </x:c>
      <x:c r="H9" s="32" t="n">
        <x:v>5000</x:v>
      </x:c>
      <x:c r="I9" s="32" t="n">
        <x:v>5000</x:v>
      </x:c>
      <x:c r="J9" s="32" t="n">
        <x:v>5000</x:v>
      </x:c>
      <x:c r="K9" s="32" t="n">
        <x:v>5000</x:v>
      </x:c>
      <x:c r="L9" s="32" t="n">
        <x:v>5000</x:v>
      </x:c>
      <x:c r="M9" s="32" t="n">
        <x:v>5000</x:v>
      </x:c>
      <x:c r="N9" s="32" t="n">
        <x:v>5000</x:v>
      </x:c>
      <x:c r="O9" s="32" t="n">
        <x:v>5000</x:v>
      </x:c>
    </x:row>
    <x:row r="10" ht="32" customHeight="1">
      <x:c r="C10" s="7" t="str">
        <x:v>Product price growth (confirmed time basis)</x:v>
      </x:c>
      <x:c r="D10" s="30" t="n">
        <x:v>0</x:v>
      </x:c>
      <x:c r="E10" s="30" t="n">
        <x:v>0</x:v>
      </x:c>
      <x:c r="F10" s="30" t="n">
        <x:v>0</x:v>
      </x:c>
      <x:c r="G10" s="30" t="n">
        <x:v>0</x:v>
      </x:c>
      <x:c r="H10" s="30" t="n">
        <x:v>0</x:v>
      </x:c>
      <x:c r="I10" s="30" t="n">
        <x:v>0</x:v>
      </x:c>
      <x:c r="J10" s="30" t="n">
        <x:v>0</x:v>
      </x:c>
      <x:c r="K10" s="30" t="n">
        <x:v>0</x:v>
      </x:c>
      <x:c r="L10" s="30" t="n">
        <x:v>0</x:v>
      </x:c>
      <x:c r="M10" s="30" t="n">
        <x:v>0</x:v>
      </x:c>
      <x:c r="N10" s="30" t="n">
        <x:v>0</x:v>
      </x:c>
      <x:c r="O10" s="30" t="n">
        <x:v>0</x:v>
      </x:c>
    </x:row>
    <x:row r="11" ht="32" customHeight="1">
      <x:c r="C11" s="7" t="str">
        <x:v>Monthly cash capital expenditure</x:v>
      </x:c>
      <x:c r="D11" s="34" t="n">
        <x:v>5000</x:v>
      </x:c>
      <x:c r="E11" s="34" t="n">
        <x:v>5000</x:v>
      </x:c>
      <x:c r="F11" s="34" t="n">
        <x:v>5000</x:v>
      </x:c>
      <x:c r="G11" s="34" t="n">
        <x:v>5000</x:v>
      </x:c>
      <x:c r="H11" s="34" t="n">
        <x:v>5000</x:v>
      </x:c>
      <x:c r="I11" s="34" t="n">
        <x:v>5000</x:v>
      </x:c>
      <x:c r="J11" s="34" t="n">
        <x:v>5000</x:v>
      </x:c>
      <x:c r="K11" s="34" t="n">
        <x:v>5000</x:v>
      </x:c>
      <x:c r="L11" s="34" t="n">
        <x:v>5000</x:v>
      </x:c>
      <x:c r="M11" s="34" t="n">
        <x:v>5000</x:v>
      </x:c>
      <x:c r="N11" s="34" t="n">
        <x:v>5000</x:v>
      </x:c>
      <x:c r="O11" s="34" t="n">
        <x:v>5000</x:v>
      </x:c>
    </x:row>
    <x:row r="12" ht="32" customHeight="1">
      <x:c r="C12" s="7" t="str">
        <x:v>Monthly loan draw request</x:v>
      </x:c>
      <x:c r="D12" s="34" t="n">
        <x:v>0</x:v>
      </x:c>
      <x:c r="E12" s="34" t="n">
        <x:v>0</x:v>
      </x:c>
      <x:c r="F12" s="34" t="n">
        <x:v>0</x:v>
      </x:c>
      <x:c r="G12" s="34" t="n">
        <x:v>0</x:v>
      </x:c>
      <x:c r="H12" s="34" t="n">
        <x:v>0</x:v>
      </x:c>
      <x:c r="I12" s="34" t="n">
        <x:v>0</x:v>
      </x:c>
      <x:c r="J12" s="34" t="n">
        <x:v>0</x:v>
      </x:c>
      <x:c r="K12" s="34" t="n">
        <x:v>0</x:v>
      </x:c>
      <x:c r="L12" s="34" t="n">
        <x:v>0</x:v>
      </x:c>
      <x:c r="M12" s="34" t="n">
        <x:v>0</x:v>
      </x:c>
      <x:c r="N12" s="34" t="n">
        <x:v>0</x:v>
      </x:c>
      <x:c r="O12" s="34" t="n">
        <x:v>0</x:v>
      </x:c>
    </x:row>
    <x:row r="13" ht="32" customHeight="1">
      <x:c r="C13" s="7" t="str">
        <x:v>Monthly loan principal repayment request</x:v>
      </x:c>
      <x:c r="D13" s="34" t="n">
        <x:v>0</x:v>
      </x:c>
      <x:c r="E13" s="34" t="n">
        <x:v>0</x:v>
      </x:c>
      <x:c r="F13" s="34" t="n">
        <x:v>0</x:v>
      </x:c>
      <x:c r="G13" s="34" t="n">
        <x:v>0</x:v>
      </x:c>
      <x:c r="H13" s="34" t="n">
        <x:v>0</x:v>
      </x:c>
      <x:c r="I13" s="34" t="n">
        <x:v>0</x:v>
      </x:c>
      <x:c r="J13" s="34" t="n">
        <x:v>0</x:v>
      </x:c>
      <x:c r="K13" s="34" t="n">
        <x:v>0</x:v>
      </x:c>
      <x:c r="L13" s="34" t="n">
        <x:v>0</x:v>
      </x:c>
      <x:c r="M13" s="34" t="n">
        <x:v>0</x:v>
      </x:c>
      <x:c r="N13" s="34" t="n">
        <x:v>0</x:v>
      </x:c>
      <x:c r="O13" s="34" t="n">
        <x:v>0</x:v>
      </x:c>
    </x:row>
    <x:row r="14" ht="32" customHeight="1">
      <x:c r="C14" s="7" t="str">
        <x:v>Annual depreciation / opening net PPE</x:v>
      </x:c>
      <x:c r="D14" s="30" t="n">
        <x:v>0.1</x:v>
      </x:c>
      <x:c r="E14" s="30" t="n">
        <x:v>0.1</x:v>
      </x:c>
      <x:c r="F14" s="30" t="n">
        <x:v>0.1</x:v>
      </x:c>
      <x:c r="G14" s="30" t="n">
        <x:v>0.1</x:v>
      </x:c>
      <x:c r="H14" s="30" t="n">
        <x:v>0.1</x:v>
      </x:c>
      <x:c r="I14" s="30" t="n">
        <x:v>0.1</x:v>
      </x:c>
      <x:c r="J14" s="30" t="n">
        <x:v>0.1</x:v>
      </x:c>
      <x:c r="K14" s="30" t="n">
        <x:v>0.1</x:v>
      </x:c>
      <x:c r="L14" s="30" t="n">
        <x:v>0.1</x:v>
      </x:c>
      <x:c r="M14" s="30" t="n">
        <x:v>0.1</x:v>
      </x:c>
      <x:c r="N14" s="30" t="n">
        <x:v>0.1</x:v>
      </x:c>
      <x:c r="O14" s="30" t="n">
        <x:v>0.1</x:v>
      </x:c>
    </x:row>
    <x:row r="15" ht="32" customHeight="1">
      <x:c r="C15" s="7" t="str">
        <x:v>Closing inventory days</x:v>
      </x:c>
      <x:c r="D15" s="36" t="n">
        <x:v>30</x:v>
      </x:c>
      <x:c r="E15" s="36" t="n">
        <x:v>30</x:v>
      </x:c>
      <x:c r="F15" s="36" t="n">
        <x:v>30</x:v>
      </x:c>
      <x:c r="G15" s="36" t="n">
        <x:v>30</x:v>
      </x:c>
      <x:c r="H15" s="36" t="n">
        <x:v>30</x:v>
      </x:c>
      <x:c r="I15" s="36" t="n">
        <x:v>30</x:v>
      </x:c>
      <x:c r="J15" s="36" t="n">
        <x:v>30</x:v>
      </x:c>
      <x:c r="K15" s="36" t="n">
        <x:v>30</x:v>
      </x:c>
      <x:c r="L15" s="36" t="n">
        <x:v>30</x:v>
      </x:c>
      <x:c r="M15" s="36" t="n">
        <x:v>30</x:v>
      </x:c>
      <x:c r="N15" s="36" t="n">
        <x:v>30</x:v>
      </x:c>
      <x:c r="O15" s="36" t="n">
        <x:v>30</x:v>
      </x:c>
    </x:row>
    <x:row r="16" ht="32" customHeight="1">
      <x:c r="C16" s="7" t="str">
        <x:v>Monthly dividend request</x:v>
      </x:c>
      <x:c r="D16" s="34" t="n">
        <x:v>0</x:v>
      </x:c>
      <x:c r="E16" s="34" t="n">
        <x:v>0</x:v>
      </x:c>
      <x:c r="F16" s="34" t="n">
        <x:v>0</x:v>
      </x:c>
      <x:c r="G16" s="34" t="n">
        <x:v>0</x:v>
      </x:c>
      <x:c r="H16" s="34" t="n">
        <x:v>0</x:v>
      </x:c>
      <x:c r="I16" s="34" t="n">
        <x:v>0</x:v>
      </x:c>
      <x:c r="J16" s="34" t="n">
        <x:v>0</x:v>
      </x:c>
      <x:c r="K16" s="34" t="n">
        <x:v>0</x:v>
      </x:c>
      <x:c r="L16" s="34" t="n">
        <x:v>0</x:v>
      </x:c>
      <x:c r="M16" s="34" t="n">
        <x:v>0</x:v>
      </x:c>
      <x:c r="N16" s="34" t="n">
        <x:v>0</x:v>
      </x:c>
      <x:c r="O16" s="34" t="n">
        <x:v>0</x:v>
      </x:c>
    </x:row>
    <x:row r="17" ht="32" customHeight="1">
      <x:c r="C17" s="7" t="str">
        <x:v>Closing payable days of purchases</x:v>
      </x:c>
      <x:c r="D17" s="36" t="n">
        <x:v>45</x:v>
      </x:c>
      <x:c r="E17" s="36" t="n">
        <x:v>45</x:v>
      </x:c>
      <x:c r="F17" s="36" t="n">
        <x:v>45</x:v>
      </x:c>
      <x:c r="G17" s="36" t="n">
        <x:v>45</x:v>
      </x:c>
      <x:c r="H17" s="36" t="n">
        <x:v>45</x:v>
      </x:c>
      <x:c r="I17" s="36" t="n">
        <x:v>45</x:v>
      </x:c>
      <x:c r="J17" s="36" t="n">
        <x:v>45</x:v>
      </x:c>
      <x:c r="K17" s="36" t="n">
        <x:v>45</x:v>
      </x:c>
      <x:c r="L17" s="36" t="n">
        <x:v>45</x:v>
      </x:c>
      <x:c r="M17" s="36" t="n">
        <x:v>45</x:v>
      </x:c>
      <x:c r="N17" s="36" t="n">
        <x:v>45</x:v>
      </x:c>
      <x:c r="O17" s="36" t="n">
        <x:v>45</x:v>
      </x:c>
    </x:row>
    <x:row r="18" ht="32" customHeight="1">
      <x:c r="C18" s="7" t="str">
        <x:v>Closing receivable days</x:v>
      </x:c>
      <x:c r="D18" s="36" t="n">
        <x:v>30</x:v>
      </x:c>
      <x:c r="E18" s="36" t="n">
        <x:v>30</x:v>
      </x:c>
      <x:c r="F18" s="36" t="n">
        <x:v>30</x:v>
      </x:c>
      <x:c r="G18" s="36" t="n">
        <x:v>30</x:v>
      </x:c>
      <x:c r="H18" s="36" t="n">
        <x:v>30</x:v>
      </x:c>
      <x:c r="I18" s="36" t="n">
        <x:v>30</x:v>
      </x:c>
      <x:c r="J18" s="36" t="n">
        <x:v>30</x:v>
      </x:c>
      <x:c r="K18" s="36" t="n">
        <x:v>30</x:v>
      </x:c>
      <x:c r="L18" s="36" t="n">
        <x:v>30</x:v>
      </x:c>
      <x:c r="M18" s="36" t="n">
        <x:v>30</x:v>
      </x:c>
      <x:c r="N18" s="36" t="n">
        <x:v>30</x:v>
      </x:c>
      <x:c r="O18" s="36" t="n">
        <x:v>30</x:v>
      </x:c>
    </x:row>
    <x:row r="19" ht="32" customHeight="1">
      <x:c r="C19" s="7" t="str">
        <x:v>Confirmed total outstanding debt ceiling</x:v>
      </x:c>
      <x:c r="D19" s="34" t="n">
        <x:v>150000</x:v>
      </x:c>
      <x:c r="E19" s="34" t="n">
        <x:v>150000</x:v>
      </x:c>
      <x:c r="F19" s="34" t="n">
        <x:v>150000</x:v>
      </x:c>
      <x:c r="G19" s="34" t="n">
        <x:v>150000</x:v>
      </x:c>
      <x:c r="H19" s="34" t="n">
        <x:v>150000</x:v>
      </x:c>
      <x:c r="I19" s="34" t="n">
        <x:v>150000</x:v>
      </x:c>
      <x:c r="J19" s="34" t="n">
        <x:v>150000</x:v>
      </x:c>
      <x:c r="K19" s="34" t="n">
        <x:v>150000</x:v>
      </x:c>
      <x:c r="L19" s="34" t="n">
        <x:v>150000</x:v>
      </x:c>
      <x:c r="M19" s="34" t="n">
        <x:v>150000</x:v>
      </x:c>
      <x:c r="N19" s="34" t="n">
        <x:v>150000</x:v>
      </x:c>
      <x:c r="O19" s="34" t="n">
        <x:v>150000</x:v>
      </x:c>
    </x:row>
    <x:row r="20" ht="32" customHeight="1">
      <x:c r="C20" s="7" t="str">
        <x:v>Cash gross margin before depreciation</x:v>
      </x:c>
      <x:c r="D20" s="30" t="n">
        <x:v>0.4</x:v>
      </x:c>
      <x:c r="E20" s="30" t="n">
        <x:v>0.4</x:v>
      </x:c>
      <x:c r="F20" s="30" t="n">
        <x:v>0.4</x:v>
      </x:c>
      <x:c r="G20" s="30" t="n">
        <x:v>0.4</x:v>
      </x:c>
      <x:c r="H20" s="30" t="n">
        <x:v>0.4</x:v>
      </x:c>
      <x:c r="I20" s="30" t="n">
        <x:v>0.4</x:v>
      </x:c>
      <x:c r="J20" s="30" t="n">
        <x:v>0.4</x:v>
      </x:c>
      <x:c r="K20" s="30" t="n">
        <x:v>0.4</x:v>
      </x:c>
      <x:c r="L20" s="30" t="n">
        <x:v>0.4</x:v>
      </x:c>
      <x:c r="M20" s="30" t="n">
        <x:v>0.4</x:v>
      </x:c>
      <x:c r="N20" s="30" t="n">
        <x:v>0.4</x:v>
      </x:c>
      <x:c r="O20" s="30" t="n">
        <x:v>0.4</x:v>
      </x:c>
    </x:row>
    <x:row r="21" ht="32" customHeight="1">
      <x:c r="C21" s="7" t="str">
        <x:v>Annual interest / opening debt</x:v>
      </x:c>
      <x:c r="D21" s="30" t="n">
        <x:v>0.06</x:v>
      </x:c>
      <x:c r="E21" s="30" t="n">
        <x:v>0.06</x:v>
      </x:c>
      <x:c r="F21" s="30" t="n">
        <x:v>0.06</x:v>
      </x:c>
      <x:c r="G21" s="30" t="n">
        <x:v>0.06</x:v>
      </x:c>
      <x:c r="H21" s="30" t="n">
        <x:v>0.06</x:v>
      </x:c>
      <x:c r="I21" s="30" t="n">
        <x:v>0.06</x:v>
      </x:c>
      <x:c r="J21" s="30" t="n">
        <x:v>0.06</x:v>
      </x:c>
      <x:c r="K21" s="30" t="n">
        <x:v>0.06</x:v>
      </x:c>
      <x:c r="L21" s="30" t="n">
        <x:v>0.06</x:v>
      </x:c>
      <x:c r="M21" s="30" t="n">
        <x:v>0.06</x:v>
      </x:c>
      <x:c r="N21" s="30" t="n">
        <x:v>0.06</x:v>
      </x:c>
      <x:c r="O21" s="30" t="n">
        <x:v>0.06</x:v>
      </x:c>
    </x:row>
    <x:row r="22" ht="32" customHeight="1">
      <x:c r="C22" s="7" t="str">
        <x:v>Minimum cash threshold</x:v>
      </x:c>
      <x:c r="D22" s="34" t="n">
        <x:v>10000</x:v>
      </x:c>
      <x:c r="E22" s="34" t="n">
        <x:v>10000</x:v>
      </x:c>
      <x:c r="F22" s="34" t="n">
        <x:v>10000</x:v>
      </x:c>
      <x:c r="G22" s="34" t="n">
        <x:v>10000</x:v>
      </x:c>
      <x:c r="H22" s="34" t="n">
        <x:v>10000</x:v>
      </x:c>
      <x:c r="I22" s="34" t="n">
        <x:v>10000</x:v>
      </x:c>
      <x:c r="J22" s="34" t="n">
        <x:v>10000</x:v>
      </x:c>
      <x:c r="K22" s="34" t="n">
        <x:v>10000</x:v>
      </x:c>
      <x:c r="L22" s="34" t="n">
        <x:v>10000</x:v>
      </x:c>
      <x:c r="M22" s="34" t="n">
        <x:v>10000</x:v>
      </x:c>
      <x:c r="N22" s="34" t="n">
        <x:v>10000</x:v>
      </x:c>
      <x:c r="O22" s="34" t="n">
        <x:v>10000</x:v>
      </x:c>
    </x:row>
    <x:row r="23" ht="32" customHeight="1">
      <x:c r="C23" s="7" t="str">
        <x:v>Cash research expense / revenue</x:v>
      </x:c>
      <x:c r="D23" s="30" t="n">
        <x:v>0</x:v>
      </x:c>
      <x:c r="E23" s="30" t="n">
        <x:v>0</x:v>
      </x:c>
      <x:c r="F23" s="30" t="n">
        <x:v>0</x:v>
      </x:c>
      <x:c r="G23" s="30" t="n">
        <x:v>0</x:v>
      </x:c>
      <x:c r="H23" s="30" t="n">
        <x:v>0</x:v>
      </x:c>
      <x:c r="I23" s="30" t="n">
        <x:v>0</x:v>
      </x:c>
      <x:c r="J23" s="30" t="n">
        <x:v>0</x:v>
      </x:c>
      <x:c r="K23" s="30" t="n">
        <x:v>0</x:v>
      </x:c>
      <x:c r="L23" s="30" t="n">
        <x:v>0</x:v>
      </x:c>
      <x:c r="M23" s="30" t="n">
        <x:v>0</x:v>
      </x:c>
      <x:c r="N23" s="30" t="n">
        <x:v>0</x:v>
      </x:c>
      <x:c r="O23" s="30" t="n">
        <x:v>0</x:v>
      </x:c>
    </x:row>
    <x:row r="24" ht="32" customHeight="1">
      <x:c r="C24" s="7" t="str">
        <x:v>Cash selling expense / revenue</x:v>
      </x:c>
      <x:c r="D24" s="30" t="n">
        <x:v>0.05</x:v>
      </x:c>
      <x:c r="E24" s="30" t="n">
        <x:v>0.05</x:v>
      </x:c>
      <x:c r="F24" s="30" t="n">
        <x:v>0.05</x:v>
      </x:c>
      <x:c r="G24" s="30" t="n">
        <x:v>0.05</x:v>
      </x:c>
      <x:c r="H24" s="30" t="n">
        <x:v>0.05</x:v>
      </x:c>
      <x:c r="I24" s="30" t="n">
        <x:v>0.05</x:v>
      </x:c>
      <x:c r="J24" s="30" t="n">
        <x:v>0.05</x:v>
      </x:c>
      <x:c r="K24" s="30" t="n">
        <x:v>0.05</x:v>
      </x:c>
      <x:c r="L24" s="30" t="n">
        <x:v>0.05</x:v>
      </x:c>
      <x:c r="M24" s="30" t="n">
        <x:v>0.05</x:v>
      </x:c>
      <x:c r="N24" s="30" t="n">
        <x:v>0.05</x:v>
      </x:c>
      <x:c r="O24" s="30" t="n">
        <x:v>0.05</x:v>
      </x:c>
    </x:row>
    <x:row r="25" ht="32" customHeight="1">
      <x:c r="C25" s="7" t="str">
        <x:v>Tax rate on positive pretax profit</x:v>
      </x:c>
      <x:c r="D25" s="30" t="n">
        <x:v>0.25</x:v>
      </x:c>
      <x:c r="E25" s="30" t="n">
        <x:v>0.25</x:v>
      </x:c>
      <x:c r="F25" s="30" t="n">
        <x:v>0.25</x:v>
      </x:c>
      <x:c r="G25" s="30" t="n">
        <x:v>0.25</x:v>
      </x:c>
      <x:c r="H25" s="30" t="n">
        <x:v>0.25</x:v>
      </x:c>
      <x:c r="I25" s="30" t="n">
        <x:v>0.25</x:v>
      </x:c>
      <x:c r="J25" s="30" t="n">
        <x:v>0.25</x:v>
      </x:c>
      <x:c r="K25" s="30" t="n">
        <x:v>0.25</x:v>
      </x:c>
      <x:c r="L25" s="30" t="n">
        <x:v>0.25</x:v>
      </x:c>
      <x:c r="M25" s="30" t="n">
        <x:v>0.25</x:v>
      </x:c>
      <x:c r="N25" s="30" t="n">
        <x:v>0.25</x:v>
      </x:c>
      <x:c r="O25" s="30" t="n">
        <x:v>0.25</x:v>
      </x:c>
    </x:row>
    <x:row r="26" ht="32" customHeight="1">
      <x:c r="C26" s="7" t="str">
        <x:v>Product quantity (adopted input basis)</x:v>
      </x:c>
      <x:c r="D26" s="36" t="n">
        <x:v>100</x:v>
      </x:c>
      <x:c r="E26" s="36" t="n">
        <x:v>100</x:v>
      </x:c>
      <x:c r="F26" s="36" t="n">
        <x:v>100</x:v>
      </x:c>
      <x:c r="G26" s="36" t="n">
        <x:v>100</x:v>
      </x:c>
      <x:c r="H26" s="36" t="n">
        <x:v>100</x:v>
      </x:c>
      <x:c r="I26" s="36" t="n">
        <x:v>100</x:v>
      </x:c>
      <x:c r="J26" s="36" t="n">
        <x:v>100</x:v>
      </x:c>
      <x:c r="K26" s="36" t="n">
        <x:v>100</x:v>
      </x:c>
      <x:c r="L26" s="36" t="n">
        <x:v>100</x:v>
      </x:c>
      <x:c r="M26" s="36" t="n">
        <x:v>100</x:v>
      </x:c>
      <x:c r="N26" s="36" t="n">
        <x:v>100</x:v>
      </x:c>
      <x:c r="O26" s="36" t="n">
        <x:v>100</x:v>
      </x:c>
    </x:row>
    <x:row r="27" ht="32" customHeight="1">
      <x:c r="C27" s="7" t="str">
        <x:v>Product volume growth (confirmed time basis)</x:v>
      </x:c>
      <x:c r="D27" s="30" t="n">
        <x:v>0.01</x:v>
      </x:c>
      <x:c r="E27" s="30" t="n">
        <x:v>0.01</x:v>
      </x:c>
      <x:c r="F27" s="30" t="n">
        <x:v>0.01</x:v>
      </x:c>
      <x:c r="G27" s="30" t="n">
        <x:v>0.01</x:v>
      </x:c>
      <x:c r="H27" s="30" t="n">
        <x:v>0.01</x:v>
      </x:c>
      <x:c r="I27" s="30" t="n">
        <x:v>0.01</x:v>
      </x:c>
      <x:c r="J27" s="30" t="n">
        <x:v>0.01</x:v>
      </x:c>
      <x:c r="K27" s="30" t="n">
        <x:v>0.01</x:v>
      </x:c>
      <x:c r="L27" s="30" t="n">
        <x:v>0.01</x:v>
      </x:c>
      <x:c r="M27" s="30" t="n">
        <x:v>0.01</x:v>
      </x:c>
      <x:c r="N27" s="30" t="n">
        <x:v>0.01</x:v>
      </x:c>
      <x:c r="O27" s="30" t="n">
        <x:v>0.01</x:v>
      </x:c>
    </x:row>
    <x:row r="28" ht="22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2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1" customHeight="1">
      <x:c r="C2" s="4" t="str">
        <x:v>Revenue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2" customHeight="1">
      <x:c r="C7" s="15" t="str">
        <x:v>Forecast month</x:v>
      </x:c>
      <x:c r="D7" s="16" t="n">
        <x:v>46113</x:v>
      </x:c>
      <x:c r="E7" s="16" t="n">
        <x:v>46143</x:v>
      </x:c>
      <x:c r="F7" s="16" t="n">
        <x:v>46174</x:v>
      </x:c>
      <x:c r="G7" s="16" t="n">
        <x:v>46204</x:v>
      </x:c>
      <x:c r="H7" s="16" t="n">
        <x:v>46235</x:v>
      </x:c>
      <x:c r="I7" s="16" t="n">
        <x:v>46266</x:v>
      </x:c>
      <x:c r="J7" s="16" t="n">
        <x:v>46296</x:v>
      </x:c>
      <x:c r="K7" s="16" t="n">
        <x:v>46327</x:v>
      </x:c>
      <x:c r="L7" s="16" t="n">
        <x:v>46357</x:v>
      </x:c>
      <x:c r="M7" s="16" t="n">
        <x:v>46388</x:v>
      </x:c>
      <x:c r="N7" s="16" t="n">
        <x:v>46419</x:v>
      </x:c>
      <x:c r="O7" s="16" t="n">
        <x:v>46447</x:v>
      </x:c>
    </x:row>
    <x:row r="8" ht="32" customHeight="1">
      <x:c r="C8" s="7" t="str">
        <x:v>Days in month</x:v>
      </x:c>
      <x:c r="D8" s="37" t="n">
        <x:f>30</x:f>
        <x:v>30</x:v>
      </x:c>
      <x:c r="E8" s="37" t="n">
        <x:f>31</x:f>
        <x:v>31</x:v>
      </x:c>
      <x:c r="F8" s="37" t="n">
        <x:f>30</x:f>
        <x:v>30</x:v>
      </x:c>
      <x:c r="G8" s="37" t="n">
        <x:f>31</x:f>
        <x:v>31</x:v>
      </x:c>
      <x:c r="H8" s="37" t="n">
        <x:f>31</x:f>
        <x:v>31</x:v>
      </x:c>
      <x:c r="I8" s="37" t="n">
        <x:f>30</x:f>
        <x:v>30</x:v>
      </x:c>
      <x:c r="J8" s="37" t="n">
        <x:f>31</x:f>
        <x:v>31</x:v>
      </x:c>
      <x:c r="K8" s="37" t="n">
        <x:f>30</x:f>
        <x:v>30</x:v>
      </x:c>
      <x:c r="L8" s="37" t="n">
        <x:f>31</x:f>
        <x:v>31</x:v>
      </x:c>
      <x:c r="M8" s="37" t="n">
        <x:f>31</x:f>
        <x:v>31</x:v>
      </x:c>
      <x:c r="N8" s="37" t="n">
        <x:f>28</x:f>
        <x:v>28</x:v>
      </x:c>
      <x:c r="O8" s="37" t="n">
        <x:f>31</x:f>
        <x:v>31</x:v>
      </x:c>
    </x:row>
    <x:row r="9" ht="32" customHeight="1">
      <x:c r="C9" s="7" t="str">
        <x:v>Product units</x:v>
      </x:c>
      <x:c r="D9" s="38" t="n">
        <x:f>('Assumptions'!D26*(SUM(1,'Assumptions'!D27)^1))</x:f>
        <x:v>101</x:v>
      </x:c>
      <x:c r="E9" s="38" t="n">
        <x:f>('Assumptions'!E26*(SUM(1,'Assumptions'!D27)^1)*(SUM(1,'Assumptions'!E27)^1))</x:f>
        <x:v>102.01</x:v>
      </x:c>
      <x:c r="F9" s="38" t="n">
        <x:f>('Assumptions'!F26*(SUM(1,'Assumptions'!D27)^1)*(SUM(1,'Assumptions'!E27)^1)*(SUM(1,'Assumptions'!F27)^1))</x:f>
        <x:v>103.0301</x:v>
      </x:c>
      <x:c r="G9" s="38" t="n">
        <x:f>('Assumptions'!G26*(SUM(1,'Assumptions'!D27)^1)*(SUM(1,'Assumptions'!E27)^1)*(SUM(1,'Assumptions'!F27)^1)*(SUM(1,'Assumptions'!G27)^1))</x:f>
        <x:v>104.060401</x:v>
      </x:c>
      <x:c r="H9" s="38" t="n">
        <x:f>('Assumptions'!H26*(SUM(1,'Assumptions'!D27)^1)*(SUM(1,'Assumptions'!E27)^1)*(SUM(1,'Assumptions'!F27)^1)*(SUM(1,'Assumptions'!G27)^1)*(SUM(1,'Assumptions'!H27)^1))</x:f>
        <x:v>105.10100501</x:v>
      </x:c>
      <x:c r="I9" s="38" t="n">
        <x:f>('Assumptions'!I26*(SUM(1,'Assumptions'!D27)^1)*(SUM(1,'Assumptions'!E27)^1)*(SUM(1,'Assumptions'!F27)^1)*(SUM(1,'Assumptions'!G27)^1)*(SUM(1,'Assumptions'!H27)^1)*(SUM(1,'Assumptions'!I27)^1))</x:f>
        <x:v>106.1520150601</x:v>
      </x:c>
      <x:c r="J9" s="38" t="n">
        <x:f>('Assumptions'!J26*(SUM(1,'Assumptions'!D27)^1)*(SUM(1,'Assumptions'!E27)^1)*(SUM(1,'Assumptions'!F27)^1)*(SUM(1,'Assumptions'!G27)^1)*(SUM(1,'Assumptions'!H27)^1)*(SUM(1,'Assumptions'!I27)^1)*(SUM(1,'Assumptions'!J27)^1))</x:f>
        <x:v>107.213535210701</x:v>
      </x:c>
      <x:c r="K9" s="38" t="n">
        <x:f>('Assumptions'!K26*(SUM(1,'Assumptions'!D27)^1)*(SUM(1,'Assumptions'!E27)^1)*(SUM(1,'Assumptions'!F27)^1)*(SUM(1,'Assumptions'!G27)^1)*(SUM(1,'Assumptions'!H27)^1)*(SUM(1,'Assumptions'!I27)^1)*(SUM(1,'Assumptions'!J27)^1)*(SUM(1,'Assumptions'!K27)^1))</x:f>
        <x:v>108.28567056280801</x:v>
      </x:c>
      <x:c r="L9" s="38" t="n">
        <x:f>('Assumptions'!L26*(SUM(1,'Assumptions'!D27)^1)*(SUM(1,'Assumptions'!E27)^1)*(SUM(1,'Assumptions'!F27)^1)*(SUM(1,'Assumptions'!G27)^1)*(SUM(1,'Assumptions'!H27)^1)*(SUM(1,'Assumptions'!I27)^1)*(SUM(1,'Assumptions'!J27)^1)*(SUM(1,'Assumptions'!K27)^1)*(SUM(1,'Assumptions'!L27)^1))</x:f>
        <x:v>109.36852726843608</x:v>
      </x:c>
      <x:c r="M9" s="38" t="n">
        <x:f>('Assumptions'!M26*(SUM(1,'Assumptions'!D27)^1)*(SUM(1,'Assumptions'!E27)^1)*(SUM(1,'Assumptions'!F27)^1)*(SUM(1,'Assumptions'!G27)^1)*(SUM(1,'Assumptions'!H27)^1)*(SUM(1,'Assumptions'!I27)^1)*(SUM(1,'Assumptions'!J27)^1)*(SUM(1,'Assumptions'!K27)^1)*(SUM(1,'Assumptions'!L27)^1)*(SUM(1,'Assumptions'!M27)^1))</x:f>
        <x:v>110.46221254112045</x:v>
      </x:c>
      <x:c r="N9" s="38" t="n">
        <x:f>('Assumptions'!N26*(SUM(1,'Assumptions'!D27)^1)*(SUM(1,'Assumptions'!E27)^1)*(SUM(1,'Assumptions'!F27)^1)*(SUM(1,'Assumptions'!G27)^1)*(SUM(1,'Assumptions'!H27)^1)*(SUM(1,'Assumptions'!I27)^1)*(SUM(1,'Assumptions'!J27)^1)*(SUM(1,'Assumptions'!K27)^1)*(SUM(1,'Assumptions'!L27)^1)*(SUM(1,'Assumptions'!M27)^1)*(SUM(1,'Assumptions'!N27)^1))</x:f>
        <x:v>111.56683466653166</x:v>
      </x:c>
      <x:c r="O9" s="38" t="n">
        <x:f>('Assumptions'!O26*(SUM(1,'Assumptions'!D27)^1)*(SUM(1,'Assumptions'!E27)^1)*(SUM(1,'Assumptions'!F27)^1)*(SUM(1,'Assumptions'!G27)^1)*(SUM(1,'Assumptions'!H27)^1)*(SUM(1,'Assumptions'!I27)^1)*(SUM(1,'Assumptions'!J27)^1)*(SUM(1,'Assumptions'!K27)^1)*(SUM(1,'Assumptions'!L27)^1)*(SUM(1,'Assumptions'!M27)^1)*(SUM(1,'Assumptions'!N27)^1)*(SUM(1,'Assumptions'!O27)^1))</x:f>
        <x:v>112.68250301319698</x:v>
      </x:c>
    </x:row>
    <x:row r="10" ht="32" customHeight="1">
      <x:c r="C10" s="7" t="str">
        <x:v>Revenue per product unit</x:v>
      </x:c>
      <x:c r="D10" s="39" t="n">
        <x:f>('Assumptions'!D9*(SUM(1,'Assumptions'!D10)^1))</x:f>
        <x:v>5000</x:v>
      </x:c>
      <x:c r="E10" s="39" t="n">
        <x:f>('Assumptions'!E9*(SUM(1,'Assumptions'!D10)^1)*(SUM(1,'Assumptions'!E10)^1))</x:f>
        <x:v>5000</x:v>
      </x:c>
      <x:c r="F10" s="39" t="n">
        <x:f>('Assumptions'!F9*(SUM(1,'Assumptions'!D10)^1)*(SUM(1,'Assumptions'!E10)^1)*(SUM(1,'Assumptions'!F10)^1))</x:f>
        <x:v>5000</x:v>
      </x:c>
      <x:c r="G10" s="39" t="n">
        <x:f>('Assumptions'!G9*(SUM(1,'Assumptions'!D10)^1)*(SUM(1,'Assumptions'!E10)^1)*(SUM(1,'Assumptions'!F10)^1)*(SUM(1,'Assumptions'!G10)^1))</x:f>
        <x:v>5000</x:v>
      </x:c>
      <x:c r="H10" s="39" t="n">
        <x:f>('Assumptions'!H9*(SUM(1,'Assumptions'!D10)^1)*(SUM(1,'Assumptions'!E10)^1)*(SUM(1,'Assumptions'!F10)^1)*(SUM(1,'Assumptions'!G10)^1)*(SUM(1,'Assumptions'!H10)^1))</x:f>
        <x:v>5000</x:v>
      </x:c>
      <x:c r="I10" s="39" t="n">
        <x:f>('Assumptions'!I9*(SUM(1,'Assumptions'!D10)^1)*(SUM(1,'Assumptions'!E10)^1)*(SUM(1,'Assumptions'!F10)^1)*(SUM(1,'Assumptions'!G10)^1)*(SUM(1,'Assumptions'!H10)^1)*(SUM(1,'Assumptions'!I10)^1))</x:f>
        <x:v>5000</x:v>
      </x:c>
      <x:c r="J10" s="39" t="n">
        <x:f>('Assumptions'!J9*(SUM(1,'Assumptions'!D10)^1)*(SUM(1,'Assumptions'!E10)^1)*(SUM(1,'Assumptions'!F10)^1)*(SUM(1,'Assumptions'!G10)^1)*(SUM(1,'Assumptions'!H10)^1)*(SUM(1,'Assumptions'!I10)^1)*(SUM(1,'Assumptions'!J10)^1))</x:f>
        <x:v>5000</x:v>
      </x:c>
      <x:c r="K10" s="39" t="n">
        <x:f>('Assumptions'!K9*(SUM(1,'Assumptions'!D10)^1)*(SUM(1,'Assumptions'!E10)^1)*(SUM(1,'Assumptions'!F10)^1)*(SUM(1,'Assumptions'!G10)^1)*(SUM(1,'Assumptions'!H10)^1)*(SUM(1,'Assumptions'!I10)^1)*(SUM(1,'Assumptions'!J10)^1)*(SUM(1,'Assumptions'!K10)^1))</x:f>
        <x:v>5000</x:v>
      </x:c>
      <x:c r="L10" s="39" t="n">
        <x:f>('Assumptions'!L9*(SUM(1,'Assumptions'!D10)^1)*(SUM(1,'Assumptions'!E10)^1)*(SUM(1,'Assumptions'!F10)^1)*(SUM(1,'Assumptions'!G10)^1)*(SUM(1,'Assumptions'!H10)^1)*(SUM(1,'Assumptions'!I10)^1)*(SUM(1,'Assumptions'!J10)^1)*(SUM(1,'Assumptions'!K10)^1)*(SUM(1,'Assumptions'!L10)^1))</x:f>
        <x:v>5000</x:v>
      </x:c>
      <x:c r="M10" s="39" t="n">
        <x:f>('Assumptions'!M9*(SUM(1,'Assumptions'!D10)^1)*(SUM(1,'Assumptions'!E10)^1)*(SUM(1,'Assumptions'!F10)^1)*(SUM(1,'Assumptions'!G10)^1)*(SUM(1,'Assumptions'!H10)^1)*(SUM(1,'Assumptions'!I10)^1)*(SUM(1,'Assumptions'!J10)^1)*(SUM(1,'Assumptions'!K10)^1)*(SUM(1,'Assumptions'!L10)^1)*(SUM(1,'Assumptions'!M10)^1))</x:f>
        <x:v>5000</x:v>
      </x:c>
      <x:c r="N10" s="39" t="n">
        <x:f>('Assumptions'!N9*(SUM(1,'Assumptions'!D10)^1)*(SUM(1,'Assumptions'!E10)^1)*(SUM(1,'Assumptions'!F10)^1)*(SUM(1,'Assumptions'!G10)^1)*(SUM(1,'Assumptions'!H10)^1)*(SUM(1,'Assumptions'!I10)^1)*(SUM(1,'Assumptions'!J10)^1)*(SUM(1,'Assumptions'!K10)^1)*(SUM(1,'Assumptions'!L10)^1)*(SUM(1,'Assumptions'!M10)^1)*(SUM(1,'Assumptions'!N10)^1))</x:f>
        <x:v>5000</x:v>
      </x:c>
      <x:c r="O10" s="39" t="n">
        <x:f>('Assumptions'!O9*(SUM(1,'Assumptions'!D10)^1)*(SUM(1,'Assumptions'!E10)^1)*(SUM(1,'Assumptions'!F10)^1)*(SUM(1,'Assumptions'!G10)^1)*(SUM(1,'Assumptions'!H10)^1)*(SUM(1,'Assumptions'!I10)^1)*(SUM(1,'Assumptions'!J10)^1)*(SUM(1,'Assumptions'!K10)^1)*(SUM(1,'Assumptions'!L10)^1)*(SUM(1,'Assumptions'!M10)^1)*(SUM(1,'Assumptions'!N10)^1)*(SUM(1,'Assumptions'!O10)^1))</x:f>
        <x:v>5000</x:v>
      </x:c>
    </x:row>
    <x:row r="11" ht="32" customHeight="1">
      <x:c r="C11" s="11" t="str">
        <x:v>Revenue</x:v>
      </x:c>
      <x:c r="D11" s="26" t="n">
        <x:f>('Revenue'!D9*'Revenue'!D10)</x:f>
        <x:v>505000</x:v>
      </x:c>
      <x:c r="E11" s="26" t="n">
        <x:f>('Revenue'!E9*'Revenue'!E10)</x:f>
        <x:v>510050</x:v>
      </x:c>
      <x:c r="F11" s="26" t="n">
        <x:f>('Revenue'!F9*'Revenue'!F10)</x:f>
        <x:v>515150.5</x:v>
      </x:c>
      <x:c r="G11" s="26" t="n">
        <x:f>('Revenue'!G9*'Revenue'!G10)</x:f>
        <x:v>520302.005</x:v>
      </x:c>
      <x:c r="H11" s="26" t="n">
        <x:f>('Revenue'!H9*'Revenue'!H10)</x:f>
        <x:v>525505.0250499999</x:v>
      </x:c>
      <x:c r="I11" s="26" t="n">
        <x:f>('Revenue'!I9*'Revenue'!I10)</x:f>
        <x:v>530760.0753005</x:v>
      </x:c>
      <x:c r="J11" s="26" t="n">
        <x:f>('Revenue'!J9*'Revenue'!J10)</x:f>
        <x:v>536067.6760535049</x:v>
      </x:c>
      <x:c r="K11" s="26" t="n">
        <x:f>('Revenue'!K9*'Revenue'!K10)</x:f>
        <x:v>541428.35281404</x:v>
      </x:c>
      <x:c r="L11" s="26" t="n">
        <x:f>('Revenue'!L9*'Revenue'!L10)</x:f>
        <x:v>546842.6363421804</x:v>
      </x:c>
      <x:c r="M11" s="26" t="n">
        <x:f>('Revenue'!M9*'Revenue'!M10)</x:f>
        <x:v>552311.0627056023</x:v>
      </x:c>
      <x:c r="N11" s="26" t="n">
        <x:f>('Revenue'!N9*'Revenue'!N10)</x:f>
        <x:v>557834.1733326584</x:v>
      </x:c>
      <x:c r="O11" s="26" t="n">
        <x:f>('Revenue'!O9*'Revenue'!O10)</x:f>
        <x:v>563412.5150659849</x:v>
      </x:c>
    </x:row>
    <x:row r="12" ht="32" customHeight="1">
      <x:c r="C12" s="7" t="str">
        <x:v>Cash cost of sales before depreciation</x:v>
      </x:c>
      <x:c r="D12" s="27" t="n">
        <x:f>('Revenue'!D11*(1-'Assumptions'!D20))</x:f>
        <x:v>303000</x:v>
      </x:c>
      <x:c r="E12" s="27" t="n">
        <x:f>('Revenue'!E11*(1-'Assumptions'!E20))</x:f>
        <x:v>306030</x:v>
      </x:c>
      <x:c r="F12" s="27" t="n">
        <x:f>('Revenue'!F11*(1-'Assumptions'!F20))</x:f>
        <x:v>309090.3</x:v>
      </x:c>
      <x:c r="G12" s="27" t="n">
        <x:f>('Revenue'!G11*(1-'Assumptions'!G20))</x:f>
        <x:v>312181.203</x:v>
      </x:c>
      <x:c r="H12" s="27" t="n">
        <x:f>('Revenue'!H11*(1-'Assumptions'!H20))</x:f>
        <x:v>315303.01502999995</x:v>
      </x:c>
      <x:c r="I12" s="27" t="n">
        <x:f>('Revenue'!I11*(1-'Assumptions'!I20))</x:f>
        <x:v>318456.0451803</x:v>
      </x:c>
      <x:c r="J12" s="27" t="n">
        <x:f>('Revenue'!J11*(1-'Assumptions'!J20))</x:f>
        <x:v>321640.60563210293</x:v>
      </x:c>
      <x:c r="K12" s="27" t="n">
        <x:f>('Revenue'!K11*(1-'Assumptions'!K20))</x:f>
        <x:v>324857.011688424</x:v>
      </x:c>
      <x:c r="L12" s="27" t="n">
        <x:f>('Revenue'!L11*(1-'Assumptions'!L20))</x:f>
        <x:v>328105.58180530823</x:v>
      </x:c>
      <x:c r="M12" s="27" t="n">
        <x:f>('Revenue'!M11*(1-'Assumptions'!M20))</x:f>
        <x:v>331386.63762336137</x:v>
      </x:c>
      <x:c r="N12" s="27" t="n">
        <x:f>('Revenue'!N11*(1-'Assumptions'!N20))</x:f>
        <x:v>334700.503999595</x:v>
      </x:c>
      <x:c r="O12" s="27" t="n">
        <x:f>('Revenue'!O11*(1-'Assumptions'!O20))</x:f>
        <x:v>338047.50903959095</x:v>
      </x:c>
    </x:row>
    <x:row r="13" ht="32" customHeight="1">
      <x:c r="C13" s="11" t="str">
        <x:v>Gross profit before depreciation</x:v>
      </x:c>
      <x:c r="D13" s="26" t="n">
        <x:f>('Revenue'!D11-'Revenue'!D12)</x:f>
        <x:v>202000</x:v>
      </x:c>
      <x:c r="E13" s="26" t="n">
        <x:f>('Revenue'!E11-'Revenue'!E12)</x:f>
        <x:v>204020</x:v>
      </x:c>
      <x:c r="F13" s="26" t="n">
        <x:f>('Revenue'!F11-'Revenue'!F12)</x:f>
        <x:v>206060.2</x:v>
      </x:c>
      <x:c r="G13" s="26" t="n">
        <x:f>('Revenue'!G11-'Revenue'!G12)</x:f>
        <x:v>208120.80200000003</x:v>
      </x:c>
      <x:c r="H13" s="26" t="n">
        <x:f>('Revenue'!H11-'Revenue'!H12)</x:f>
        <x:v>210202.01002</x:v>
      </x:c>
      <x:c r="I13" s="26" t="n">
        <x:f>('Revenue'!I11-'Revenue'!I12)</x:f>
        <x:v>212304.0301202</x:v>
      </x:c>
      <x:c r="J13" s="26" t="n">
        <x:f>('Revenue'!J11-'Revenue'!J12)</x:f>
        <x:v>214427.070421402</x:v>
      </x:c>
      <x:c r="K13" s="26" t="n">
        <x:f>('Revenue'!K11-'Revenue'!K12)</x:f>
        <x:v>216571.34112561605</x:v>
      </x:c>
      <x:c r="L13" s="26" t="n">
        <x:f>('Revenue'!L11-'Revenue'!L12)</x:f>
        <x:v>218737.0545368722</x:v>
      </x:c>
      <x:c r="M13" s="26" t="n">
        <x:f>('Revenue'!M11-'Revenue'!M12)</x:f>
        <x:v>220924.4250822409</x:v>
      </x:c>
      <x:c r="N13" s="26" t="n">
        <x:f>('Revenue'!N11-'Revenue'!N12)</x:f>
        <x:v>223133.66933306336</x:v>
      </x:c>
      <x:c r="O13" s="26" t="n">
        <x:f>('Revenue'!O11-'Revenue'!O12)</x:f>
        <x:v>225365.00602639397</x:v>
      </x:c>
    </x:row>
    <x:row r="14" ht="22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2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2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2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2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2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1" customHeight="1">
      <x:c r="C2" s="4" t="str">
        <x:v>Working Capital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2" customHeight="1">
      <x:c r="C7" s="15" t="str">
        <x:v>Forecast month</x:v>
      </x:c>
      <x:c r="D7" s="16" t="n">
        <x:v>46113</x:v>
      </x:c>
      <x:c r="E7" s="16" t="n">
        <x:v>46143</x:v>
      </x:c>
      <x:c r="F7" s="16" t="n">
        <x:v>46174</x:v>
      </x:c>
      <x:c r="G7" s="16" t="n">
        <x:v>46204</x:v>
      </x:c>
      <x:c r="H7" s="16" t="n">
        <x:v>46235</x:v>
      </x:c>
      <x:c r="I7" s="16" t="n">
        <x:v>46266</x:v>
      </x:c>
      <x:c r="J7" s="16" t="n">
        <x:v>46296</x:v>
      </x:c>
      <x:c r="K7" s="16" t="n">
        <x:v>46327</x:v>
      </x:c>
      <x:c r="L7" s="16" t="n">
        <x:v>46357</x:v>
      </x:c>
      <x:c r="M7" s="16" t="n">
        <x:v>46388</x:v>
      </x:c>
      <x:c r="N7" s="16" t="n">
        <x:v>46419</x:v>
      </x:c>
      <x:c r="O7" s="16" t="n">
        <x:v>46447</x:v>
      </x:c>
    </x:row>
    <x:row r="8" ht="32" customHeight="1">
      <x:c r="C8" s="7" t="str">
        <x:v>Opening receivables</x:v>
      </x:c>
      <x:c r="D8" s="27" t="n">
        <x:f>'History'!F9</x:f>
        <x:v>100000</x:v>
      </x:c>
      <x:c r="E8" s="27" t="n">
        <x:f>'BS'!D9</x:f>
        <x:v>504999.99999999994</x:v>
      </x:c>
      <x:c r="F8" s="27" t="n">
        <x:f>'BS'!E9</x:f>
        <x:v>493596.7741935484</x:v>
      </x:c>
      <x:c r="G8" s="27" t="n">
        <x:f>'BS'!F9</x:f>
        <x:v>515150.5</x:v>
      </x:c>
      <x:c r="H8" s="27" t="n">
        <x:f>'BS'!G9</x:f>
        <x:v>503518.06935483875</x:v>
      </x:c>
      <x:c r="I8" s="27" t="n">
        <x:f>'BS'!H9</x:f>
        <x:v>508553.2500483871</x:v>
      </x:c>
      <x:c r="J8" s="27" t="n">
        <x:f>'BS'!I9</x:f>
        <x:v>530760.0753005</x:v>
      </x:c>
      <x:c r="K8" s="27" t="n">
        <x:f>'BS'!J9</x:f>
        <x:v>518775.17037435964</x:v>
      </x:c>
      <x:c r="L8" s="27" t="n">
        <x:f>'BS'!K9</x:f>
        <x:v>541428.35281404</x:v>
      </x:c>
      <x:c r="M8" s="27" t="n">
        <x:f>'BS'!L9</x:f>
        <x:v>529202.5512988842</x:v>
      </x:c>
      <x:c r="N8" s="27" t="n">
        <x:f>'BS'!M9</x:f>
        <x:v>534494.5768118732</x:v>
      </x:c>
      <x:c r="O8" s="27" t="n">
        <x:f>'BS'!N9</x:f>
        <x:v>597679.4714278483</x:v>
      </x:c>
    </x:row>
    <x:row r="9" ht="32" customHeight="1">
      <x:c r="C9" s="7" t="str">
        <x:v>Requested closing receivables</x:v>
      </x:c>
      <x:c r="D9" s="27" t="n">
        <x:f>(('Revenue'!D11/'Revenue'!D8)*'Assumptions'!D18)</x:f>
        <x:v>504999.99999999994</x:v>
      </x:c>
      <x:c r="E9" s="27" t="n">
        <x:f>(('Revenue'!E11/'Revenue'!E8)*'Assumptions'!E18)</x:f>
        <x:v>493596.7741935484</x:v>
      </x:c>
      <x:c r="F9" s="27" t="n">
        <x:f>(('Revenue'!F11/'Revenue'!F8)*'Assumptions'!F18)</x:f>
        <x:v>515150.5</x:v>
      </x:c>
      <x:c r="G9" s="27" t="n">
        <x:f>(('Revenue'!G11/'Revenue'!G8)*'Assumptions'!G18)</x:f>
        <x:v>503518.06935483875</x:v>
      </x:c>
      <x:c r="H9" s="27" t="n">
        <x:f>(('Revenue'!H11/'Revenue'!H8)*'Assumptions'!H18)</x:f>
        <x:v>508553.2500483871</x:v>
      </x:c>
      <x:c r="I9" s="27" t="n">
        <x:f>(('Revenue'!I11/'Revenue'!I8)*'Assumptions'!I18)</x:f>
        <x:v>530760.0753005</x:v>
      </x:c>
      <x:c r="J9" s="27" t="n">
        <x:f>(('Revenue'!J11/'Revenue'!J8)*'Assumptions'!J18)</x:f>
        <x:v>518775.17037435964</x:v>
      </x:c>
      <x:c r="K9" s="27" t="n">
        <x:f>(('Revenue'!K11/'Revenue'!K8)*'Assumptions'!K18)</x:f>
        <x:v>541428.35281404</x:v>
      </x:c>
      <x:c r="L9" s="27" t="n">
        <x:f>(('Revenue'!L11/'Revenue'!L8)*'Assumptions'!L18)</x:f>
        <x:v>529202.5512988842</x:v>
      </x:c>
      <x:c r="M9" s="27" t="n">
        <x:f>(('Revenue'!M11/'Revenue'!M8)*'Assumptions'!M18)</x:f>
        <x:v>534494.5768118732</x:v>
      </x:c>
      <x:c r="N9" s="27" t="n">
        <x:f>(('Revenue'!N11/'Revenue'!N8)*'Assumptions'!N18)</x:f>
        <x:v>597679.4714278483</x:v>
      </x:c>
      <x:c r="O9" s="27" t="n">
        <x:f>(('Revenue'!O11/'Revenue'!O8)*'Assumptions'!O18)</x:f>
        <x:v>545237.9178057918</x:v>
      </x:c>
    </x:row>
    <x:row r="10" ht="32" customHeight="1">
      <x:c r="C10" s="7" t="str">
        <x:v>Effective closing receivables</x:v>
      </x:c>
      <x:c r="D10" s="27" t="n">
        <x:f>MIN(SUM('WorkingCapital'!D8,'Revenue'!D11),'WorkingCapital'!D9)</x:f>
        <x:v>504999.99999999994</x:v>
      </x:c>
      <x:c r="E10" s="27" t="n">
        <x:f>MIN(SUM('WorkingCapital'!E8,'Revenue'!E11),'WorkingCapital'!E9)</x:f>
        <x:v>493596.7741935484</x:v>
      </x:c>
      <x:c r="F10" s="27" t="n">
        <x:f>MIN(SUM('WorkingCapital'!F8,'Revenue'!F11),'WorkingCapital'!F9)</x:f>
        <x:v>515150.5</x:v>
      </x:c>
      <x:c r="G10" s="27" t="n">
        <x:f>MIN(SUM('WorkingCapital'!G8,'Revenue'!G11),'WorkingCapital'!G9)</x:f>
        <x:v>503518.06935483875</x:v>
      </x:c>
      <x:c r="H10" s="27" t="n">
        <x:f>MIN(SUM('WorkingCapital'!H8,'Revenue'!H11),'WorkingCapital'!H9)</x:f>
        <x:v>508553.2500483871</x:v>
      </x:c>
      <x:c r="I10" s="27" t="n">
        <x:f>MIN(SUM('WorkingCapital'!I8,'Revenue'!I11),'WorkingCapital'!I9)</x:f>
        <x:v>530760.0753005</x:v>
      </x:c>
      <x:c r="J10" s="27" t="n">
        <x:f>MIN(SUM('WorkingCapital'!J8,'Revenue'!J11),'WorkingCapital'!J9)</x:f>
        <x:v>518775.17037435964</x:v>
      </x:c>
      <x:c r="K10" s="27" t="n">
        <x:f>MIN(SUM('WorkingCapital'!K8,'Revenue'!K11),'WorkingCapital'!K9)</x:f>
        <x:v>541428.35281404</x:v>
      </x:c>
      <x:c r="L10" s="27" t="n">
        <x:f>MIN(SUM('WorkingCapital'!L8,'Revenue'!L11),'WorkingCapital'!L9)</x:f>
        <x:v>529202.5512988842</x:v>
      </x:c>
      <x:c r="M10" s="27" t="n">
        <x:f>MIN(SUM('WorkingCapital'!M8,'Revenue'!M11),'WorkingCapital'!M9)</x:f>
        <x:v>534494.5768118732</x:v>
      </x:c>
      <x:c r="N10" s="27" t="n">
        <x:f>MIN(SUM('WorkingCapital'!N8,'Revenue'!N11),'WorkingCapital'!N9)</x:f>
        <x:v>597679.4714278483</x:v>
      </x:c>
      <x:c r="O10" s="27" t="n">
        <x:f>MIN(SUM('WorkingCapital'!O8,'Revenue'!O11),'WorkingCapital'!O9)</x:f>
        <x:v>545237.9178057918</x:v>
      </x:c>
    </x:row>
    <x:row r="11" ht="32" customHeight="1">
      <x:c r="C11" s="7" t="str">
        <x:v>Customer cash collections</x:v>
      </x:c>
      <x:c r="D11" s="27" t="n">
        <x:f>(SUM('WorkingCapital'!D8,'Revenue'!D11)-'WorkingCapital'!D10)</x:f>
        <x:v>100000.00000000006</x:v>
      </x:c>
      <x:c r="E11" s="27" t="n">
        <x:f>(SUM('WorkingCapital'!E8,'Revenue'!E11)-'WorkingCapital'!E10)</x:f>
        <x:v>521453.2258064516</x:v>
      </x:c>
      <x:c r="F11" s="27" t="n">
        <x:f>(SUM('WorkingCapital'!F8,'Revenue'!F11)-'WorkingCapital'!F10)</x:f>
        <x:v>493596.77419354836</x:v>
      </x:c>
      <x:c r="G11" s="27" t="n">
        <x:f>(SUM('WorkingCapital'!G8,'Revenue'!G11)-'WorkingCapital'!G10)</x:f>
        <x:v>531934.4356451612</x:v>
      </x:c>
      <x:c r="H11" s="27" t="n">
        <x:f>(SUM('WorkingCapital'!H8,'Revenue'!H11)-'WorkingCapital'!H10)</x:f>
        <x:v>520469.84435645165</x:v>
      </x:c>
      <x:c r="I11" s="27" t="n">
        <x:f>(SUM('WorkingCapital'!I8,'Revenue'!I11)-'WorkingCapital'!I10)</x:f>
        <x:v>508553.2500483871</x:v>
      </x:c>
      <x:c r="J11" s="27" t="n">
        <x:f>(SUM('WorkingCapital'!J8,'Revenue'!J11)-'WorkingCapital'!J10)</x:f>
        <x:v>548052.5809796453</x:v>
      </x:c>
      <x:c r="K11" s="27" t="n">
        <x:f>(SUM('WorkingCapital'!K8,'Revenue'!K11)-'WorkingCapital'!K10)</x:f>
        <x:v>518775.1703743596</x:v>
      </x:c>
      <x:c r="L11" s="27" t="n">
        <x:f>(SUM('WorkingCapital'!L8,'Revenue'!L11)-'WorkingCapital'!L10)</x:f>
        <x:v>559068.4378573364</x:v>
      </x:c>
      <x:c r="M11" s="27" t="n">
        <x:f>(SUM('WorkingCapital'!M8,'Revenue'!M11)-'WorkingCapital'!M10)</x:f>
        <x:v>547019.0371926132</x:v>
      </x:c>
      <x:c r="N11" s="27" t="n">
        <x:f>(SUM('WorkingCapital'!N8,'Revenue'!N11)-'WorkingCapital'!N10)</x:f>
        <x:v>494649.27871668315</x:v>
      </x:c>
      <x:c r="O11" s="27" t="n">
        <x:f>(SUM('WorkingCapital'!O8,'Revenue'!O11)-'WorkingCapital'!O10)</x:f>
        <x:v>615854.0686880415</x:v>
      </x:c>
    </x:row>
    <x:row r="12" ht="32" customHeight="1">
      <x:c r="C12" s="7" t="str">
        <x:v>Opening inventory</x:v>
      </x:c>
      <x:c r="D12" s="27" t="n">
        <x:f>'History'!F10</x:f>
        <x:v>100000</x:v>
      </x:c>
      <x:c r="E12" s="27" t="n">
        <x:f>'BS'!D10</x:f>
        <x:v>303000</x:v>
      </x:c>
      <x:c r="F12" s="27" t="n">
        <x:f>'BS'!E10</x:f>
        <x:v>296158.064516129</x:v>
      </x:c>
      <x:c r="G12" s="27" t="n">
        <x:f>'BS'!F10</x:f>
        <x:v>309090.3</x:v>
      </x:c>
      <x:c r="H12" s="27" t="n">
        <x:f>'BS'!G10</x:f>
        <x:v>302110.84161290317</x:v>
      </x:c>
      <x:c r="I12" s="27" t="n">
        <x:f>'BS'!H10</x:f>
        <x:v>305131.95002903225</x:v>
      </x:c>
      <x:c r="J12" s="27" t="n">
        <x:f>'BS'!I10</x:f>
        <x:v>318456.0451803</x:v>
      </x:c>
      <x:c r="K12" s="27" t="n">
        <x:f>'BS'!J10</x:f>
        <x:v>311265.10222461575</x:v>
      </x:c>
      <x:c r="L12" s="27" t="n">
        <x:f>'BS'!K10</x:f>
        <x:v>324857.011688424</x:v>
      </x:c>
      <x:c r="M12" s="27" t="n">
        <x:f>'BS'!L10</x:f>
        <x:v>317521.53077933064</x:v>
      </x:c>
      <x:c r="N12" s="27" t="n">
        <x:f>'BS'!M10</x:f>
        <x:v>320696.7460871238</x:v>
      </x:c>
      <x:c r="O12" s="27" t="n">
        <x:f>'BS'!N10</x:f>
        <x:v>358607.68285670894</x:v>
      </x:c>
    </x:row>
    <x:row r="13" ht="32" customHeight="1">
      <x:c r="C13" s="7" t="str">
        <x:v>Requested closing inventory</x:v>
      </x:c>
      <x:c r="D13" s="27" t="n">
        <x:f>(('Revenue'!D12/'Revenue'!D8)*'Assumptions'!D15)</x:f>
        <x:v>303000</x:v>
      </x:c>
      <x:c r="E13" s="27" t="n">
        <x:f>(('Revenue'!E12/'Revenue'!E8)*'Assumptions'!E15)</x:f>
        <x:v>296158.06451612903</x:v>
      </x:c>
      <x:c r="F13" s="27" t="n">
        <x:f>(('Revenue'!F12/'Revenue'!F8)*'Assumptions'!F15)</x:f>
        <x:v>309090.3</x:v>
      </x:c>
      <x:c r="G13" s="27" t="n">
        <x:f>(('Revenue'!G12/'Revenue'!G8)*'Assumptions'!G15)</x:f>
        <x:v>302110.84161290317</x:v>
      </x:c>
      <x:c r="H13" s="27" t="n">
        <x:f>(('Revenue'!H12/'Revenue'!H8)*'Assumptions'!H15)</x:f>
        <x:v>305131.95002903225</x:v>
      </x:c>
      <x:c r="I13" s="27" t="n">
        <x:f>(('Revenue'!I12/'Revenue'!I8)*'Assumptions'!I15)</x:f>
        <x:v>318456.0451803</x:v>
      </x:c>
      <x:c r="J13" s="27" t="n">
        <x:f>(('Revenue'!J12/'Revenue'!J8)*'Assumptions'!J15)</x:f>
        <x:v>311265.10222461575</x:v>
      </x:c>
      <x:c r="K13" s="27" t="n">
        <x:f>(('Revenue'!K12/'Revenue'!K8)*'Assumptions'!K15)</x:f>
        <x:v>324857.011688424</x:v>
      </x:c>
      <x:c r="L13" s="27" t="n">
        <x:f>(('Revenue'!L12/'Revenue'!L8)*'Assumptions'!L15)</x:f>
        <x:v>317521.5307793306</x:v>
      </x:c>
      <x:c r="M13" s="27" t="n">
        <x:f>(('Revenue'!M12/'Revenue'!M8)*'Assumptions'!M15)</x:f>
        <x:v>320696.7460871239</x:v>
      </x:c>
      <x:c r="N13" s="27" t="n">
        <x:f>(('Revenue'!N12/'Revenue'!N8)*'Assumptions'!N15)</x:f>
        <x:v>358607.68285670894</x:v>
      </x:c>
      <x:c r="O13" s="27" t="n">
        <x:f>(('Revenue'!O12/'Revenue'!O8)*'Assumptions'!O15)</x:f>
        <x:v>327142.7506834751</x:v>
      </x:c>
    </x:row>
    <x:row r="14" ht="32" customHeight="1">
      <x:c r="C14" s="7" t="str">
        <x:v>Purchases required</x:v>
      </x:c>
      <x:c r="D14" s="27" t="n">
        <x:f>MAX(0,(SUM('Revenue'!D12,'WorkingCapital'!D13)-'WorkingCapital'!D12))</x:f>
        <x:v>506000</x:v>
      </x:c>
      <x:c r="E14" s="27" t="n">
        <x:f>MAX(0,(SUM('Revenue'!E12,'WorkingCapital'!E13)-'WorkingCapital'!E12))</x:f>
        <x:v>299188.064516129</x:v>
      </x:c>
      <x:c r="F14" s="27" t="n">
        <x:f>MAX(0,(SUM('Revenue'!F12,'WorkingCapital'!F13)-'WorkingCapital'!F12))</x:f>
        <x:v>322022.535483871</x:v>
      </x:c>
      <x:c r="G14" s="27" t="n">
        <x:f>MAX(0,(SUM('Revenue'!G12,'WorkingCapital'!G13)-'WorkingCapital'!G12))</x:f>
        <x:v>305201.74461290316</x:v>
      </x:c>
      <x:c r="H14" s="27" t="n">
        <x:f>MAX(0,(SUM('Revenue'!H12,'WorkingCapital'!H13)-'WorkingCapital'!H12))</x:f>
        <x:v>318324.12344612903</x:v>
      </x:c>
      <x:c r="I14" s="27" t="n">
        <x:f>MAX(0,(SUM('Revenue'!I12,'WorkingCapital'!I13)-'WorkingCapital'!I12))</x:f>
        <x:v>331780.1403315678</x:v>
      </x:c>
      <x:c r="J14" s="27" t="n">
        <x:f>MAX(0,(SUM('Revenue'!J12,'WorkingCapital'!J13)-'WorkingCapital'!J12))</x:f>
        <x:v>314449.66267641867</x:v>
      </x:c>
      <x:c r="K14" s="27" t="n">
        <x:f>MAX(0,(SUM('Revenue'!K12,'WorkingCapital'!K13)-'WorkingCapital'!K12))</x:f>
        <x:v>338448.9211522322</x:v>
      </x:c>
      <x:c r="L14" s="27" t="n">
        <x:f>MAX(0,(SUM('Revenue'!L12,'WorkingCapital'!L13)-'WorkingCapital'!L12))</x:f>
        <x:v>320770.1008962149</x:v>
      </x:c>
      <x:c r="M14" s="27" t="n">
        <x:f>MAX(0,(SUM('Revenue'!M12,'WorkingCapital'!M13)-'WorkingCapital'!M12))</x:f>
        <x:v>334561.85293115454</x:v>
      </x:c>
      <x:c r="N14" s="27" t="n">
        <x:f>MAX(0,(SUM('Revenue'!N12,'WorkingCapital'!N13)-'WorkingCapital'!N12))</x:f>
        <x:v>372611.44076918013</x:v>
      </x:c>
      <x:c r="O14" s="27" t="n">
        <x:f>MAX(0,(SUM('Revenue'!O12,'WorkingCapital'!O13)-'WorkingCapital'!O12))</x:f>
        <x:v>306582.5768663572</x:v>
      </x:c>
    </x:row>
    <x:row r="15" ht="32" customHeight="1">
      <x:c r="C15" s="7" t="str">
        <x:v>Effective closing inventory</x:v>
      </x:c>
      <x:c r="D15" s="27" t="n">
        <x:f>(SUM('WorkingCapital'!D12,'WorkingCapital'!D14)-'Revenue'!D12)</x:f>
        <x:v>303000</x:v>
      </x:c>
      <x:c r="E15" s="27" t="n">
        <x:f>(SUM('WorkingCapital'!E12,'WorkingCapital'!E14)-'Revenue'!E12)</x:f>
        <x:v>296158.064516129</x:v>
      </x:c>
      <x:c r="F15" s="27" t="n">
        <x:f>(SUM('WorkingCapital'!F12,'WorkingCapital'!F14)-'Revenue'!F12)</x:f>
        <x:v>309090.3</x:v>
      </x:c>
      <x:c r="G15" s="27" t="n">
        <x:f>(SUM('WorkingCapital'!G12,'WorkingCapital'!G14)-'Revenue'!G12)</x:f>
        <x:v>302110.84161290317</x:v>
      </x:c>
      <x:c r="H15" s="27" t="n">
        <x:f>(SUM('WorkingCapital'!H12,'WorkingCapital'!H14)-'Revenue'!H12)</x:f>
        <x:v>305131.95002903225</x:v>
      </x:c>
      <x:c r="I15" s="27" t="n">
        <x:f>(SUM('WorkingCapital'!I12,'WorkingCapital'!I14)-'Revenue'!I12)</x:f>
        <x:v>318456.0451803</x:v>
      </x:c>
      <x:c r="J15" s="27" t="n">
        <x:f>(SUM('WorkingCapital'!J12,'WorkingCapital'!J14)-'Revenue'!J12)</x:f>
        <x:v>311265.10222461575</x:v>
      </x:c>
      <x:c r="K15" s="27" t="n">
        <x:f>(SUM('WorkingCapital'!K12,'WorkingCapital'!K14)-'Revenue'!K12)</x:f>
        <x:v>324857.011688424</x:v>
      </x:c>
      <x:c r="L15" s="27" t="n">
        <x:f>(SUM('WorkingCapital'!L12,'WorkingCapital'!L14)-'Revenue'!L12)</x:f>
        <x:v>317521.53077933064</x:v>
      </x:c>
      <x:c r="M15" s="27" t="n">
        <x:f>(SUM('WorkingCapital'!M12,'WorkingCapital'!M14)-'Revenue'!M12)</x:f>
        <x:v>320696.7460871238</x:v>
      </x:c>
      <x:c r="N15" s="27" t="n">
        <x:f>(SUM('WorkingCapital'!N12,'WorkingCapital'!N14)-'Revenue'!N12)</x:f>
        <x:v>358607.68285670894</x:v>
      </x:c>
      <x:c r="O15" s="27" t="n">
        <x:f>(SUM('WorkingCapital'!O12,'WorkingCapital'!O14)-'Revenue'!O12)</x:f>
        <x:v>327142.75068347517</x:v>
      </x:c>
    </x:row>
    <x:row r="16" ht="32" customHeight="1">
      <x:c r="C16" s="7" t="str">
        <x:v>Opening trade payables</x:v>
      </x:c>
      <x:c r="D16" s="27" t="n">
        <x:f>'History'!F14</x:f>
        <x:v>100000</x:v>
      </x:c>
      <x:c r="E16" s="27" t="n">
        <x:f>'BS'!D14</x:f>
        <x:v>606000</x:v>
      </x:c>
      <x:c r="F16" s="27" t="n">
        <x:f>'BS'!E14</x:f>
        <x:v>434305.2549427679</x:v>
      </x:c>
      <x:c r="G16" s="27" t="n">
        <x:f>'BS'!F14</x:f>
        <x:v>483033.80322580645</x:v>
      </x:c>
      <x:c r="H16" s="27" t="n">
        <x:f>'BS'!G14</x:f>
        <x:v>443034.7905671175</x:v>
      </x:c>
      <x:c r="I16" s="27" t="n">
        <x:f>'BS'!H14</x:f>
        <x:v>462083.4050024454</x:v>
      </x:c>
      <x:c r="J16" s="27" t="n">
        <x:f>'BS'!I14</x:f>
        <x:v>497670.21049735165</x:v>
      </x:c>
      <x:c r="K16" s="27" t="n">
        <x:f>'BS'!J14</x:f>
        <x:v>456459.18775609165</x:v>
      </x:c>
      <x:c r="L16" s="27" t="n">
        <x:f>'BS'!K14</x:f>
        <x:v>507673.3817283483</x:v>
      </x:c>
      <x:c r="M16" s="27" t="n">
        <x:f>'BS'!L14</x:f>
        <x:v>465634.01742998936</x:v>
      </x:c>
      <x:c r="N16" s="27" t="n">
        <x:f>'BS'!M14</x:f>
        <x:v>485654.3026419985</x:v>
      </x:c>
      <x:c r="O16" s="27" t="n">
        <x:f>'BS'!N14</x:f>
        <x:v>598839.8155218966</x:v>
      </x:c>
    </x:row>
    <x:row r="17" ht="32" customHeight="1">
      <x:c r="C17" s="7" t="str">
        <x:v>Requested closing trade payables</x:v>
      </x:c>
      <x:c r="D17" s="27" t="n">
        <x:f>(('WorkingCapital'!D14/'Revenue'!D8)*'Assumptions'!D17)</x:f>
        <x:v>759000</x:v>
      </x:c>
      <x:c r="E17" s="27" t="n">
        <x:f>(('WorkingCapital'!E14/'Revenue'!E8)*'Assumptions'!E17)</x:f>
        <x:v>434305.2549427679</x:v>
      </x:c>
      <x:c r="F17" s="27" t="n">
        <x:f>(('WorkingCapital'!F14/'Revenue'!F8)*'Assumptions'!F17)</x:f>
        <x:v>483033.80322580645</x:v>
      </x:c>
      <x:c r="G17" s="27" t="n">
        <x:f>(('WorkingCapital'!G14/'Revenue'!G8)*'Assumptions'!G17)</x:f>
        <x:v>443034.7905671175</x:v>
      </x:c>
      <x:c r="H17" s="27" t="n">
        <x:f>(('WorkingCapital'!H14/'Revenue'!H8)*'Assumptions'!H17)</x:f>
        <x:v>462083.4050024454</x:v>
      </x:c>
      <x:c r="I17" s="27" t="n">
        <x:f>(('WorkingCapital'!I14/'Revenue'!I8)*'Assumptions'!I17)</x:f>
        <x:v>497670.21049735165</x:v>
      </x:c>
      <x:c r="J17" s="27" t="n">
        <x:f>(('WorkingCapital'!J14/'Revenue'!J8)*'Assumptions'!J17)</x:f>
        <x:v>456459.18775609165</x:v>
      </x:c>
      <x:c r="K17" s="27" t="n">
        <x:f>(('WorkingCapital'!K14/'Revenue'!K8)*'Assumptions'!K17)</x:f>
        <x:v>507673.3817283483</x:v>
      </x:c>
      <x:c r="L17" s="27" t="n">
        <x:f>(('WorkingCapital'!L14/'Revenue'!L8)*'Assumptions'!L17)</x:f>
        <x:v>465634.01742998936</x:v>
      </x:c>
      <x:c r="M17" s="27" t="n">
        <x:f>(('WorkingCapital'!M14/'Revenue'!M8)*'Assumptions'!M17)</x:f>
        <x:v>485654.3026419985</x:v>
      </x:c>
      <x:c r="N17" s="27" t="n">
        <x:f>(('WorkingCapital'!N14/'Revenue'!N8)*'Assumptions'!N17)</x:f>
        <x:v>598839.8155218966</x:v>
      </x:c>
      <x:c r="O17" s="27" t="n">
        <x:f>(('WorkingCapital'!O14/'Revenue'!O8)*'Assumptions'!O17)</x:f>
        <x:v>445039.2244834217</x:v>
      </x:c>
    </x:row>
    <x:row r="18" ht="32" customHeight="1">
      <x:c r="C18" s="7" t="str">
        <x:v>Effective closing trade payables</x:v>
      </x:c>
      <x:c r="D18" s="27" t="n">
        <x:f>MIN(SUM('WorkingCapital'!D16,'WorkingCapital'!D14),'WorkingCapital'!D17)</x:f>
        <x:v>606000</x:v>
      </x:c>
      <x:c r="E18" s="27" t="n">
        <x:f>MIN(SUM('WorkingCapital'!E16,'WorkingCapital'!E14),'WorkingCapital'!E17)</x:f>
        <x:v>434305.2549427679</x:v>
      </x:c>
      <x:c r="F18" s="27" t="n">
        <x:f>MIN(SUM('WorkingCapital'!F16,'WorkingCapital'!F14),'WorkingCapital'!F17)</x:f>
        <x:v>483033.80322580645</x:v>
      </x:c>
      <x:c r="G18" s="27" t="n">
        <x:f>MIN(SUM('WorkingCapital'!G16,'WorkingCapital'!G14),'WorkingCapital'!G17)</x:f>
        <x:v>443034.7905671175</x:v>
      </x:c>
      <x:c r="H18" s="27" t="n">
        <x:f>MIN(SUM('WorkingCapital'!H16,'WorkingCapital'!H14),'WorkingCapital'!H17)</x:f>
        <x:v>462083.4050024454</x:v>
      </x:c>
      <x:c r="I18" s="27" t="n">
        <x:f>MIN(SUM('WorkingCapital'!I16,'WorkingCapital'!I14),'WorkingCapital'!I17)</x:f>
        <x:v>497670.21049735165</x:v>
      </x:c>
      <x:c r="J18" s="27" t="n">
        <x:f>MIN(SUM('WorkingCapital'!J16,'WorkingCapital'!J14),'WorkingCapital'!J17)</x:f>
        <x:v>456459.18775609165</x:v>
      </x:c>
      <x:c r="K18" s="27" t="n">
        <x:f>MIN(SUM('WorkingCapital'!K16,'WorkingCapital'!K14),'WorkingCapital'!K17)</x:f>
        <x:v>507673.3817283483</x:v>
      </x:c>
      <x:c r="L18" s="27" t="n">
        <x:f>MIN(SUM('WorkingCapital'!L16,'WorkingCapital'!L14),'WorkingCapital'!L17)</x:f>
        <x:v>465634.01742998936</x:v>
      </x:c>
      <x:c r="M18" s="27" t="n">
        <x:f>MIN(SUM('WorkingCapital'!M16,'WorkingCapital'!M14),'WorkingCapital'!M17)</x:f>
        <x:v>485654.3026419985</x:v>
      </x:c>
      <x:c r="N18" s="27" t="n">
        <x:f>MIN(SUM('WorkingCapital'!N16,'WorkingCapital'!N14),'WorkingCapital'!N17)</x:f>
        <x:v>598839.8155218966</x:v>
      </x:c>
      <x:c r="O18" s="27" t="n">
        <x:f>MIN(SUM('WorkingCapital'!O16,'WorkingCapital'!O14),'WorkingCapital'!O17)</x:f>
        <x:v>445039.2244834217</x:v>
      </x:c>
    </x:row>
    <x:row r="19" ht="32" customHeight="1">
      <x:c r="C19" s="7" t="str">
        <x:v>Cash paid to suppliers</x:v>
      </x:c>
      <x:c r="D19" s="27" t="n">
        <x:f>(SUM('WorkingCapital'!D16,'WorkingCapital'!D14)-'WorkingCapital'!D18)</x:f>
        <x:v>0</x:v>
      </x:c>
      <x:c r="E19" s="27" t="n">
        <x:f>(SUM('WorkingCapital'!E16,'WorkingCapital'!E14)-'WorkingCapital'!E18)</x:f>
        <x:v>470882.80957336107</x:v>
      </x:c>
      <x:c r="F19" s="27" t="n">
        <x:f>(SUM('WorkingCapital'!F16,'WorkingCapital'!F14)-'WorkingCapital'!F18)</x:f>
        <x:v>273293.98720083246</x:v>
      </x:c>
      <x:c r="G19" s="27" t="n">
        <x:f>(SUM('WorkingCapital'!G16,'WorkingCapital'!G14)-'WorkingCapital'!G18)</x:f>
        <x:v>345200.75727159204</x:v>
      </x:c>
      <x:c r="H19" s="27" t="n">
        <x:f>(SUM('WorkingCapital'!H16,'WorkingCapital'!H14)-'WorkingCapital'!H18)</x:f>
        <x:v>299275.50901080115</x:v>
      </x:c>
      <x:c r="I19" s="27" t="n">
        <x:f>(SUM('WorkingCapital'!I16,'WorkingCapital'!I14)-'WorkingCapital'!I18)</x:f>
        <x:v>296193.3348366615</x:v>
      </x:c>
      <x:c r="J19" s="27" t="n">
        <x:f>(SUM('WorkingCapital'!J16,'WorkingCapital'!J14)-'WorkingCapital'!J18)</x:f>
        <x:v>355660.6854176786</x:v>
      </x:c>
      <x:c r="K19" s="27" t="n">
        <x:f>(SUM('WorkingCapital'!K16,'WorkingCapital'!K14)-'WorkingCapital'!K18)</x:f>
        <x:v>287234.7271799755</x:v>
      </x:c>
      <x:c r="L19" s="27" t="n">
        <x:f>(SUM('WorkingCapital'!L16,'WorkingCapital'!L14)-'WorkingCapital'!L18)</x:f>
        <x:v>362809.4651945738</x:v>
      </x:c>
      <x:c r="M19" s="27" t="n">
        <x:f>(SUM('WorkingCapital'!M16,'WorkingCapital'!M14)-'WorkingCapital'!M18)</x:f>
        <x:v>314541.56771914545</x:v>
      </x:c>
      <x:c r="N19" s="27" t="n">
        <x:f>(SUM('WorkingCapital'!N16,'WorkingCapital'!N14)-'WorkingCapital'!N18)</x:f>
        <x:v>259425.92788928212</x:v>
      </x:c>
      <x:c r="O19" s="27" t="n">
        <x:f>(SUM('WorkingCapital'!O16,'WorkingCapital'!O14)-'WorkingCapital'!O18)</x:f>
        <x:v>460383.167904832</x:v>
      </x:c>
    </x:row>
    <x:row r="20" ht="22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2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1" customHeight="1">
      <x:c r="C2" s="4" t="str">
        <x:v>Assets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2" customHeight="1">
      <x:c r="C7" s="15" t="str">
        <x:v>Forecast month</x:v>
      </x:c>
      <x:c r="D7" s="16" t="n">
        <x:v>46113</x:v>
      </x:c>
      <x:c r="E7" s="16" t="n">
        <x:v>46143</x:v>
      </x:c>
      <x:c r="F7" s="16" t="n">
        <x:v>46174</x:v>
      </x:c>
      <x:c r="G7" s="16" t="n">
        <x:v>46204</x:v>
      </x:c>
      <x:c r="H7" s="16" t="n">
        <x:v>46235</x:v>
      </x:c>
      <x:c r="I7" s="16" t="n">
        <x:v>46266</x:v>
      </x:c>
      <x:c r="J7" s="16" t="n">
        <x:v>46296</x:v>
      </x:c>
      <x:c r="K7" s="16" t="n">
        <x:v>46327</x:v>
      </x:c>
      <x:c r="L7" s="16" t="n">
        <x:v>46357</x:v>
      </x:c>
      <x:c r="M7" s="16" t="n">
        <x:v>46388</x:v>
      </x:c>
      <x:c r="N7" s="16" t="n">
        <x:v>46419</x:v>
      </x:c>
      <x:c r="O7" s="16" t="n">
        <x:v>46447</x:v>
      </x:c>
    </x:row>
    <x:row r="8" ht="32" customHeight="1">
      <x:c r="C8" s="7" t="str">
        <x:v>Opening net PPE</x:v>
      </x:c>
      <x:c r="D8" s="27" t="n">
        <x:f>SUM('History'!F11,'History'!F12)</x:f>
        <x:v>370000</x:v>
      </x:c>
      <x:c r="E8" s="27" t="n">
        <x:f>'BS'!D11</x:f>
        <x:v>371916.6666666667</x:v>
      </x:c>
      <x:c r="F8" s="27" t="n">
        <x:f>'BS'!E11</x:f>
        <x:v>373817.3611111111</x:v>
      </x:c>
      <x:c r="G8" s="27" t="n">
        <x:f>'BS'!F11</x:f>
        <x:v>375702.2164351852</x:v>
      </x:c>
      <x:c r="H8" s="27" t="n">
        <x:f>'BS'!G11</x:f>
        <x:v>377571.3646315587</x:v>
      </x:c>
      <x:c r="I8" s="27" t="n">
        <x:f>'BS'!H11</x:f>
        <x:v>379424.93659296236</x:v>
      </x:c>
      <x:c r="J8" s="27" t="n">
        <x:f>'BS'!I11</x:f>
        <x:v>381263.06212135433</x:v>
      </x:c>
      <x:c r="K8" s="27" t="n">
        <x:f>'BS'!J11</x:f>
        <x:v>383085.8699370097</x:v>
      </x:c>
      <x:c r="L8" s="27" t="n">
        <x:f>'BS'!K11</x:f>
        <x:v>384893.4876875346</x:v>
      </x:c>
      <x:c r="M8" s="27" t="n">
        <x:f>'BS'!L11</x:f>
        <x:v>386686.04195680516</x:v>
      </x:c>
      <x:c r="N8" s="27" t="n">
        <x:f>'BS'!M11</x:f>
        <x:v>388463.65827383177</x:v>
      </x:c>
      <x:c r="O8" s="27" t="n">
        <x:f>'BS'!N11</x:f>
        <x:v>390226.46112154983</x:v>
      </x:c>
    </x:row>
    <x:row r="9" ht="32" customHeight="1">
      <x:c r="C9" s="7" t="str">
        <x:v>Cash capital expenditure</x:v>
      </x:c>
      <x:c r="D9" s="27" t="n">
        <x:f>'Assumptions'!D11</x:f>
        <x:v>5000</x:v>
      </x:c>
      <x:c r="E9" s="27" t="n">
        <x:f>'Assumptions'!E11</x:f>
        <x:v>5000</x:v>
      </x:c>
      <x:c r="F9" s="27" t="n">
        <x:f>'Assumptions'!F11</x:f>
        <x:v>5000</x:v>
      </x:c>
      <x:c r="G9" s="27" t="n">
        <x:f>'Assumptions'!G11</x:f>
        <x:v>5000</x:v>
      </x:c>
      <x:c r="H9" s="27" t="n">
        <x:f>'Assumptions'!H11</x:f>
        <x:v>5000</x:v>
      </x:c>
      <x:c r="I9" s="27" t="n">
        <x:f>'Assumptions'!I11</x:f>
        <x:v>5000</x:v>
      </x:c>
      <x:c r="J9" s="27" t="n">
        <x:f>'Assumptions'!J11</x:f>
        <x:v>5000</x:v>
      </x:c>
      <x:c r="K9" s="27" t="n">
        <x:f>'Assumptions'!K11</x:f>
        <x:v>5000</x:v>
      </x:c>
      <x:c r="L9" s="27" t="n">
        <x:f>'Assumptions'!L11</x:f>
        <x:v>5000</x:v>
      </x:c>
      <x:c r="M9" s="27" t="n">
        <x:f>'Assumptions'!M11</x:f>
        <x:v>5000</x:v>
      </x:c>
      <x:c r="N9" s="27" t="n">
        <x:f>'Assumptions'!N11</x:f>
        <x:v>5000</x:v>
      </x:c>
      <x:c r="O9" s="27" t="n">
        <x:f>'Assumptions'!O11</x:f>
        <x:v>5000</x:v>
      </x:c>
    </x:row>
    <x:row r="10" ht="32" customHeight="1">
      <x:c r="C10" s="7" t="str">
        <x:v>Depreciation on opening net PPE</x:v>
      </x:c>
      <x:c r="D10" s="27" t="n">
        <x:f>MIN('Assets'!D8,('Assets'!D8*('Assumptions'!D14/12)))</x:f>
        <x:v>3083.3333333333335</x:v>
      </x:c>
      <x:c r="E10" s="27" t="n">
        <x:f>MIN('Assets'!E8,('Assets'!E8*('Assumptions'!E14/12)))</x:f>
        <x:v>3099.3055555555557</x:v>
      </x:c>
      <x:c r="F10" s="27" t="n">
        <x:f>MIN('Assets'!F8,('Assets'!F8*('Assumptions'!F14/12)))</x:f>
        <x:v>3115.144675925926</x:v>
      </x:c>
      <x:c r="G10" s="27" t="n">
        <x:f>MIN('Assets'!G8,('Assets'!G8*('Assumptions'!G14/12)))</x:f>
        <x:v>3130.8518036265436</x:v>
      </x:c>
      <x:c r="H10" s="27" t="n">
        <x:f>MIN('Assets'!H8,('Assets'!H8*('Assumptions'!H14/12)))</x:f>
        <x:v>3146.4280385963225</x:v>
      </x:c>
      <x:c r="I10" s="27" t="n">
        <x:f>MIN('Assets'!I8,('Assets'!I8*('Assumptions'!I14/12)))</x:f>
        <x:v>3161.8744716080196</x:v>
      </x:c>
      <x:c r="J10" s="27" t="n">
        <x:f>MIN('Assets'!J8,('Assets'!J8*('Assumptions'!J14/12)))</x:f>
        <x:v>3177.1921843446194</x:v>
      </x:c>
      <x:c r="K10" s="27" t="n">
        <x:f>MIN('Assets'!K8,('Assets'!K8*('Assumptions'!K14/12)))</x:f>
        <x:v>3192.3822494750807</x:v>
      </x:c>
      <x:c r="L10" s="27" t="n">
        <x:f>MIN('Assets'!L8,('Assets'!L8*('Assumptions'!L14/12)))</x:f>
        <x:v>3207.445730729455</x:v>
      </x:c>
      <x:c r="M10" s="27" t="n">
        <x:f>MIN('Assets'!M8,('Assets'!M8*('Assumptions'!M14/12)))</x:f>
        <x:v>3222.3836829733764</x:v>
      </x:c>
      <x:c r="N10" s="27" t="n">
        <x:f>MIN('Assets'!N8,('Assets'!N8*('Assumptions'!N14/12)))</x:f>
        <x:v>3237.1971522819313</x:v>
      </x:c>
      <x:c r="O10" s="27" t="n">
        <x:f>MIN('Assets'!O8,('Assets'!O8*('Assumptions'!O14/12)))</x:f>
        <x:v>3251.887176012915</x:v>
      </x:c>
    </x:row>
    <x:row r="11" ht="32" customHeight="1">
      <x:c r="C11" s="11" t="str">
        <x:v>Closing net PPE</x:v>
      </x:c>
      <x:c r="D11" s="26" t="n">
        <x:f>(SUM('Assets'!D8,'Assets'!D9)-'Assets'!D10)</x:f>
        <x:v>371916.6666666667</x:v>
      </x:c>
      <x:c r="E11" s="26" t="n">
        <x:f>(SUM('Assets'!E8,'Assets'!E9)-'Assets'!E10)</x:f>
        <x:v>373817.3611111111</x:v>
      </x:c>
      <x:c r="F11" s="26" t="n">
        <x:f>(SUM('Assets'!F8,'Assets'!F9)-'Assets'!F10)</x:f>
        <x:v>375702.2164351852</x:v>
      </x:c>
      <x:c r="G11" s="26" t="n">
        <x:f>(SUM('Assets'!G8,'Assets'!G9)-'Assets'!G10)</x:f>
        <x:v>377571.3646315587</x:v>
      </x:c>
      <x:c r="H11" s="26" t="n">
        <x:f>(SUM('Assets'!H8,'Assets'!H9)-'Assets'!H10)</x:f>
        <x:v>379424.93659296236</x:v>
      </x:c>
      <x:c r="I11" s="26" t="n">
        <x:f>(SUM('Assets'!I8,'Assets'!I9)-'Assets'!I10)</x:f>
        <x:v>381263.06212135433</x:v>
      </x:c>
      <x:c r="J11" s="26" t="n">
        <x:f>(SUM('Assets'!J8,'Assets'!J9)-'Assets'!J10)</x:f>
        <x:v>383085.8699370097</x:v>
      </x:c>
      <x:c r="K11" s="26" t="n">
        <x:f>(SUM('Assets'!K8,'Assets'!K9)-'Assets'!K10)</x:f>
        <x:v>384893.4876875346</x:v>
      </x:c>
      <x:c r="L11" s="26" t="n">
        <x:f>(SUM('Assets'!L8,'Assets'!L9)-'Assets'!L10)</x:f>
        <x:v>386686.04195680516</x:v>
      </x:c>
      <x:c r="M11" s="26" t="n">
        <x:f>(SUM('Assets'!M8,'Assets'!M9)-'Assets'!M10)</x:f>
        <x:v>388463.65827383177</x:v>
      </x:c>
      <x:c r="N11" s="26" t="n">
        <x:f>(SUM('Assets'!N8,'Assets'!N9)-'Assets'!N10)</x:f>
        <x:v>390226.46112154983</x:v>
      </x:c>
      <x:c r="O11" s="26" t="n">
        <x:f>(SUM('Assets'!O8,'Assets'!O9)-'Assets'!O10)</x:f>
        <x:v>391974.5739455369</x:v>
      </x:c>
    </x:row>
    <x:row r="12" ht="22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2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2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2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2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2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2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2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1" customHeight="1">
      <x:c r="C2" s="4" t="str">
        <x:v>Funding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2" customHeight="1">
      <x:c r="C7" s="15" t="str">
        <x:v>Forecast month</x:v>
      </x:c>
      <x:c r="D7" s="16" t="n">
        <x:v>46113</x:v>
      </x:c>
      <x:c r="E7" s="16" t="n">
        <x:v>46143</x:v>
      </x:c>
      <x:c r="F7" s="16" t="n">
        <x:v>46174</x:v>
      </x:c>
      <x:c r="G7" s="16" t="n">
        <x:v>46204</x:v>
      </x:c>
      <x:c r="H7" s="16" t="n">
        <x:v>46235</x:v>
      </x:c>
      <x:c r="I7" s="16" t="n">
        <x:v>46266</x:v>
      </x:c>
      <x:c r="J7" s="16" t="n">
        <x:v>46296</x:v>
      </x:c>
      <x:c r="K7" s="16" t="n">
        <x:v>46327</x:v>
      </x:c>
      <x:c r="L7" s="16" t="n">
        <x:v>46357</x:v>
      </x:c>
      <x:c r="M7" s="16" t="n">
        <x:v>46388</x:v>
      </x:c>
      <x:c r="N7" s="16" t="n">
        <x:v>46419</x:v>
      </x:c>
      <x:c r="O7" s="16" t="n">
        <x:v>46447</x:v>
      </x:c>
    </x:row>
    <x:row r="8" ht="32" customHeight="1">
      <x:c r="C8" s="7" t="str">
        <x:v>Opening loan principal</x:v>
      </x:c>
      <x:c r="D8" s="27" t="n">
        <x:f>'History'!F16</x:f>
        <x:v>100000</x:v>
      </x:c>
      <x:c r="E8" s="27" t="n">
        <x:f>'BS'!D16</x:f>
        <x:v>100000</x:v>
      </x:c>
      <x:c r="F8" s="27" t="n">
        <x:f>'BS'!E16</x:f>
        <x:v>100000</x:v>
      </x:c>
      <x:c r="G8" s="27" t="n">
        <x:f>'BS'!F16</x:f>
        <x:v>100000</x:v>
      </x:c>
      <x:c r="H8" s="27" t="n">
        <x:f>'BS'!G16</x:f>
        <x:v>100000</x:v>
      </x:c>
      <x:c r="I8" s="27" t="n">
        <x:f>'BS'!H16</x:f>
        <x:v>100000</x:v>
      </x:c>
      <x:c r="J8" s="27" t="n">
        <x:f>'BS'!I16</x:f>
        <x:v>100000</x:v>
      </x:c>
      <x:c r="K8" s="27" t="n">
        <x:f>'BS'!J16</x:f>
        <x:v>100000</x:v>
      </x:c>
      <x:c r="L8" s="27" t="n">
        <x:f>'BS'!K16</x:f>
        <x:v>100000</x:v>
      </x:c>
      <x:c r="M8" s="27" t="n">
        <x:f>'BS'!L16</x:f>
        <x:v>100000</x:v>
      </x:c>
      <x:c r="N8" s="27" t="n">
        <x:f>'BS'!M16</x:f>
        <x:v>100000</x:v>
      </x:c>
      <x:c r="O8" s="27" t="n">
        <x:f>'BS'!N16</x:f>
        <x:v>100000</x:v>
      </x:c>
    </x:row>
    <x:row r="9" ht="32" customHeight="1">
      <x:c r="C9" s="7" t="str">
        <x:v>Cash interest on opening principal</x:v>
      </x:c>
      <x:c r="D9" s="27" t="n">
        <x:f>('Funding'!D8*('Assumptions'!D21/12))</x:f>
        <x:v>500</x:v>
      </x:c>
      <x:c r="E9" s="27" t="n">
        <x:f>('Funding'!E8*('Assumptions'!E21/12))</x:f>
        <x:v>500</x:v>
      </x:c>
      <x:c r="F9" s="27" t="n">
        <x:f>('Funding'!F8*('Assumptions'!F21/12))</x:f>
        <x:v>500</x:v>
      </x:c>
      <x:c r="G9" s="27" t="n">
        <x:f>('Funding'!G8*('Assumptions'!G21/12))</x:f>
        <x:v>500</x:v>
      </x:c>
      <x:c r="H9" s="27" t="n">
        <x:f>('Funding'!H8*('Assumptions'!H21/12))</x:f>
        <x:v>500</x:v>
      </x:c>
      <x:c r="I9" s="27" t="n">
        <x:f>('Funding'!I8*('Assumptions'!I21/12))</x:f>
        <x:v>500</x:v>
      </x:c>
      <x:c r="J9" s="27" t="n">
        <x:f>('Funding'!J8*('Assumptions'!J21/12))</x:f>
        <x:v>500</x:v>
      </x:c>
      <x:c r="K9" s="27" t="n">
        <x:f>('Funding'!K8*('Assumptions'!K21/12))</x:f>
        <x:v>500</x:v>
      </x:c>
      <x:c r="L9" s="27" t="n">
        <x:f>('Funding'!L8*('Assumptions'!L21/12))</x:f>
        <x:v>500</x:v>
      </x:c>
      <x:c r="M9" s="27" t="n">
        <x:f>('Funding'!M8*('Assumptions'!M21/12))</x:f>
        <x:v>500</x:v>
      </x:c>
      <x:c r="N9" s="27" t="n">
        <x:f>('Funding'!N8*('Assumptions'!N21/12))</x:f>
        <x:v>500</x:v>
      </x:c>
      <x:c r="O9" s="27" t="n">
        <x:f>('Funding'!O8*('Assumptions'!O21/12))</x:f>
        <x:v>500</x:v>
      </x:c>
    </x:row>
    <x:row r="10" ht="32" customHeight="1">
      <x:c r="C10" s="7" t="str">
        <x:v>Available capacity under confirmed ceiling</x:v>
      </x:c>
      <x:c r="D10" s="27" t="n">
        <x:f>MAX(0,('Assumptions'!D19-'Funding'!D8))</x:f>
        <x:v>50000</x:v>
      </x:c>
      <x:c r="E10" s="27" t="n">
        <x:f>MAX(0,('Assumptions'!E19-'Funding'!E8))</x:f>
        <x:v>50000</x:v>
      </x:c>
      <x:c r="F10" s="27" t="n">
        <x:f>MAX(0,('Assumptions'!F19-'Funding'!F8))</x:f>
        <x:v>50000</x:v>
      </x:c>
      <x:c r="G10" s="27" t="n">
        <x:f>MAX(0,('Assumptions'!G19-'Funding'!G8))</x:f>
        <x:v>50000</x:v>
      </x:c>
      <x:c r="H10" s="27" t="n">
        <x:f>MAX(0,('Assumptions'!H19-'Funding'!H8))</x:f>
        <x:v>50000</x:v>
      </x:c>
      <x:c r="I10" s="27" t="n">
        <x:f>MAX(0,('Assumptions'!I19-'Funding'!I8))</x:f>
        <x:v>50000</x:v>
      </x:c>
      <x:c r="J10" s="27" t="n">
        <x:f>MAX(0,('Assumptions'!J19-'Funding'!J8))</x:f>
        <x:v>50000</x:v>
      </x:c>
      <x:c r="K10" s="27" t="n">
        <x:f>MAX(0,('Assumptions'!K19-'Funding'!K8))</x:f>
        <x:v>50000</x:v>
      </x:c>
      <x:c r="L10" s="27" t="n">
        <x:f>MAX(0,('Assumptions'!L19-'Funding'!L8))</x:f>
        <x:v>50000</x:v>
      </x:c>
      <x:c r="M10" s="27" t="n">
        <x:f>MAX(0,('Assumptions'!M19-'Funding'!M8))</x:f>
        <x:v>50000</x:v>
      </x:c>
      <x:c r="N10" s="27" t="n">
        <x:f>MAX(0,('Assumptions'!N19-'Funding'!N8))</x:f>
        <x:v>50000</x:v>
      </x:c>
      <x:c r="O10" s="27" t="n">
        <x:f>MAX(0,('Assumptions'!O19-'Funding'!O8))</x:f>
        <x:v>50000</x:v>
      </x:c>
    </x:row>
    <x:row r="11" ht="32" customHeight="1">
      <x:c r="C11" s="7" t="str">
        <x:v>Loan draw requested</x:v>
      </x:c>
      <x:c r="D11" s="27" t="n">
        <x:f>'Assumptions'!D12</x:f>
        <x:v>0</x:v>
      </x:c>
      <x:c r="E11" s="27" t="n">
        <x:f>'Assumptions'!E12</x:f>
        <x:v>0</x:v>
      </x:c>
      <x:c r="F11" s="27" t="n">
        <x:f>'Assumptions'!F12</x:f>
        <x:v>0</x:v>
      </x:c>
      <x:c r="G11" s="27" t="n">
        <x:f>'Assumptions'!G12</x:f>
        <x:v>0</x:v>
      </x:c>
      <x:c r="H11" s="27" t="n">
        <x:f>'Assumptions'!H12</x:f>
        <x:v>0</x:v>
      </x:c>
      <x:c r="I11" s="27" t="n">
        <x:f>'Assumptions'!I12</x:f>
        <x:v>0</x:v>
      </x:c>
      <x:c r="J11" s="27" t="n">
        <x:f>'Assumptions'!J12</x:f>
        <x:v>0</x:v>
      </x:c>
      <x:c r="K11" s="27" t="n">
        <x:f>'Assumptions'!K12</x:f>
        <x:v>0</x:v>
      </x:c>
      <x:c r="L11" s="27" t="n">
        <x:f>'Assumptions'!L12</x:f>
        <x:v>0</x:v>
      </x:c>
      <x:c r="M11" s="27" t="n">
        <x:f>'Assumptions'!M12</x:f>
        <x:v>0</x:v>
      </x:c>
      <x:c r="N11" s="27" t="n">
        <x:f>'Assumptions'!N12</x:f>
        <x:v>0</x:v>
      </x:c>
      <x:c r="O11" s="27" t="n">
        <x:f>'Assumptions'!O12</x:f>
        <x:v>0</x:v>
      </x:c>
    </x:row>
    <x:row r="12" ht="32" customHeight="1">
      <x:c r="C12" s="7" t="str">
        <x:v>Effective loan draw</x:v>
      </x:c>
      <x:c r="D12" s="27" t="n">
        <x:f>MIN('Funding'!D11,'Funding'!D10)</x:f>
        <x:v>0</x:v>
      </x:c>
      <x:c r="E12" s="27" t="n">
        <x:f>MIN('Funding'!E11,'Funding'!E10)</x:f>
        <x:v>0</x:v>
      </x:c>
      <x:c r="F12" s="27" t="n">
        <x:f>MIN('Funding'!F11,'Funding'!F10)</x:f>
        <x:v>0</x:v>
      </x:c>
      <x:c r="G12" s="27" t="n">
        <x:f>MIN('Funding'!G11,'Funding'!G10)</x:f>
        <x:v>0</x:v>
      </x:c>
      <x:c r="H12" s="27" t="n">
        <x:f>MIN('Funding'!H11,'Funding'!H10)</x:f>
        <x:v>0</x:v>
      </x:c>
      <x:c r="I12" s="27" t="n">
        <x:f>MIN('Funding'!I11,'Funding'!I10)</x:f>
        <x:v>0</x:v>
      </x:c>
      <x:c r="J12" s="27" t="n">
        <x:f>MIN('Funding'!J11,'Funding'!J10)</x:f>
        <x:v>0</x:v>
      </x:c>
      <x:c r="K12" s="27" t="n">
        <x:f>MIN('Funding'!K11,'Funding'!K10)</x:f>
        <x:v>0</x:v>
      </x:c>
      <x:c r="L12" s="27" t="n">
        <x:f>MIN('Funding'!L11,'Funding'!L10)</x:f>
        <x:v>0</x:v>
      </x:c>
      <x:c r="M12" s="27" t="n">
        <x:f>MIN('Funding'!M11,'Funding'!M10)</x:f>
        <x:v>0</x:v>
      </x:c>
      <x:c r="N12" s="27" t="n">
        <x:f>MIN('Funding'!N11,'Funding'!N10)</x:f>
        <x:v>0</x:v>
      </x:c>
      <x:c r="O12" s="27" t="n">
        <x:f>MIN('Funding'!O11,'Funding'!O10)</x:f>
        <x:v>0</x:v>
      </x:c>
    </x:row>
    <x:row r="13" ht="32" customHeight="1">
      <x:c r="C13" s="7" t="str">
        <x:v>Unmet loan draw</x:v>
      </x:c>
      <x:c r="D13" s="27" t="n">
        <x:f>('Funding'!D11-'Funding'!D12)</x:f>
        <x:v>0</x:v>
      </x:c>
      <x:c r="E13" s="27" t="n">
        <x:f>('Funding'!E11-'Funding'!E12)</x:f>
        <x:v>0</x:v>
      </x:c>
      <x:c r="F13" s="27" t="n">
        <x:f>('Funding'!F11-'Funding'!F12)</x:f>
        <x:v>0</x:v>
      </x:c>
      <x:c r="G13" s="27" t="n">
        <x:f>('Funding'!G11-'Funding'!G12)</x:f>
        <x:v>0</x:v>
      </x:c>
      <x:c r="H13" s="27" t="n">
        <x:f>('Funding'!H11-'Funding'!H12)</x:f>
        <x:v>0</x:v>
      </x:c>
      <x:c r="I13" s="27" t="n">
        <x:f>('Funding'!I11-'Funding'!I12)</x:f>
        <x:v>0</x:v>
      </x:c>
      <x:c r="J13" s="27" t="n">
        <x:f>('Funding'!J11-'Funding'!J12)</x:f>
        <x:v>0</x:v>
      </x:c>
      <x:c r="K13" s="27" t="n">
        <x:f>('Funding'!K11-'Funding'!K12)</x:f>
        <x:v>0</x:v>
      </x:c>
      <x:c r="L13" s="27" t="n">
        <x:f>('Funding'!L11-'Funding'!L12)</x:f>
        <x:v>0</x:v>
      </x:c>
      <x:c r="M13" s="27" t="n">
        <x:f>('Funding'!M11-'Funding'!M12)</x:f>
        <x:v>0</x:v>
      </x:c>
      <x:c r="N13" s="27" t="n">
        <x:f>('Funding'!N11-'Funding'!N12)</x:f>
        <x:v>0</x:v>
      </x:c>
      <x:c r="O13" s="27" t="n">
        <x:f>('Funding'!O11-'Funding'!O12)</x:f>
        <x:v>0</x:v>
      </x:c>
    </x:row>
    <x:row r="14" ht="32" customHeight="1">
      <x:c r="C14" s="7" t="str">
        <x:v>Cash before principal repayments</x:v>
      </x:c>
      <x:c r="D14" s="27" t="n">
        <x:f>SUM('CF'!D8,'CF'!D11,'CF'!D17,'Funding'!D12)</x:f>
        <x:v>340770.8333333334</x:v>
      </x:c>
      <x:c r="E14" s="27" t="n">
        <x:f>SUM('CF'!E8,'CF'!E11,'CF'!E17,'Funding'!E12)</x:f>
        <x:v>297482.32595531276</x:v>
      </x:c>
      <x:c r="F14" s="27" t="n">
        <x:f>SUM('CF'!F8,'CF'!F11,'CF'!F17,'Funding'!F12)</x:f>
        <x:v>423037.56161701016</x:v>
      </x:c>
      <x:c r="G14" s="27" t="n">
        <x:f>SUM('CF'!G8,'CF'!G11,'CF'!G17,'Funding'!G12)</x:f>
        <x:v>514126.1020664859</x:v>
      </x:c>
      <x:c r="H14" s="27" t="n">
        <x:f>SUM('CF'!H8,'CF'!H11,'CF'!H17,'Funding'!H12)</x:f>
        <x:v>638768.6650380355</x:v>
      </x:c>
      <x:c r="I14" s="27" t="n">
        <x:f>SUM('CF'!I8,'CF'!I11,'CF'!I17,'Funding'!I12)</x:f>
        <x:v>753661.0356900755</x:v>
      </x:c>
      <x:c r="J14" s="27" t="n">
        <x:f>SUM('CF'!J8,'CF'!J11,'CF'!J17,'Funding'!J12)</x:f>
        <x:v>847660.3859887649</x:v>
      </x:c>
      <x:c r="K14" s="27" t="n">
        <x:f>SUM('CF'!K8,'CF'!K11,'CF'!K17,'Funding'!K12)</x:f>
        <x:v>979873.9630030608</x:v>
      </x:c>
      <x:c r="L14" s="27" t="n">
        <x:f>SUM('CF'!L8,'CF'!L11,'CF'!L17,'Funding'!L12)</x:f>
        <x:v>1075862.335738624</x:v>
      </x:c>
      <x:c r="M14" s="27" t="n">
        <x:f>SUM('CF'!M8,'CF'!M11,'CF'!M17,'Funding'!M12)</x:f>
        <x:v>1207115.9651593547</x:v>
      </x:c>
      <x:c r="N14" s="27" t="n">
        <x:f>SUM('CF'!N8,'CF'!N11,'CF'!N17,'Funding'!N12)</x:f>
        <x:v>1340152.634941611</x:v>
      </x:c>
      <x:c r="O14" s="27" t="n">
        <x:f>SUM('CF'!O8,'CF'!O11,'CF'!O17,'Funding'!O12)</x:f>
        <x:v>1392464.3173822765</x:v>
      </x:c>
    </x:row>
    <x:row r="15" ht="32" customHeight="1">
      <x:c r="C15" s="7" t="str">
        <x:v>Loan repayment requested</x:v>
      </x:c>
      <x:c r="D15" s="27" t="n">
        <x:f>'Assumptions'!D13</x:f>
        <x:v>0</x:v>
      </x:c>
      <x:c r="E15" s="27" t="n">
        <x:f>'Assumptions'!E13</x:f>
        <x:v>0</x:v>
      </x:c>
      <x:c r="F15" s="27" t="n">
        <x:f>'Assumptions'!F13</x:f>
        <x:v>0</x:v>
      </x:c>
      <x:c r="G15" s="27" t="n">
        <x:f>'Assumptions'!G13</x:f>
        <x:v>0</x:v>
      </x:c>
      <x:c r="H15" s="27" t="n">
        <x:f>'Assumptions'!H13</x:f>
        <x:v>0</x:v>
      </x:c>
      <x:c r="I15" s="27" t="n">
        <x:f>'Assumptions'!I13</x:f>
        <x:v>0</x:v>
      </x:c>
      <x:c r="J15" s="27" t="n">
        <x:f>'Assumptions'!J13</x:f>
        <x:v>0</x:v>
      </x:c>
      <x:c r="K15" s="27" t="n">
        <x:f>'Assumptions'!K13</x:f>
        <x:v>0</x:v>
      </x:c>
      <x:c r="L15" s="27" t="n">
        <x:f>'Assumptions'!L13</x:f>
        <x:v>0</x:v>
      </x:c>
      <x:c r="M15" s="27" t="n">
        <x:f>'Assumptions'!M13</x:f>
        <x:v>0</x:v>
      </x:c>
      <x:c r="N15" s="27" t="n">
        <x:f>'Assumptions'!N13</x:f>
        <x:v>0</x:v>
      </x:c>
      <x:c r="O15" s="27" t="n">
        <x:f>'Assumptions'!O13</x:f>
        <x:v>0</x:v>
      </x:c>
    </x:row>
    <x:row r="16" ht="32" customHeight="1">
      <x:c r="C16" s="7" t="str">
        <x:v>Effective loan principal repayment</x:v>
      </x:c>
      <x:c r="D16" s="27" t="n">
        <x:f>MIN('Funding'!D15,SUM('Funding'!D8,'Funding'!D12),MAX(0,'Funding'!D14))</x:f>
        <x:v>0</x:v>
      </x:c>
      <x:c r="E16" s="27" t="n">
        <x:f>MIN('Funding'!E15,SUM('Funding'!E8,'Funding'!E12),MAX(0,'Funding'!E14))</x:f>
        <x:v>0</x:v>
      </x:c>
      <x:c r="F16" s="27" t="n">
        <x:f>MIN('Funding'!F15,SUM('Funding'!F8,'Funding'!F12),MAX(0,'Funding'!F14))</x:f>
        <x:v>0</x:v>
      </x:c>
      <x:c r="G16" s="27" t="n">
        <x:f>MIN('Funding'!G15,SUM('Funding'!G8,'Funding'!G12),MAX(0,'Funding'!G14))</x:f>
        <x:v>0</x:v>
      </x:c>
      <x:c r="H16" s="27" t="n">
        <x:f>MIN('Funding'!H15,SUM('Funding'!H8,'Funding'!H12),MAX(0,'Funding'!H14))</x:f>
        <x:v>0</x:v>
      </x:c>
      <x:c r="I16" s="27" t="n">
        <x:f>MIN('Funding'!I15,SUM('Funding'!I8,'Funding'!I12),MAX(0,'Funding'!I14))</x:f>
        <x:v>0</x:v>
      </x:c>
      <x:c r="J16" s="27" t="n">
        <x:f>MIN('Funding'!J15,SUM('Funding'!J8,'Funding'!J12),MAX(0,'Funding'!J14))</x:f>
        <x:v>0</x:v>
      </x:c>
      <x:c r="K16" s="27" t="n">
        <x:f>MIN('Funding'!K15,SUM('Funding'!K8,'Funding'!K12),MAX(0,'Funding'!K14))</x:f>
        <x:v>0</x:v>
      </x:c>
      <x:c r="L16" s="27" t="n">
        <x:f>MIN('Funding'!L15,SUM('Funding'!L8,'Funding'!L12),MAX(0,'Funding'!L14))</x:f>
        <x:v>0</x:v>
      </x:c>
      <x:c r="M16" s="27" t="n">
        <x:f>MIN('Funding'!M15,SUM('Funding'!M8,'Funding'!M12),MAX(0,'Funding'!M14))</x:f>
        <x:v>0</x:v>
      </x:c>
      <x:c r="N16" s="27" t="n">
        <x:f>MIN('Funding'!N15,SUM('Funding'!N8,'Funding'!N12),MAX(0,'Funding'!N14))</x:f>
        <x:v>0</x:v>
      </x:c>
      <x:c r="O16" s="27" t="n">
        <x:f>MIN('Funding'!O15,SUM('Funding'!O8,'Funding'!O12),MAX(0,'Funding'!O14))</x:f>
        <x:v>0</x:v>
      </x:c>
    </x:row>
    <x:row r="17" ht="32" customHeight="1">
      <x:c r="C17" s="7" t="str">
        <x:v>Unmet loan repayment</x:v>
      </x:c>
      <x:c r="D17" s="27" t="n">
        <x:f>('Funding'!D15-'Funding'!D16)</x:f>
        <x:v>0</x:v>
      </x:c>
      <x:c r="E17" s="27" t="n">
        <x:f>('Funding'!E15-'Funding'!E16)</x:f>
        <x:v>0</x:v>
      </x:c>
      <x:c r="F17" s="27" t="n">
        <x:f>('Funding'!F15-'Funding'!F16)</x:f>
        <x:v>0</x:v>
      </x:c>
      <x:c r="G17" s="27" t="n">
        <x:f>('Funding'!G15-'Funding'!G16)</x:f>
        <x:v>0</x:v>
      </x:c>
      <x:c r="H17" s="27" t="n">
        <x:f>('Funding'!H15-'Funding'!H16)</x:f>
        <x:v>0</x:v>
      </x:c>
      <x:c r="I17" s="27" t="n">
        <x:f>('Funding'!I15-'Funding'!I16)</x:f>
        <x:v>0</x:v>
      </x:c>
      <x:c r="J17" s="27" t="n">
        <x:f>('Funding'!J15-'Funding'!J16)</x:f>
        <x:v>0</x:v>
      </x:c>
      <x:c r="K17" s="27" t="n">
        <x:f>('Funding'!K15-'Funding'!K16)</x:f>
        <x:v>0</x:v>
      </x:c>
      <x:c r="L17" s="27" t="n">
        <x:f>('Funding'!L15-'Funding'!L16)</x:f>
        <x:v>0</x:v>
      </x:c>
      <x:c r="M17" s="27" t="n">
        <x:f>('Funding'!M15-'Funding'!M16)</x:f>
        <x:v>0</x:v>
      </x:c>
      <x:c r="N17" s="27" t="n">
        <x:f>('Funding'!N15-'Funding'!N16)</x:f>
        <x:v>0</x:v>
      </x:c>
      <x:c r="O17" s="27" t="n">
        <x:f>('Funding'!O15-'Funding'!O16)</x:f>
        <x:v>0</x:v>
      </x:c>
    </x:row>
    <x:row r="18" ht="32" customHeight="1">
      <x:c r="C18" s="11" t="str">
        <x:v>Closing loan principal</x:v>
      </x:c>
      <x:c r="D18" s="26" t="n">
        <x:f>(SUM('Funding'!D8,'Funding'!D12)-'Funding'!D16)</x:f>
        <x:v>100000</x:v>
      </x:c>
      <x:c r="E18" s="26" t="n">
        <x:f>(SUM('Funding'!E8,'Funding'!E12)-'Funding'!E16)</x:f>
        <x:v>100000</x:v>
      </x:c>
      <x:c r="F18" s="26" t="n">
        <x:f>(SUM('Funding'!F8,'Funding'!F12)-'Funding'!F16)</x:f>
        <x:v>100000</x:v>
      </x:c>
      <x:c r="G18" s="26" t="n">
        <x:f>(SUM('Funding'!G8,'Funding'!G12)-'Funding'!G16)</x:f>
        <x:v>100000</x:v>
      </x:c>
      <x:c r="H18" s="26" t="n">
        <x:f>(SUM('Funding'!H8,'Funding'!H12)-'Funding'!H16)</x:f>
        <x:v>100000</x:v>
      </x:c>
      <x:c r="I18" s="26" t="n">
        <x:f>(SUM('Funding'!I8,'Funding'!I12)-'Funding'!I16)</x:f>
        <x:v>100000</x:v>
      </x:c>
      <x:c r="J18" s="26" t="n">
        <x:f>(SUM('Funding'!J8,'Funding'!J12)-'Funding'!J16)</x:f>
        <x:v>100000</x:v>
      </x:c>
      <x:c r="K18" s="26" t="n">
        <x:f>(SUM('Funding'!K8,'Funding'!K12)-'Funding'!K16)</x:f>
        <x:v>100000</x:v>
      </x:c>
      <x:c r="L18" s="26" t="n">
        <x:f>(SUM('Funding'!L8,'Funding'!L12)-'Funding'!L16)</x:f>
        <x:v>100000</x:v>
      </x:c>
      <x:c r="M18" s="26" t="n">
        <x:f>(SUM('Funding'!M8,'Funding'!M12)-'Funding'!M16)</x:f>
        <x:v>100000</x:v>
      </x:c>
      <x:c r="N18" s="26" t="n">
        <x:f>(SUM('Funding'!N8,'Funding'!N12)-'Funding'!N16)</x:f>
        <x:v>100000</x:v>
      </x:c>
      <x:c r="O18" s="26" t="n">
        <x:f>(SUM('Funding'!O8,'Funding'!O12)-'Funding'!O16)</x:f>
        <x:v>100000</x:v>
      </x:c>
    </x:row>
    <x:row r="19" ht="32" customHeight="1">
      <x:c r="C19" s="7" t="str">
        <x:v>Opening retained earnings</x:v>
      </x:c>
      <x:c r="D19" s="27" t="n">
        <x:f>'History'!F42</x:f>
        <x:v>303750</x:v>
      </x:c>
      <x:c r="E19" s="27" t="n">
        <x:f>'BS'!D20</x:f>
        <x:v>414687.5</x:v>
      </x:c>
      <x:c r="F19" s="27" t="n">
        <x:f>'BS'!E20</x:f>
        <x:v>526749.2708333334</x:v>
      </x:c>
      <x:c r="G19" s="27" t="n">
        <x:f>'BS'!F20</x:f>
        <x:v>639946.7748263889</x:v>
      </x:c>
      <x:c r="H19" s="27" t="n">
        <x:f>'BS'!G20</x:f>
        <x:v>754291.587098669</x:v>
      </x:c>
      <x:c r="I19" s="27" t="n">
        <x:f>'BS'!H20</x:f>
        <x:v>869795.3967059718</x:v>
      </x:c>
      <x:c r="J19" s="27" t="n">
        <x:f>'BS'!I20</x:f>
        <x:v>986470.0077948783</x:v>
      </x:c>
      <x:c r="K19" s="27" t="n">
        <x:f>'BS'!J20</x:f>
        <x:v>1104327.3407686586</x:v>
      </x:c>
      <x:c r="L19" s="27" t="n">
        <x:f>'BS'!K20</x:f>
        <x:v>1223379.4334647113</x:v>
      </x:c>
      <x:c r="M19" s="27" t="n">
        <x:f>'BS'!L20</x:f>
        <x:v>1343638.4423436548</x:v>
      </x:c>
      <x:c r="N19" s="27" t="n">
        <x:f>'BS'!M20</x:f>
        <x:v>1465116.6436901852</x:v>
      </x:c>
      <x:c r="O19" s="27" t="n">
        <x:f>'BS'!N20</x:f>
        <x:v>1587826.4348258218</x:v>
      </x:c>
    </x:row>
    <x:row r="20" ht="32" customHeight="1">
      <x:c r="C20" s="7" t="str">
        <x:v>Dividend requested</x:v>
      </x:c>
      <x:c r="D20" s="27" t="n">
        <x:f>'Assumptions'!D16</x:f>
        <x:v>0</x:v>
      </x:c>
      <x:c r="E20" s="27" t="n">
        <x:f>'Assumptions'!E16</x:f>
        <x:v>0</x:v>
      </x:c>
      <x:c r="F20" s="27" t="n">
        <x:f>'Assumptions'!F16</x:f>
        <x:v>0</x:v>
      </x:c>
      <x:c r="G20" s="27" t="n">
        <x:f>'Assumptions'!G16</x:f>
        <x:v>0</x:v>
      </x:c>
      <x:c r="H20" s="27" t="n">
        <x:f>'Assumptions'!H16</x:f>
        <x:v>0</x:v>
      </x:c>
      <x:c r="I20" s="27" t="n">
        <x:f>'Assumptions'!I16</x:f>
        <x:v>0</x:v>
      </x:c>
      <x:c r="J20" s="27" t="n">
        <x:f>'Assumptions'!J16</x:f>
        <x:v>0</x:v>
      </x:c>
      <x:c r="K20" s="27" t="n">
        <x:f>'Assumptions'!K16</x:f>
        <x:v>0</x:v>
      </x:c>
      <x:c r="L20" s="27" t="n">
        <x:f>'Assumptions'!L16</x:f>
        <x:v>0</x:v>
      </x:c>
      <x:c r="M20" s="27" t="n">
        <x:f>'Assumptions'!M16</x:f>
        <x:v>0</x:v>
      </x:c>
      <x:c r="N20" s="27" t="n">
        <x:f>'Assumptions'!N16</x:f>
        <x:v>0</x:v>
      </x:c>
      <x:c r="O20" s="27" t="n">
        <x:f>'Assumptions'!O16</x:f>
        <x:v>0</x:v>
      </x:c>
    </x:row>
    <x:row r="21" ht="32" customHeight="1">
      <x:c r="C21" s="7" t="str">
        <x:v>Effective dividend: book earnings and cash cap</x:v>
      </x:c>
      <x:c r="D21" s="27" t="n">
        <x:f>MIN('Funding'!D20,MAX(0,SUM('Funding'!D19,'PL'!D21)),MAX(0,('Funding'!D14-'Funding'!D16)))</x:f>
        <x:v>0</x:v>
      </x:c>
      <x:c r="E21" s="27" t="n">
        <x:f>MIN('Funding'!E20,MAX(0,SUM('Funding'!E19,'PL'!E21)),MAX(0,('Funding'!E14-'Funding'!E16)))</x:f>
        <x:v>0</x:v>
      </x:c>
      <x:c r="F21" s="27" t="n">
        <x:f>MIN('Funding'!F20,MAX(0,SUM('Funding'!F19,'PL'!F21)),MAX(0,('Funding'!F14-'Funding'!F16)))</x:f>
        <x:v>0</x:v>
      </x:c>
      <x:c r="G21" s="27" t="n">
        <x:f>MIN('Funding'!G20,MAX(0,SUM('Funding'!G19,'PL'!G21)),MAX(0,('Funding'!G14-'Funding'!G16)))</x:f>
        <x:v>0</x:v>
      </x:c>
      <x:c r="H21" s="27" t="n">
        <x:f>MIN('Funding'!H20,MAX(0,SUM('Funding'!H19,'PL'!H21)),MAX(0,('Funding'!H14-'Funding'!H16)))</x:f>
        <x:v>0</x:v>
      </x:c>
      <x:c r="I21" s="27" t="n">
        <x:f>MIN('Funding'!I20,MAX(0,SUM('Funding'!I19,'PL'!I21)),MAX(0,('Funding'!I14-'Funding'!I16)))</x:f>
        <x:v>0</x:v>
      </x:c>
      <x:c r="J21" s="27" t="n">
        <x:f>MIN('Funding'!J20,MAX(0,SUM('Funding'!J19,'PL'!J21)),MAX(0,('Funding'!J14-'Funding'!J16)))</x:f>
        <x:v>0</x:v>
      </x:c>
      <x:c r="K21" s="27" t="n">
        <x:f>MIN('Funding'!K20,MAX(0,SUM('Funding'!K19,'PL'!K21)),MAX(0,('Funding'!K14-'Funding'!K16)))</x:f>
        <x:v>0</x:v>
      </x:c>
      <x:c r="L21" s="27" t="n">
        <x:f>MIN('Funding'!L20,MAX(0,SUM('Funding'!L19,'PL'!L21)),MAX(0,('Funding'!L14-'Funding'!L16)))</x:f>
        <x:v>0</x:v>
      </x:c>
      <x:c r="M21" s="27" t="n">
        <x:f>MIN('Funding'!M20,MAX(0,SUM('Funding'!M19,'PL'!M21)),MAX(0,('Funding'!M14-'Funding'!M16)))</x:f>
        <x:v>0</x:v>
      </x:c>
      <x:c r="N21" s="27" t="n">
        <x:f>MIN('Funding'!N20,MAX(0,SUM('Funding'!N19,'PL'!N21)),MAX(0,('Funding'!N14-'Funding'!N16)))</x:f>
        <x:v>0</x:v>
      </x:c>
      <x:c r="O21" s="27" t="n">
        <x:f>MIN('Funding'!O20,MAX(0,SUM('Funding'!O19,'PL'!O21)),MAX(0,('Funding'!O14-'Funding'!O16)))</x:f>
        <x:v>0</x:v>
      </x:c>
    </x:row>
    <x:row r="22" ht="32" customHeight="1">
      <x:c r="C22" s="7" t="str">
        <x:v>Unmet dividend request</x:v>
      </x:c>
      <x:c r="D22" s="27" t="n">
        <x:f>('Funding'!D20-'Funding'!D21)</x:f>
        <x:v>0</x:v>
      </x:c>
      <x:c r="E22" s="27" t="n">
        <x:f>('Funding'!E20-'Funding'!E21)</x:f>
        <x:v>0</x:v>
      </x:c>
      <x:c r="F22" s="27" t="n">
        <x:f>('Funding'!F20-'Funding'!F21)</x:f>
        <x:v>0</x:v>
      </x:c>
      <x:c r="G22" s="27" t="n">
        <x:f>('Funding'!G20-'Funding'!G21)</x:f>
        <x:v>0</x:v>
      </x:c>
      <x:c r="H22" s="27" t="n">
        <x:f>('Funding'!H20-'Funding'!H21)</x:f>
        <x:v>0</x:v>
      </x:c>
      <x:c r="I22" s="27" t="n">
        <x:f>('Funding'!I20-'Funding'!I21)</x:f>
        <x:v>0</x:v>
      </x:c>
      <x:c r="J22" s="27" t="n">
        <x:f>('Funding'!J20-'Funding'!J21)</x:f>
        <x:v>0</x:v>
      </x:c>
      <x:c r="K22" s="27" t="n">
        <x:f>('Funding'!K20-'Funding'!K21)</x:f>
        <x:v>0</x:v>
      </x:c>
      <x:c r="L22" s="27" t="n">
        <x:f>('Funding'!L20-'Funding'!L21)</x:f>
        <x:v>0</x:v>
      </x:c>
      <x:c r="M22" s="27" t="n">
        <x:f>('Funding'!M20-'Funding'!M21)</x:f>
        <x:v>0</x:v>
      </x:c>
      <x:c r="N22" s="27" t="n">
        <x:f>('Funding'!N20-'Funding'!N21)</x:f>
        <x:v>0</x:v>
      </x:c>
      <x:c r="O22" s="27" t="n">
        <x:f>('Funding'!O20-'Funding'!O21)</x:f>
        <x:v>0</x:v>
      </x:c>
    </x:row>
    <x:row r="23" ht="22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2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1" customHeight="1">
      <x:c r="C2" s="4" t="str">
        <x:v>Financial Movement Coverage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2" customHeight="1">
      <x:c r="C7" s="15" t="str">
        <x:v>Forecast month</x:v>
      </x:c>
      <x:c r="D7" s="16" t="n">
        <x:v>46113</x:v>
      </x:c>
      <x:c r="E7" s="16" t="n">
        <x:v>46143</x:v>
      </x:c>
      <x:c r="F7" s="16" t="n">
        <x:v>46174</x:v>
      </x:c>
      <x:c r="G7" s="16" t="n">
        <x:v>46204</x:v>
      </x:c>
      <x:c r="H7" s="16" t="n">
        <x:v>46235</x:v>
      </x:c>
      <x:c r="I7" s="16" t="n">
        <x:v>46266</x:v>
      </x:c>
      <x:c r="J7" s="16" t="n">
        <x:v>46296</x:v>
      </x:c>
      <x:c r="K7" s="16" t="n">
        <x:v>46327</x:v>
      </x:c>
      <x:c r="L7" s="16" t="n">
        <x:v>46357</x:v>
      </x:c>
      <x:c r="M7" s="16" t="n">
        <x:v>46388</x:v>
      </x:c>
      <x:c r="N7" s="16" t="n">
        <x:v>46419</x:v>
      </x:c>
      <x:c r="O7" s="16" t="n">
        <x:v>46447</x:v>
      </x:c>
    </x:row>
    <x:row r="8" ht="32" customHeight="1">
      <x:c r="C8" s="7" t="str">
        <x:v>现金 · 期初</x:v>
      </x:c>
      <x:c r="D8" s="27" t="n">
        <x:f>'History'!F8</x:f>
        <x:v>333750</x:v>
      </x:c>
      <x:c r="E8" s="27" t="n">
        <x:f>'BS'!D8</x:f>
        <x:v>340770.8333333334</x:v>
      </x:c>
      <x:c r="F8" s="27" t="n">
        <x:f>'BS'!E8</x:f>
        <x:v>297482.32595531276</x:v>
      </x:c>
      <x:c r="G8" s="27" t="n">
        <x:f>'BS'!F8</x:f>
        <x:v>423037.56161701016</x:v>
      </x:c>
      <x:c r="H8" s="27" t="n">
        <x:f>'BS'!G8</x:f>
        <x:v>514126.1020664859</x:v>
      </x:c>
      <x:c r="I8" s="27" t="n">
        <x:f>'BS'!H8</x:f>
        <x:v>638768.6650380355</x:v>
      </x:c>
      <x:c r="J8" s="27" t="n">
        <x:f>'BS'!I8</x:f>
        <x:v>753661.0356900755</x:v>
      </x:c>
      <x:c r="K8" s="27" t="n">
        <x:f>'BS'!J8</x:f>
        <x:v>847660.3859887649</x:v>
      </x:c>
      <x:c r="L8" s="27" t="n">
        <x:f>'BS'!K8</x:f>
        <x:v>979873.9630030608</x:v>
      </x:c>
      <x:c r="M8" s="27" t="n">
        <x:f>'BS'!L8</x:f>
        <x:v>1075862.335738624</x:v>
      </x:c>
      <x:c r="N8" s="27" t="n">
        <x:f>'BS'!M8</x:f>
        <x:v>1207115.9651593547</x:v>
      </x:c>
      <x:c r="O8" s="27" t="n">
        <x:f>'BS'!N8</x:f>
        <x:v>1340152.634941611</x:v>
      </x:c>
    </x:row>
    <x:row r="9" ht="32" customHeight="1">
      <x:c r="C9" s="7" t="str">
        <x:v>现金 · 按变动计算的期末</x:v>
      </x:c>
      <x:c r="D9" s="27" t="n">
        <x:f>SUM('History'!F8,SUM((1*'WorkingCapital'!D11),(-1*'WorkingCapital'!D19),(-1*'PL'!D11),(-1*'PL'!D12),(-1*'PL'!D13),(-1*'Assets'!D9),(-1*'Funding'!D9),(-1*'CF'!D10),(1*'Funding'!D12),(-1*'Funding'!D16),(-1*'Funding'!D21)))</x:f>
        <x:v>340770.8333333334</x:v>
      </x:c>
      <x:c r="E9" s="27" t="n">
        <x:f>SUM('BS'!D8,SUM((1*'WorkingCapital'!E11),(-1*'WorkingCapital'!E19),(-1*'PL'!E11),(-1*'PL'!E12),(-1*'PL'!E13),(-1*'Assets'!E9),(-1*'Funding'!E9),(-1*'CF'!E10),(1*'Funding'!E12),(-1*'Funding'!E16),(-1*'Funding'!E21)))</x:f>
        <x:v>297482.32595531276</x:v>
      </x:c>
      <x:c r="F9" s="27" t="n">
        <x:f>SUM('BS'!E8,SUM((1*'WorkingCapital'!F11),(-1*'WorkingCapital'!F19),(-1*'PL'!F11),(-1*'PL'!F12),(-1*'PL'!F13),(-1*'Assets'!F9),(-1*'Funding'!F9),(-1*'CF'!F10),(1*'Funding'!F12),(-1*'Funding'!F16),(-1*'Funding'!F21)))</x:f>
        <x:v>423037.56161701016</x:v>
      </x:c>
      <x:c r="G9" s="27" t="n">
        <x:f>SUM('BS'!F8,SUM((1*'WorkingCapital'!G11),(-1*'WorkingCapital'!G19),(-1*'PL'!G11),(-1*'PL'!G12),(-1*'PL'!G13),(-1*'Assets'!G9),(-1*'Funding'!G9),(-1*'CF'!G10),(1*'Funding'!G12),(-1*'Funding'!G16),(-1*'Funding'!G21)))</x:f>
        <x:v>514126.1020664859</x:v>
      </x:c>
      <x:c r="H9" s="27" t="n">
        <x:f>SUM('BS'!G8,SUM((1*'WorkingCapital'!H11),(-1*'WorkingCapital'!H19),(-1*'PL'!H11),(-1*'PL'!H12),(-1*'PL'!H13),(-1*'Assets'!H9),(-1*'Funding'!H9),(-1*'CF'!H10),(1*'Funding'!H12),(-1*'Funding'!H16),(-1*'Funding'!H21)))</x:f>
        <x:v>638768.6650380355</x:v>
      </x:c>
      <x:c r="I9" s="27" t="n">
        <x:f>SUM('BS'!H8,SUM((1*'WorkingCapital'!I11),(-1*'WorkingCapital'!I19),(-1*'PL'!I11),(-1*'PL'!I12),(-1*'PL'!I13),(-1*'Assets'!I9),(-1*'Funding'!I9),(-1*'CF'!I10),(1*'Funding'!I12),(-1*'Funding'!I16),(-1*'Funding'!I21)))</x:f>
        <x:v>753661.0356900756</x:v>
      </x:c>
      <x:c r="J9" s="27" t="n">
        <x:f>SUM('BS'!I8,SUM((1*'WorkingCapital'!J11),(-1*'WorkingCapital'!J19),(-1*'PL'!J11),(-1*'PL'!J12),(-1*'PL'!J13),(-1*'Assets'!J9),(-1*'Funding'!J9),(-1*'CF'!J10),(1*'Funding'!J12),(-1*'Funding'!J16),(-1*'Funding'!J21)))</x:f>
        <x:v>847660.3859887649</x:v>
      </x:c>
      <x:c r="K9" s="27" t="n">
        <x:f>SUM('BS'!J8,SUM((1*'WorkingCapital'!K11),(-1*'WorkingCapital'!K19),(-1*'PL'!K11),(-1*'PL'!K12),(-1*'PL'!K13),(-1*'Assets'!K9),(-1*'Funding'!K9),(-1*'CF'!K10),(1*'Funding'!K12),(-1*'Funding'!K16),(-1*'Funding'!K21)))</x:f>
        <x:v>979873.9630030608</x:v>
      </x:c>
      <x:c r="L9" s="27" t="n">
        <x:f>SUM('BS'!K8,SUM((1*'WorkingCapital'!L11),(-1*'WorkingCapital'!L19),(-1*'PL'!L11),(-1*'PL'!L12),(-1*'PL'!L13),(-1*'Assets'!L9),(-1*'Funding'!L9),(-1*'CF'!L10),(1*'Funding'!L12),(-1*'Funding'!L16),(-1*'Funding'!L21)))</x:f>
        <x:v>1075862.3357386242</x:v>
      </x:c>
      <x:c r="M9" s="27" t="n">
        <x:f>SUM('BS'!L8,SUM((1*'WorkingCapital'!M11),(-1*'WorkingCapital'!M19),(-1*'PL'!M11),(-1*'PL'!M12),(-1*'PL'!M13),(-1*'Assets'!M9),(-1*'Funding'!M9),(-1*'CF'!M10),(1*'Funding'!M12),(-1*'Funding'!M16),(-1*'Funding'!M21)))</x:f>
        <x:v>1207115.9651593547</x:v>
      </x:c>
      <x:c r="N9" s="27" t="n">
        <x:f>SUM('BS'!M8,SUM((1*'WorkingCapital'!N11),(-1*'WorkingCapital'!N19),(-1*'PL'!N11),(-1*'PL'!N12),(-1*'PL'!N13),(-1*'Assets'!N9),(-1*'Funding'!N9),(-1*'CF'!N10),(1*'Funding'!N12),(-1*'Funding'!N16),(-1*'Funding'!N21)))</x:f>
        <x:v>1340152.634941611</x:v>
      </x:c>
      <x:c r="O9" s="27" t="n">
        <x:f>SUM('BS'!N8,SUM((1*'WorkingCapital'!O11),(-1*'WorkingCapital'!O19),(-1*'PL'!O11),(-1*'PL'!O12),(-1*'PL'!O13),(-1*'Assets'!O9),(-1*'Funding'!O9),(-1*'CF'!O10),(1*'Funding'!O12),(-1*'Funding'!O16),(-1*'Funding'!O21)))</x:f>
        <x:v>1392464.3173822763</x:v>
      </x:c>
    </x:row>
    <x:row r="10" ht="32" customHeight="1">
      <x:c r="C10" s="7" t="str">
        <x:v>现金 · 模型期末</x:v>
      </x:c>
      <x:c r="D10" s="27" t="n">
        <x:f>'BS'!D8</x:f>
        <x:v>340770.8333333334</x:v>
      </x:c>
      <x:c r="E10" s="27" t="n">
        <x:f>'BS'!E8</x:f>
        <x:v>297482.32595531276</x:v>
      </x:c>
      <x:c r="F10" s="27" t="n">
        <x:f>'BS'!F8</x:f>
        <x:v>423037.56161701016</x:v>
      </x:c>
      <x:c r="G10" s="27" t="n">
        <x:f>'BS'!G8</x:f>
        <x:v>514126.1020664859</x:v>
      </x:c>
      <x:c r="H10" s="27" t="n">
        <x:f>'BS'!H8</x:f>
        <x:v>638768.6650380355</x:v>
      </x:c>
      <x:c r="I10" s="27" t="n">
        <x:f>'BS'!I8</x:f>
        <x:v>753661.0356900755</x:v>
      </x:c>
      <x:c r="J10" s="27" t="n">
        <x:f>'BS'!J8</x:f>
        <x:v>847660.3859887649</x:v>
      </x:c>
      <x:c r="K10" s="27" t="n">
        <x:f>'BS'!K8</x:f>
        <x:v>979873.9630030608</x:v>
      </x:c>
      <x:c r="L10" s="27" t="n">
        <x:f>'BS'!L8</x:f>
        <x:v>1075862.335738624</x:v>
      </x:c>
      <x:c r="M10" s="27" t="n">
        <x:f>'BS'!M8</x:f>
        <x:v>1207115.9651593547</x:v>
      </x:c>
      <x:c r="N10" s="27" t="n">
        <x:f>'BS'!N8</x:f>
        <x:v>1340152.634941611</x:v>
      </x:c>
      <x:c r="O10" s="27" t="n">
        <x:f>'BS'!O8</x:f>
        <x:v>1392464.3173822765</x:v>
      </x:c>
    </x:row>
    <x:row r="11" ht="32" customHeight="1">
      <x:c r="C11" s="7" t="str">
        <x:v>现金 · 差额</x:v>
      </x:c>
      <x:c r="D11" s="27" t="n">
        <x:f>'WiringChecks'!D8</x:f>
        <x:v>0</x:v>
      </x:c>
      <x:c r="E11" s="27" t="n">
        <x:f>'WiringChecks'!E8</x:f>
        <x:v>0</x:v>
      </x:c>
      <x:c r="F11" s="27" t="n">
        <x:f>'WiringChecks'!F8</x:f>
        <x:v>0</x:v>
      </x:c>
      <x:c r="G11" s="27" t="n">
        <x:f>'WiringChecks'!G8</x:f>
        <x:v>0</x:v>
      </x:c>
      <x:c r="H11" s="27" t="n">
        <x:f>'WiringChecks'!H8</x:f>
        <x:v>0</x:v>
      </x:c>
      <x:c r="I11" s="27" t="n">
        <x:f>'WiringChecks'!I8</x:f>
        <x:v>-1.1641532182693481e-10</x:v>
      </x:c>
      <x:c r="J11" s="27" t="n">
        <x:f>'WiringChecks'!J8</x:f>
        <x:v>0</x:v>
      </x:c>
      <x:c r="K11" s="27" t="n">
        <x:f>'WiringChecks'!K8</x:f>
        <x:v>0</x:v>
      </x:c>
      <x:c r="L11" s="27" t="n">
        <x:f>'WiringChecks'!L8</x:f>
        <x:v>-2.3283064365386963e-10</x:v>
      </x:c>
      <x:c r="M11" s="27" t="n">
        <x:f>'WiringChecks'!M8</x:f>
        <x:v>0</x:v>
      </x:c>
      <x:c r="N11" s="27" t="n">
        <x:f>'WiringChecks'!N8</x:f>
        <x:v>0</x:v>
      </x:c>
      <x:c r="O11" s="27" t="n">
        <x:f>'WiringChecks'!O8</x:f>
        <x:v>2.3283064365386963e-10</x:v>
      </x:c>
    </x:row>
    <x:row r="12" ht="32" customHeight="1">
      <x:c r="C12" s="7" t="str">
        <x:v>应收账款 · 期初</x:v>
      </x:c>
      <x:c r="D12" s="27" t="n">
        <x:f>'History'!F9</x:f>
        <x:v>100000</x:v>
      </x:c>
      <x:c r="E12" s="27" t="n">
        <x:f>'BS'!D9</x:f>
        <x:v>504999.99999999994</x:v>
      </x:c>
      <x:c r="F12" s="27" t="n">
        <x:f>'BS'!E9</x:f>
        <x:v>493596.7741935484</x:v>
      </x:c>
      <x:c r="G12" s="27" t="n">
        <x:f>'BS'!F9</x:f>
        <x:v>515150.5</x:v>
      </x:c>
      <x:c r="H12" s="27" t="n">
        <x:f>'BS'!G9</x:f>
        <x:v>503518.06935483875</x:v>
      </x:c>
      <x:c r="I12" s="27" t="n">
        <x:f>'BS'!H9</x:f>
        <x:v>508553.2500483871</x:v>
      </x:c>
      <x:c r="J12" s="27" t="n">
        <x:f>'BS'!I9</x:f>
        <x:v>530760.0753005</x:v>
      </x:c>
      <x:c r="K12" s="27" t="n">
        <x:f>'BS'!J9</x:f>
        <x:v>518775.17037435964</x:v>
      </x:c>
      <x:c r="L12" s="27" t="n">
        <x:f>'BS'!K9</x:f>
        <x:v>541428.35281404</x:v>
      </x:c>
      <x:c r="M12" s="27" t="n">
        <x:f>'BS'!L9</x:f>
        <x:v>529202.5512988842</x:v>
      </x:c>
      <x:c r="N12" s="27" t="n">
        <x:f>'BS'!M9</x:f>
        <x:v>534494.5768118732</x:v>
      </x:c>
      <x:c r="O12" s="27" t="n">
        <x:f>'BS'!N9</x:f>
        <x:v>597679.4714278483</x:v>
      </x:c>
    </x:row>
    <x:row r="13" ht="32" customHeight="1">
      <x:c r="C13" s="7" t="str">
        <x:v>应收账款 · 按变动计算的期末</x:v>
      </x:c>
      <x:c r="D13" s="27" t="n">
        <x:f>SUM('History'!F9,SUM((1*'Revenue'!D11),(-1*'WorkingCapital'!D11)))</x:f>
        <x:v>504999.99999999994</x:v>
      </x:c>
      <x:c r="E13" s="27" t="n">
        <x:f>SUM('BS'!D9,SUM((1*'Revenue'!E11),(-1*'WorkingCapital'!E11)))</x:f>
        <x:v>493596.77419354836</x:v>
      </x:c>
      <x:c r="F13" s="27" t="n">
        <x:f>SUM('BS'!E9,SUM((1*'Revenue'!F11),(-1*'WorkingCapital'!F11)))</x:f>
        <x:v>515150.50000000006</x:v>
      </x:c>
      <x:c r="G13" s="27" t="n">
        <x:f>SUM('BS'!F9,SUM((1*'Revenue'!G11),(-1*'WorkingCapital'!G11)))</x:f>
        <x:v>503518.0693548388</x:v>
      </x:c>
      <x:c r="H13" s="27" t="n">
        <x:f>SUM('BS'!G9,SUM((1*'Revenue'!H11),(-1*'WorkingCapital'!H11)))</x:f>
        <x:v>508553.25004838704</x:v>
      </x:c>
      <x:c r="I13" s="27" t="n">
        <x:f>SUM('BS'!H9,SUM((1*'Revenue'!I11),(-1*'WorkingCapital'!I11)))</x:f>
        <x:v>530760.0753005</x:v>
      </x:c>
      <x:c r="J13" s="27" t="n">
        <x:f>SUM('BS'!I9,SUM((1*'Revenue'!J11),(-1*'WorkingCapital'!J11)))</x:f>
        <x:v>518775.1703743597</x:v>
      </x:c>
      <x:c r="K13" s="27" t="n">
        <x:f>SUM('BS'!J9,SUM((1*'Revenue'!K11),(-1*'WorkingCapital'!K11)))</x:f>
        <x:v>541428.3528140401</x:v>
      </x:c>
      <x:c r="L13" s="27" t="n">
        <x:f>SUM('BS'!K9,SUM((1*'Revenue'!L11),(-1*'WorkingCapital'!L11)))</x:f>
        <x:v>529202.5512988841</x:v>
      </x:c>
      <x:c r="M13" s="27" t="n">
        <x:f>SUM('BS'!L9,SUM((1*'Revenue'!M11),(-1*'WorkingCapital'!M11)))</x:f>
        <x:v>534494.5768118732</x:v>
      </x:c>
      <x:c r="N13" s="27" t="n">
        <x:f>SUM('BS'!M9,SUM((1*'Revenue'!N11),(-1*'WorkingCapital'!N11)))</x:f>
        <x:v>597679.4714278484</x:v>
      </x:c>
      <x:c r="O13" s="27" t="n">
        <x:f>SUM('BS'!N9,SUM((1*'Revenue'!O11),(-1*'WorkingCapital'!O11)))</x:f>
        <x:v>545237.9178057917</x:v>
      </x:c>
    </x:row>
    <x:row r="14" ht="32" customHeight="1">
      <x:c r="C14" s="7" t="str">
        <x:v>应收账款 · 模型期末</x:v>
      </x:c>
      <x:c r="D14" s="27" t="n">
        <x:f>'BS'!D9</x:f>
        <x:v>504999.99999999994</x:v>
      </x:c>
      <x:c r="E14" s="27" t="n">
        <x:f>'BS'!E9</x:f>
        <x:v>493596.7741935484</x:v>
      </x:c>
      <x:c r="F14" s="27" t="n">
        <x:f>'BS'!F9</x:f>
        <x:v>515150.5</x:v>
      </x:c>
      <x:c r="G14" s="27" t="n">
        <x:f>'BS'!G9</x:f>
        <x:v>503518.06935483875</x:v>
      </x:c>
      <x:c r="H14" s="27" t="n">
        <x:f>'BS'!H9</x:f>
        <x:v>508553.2500483871</x:v>
      </x:c>
      <x:c r="I14" s="27" t="n">
        <x:f>'BS'!I9</x:f>
        <x:v>530760.0753005</x:v>
      </x:c>
      <x:c r="J14" s="27" t="n">
        <x:f>'BS'!J9</x:f>
        <x:v>518775.17037435964</x:v>
      </x:c>
      <x:c r="K14" s="27" t="n">
        <x:f>'BS'!K9</x:f>
        <x:v>541428.35281404</x:v>
      </x:c>
      <x:c r="L14" s="27" t="n">
        <x:f>'BS'!L9</x:f>
        <x:v>529202.5512988842</x:v>
      </x:c>
      <x:c r="M14" s="27" t="n">
        <x:f>'BS'!M9</x:f>
        <x:v>534494.5768118732</x:v>
      </x:c>
      <x:c r="N14" s="27" t="n">
        <x:f>'BS'!N9</x:f>
        <x:v>597679.4714278483</x:v>
      </x:c>
      <x:c r="O14" s="27" t="n">
        <x:f>'BS'!O9</x:f>
        <x:v>545237.9178057918</x:v>
      </x:c>
    </x:row>
    <x:row r="15" ht="32" customHeight="1">
      <x:c r="C15" s="7" t="str">
        <x:v>应收账款 · 差额</x:v>
      </x:c>
      <x:c r="D15" s="27" t="n">
        <x:f>'WiringChecks'!D9</x:f>
        <x:v>0</x:v>
      </x:c>
      <x:c r="E15" s="27" t="n">
        <x:f>'WiringChecks'!E9</x:f>
        <x:v>5.820766091346741e-11</x:v>
      </x:c>
      <x:c r="F15" s="27" t="n">
        <x:f>'WiringChecks'!F9</x:f>
        <x:v>-5.820766091346741e-11</x:v>
      </x:c>
      <x:c r="G15" s="27" t="n">
        <x:f>'WiringChecks'!G9</x:f>
        <x:v>-5.820766091346741e-11</x:v>
      </x:c>
      <x:c r="H15" s="27" t="n">
        <x:f>'WiringChecks'!H9</x:f>
        <x:v>5.820766091346741e-11</x:v>
      </x:c>
      <x:c r="I15" s="27" t="n">
        <x:f>'WiringChecks'!I9</x:f>
        <x:v>0</x:v>
      </x:c>
      <x:c r="J15" s="27" t="n">
        <x:f>'WiringChecks'!J9</x:f>
        <x:v>-5.820766091346741e-11</x:v>
      </x:c>
      <x:c r="K15" s="27" t="n">
        <x:f>'WiringChecks'!K9</x:f>
        <x:v>-1.1641532182693481e-10</x:v>
      </x:c>
      <x:c r="L15" s="27" t="n">
        <x:f>'WiringChecks'!L9</x:f>
        <x:v>1.1641532182693481e-10</x:v>
      </x:c>
      <x:c r="M15" s="27" t="n">
        <x:f>'WiringChecks'!M9</x:f>
        <x:v>0</x:v>
      </x:c>
      <x:c r="N15" s="27" t="n">
        <x:f>'WiringChecks'!N9</x:f>
        <x:v>-1.1641532182693481e-10</x:v>
      </x:c>
      <x:c r="O15" s="27" t="n">
        <x:f>'WiringChecks'!O9</x:f>
        <x:v>1.1641532182693481e-10</x:v>
      </x:c>
    </x:row>
    <x:row r="16" ht="32" customHeight="1">
      <x:c r="C16" s="7" t="str">
        <x:v>存货 · 期初</x:v>
      </x:c>
      <x:c r="D16" s="27" t="n">
        <x:f>'History'!F10</x:f>
        <x:v>100000</x:v>
      </x:c>
      <x:c r="E16" s="27" t="n">
        <x:f>'BS'!D10</x:f>
        <x:v>303000</x:v>
      </x:c>
      <x:c r="F16" s="27" t="n">
        <x:f>'BS'!E10</x:f>
        <x:v>296158.064516129</x:v>
      </x:c>
      <x:c r="G16" s="27" t="n">
        <x:f>'BS'!F10</x:f>
        <x:v>309090.3</x:v>
      </x:c>
      <x:c r="H16" s="27" t="n">
        <x:f>'BS'!G10</x:f>
        <x:v>302110.84161290317</x:v>
      </x:c>
      <x:c r="I16" s="27" t="n">
        <x:f>'BS'!H10</x:f>
        <x:v>305131.95002903225</x:v>
      </x:c>
      <x:c r="J16" s="27" t="n">
        <x:f>'BS'!I10</x:f>
        <x:v>318456.0451803</x:v>
      </x:c>
      <x:c r="K16" s="27" t="n">
        <x:f>'BS'!J10</x:f>
        <x:v>311265.10222461575</x:v>
      </x:c>
      <x:c r="L16" s="27" t="n">
        <x:f>'BS'!K10</x:f>
        <x:v>324857.011688424</x:v>
      </x:c>
      <x:c r="M16" s="27" t="n">
        <x:f>'BS'!L10</x:f>
        <x:v>317521.53077933064</x:v>
      </x:c>
      <x:c r="N16" s="27" t="n">
        <x:f>'BS'!M10</x:f>
        <x:v>320696.7460871238</x:v>
      </x:c>
      <x:c r="O16" s="27" t="n">
        <x:f>'BS'!N10</x:f>
        <x:v>358607.68285670894</x:v>
      </x:c>
    </x:row>
    <x:row r="17" ht="32" customHeight="1">
      <x:c r="C17" s="7" t="str">
        <x:v>存货 · 按变动计算的期末</x:v>
      </x:c>
      <x:c r="D17" s="27" t="n">
        <x:f>SUM('History'!F10,SUM((-1*'Revenue'!D12),(1*'WorkingCapital'!D14)))</x:f>
        <x:v>303000</x:v>
      </x:c>
      <x:c r="E17" s="27" t="n">
        <x:f>SUM('BS'!D10,SUM((-1*'Revenue'!E12),(1*'WorkingCapital'!E14)))</x:f>
        <x:v>296158.064516129</x:v>
      </x:c>
      <x:c r="F17" s="27" t="n">
        <x:f>SUM('BS'!E10,SUM((-1*'Revenue'!F12),(1*'WorkingCapital'!F14)))</x:f>
        <x:v>309090.3</x:v>
      </x:c>
      <x:c r="G17" s="27" t="n">
        <x:f>SUM('BS'!F10,SUM((-1*'Revenue'!G12),(1*'WorkingCapital'!G14)))</x:f>
        <x:v>302110.84161290317</x:v>
      </x:c>
      <x:c r="H17" s="27" t="n">
        <x:f>SUM('BS'!G10,SUM((-1*'Revenue'!H12),(1*'WorkingCapital'!H14)))</x:f>
        <x:v>305131.95002903225</x:v>
      </x:c>
      <x:c r="I17" s="27" t="n">
        <x:f>SUM('BS'!H10,SUM((-1*'Revenue'!I12),(1*'WorkingCapital'!I14)))</x:f>
        <x:v>318456.0451803</x:v>
      </x:c>
      <x:c r="J17" s="27" t="n">
        <x:f>SUM('BS'!I10,SUM((-1*'Revenue'!J12),(1*'WorkingCapital'!J14)))</x:f>
        <x:v>311265.10222461575</x:v>
      </x:c>
      <x:c r="K17" s="27" t="n">
        <x:f>SUM('BS'!J10,SUM((-1*'Revenue'!K12),(1*'WorkingCapital'!K14)))</x:f>
        <x:v>324857.011688424</x:v>
      </x:c>
      <x:c r="L17" s="27" t="n">
        <x:f>SUM('BS'!K10,SUM((-1*'Revenue'!L12),(1*'WorkingCapital'!L14)))</x:f>
        <x:v>317521.53077933064</x:v>
      </x:c>
      <x:c r="M17" s="27" t="n">
        <x:f>SUM('BS'!L10,SUM((-1*'Revenue'!M12),(1*'WorkingCapital'!M14)))</x:f>
        <x:v>320696.7460871238</x:v>
      </x:c>
      <x:c r="N17" s="27" t="n">
        <x:f>SUM('BS'!M10,SUM((-1*'Revenue'!N12),(1*'WorkingCapital'!N14)))</x:f>
        <x:v>358607.68285670894</x:v>
      </x:c>
      <x:c r="O17" s="27" t="n">
        <x:f>SUM('BS'!N10,SUM((-1*'Revenue'!O12),(1*'WorkingCapital'!O14)))</x:f>
        <x:v>327142.75068347517</x:v>
      </x:c>
    </x:row>
    <x:row r="18" ht="32" customHeight="1">
      <x:c r="C18" s="7" t="str">
        <x:v>存货 · 模型期末</x:v>
      </x:c>
      <x:c r="D18" s="27" t="n">
        <x:f>'BS'!D10</x:f>
        <x:v>303000</x:v>
      </x:c>
      <x:c r="E18" s="27" t="n">
        <x:f>'BS'!E10</x:f>
        <x:v>296158.064516129</x:v>
      </x:c>
      <x:c r="F18" s="27" t="n">
        <x:f>'BS'!F10</x:f>
        <x:v>309090.3</x:v>
      </x:c>
      <x:c r="G18" s="27" t="n">
        <x:f>'BS'!G10</x:f>
        <x:v>302110.84161290317</x:v>
      </x:c>
      <x:c r="H18" s="27" t="n">
        <x:f>'BS'!H10</x:f>
        <x:v>305131.95002903225</x:v>
      </x:c>
      <x:c r="I18" s="27" t="n">
        <x:f>'BS'!I10</x:f>
        <x:v>318456.0451803</x:v>
      </x:c>
      <x:c r="J18" s="27" t="n">
        <x:f>'BS'!J10</x:f>
        <x:v>311265.10222461575</x:v>
      </x:c>
      <x:c r="K18" s="27" t="n">
        <x:f>'BS'!K10</x:f>
        <x:v>324857.011688424</x:v>
      </x:c>
      <x:c r="L18" s="27" t="n">
        <x:f>'BS'!L10</x:f>
        <x:v>317521.53077933064</x:v>
      </x:c>
      <x:c r="M18" s="27" t="n">
        <x:f>'BS'!M10</x:f>
        <x:v>320696.7460871238</x:v>
      </x:c>
      <x:c r="N18" s="27" t="n">
        <x:f>'BS'!N10</x:f>
        <x:v>358607.68285670894</x:v>
      </x:c>
      <x:c r="O18" s="27" t="n">
        <x:f>'BS'!O10</x:f>
        <x:v>327142.75068347517</x:v>
      </x:c>
    </x:row>
    <x:row r="19" ht="32" customHeight="1">
      <x:c r="C19" s="7" t="str">
        <x:v>存货 · 差额</x:v>
      </x:c>
      <x:c r="D19" s="27" t="n">
        <x:f>'WiringChecks'!D10</x:f>
        <x:v>0</x:v>
      </x:c>
      <x:c r="E19" s="27" t="n">
        <x:f>'WiringChecks'!E10</x:f>
        <x:v>0</x:v>
      </x:c>
      <x:c r="F19" s="27" t="n">
        <x:f>'WiringChecks'!F10</x:f>
        <x:v>0</x:v>
      </x:c>
      <x:c r="G19" s="27" t="n">
        <x:f>'WiringChecks'!G10</x:f>
        <x:v>0</x:v>
      </x:c>
      <x:c r="H19" s="27" t="n">
        <x:f>'WiringChecks'!H10</x:f>
        <x:v>0</x:v>
      </x:c>
      <x:c r="I19" s="27" t="n">
        <x:f>'WiringChecks'!I10</x:f>
        <x:v>0</x:v>
      </x:c>
      <x:c r="J19" s="27" t="n">
        <x:f>'WiringChecks'!J10</x:f>
        <x:v>0</x:v>
      </x:c>
      <x:c r="K19" s="27" t="n">
        <x:f>'WiringChecks'!K10</x:f>
        <x:v>0</x:v>
      </x:c>
      <x:c r="L19" s="27" t="n">
        <x:f>'WiringChecks'!L10</x:f>
        <x:v>0</x:v>
      </x:c>
      <x:c r="M19" s="27" t="n">
        <x:f>'WiringChecks'!M10</x:f>
        <x:v>0</x:v>
      </x:c>
      <x:c r="N19" s="27" t="n">
        <x:f>'WiringChecks'!N10</x:f>
        <x:v>0</x:v>
      </x:c>
      <x:c r="O19" s="27" t="n">
        <x:f>'WiringChecks'!O10</x:f>
        <x:v>0</x:v>
      </x:c>
    </x:row>
    <x:row r="20" ht="32" customHeight="1">
      <x:c r="C20" s="7" t="str">
        <x:v>固定资产净额 · 期初</x:v>
      </x:c>
      <x:c r="D20" s="27" t="n">
        <x:f>SUM('History'!F11,'History'!F12)</x:f>
        <x:v>370000</x:v>
      </x:c>
      <x:c r="E20" s="27" t="n">
        <x:f>'BS'!D11</x:f>
        <x:v>371916.6666666667</x:v>
      </x:c>
      <x:c r="F20" s="27" t="n">
        <x:f>'BS'!E11</x:f>
        <x:v>373817.3611111111</x:v>
      </x:c>
      <x:c r="G20" s="27" t="n">
        <x:f>'BS'!F11</x:f>
        <x:v>375702.2164351852</x:v>
      </x:c>
      <x:c r="H20" s="27" t="n">
        <x:f>'BS'!G11</x:f>
        <x:v>377571.3646315587</x:v>
      </x:c>
      <x:c r="I20" s="27" t="n">
        <x:f>'BS'!H11</x:f>
        <x:v>379424.93659296236</x:v>
      </x:c>
      <x:c r="J20" s="27" t="n">
        <x:f>'BS'!I11</x:f>
        <x:v>381263.06212135433</x:v>
      </x:c>
      <x:c r="K20" s="27" t="n">
        <x:f>'BS'!J11</x:f>
        <x:v>383085.8699370097</x:v>
      </x:c>
      <x:c r="L20" s="27" t="n">
        <x:f>'BS'!K11</x:f>
        <x:v>384893.4876875346</x:v>
      </x:c>
      <x:c r="M20" s="27" t="n">
        <x:f>'BS'!L11</x:f>
        <x:v>386686.04195680516</x:v>
      </x:c>
      <x:c r="N20" s="27" t="n">
        <x:f>'BS'!M11</x:f>
        <x:v>388463.65827383177</x:v>
      </x:c>
      <x:c r="O20" s="27" t="n">
        <x:f>'BS'!N11</x:f>
        <x:v>390226.46112154983</x:v>
      </x:c>
    </x:row>
    <x:row r="21" ht="32" customHeight="1">
      <x:c r="C21" s="7" t="str">
        <x:v>固定资产净额 · 按变动计算的期末</x:v>
      </x:c>
      <x:c r="D21" s="27" t="n">
        <x:f>SUM(SUM('History'!F11,'History'!F12),SUM((1*'Assets'!D9),(-1*'Assets'!D10)))</x:f>
        <x:v>371916.6666666667</x:v>
      </x:c>
      <x:c r="E21" s="27" t="n">
        <x:f>SUM('BS'!D11,SUM((1*'Assets'!E9),(-1*'Assets'!E10)))</x:f>
        <x:v>373817.3611111111</x:v>
      </x:c>
      <x:c r="F21" s="27" t="n">
        <x:f>SUM('BS'!E11,SUM((1*'Assets'!F9),(-1*'Assets'!F10)))</x:f>
        <x:v>375702.2164351852</x:v>
      </x:c>
      <x:c r="G21" s="27" t="n">
        <x:f>SUM('BS'!F11,SUM((1*'Assets'!G9),(-1*'Assets'!G10)))</x:f>
        <x:v>377571.3646315587</x:v>
      </x:c>
      <x:c r="H21" s="27" t="n">
        <x:f>SUM('BS'!G11,SUM((1*'Assets'!H9),(-1*'Assets'!H10)))</x:f>
        <x:v>379424.93659296236</x:v>
      </x:c>
      <x:c r="I21" s="27" t="n">
        <x:f>SUM('BS'!H11,SUM((1*'Assets'!I9),(-1*'Assets'!I10)))</x:f>
        <x:v>381263.06212135433</x:v>
      </x:c>
      <x:c r="J21" s="27" t="n">
        <x:f>SUM('BS'!I11,SUM((1*'Assets'!J9),(-1*'Assets'!J10)))</x:f>
        <x:v>383085.8699370097</x:v>
      </x:c>
      <x:c r="K21" s="27" t="n">
        <x:f>SUM('BS'!J11,SUM((1*'Assets'!K9),(-1*'Assets'!K10)))</x:f>
        <x:v>384893.4876875346</x:v>
      </x:c>
      <x:c r="L21" s="27" t="n">
        <x:f>SUM('BS'!K11,SUM((1*'Assets'!L9),(-1*'Assets'!L10)))</x:f>
        <x:v>386686.04195680516</x:v>
      </x:c>
      <x:c r="M21" s="27" t="n">
        <x:f>SUM('BS'!L11,SUM((1*'Assets'!M9),(-1*'Assets'!M10)))</x:f>
        <x:v>388463.65827383177</x:v>
      </x:c>
      <x:c r="N21" s="27" t="n">
        <x:f>SUM('BS'!M11,SUM((1*'Assets'!N9),(-1*'Assets'!N10)))</x:f>
        <x:v>390226.46112154983</x:v>
      </x:c>
      <x:c r="O21" s="27" t="n">
        <x:f>SUM('BS'!N11,SUM((1*'Assets'!O9),(-1*'Assets'!O10)))</x:f>
        <x:v>391974.5739455369</x:v>
      </x:c>
    </x:row>
    <x:row r="22" ht="32" customHeight="1">
      <x:c r="C22" s="7" t="str">
        <x:v>固定资产净额 · 模型期末</x:v>
      </x:c>
      <x:c r="D22" s="27" t="n">
        <x:f>'BS'!D11</x:f>
        <x:v>371916.6666666667</x:v>
      </x:c>
      <x:c r="E22" s="27" t="n">
        <x:f>'BS'!E11</x:f>
        <x:v>373817.3611111111</x:v>
      </x:c>
      <x:c r="F22" s="27" t="n">
        <x:f>'BS'!F11</x:f>
        <x:v>375702.2164351852</x:v>
      </x:c>
      <x:c r="G22" s="27" t="n">
        <x:f>'BS'!G11</x:f>
        <x:v>377571.3646315587</x:v>
      </x:c>
      <x:c r="H22" s="27" t="n">
        <x:f>'BS'!H11</x:f>
        <x:v>379424.93659296236</x:v>
      </x:c>
      <x:c r="I22" s="27" t="n">
        <x:f>'BS'!I11</x:f>
        <x:v>381263.06212135433</x:v>
      </x:c>
      <x:c r="J22" s="27" t="n">
        <x:f>'BS'!J11</x:f>
        <x:v>383085.8699370097</x:v>
      </x:c>
      <x:c r="K22" s="27" t="n">
        <x:f>'BS'!K11</x:f>
        <x:v>384893.4876875346</x:v>
      </x:c>
      <x:c r="L22" s="27" t="n">
        <x:f>'BS'!L11</x:f>
        <x:v>386686.04195680516</x:v>
      </x:c>
      <x:c r="M22" s="27" t="n">
        <x:f>'BS'!M11</x:f>
        <x:v>388463.65827383177</x:v>
      </x:c>
      <x:c r="N22" s="27" t="n">
        <x:f>'BS'!N11</x:f>
        <x:v>390226.46112154983</x:v>
      </x:c>
      <x:c r="O22" s="27" t="n">
        <x:f>'BS'!O11</x:f>
        <x:v>391974.5739455369</x:v>
      </x:c>
    </x:row>
    <x:row r="23" ht="32" customHeight="1">
      <x:c r="C23" s="7" t="str">
        <x:v>固定资产净额 · 差额</x:v>
      </x:c>
      <x:c r="D23" s="27" t="n">
        <x:f>'WiringChecks'!D11</x:f>
        <x:v>0</x:v>
      </x:c>
      <x:c r="E23" s="27" t="n">
        <x:f>'WiringChecks'!E11</x:f>
        <x:v>0</x:v>
      </x:c>
      <x:c r="F23" s="27" t="n">
        <x:f>'WiringChecks'!F11</x:f>
        <x:v>0</x:v>
      </x:c>
      <x:c r="G23" s="27" t="n">
        <x:f>'WiringChecks'!G11</x:f>
        <x:v>0</x:v>
      </x:c>
      <x:c r="H23" s="27" t="n">
        <x:f>'WiringChecks'!H11</x:f>
        <x:v>0</x:v>
      </x:c>
      <x:c r="I23" s="27" t="n">
        <x:f>'WiringChecks'!I11</x:f>
        <x:v>0</x:v>
      </x:c>
      <x:c r="J23" s="27" t="n">
        <x:f>'WiringChecks'!J11</x:f>
        <x:v>0</x:v>
      </x:c>
      <x:c r="K23" s="27" t="n">
        <x:f>'WiringChecks'!K11</x:f>
        <x:v>0</x:v>
      </x:c>
      <x:c r="L23" s="27" t="n">
        <x:f>'WiringChecks'!L11</x:f>
        <x:v>0</x:v>
      </x:c>
      <x:c r="M23" s="27" t="n">
        <x:f>'WiringChecks'!M11</x:f>
        <x:v>0</x:v>
      </x:c>
      <x:c r="N23" s="27" t="n">
        <x:f>'WiringChecks'!N11</x:f>
        <x:v>0</x:v>
      </x:c>
      <x:c r="O23" s="27" t="n">
        <x:f>'WiringChecks'!O11</x:f>
        <x:v>0</x:v>
      </x:c>
    </x:row>
    <x:row r="24" ht="32" customHeight="1">
      <x:c r="C24" s="7" t="str">
        <x:v>其他资产 · 期初</x:v>
      </x:c>
      <x:c r="D24" s="27" t="n">
        <x:f>'History'!F13</x:f>
        <x:v>0</x:v>
      </x:c>
      <x:c r="E24" s="27" t="n">
        <x:f>'BS'!D12</x:f>
        <x:v>0</x:v>
      </x:c>
      <x:c r="F24" s="27" t="n">
        <x:f>'BS'!E12</x:f>
        <x:v>0</x:v>
      </x:c>
      <x:c r="G24" s="27" t="n">
        <x:f>'BS'!F12</x:f>
        <x:v>0</x:v>
      </x:c>
      <x:c r="H24" s="27" t="n">
        <x:f>'BS'!G12</x:f>
        <x:v>0</x:v>
      </x:c>
      <x:c r="I24" s="27" t="n">
        <x:f>'BS'!H12</x:f>
        <x:v>0</x:v>
      </x:c>
      <x:c r="J24" s="27" t="n">
        <x:f>'BS'!I12</x:f>
        <x:v>0</x:v>
      </x:c>
      <x:c r="K24" s="27" t="n">
        <x:f>'BS'!J12</x:f>
        <x:v>0</x:v>
      </x:c>
      <x:c r="L24" s="27" t="n">
        <x:f>'BS'!K12</x:f>
        <x:v>0</x:v>
      </x:c>
      <x:c r="M24" s="27" t="n">
        <x:f>'BS'!L12</x:f>
        <x:v>0</x:v>
      </x:c>
      <x:c r="N24" s="27" t="n">
        <x:f>'BS'!M12</x:f>
        <x:v>0</x:v>
      </x:c>
      <x:c r="O24" s="27" t="n">
        <x:f>'BS'!N12</x:f>
        <x:v>0</x:v>
      </x:c>
    </x:row>
    <x:row r="25" ht="32" customHeight="1">
      <x:c r="C25" s="7" t="str">
        <x:v>其他资产 · 按变动计算的期末</x:v>
      </x:c>
      <x:c r="D25" s="27" t="n">
        <x:f>SUM('History'!F13,0)</x:f>
        <x:v>0</x:v>
      </x:c>
      <x:c r="E25" s="27" t="n">
        <x:f>SUM('BS'!D12,0)</x:f>
        <x:v>0</x:v>
      </x:c>
      <x:c r="F25" s="27" t="n">
        <x:f>SUM('BS'!E12,0)</x:f>
        <x:v>0</x:v>
      </x:c>
      <x:c r="G25" s="27" t="n">
        <x:f>SUM('BS'!F12,0)</x:f>
        <x:v>0</x:v>
      </x:c>
      <x:c r="H25" s="27" t="n">
        <x:f>SUM('BS'!G12,0)</x:f>
        <x:v>0</x:v>
      </x:c>
      <x:c r="I25" s="27" t="n">
        <x:f>SUM('BS'!H12,0)</x:f>
        <x:v>0</x:v>
      </x:c>
      <x:c r="J25" s="27" t="n">
        <x:f>SUM('BS'!I12,0)</x:f>
        <x:v>0</x:v>
      </x:c>
      <x:c r="K25" s="27" t="n">
        <x:f>SUM('BS'!J12,0)</x:f>
        <x:v>0</x:v>
      </x:c>
      <x:c r="L25" s="27" t="n">
        <x:f>SUM('BS'!K12,0)</x:f>
        <x:v>0</x:v>
      </x:c>
      <x:c r="M25" s="27" t="n">
        <x:f>SUM('BS'!L12,0)</x:f>
        <x:v>0</x:v>
      </x:c>
      <x:c r="N25" s="27" t="n">
        <x:f>SUM('BS'!M12,0)</x:f>
        <x:v>0</x:v>
      </x:c>
      <x:c r="O25" s="27" t="n">
        <x:f>SUM('BS'!N12,0)</x:f>
        <x:v>0</x:v>
      </x:c>
    </x:row>
    <x:row r="26" ht="32" customHeight="1">
      <x:c r="C26" s="7" t="str">
        <x:v>其他资产 · 模型期末</x:v>
      </x:c>
      <x:c r="D26" s="27" t="n">
        <x:f>'BS'!D12</x:f>
        <x:v>0</x:v>
      </x:c>
      <x:c r="E26" s="27" t="n">
        <x:f>'BS'!E12</x:f>
        <x:v>0</x:v>
      </x:c>
      <x:c r="F26" s="27" t="n">
        <x:f>'BS'!F12</x:f>
        <x:v>0</x:v>
      </x:c>
      <x:c r="G26" s="27" t="n">
        <x:f>'BS'!G12</x:f>
        <x:v>0</x:v>
      </x:c>
      <x:c r="H26" s="27" t="n">
        <x:f>'BS'!H12</x:f>
        <x:v>0</x:v>
      </x:c>
      <x:c r="I26" s="27" t="n">
        <x:f>'BS'!I12</x:f>
        <x:v>0</x:v>
      </x:c>
      <x:c r="J26" s="27" t="n">
        <x:f>'BS'!J12</x:f>
        <x:v>0</x:v>
      </x:c>
      <x:c r="K26" s="27" t="n">
        <x:f>'BS'!K12</x:f>
        <x:v>0</x:v>
      </x:c>
      <x:c r="L26" s="27" t="n">
        <x:f>'BS'!L12</x:f>
        <x:v>0</x:v>
      </x:c>
      <x:c r="M26" s="27" t="n">
        <x:f>'BS'!M12</x:f>
        <x:v>0</x:v>
      </x:c>
      <x:c r="N26" s="27" t="n">
        <x:f>'BS'!N12</x:f>
        <x:v>0</x:v>
      </x:c>
      <x:c r="O26" s="27" t="n">
        <x:f>'BS'!O12</x:f>
        <x:v>0</x:v>
      </x:c>
    </x:row>
    <x:row r="27" ht="32" customHeight="1">
      <x:c r="C27" s="7" t="str">
        <x:v>其他资产 · 差额</x:v>
      </x:c>
      <x:c r="D27" s="27" t="n">
        <x:f>'WiringChecks'!D12</x:f>
        <x:v>0</x:v>
      </x:c>
      <x:c r="E27" s="27" t="n">
        <x:f>'WiringChecks'!E12</x:f>
        <x:v>0</x:v>
      </x:c>
      <x:c r="F27" s="27" t="n">
        <x:f>'WiringChecks'!F12</x:f>
        <x:v>0</x:v>
      </x:c>
      <x:c r="G27" s="27" t="n">
        <x:f>'WiringChecks'!G12</x:f>
        <x:v>0</x:v>
      </x:c>
      <x:c r="H27" s="27" t="n">
        <x:f>'WiringChecks'!H12</x:f>
        <x:v>0</x:v>
      </x:c>
      <x:c r="I27" s="27" t="n">
        <x:f>'WiringChecks'!I12</x:f>
        <x:v>0</x:v>
      </x:c>
      <x:c r="J27" s="27" t="n">
        <x:f>'WiringChecks'!J12</x:f>
        <x:v>0</x:v>
      </x:c>
      <x:c r="K27" s="27" t="n">
        <x:f>'WiringChecks'!K12</x:f>
        <x:v>0</x:v>
      </x:c>
      <x:c r="L27" s="27" t="n">
        <x:f>'WiringChecks'!L12</x:f>
        <x:v>0</x:v>
      </x:c>
      <x:c r="M27" s="27" t="n">
        <x:f>'WiringChecks'!M12</x:f>
        <x:v>0</x:v>
      </x:c>
      <x:c r="N27" s="27" t="n">
        <x:f>'WiringChecks'!N12</x:f>
        <x:v>0</x:v>
      </x:c>
      <x:c r="O27" s="27" t="n">
        <x:f>'WiringChecks'!O12</x:f>
        <x:v>0</x:v>
      </x:c>
    </x:row>
    <x:row r="28" ht="32" customHeight="1">
      <x:c r="C28" s="7" t="str">
        <x:v>应付账款 · 期初</x:v>
      </x:c>
      <x:c r="D28" s="27" t="n">
        <x:f>'History'!F14</x:f>
        <x:v>100000</x:v>
      </x:c>
      <x:c r="E28" s="27" t="n">
        <x:f>'BS'!D14</x:f>
        <x:v>606000</x:v>
      </x:c>
      <x:c r="F28" s="27" t="n">
        <x:f>'BS'!E14</x:f>
        <x:v>434305.2549427679</x:v>
      </x:c>
      <x:c r="G28" s="27" t="n">
        <x:f>'BS'!F14</x:f>
        <x:v>483033.80322580645</x:v>
      </x:c>
      <x:c r="H28" s="27" t="n">
        <x:f>'BS'!G14</x:f>
        <x:v>443034.7905671175</x:v>
      </x:c>
      <x:c r="I28" s="27" t="n">
        <x:f>'BS'!H14</x:f>
        <x:v>462083.4050024454</x:v>
      </x:c>
      <x:c r="J28" s="27" t="n">
        <x:f>'BS'!I14</x:f>
        <x:v>497670.21049735165</x:v>
      </x:c>
      <x:c r="K28" s="27" t="n">
        <x:f>'BS'!J14</x:f>
        <x:v>456459.18775609165</x:v>
      </x:c>
      <x:c r="L28" s="27" t="n">
        <x:f>'BS'!K14</x:f>
        <x:v>507673.3817283483</x:v>
      </x:c>
      <x:c r="M28" s="27" t="n">
        <x:f>'BS'!L14</x:f>
        <x:v>465634.01742998936</x:v>
      </x:c>
      <x:c r="N28" s="27" t="n">
        <x:f>'BS'!M14</x:f>
        <x:v>485654.3026419985</x:v>
      </x:c>
      <x:c r="O28" s="27" t="n">
        <x:f>'BS'!N14</x:f>
        <x:v>598839.8155218966</x:v>
      </x:c>
    </x:row>
    <x:row r="29" ht="32" customHeight="1">
      <x:c r="C29" s="7" t="str">
        <x:v>应付账款 · 按变动计算的期末</x:v>
      </x:c>
      <x:c r="D29" s="27" t="n">
        <x:f>SUM('History'!F14,SUM((1*'WorkingCapital'!D14),(-1*'WorkingCapital'!D19)))</x:f>
        <x:v>606000</x:v>
      </x:c>
      <x:c r="E29" s="27" t="n">
        <x:f>SUM('BS'!D14,SUM((1*'WorkingCapital'!E14),(-1*'WorkingCapital'!E19)))</x:f>
        <x:v>434305.2549427679</x:v>
      </x:c>
      <x:c r="F29" s="27" t="n">
        <x:f>SUM('BS'!E14,SUM((1*'WorkingCapital'!F14),(-1*'WorkingCapital'!F19)))</x:f>
        <x:v>483033.80322580645</x:v>
      </x:c>
      <x:c r="G29" s="27" t="n">
        <x:f>SUM('BS'!F14,SUM((1*'WorkingCapital'!G14),(-1*'WorkingCapital'!G19)))</x:f>
        <x:v>443034.79056711757</x:v>
      </x:c>
      <x:c r="H29" s="27" t="n">
        <x:f>SUM('BS'!G14,SUM((1*'WorkingCapital'!H14),(-1*'WorkingCapital'!H19)))</x:f>
        <x:v>462083.4050024454</x:v>
      </x:c>
      <x:c r="I29" s="27" t="n">
        <x:f>SUM('BS'!H14,SUM((1*'WorkingCapital'!I14),(-1*'WorkingCapital'!I19)))</x:f>
        <x:v>497670.21049735165</x:v>
      </x:c>
      <x:c r="J29" s="27" t="n">
        <x:f>SUM('BS'!I14,SUM((1*'WorkingCapital'!J14),(-1*'WorkingCapital'!J19)))</x:f>
        <x:v>456459.1877560917</x:v>
      </x:c>
      <x:c r="K29" s="27" t="n">
        <x:f>SUM('BS'!J14,SUM((1*'WorkingCapital'!K14),(-1*'WorkingCapital'!K19)))</x:f>
        <x:v>507673.3817283484</x:v>
      </x:c>
      <x:c r="L29" s="27" t="n">
        <x:f>SUM('BS'!K14,SUM((1*'WorkingCapital'!L14),(-1*'WorkingCapital'!L19)))</x:f>
        <x:v>465634.0174299894</x:v>
      </x:c>
      <x:c r="M29" s="27" t="n">
        <x:f>SUM('BS'!L14,SUM((1*'WorkingCapital'!M14),(-1*'WorkingCapital'!M19)))</x:f>
        <x:v>485654.30264199845</x:v>
      </x:c>
      <x:c r="N29" s="27" t="n">
        <x:f>SUM('BS'!M14,SUM((1*'WorkingCapital'!N14),(-1*'WorkingCapital'!N19)))</x:f>
        <x:v>598839.8155218966</x:v>
      </x:c>
      <x:c r="O29" s="27" t="n">
        <x:f>SUM('BS'!N14,SUM((1*'WorkingCapital'!O14),(-1*'WorkingCapital'!O19)))</x:f>
        <x:v>445039.22448342177</x:v>
      </x:c>
    </x:row>
    <x:row r="30" ht="32" customHeight="1">
      <x:c r="C30" s="7" t="str">
        <x:v>应付账款 · 模型期末</x:v>
      </x:c>
      <x:c r="D30" s="27" t="n">
        <x:f>'BS'!D14</x:f>
        <x:v>606000</x:v>
      </x:c>
      <x:c r="E30" s="27" t="n">
        <x:f>'BS'!E14</x:f>
        <x:v>434305.2549427679</x:v>
      </x:c>
      <x:c r="F30" s="27" t="n">
        <x:f>'BS'!F14</x:f>
        <x:v>483033.80322580645</x:v>
      </x:c>
      <x:c r="G30" s="27" t="n">
        <x:f>'BS'!G14</x:f>
        <x:v>443034.7905671175</x:v>
      </x:c>
      <x:c r="H30" s="27" t="n">
        <x:f>'BS'!H14</x:f>
        <x:v>462083.4050024454</x:v>
      </x:c>
      <x:c r="I30" s="27" t="n">
        <x:f>'BS'!I14</x:f>
        <x:v>497670.21049735165</x:v>
      </x:c>
      <x:c r="J30" s="27" t="n">
        <x:f>'BS'!J14</x:f>
        <x:v>456459.18775609165</x:v>
      </x:c>
      <x:c r="K30" s="27" t="n">
        <x:f>'BS'!K14</x:f>
        <x:v>507673.3817283483</x:v>
      </x:c>
      <x:c r="L30" s="27" t="n">
        <x:f>'BS'!L14</x:f>
        <x:v>465634.01742998936</x:v>
      </x:c>
      <x:c r="M30" s="27" t="n">
        <x:f>'BS'!M14</x:f>
        <x:v>485654.3026419985</x:v>
      </x:c>
      <x:c r="N30" s="27" t="n">
        <x:f>'BS'!N14</x:f>
        <x:v>598839.8155218966</x:v>
      </x:c>
      <x:c r="O30" s="27" t="n">
        <x:f>'BS'!O14</x:f>
        <x:v>445039.2244834217</x:v>
      </x:c>
    </x:row>
    <x:row r="31" ht="32" customHeight="1">
      <x:c r="C31" s="7" t="str">
        <x:v>应付账款 · 差额</x:v>
      </x:c>
      <x:c r="D31" s="27" t="n">
        <x:f>'WiringChecks'!D13</x:f>
        <x:v>0</x:v>
      </x:c>
      <x:c r="E31" s="27" t="n">
        <x:f>'WiringChecks'!E13</x:f>
        <x:v>0</x:v>
      </x:c>
      <x:c r="F31" s="27" t="n">
        <x:f>'WiringChecks'!F13</x:f>
        <x:v>0</x:v>
      </x:c>
      <x:c r="G31" s="27" t="n">
        <x:f>'WiringChecks'!G13</x:f>
        <x:v>-5.820766091346741e-11</x:v>
      </x:c>
      <x:c r="H31" s="27" t="n">
        <x:f>'WiringChecks'!H13</x:f>
        <x:v>0</x:v>
      </x:c>
      <x:c r="I31" s="27" t="n">
        <x:f>'WiringChecks'!I13</x:f>
        <x:v>0</x:v>
      </x:c>
      <x:c r="J31" s="27" t="n">
        <x:f>'WiringChecks'!J13</x:f>
        <x:v>-5.820766091346741e-11</x:v>
      </x:c>
      <x:c r="K31" s="27" t="n">
        <x:f>'WiringChecks'!K13</x:f>
        <x:v>-5.820766091346741e-11</x:v>
      </x:c>
      <x:c r="L31" s="27" t="n">
        <x:f>'WiringChecks'!L13</x:f>
        <x:v>-5.820766091346741e-11</x:v>
      </x:c>
      <x:c r="M31" s="27" t="n">
        <x:f>'WiringChecks'!M13</x:f>
        <x:v>5.820766091346741e-11</x:v>
      </x:c>
      <x:c r="N31" s="27" t="n">
        <x:f>'WiringChecks'!N13</x:f>
        <x:v>0</x:v>
      </x:c>
      <x:c r="O31" s="27" t="n">
        <x:f>'WiringChecks'!O13</x:f>
        <x:v>-5.820766091346741e-11</x:v>
      </x:c>
    </x:row>
    <x:row r="32" ht="32" customHeight="1">
      <x:c r="C32" s="7" t="str">
        <x:v>应付所得税 · 期初</x:v>
      </x:c>
      <x:c r="D32" s="27" t="n">
        <x:f>'History'!F15</x:f>
        <x:v>0</x:v>
      </x:c>
      <x:c r="E32" s="27" t="n">
        <x:f>'BS'!D15</x:f>
        <x:v>0</x:v>
      </x:c>
      <x:c r="F32" s="27" t="n">
        <x:f>'BS'!E15</x:f>
        <x:v>0</x:v>
      </x:c>
      <x:c r="G32" s="27" t="n">
        <x:f>'BS'!F15</x:f>
        <x:v>0</x:v>
      </x:c>
      <x:c r="H32" s="27" t="n">
        <x:f>'BS'!G15</x:f>
        <x:v>0</x:v>
      </x:c>
      <x:c r="I32" s="27" t="n">
        <x:f>'BS'!H15</x:f>
        <x:v>0</x:v>
      </x:c>
      <x:c r="J32" s="27" t="n">
        <x:f>'BS'!I15</x:f>
        <x:v>0</x:v>
      </x:c>
      <x:c r="K32" s="27" t="n">
        <x:f>'BS'!J15</x:f>
        <x:v>0</x:v>
      </x:c>
      <x:c r="L32" s="27" t="n">
        <x:f>'BS'!K15</x:f>
        <x:v>0</x:v>
      </x:c>
      <x:c r="M32" s="27" t="n">
        <x:f>'BS'!L15</x:f>
        <x:v>0</x:v>
      </x:c>
      <x:c r="N32" s="27" t="n">
        <x:f>'BS'!M15</x:f>
        <x:v>0</x:v>
      </x:c>
      <x:c r="O32" s="27" t="n">
        <x:f>'BS'!N15</x:f>
        <x:v>0</x:v>
      </x:c>
    </x:row>
    <x:row r="33" ht="32" customHeight="1">
      <x:c r="C33" s="7" t="str">
        <x:v>应付所得税 · 按变动计算的期末</x:v>
      </x:c>
      <x:c r="D33" s="27" t="n">
        <x:f>SUM('History'!F15,SUM((1*'PL'!D20),(-1*'CF'!D10)))</x:f>
        <x:v>0</x:v>
      </x:c>
      <x:c r="E33" s="27" t="n">
        <x:f>SUM('BS'!D15,SUM((1*'PL'!E20),(-1*'CF'!E10)))</x:f>
        <x:v>0</x:v>
      </x:c>
      <x:c r="F33" s="27" t="n">
        <x:f>SUM('BS'!E15,SUM((1*'PL'!F20),(-1*'CF'!F10)))</x:f>
        <x:v>0</x:v>
      </x:c>
      <x:c r="G33" s="27" t="n">
        <x:f>SUM('BS'!F15,SUM((1*'PL'!G20),(-1*'CF'!G10)))</x:f>
        <x:v>0</x:v>
      </x:c>
      <x:c r="H33" s="27" t="n">
        <x:f>SUM('BS'!G15,SUM((1*'PL'!H20),(-1*'CF'!H10)))</x:f>
        <x:v>0</x:v>
      </x:c>
      <x:c r="I33" s="27" t="n">
        <x:f>SUM('BS'!H15,SUM((1*'PL'!I20),(-1*'CF'!I10)))</x:f>
        <x:v>0</x:v>
      </x:c>
      <x:c r="J33" s="27" t="n">
        <x:f>SUM('BS'!I15,SUM((1*'PL'!J20),(-1*'CF'!J10)))</x:f>
        <x:v>0</x:v>
      </x:c>
      <x:c r="K33" s="27" t="n">
        <x:f>SUM('BS'!J15,SUM((1*'PL'!K20),(-1*'CF'!K10)))</x:f>
        <x:v>0</x:v>
      </x:c>
      <x:c r="L33" s="27" t="n">
        <x:f>SUM('BS'!K15,SUM((1*'PL'!L20),(-1*'CF'!L10)))</x:f>
        <x:v>0</x:v>
      </x:c>
      <x:c r="M33" s="27" t="n">
        <x:f>SUM('BS'!L15,SUM((1*'PL'!M20),(-1*'CF'!M10)))</x:f>
        <x:v>0</x:v>
      </x:c>
      <x:c r="N33" s="27" t="n">
        <x:f>SUM('BS'!M15,SUM((1*'PL'!N20),(-1*'CF'!N10)))</x:f>
        <x:v>0</x:v>
      </x:c>
      <x:c r="O33" s="27" t="n">
        <x:f>SUM('BS'!N15,SUM((1*'PL'!O20),(-1*'CF'!O10)))</x:f>
        <x:v>0</x:v>
      </x:c>
    </x:row>
    <x:row r="34" ht="32" customHeight="1">
      <x:c r="C34" s="7" t="str">
        <x:v>应付所得税 · 模型期末</x:v>
      </x:c>
      <x:c r="D34" s="27" t="n">
        <x:f>'BS'!D15</x:f>
        <x:v>0</x:v>
      </x:c>
      <x:c r="E34" s="27" t="n">
        <x:f>'BS'!E15</x:f>
        <x:v>0</x:v>
      </x:c>
      <x:c r="F34" s="27" t="n">
        <x:f>'BS'!F15</x:f>
        <x:v>0</x:v>
      </x:c>
      <x:c r="G34" s="27" t="n">
        <x:f>'BS'!G15</x:f>
        <x:v>0</x:v>
      </x:c>
      <x:c r="H34" s="27" t="n">
        <x:f>'BS'!H15</x:f>
        <x:v>0</x:v>
      </x:c>
      <x:c r="I34" s="27" t="n">
        <x:f>'BS'!I15</x:f>
        <x:v>0</x:v>
      </x:c>
      <x:c r="J34" s="27" t="n">
        <x:f>'BS'!J15</x:f>
        <x:v>0</x:v>
      </x:c>
      <x:c r="K34" s="27" t="n">
        <x:f>'BS'!K15</x:f>
        <x:v>0</x:v>
      </x:c>
      <x:c r="L34" s="27" t="n">
        <x:f>'BS'!L15</x:f>
        <x:v>0</x:v>
      </x:c>
      <x:c r="M34" s="27" t="n">
        <x:f>'BS'!M15</x:f>
        <x:v>0</x:v>
      </x:c>
      <x:c r="N34" s="27" t="n">
        <x:f>'BS'!N15</x:f>
        <x:v>0</x:v>
      </x:c>
      <x:c r="O34" s="27" t="n">
        <x:f>'BS'!O15</x:f>
        <x:v>0</x:v>
      </x:c>
    </x:row>
    <x:row r="35" ht="32" customHeight="1">
      <x:c r="C35" s="7" t="str">
        <x:v>应付所得税 · 差额</x:v>
      </x:c>
      <x:c r="D35" s="27" t="n">
        <x:f>'WiringChecks'!D14</x:f>
        <x:v>0</x:v>
      </x:c>
      <x:c r="E35" s="27" t="n">
        <x:f>'WiringChecks'!E14</x:f>
        <x:v>0</x:v>
      </x:c>
      <x:c r="F35" s="27" t="n">
        <x:f>'WiringChecks'!F14</x:f>
        <x:v>0</x:v>
      </x:c>
      <x:c r="G35" s="27" t="n">
        <x:f>'WiringChecks'!G14</x:f>
        <x:v>0</x:v>
      </x:c>
      <x:c r="H35" s="27" t="n">
        <x:f>'WiringChecks'!H14</x:f>
        <x:v>0</x:v>
      </x:c>
      <x:c r="I35" s="27" t="n">
        <x:f>'WiringChecks'!I14</x:f>
        <x:v>0</x:v>
      </x:c>
      <x:c r="J35" s="27" t="n">
        <x:f>'WiringChecks'!J14</x:f>
        <x:v>0</x:v>
      </x:c>
      <x:c r="K35" s="27" t="n">
        <x:f>'WiringChecks'!K14</x:f>
        <x:v>0</x:v>
      </x:c>
      <x:c r="L35" s="27" t="n">
        <x:f>'WiringChecks'!L14</x:f>
        <x:v>0</x:v>
      </x:c>
      <x:c r="M35" s="27" t="n">
        <x:f>'WiringChecks'!M14</x:f>
        <x:v>0</x:v>
      </x:c>
      <x:c r="N35" s="27" t="n">
        <x:f>'WiringChecks'!N14</x:f>
        <x:v>0</x:v>
      </x:c>
      <x:c r="O35" s="27" t="n">
        <x:f>'WiringChecks'!O14</x:f>
        <x:v>0</x:v>
      </x:c>
    </x:row>
    <x:row r="36" ht="32" customHeight="1">
      <x:c r="C36" s="7" t="str">
        <x:v>借款本金 · 期初</x:v>
      </x:c>
      <x:c r="D36" s="27" t="n">
        <x:f>'History'!F16</x:f>
        <x:v>100000</x:v>
      </x:c>
      <x:c r="E36" s="27" t="n">
        <x:f>'BS'!D16</x:f>
        <x:v>100000</x:v>
      </x:c>
      <x:c r="F36" s="27" t="n">
        <x:f>'BS'!E16</x:f>
        <x:v>100000</x:v>
      </x:c>
      <x:c r="G36" s="27" t="n">
        <x:f>'BS'!F16</x:f>
        <x:v>100000</x:v>
      </x:c>
      <x:c r="H36" s="27" t="n">
        <x:f>'BS'!G16</x:f>
        <x:v>100000</x:v>
      </x:c>
      <x:c r="I36" s="27" t="n">
        <x:f>'BS'!H16</x:f>
        <x:v>100000</x:v>
      </x:c>
      <x:c r="J36" s="27" t="n">
        <x:f>'BS'!I16</x:f>
        <x:v>100000</x:v>
      </x:c>
      <x:c r="K36" s="27" t="n">
        <x:f>'BS'!J16</x:f>
        <x:v>100000</x:v>
      </x:c>
      <x:c r="L36" s="27" t="n">
        <x:f>'BS'!K16</x:f>
        <x:v>100000</x:v>
      </x:c>
      <x:c r="M36" s="27" t="n">
        <x:f>'BS'!L16</x:f>
        <x:v>100000</x:v>
      </x:c>
      <x:c r="N36" s="27" t="n">
        <x:f>'BS'!M16</x:f>
        <x:v>100000</x:v>
      </x:c>
      <x:c r="O36" s="27" t="n">
        <x:f>'BS'!N16</x:f>
        <x:v>100000</x:v>
      </x:c>
    </x:row>
    <x:row r="37" ht="32" customHeight="1">
      <x:c r="C37" s="7" t="str">
        <x:v>借款本金 · 按变动计算的期末</x:v>
      </x:c>
      <x:c r="D37" s="27" t="n">
        <x:f>SUM('History'!F16,SUM((1*'Funding'!D12),(-1*'Funding'!D16)))</x:f>
        <x:v>100000</x:v>
      </x:c>
      <x:c r="E37" s="27" t="n">
        <x:f>SUM('BS'!D16,SUM((1*'Funding'!E12),(-1*'Funding'!E16)))</x:f>
        <x:v>100000</x:v>
      </x:c>
      <x:c r="F37" s="27" t="n">
        <x:f>SUM('BS'!E16,SUM((1*'Funding'!F12),(-1*'Funding'!F16)))</x:f>
        <x:v>100000</x:v>
      </x:c>
      <x:c r="G37" s="27" t="n">
        <x:f>SUM('BS'!F16,SUM((1*'Funding'!G12),(-1*'Funding'!G16)))</x:f>
        <x:v>100000</x:v>
      </x:c>
      <x:c r="H37" s="27" t="n">
        <x:f>SUM('BS'!G16,SUM((1*'Funding'!H12),(-1*'Funding'!H16)))</x:f>
        <x:v>100000</x:v>
      </x:c>
      <x:c r="I37" s="27" t="n">
        <x:f>SUM('BS'!H16,SUM((1*'Funding'!I12),(-1*'Funding'!I16)))</x:f>
        <x:v>100000</x:v>
      </x:c>
      <x:c r="J37" s="27" t="n">
        <x:f>SUM('BS'!I16,SUM((1*'Funding'!J12),(-1*'Funding'!J16)))</x:f>
        <x:v>100000</x:v>
      </x:c>
      <x:c r="K37" s="27" t="n">
        <x:f>SUM('BS'!J16,SUM((1*'Funding'!K12),(-1*'Funding'!K16)))</x:f>
        <x:v>100000</x:v>
      </x:c>
      <x:c r="L37" s="27" t="n">
        <x:f>SUM('BS'!K16,SUM((1*'Funding'!L12),(-1*'Funding'!L16)))</x:f>
        <x:v>100000</x:v>
      </x:c>
      <x:c r="M37" s="27" t="n">
        <x:f>SUM('BS'!L16,SUM((1*'Funding'!M12),(-1*'Funding'!M16)))</x:f>
        <x:v>100000</x:v>
      </x:c>
      <x:c r="N37" s="27" t="n">
        <x:f>SUM('BS'!M16,SUM((1*'Funding'!N12),(-1*'Funding'!N16)))</x:f>
        <x:v>100000</x:v>
      </x:c>
      <x:c r="O37" s="27" t="n">
        <x:f>SUM('BS'!N16,SUM((1*'Funding'!O12),(-1*'Funding'!O16)))</x:f>
        <x:v>100000</x:v>
      </x:c>
    </x:row>
    <x:row r="38" ht="32" customHeight="1">
      <x:c r="C38" s="7" t="str">
        <x:v>借款本金 · 模型期末</x:v>
      </x:c>
      <x:c r="D38" s="27" t="n">
        <x:f>'BS'!D16</x:f>
        <x:v>100000</x:v>
      </x:c>
      <x:c r="E38" s="27" t="n">
        <x:f>'BS'!E16</x:f>
        <x:v>100000</x:v>
      </x:c>
      <x:c r="F38" s="27" t="n">
        <x:f>'BS'!F16</x:f>
        <x:v>100000</x:v>
      </x:c>
      <x:c r="G38" s="27" t="n">
        <x:f>'BS'!G16</x:f>
        <x:v>100000</x:v>
      </x:c>
      <x:c r="H38" s="27" t="n">
        <x:f>'BS'!H16</x:f>
        <x:v>100000</x:v>
      </x:c>
      <x:c r="I38" s="27" t="n">
        <x:f>'BS'!I16</x:f>
        <x:v>100000</x:v>
      </x:c>
      <x:c r="J38" s="27" t="n">
        <x:f>'BS'!J16</x:f>
        <x:v>100000</x:v>
      </x:c>
      <x:c r="K38" s="27" t="n">
        <x:f>'BS'!K16</x:f>
        <x:v>100000</x:v>
      </x:c>
      <x:c r="L38" s="27" t="n">
        <x:f>'BS'!L16</x:f>
        <x:v>100000</x:v>
      </x:c>
      <x:c r="M38" s="27" t="n">
        <x:f>'BS'!M16</x:f>
        <x:v>100000</x:v>
      </x:c>
      <x:c r="N38" s="27" t="n">
        <x:f>'BS'!N16</x:f>
        <x:v>100000</x:v>
      </x:c>
      <x:c r="O38" s="27" t="n">
        <x:f>'BS'!O16</x:f>
        <x:v>100000</x:v>
      </x:c>
    </x:row>
    <x:row r="39" ht="32" customHeight="1">
      <x:c r="C39" s="7" t="str">
        <x:v>借款本金 · 差额</x:v>
      </x:c>
      <x:c r="D39" s="27" t="n">
        <x:f>'WiringChecks'!D15</x:f>
        <x:v>0</x:v>
      </x:c>
      <x:c r="E39" s="27" t="n">
        <x:f>'WiringChecks'!E15</x:f>
        <x:v>0</x:v>
      </x:c>
      <x:c r="F39" s="27" t="n">
        <x:f>'WiringChecks'!F15</x:f>
        <x:v>0</x:v>
      </x:c>
      <x:c r="G39" s="27" t="n">
        <x:f>'WiringChecks'!G15</x:f>
        <x:v>0</x:v>
      </x:c>
      <x:c r="H39" s="27" t="n">
        <x:f>'WiringChecks'!H15</x:f>
        <x:v>0</x:v>
      </x:c>
      <x:c r="I39" s="27" t="n">
        <x:f>'WiringChecks'!I15</x:f>
        <x:v>0</x:v>
      </x:c>
      <x:c r="J39" s="27" t="n">
        <x:f>'WiringChecks'!J15</x:f>
        <x:v>0</x:v>
      </x:c>
      <x:c r="K39" s="27" t="n">
        <x:f>'WiringChecks'!K15</x:f>
        <x:v>0</x:v>
      </x:c>
      <x:c r="L39" s="27" t="n">
        <x:f>'WiringChecks'!L15</x:f>
        <x:v>0</x:v>
      </x:c>
      <x:c r="M39" s="27" t="n">
        <x:f>'WiringChecks'!M15</x:f>
        <x:v>0</x:v>
      </x:c>
      <x:c r="N39" s="27" t="n">
        <x:f>'WiringChecks'!N15</x:f>
        <x:v>0</x:v>
      </x:c>
      <x:c r="O39" s="27" t="n">
        <x:f>'WiringChecks'!O15</x:f>
        <x:v>0</x:v>
      </x:c>
    </x:row>
    <x:row r="40" ht="32" customHeight="1">
      <x:c r="C40" s="7" t="str">
        <x:v>其他负债 · 期初</x:v>
      </x:c>
      <x:c r="D40" s="27" t="n">
        <x:f>'History'!F18</x:f>
        <x:v>0</x:v>
      </x:c>
      <x:c r="E40" s="27" t="n">
        <x:f>'BS'!D17</x:f>
        <x:v>0</x:v>
      </x:c>
      <x:c r="F40" s="27" t="n">
        <x:f>'BS'!E17</x:f>
        <x:v>0</x:v>
      </x:c>
      <x:c r="G40" s="27" t="n">
        <x:f>'BS'!F17</x:f>
        <x:v>0</x:v>
      </x:c>
      <x:c r="H40" s="27" t="n">
        <x:f>'BS'!G17</x:f>
        <x:v>0</x:v>
      </x:c>
      <x:c r="I40" s="27" t="n">
        <x:f>'BS'!H17</x:f>
        <x:v>0</x:v>
      </x:c>
      <x:c r="J40" s="27" t="n">
        <x:f>'BS'!I17</x:f>
        <x:v>0</x:v>
      </x:c>
      <x:c r="K40" s="27" t="n">
        <x:f>'BS'!J17</x:f>
        <x:v>0</x:v>
      </x:c>
      <x:c r="L40" s="27" t="n">
        <x:f>'BS'!K17</x:f>
        <x:v>0</x:v>
      </x:c>
      <x:c r="M40" s="27" t="n">
        <x:f>'BS'!L17</x:f>
        <x:v>0</x:v>
      </x:c>
      <x:c r="N40" s="27" t="n">
        <x:f>'BS'!M17</x:f>
        <x:v>0</x:v>
      </x:c>
      <x:c r="O40" s="27" t="n">
        <x:f>'BS'!N17</x:f>
        <x:v>0</x:v>
      </x:c>
    </x:row>
    <x:row r="41" ht="32" customHeight="1">
      <x:c r="C41" s="7" t="str">
        <x:v>其他负债 · 按变动计算的期末</x:v>
      </x:c>
      <x:c r="D41" s="27" t="n">
        <x:f>SUM('History'!F18,0)</x:f>
        <x:v>0</x:v>
      </x:c>
      <x:c r="E41" s="27" t="n">
        <x:f>SUM('BS'!D17,0)</x:f>
        <x:v>0</x:v>
      </x:c>
      <x:c r="F41" s="27" t="n">
        <x:f>SUM('BS'!E17,0)</x:f>
        <x:v>0</x:v>
      </x:c>
      <x:c r="G41" s="27" t="n">
        <x:f>SUM('BS'!F17,0)</x:f>
        <x:v>0</x:v>
      </x:c>
      <x:c r="H41" s="27" t="n">
        <x:f>SUM('BS'!G17,0)</x:f>
        <x:v>0</x:v>
      </x:c>
      <x:c r="I41" s="27" t="n">
        <x:f>SUM('BS'!H17,0)</x:f>
        <x:v>0</x:v>
      </x:c>
      <x:c r="J41" s="27" t="n">
        <x:f>SUM('BS'!I17,0)</x:f>
        <x:v>0</x:v>
      </x:c>
      <x:c r="K41" s="27" t="n">
        <x:f>SUM('BS'!J17,0)</x:f>
        <x:v>0</x:v>
      </x:c>
      <x:c r="L41" s="27" t="n">
        <x:f>SUM('BS'!K17,0)</x:f>
        <x:v>0</x:v>
      </x:c>
      <x:c r="M41" s="27" t="n">
        <x:f>SUM('BS'!L17,0)</x:f>
        <x:v>0</x:v>
      </x:c>
      <x:c r="N41" s="27" t="n">
        <x:f>SUM('BS'!M17,0)</x:f>
        <x:v>0</x:v>
      </x:c>
      <x:c r="O41" s="27" t="n">
        <x:f>SUM('BS'!N17,0)</x:f>
        <x:v>0</x:v>
      </x:c>
    </x:row>
    <x:row r="42" ht="32" customHeight="1">
      <x:c r="C42" s="7" t="str">
        <x:v>其他负债 · 模型期末</x:v>
      </x:c>
      <x:c r="D42" s="27" t="n">
        <x:f>'BS'!D17</x:f>
        <x:v>0</x:v>
      </x:c>
      <x:c r="E42" s="27" t="n">
        <x:f>'BS'!E17</x:f>
        <x:v>0</x:v>
      </x:c>
      <x:c r="F42" s="27" t="n">
        <x:f>'BS'!F17</x:f>
        <x:v>0</x:v>
      </x:c>
      <x:c r="G42" s="27" t="n">
        <x:f>'BS'!G17</x:f>
        <x:v>0</x:v>
      </x:c>
      <x:c r="H42" s="27" t="n">
        <x:f>'BS'!H17</x:f>
        <x:v>0</x:v>
      </x:c>
      <x:c r="I42" s="27" t="n">
        <x:f>'BS'!I17</x:f>
        <x:v>0</x:v>
      </x:c>
      <x:c r="J42" s="27" t="n">
        <x:f>'BS'!J17</x:f>
        <x:v>0</x:v>
      </x:c>
      <x:c r="K42" s="27" t="n">
        <x:f>'BS'!K17</x:f>
        <x:v>0</x:v>
      </x:c>
      <x:c r="L42" s="27" t="n">
        <x:f>'BS'!L17</x:f>
        <x:v>0</x:v>
      </x:c>
      <x:c r="M42" s="27" t="n">
        <x:f>'BS'!M17</x:f>
        <x:v>0</x:v>
      </x:c>
      <x:c r="N42" s="27" t="n">
        <x:f>'BS'!N17</x:f>
        <x:v>0</x:v>
      </x:c>
      <x:c r="O42" s="27" t="n">
        <x:f>'BS'!O17</x:f>
        <x:v>0</x:v>
      </x:c>
    </x:row>
    <x:row r="43" ht="32" customHeight="1">
      <x:c r="C43" s="7" t="str">
        <x:v>其他负债 · 差额</x:v>
      </x:c>
      <x:c r="D43" s="27" t="n">
        <x:f>'WiringChecks'!D16</x:f>
        <x:v>0</x:v>
      </x:c>
      <x:c r="E43" s="27" t="n">
        <x:f>'WiringChecks'!E16</x:f>
        <x:v>0</x:v>
      </x:c>
      <x:c r="F43" s="27" t="n">
        <x:f>'WiringChecks'!F16</x:f>
        <x:v>0</x:v>
      </x:c>
      <x:c r="G43" s="27" t="n">
        <x:f>'WiringChecks'!G16</x:f>
        <x:v>0</x:v>
      </x:c>
      <x:c r="H43" s="27" t="n">
        <x:f>'WiringChecks'!H16</x:f>
        <x:v>0</x:v>
      </x:c>
      <x:c r="I43" s="27" t="n">
        <x:f>'WiringChecks'!I16</x:f>
        <x:v>0</x:v>
      </x:c>
      <x:c r="J43" s="27" t="n">
        <x:f>'WiringChecks'!J16</x:f>
        <x:v>0</x:v>
      </x:c>
      <x:c r="K43" s="27" t="n">
        <x:f>'WiringChecks'!K16</x:f>
        <x:v>0</x:v>
      </x:c>
      <x:c r="L43" s="27" t="n">
        <x:f>'WiringChecks'!L16</x:f>
        <x:v>0</x:v>
      </x:c>
      <x:c r="M43" s="27" t="n">
        <x:f>'WiringChecks'!M16</x:f>
        <x:v>0</x:v>
      </x:c>
      <x:c r="N43" s="27" t="n">
        <x:f>'WiringChecks'!N16</x:f>
        <x:v>0</x:v>
      </x:c>
      <x:c r="O43" s="27" t="n">
        <x:f>'WiringChecks'!O16</x:f>
        <x:v>0</x:v>
      </x:c>
    </x:row>
    <x:row r="44" ht="32" customHeight="1">
      <x:c r="C44" s="7" t="str">
        <x:v>股本 · 期初</x:v>
      </x:c>
      <x:c r="D44" s="27" t="n">
        <x:f>'History'!F19</x:f>
        <x:v>400000</x:v>
      </x:c>
      <x:c r="E44" s="27" t="n">
        <x:f>'BS'!D19</x:f>
        <x:v>400000</x:v>
      </x:c>
      <x:c r="F44" s="27" t="n">
        <x:f>'BS'!E19</x:f>
        <x:v>400000</x:v>
      </x:c>
      <x:c r="G44" s="27" t="n">
        <x:f>'BS'!F19</x:f>
        <x:v>400000</x:v>
      </x:c>
      <x:c r="H44" s="27" t="n">
        <x:f>'BS'!G19</x:f>
        <x:v>400000</x:v>
      </x:c>
      <x:c r="I44" s="27" t="n">
        <x:f>'BS'!H19</x:f>
        <x:v>400000</x:v>
      </x:c>
      <x:c r="J44" s="27" t="n">
        <x:f>'BS'!I19</x:f>
        <x:v>400000</x:v>
      </x:c>
      <x:c r="K44" s="27" t="n">
        <x:f>'BS'!J19</x:f>
        <x:v>400000</x:v>
      </x:c>
      <x:c r="L44" s="27" t="n">
        <x:f>'BS'!K19</x:f>
        <x:v>400000</x:v>
      </x:c>
      <x:c r="M44" s="27" t="n">
        <x:f>'BS'!L19</x:f>
        <x:v>400000</x:v>
      </x:c>
      <x:c r="N44" s="27" t="n">
        <x:f>'BS'!M19</x:f>
        <x:v>400000</x:v>
      </x:c>
      <x:c r="O44" s="27" t="n">
        <x:f>'BS'!N19</x:f>
        <x:v>400000</x:v>
      </x:c>
    </x:row>
    <x:row r="45" ht="32" customHeight="1">
      <x:c r="C45" s="7" t="str">
        <x:v>股本 · 按变动计算的期末</x:v>
      </x:c>
      <x:c r="D45" s="27" t="n">
        <x:f>SUM('History'!F19,0)</x:f>
        <x:v>400000</x:v>
      </x:c>
      <x:c r="E45" s="27" t="n">
        <x:f>SUM('BS'!D19,0)</x:f>
        <x:v>400000</x:v>
      </x:c>
      <x:c r="F45" s="27" t="n">
        <x:f>SUM('BS'!E19,0)</x:f>
        <x:v>400000</x:v>
      </x:c>
      <x:c r="G45" s="27" t="n">
        <x:f>SUM('BS'!F19,0)</x:f>
        <x:v>400000</x:v>
      </x:c>
      <x:c r="H45" s="27" t="n">
        <x:f>SUM('BS'!G19,0)</x:f>
        <x:v>400000</x:v>
      </x:c>
      <x:c r="I45" s="27" t="n">
        <x:f>SUM('BS'!H19,0)</x:f>
        <x:v>400000</x:v>
      </x:c>
      <x:c r="J45" s="27" t="n">
        <x:f>SUM('BS'!I19,0)</x:f>
        <x:v>400000</x:v>
      </x:c>
      <x:c r="K45" s="27" t="n">
        <x:f>SUM('BS'!J19,0)</x:f>
        <x:v>400000</x:v>
      </x:c>
      <x:c r="L45" s="27" t="n">
        <x:f>SUM('BS'!K19,0)</x:f>
        <x:v>400000</x:v>
      </x:c>
      <x:c r="M45" s="27" t="n">
        <x:f>SUM('BS'!L19,0)</x:f>
        <x:v>400000</x:v>
      </x:c>
      <x:c r="N45" s="27" t="n">
        <x:f>SUM('BS'!M19,0)</x:f>
        <x:v>400000</x:v>
      </x:c>
      <x:c r="O45" s="27" t="n">
        <x:f>SUM('BS'!N19,0)</x:f>
        <x:v>400000</x:v>
      </x:c>
    </x:row>
    <x:row r="46" ht="32" customHeight="1">
      <x:c r="C46" s="7" t="str">
        <x:v>股本 · 模型期末</x:v>
      </x:c>
      <x:c r="D46" s="27" t="n">
        <x:f>'BS'!D19</x:f>
        <x:v>400000</x:v>
      </x:c>
      <x:c r="E46" s="27" t="n">
        <x:f>'BS'!E19</x:f>
        <x:v>400000</x:v>
      </x:c>
      <x:c r="F46" s="27" t="n">
        <x:f>'BS'!F19</x:f>
        <x:v>400000</x:v>
      </x:c>
      <x:c r="G46" s="27" t="n">
        <x:f>'BS'!G19</x:f>
        <x:v>400000</x:v>
      </x:c>
      <x:c r="H46" s="27" t="n">
        <x:f>'BS'!H19</x:f>
        <x:v>400000</x:v>
      </x:c>
      <x:c r="I46" s="27" t="n">
        <x:f>'BS'!I19</x:f>
        <x:v>400000</x:v>
      </x:c>
      <x:c r="J46" s="27" t="n">
        <x:f>'BS'!J19</x:f>
        <x:v>400000</x:v>
      </x:c>
      <x:c r="K46" s="27" t="n">
        <x:f>'BS'!K19</x:f>
        <x:v>400000</x:v>
      </x:c>
      <x:c r="L46" s="27" t="n">
        <x:f>'BS'!L19</x:f>
        <x:v>400000</x:v>
      </x:c>
      <x:c r="M46" s="27" t="n">
        <x:f>'BS'!M19</x:f>
        <x:v>400000</x:v>
      </x:c>
      <x:c r="N46" s="27" t="n">
        <x:f>'BS'!N19</x:f>
        <x:v>400000</x:v>
      </x:c>
      <x:c r="O46" s="27" t="n">
        <x:f>'BS'!O19</x:f>
        <x:v>400000</x:v>
      </x:c>
    </x:row>
    <x:row r="47" ht="32" customHeight="1">
      <x:c r="C47" s="7" t="str">
        <x:v>股本 · 差额</x:v>
      </x:c>
      <x:c r="D47" s="27" t="n">
        <x:f>'WiringChecks'!D17</x:f>
        <x:v>0</x:v>
      </x:c>
      <x:c r="E47" s="27" t="n">
        <x:f>'WiringChecks'!E17</x:f>
        <x:v>0</x:v>
      </x:c>
      <x:c r="F47" s="27" t="n">
        <x:f>'WiringChecks'!F17</x:f>
        <x:v>0</x:v>
      </x:c>
      <x:c r="G47" s="27" t="n">
        <x:f>'WiringChecks'!G17</x:f>
        <x:v>0</x:v>
      </x:c>
      <x:c r="H47" s="27" t="n">
        <x:f>'WiringChecks'!H17</x:f>
        <x:v>0</x:v>
      </x:c>
      <x:c r="I47" s="27" t="n">
        <x:f>'WiringChecks'!I17</x:f>
        <x:v>0</x:v>
      </x:c>
      <x:c r="J47" s="27" t="n">
        <x:f>'WiringChecks'!J17</x:f>
        <x:v>0</x:v>
      </x:c>
      <x:c r="K47" s="27" t="n">
        <x:f>'WiringChecks'!K17</x:f>
        <x:v>0</x:v>
      </x:c>
      <x:c r="L47" s="27" t="n">
        <x:f>'WiringChecks'!L17</x:f>
        <x:v>0</x:v>
      </x:c>
      <x:c r="M47" s="27" t="n">
        <x:f>'WiringChecks'!M17</x:f>
        <x:v>0</x:v>
      </x:c>
      <x:c r="N47" s="27" t="n">
        <x:f>'WiringChecks'!N17</x:f>
        <x:v>0</x:v>
      </x:c>
      <x:c r="O47" s="27" t="n">
        <x:f>'WiringChecks'!O17</x:f>
        <x:v>0</x:v>
      </x:c>
    </x:row>
    <x:row r="48" ht="32" customHeight="1">
      <x:c r="C48" s="7" t="str">
        <x:v>留存收益 · 期初</x:v>
      </x:c>
      <x:c r="D48" s="27" t="n">
        <x:f>'History'!F42</x:f>
        <x:v>303750</x:v>
      </x:c>
      <x:c r="E48" s="27" t="n">
        <x:f>'BS'!D20</x:f>
        <x:v>414687.5</x:v>
      </x:c>
      <x:c r="F48" s="27" t="n">
        <x:f>'BS'!E20</x:f>
        <x:v>526749.2708333334</x:v>
      </x:c>
      <x:c r="G48" s="27" t="n">
        <x:f>'BS'!F20</x:f>
        <x:v>639946.7748263889</x:v>
      </x:c>
      <x:c r="H48" s="27" t="n">
        <x:f>'BS'!G20</x:f>
        <x:v>754291.587098669</x:v>
      </x:c>
      <x:c r="I48" s="27" t="n">
        <x:f>'BS'!H20</x:f>
        <x:v>869795.3967059718</x:v>
      </x:c>
      <x:c r="J48" s="27" t="n">
        <x:f>'BS'!I20</x:f>
        <x:v>986470.0077948783</x:v>
      </x:c>
      <x:c r="K48" s="27" t="n">
        <x:f>'BS'!J20</x:f>
        <x:v>1104327.3407686586</x:v>
      </x:c>
      <x:c r="L48" s="27" t="n">
        <x:f>'BS'!K20</x:f>
        <x:v>1223379.4334647113</x:v>
      </x:c>
      <x:c r="M48" s="27" t="n">
        <x:f>'BS'!L20</x:f>
        <x:v>1343638.4423436548</x:v>
      </x:c>
      <x:c r="N48" s="27" t="n">
        <x:f>'BS'!M20</x:f>
        <x:v>1465116.6436901852</x:v>
      </x:c>
      <x:c r="O48" s="27" t="n">
        <x:f>'BS'!N20</x:f>
        <x:v>1587826.4348258218</x:v>
      </x:c>
    </x:row>
    <x:row r="49" ht="32" customHeight="1">
      <x:c r="C49" s="7" t="str">
        <x:v>留存收益 · 按变动计算的期末</x:v>
      </x:c>
      <x:c r="D49" s="27" t="n">
        <x:f>SUM('History'!F42,SUM((1*'Revenue'!D11),(-1*'Revenue'!D12),(-1*'PL'!D11),(-1*'PL'!D12),(-1*'PL'!D13),(-1*'Assets'!D10),(-1*'Funding'!D9),(-1*'PL'!D20),(-1*'Funding'!D21)))</x:f>
        <x:v>414687.5</x:v>
      </x:c>
      <x:c r="E49" s="27" t="n">
        <x:f>SUM('BS'!D20,SUM((1*'Revenue'!E11),(-1*'Revenue'!E12),(-1*'PL'!E11),(-1*'PL'!E12),(-1*'PL'!E13),(-1*'Assets'!E10),(-1*'Funding'!E9),(-1*'PL'!E20),(-1*'Funding'!E21)))</x:f>
        <x:v>526749.2708333334</x:v>
      </x:c>
      <x:c r="F49" s="27" t="n">
        <x:f>SUM('BS'!E20,SUM((1*'Revenue'!F11),(-1*'Revenue'!F12),(-1*'PL'!F11),(-1*'PL'!F12),(-1*'PL'!F13),(-1*'Assets'!F10),(-1*'Funding'!F9),(-1*'PL'!F20),(-1*'Funding'!F21)))</x:f>
        <x:v>639946.7748263889</x:v>
      </x:c>
      <x:c r="G49" s="27" t="n">
        <x:f>SUM('BS'!F20,SUM((1*'Revenue'!G11),(-1*'Revenue'!G12),(-1*'PL'!G11),(-1*'PL'!G12),(-1*'PL'!G13),(-1*'Assets'!G10),(-1*'Funding'!G9),(-1*'PL'!G20),(-1*'Funding'!G21)))</x:f>
        <x:v>754291.587098669</x:v>
      </x:c>
      <x:c r="H49" s="27" t="n">
        <x:f>SUM('BS'!G20,SUM((1*'Revenue'!H11),(-1*'Revenue'!H12),(-1*'PL'!H11),(-1*'PL'!H12),(-1*'PL'!H13),(-1*'Assets'!H10),(-1*'Funding'!H9),(-1*'PL'!H20),(-1*'Funding'!H21)))</x:f>
        <x:v>869795.3967059718</x:v>
      </x:c>
      <x:c r="I49" s="27" t="n">
        <x:f>SUM('BS'!H20,SUM((1*'Revenue'!I11),(-1*'Revenue'!I12),(-1*'PL'!I11),(-1*'PL'!I12),(-1*'PL'!I13),(-1*'Assets'!I10),(-1*'Funding'!I9),(-1*'PL'!I20),(-1*'Funding'!I21)))</x:f>
        <x:v>986470.0077948783</x:v>
      </x:c>
      <x:c r="J49" s="27" t="n">
        <x:f>SUM('BS'!I20,SUM((1*'Revenue'!J11),(-1*'Revenue'!J12),(-1*'PL'!J11),(-1*'PL'!J12),(-1*'PL'!J13),(-1*'Assets'!J10),(-1*'Funding'!J9),(-1*'PL'!J20),(-1*'Funding'!J21)))</x:f>
        <x:v>1104327.3407686586</x:v>
      </x:c>
      <x:c r="K49" s="27" t="n">
        <x:f>SUM('BS'!J20,SUM((1*'Revenue'!K11),(-1*'Revenue'!K12),(-1*'PL'!K11),(-1*'PL'!K12),(-1*'PL'!K13),(-1*'Assets'!K10),(-1*'Funding'!K9),(-1*'PL'!K20),(-1*'Funding'!K21)))</x:f>
        <x:v>1223379.4334647113</x:v>
      </x:c>
      <x:c r="L49" s="27" t="n">
        <x:f>SUM('BS'!K20,SUM((1*'Revenue'!L11),(-1*'Revenue'!L12),(-1*'PL'!L11),(-1*'PL'!L12),(-1*'PL'!L13),(-1*'Assets'!L10),(-1*'Funding'!L9),(-1*'PL'!L20),(-1*'Funding'!L21)))</x:f>
        <x:v>1343638.4423436548</x:v>
      </x:c>
      <x:c r="M49" s="27" t="n">
        <x:f>SUM('BS'!L20,SUM((1*'Revenue'!M11),(-1*'Revenue'!M12),(-1*'PL'!M11),(-1*'PL'!M12),(-1*'PL'!M13),(-1*'Assets'!M10),(-1*'Funding'!M9),(-1*'PL'!M20),(-1*'Funding'!M21)))</x:f>
        <x:v>1465116.6436901852</x:v>
      </x:c>
      <x:c r="N49" s="27" t="n">
        <x:f>SUM('BS'!M20,SUM((1*'Revenue'!N11),(-1*'Revenue'!N12),(-1*'PL'!N11),(-1*'PL'!N12),(-1*'PL'!N13),(-1*'Assets'!N10),(-1*'Funding'!N9),(-1*'PL'!N20),(-1*'Funding'!N21)))</x:f>
        <x:v>1587826.4348258218</x:v>
      </x:c>
      <x:c r="O49" s="27" t="n">
        <x:f>SUM('BS'!N20,SUM((1*'Revenue'!O11),(-1*'Revenue'!O12),(-1*'PL'!O11),(-1*'PL'!O12),(-1*'PL'!O13),(-1*'Assets'!O10),(-1*'Funding'!O9),(-1*'PL'!O20),(-1*'Funding'!O21)))</x:f>
        <x:v>1711780.3353336586</x:v>
      </x:c>
    </x:row>
    <x:row r="50" ht="32" customHeight="1">
      <x:c r="C50" s="7" t="str">
        <x:v>留存收益 · 模型期末</x:v>
      </x:c>
      <x:c r="D50" s="27" t="n">
        <x:f>'BS'!D20</x:f>
        <x:v>414687.5</x:v>
      </x:c>
      <x:c r="E50" s="27" t="n">
        <x:f>'BS'!E20</x:f>
        <x:v>526749.2708333334</x:v>
      </x:c>
      <x:c r="F50" s="27" t="n">
        <x:f>'BS'!F20</x:f>
        <x:v>639946.7748263889</x:v>
      </x:c>
      <x:c r="G50" s="27" t="n">
        <x:f>'BS'!G20</x:f>
        <x:v>754291.587098669</x:v>
      </x:c>
      <x:c r="H50" s="27" t="n">
        <x:f>'BS'!H20</x:f>
        <x:v>869795.3967059718</x:v>
      </x:c>
      <x:c r="I50" s="27" t="n">
        <x:f>'BS'!I20</x:f>
        <x:v>986470.0077948783</x:v>
      </x:c>
      <x:c r="J50" s="27" t="n">
        <x:f>'BS'!J20</x:f>
        <x:v>1104327.3407686586</x:v>
      </x:c>
      <x:c r="K50" s="27" t="n">
        <x:f>'BS'!K20</x:f>
        <x:v>1223379.4334647113</x:v>
      </x:c>
      <x:c r="L50" s="27" t="n">
        <x:f>'BS'!L20</x:f>
        <x:v>1343638.4423436548</x:v>
      </x:c>
      <x:c r="M50" s="27" t="n">
        <x:f>'BS'!M20</x:f>
        <x:v>1465116.6436901852</x:v>
      </x:c>
      <x:c r="N50" s="27" t="n">
        <x:f>'BS'!N20</x:f>
        <x:v>1587826.4348258218</x:v>
      </x:c>
      <x:c r="O50" s="27" t="n">
        <x:f>'BS'!O20</x:f>
        <x:v>1711780.3353336586</x:v>
      </x:c>
    </x:row>
    <x:row r="51" ht="32" customHeight="1">
      <x:c r="C51" s="7" t="str">
        <x:v>留存收益 · 差额</x:v>
      </x:c>
      <x:c r="D51" s="27" t="n">
        <x:f>'WiringChecks'!D18</x:f>
        <x:v>0</x:v>
      </x:c>
      <x:c r="E51" s="27" t="n">
        <x:f>'WiringChecks'!E18</x:f>
        <x:v>0</x:v>
      </x:c>
      <x:c r="F51" s="27" t="n">
        <x:f>'WiringChecks'!F18</x:f>
        <x:v>0</x:v>
      </x:c>
      <x:c r="G51" s="27" t="n">
        <x:f>'WiringChecks'!G18</x:f>
        <x:v>0</x:v>
      </x:c>
      <x:c r="H51" s="27" t="n">
        <x:f>'WiringChecks'!H18</x:f>
        <x:v>0</x:v>
      </x:c>
      <x:c r="I51" s="27" t="n">
        <x:f>'WiringChecks'!I18</x:f>
        <x:v>0</x:v>
      </x:c>
      <x:c r="J51" s="27" t="n">
        <x:f>'WiringChecks'!J18</x:f>
        <x:v>0</x:v>
      </x:c>
      <x:c r="K51" s="27" t="n">
        <x:f>'WiringChecks'!K18</x:f>
        <x:v>0</x:v>
      </x:c>
      <x:c r="L51" s="27" t="n">
        <x:f>'WiringChecks'!L18</x:f>
        <x:v>0</x:v>
      </x:c>
      <x:c r="M51" s="27" t="n">
        <x:f>'WiringChecks'!M18</x:f>
        <x:v>0</x:v>
      </x:c>
      <x:c r="N51" s="27" t="n">
        <x:f>'WiringChecks'!N18</x:f>
        <x:v>0</x:v>
      </x:c>
      <x:c r="O51" s="27" t="n">
        <x:f>'WiringChecks'!O18</x:f>
        <x:v>0</x:v>
      </x:c>
    </x:row>
    <x:row r="52" ht="32" customHeight="1">
      <x:c r="C52" s="7" t="str">
        <x:v>其他权益 · 期初</x:v>
      </x:c>
      <x:c r="D52" s="27" t="n">
        <x:f>'History'!F21</x:f>
        <x:v>0</x:v>
      </x:c>
      <x:c r="E52" s="27" t="n">
        <x:f>'BS'!D21</x:f>
        <x:v>0</x:v>
      </x:c>
      <x:c r="F52" s="27" t="n">
        <x:f>'BS'!E21</x:f>
        <x:v>0</x:v>
      </x:c>
      <x:c r="G52" s="27" t="n">
        <x:f>'BS'!F21</x:f>
        <x:v>0</x:v>
      </x:c>
      <x:c r="H52" s="27" t="n">
        <x:f>'BS'!G21</x:f>
        <x:v>0</x:v>
      </x:c>
      <x:c r="I52" s="27" t="n">
        <x:f>'BS'!H21</x:f>
        <x:v>0</x:v>
      </x:c>
      <x:c r="J52" s="27" t="n">
        <x:f>'BS'!I21</x:f>
        <x:v>0</x:v>
      </x:c>
      <x:c r="K52" s="27" t="n">
        <x:f>'BS'!J21</x:f>
        <x:v>0</x:v>
      </x:c>
      <x:c r="L52" s="27" t="n">
        <x:f>'BS'!K21</x:f>
        <x:v>0</x:v>
      </x:c>
      <x:c r="M52" s="27" t="n">
        <x:f>'BS'!L21</x:f>
        <x:v>0</x:v>
      </x:c>
      <x:c r="N52" s="27" t="n">
        <x:f>'BS'!M21</x:f>
        <x:v>0</x:v>
      </x:c>
      <x:c r="O52" s="27" t="n">
        <x:f>'BS'!N21</x:f>
        <x:v>0</x:v>
      </x:c>
    </x:row>
    <x:row r="53" ht="32" customHeight="1">
      <x:c r="C53" s="7" t="str">
        <x:v>其他权益 · 按变动计算的期末</x:v>
      </x:c>
      <x:c r="D53" s="27" t="n">
        <x:f>SUM('History'!F21,0)</x:f>
        <x:v>0</x:v>
      </x:c>
      <x:c r="E53" s="27" t="n">
        <x:f>SUM('BS'!D21,0)</x:f>
        <x:v>0</x:v>
      </x:c>
      <x:c r="F53" s="27" t="n">
        <x:f>SUM('BS'!E21,0)</x:f>
        <x:v>0</x:v>
      </x:c>
      <x:c r="G53" s="27" t="n">
        <x:f>SUM('BS'!F21,0)</x:f>
        <x:v>0</x:v>
      </x:c>
      <x:c r="H53" s="27" t="n">
        <x:f>SUM('BS'!G21,0)</x:f>
        <x:v>0</x:v>
      </x:c>
      <x:c r="I53" s="27" t="n">
        <x:f>SUM('BS'!H21,0)</x:f>
        <x:v>0</x:v>
      </x:c>
      <x:c r="J53" s="27" t="n">
        <x:f>SUM('BS'!I21,0)</x:f>
        <x:v>0</x:v>
      </x:c>
      <x:c r="K53" s="27" t="n">
        <x:f>SUM('BS'!J21,0)</x:f>
        <x:v>0</x:v>
      </x:c>
      <x:c r="L53" s="27" t="n">
        <x:f>SUM('BS'!K21,0)</x:f>
        <x:v>0</x:v>
      </x:c>
      <x:c r="M53" s="27" t="n">
        <x:f>SUM('BS'!L21,0)</x:f>
        <x:v>0</x:v>
      </x:c>
      <x:c r="N53" s="27" t="n">
        <x:f>SUM('BS'!M21,0)</x:f>
        <x:v>0</x:v>
      </x:c>
      <x:c r="O53" s="27" t="n">
        <x:f>SUM('BS'!N21,0)</x:f>
        <x:v>0</x:v>
      </x:c>
    </x:row>
    <x:row r="54" ht="32" customHeight="1">
      <x:c r="C54" s="7" t="str">
        <x:v>其他权益 · 模型期末</x:v>
      </x:c>
      <x:c r="D54" s="27" t="n">
        <x:f>'BS'!D21</x:f>
        <x:v>0</x:v>
      </x:c>
      <x:c r="E54" s="27" t="n">
        <x:f>'BS'!E21</x:f>
        <x:v>0</x:v>
      </x:c>
      <x:c r="F54" s="27" t="n">
        <x:f>'BS'!F21</x:f>
        <x:v>0</x:v>
      </x:c>
      <x:c r="G54" s="27" t="n">
        <x:f>'BS'!G21</x:f>
        <x:v>0</x:v>
      </x:c>
      <x:c r="H54" s="27" t="n">
        <x:f>'BS'!H21</x:f>
        <x:v>0</x:v>
      </x:c>
      <x:c r="I54" s="27" t="n">
        <x:f>'BS'!I21</x:f>
        <x:v>0</x:v>
      </x:c>
      <x:c r="J54" s="27" t="n">
        <x:f>'BS'!J21</x:f>
        <x:v>0</x:v>
      </x:c>
      <x:c r="K54" s="27" t="n">
        <x:f>'BS'!K21</x:f>
        <x:v>0</x:v>
      </x:c>
      <x:c r="L54" s="27" t="n">
        <x:f>'BS'!L21</x:f>
        <x:v>0</x:v>
      </x:c>
      <x:c r="M54" s="27" t="n">
        <x:f>'BS'!M21</x:f>
        <x:v>0</x:v>
      </x:c>
      <x:c r="N54" s="27" t="n">
        <x:f>'BS'!N21</x:f>
        <x:v>0</x:v>
      </x:c>
      <x:c r="O54" s="27" t="n">
        <x:f>'BS'!O21</x:f>
        <x:v>0</x:v>
      </x:c>
    </x:row>
    <x:row r="55" ht="32" customHeight="1">
      <x:c r="C55" s="7" t="str">
        <x:v>其他权益 · 差额</x:v>
      </x:c>
      <x:c r="D55" s="27" t="n">
        <x:f>'WiringChecks'!D19</x:f>
        <x:v>0</x:v>
      </x:c>
      <x:c r="E55" s="27" t="n">
        <x:f>'WiringChecks'!E19</x:f>
        <x:v>0</x:v>
      </x:c>
      <x:c r="F55" s="27" t="n">
        <x:f>'WiringChecks'!F19</x:f>
        <x:v>0</x:v>
      </x:c>
      <x:c r="G55" s="27" t="n">
        <x:f>'WiringChecks'!G19</x:f>
        <x:v>0</x:v>
      </x:c>
      <x:c r="H55" s="27" t="n">
        <x:f>'WiringChecks'!H19</x:f>
        <x:v>0</x:v>
      </x:c>
      <x:c r="I55" s="27" t="n">
        <x:f>'WiringChecks'!I19</x:f>
        <x:v>0</x:v>
      </x:c>
      <x:c r="J55" s="27" t="n">
        <x:f>'WiringChecks'!J19</x:f>
        <x:v>0</x:v>
      </x:c>
      <x:c r="K55" s="27" t="n">
        <x:f>'WiringChecks'!K19</x:f>
        <x:v>0</x:v>
      </x:c>
      <x:c r="L55" s="27" t="n">
        <x:f>'WiringChecks'!L19</x:f>
        <x:v>0</x:v>
      </x:c>
      <x:c r="M55" s="27" t="n">
        <x:f>'WiringChecks'!M19</x:f>
        <x:v>0</x:v>
      </x:c>
      <x:c r="N55" s="27" t="n">
        <x:f>'WiringChecks'!N19</x:f>
        <x:v>0</x:v>
      </x:c>
      <x:c r="O55" s="27" t="n">
        <x:f>'WiringChecks'!O19</x:f>
        <x:v>0</x:v>
      </x:c>
    </x:row>
    <x:row r="56" ht="22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</x:sheetData>
  <x:conditionalFormatting sqref="D11:O11">
    <x:cfRule type="cellIs" dxfId="0" priority="1" operator="greaterThan">
      <x:formula>0.000090375</x:formula>
    </x:cfRule>
    <x:cfRule type="cellIs" dxfId="1" priority="2" operator="lessThan">
      <x:formula>-0.000090375</x:formula>
    </x:cfRule>
  </x:conditionalFormatting>
  <x:conditionalFormatting sqref="D15:O15">
    <x:cfRule type="cellIs" dxfId="2" priority="3" operator="greaterThan">
      <x:formula>0.000090375</x:formula>
    </x:cfRule>
    <x:cfRule type="cellIs" dxfId="3" priority="4" operator="lessThan">
      <x:formula>-0.000090375</x:formula>
    </x:cfRule>
  </x:conditionalFormatting>
  <x:conditionalFormatting sqref="D19:O19">
    <x:cfRule type="cellIs" dxfId="4" priority="5" operator="greaterThan">
      <x:formula>0.000090375</x:formula>
    </x:cfRule>
    <x:cfRule type="cellIs" dxfId="5" priority="6" operator="lessThan">
      <x:formula>-0.000090375</x:formula>
    </x:cfRule>
  </x:conditionalFormatting>
  <x:conditionalFormatting sqref="D23:O23">
    <x:cfRule type="cellIs" dxfId="6" priority="7" operator="greaterThan">
      <x:formula>1e-8</x:formula>
    </x:cfRule>
    <x:cfRule type="cellIs" dxfId="7" priority="8" operator="lessThan">
      <x:formula>-1e-8</x:formula>
    </x:cfRule>
  </x:conditionalFormatting>
  <x:conditionalFormatting sqref="D27:O27">
    <x:cfRule type="cellIs" dxfId="8" priority="9" operator="greaterThan">
      <x:formula>1e-8</x:formula>
    </x:cfRule>
    <x:cfRule type="cellIs" dxfId="9" priority="10" operator="lessThan">
      <x:formula>-1e-8</x:formula>
    </x:cfRule>
  </x:conditionalFormatting>
  <x:conditionalFormatting sqref="D31:O31">
    <x:cfRule type="cellIs" dxfId="10" priority="11" operator="greaterThan">
      <x:formula>1e-8</x:formula>
    </x:cfRule>
    <x:cfRule type="cellIs" dxfId="11" priority="12" operator="lessThan">
      <x:formula>-1e-8</x:formula>
    </x:cfRule>
  </x:conditionalFormatting>
  <x:conditionalFormatting sqref="D35:O35">
    <x:cfRule type="cellIs" dxfId="12" priority="13" operator="greaterThan">
      <x:formula>1e-8</x:formula>
    </x:cfRule>
    <x:cfRule type="cellIs" dxfId="13" priority="14" operator="lessThan">
      <x:formula>-1e-8</x:formula>
    </x:cfRule>
  </x:conditionalFormatting>
  <x:conditionalFormatting sqref="D39:O39">
    <x:cfRule type="cellIs" dxfId="14" priority="15" operator="greaterThan">
      <x:formula>1e-8</x:formula>
    </x:cfRule>
    <x:cfRule type="cellIs" dxfId="15" priority="16" operator="lessThan">
      <x:formula>-1e-8</x:formula>
    </x:cfRule>
  </x:conditionalFormatting>
  <x:conditionalFormatting sqref="D43:O43">
    <x:cfRule type="cellIs" dxfId="16" priority="17" operator="greaterThan">
      <x:formula>1e-8</x:formula>
    </x:cfRule>
    <x:cfRule type="cellIs" dxfId="17" priority="18" operator="lessThan">
      <x:formula>-1e-8</x:formula>
    </x:cfRule>
  </x:conditionalFormatting>
  <x:conditionalFormatting sqref="D47:O47">
    <x:cfRule type="cellIs" dxfId="18" priority="19" operator="greaterThan">
      <x:formula>1e-8</x:formula>
    </x:cfRule>
    <x:cfRule type="cellIs" dxfId="19" priority="20" operator="lessThan">
      <x:formula>-1e-8</x:formula>
    </x:cfRule>
  </x:conditionalFormatting>
  <x:conditionalFormatting sqref="D51:O51">
    <x:cfRule type="cellIs" dxfId="20" priority="21" operator="greaterThan">
      <x:formula>1e-8</x:formula>
    </x:cfRule>
    <x:cfRule type="cellIs" dxfId="21" priority="22" operator="lessThan">
      <x:formula>-1e-8</x:formula>
    </x:cfRule>
  </x:conditionalFormatting>
  <x:conditionalFormatting sqref="D55:O55">
    <x:cfRule type="cellIs" dxfId="22" priority="23" operator="greaterThan">
      <x:formula>1e-8</x:formula>
    </x:cfRule>
    <x:cfRule type="cellIs" dxfId="23" priority="24" operator="lessThan">
      <x:formula>-1e-8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2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1" customHeight="1">
      <x:c r="C2" s="4" t="str">
        <x:v>Financial Movement Coverage Checks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2" customHeight="1">
      <x:c r="C7" s="15" t="str">
        <x:v>Forecast month</x:v>
      </x:c>
      <x:c r="D7" s="16" t="n">
        <x:v>46113</x:v>
      </x:c>
      <x:c r="E7" s="16" t="n">
        <x:v>46143</x:v>
      </x:c>
      <x:c r="F7" s="16" t="n">
        <x:v>46174</x:v>
      </x:c>
      <x:c r="G7" s="16" t="n">
        <x:v>46204</x:v>
      </x:c>
      <x:c r="H7" s="16" t="n">
        <x:v>46235</x:v>
      </x:c>
      <x:c r="I7" s="16" t="n">
        <x:v>46266</x:v>
      </x:c>
      <x:c r="J7" s="16" t="n">
        <x:v>46296</x:v>
      </x:c>
      <x:c r="K7" s="16" t="n">
        <x:v>46327</x:v>
      </x:c>
      <x:c r="L7" s="16" t="n">
        <x:v>46357</x:v>
      </x:c>
      <x:c r="M7" s="16" t="n">
        <x:v>46388</x:v>
      </x:c>
      <x:c r="N7" s="16" t="n">
        <x:v>46419</x:v>
      </x:c>
      <x:c r="O7" s="16" t="n">
        <x:v>46447</x:v>
      </x:c>
    </x:row>
    <x:row r="8" ht="32" customHeight="1">
      <x:c r="C8" s="7" t="str">
        <x:v>现金 movement coverage difference</x:v>
      </x:c>
      <x:c r="D8" s="27" t="n">
        <x:f>('BS'!D8-SUM('History'!F8,SUM((1*'WorkingCapital'!D11),(-1*'WorkingCapital'!D19),(-1*'PL'!D11),(-1*'PL'!D12),(-1*'PL'!D13),(-1*'Assets'!D9),(-1*'Funding'!D9),(-1*'CF'!D10),(1*'Funding'!D12),(-1*'Funding'!D16),(-1*'Funding'!D21))))</x:f>
        <x:v>0</x:v>
      </x:c>
      <x:c r="E8" s="27" t="n">
        <x:f>('BS'!E8-SUM('BS'!D8,SUM((1*'WorkingCapital'!E11),(-1*'WorkingCapital'!E19),(-1*'PL'!E11),(-1*'PL'!E12),(-1*'PL'!E13),(-1*'Assets'!E9),(-1*'Funding'!E9),(-1*'CF'!E10),(1*'Funding'!E12),(-1*'Funding'!E16),(-1*'Funding'!E21))))</x:f>
        <x:v>0</x:v>
      </x:c>
      <x:c r="F8" s="27" t="n">
        <x:f>('BS'!F8-SUM('BS'!E8,SUM((1*'WorkingCapital'!F11),(-1*'WorkingCapital'!F19),(-1*'PL'!F11),(-1*'PL'!F12),(-1*'PL'!F13),(-1*'Assets'!F9),(-1*'Funding'!F9),(-1*'CF'!F10),(1*'Funding'!F12),(-1*'Funding'!F16),(-1*'Funding'!F21))))</x:f>
        <x:v>0</x:v>
      </x:c>
      <x:c r="G8" s="27" t="n">
        <x:f>('BS'!G8-SUM('BS'!F8,SUM((1*'WorkingCapital'!G11),(-1*'WorkingCapital'!G19),(-1*'PL'!G11),(-1*'PL'!G12),(-1*'PL'!G13),(-1*'Assets'!G9),(-1*'Funding'!G9),(-1*'CF'!G10),(1*'Funding'!G12),(-1*'Funding'!G16),(-1*'Funding'!G21))))</x:f>
        <x:v>0</x:v>
      </x:c>
      <x:c r="H8" s="27" t="n">
        <x:f>('BS'!H8-SUM('BS'!G8,SUM((1*'WorkingCapital'!H11),(-1*'WorkingCapital'!H19),(-1*'PL'!H11),(-1*'PL'!H12),(-1*'PL'!H13),(-1*'Assets'!H9),(-1*'Funding'!H9),(-1*'CF'!H10),(1*'Funding'!H12),(-1*'Funding'!H16),(-1*'Funding'!H21))))</x:f>
        <x:v>0</x:v>
      </x:c>
      <x:c r="I8" s="27" t="n">
        <x:f>('BS'!I8-SUM('BS'!H8,SUM((1*'WorkingCapital'!I11),(-1*'WorkingCapital'!I19),(-1*'PL'!I11),(-1*'PL'!I12),(-1*'PL'!I13),(-1*'Assets'!I9),(-1*'Funding'!I9),(-1*'CF'!I10),(1*'Funding'!I12),(-1*'Funding'!I16),(-1*'Funding'!I21))))</x:f>
        <x:v>-1.1641532182693481e-10</x:v>
      </x:c>
      <x:c r="J8" s="27" t="n">
        <x:f>('BS'!J8-SUM('BS'!I8,SUM((1*'WorkingCapital'!J11),(-1*'WorkingCapital'!J19),(-1*'PL'!J11),(-1*'PL'!J12),(-1*'PL'!J13),(-1*'Assets'!J9),(-1*'Funding'!J9),(-1*'CF'!J10),(1*'Funding'!J12),(-1*'Funding'!J16),(-1*'Funding'!J21))))</x:f>
        <x:v>0</x:v>
      </x:c>
      <x:c r="K8" s="27" t="n">
        <x:f>('BS'!K8-SUM('BS'!J8,SUM((1*'WorkingCapital'!K11),(-1*'WorkingCapital'!K19),(-1*'PL'!K11),(-1*'PL'!K12),(-1*'PL'!K13),(-1*'Assets'!K9),(-1*'Funding'!K9),(-1*'CF'!K10),(1*'Funding'!K12),(-1*'Funding'!K16),(-1*'Funding'!K21))))</x:f>
        <x:v>0</x:v>
      </x:c>
      <x:c r="L8" s="27" t="n">
        <x:f>('BS'!L8-SUM('BS'!K8,SUM((1*'WorkingCapital'!L11),(-1*'WorkingCapital'!L19),(-1*'PL'!L11),(-1*'PL'!L12),(-1*'PL'!L13),(-1*'Assets'!L9),(-1*'Funding'!L9),(-1*'CF'!L10),(1*'Funding'!L12),(-1*'Funding'!L16),(-1*'Funding'!L21))))</x:f>
        <x:v>-2.3283064365386963e-10</x:v>
      </x:c>
      <x:c r="M8" s="27" t="n">
        <x:f>('BS'!M8-SUM('BS'!L8,SUM((1*'WorkingCapital'!M11),(-1*'WorkingCapital'!M19),(-1*'PL'!M11),(-1*'PL'!M12),(-1*'PL'!M13),(-1*'Assets'!M9),(-1*'Funding'!M9),(-1*'CF'!M10),(1*'Funding'!M12),(-1*'Funding'!M16),(-1*'Funding'!M21))))</x:f>
        <x:v>0</x:v>
      </x:c>
      <x:c r="N8" s="27" t="n">
        <x:f>('BS'!N8-SUM('BS'!M8,SUM((1*'WorkingCapital'!N11),(-1*'WorkingCapital'!N19),(-1*'PL'!N11),(-1*'PL'!N12),(-1*'PL'!N13),(-1*'Assets'!N9),(-1*'Funding'!N9),(-1*'CF'!N10),(1*'Funding'!N12),(-1*'Funding'!N16),(-1*'Funding'!N21))))</x:f>
        <x:v>0</x:v>
      </x:c>
      <x:c r="O8" s="27" t="n">
        <x:f>('BS'!O8-SUM('BS'!N8,SUM((1*'WorkingCapital'!O11),(-1*'WorkingCapital'!O19),(-1*'PL'!O11),(-1*'PL'!O12),(-1*'PL'!O13),(-1*'Assets'!O9),(-1*'Funding'!O9),(-1*'CF'!O10),(1*'Funding'!O12),(-1*'Funding'!O16),(-1*'Funding'!O21))))</x:f>
        <x:v>2.3283064365386963e-10</x:v>
      </x:c>
    </x:row>
    <x:row r="9" ht="32" customHeight="1">
      <x:c r="C9" s="7" t="str">
        <x:v>应收账款 movement coverage difference</x:v>
      </x:c>
      <x:c r="D9" s="27" t="n">
        <x:f>('BS'!D9-SUM('History'!F9,SUM((1*'Revenue'!D11),(-1*'WorkingCapital'!D11))))</x:f>
        <x:v>0</x:v>
      </x:c>
      <x:c r="E9" s="27" t="n">
        <x:f>('BS'!E9-SUM('BS'!D9,SUM((1*'Revenue'!E11),(-1*'WorkingCapital'!E11))))</x:f>
        <x:v>5.820766091346741e-11</x:v>
      </x:c>
      <x:c r="F9" s="27" t="n">
        <x:f>('BS'!F9-SUM('BS'!E9,SUM((1*'Revenue'!F11),(-1*'WorkingCapital'!F11))))</x:f>
        <x:v>-5.820766091346741e-11</x:v>
      </x:c>
      <x:c r="G9" s="27" t="n">
        <x:f>('BS'!G9-SUM('BS'!F9,SUM((1*'Revenue'!G11),(-1*'WorkingCapital'!G11))))</x:f>
        <x:v>-5.820766091346741e-11</x:v>
      </x:c>
      <x:c r="H9" s="27" t="n">
        <x:f>('BS'!H9-SUM('BS'!G9,SUM((1*'Revenue'!H11),(-1*'WorkingCapital'!H11))))</x:f>
        <x:v>5.820766091346741e-11</x:v>
      </x:c>
      <x:c r="I9" s="27" t="n">
        <x:f>('BS'!I9-SUM('BS'!H9,SUM((1*'Revenue'!I11),(-1*'WorkingCapital'!I11))))</x:f>
        <x:v>0</x:v>
      </x:c>
      <x:c r="J9" s="27" t="n">
        <x:f>('BS'!J9-SUM('BS'!I9,SUM((1*'Revenue'!J11),(-1*'WorkingCapital'!J11))))</x:f>
        <x:v>-5.820766091346741e-11</x:v>
      </x:c>
      <x:c r="K9" s="27" t="n">
        <x:f>('BS'!K9-SUM('BS'!J9,SUM((1*'Revenue'!K11),(-1*'WorkingCapital'!K11))))</x:f>
        <x:v>-1.1641532182693481e-10</x:v>
      </x:c>
      <x:c r="L9" s="27" t="n">
        <x:f>('BS'!L9-SUM('BS'!K9,SUM((1*'Revenue'!L11),(-1*'WorkingCapital'!L11))))</x:f>
        <x:v>1.1641532182693481e-10</x:v>
      </x:c>
      <x:c r="M9" s="27" t="n">
        <x:f>('BS'!M9-SUM('BS'!L9,SUM((1*'Revenue'!M11),(-1*'WorkingCapital'!M11))))</x:f>
        <x:v>0</x:v>
      </x:c>
      <x:c r="N9" s="27" t="n">
        <x:f>('BS'!N9-SUM('BS'!M9,SUM((1*'Revenue'!N11),(-1*'WorkingCapital'!N11))))</x:f>
        <x:v>-1.1641532182693481e-10</x:v>
      </x:c>
      <x:c r="O9" s="27" t="n">
        <x:f>('BS'!O9-SUM('BS'!N9,SUM((1*'Revenue'!O11),(-1*'WorkingCapital'!O11))))</x:f>
        <x:v>1.1641532182693481e-10</x:v>
      </x:c>
    </x:row>
    <x:row r="10" ht="32" customHeight="1">
      <x:c r="C10" s="7" t="str">
        <x:v>存货 movement coverage difference</x:v>
      </x:c>
      <x:c r="D10" s="27" t="n">
        <x:f>('BS'!D10-SUM('History'!F10,SUM((-1*'Revenue'!D12),(1*'WorkingCapital'!D14))))</x:f>
        <x:v>0</x:v>
      </x:c>
      <x:c r="E10" s="27" t="n">
        <x:f>('BS'!E10-SUM('BS'!D10,SUM((-1*'Revenue'!E12),(1*'WorkingCapital'!E14))))</x:f>
        <x:v>0</x:v>
      </x:c>
      <x:c r="F10" s="27" t="n">
        <x:f>('BS'!F10-SUM('BS'!E10,SUM((-1*'Revenue'!F12),(1*'WorkingCapital'!F14))))</x:f>
        <x:v>0</x:v>
      </x:c>
      <x:c r="G10" s="27" t="n">
        <x:f>('BS'!G10-SUM('BS'!F10,SUM((-1*'Revenue'!G12),(1*'WorkingCapital'!G14))))</x:f>
        <x:v>0</x:v>
      </x:c>
      <x:c r="H10" s="27" t="n">
        <x:f>('BS'!H10-SUM('BS'!G10,SUM((-1*'Revenue'!H12),(1*'WorkingCapital'!H14))))</x:f>
        <x:v>0</x:v>
      </x:c>
      <x:c r="I10" s="27" t="n">
        <x:f>('BS'!I10-SUM('BS'!H10,SUM((-1*'Revenue'!I12),(1*'WorkingCapital'!I14))))</x:f>
        <x:v>0</x:v>
      </x:c>
      <x:c r="J10" s="27" t="n">
        <x:f>('BS'!J10-SUM('BS'!I10,SUM((-1*'Revenue'!J12),(1*'WorkingCapital'!J14))))</x:f>
        <x:v>0</x:v>
      </x:c>
      <x:c r="K10" s="27" t="n">
        <x:f>('BS'!K10-SUM('BS'!J10,SUM((-1*'Revenue'!K12),(1*'WorkingCapital'!K14))))</x:f>
        <x:v>0</x:v>
      </x:c>
      <x:c r="L10" s="27" t="n">
        <x:f>('BS'!L10-SUM('BS'!K10,SUM((-1*'Revenue'!L12),(1*'WorkingCapital'!L14))))</x:f>
        <x:v>0</x:v>
      </x:c>
      <x:c r="M10" s="27" t="n">
        <x:f>('BS'!M10-SUM('BS'!L10,SUM((-1*'Revenue'!M12),(1*'WorkingCapital'!M14))))</x:f>
        <x:v>0</x:v>
      </x:c>
      <x:c r="N10" s="27" t="n">
        <x:f>('BS'!N10-SUM('BS'!M10,SUM((-1*'Revenue'!N12),(1*'WorkingCapital'!N14))))</x:f>
        <x:v>0</x:v>
      </x:c>
      <x:c r="O10" s="27" t="n">
        <x:f>('BS'!O10-SUM('BS'!N10,SUM((-1*'Revenue'!O12),(1*'WorkingCapital'!O14))))</x:f>
        <x:v>0</x:v>
      </x:c>
    </x:row>
    <x:row r="11" ht="32" customHeight="1">
      <x:c r="C11" s="7" t="str">
        <x:v>固定资产净额 movement coverage difference</x:v>
      </x:c>
      <x:c r="D11" s="27" t="n">
        <x:f>('BS'!D11-SUM(SUM('History'!F11,'History'!F12),SUM((1*'Assets'!D9),(-1*'Assets'!D10))))</x:f>
        <x:v>0</x:v>
      </x:c>
      <x:c r="E11" s="27" t="n">
        <x:f>('BS'!E11-SUM('BS'!D11,SUM((1*'Assets'!E9),(-1*'Assets'!E10))))</x:f>
        <x:v>0</x:v>
      </x:c>
      <x:c r="F11" s="27" t="n">
        <x:f>('BS'!F11-SUM('BS'!E11,SUM((1*'Assets'!F9),(-1*'Assets'!F10))))</x:f>
        <x:v>0</x:v>
      </x:c>
      <x:c r="G11" s="27" t="n">
        <x:f>('BS'!G11-SUM('BS'!F11,SUM((1*'Assets'!G9),(-1*'Assets'!G10))))</x:f>
        <x:v>0</x:v>
      </x:c>
      <x:c r="H11" s="27" t="n">
        <x:f>('BS'!H11-SUM('BS'!G11,SUM((1*'Assets'!H9),(-1*'Assets'!H10))))</x:f>
        <x:v>0</x:v>
      </x:c>
      <x:c r="I11" s="27" t="n">
        <x:f>('BS'!I11-SUM('BS'!H11,SUM((1*'Assets'!I9),(-1*'Assets'!I10))))</x:f>
        <x:v>0</x:v>
      </x:c>
      <x:c r="J11" s="27" t="n">
        <x:f>('BS'!J11-SUM('BS'!I11,SUM((1*'Assets'!J9),(-1*'Assets'!J10))))</x:f>
        <x:v>0</x:v>
      </x:c>
      <x:c r="K11" s="27" t="n">
        <x:f>('BS'!K11-SUM('BS'!J11,SUM((1*'Assets'!K9),(-1*'Assets'!K10))))</x:f>
        <x:v>0</x:v>
      </x:c>
      <x:c r="L11" s="27" t="n">
        <x:f>('BS'!L11-SUM('BS'!K11,SUM((1*'Assets'!L9),(-1*'Assets'!L10))))</x:f>
        <x:v>0</x:v>
      </x:c>
      <x:c r="M11" s="27" t="n">
        <x:f>('BS'!M11-SUM('BS'!L11,SUM((1*'Assets'!M9),(-1*'Assets'!M10))))</x:f>
        <x:v>0</x:v>
      </x:c>
      <x:c r="N11" s="27" t="n">
        <x:f>('BS'!N11-SUM('BS'!M11,SUM((1*'Assets'!N9),(-1*'Assets'!N10))))</x:f>
        <x:v>0</x:v>
      </x:c>
      <x:c r="O11" s="27" t="n">
        <x:f>('BS'!O11-SUM('BS'!N11,SUM((1*'Assets'!O9),(-1*'Assets'!O10))))</x:f>
        <x:v>0</x:v>
      </x:c>
    </x:row>
    <x:row r="12" ht="32" customHeight="1">
      <x:c r="C12" s="7" t="str">
        <x:v>其他资产 movement coverage difference</x:v>
      </x:c>
      <x:c r="D12" s="27" t="n">
        <x:f>('BS'!D12-SUM('History'!F13,0))</x:f>
        <x:v>0</x:v>
      </x:c>
      <x:c r="E12" s="27" t="n">
        <x:f>('BS'!E12-SUM('BS'!D12,0))</x:f>
        <x:v>0</x:v>
      </x:c>
      <x:c r="F12" s="27" t="n">
        <x:f>('BS'!F12-SUM('BS'!E12,0))</x:f>
        <x:v>0</x:v>
      </x:c>
      <x:c r="G12" s="27" t="n">
        <x:f>('BS'!G12-SUM('BS'!F12,0))</x:f>
        <x:v>0</x:v>
      </x:c>
      <x:c r="H12" s="27" t="n">
        <x:f>('BS'!H12-SUM('BS'!G12,0))</x:f>
        <x:v>0</x:v>
      </x:c>
      <x:c r="I12" s="27" t="n">
        <x:f>('BS'!I12-SUM('BS'!H12,0))</x:f>
        <x:v>0</x:v>
      </x:c>
      <x:c r="J12" s="27" t="n">
        <x:f>('BS'!J12-SUM('BS'!I12,0))</x:f>
        <x:v>0</x:v>
      </x:c>
      <x:c r="K12" s="27" t="n">
        <x:f>('BS'!K12-SUM('BS'!J12,0))</x:f>
        <x:v>0</x:v>
      </x:c>
      <x:c r="L12" s="27" t="n">
        <x:f>('BS'!L12-SUM('BS'!K12,0))</x:f>
        <x:v>0</x:v>
      </x:c>
      <x:c r="M12" s="27" t="n">
        <x:f>('BS'!M12-SUM('BS'!L12,0))</x:f>
        <x:v>0</x:v>
      </x:c>
      <x:c r="N12" s="27" t="n">
        <x:f>('BS'!N12-SUM('BS'!M12,0))</x:f>
        <x:v>0</x:v>
      </x:c>
      <x:c r="O12" s="27" t="n">
        <x:f>('BS'!O12-SUM('BS'!N12,0))</x:f>
        <x:v>0</x:v>
      </x:c>
    </x:row>
    <x:row r="13" ht="32" customHeight="1">
      <x:c r="C13" s="7" t="str">
        <x:v>应付账款 movement coverage difference</x:v>
      </x:c>
      <x:c r="D13" s="27" t="n">
        <x:f>('BS'!D14-SUM('History'!F14,SUM((1*'WorkingCapital'!D14),(-1*'WorkingCapital'!D19))))</x:f>
        <x:v>0</x:v>
      </x:c>
      <x:c r="E13" s="27" t="n">
        <x:f>('BS'!E14-SUM('BS'!D14,SUM((1*'WorkingCapital'!E14),(-1*'WorkingCapital'!E19))))</x:f>
        <x:v>0</x:v>
      </x:c>
      <x:c r="F13" s="27" t="n">
        <x:f>('BS'!F14-SUM('BS'!E14,SUM((1*'WorkingCapital'!F14),(-1*'WorkingCapital'!F19))))</x:f>
        <x:v>0</x:v>
      </x:c>
      <x:c r="G13" s="27" t="n">
        <x:f>('BS'!G14-SUM('BS'!F14,SUM((1*'WorkingCapital'!G14),(-1*'WorkingCapital'!G19))))</x:f>
        <x:v>-5.820766091346741e-11</x:v>
      </x:c>
      <x:c r="H13" s="27" t="n">
        <x:f>('BS'!H14-SUM('BS'!G14,SUM((1*'WorkingCapital'!H14),(-1*'WorkingCapital'!H19))))</x:f>
        <x:v>0</x:v>
      </x:c>
      <x:c r="I13" s="27" t="n">
        <x:f>('BS'!I14-SUM('BS'!H14,SUM((1*'WorkingCapital'!I14),(-1*'WorkingCapital'!I19))))</x:f>
        <x:v>0</x:v>
      </x:c>
      <x:c r="J13" s="27" t="n">
        <x:f>('BS'!J14-SUM('BS'!I14,SUM((1*'WorkingCapital'!J14),(-1*'WorkingCapital'!J19))))</x:f>
        <x:v>-5.820766091346741e-11</x:v>
      </x:c>
      <x:c r="K13" s="27" t="n">
        <x:f>('BS'!K14-SUM('BS'!J14,SUM((1*'WorkingCapital'!K14),(-1*'WorkingCapital'!K19))))</x:f>
        <x:v>-5.820766091346741e-11</x:v>
      </x:c>
      <x:c r="L13" s="27" t="n">
        <x:f>('BS'!L14-SUM('BS'!K14,SUM((1*'WorkingCapital'!L14),(-1*'WorkingCapital'!L19))))</x:f>
        <x:v>-5.820766091346741e-11</x:v>
      </x:c>
      <x:c r="M13" s="27" t="n">
        <x:f>('BS'!M14-SUM('BS'!L14,SUM((1*'WorkingCapital'!M14),(-1*'WorkingCapital'!M19))))</x:f>
        <x:v>5.820766091346741e-11</x:v>
      </x:c>
      <x:c r="N13" s="27" t="n">
        <x:f>('BS'!N14-SUM('BS'!M14,SUM((1*'WorkingCapital'!N14),(-1*'WorkingCapital'!N19))))</x:f>
        <x:v>0</x:v>
      </x:c>
      <x:c r="O13" s="27" t="n">
        <x:f>('BS'!O14-SUM('BS'!N14,SUM((1*'WorkingCapital'!O14),(-1*'WorkingCapital'!O19))))</x:f>
        <x:v>-5.820766091346741e-11</x:v>
      </x:c>
    </x:row>
    <x:row r="14" ht="32" customHeight="1">
      <x:c r="C14" s="7" t="str">
        <x:v>应付所得税 movement coverage difference</x:v>
      </x:c>
      <x:c r="D14" s="27" t="n">
        <x:f>('BS'!D15-SUM('History'!F15,SUM((1*'PL'!D20),(-1*'CF'!D10))))</x:f>
        <x:v>0</x:v>
      </x:c>
      <x:c r="E14" s="27" t="n">
        <x:f>('BS'!E15-SUM('BS'!D15,SUM((1*'PL'!E20),(-1*'CF'!E10))))</x:f>
        <x:v>0</x:v>
      </x:c>
      <x:c r="F14" s="27" t="n">
        <x:f>('BS'!F15-SUM('BS'!E15,SUM((1*'PL'!F20),(-1*'CF'!F10))))</x:f>
        <x:v>0</x:v>
      </x:c>
      <x:c r="G14" s="27" t="n">
        <x:f>('BS'!G15-SUM('BS'!F15,SUM((1*'PL'!G20),(-1*'CF'!G10))))</x:f>
        <x:v>0</x:v>
      </x:c>
      <x:c r="H14" s="27" t="n">
        <x:f>('BS'!H15-SUM('BS'!G15,SUM((1*'PL'!H20),(-1*'CF'!H10))))</x:f>
        <x:v>0</x:v>
      </x:c>
      <x:c r="I14" s="27" t="n">
        <x:f>('BS'!I15-SUM('BS'!H15,SUM((1*'PL'!I20),(-1*'CF'!I10))))</x:f>
        <x:v>0</x:v>
      </x:c>
      <x:c r="J14" s="27" t="n">
        <x:f>('BS'!J15-SUM('BS'!I15,SUM((1*'PL'!J20),(-1*'CF'!J10))))</x:f>
        <x:v>0</x:v>
      </x:c>
      <x:c r="K14" s="27" t="n">
        <x:f>('BS'!K15-SUM('BS'!J15,SUM((1*'PL'!K20),(-1*'CF'!K10))))</x:f>
        <x:v>0</x:v>
      </x:c>
      <x:c r="L14" s="27" t="n">
        <x:f>('BS'!L15-SUM('BS'!K15,SUM((1*'PL'!L20),(-1*'CF'!L10))))</x:f>
        <x:v>0</x:v>
      </x:c>
      <x:c r="M14" s="27" t="n">
        <x:f>('BS'!M15-SUM('BS'!L15,SUM((1*'PL'!M20),(-1*'CF'!M10))))</x:f>
        <x:v>0</x:v>
      </x:c>
      <x:c r="N14" s="27" t="n">
        <x:f>('BS'!N15-SUM('BS'!M15,SUM((1*'PL'!N20),(-1*'CF'!N10))))</x:f>
        <x:v>0</x:v>
      </x:c>
      <x:c r="O14" s="27" t="n">
        <x:f>('BS'!O15-SUM('BS'!N15,SUM((1*'PL'!O20),(-1*'CF'!O10))))</x:f>
        <x:v>0</x:v>
      </x:c>
    </x:row>
    <x:row r="15" ht="32" customHeight="1">
      <x:c r="C15" s="7" t="str">
        <x:v>借款本金 movement coverage difference</x:v>
      </x:c>
      <x:c r="D15" s="27" t="n">
        <x:f>('BS'!D16-SUM('History'!F16,SUM((1*'Funding'!D12),(-1*'Funding'!D16))))</x:f>
        <x:v>0</x:v>
      </x:c>
      <x:c r="E15" s="27" t="n">
        <x:f>('BS'!E16-SUM('BS'!D16,SUM((1*'Funding'!E12),(-1*'Funding'!E16))))</x:f>
        <x:v>0</x:v>
      </x:c>
      <x:c r="F15" s="27" t="n">
        <x:f>('BS'!F16-SUM('BS'!E16,SUM((1*'Funding'!F12),(-1*'Funding'!F16))))</x:f>
        <x:v>0</x:v>
      </x:c>
      <x:c r="G15" s="27" t="n">
        <x:f>('BS'!G16-SUM('BS'!F16,SUM((1*'Funding'!G12),(-1*'Funding'!G16))))</x:f>
        <x:v>0</x:v>
      </x:c>
      <x:c r="H15" s="27" t="n">
        <x:f>('BS'!H16-SUM('BS'!G16,SUM((1*'Funding'!H12),(-1*'Funding'!H16))))</x:f>
        <x:v>0</x:v>
      </x:c>
      <x:c r="I15" s="27" t="n">
        <x:f>('BS'!I16-SUM('BS'!H16,SUM((1*'Funding'!I12),(-1*'Funding'!I16))))</x:f>
        <x:v>0</x:v>
      </x:c>
      <x:c r="J15" s="27" t="n">
        <x:f>('BS'!J16-SUM('BS'!I16,SUM((1*'Funding'!J12),(-1*'Funding'!J16))))</x:f>
        <x:v>0</x:v>
      </x:c>
      <x:c r="K15" s="27" t="n">
        <x:f>('BS'!K16-SUM('BS'!J16,SUM((1*'Funding'!K12),(-1*'Funding'!K16))))</x:f>
        <x:v>0</x:v>
      </x:c>
      <x:c r="L15" s="27" t="n">
        <x:f>('BS'!L16-SUM('BS'!K16,SUM((1*'Funding'!L12),(-1*'Funding'!L16))))</x:f>
        <x:v>0</x:v>
      </x:c>
      <x:c r="M15" s="27" t="n">
        <x:f>('BS'!M16-SUM('BS'!L16,SUM((1*'Funding'!M12),(-1*'Funding'!M16))))</x:f>
        <x:v>0</x:v>
      </x:c>
      <x:c r="N15" s="27" t="n">
        <x:f>('BS'!N16-SUM('BS'!M16,SUM((1*'Funding'!N12),(-1*'Funding'!N16))))</x:f>
        <x:v>0</x:v>
      </x:c>
      <x:c r="O15" s="27" t="n">
        <x:f>('BS'!O16-SUM('BS'!N16,SUM((1*'Funding'!O12),(-1*'Funding'!O16))))</x:f>
        <x:v>0</x:v>
      </x:c>
    </x:row>
    <x:row r="16" ht="32" customHeight="1">
      <x:c r="C16" s="7" t="str">
        <x:v>其他负债 movement coverage difference</x:v>
      </x:c>
      <x:c r="D16" s="27" t="n">
        <x:f>('BS'!D17-SUM('History'!F18,0))</x:f>
        <x:v>0</x:v>
      </x:c>
      <x:c r="E16" s="27" t="n">
        <x:f>('BS'!E17-SUM('BS'!D17,0))</x:f>
        <x:v>0</x:v>
      </x:c>
      <x:c r="F16" s="27" t="n">
        <x:f>('BS'!F17-SUM('BS'!E17,0))</x:f>
        <x:v>0</x:v>
      </x:c>
      <x:c r="G16" s="27" t="n">
        <x:f>('BS'!G17-SUM('BS'!F17,0))</x:f>
        <x:v>0</x:v>
      </x:c>
      <x:c r="H16" s="27" t="n">
        <x:f>('BS'!H17-SUM('BS'!G17,0))</x:f>
        <x:v>0</x:v>
      </x:c>
      <x:c r="I16" s="27" t="n">
        <x:f>('BS'!I17-SUM('BS'!H17,0))</x:f>
        <x:v>0</x:v>
      </x:c>
      <x:c r="J16" s="27" t="n">
        <x:f>('BS'!J17-SUM('BS'!I17,0))</x:f>
        <x:v>0</x:v>
      </x:c>
      <x:c r="K16" s="27" t="n">
        <x:f>('BS'!K17-SUM('BS'!J17,0))</x:f>
        <x:v>0</x:v>
      </x:c>
      <x:c r="L16" s="27" t="n">
        <x:f>('BS'!L17-SUM('BS'!K17,0))</x:f>
        <x:v>0</x:v>
      </x:c>
      <x:c r="M16" s="27" t="n">
        <x:f>('BS'!M17-SUM('BS'!L17,0))</x:f>
        <x:v>0</x:v>
      </x:c>
      <x:c r="N16" s="27" t="n">
        <x:f>('BS'!N17-SUM('BS'!M17,0))</x:f>
        <x:v>0</x:v>
      </x:c>
      <x:c r="O16" s="27" t="n">
        <x:f>('BS'!O17-SUM('BS'!N17,0))</x:f>
        <x:v>0</x:v>
      </x:c>
    </x:row>
    <x:row r="17" ht="32" customHeight="1">
      <x:c r="C17" s="7" t="str">
        <x:v>股本 movement coverage difference</x:v>
      </x:c>
      <x:c r="D17" s="27" t="n">
        <x:f>('BS'!D19-SUM('History'!F19,0))</x:f>
        <x:v>0</x:v>
      </x:c>
      <x:c r="E17" s="27" t="n">
        <x:f>('BS'!E19-SUM('BS'!D19,0))</x:f>
        <x:v>0</x:v>
      </x:c>
      <x:c r="F17" s="27" t="n">
        <x:f>('BS'!F19-SUM('BS'!E19,0))</x:f>
        <x:v>0</x:v>
      </x:c>
      <x:c r="G17" s="27" t="n">
        <x:f>('BS'!G19-SUM('BS'!F19,0))</x:f>
        <x:v>0</x:v>
      </x:c>
      <x:c r="H17" s="27" t="n">
        <x:f>('BS'!H19-SUM('BS'!G19,0))</x:f>
        <x:v>0</x:v>
      </x:c>
      <x:c r="I17" s="27" t="n">
        <x:f>('BS'!I19-SUM('BS'!H19,0))</x:f>
        <x:v>0</x:v>
      </x:c>
      <x:c r="J17" s="27" t="n">
        <x:f>('BS'!J19-SUM('BS'!I19,0))</x:f>
        <x:v>0</x:v>
      </x:c>
      <x:c r="K17" s="27" t="n">
        <x:f>('BS'!K19-SUM('BS'!J19,0))</x:f>
        <x:v>0</x:v>
      </x:c>
      <x:c r="L17" s="27" t="n">
        <x:f>('BS'!L19-SUM('BS'!K19,0))</x:f>
        <x:v>0</x:v>
      </x:c>
      <x:c r="M17" s="27" t="n">
        <x:f>('BS'!M19-SUM('BS'!L19,0))</x:f>
        <x:v>0</x:v>
      </x:c>
      <x:c r="N17" s="27" t="n">
        <x:f>('BS'!N19-SUM('BS'!M19,0))</x:f>
        <x:v>0</x:v>
      </x:c>
      <x:c r="O17" s="27" t="n">
        <x:f>('BS'!O19-SUM('BS'!N19,0))</x:f>
        <x:v>0</x:v>
      </x:c>
    </x:row>
    <x:row r="18" ht="32" customHeight="1">
      <x:c r="C18" s="7" t="str">
        <x:v>留存收益 movement coverage difference</x:v>
      </x:c>
      <x:c r="D18" s="27" t="n">
        <x:f>('BS'!D20-SUM('History'!F42,SUM((1*'Revenue'!D11),(-1*'Revenue'!D12),(-1*'PL'!D11),(-1*'PL'!D12),(-1*'PL'!D13),(-1*'Assets'!D10),(-1*'Funding'!D9),(-1*'PL'!D20),(-1*'Funding'!D21))))</x:f>
        <x:v>0</x:v>
      </x:c>
      <x:c r="E18" s="27" t="n">
        <x:f>('BS'!E20-SUM('BS'!D20,SUM((1*'Revenue'!E11),(-1*'Revenue'!E12),(-1*'PL'!E11),(-1*'PL'!E12),(-1*'PL'!E13),(-1*'Assets'!E10),(-1*'Funding'!E9),(-1*'PL'!E20),(-1*'Funding'!E21))))</x:f>
        <x:v>0</x:v>
      </x:c>
      <x:c r="F18" s="27" t="n">
        <x:f>('BS'!F20-SUM('BS'!E20,SUM((1*'Revenue'!F11),(-1*'Revenue'!F12),(-1*'PL'!F11),(-1*'PL'!F12),(-1*'PL'!F13),(-1*'Assets'!F10),(-1*'Funding'!F9),(-1*'PL'!F20),(-1*'Funding'!F21))))</x:f>
        <x:v>0</x:v>
      </x:c>
      <x:c r="G18" s="27" t="n">
        <x:f>('BS'!G20-SUM('BS'!F20,SUM((1*'Revenue'!G11),(-1*'Revenue'!G12),(-1*'PL'!G11),(-1*'PL'!G12),(-1*'PL'!G13),(-1*'Assets'!G10),(-1*'Funding'!G9),(-1*'PL'!G20),(-1*'Funding'!G21))))</x:f>
        <x:v>0</x:v>
      </x:c>
      <x:c r="H18" s="27" t="n">
        <x:f>('BS'!H20-SUM('BS'!G20,SUM((1*'Revenue'!H11),(-1*'Revenue'!H12),(-1*'PL'!H11),(-1*'PL'!H12),(-1*'PL'!H13),(-1*'Assets'!H10),(-1*'Funding'!H9),(-1*'PL'!H20),(-1*'Funding'!H21))))</x:f>
        <x:v>0</x:v>
      </x:c>
      <x:c r="I18" s="27" t="n">
        <x:f>('BS'!I20-SUM('BS'!H20,SUM((1*'Revenue'!I11),(-1*'Revenue'!I12),(-1*'PL'!I11),(-1*'PL'!I12),(-1*'PL'!I13),(-1*'Assets'!I10),(-1*'Funding'!I9),(-1*'PL'!I20),(-1*'Funding'!I21))))</x:f>
        <x:v>0</x:v>
      </x:c>
      <x:c r="J18" s="27" t="n">
        <x:f>('BS'!J20-SUM('BS'!I20,SUM((1*'Revenue'!J11),(-1*'Revenue'!J12),(-1*'PL'!J11),(-1*'PL'!J12),(-1*'PL'!J13),(-1*'Assets'!J10),(-1*'Funding'!J9),(-1*'PL'!J20),(-1*'Funding'!J21))))</x:f>
        <x:v>0</x:v>
      </x:c>
      <x:c r="K18" s="27" t="n">
        <x:f>('BS'!K20-SUM('BS'!J20,SUM((1*'Revenue'!K11),(-1*'Revenue'!K12),(-1*'PL'!K11),(-1*'PL'!K12),(-1*'PL'!K13),(-1*'Assets'!K10),(-1*'Funding'!K9),(-1*'PL'!K20),(-1*'Funding'!K21))))</x:f>
        <x:v>0</x:v>
      </x:c>
      <x:c r="L18" s="27" t="n">
        <x:f>('BS'!L20-SUM('BS'!K20,SUM((1*'Revenue'!L11),(-1*'Revenue'!L12),(-1*'PL'!L11),(-1*'PL'!L12),(-1*'PL'!L13),(-1*'Assets'!L10),(-1*'Funding'!L9),(-1*'PL'!L20),(-1*'Funding'!L21))))</x:f>
        <x:v>0</x:v>
      </x:c>
      <x:c r="M18" s="27" t="n">
        <x:f>('BS'!M20-SUM('BS'!L20,SUM((1*'Revenue'!M11),(-1*'Revenue'!M12),(-1*'PL'!M11),(-1*'PL'!M12),(-1*'PL'!M13),(-1*'Assets'!M10),(-1*'Funding'!M9),(-1*'PL'!M20),(-1*'Funding'!M21))))</x:f>
        <x:v>0</x:v>
      </x:c>
      <x:c r="N18" s="27" t="n">
        <x:f>('BS'!N20-SUM('BS'!M20,SUM((1*'Revenue'!N11),(-1*'Revenue'!N12),(-1*'PL'!N11),(-1*'PL'!N12),(-1*'PL'!N13),(-1*'Assets'!N10),(-1*'Funding'!N9),(-1*'PL'!N20),(-1*'Funding'!N21))))</x:f>
        <x:v>0</x:v>
      </x:c>
      <x:c r="O18" s="27" t="n">
        <x:f>('BS'!O20-SUM('BS'!N20,SUM((1*'Revenue'!O11),(-1*'Revenue'!O12),(-1*'PL'!O11),(-1*'PL'!O12),(-1*'PL'!O13),(-1*'Assets'!O10),(-1*'Funding'!O9),(-1*'PL'!O20),(-1*'Funding'!O21))))</x:f>
        <x:v>0</x:v>
      </x:c>
    </x:row>
    <x:row r="19" ht="32" customHeight="1">
      <x:c r="C19" s="7" t="str">
        <x:v>其他权益 movement coverage difference</x:v>
      </x:c>
      <x:c r="D19" s="27" t="n">
        <x:f>('BS'!D21-SUM('History'!F21,0))</x:f>
        <x:v>0</x:v>
      </x:c>
      <x:c r="E19" s="27" t="n">
        <x:f>('BS'!E21-SUM('BS'!D21,0))</x:f>
        <x:v>0</x:v>
      </x:c>
      <x:c r="F19" s="27" t="n">
        <x:f>('BS'!F21-SUM('BS'!E21,0))</x:f>
        <x:v>0</x:v>
      </x:c>
      <x:c r="G19" s="27" t="n">
        <x:f>('BS'!G21-SUM('BS'!F21,0))</x:f>
        <x:v>0</x:v>
      </x:c>
      <x:c r="H19" s="27" t="n">
        <x:f>('BS'!H21-SUM('BS'!G21,0))</x:f>
        <x:v>0</x:v>
      </x:c>
      <x:c r="I19" s="27" t="n">
        <x:f>('BS'!I21-SUM('BS'!H21,0))</x:f>
        <x:v>0</x:v>
      </x:c>
      <x:c r="J19" s="27" t="n">
        <x:f>('BS'!J21-SUM('BS'!I21,0))</x:f>
        <x:v>0</x:v>
      </x:c>
      <x:c r="K19" s="27" t="n">
        <x:f>('BS'!K21-SUM('BS'!J21,0))</x:f>
        <x:v>0</x:v>
      </x:c>
      <x:c r="L19" s="27" t="n">
        <x:f>('BS'!L21-SUM('BS'!K21,0))</x:f>
        <x:v>0</x:v>
      </x:c>
      <x:c r="M19" s="27" t="n">
        <x:f>('BS'!M21-SUM('BS'!L21,0))</x:f>
        <x:v>0</x:v>
      </x:c>
      <x:c r="N19" s="27" t="n">
        <x:f>('BS'!N21-SUM('BS'!M21,0))</x:f>
        <x:v>0</x:v>
      </x:c>
      <x:c r="O19" s="27" t="n">
        <x:f>('BS'!O21-SUM('BS'!N21,0))</x:f>
        <x:v>0</x:v>
      </x:c>
    </x:row>
    <x:row r="20" ht="22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</x:sheetData>
  <x:conditionalFormatting sqref="D8:O8">
    <x:cfRule type="cellIs" dxfId="24" priority="1" operator="greaterThan">
      <x:formula>0.000090375</x:formula>
    </x:cfRule>
    <x:cfRule type="cellIs" dxfId="25" priority="2" operator="lessThan">
      <x:formula>-0.000090375</x:formula>
    </x:cfRule>
  </x:conditionalFormatting>
  <x:conditionalFormatting sqref="D9:O9">
    <x:cfRule type="cellIs" dxfId="26" priority="3" operator="greaterThan">
      <x:formula>0.000090375</x:formula>
    </x:cfRule>
    <x:cfRule type="cellIs" dxfId="27" priority="4" operator="lessThan">
      <x:formula>-0.000090375</x:formula>
    </x:cfRule>
  </x:conditionalFormatting>
  <x:conditionalFormatting sqref="D10:O10">
    <x:cfRule type="cellIs" dxfId="28" priority="5" operator="greaterThan">
      <x:formula>0.000090375</x:formula>
    </x:cfRule>
    <x:cfRule type="cellIs" dxfId="29" priority="6" operator="lessThan">
      <x:formula>-0.000090375</x:formula>
    </x:cfRule>
  </x:conditionalFormatting>
  <x:conditionalFormatting sqref="D11:O11">
    <x:cfRule type="cellIs" dxfId="30" priority="7" operator="greaterThan">
      <x:formula>0.000090375</x:formula>
    </x:cfRule>
    <x:cfRule type="cellIs" dxfId="31" priority="8" operator="lessThan">
      <x:formula>-0.000090375</x:formula>
    </x:cfRule>
  </x:conditionalFormatting>
  <x:conditionalFormatting sqref="D12:O12">
    <x:cfRule type="cellIs" dxfId="32" priority="9" operator="greaterThan">
      <x:formula>0.000090375</x:formula>
    </x:cfRule>
    <x:cfRule type="cellIs" dxfId="33" priority="10" operator="lessThan">
      <x:formula>-0.000090375</x:formula>
    </x:cfRule>
  </x:conditionalFormatting>
  <x:conditionalFormatting sqref="D13:O13">
    <x:cfRule type="cellIs" dxfId="34" priority="11" operator="greaterThan">
      <x:formula>0.000090375</x:formula>
    </x:cfRule>
    <x:cfRule type="cellIs" dxfId="35" priority="12" operator="lessThan">
      <x:formula>-0.000090375</x:formula>
    </x:cfRule>
  </x:conditionalFormatting>
  <x:conditionalFormatting sqref="D14:O14">
    <x:cfRule type="cellIs" dxfId="36" priority="13" operator="greaterThan">
      <x:formula>0.000090375</x:formula>
    </x:cfRule>
    <x:cfRule type="cellIs" dxfId="37" priority="14" operator="lessThan">
      <x:formula>-0.000090375</x:formula>
    </x:cfRule>
  </x:conditionalFormatting>
  <x:conditionalFormatting sqref="D15:O15">
    <x:cfRule type="cellIs" dxfId="38" priority="15" operator="greaterThan">
      <x:formula>0.000090375</x:formula>
    </x:cfRule>
    <x:cfRule type="cellIs" dxfId="39" priority="16" operator="lessThan">
      <x:formula>-0.000090375</x:formula>
    </x:cfRule>
  </x:conditionalFormatting>
  <x:conditionalFormatting sqref="D16:O16">
    <x:cfRule type="cellIs" dxfId="40" priority="17" operator="greaterThan">
      <x:formula>0.000090375</x:formula>
    </x:cfRule>
    <x:cfRule type="cellIs" dxfId="41" priority="18" operator="lessThan">
      <x:formula>-0.000090375</x:formula>
    </x:cfRule>
  </x:conditionalFormatting>
  <x:conditionalFormatting sqref="D17:O17">
    <x:cfRule type="cellIs" dxfId="42" priority="19" operator="greaterThan">
      <x:formula>0.000090375</x:formula>
    </x:cfRule>
    <x:cfRule type="cellIs" dxfId="43" priority="20" operator="lessThan">
      <x:formula>-0.000090375</x:formula>
    </x:cfRule>
  </x:conditionalFormatting>
  <x:conditionalFormatting sqref="D18:O18">
    <x:cfRule type="cellIs" dxfId="44" priority="21" operator="greaterThan">
      <x:formula>0.000090375</x:formula>
    </x:cfRule>
    <x:cfRule type="cellIs" dxfId="45" priority="22" operator="lessThan">
      <x:formula>-0.000090375</x:formula>
    </x:cfRule>
  </x:conditionalFormatting>
  <x:conditionalFormatting sqref="D19:O19">
    <x:cfRule type="cellIs" dxfId="46" priority="23" operator="greaterThan">
      <x:formula>0.000090375</x:formula>
    </x:cfRule>
    <x:cfRule type="cellIs" dxfId="47" priority="24" operator="lessThan">
      <x:formula>-0.000090375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2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1" customHeight="1">
      <x:c r="C2" s="4" t="str">
        <x:v>Checks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C5" s="2" t="str">
        <x:v>Input rules: 0 = valid; 1 = failed. Counts are rules, not distinct cells. See Notes.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2" customHeight="1">
      <x:c r="C7" s="15" t="str">
        <x:v>Forecast month</x:v>
      </x:c>
      <x:c r="D7" s="16" t="n">
        <x:v>46113</x:v>
      </x:c>
      <x:c r="E7" s="16" t="n">
        <x:v>46143</x:v>
      </x:c>
      <x:c r="F7" s="16" t="n">
        <x:v>46174</x:v>
      </x:c>
      <x:c r="G7" s="16" t="n">
        <x:v>46204</x:v>
      </x:c>
      <x:c r="H7" s="16" t="n">
        <x:v>46235</x:v>
      </x:c>
      <x:c r="I7" s="16" t="n">
        <x:v>46266</x:v>
      </x:c>
      <x:c r="J7" s="16" t="n">
        <x:v>46296</x:v>
      </x:c>
      <x:c r="K7" s="16" t="n">
        <x:v>46327</x:v>
      </x:c>
      <x:c r="L7" s="16" t="n">
        <x:v>46357</x:v>
      </x:c>
      <x:c r="M7" s="16" t="n">
        <x:v>46388</x:v>
      </x:c>
      <x:c r="N7" s="16" t="n">
        <x:v>46419</x:v>
      </x:c>
      <x:c r="O7" s="16" t="n">
        <x:v>46447</x:v>
      </x:c>
    </x:row>
    <x:row r="8" ht="32" customHeight="1">
      <x:c r="C8" s="7" t="str">
        <x:v>Assets less liabilities and equity</x:v>
      </x:c>
      <x:c r="D8" s="27" t="n">
        <x:f>('BS'!D13-SUM('BS'!D18,'BS'!D22))</x:f>
        <x:v>0</x:v>
      </x:c>
      <x:c r="E8" s="27" t="n">
        <x:f>('BS'!E13-SUM('BS'!E18,'BS'!E22))</x:f>
        <x:v>0</x:v>
      </x:c>
      <x:c r="F8" s="27" t="n">
        <x:f>('BS'!F13-SUM('BS'!F18,'BS'!F22))</x:f>
        <x:v>0</x:v>
      </x:c>
      <x:c r="G8" s="27" t="n">
        <x:f>('BS'!G13-SUM('BS'!G18,'BS'!G22))</x:f>
        <x:v>0</x:v>
      </x:c>
      <x:c r="H8" s="27" t="n">
        <x:f>('BS'!H13-SUM('BS'!H18,'BS'!H22))</x:f>
        <x:v>0</x:v>
      </x:c>
      <x:c r="I8" s="27" t="n">
        <x:f>('BS'!I13-SUM('BS'!I18,'BS'!I22))</x:f>
        <x:v>-2.3283064365386963e-10</x:v>
      </x:c>
      <x:c r="J8" s="27" t="n">
        <x:f>('BS'!J13-SUM('BS'!J18,'BS'!J22))</x:f>
        <x:v>-2.3283064365386963e-10</x:v>
      </x:c>
      <x:c r="K8" s="27" t="n">
        <x:f>('BS'!K13-SUM('BS'!K18,'BS'!K22))</x:f>
        <x:v>-4.656612873077393e-10</x:v>
      </x:c>
      <x:c r="L8" s="27" t="n">
        <x:f>('BS'!L13-SUM('BS'!L18,'BS'!L22))</x:f>
        <x:v>0</x:v>
      </x:c>
      <x:c r="M8" s="27" t="n">
        <x:f>('BS'!M13-SUM('BS'!M18,'BS'!M22))</x:f>
        <x:v>0</x:v>
      </x:c>
      <x:c r="N8" s="27" t="n">
        <x:f>('BS'!N13-SUM('BS'!N18,'BS'!N22))</x:f>
        <x:v>-4.656612873077393e-10</x:v>
      </x:c>
      <x:c r="O8" s="27" t="n">
        <x:f>('BS'!O13-SUM('BS'!O18,'BS'!O22))</x:f>
        <x:v>0</x:v>
      </x:c>
    </x:row>
    <x:row r="9" ht="32" customHeight="1">
      <x:c r="C9" s="7" t="str">
        <x:v>Cash roll-forward difference</x:v>
      </x:c>
      <x:c r="D9" s="27" t="n">
        <x:f>('BS'!D8-SUM('CF'!D8,'CF'!D11,'CF'!D17,'CF'!D18))</x:f>
        <x:v>0</x:v>
      </x:c>
      <x:c r="E9" s="27" t="n">
        <x:f>('BS'!E8-SUM('CF'!E8,'CF'!E11,'CF'!E17,'CF'!E18))</x:f>
        <x:v>0</x:v>
      </x:c>
      <x:c r="F9" s="27" t="n">
        <x:f>('BS'!F8-SUM('CF'!F8,'CF'!F11,'CF'!F17,'CF'!F18))</x:f>
        <x:v>0</x:v>
      </x:c>
      <x:c r="G9" s="27" t="n">
        <x:f>('BS'!G8-SUM('CF'!G8,'CF'!G11,'CF'!G17,'CF'!G18))</x:f>
        <x:v>0</x:v>
      </x:c>
      <x:c r="H9" s="27" t="n">
        <x:f>('BS'!H8-SUM('CF'!H8,'CF'!H11,'CF'!H17,'CF'!H18))</x:f>
        <x:v>0</x:v>
      </x:c>
      <x:c r="I9" s="27" t="n">
        <x:f>('BS'!I8-SUM('CF'!I8,'CF'!I11,'CF'!I17,'CF'!I18))</x:f>
        <x:v>0</x:v>
      </x:c>
      <x:c r="J9" s="27" t="n">
        <x:f>('BS'!J8-SUM('CF'!J8,'CF'!J11,'CF'!J17,'CF'!J18))</x:f>
        <x:v>0</x:v>
      </x:c>
      <x:c r="K9" s="27" t="n">
        <x:f>('BS'!K8-SUM('CF'!K8,'CF'!K11,'CF'!K17,'CF'!K18))</x:f>
        <x:v>0</x:v>
      </x:c>
      <x:c r="L9" s="27" t="n">
        <x:f>('BS'!L8-SUM('CF'!L8,'CF'!L11,'CF'!L17,'CF'!L18))</x:f>
        <x:v>0</x:v>
      </x:c>
      <x:c r="M9" s="27" t="n">
        <x:f>('BS'!M8-SUM('CF'!M8,'CF'!M11,'CF'!M17,'CF'!M18))</x:f>
        <x:v>0</x:v>
      </x:c>
      <x:c r="N9" s="27" t="n">
        <x:f>('BS'!N8-SUM('CF'!N8,'CF'!N11,'CF'!N17,'CF'!N18))</x:f>
        <x:v>0</x:v>
      </x:c>
      <x:c r="O9" s="27" t="n">
        <x:f>('BS'!O8-SUM('CF'!O8,'CF'!O11,'CF'!O17,'CF'!O18))</x:f>
        <x:v>0</x:v>
      </x:c>
    </x:row>
    <x:row r="10" ht="32" customHeight="1">
      <x:c r="C10" s="7" t="str">
        <x:v>Direct less indirect operating cash</x:v>
      </x:c>
      <x:c r="D10" s="27" t="n">
        <x:f>('CF'!D11-'CF'!D16)</x:f>
        <x:v>2.9103830456733704e-11</x:v>
      </x:c>
      <x:c r="E10" s="27" t="n">
        <x:f>('CF'!E11-'CF'!E16)</x:f>
        <x:v>5.820766091346741e-11</x:v>
      </x:c>
      <x:c r="F10" s="27" t="n">
        <x:f>('CF'!F11-'CF'!F16)</x:f>
        <x:v>-5.820766091346741e-11</x:v>
      </x:c>
      <x:c r="G10" s="27" t="n">
        <x:f>('CF'!G11-'CF'!G16)</x:f>
        <x:v>-2.9103830456733704e-11</x:v>
      </x:c>
      <x:c r="H10" s="27" t="n">
        <x:f>('CF'!H11-'CF'!H16)</x:f>
        <x:v>2.9103830456733704e-11</x:v>
      </x:c>
      <x:c r="I10" s="27" t="n">
        <x:f>('CF'!I11-'CF'!I16)</x:f>
        <x:v>-1.4551915228366852e-11</x:v>
      </x:c>
      <x:c r="J10" s="27" t="n">
        <x:f>('CF'!J11-'CF'!J16)</x:f>
        <x:v>0</x:v>
      </x:c>
      <x:c r="K10" s="27" t="n">
        <x:f>('CF'!K11-'CF'!K16)</x:f>
        <x:v>0</x:v>
      </x:c>
      <x:c r="L10" s="27" t="n">
        <x:f>('CF'!L11-'CF'!L16)</x:f>
        <x:v>1.7462298274040222e-10</x:v>
      </x:c>
      <x:c r="M10" s="27" t="n">
        <x:f>('CF'!M11-'CF'!M16)</x:f>
        <x:v>-5.820766091346741e-11</x:v>
      </x:c>
      <x:c r="N10" s="27" t="n">
        <x:f>('CF'!N11-'CF'!N16)</x:f>
        <x:v>-1.7462298274040222e-10</x:v>
      </x:c>
      <x:c r="O10" s="27" t="n">
        <x:f>('CF'!O11-'CF'!O16)</x:f>
        <x:v>2.0372681319713593e-10</x:v>
      </x:c>
    </x:row>
    <x:row r="11" ht="32" customHeight="1">
      <x:c r="C11" s="7" t="str">
        <x:v>Receivable roll-forward difference</x:v>
      </x:c>
      <x:c r="D11" s="27" t="n">
        <x:f>(SUM('WorkingCapital'!D8,'PL'!D8)-SUM('BS'!D9,'WorkingCapital'!D11))</x:f>
        <x:v>0</x:v>
      </x:c>
      <x:c r="E11" s="27" t="n">
        <x:f>(SUM('WorkingCapital'!E8,'PL'!E8)-SUM('BS'!E9,'WorkingCapital'!E11))</x:f>
        <x:v>0</x:v>
      </x:c>
      <x:c r="F11" s="27" t="n">
        <x:f>(SUM('WorkingCapital'!F8,'PL'!F8)-SUM('BS'!F9,'WorkingCapital'!F11))</x:f>
        <x:v>0</x:v>
      </x:c>
      <x:c r="G11" s="27" t="n">
        <x:f>(SUM('WorkingCapital'!G8,'PL'!G8)-SUM('BS'!G9,'WorkingCapital'!G11))</x:f>
        <x:v>1.1641532182693481e-10</x:v>
      </x:c>
      <x:c r="H11" s="27" t="n">
        <x:f>(SUM('WorkingCapital'!H8,'PL'!H8)-SUM('BS'!H9,'WorkingCapital'!H11))</x:f>
        <x:v>0</x:v>
      </x:c>
      <x:c r="I11" s="27" t="n">
        <x:f>(SUM('WorkingCapital'!I8,'PL'!I8)-SUM('BS'!I9,'WorkingCapital'!I11))</x:f>
        <x:v>0</x:v>
      </x:c>
      <x:c r="J11" s="27" t="n">
        <x:f>(SUM('WorkingCapital'!J8,'PL'!J8)-SUM('BS'!J9,'WorkingCapital'!J11))</x:f>
        <x:v>0</x:v>
      </x:c>
      <x:c r="K11" s="27" t="n">
        <x:f>(SUM('WorkingCapital'!K8,'PL'!K8)-SUM('BS'!K9,'WorkingCapital'!K11))</x:f>
        <x:v>0</x:v>
      </x:c>
      <x:c r="L11" s="27" t="n">
        <x:f>(SUM('WorkingCapital'!L8,'PL'!L8)-SUM('BS'!L9,'WorkingCapital'!L11))</x:f>
        <x:v>0</x:v>
      </x:c>
      <x:c r="M11" s="27" t="n">
        <x:f>(SUM('WorkingCapital'!M8,'PL'!M8)-SUM('BS'!M9,'WorkingCapital'!M11))</x:f>
        <x:v>0</x:v>
      </x:c>
      <x:c r="N11" s="27" t="n">
        <x:f>(SUM('WorkingCapital'!N8,'PL'!N8)-SUM('BS'!N9,'WorkingCapital'!N11))</x:f>
        <x:v>0</x:v>
      </x:c>
      <x:c r="O11" s="27" t="n">
        <x:f>(SUM('WorkingCapital'!O8,'PL'!O8)-SUM('BS'!O9,'WorkingCapital'!O11))</x:f>
        <x:v>0</x:v>
      </x:c>
    </x:row>
    <x:row r="12" ht="32" customHeight="1">
      <x:c r="C12" s="7" t="str">
        <x:v>Inventory roll-forward difference</x:v>
      </x:c>
      <x:c r="D12" s="27" t="n">
        <x:f>(SUM('WorkingCapital'!D12,'WorkingCapital'!D14)-SUM('BS'!D10,'PL'!D9))</x:f>
        <x:v>0</x:v>
      </x:c>
      <x:c r="E12" s="27" t="n">
        <x:f>(SUM('WorkingCapital'!E12,'WorkingCapital'!E14)-SUM('BS'!E10,'PL'!E9))</x:f>
        <x:v>0</x:v>
      </x:c>
      <x:c r="F12" s="27" t="n">
        <x:f>(SUM('WorkingCapital'!F12,'WorkingCapital'!F14)-SUM('BS'!F10,'PL'!F9))</x:f>
        <x:v>0</x:v>
      </x:c>
      <x:c r="G12" s="27" t="n">
        <x:f>(SUM('WorkingCapital'!G12,'WorkingCapital'!G14)-SUM('BS'!G10,'PL'!G9))</x:f>
        <x:v>0</x:v>
      </x:c>
      <x:c r="H12" s="27" t="n">
        <x:f>(SUM('WorkingCapital'!H12,'WorkingCapital'!H14)-SUM('BS'!H10,'PL'!H9))</x:f>
        <x:v>0</x:v>
      </x:c>
      <x:c r="I12" s="27" t="n">
        <x:f>(SUM('WorkingCapital'!I12,'WorkingCapital'!I14)-SUM('BS'!I10,'PL'!I9))</x:f>
        <x:v>0</x:v>
      </x:c>
      <x:c r="J12" s="27" t="n">
        <x:f>(SUM('WorkingCapital'!J12,'WorkingCapital'!J14)-SUM('BS'!J10,'PL'!J9))</x:f>
        <x:v>0</x:v>
      </x:c>
      <x:c r="K12" s="27" t="n">
        <x:f>(SUM('WorkingCapital'!K12,'WorkingCapital'!K14)-SUM('BS'!K10,'PL'!K9))</x:f>
        <x:v>0</x:v>
      </x:c>
      <x:c r="L12" s="27" t="n">
        <x:f>(SUM('WorkingCapital'!L12,'WorkingCapital'!L14)-SUM('BS'!L10,'PL'!L9))</x:f>
        <x:v>0</x:v>
      </x:c>
      <x:c r="M12" s="27" t="n">
        <x:f>(SUM('WorkingCapital'!M12,'WorkingCapital'!M14)-SUM('BS'!M10,'PL'!M9))</x:f>
        <x:v>0</x:v>
      </x:c>
      <x:c r="N12" s="27" t="n">
        <x:f>(SUM('WorkingCapital'!N12,'WorkingCapital'!N14)-SUM('BS'!N10,'PL'!N9))</x:f>
        <x:v>0</x:v>
      </x:c>
      <x:c r="O12" s="27" t="n">
        <x:f>(SUM('WorkingCapital'!O12,'WorkingCapital'!O14)-SUM('BS'!O10,'PL'!O9))</x:f>
        <x:v>0</x:v>
      </x:c>
    </x:row>
    <x:row r="13" ht="32" customHeight="1">
      <x:c r="C13" s="7" t="str">
        <x:v>Payable roll-forward difference</x:v>
      </x:c>
      <x:c r="D13" s="27" t="n">
        <x:f>(SUM('WorkingCapital'!D16,'WorkingCapital'!D14)-SUM('BS'!D14,'WorkingCapital'!D19))</x:f>
        <x:v>0</x:v>
      </x:c>
      <x:c r="E13" s="27" t="n">
        <x:f>(SUM('WorkingCapital'!E16,'WorkingCapital'!E14)-SUM('BS'!E14,'WorkingCapital'!E19))</x:f>
        <x:v>0</x:v>
      </x:c>
      <x:c r="F13" s="27" t="n">
        <x:f>(SUM('WorkingCapital'!F16,'WorkingCapital'!F14)-SUM('BS'!F14,'WorkingCapital'!F19))</x:f>
        <x:v>0</x:v>
      </x:c>
      <x:c r="G13" s="27" t="n">
        <x:f>(SUM('WorkingCapital'!G16,'WorkingCapital'!G14)-SUM('BS'!G14,'WorkingCapital'!G19))</x:f>
        <x:v>0</x:v>
      </x:c>
      <x:c r="H13" s="27" t="n">
        <x:f>(SUM('WorkingCapital'!H16,'WorkingCapital'!H14)-SUM('BS'!H14,'WorkingCapital'!H19))</x:f>
        <x:v>0</x:v>
      </x:c>
      <x:c r="I13" s="27" t="n">
        <x:f>(SUM('WorkingCapital'!I16,'WorkingCapital'!I14)-SUM('BS'!I14,'WorkingCapital'!I19))</x:f>
        <x:v>0</x:v>
      </x:c>
      <x:c r="J13" s="27" t="n">
        <x:f>(SUM('WorkingCapital'!J16,'WorkingCapital'!J14)-SUM('BS'!J14,'WorkingCapital'!J19))</x:f>
        <x:v>0</x:v>
      </x:c>
      <x:c r="K13" s="27" t="n">
        <x:f>(SUM('WorkingCapital'!K16,'WorkingCapital'!K14)-SUM('BS'!K14,'WorkingCapital'!K19))</x:f>
        <x:v>0</x:v>
      </x:c>
      <x:c r="L13" s="27" t="n">
        <x:f>(SUM('WorkingCapital'!L16,'WorkingCapital'!L14)-SUM('BS'!L14,'WorkingCapital'!L19))</x:f>
        <x:v>0</x:v>
      </x:c>
      <x:c r="M13" s="27" t="n">
        <x:f>(SUM('WorkingCapital'!M16,'WorkingCapital'!M14)-SUM('BS'!M14,'WorkingCapital'!M19))</x:f>
        <x:v>0</x:v>
      </x:c>
      <x:c r="N13" s="27" t="n">
        <x:f>(SUM('WorkingCapital'!N16,'WorkingCapital'!N14)-SUM('BS'!N14,'WorkingCapital'!N19))</x:f>
        <x:v>0</x:v>
      </x:c>
      <x:c r="O13" s="27" t="n">
        <x:f>(SUM('WorkingCapital'!O16,'WorkingCapital'!O14)-SUM('BS'!O14,'WorkingCapital'!O19))</x:f>
        <x:v>0</x:v>
      </x:c>
    </x:row>
    <x:row r="14" ht="32" customHeight="1">
      <x:c r="C14" s="7" t="str">
        <x:v>Cash below minimum threshold</x:v>
      </x:c>
      <x:c r="D14" s="27" t="n">
        <x:f>MAX(0,('Assumptions'!D22-'BS'!D8))</x:f>
        <x:v>0</x:v>
      </x:c>
      <x:c r="E14" s="27" t="n">
        <x:f>MAX(0,('Assumptions'!E22-'BS'!E8))</x:f>
        <x:v>0</x:v>
      </x:c>
      <x:c r="F14" s="27" t="n">
        <x:f>MAX(0,('Assumptions'!F22-'BS'!F8))</x:f>
        <x:v>0</x:v>
      </x:c>
      <x:c r="G14" s="27" t="n">
        <x:f>MAX(0,('Assumptions'!G22-'BS'!G8))</x:f>
        <x:v>0</x:v>
      </x:c>
      <x:c r="H14" s="27" t="n">
        <x:f>MAX(0,('Assumptions'!H22-'BS'!H8))</x:f>
        <x:v>0</x:v>
      </x:c>
      <x:c r="I14" s="27" t="n">
        <x:f>MAX(0,('Assumptions'!I22-'BS'!I8))</x:f>
        <x:v>0</x:v>
      </x:c>
      <x:c r="J14" s="27" t="n">
        <x:f>MAX(0,('Assumptions'!J22-'BS'!J8))</x:f>
        <x:v>0</x:v>
      </x:c>
      <x:c r="K14" s="27" t="n">
        <x:f>MAX(0,('Assumptions'!K22-'BS'!K8))</x:f>
        <x:v>0</x:v>
      </x:c>
      <x:c r="L14" s="27" t="n">
        <x:f>MAX(0,('Assumptions'!L22-'BS'!L8))</x:f>
        <x:v>0</x:v>
      </x:c>
      <x:c r="M14" s="27" t="n">
        <x:f>MAX(0,('Assumptions'!M22-'BS'!M8))</x:f>
        <x:v>0</x:v>
      </x:c>
      <x:c r="N14" s="27" t="n">
        <x:f>MAX(0,('Assumptions'!N22-'BS'!N8))</x:f>
        <x:v>0</x:v>
      </x:c>
      <x:c r="O14" s="27" t="n">
        <x:f>MAX(0,('Assumptions'!O22-'BS'!O8))</x:f>
        <x:v>0</x:v>
      </x:c>
    </x:row>
    <x:row r="15" ht="32" customHeight="1">
      <x:c r="C15" s="7" t="str">
        <x:v>Unmet loan draw request</x:v>
      </x:c>
      <x:c r="D15" s="27" t="n">
        <x:f>'Funding'!D13</x:f>
        <x:v>0</x:v>
      </x:c>
      <x:c r="E15" s="27" t="n">
        <x:f>'Funding'!E13</x:f>
        <x:v>0</x:v>
      </x:c>
      <x:c r="F15" s="27" t="n">
        <x:f>'Funding'!F13</x:f>
        <x:v>0</x:v>
      </x:c>
      <x:c r="G15" s="27" t="n">
        <x:f>'Funding'!G13</x:f>
        <x:v>0</x:v>
      </x:c>
      <x:c r="H15" s="27" t="n">
        <x:f>'Funding'!H13</x:f>
        <x:v>0</x:v>
      </x:c>
      <x:c r="I15" s="27" t="n">
        <x:f>'Funding'!I13</x:f>
        <x:v>0</x:v>
      </x:c>
      <x:c r="J15" s="27" t="n">
        <x:f>'Funding'!J13</x:f>
        <x:v>0</x:v>
      </x:c>
      <x:c r="K15" s="27" t="n">
        <x:f>'Funding'!K13</x:f>
        <x:v>0</x:v>
      </x:c>
      <x:c r="L15" s="27" t="n">
        <x:f>'Funding'!L13</x:f>
        <x:v>0</x:v>
      </x:c>
      <x:c r="M15" s="27" t="n">
        <x:f>'Funding'!M13</x:f>
        <x:v>0</x:v>
      </x:c>
      <x:c r="N15" s="27" t="n">
        <x:f>'Funding'!N13</x:f>
        <x:v>0</x:v>
      </x:c>
      <x:c r="O15" s="27" t="n">
        <x:f>'Funding'!O13</x:f>
        <x:v>0</x:v>
      </x:c>
    </x:row>
    <x:row r="16" ht="32" customHeight="1">
      <x:c r="C16" s="7" t="str">
        <x:v>Unmet loan repayment request</x:v>
      </x:c>
      <x:c r="D16" s="27" t="n">
        <x:f>'Funding'!D17</x:f>
        <x:v>0</x:v>
      </x:c>
      <x:c r="E16" s="27" t="n">
        <x:f>'Funding'!E17</x:f>
        <x:v>0</x:v>
      </x:c>
      <x:c r="F16" s="27" t="n">
        <x:f>'Funding'!F17</x:f>
        <x:v>0</x:v>
      </x:c>
      <x:c r="G16" s="27" t="n">
        <x:f>'Funding'!G17</x:f>
        <x:v>0</x:v>
      </x:c>
      <x:c r="H16" s="27" t="n">
        <x:f>'Funding'!H17</x:f>
        <x:v>0</x:v>
      </x:c>
      <x:c r="I16" s="27" t="n">
        <x:f>'Funding'!I17</x:f>
        <x:v>0</x:v>
      </x:c>
      <x:c r="J16" s="27" t="n">
        <x:f>'Funding'!J17</x:f>
        <x:v>0</x:v>
      </x:c>
      <x:c r="K16" s="27" t="n">
        <x:f>'Funding'!K17</x:f>
        <x:v>0</x:v>
      </x:c>
      <x:c r="L16" s="27" t="n">
        <x:f>'Funding'!L17</x:f>
        <x:v>0</x:v>
      </x:c>
      <x:c r="M16" s="27" t="n">
        <x:f>'Funding'!M17</x:f>
        <x:v>0</x:v>
      </x:c>
      <x:c r="N16" s="27" t="n">
        <x:f>'Funding'!N17</x:f>
        <x:v>0</x:v>
      </x:c>
      <x:c r="O16" s="27" t="n">
        <x:f>'Funding'!O17</x:f>
        <x:v>0</x:v>
      </x:c>
    </x:row>
    <x:row r="17" ht="32" customHeight="1">
      <x:c r="C17" s="7" t="str">
        <x:v>Unmet dividend request</x:v>
      </x:c>
      <x:c r="D17" s="27" t="n">
        <x:f>'Funding'!D22</x:f>
        <x:v>0</x:v>
      </x:c>
      <x:c r="E17" s="27" t="n">
        <x:f>'Funding'!E22</x:f>
        <x:v>0</x:v>
      </x:c>
      <x:c r="F17" s="27" t="n">
        <x:f>'Funding'!F22</x:f>
        <x:v>0</x:v>
      </x:c>
      <x:c r="G17" s="27" t="n">
        <x:f>'Funding'!G22</x:f>
        <x:v>0</x:v>
      </x:c>
      <x:c r="H17" s="27" t="n">
        <x:f>'Funding'!H22</x:f>
        <x:v>0</x:v>
      </x:c>
      <x:c r="I17" s="27" t="n">
        <x:f>'Funding'!I22</x:f>
        <x:v>0</x:v>
      </x:c>
      <x:c r="J17" s="27" t="n">
        <x:f>'Funding'!J22</x:f>
        <x:v>0</x:v>
      </x:c>
      <x:c r="K17" s="27" t="n">
        <x:f>'Funding'!K22</x:f>
        <x:v>0</x:v>
      </x:c>
      <x:c r="L17" s="27" t="n">
        <x:f>'Funding'!L22</x:f>
        <x:v>0</x:v>
      </x:c>
      <x:c r="M17" s="27" t="n">
        <x:f>'Funding'!M22</x:f>
        <x:v>0</x:v>
      </x:c>
      <x:c r="N17" s="27" t="n">
        <x:f>'Funding'!N22</x:f>
        <x:v>0</x:v>
      </x:c>
      <x:c r="O17" s="27" t="n">
        <x:f>'Funding'!O22</x:f>
        <x:v>0</x:v>
      </x:c>
    </x:row>
    <x:row r="18" ht="32" customHeight="1">
      <x:c r="C18" s="7" t="str">
        <x:v>Debt above adopted facility ceiling</x:v>
      </x:c>
      <x:c r="D18" s="27" t="n">
        <x:f>MAX(0,('BS'!D16-'Assumptions'!D19))</x:f>
        <x:v>0</x:v>
      </x:c>
      <x:c r="E18" s="27" t="n">
        <x:f>MAX(0,('BS'!E16-'Assumptions'!E19))</x:f>
        <x:v>0</x:v>
      </x:c>
      <x:c r="F18" s="27" t="n">
        <x:f>MAX(0,('BS'!F16-'Assumptions'!F19))</x:f>
        <x:v>0</x:v>
      </x:c>
      <x:c r="G18" s="27" t="n">
        <x:f>MAX(0,('BS'!G16-'Assumptions'!G19))</x:f>
        <x:v>0</x:v>
      </x:c>
      <x:c r="H18" s="27" t="n">
        <x:f>MAX(0,('BS'!H16-'Assumptions'!H19))</x:f>
        <x:v>0</x:v>
      </x:c>
      <x:c r="I18" s="27" t="n">
        <x:f>MAX(0,('BS'!I16-'Assumptions'!I19))</x:f>
        <x:v>0</x:v>
      </x:c>
      <x:c r="J18" s="27" t="n">
        <x:f>MAX(0,('BS'!J16-'Assumptions'!J19))</x:f>
        <x:v>0</x:v>
      </x:c>
      <x:c r="K18" s="27" t="n">
        <x:f>MAX(0,('BS'!K16-'Assumptions'!K19))</x:f>
        <x:v>0</x:v>
      </x:c>
      <x:c r="L18" s="27" t="n">
        <x:f>MAX(0,('BS'!L16-'Assumptions'!L19))</x:f>
        <x:v>0</x:v>
      </x:c>
      <x:c r="M18" s="27" t="n">
        <x:f>MAX(0,('BS'!M16-'Assumptions'!M19))</x:f>
        <x:v>0</x:v>
      </x:c>
      <x:c r="N18" s="27" t="n">
        <x:f>MAX(0,('BS'!N16-'Assumptions'!N19))</x:f>
        <x:v>0</x:v>
      </x:c>
      <x:c r="O18" s="27" t="n">
        <x:f>MAX(0,('BS'!O16-'Assumptions'!O19))</x:f>
        <x:v>0</x:v>
      </x:c>
    </x:row>
    <x:row r="19" ht="32" customHeight="1">
      <x:c r="C19" s="7" t="str">
        <x:v>Input validity | gross_margin</x:v>
      </x:c>
      <x:c r="D19" s="40" t="n">
        <x:f>IFERROR(IF(AND(ISNUMBER('Assumptions'!D20),TYPE('Assumptions'!D20)=1,'Assumptions'!D20&lt;=1),0,1),1)</x:f>
        <x:v>0</x:v>
      </x:c>
      <x:c r="E19" s="40" t="n">
        <x:f>IFERROR(IF(AND(ISNUMBER('Assumptions'!E20),TYPE('Assumptions'!E20)=1,'Assumptions'!E20&lt;=1),0,1),1)</x:f>
        <x:v>0</x:v>
      </x:c>
      <x:c r="F19" s="40" t="n">
        <x:f>IFERROR(IF(AND(ISNUMBER('Assumptions'!F20),TYPE('Assumptions'!F20)=1,'Assumptions'!F20&lt;=1),0,1),1)</x:f>
        <x:v>0</x:v>
      </x:c>
      <x:c r="G19" s="40" t="n">
        <x:f>IFERROR(IF(AND(ISNUMBER('Assumptions'!G20),TYPE('Assumptions'!G20)=1,'Assumptions'!G20&lt;=1),0,1),1)</x:f>
        <x:v>0</x:v>
      </x:c>
      <x:c r="H19" s="40" t="n">
        <x:f>IFERROR(IF(AND(ISNUMBER('Assumptions'!H20),TYPE('Assumptions'!H20)=1,'Assumptions'!H20&lt;=1),0,1),1)</x:f>
        <x:v>0</x:v>
      </x:c>
      <x:c r="I19" s="40" t="n">
        <x:f>IFERROR(IF(AND(ISNUMBER('Assumptions'!I20),TYPE('Assumptions'!I20)=1,'Assumptions'!I20&lt;=1),0,1),1)</x:f>
        <x:v>0</x:v>
      </x:c>
      <x:c r="J19" s="40" t="n">
        <x:f>IFERROR(IF(AND(ISNUMBER('Assumptions'!J20),TYPE('Assumptions'!J20)=1,'Assumptions'!J20&lt;=1),0,1),1)</x:f>
        <x:v>0</x:v>
      </x:c>
      <x:c r="K19" s="40" t="n">
        <x:f>IFERROR(IF(AND(ISNUMBER('Assumptions'!K20),TYPE('Assumptions'!K20)=1,'Assumptions'!K20&lt;=1),0,1),1)</x:f>
        <x:v>0</x:v>
      </x:c>
      <x:c r="L19" s="40" t="n">
        <x:f>IFERROR(IF(AND(ISNUMBER('Assumptions'!L20),TYPE('Assumptions'!L20)=1,'Assumptions'!L20&lt;=1),0,1),1)</x:f>
        <x:v>0</x:v>
      </x:c>
      <x:c r="M19" s="40" t="n">
        <x:f>IFERROR(IF(AND(ISNUMBER('Assumptions'!M20),TYPE('Assumptions'!M20)=1,'Assumptions'!M20&lt;=1),0,1),1)</x:f>
        <x:v>0</x:v>
      </x:c>
      <x:c r="N19" s="40" t="n">
        <x:f>IFERROR(IF(AND(ISNUMBER('Assumptions'!N20),TYPE('Assumptions'!N20)=1,'Assumptions'!N20&lt;=1),0,1),1)</x:f>
        <x:v>0</x:v>
      </x:c>
      <x:c r="O19" s="40" t="n">
        <x:f>IFERROR(IF(AND(ISNUMBER('Assumptions'!O20),TYPE('Assumptions'!O20)=1,'Assumptions'!O20&lt;=1),0,1),1)</x:f>
        <x:v>0</x:v>
      </x:c>
    </x:row>
    <x:row r="20" ht="32" customHeight="1">
      <x:c r="C20" s="7" t="str">
        <x:v>Input validity | dpo</x:v>
      </x:c>
      <x:c r="D20" s="40" t="n">
        <x:f>IFERROR(IF(AND(ISNUMBER('Assumptions'!D17),TYPE('Assumptions'!D17)=1,'Assumptions'!D17&gt;=0),0,1),1)</x:f>
        <x:v>0</x:v>
      </x:c>
      <x:c r="E20" s="40" t="n">
        <x:f>IFERROR(IF(AND(ISNUMBER('Assumptions'!E17),TYPE('Assumptions'!E17)=1,'Assumptions'!E17&gt;=0),0,1),1)</x:f>
        <x:v>0</x:v>
      </x:c>
      <x:c r="F20" s="40" t="n">
        <x:f>IFERROR(IF(AND(ISNUMBER('Assumptions'!F17),TYPE('Assumptions'!F17)=1,'Assumptions'!F17&gt;=0),0,1),1)</x:f>
        <x:v>0</x:v>
      </x:c>
      <x:c r="G20" s="40" t="n">
        <x:f>IFERROR(IF(AND(ISNUMBER('Assumptions'!G17),TYPE('Assumptions'!G17)=1,'Assumptions'!G17&gt;=0),0,1),1)</x:f>
        <x:v>0</x:v>
      </x:c>
      <x:c r="H20" s="40" t="n">
        <x:f>IFERROR(IF(AND(ISNUMBER('Assumptions'!H17),TYPE('Assumptions'!H17)=1,'Assumptions'!H17&gt;=0),0,1),1)</x:f>
        <x:v>0</x:v>
      </x:c>
      <x:c r="I20" s="40" t="n">
        <x:f>IFERROR(IF(AND(ISNUMBER('Assumptions'!I17),TYPE('Assumptions'!I17)=1,'Assumptions'!I17&gt;=0),0,1),1)</x:f>
        <x:v>0</x:v>
      </x:c>
      <x:c r="J20" s="40" t="n">
        <x:f>IFERROR(IF(AND(ISNUMBER('Assumptions'!J17),TYPE('Assumptions'!J17)=1,'Assumptions'!J17&gt;=0),0,1),1)</x:f>
        <x:v>0</x:v>
      </x:c>
      <x:c r="K20" s="40" t="n">
        <x:f>IFERROR(IF(AND(ISNUMBER('Assumptions'!K17),TYPE('Assumptions'!K17)=1,'Assumptions'!K17&gt;=0),0,1),1)</x:f>
        <x:v>0</x:v>
      </x:c>
      <x:c r="L20" s="40" t="n">
        <x:f>IFERROR(IF(AND(ISNUMBER('Assumptions'!L17),TYPE('Assumptions'!L17)=1,'Assumptions'!L17&gt;=0),0,1),1)</x:f>
        <x:v>0</x:v>
      </x:c>
      <x:c r="M20" s="40" t="n">
        <x:f>IFERROR(IF(AND(ISNUMBER('Assumptions'!M17),TYPE('Assumptions'!M17)=1,'Assumptions'!M17&gt;=0),0,1),1)</x:f>
        <x:v>0</x:v>
      </x:c>
      <x:c r="N20" s="40" t="n">
        <x:f>IFERROR(IF(AND(ISNUMBER('Assumptions'!N17),TYPE('Assumptions'!N17)=1,'Assumptions'!N17&gt;=0),0,1),1)</x:f>
        <x:v>0</x:v>
      </x:c>
      <x:c r="O20" s="40" t="n">
        <x:f>IFERROR(IF(AND(ISNUMBER('Assumptions'!O17),TYPE('Assumptions'!O17)=1,'Assumptions'!O17&gt;=0),0,1),1)</x:f>
        <x:v>0</x:v>
      </x:c>
    </x:row>
    <x:row r="21" ht="32" customHeight="1">
      <x:c r="C21" s="7" t="str">
        <x:v>Input validity | volume_growth</x:v>
      </x:c>
      <x:c r="D21" s="40" t="n">
        <x:f>IFERROR(IF(AND(ISNUMBER('Assumptions'!D27),TYPE('Assumptions'!D27)=1,'Assumptions'!D27&gt;=-1),0,1),1)</x:f>
        <x:v>0</x:v>
      </x:c>
      <x:c r="E21" s="40" t="n">
        <x:f>IFERROR(IF(AND(ISNUMBER('Assumptions'!E27),TYPE('Assumptions'!E27)=1,'Assumptions'!E27&gt;=-1),0,1),1)</x:f>
        <x:v>0</x:v>
      </x:c>
      <x:c r="F21" s="40" t="n">
        <x:f>IFERROR(IF(AND(ISNUMBER('Assumptions'!F27),TYPE('Assumptions'!F27)=1,'Assumptions'!F27&gt;=-1),0,1),1)</x:f>
        <x:v>0</x:v>
      </x:c>
      <x:c r="G21" s="40" t="n">
        <x:f>IFERROR(IF(AND(ISNUMBER('Assumptions'!G27),TYPE('Assumptions'!G27)=1,'Assumptions'!G27&gt;=-1),0,1),1)</x:f>
        <x:v>0</x:v>
      </x:c>
      <x:c r="H21" s="40" t="n">
        <x:f>IFERROR(IF(AND(ISNUMBER('Assumptions'!H27),TYPE('Assumptions'!H27)=1,'Assumptions'!H27&gt;=-1),0,1),1)</x:f>
        <x:v>0</x:v>
      </x:c>
      <x:c r="I21" s="40" t="n">
        <x:f>IFERROR(IF(AND(ISNUMBER('Assumptions'!I27),TYPE('Assumptions'!I27)=1,'Assumptions'!I27&gt;=-1),0,1),1)</x:f>
        <x:v>0</x:v>
      </x:c>
      <x:c r="J21" s="40" t="n">
        <x:f>IFERROR(IF(AND(ISNUMBER('Assumptions'!J27),TYPE('Assumptions'!J27)=1,'Assumptions'!J27&gt;=-1),0,1),1)</x:f>
        <x:v>0</x:v>
      </x:c>
      <x:c r="K21" s="40" t="n">
        <x:f>IFERROR(IF(AND(ISNUMBER('Assumptions'!K27),TYPE('Assumptions'!K27)=1,'Assumptions'!K27&gt;=-1),0,1),1)</x:f>
        <x:v>0</x:v>
      </x:c>
      <x:c r="L21" s="40" t="n">
        <x:f>IFERROR(IF(AND(ISNUMBER('Assumptions'!L27),TYPE('Assumptions'!L27)=1,'Assumptions'!L27&gt;=-1),0,1),1)</x:f>
        <x:v>0</x:v>
      </x:c>
      <x:c r="M21" s="40" t="n">
        <x:f>IFERROR(IF(AND(ISNUMBER('Assumptions'!M27),TYPE('Assumptions'!M27)=1,'Assumptions'!M27&gt;=-1),0,1),1)</x:f>
        <x:v>0</x:v>
      </x:c>
      <x:c r="N21" s="40" t="n">
        <x:f>IFERROR(IF(AND(ISNUMBER('Assumptions'!N27),TYPE('Assumptions'!N27)=1,'Assumptions'!N27&gt;=-1),0,1),1)</x:f>
        <x:v>0</x:v>
      </x:c>
      <x:c r="O21" s="40" t="n">
        <x:f>IFERROR(IF(AND(ISNUMBER('Assumptions'!O27),TYPE('Assumptions'!O27)=1,'Assumptions'!O27&gt;=-1),0,1),1)</x:f>
        <x:v>0</x:v>
      </x:c>
    </x:row>
    <x:row r="22" ht="32" customHeight="1">
      <x:c r="C22" s="7" t="str">
        <x:v>Input validity | depreciation_rate</x:v>
      </x:c>
      <x:c r="D22" s="40" t="n">
        <x:f>IFERROR(IF(AND(ISNUMBER('Assumptions'!D14),TYPE('Assumptions'!D14)=1,'Assumptions'!D14&gt;=0),0,1),1)</x:f>
        <x:v>0</x:v>
      </x:c>
      <x:c r="E22" s="40" t="n">
        <x:f>IFERROR(IF(AND(ISNUMBER('Assumptions'!E14),TYPE('Assumptions'!E14)=1,'Assumptions'!E14&gt;=0),0,1),1)</x:f>
        <x:v>0</x:v>
      </x:c>
      <x:c r="F22" s="40" t="n">
        <x:f>IFERROR(IF(AND(ISNUMBER('Assumptions'!F14),TYPE('Assumptions'!F14)=1,'Assumptions'!F14&gt;=0),0,1),1)</x:f>
        <x:v>0</x:v>
      </x:c>
      <x:c r="G22" s="40" t="n">
        <x:f>IFERROR(IF(AND(ISNUMBER('Assumptions'!G14),TYPE('Assumptions'!G14)=1,'Assumptions'!G14&gt;=0),0,1),1)</x:f>
        <x:v>0</x:v>
      </x:c>
      <x:c r="H22" s="40" t="n">
        <x:f>IFERROR(IF(AND(ISNUMBER('Assumptions'!H14),TYPE('Assumptions'!H14)=1,'Assumptions'!H14&gt;=0),0,1),1)</x:f>
        <x:v>0</x:v>
      </x:c>
      <x:c r="I22" s="40" t="n">
        <x:f>IFERROR(IF(AND(ISNUMBER('Assumptions'!I14),TYPE('Assumptions'!I14)=1,'Assumptions'!I14&gt;=0),0,1),1)</x:f>
        <x:v>0</x:v>
      </x:c>
      <x:c r="J22" s="40" t="n">
        <x:f>IFERROR(IF(AND(ISNUMBER('Assumptions'!J14),TYPE('Assumptions'!J14)=1,'Assumptions'!J14&gt;=0),0,1),1)</x:f>
        <x:v>0</x:v>
      </x:c>
      <x:c r="K22" s="40" t="n">
        <x:f>IFERROR(IF(AND(ISNUMBER('Assumptions'!K14),TYPE('Assumptions'!K14)=1,'Assumptions'!K14&gt;=0),0,1),1)</x:f>
        <x:v>0</x:v>
      </x:c>
      <x:c r="L22" s="40" t="n">
        <x:f>IFERROR(IF(AND(ISNUMBER('Assumptions'!L14),TYPE('Assumptions'!L14)=1,'Assumptions'!L14&gt;=0),0,1),1)</x:f>
        <x:v>0</x:v>
      </x:c>
      <x:c r="M22" s="40" t="n">
        <x:f>IFERROR(IF(AND(ISNUMBER('Assumptions'!M14),TYPE('Assumptions'!M14)=1,'Assumptions'!M14&gt;=0),0,1),1)</x:f>
        <x:v>0</x:v>
      </x:c>
      <x:c r="N22" s="40" t="n">
        <x:f>IFERROR(IF(AND(ISNUMBER('Assumptions'!N14),TYPE('Assumptions'!N14)=1,'Assumptions'!N14&gt;=0),0,1),1)</x:f>
        <x:v>0</x:v>
      </x:c>
      <x:c r="O22" s="40" t="n">
        <x:f>IFERROR(IF(AND(ISNUMBER('Assumptions'!O14),TYPE('Assumptions'!O14)=1,'Assumptions'!O14&gt;=0),0,1),1)</x:f>
        <x:v>0</x:v>
      </x:c>
    </x:row>
    <x:row r="23" ht="32" customHeight="1">
      <x:c r="C23" s="7" t="str">
        <x:v>Input validity | facility_limit</x:v>
      </x:c>
      <x:c r="D23" s="40" t="n">
        <x:f>IFERROR(IF(AND(ISNUMBER('Assumptions'!D19),TYPE('Assumptions'!D19)=1,'Assumptions'!D19&gt;=0),0,1),1)</x:f>
        <x:v>0</x:v>
      </x:c>
      <x:c r="E23" s="40" t="n">
        <x:f>IFERROR(IF(AND(ISNUMBER('Assumptions'!E19),TYPE('Assumptions'!E19)=1,'Assumptions'!E19&gt;=0),0,1),1)</x:f>
        <x:v>0</x:v>
      </x:c>
      <x:c r="F23" s="40" t="n">
        <x:f>IFERROR(IF(AND(ISNUMBER('Assumptions'!F19),TYPE('Assumptions'!F19)=1,'Assumptions'!F19&gt;=0),0,1),1)</x:f>
        <x:v>0</x:v>
      </x:c>
      <x:c r="G23" s="40" t="n">
        <x:f>IFERROR(IF(AND(ISNUMBER('Assumptions'!G19),TYPE('Assumptions'!G19)=1,'Assumptions'!G19&gt;=0),0,1),1)</x:f>
        <x:v>0</x:v>
      </x:c>
      <x:c r="H23" s="40" t="n">
        <x:f>IFERROR(IF(AND(ISNUMBER('Assumptions'!H19),TYPE('Assumptions'!H19)=1,'Assumptions'!H19&gt;=0),0,1),1)</x:f>
        <x:v>0</x:v>
      </x:c>
      <x:c r="I23" s="40" t="n">
        <x:f>IFERROR(IF(AND(ISNUMBER('Assumptions'!I19),TYPE('Assumptions'!I19)=1,'Assumptions'!I19&gt;=0),0,1),1)</x:f>
        <x:v>0</x:v>
      </x:c>
      <x:c r="J23" s="40" t="n">
        <x:f>IFERROR(IF(AND(ISNUMBER('Assumptions'!J19),TYPE('Assumptions'!J19)=1,'Assumptions'!J19&gt;=0),0,1),1)</x:f>
        <x:v>0</x:v>
      </x:c>
      <x:c r="K23" s="40" t="n">
        <x:f>IFERROR(IF(AND(ISNUMBER('Assumptions'!K19),TYPE('Assumptions'!K19)=1,'Assumptions'!K19&gt;=0),0,1),1)</x:f>
        <x:v>0</x:v>
      </x:c>
      <x:c r="L23" s="40" t="n">
        <x:f>IFERROR(IF(AND(ISNUMBER('Assumptions'!L19),TYPE('Assumptions'!L19)=1,'Assumptions'!L19&gt;=0),0,1),1)</x:f>
        <x:v>0</x:v>
      </x:c>
      <x:c r="M23" s="40" t="n">
        <x:f>IFERROR(IF(AND(ISNUMBER('Assumptions'!M19),TYPE('Assumptions'!M19)=1,'Assumptions'!M19&gt;=0),0,1),1)</x:f>
        <x:v>0</x:v>
      </x:c>
      <x:c r="N23" s="40" t="n">
        <x:f>IFERROR(IF(AND(ISNUMBER('Assumptions'!N19),TYPE('Assumptions'!N19)=1,'Assumptions'!N19&gt;=0),0,1),1)</x:f>
        <x:v>0</x:v>
      </x:c>
      <x:c r="O23" s="40" t="n">
        <x:f>IFERROR(IF(AND(ISNUMBER('Assumptions'!O19),TYPE('Assumptions'!O19)=1,'Assumptions'!O19&gt;=0),0,1),1)</x:f>
        <x:v>0</x:v>
      </x:c>
    </x:row>
    <x:row r="24" ht="32" customHeight="1">
      <x:c r="C24" s="7" t="str">
        <x:v>Input validity | selling_ratio</x:v>
      </x:c>
      <x:c r="D24" s="40" t="n">
        <x:f>IFERROR(IF(AND(ISNUMBER('Assumptions'!D24),TYPE('Assumptions'!D24)=1,'Assumptions'!D24&gt;=0),0,1),1)</x:f>
        <x:v>0</x:v>
      </x:c>
      <x:c r="E24" s="40" t="n">
        <x:f>IFERROR(IF(AND(ISNUMBER('Assumptions'!E24),TYPE('Assumptions'!E24)=1,'Assumptions'!E24&gt;=0),0,1),1)</x:f>
        <x:v>0</x:v>
      </x:c>
      <x:c r="F24" s="40" t="n">
        <x:f>IFERROR(IF(AND(ISNUMBER('Assumptions'!F24),TYPE('Assumptions'!F24)=1,'Assumptions'!F24&gt;=0),0,1),1)</x:f>
        <x:v>0</x:v>
      </x:c>
      <x:c r="G24" s="40" t="n">
        <x:f>IFERROR(IF(AND(ISNUMBER('Assumptions'!G24),TYPE('Assumptions'!G24)=1,'Assumptions'!G24&gt;=0),0,1),1)</x:f>
        <x:v>0</x:v>
      </x:c>
      <x:c r="H24" s="40" t="n">
        <x:f>IFERROR(IF(AND(ISNUMBER('Assumptions'!H24),TYPE('Assumptions'!H24)=1,'Assumptions'!H24&gt;=0),0,1),1)</x:f>
        <x:v>0</x:v>
      </x:c>
      <x:c r="I24" s="40" t="n">
        <x:f>IFERROR(IF(AND(ISNUMBER('Assumptions'!I24),TYPE('Assumptions'!I24)=1,'Assumptions'!I24&gt;=0),0,1),1)</x:f>
        <x:v>0</x:v>
      </x:c>
      <x:c r="J24" s="40" t="n">
        <x:f>IFERROR(IF(AND(ISNUMBER('Assumptions'!J24),TYPE('Assumptions'!J24)=1,'Assumptions'!J24&gt;=0),0,1),1)</x:f>
        <x:v>0</x:v>
      </x:c>
      <x:c r="K24" s="40" t="n">
        <x:f>IFERROR(IF(AND(ISNUMBER('Assumptions'!K24),TYPE('Assumptions'!K24)=1,'Assumptions'!K24&gt;=0),0,1),1)</x:f>
        <x:v>0</x:v>
      </x:c>
      <x:c r="L24" s="40" t="n">
        <x:f>IFERROR(IF(AND(ISNUMBER('Assumptions'!L24),TYPE('Assumptions'!L24)=1,'Assumptions'!L24&gt;=0),0,1),1)</x:f>
        <x:v>0</x:v>
      </x:c>
      <x:c r="M24" s="40" t="n">
        <x:f>IFERROR(IF(AND(ISNUMBER('Assumptions'!M24),TYPE('Assumptions'!M24)=1,'Assumptions'!M24&gt;=0),0,1),1)</x:f>
        <x:v>0</x:v>
      </x:c>
      <x:c r="N24" s="40" t="n">
        <x:f>IFERROR(IF(AND(ISNUMBER('Assumptions'!N24),TYPE('Assumptions'!N24)=1,'Assumptions'!N24&gt;=0),0,1),1)</x:f>
        <x:v>0</x:v>
      </x:c>
      <x:c r="O24" s="40" t="n">
        <x:f>IFERROR(IF(AND(ISNUMBER('Assumptions'!O24),TYPE('Assumptions'!O24)=1,'Assumptions'!O24&gt;=0),0,1),1)</x:f>
        <x:v>0</x:v>
      </x:c>
    </x:row>
    <x:row r="25" ht="32" customHeight="1">
      <x:c r="C25" s="7" t="str">
        <x:v>Input validity | debt_draw</x:v>
      </x:c>
      <x:c r="D25" s="40" t="n">
        <x:f>IFERROR(IF(AND(ISNUMBER('Assumptions'!D12),TYPE('Assumptions'!D12)=1,'Assumptions'!D12&gt;=0),0,1),1)</x:f>
        <x:v>0</x:v>
      </x:c>
      <x:c r="E25" s="40" t="n">
        <x:f>IFERROR(IF(AND(ISNUMBER('Assumptions'!E12),TYPE('Assumptions'!E12)=1,'Assumptions'!E12&gt;=0),0,1),1)</x:f>
        <x:v>0</x:v>
      </x:c>
      <x:c r="F25" s="40" t="n">
        <x:f>IFERROR(IF(AND(ISNUMBER('Assumptions'!F12),TYPE('Assumptions'!F12)=1,'Assumptions'!F12&gt;=0),0,1),1)</x:f>
        <x:v>0</x:v>
      </x:c>
      <x:c r="G25" s="40" t="n">
        <x:f>IFERROR(IF(AND(ISNUMBER('Assumptions'!G12),TYPE('Assumptions'!G12)=1,'Assumptions'!G12&gt;=0),0,1),1)</x:f>
        <x:v>0</x:v>
      </x:c>
      <x:c r="H25" s="40" t="n">
        <x:f>IFERROR(IF(AND(ISNUMBER('Assumptions'!H12),TYPE('Assumptions'!H12)=1,'Assumptions'!H12&gt;=0),0,1),1)</x:f>
        <x:v>0</x:v>
      </x:c>
      <x:c r="I25" s="40" t="n">
        <x:f>IFERROR(IF(AND(ISNUMBER('Assumptions'!I12),TYPE('Assumptions'!I12)=1,'Assumptions'!I12&gt;=0),0,1),1)</x:f>
        <x:v>0</x:v>
      </x:c>
      <x:c r="J25" s="40" t="n">
        <x:f>IFERROR(IF(AND(ISNUMBER('Assumptions'!J12),TYPE('Assumptions'!J12)=1,'Assumptions'!J12&gt;=0),0,1),1)</x:f>
        <x:v>0</x:v>
      </x:c>
      <x:c r="K25" s="40" t="n">
        <x:f>IFERROR(IF(AND(ISNUMBER('Assumptions'!K12),TYPE('Assumptions'!K12)=1,'Assumptions'!K12&gt;=0),0,1),1)</x:f>
        <x:v>0</x:v>
      </x:c>
      <x:c r="L25" s="40" t="n">
        <x:f>IFERROR(IF(AND(ISNUMBER('Assumptions'!L12),TYPE('Assumptions'!L12)=1,'Assumptions'!L12&gt;=0),0,1),1)</x:f>
        <x:v>0</x:v>
      </x:c>
      <x:c r="M25" s="40" t="n">
        <x:f>IFERROR(IF(AND(ISNUMBER('Assumptions'!M12),TYPE('Assumptions'!M12)=1,'Assumptions'!M12&gt;=0),0,1),1)</x:f>
        <x:v>0</x:v>
      </x:c>
      <x:c r="N25" s="40" t="n">
        <x:f>IFERROR(IF(AND(ISNUMBER('Assumptions'!N12),TYPE('Assumptions'!N12)=1,'Assumptions'!N12&gt;=0),0,1),1)</x:f>
        <x:v>0</x:v>
      </x:c>
      <x:c r="O25" s="40" t="n">
        <x:f>IFERROR(IF(AND(ISNUMBER('Assumptions'!O12),TYPE('Assumptions'!O12)=1,'Assumptions'!O12&gt;=0),0,1),1)</x:f>
        <x:v>0</x:v>
      </x:c>
    </x:row>
    <x:row r="26" ht="32" customHeight="1">
      <x:c r="C26" s="7" t="str">
        <x:v>Input validity | interest_rate</x:v>
      </x:c>
      <x:c r="D26" s="40" t="n">
        <x:f>IFERROR(IF(AND(ISNUMBER('Assumptions'!D21),TYPE('Assumptions'!D21)=1,'Assumptions'!D21&gt;=0),0,1),1)</x:f>
        <x:v>0</x:v>
      </x:c>
      <x:c r="E26" s="40" t="n">
        <x:f>IFERROR(IF(AND(ISNUMBER('Assumptions'!E21),TYPE('Assumptions'!E21)=1,'Assumptions'!E21&gt;=0),0,1),1)</x:f>
        <x:v>0</x:v>
      </x:c>
      <x:c r="F26" s="40" t="n">
        <x:f>IFERROR(IF(AND(ISNUMBER('Assumptions'!F21),TYPE('Assumptions'!F21)=1,'Assumptions'!F21&gt;=0),0,1),1)</x:f>
        <x:v>0</x:v>
      </x:c>
      <x:c r="G26" s="40" t="n">
        <x:f>IFERROR(IF(AND(ISNUMBER('Assumptions'!G21),TYPE('Assumptions'!G21)=1,'Assumptions'!G21&gt;=0),0,1),1)</x:f>
        <x:v>0</x:v>
      </x:c>
      <x:c r="H26" s="40" t="n">
        <x:f>IFERROR(IF(AND(ISNUMBER('Assumptions'!H21),TYPE('Assumptions'!H21)=1,'Assumptions'!H21&gt;=0),0,1),1)</x:f>
        <x:v>0</x:v>
      </x:c>
      <x:c r="I26" s="40" t="n">
        <x:f>IFERROR(IF(AND(ISNUMBER('Assumptions'!I21),TYPE('Assumptions'!I21)=1,'Assumptions'!I21&gt;=0),0,1),1)</x:f>
        <x:v>0</x:v>
      </x:c>
      <x:c r="J26" s="40" t="n">
        <x:f>IFERROR(IF(AND(ISNUMBER('Assumptions'!J21),TYPE('Assumptions'!J21)=1,'Assumptions'!J21&gt;=0),0,1),1)</x:f>
        <x:v>0</x:v>
      </x:c>
      <x:c r="K26" s="40" t="n">
        <x:f>IFERROR(IF(AND(ISNUMBER('Assumptions'!K21),TYPE('Assumptions'!K21)=1,'Assumptions'!K21&gt;=0),0,1),1)</x:f>
        <x:v>0</x:v>
      </x:c>
      <x:c r="L26" s="40" t="n">
        <x:f>IFERROR(IF(AND(ISNUMBER('Assumptions'!L21),TYPE('Assumptions'!L21)=1,'Assumptions'!L21&gt;=0),0,1),1)</x:f>
        <x:v>0</x:v>
      </x:c>
      <x:c r="M26" s="40" t="n">
        <x:f>IFERROR(IF(AND(ISNUMBER('Assumptions'!M21),TYPE('Assumptions'!M21)=1,'Assumptions'!M21&gt;=0),0,1),1)</x:f>
        <x:v>0</x:v>
      </x:c>
      <x:c r="N26" s="40" t="n">
        <x:f>IFERROR(IF(AND(ISNUMBER('Assumptions'!N21),TYPE('Assumptions'!N21)=1,'Assumptions'!N21&gt;=0),0,1),1)</x:f>
        <x:v>0</x:v>
      </x:c>
      <x:c r="O26" s="40" t="n">
        <x:f>IFERROR(IF(AND(ISNUMBER('Assumptions'!O21),TYPE('Assumptions'!O21)=1,'Assumptions'!O21&gt;=0),0,1),1)</x:f>
        <x:v>0</x:v>
      </x:c>
    </x:row>
    <x:row r="27" ht="32" customHeight="1">
      <x:c r="C27" s="7" t="str">
        <x:v>Input validity | dio</x:v>
      </x:c>
      <x:c r="D27" s="40" t="n">
        <x:f>IFERROR(IF(AND(ISNUMBER('Assumptions'!D15),TYPE('Assumptions'!D15)=1,'Assumptions'!D15&gt;=0),0,1),1)</x:f>
        <x:v>0</x:v>
      </x:c>
      <x:c r="E27" s="40" t="n">
        <x:f>IFERROR(IF(AND(ISNUMBER('Assumptions'!E15),TYPE('Assumptions'!E15)=1,'Assumptions'!E15&gt;=0),0,1),1)</x:f>
        <x:v>0</x:v>
      </x:c>
      <x:c r="F27" s="40" t="n">
        <x:f>IFERROR(IF(AND(ISNUMBER('Assumptions'!F15),TYPE('Assumptions'!F15)=1,'Assumptions'!F15&gt;=0),0,1),1)</x:f>
        <x:v>0</x:v>
      </x:c>
      <x:c r="G27" s="40" t="n">
        <x:f>IFERROR(IF(AND(ISNUMBER('Assumptions'!G15),TYPE('Assumptions'!G15)=1,'Assumptions'!G15&gt;=0),0,1),1)</x:f>
        <x:v>0</x:v>
      </x:c>
      <x:c r="H27" s="40" t="n">
        <x:f>IFERROR(IF(AND(ISNUMBER('Assumptions'!H15),TYPE('Assumptions'!H15)=1,'Assumptions'!H15&gt;=0),0,1),1)</x:f>
        <x:v>0</x:v>
      </x:c>
      <x:c r="I27" s="40" t="n">
        <x:f>IFERROR(IF(AND(ISNUMBER('Assumptions'!I15),TYPE('Assumptions'!I15)=1,'Assumptions'!I15&gt;=0),0,1),1)</x:f>
        <x:v>0</x:v>
      </x:c>
      <x:c r="J27" s="40" t="n">
        <x:f>IFERROR(IF(AND(ISNUMBER('Assumptions'!J15),TYPE('Assumptions'!J15)=1,'Assumptions'!J15&gt;=0),0,1),1)</x:f>
        <x:v>0</x:v>
      </x:c>
      <x:c r="K27" s="40" t="n">
        <x:f>IFERROR(IF(AND(ISNUMBER('Assumptions'!K15),TYPE('Assumptions'!K15)=1,'Assumptions'!K15&gt;=0),0,1),1)</x:f>
        <x:v>0</x:v>
      </x:c>
      <x:c r="L27" s="40" t="n">
        <x:f>IFERROR(IF(AND(ISNUMBER('Assumptions'!L15),TYPE('Assumptions'!L15)=1,'Assumptions'!L15&gt;=0),0,1),1)</x:f>
        <x:v>0</x:v>
      </x:c>
      <x:c r="M27" s="40" t="n">
        <x:f>IFERROR(IF(AND(ISNUMBER('Assumptions'!M15),TYPE('Assumptions'!M15)=1,'Assumptions'!M15&gt;=0),0,1),1)</x:f>
        <x:v>0</x:v>
      </x:c>
      <x:c r="N27" s="40" t="n">
        <x:f>IFERROR(IF(AND(ISNUMBER('Assumptions'!N15),TYPE('Assumptions'!N15)=1,'Assumptions'!N15&gt;=0),0,1),1)</x:f>
        <x:v>0</x:v>
      </x:c>
      <x:c r="O27" s="40" t="n">
        <x:f>IFERROR(IF(AND(ISNUMBER('Assumptions'!O15),TYPE('Assumptions'!O15)=1,'Assumptions'!O15&gt;=0),0,1),1)</x:f>
        <x:v>0</x:v>
      </x:c>
    </x:row>
    <x:row r="28" ht="32" customHeight="1">
      <x:c r="C28" s="7" t="str">
        <x:v>Input validity | research_ratio</x:v>
      </x:c>
      <x:c r="D28" s="40" t="n">
        <x:f>IFERROR(IF(AND(ISNUMBER('Assumptions'!D23),TYPE('Assumptions'!D23)=1,'Assumptions'!D23&gt;=0),0,1),1)</x:f>
        <x:v>0</x:v>
      </x:c>
      <x:c r="E28" s="40" t="n">
        <x:f>IFERROR(IF(AND(ISNUMBER('Assumptions'!E23),TYPE('Assumptions'!E23)=1,'Assumptions'!E23&gt;=0),0,1),1)</x:f>
        <x:v>0</x:v>
      </x:c>
      <x:c r="F28" s="40" t="n">
        <x:f>IFERROR(IF(AND(ISNUMBER('Assumptions'!F23),TYPE('Assumptions'!F23)=1,'Assumptions'!F23&gt;=0),0,1),1)</x:f>
        <x:v>0</x:v>
      </x:c>
      <x:c r="G28" s="40" t="n">
        <x:f>IFERROR(IF(AND(ISNUMBER('Assumptions'!G23),TYPE('Assumptions'!G23)=1,'Assumptions'!G23&gt;=0),0,1),1)</x:f>
        <x:v>0</x:v>
      </x:c>
      <x:c r="H28" s="40" t="n">
        <x:f>IFERROR(IF(AND(ISNUMBER('Assumptions'!H23),TYPE('Assumptions'!H23)=1,'Assumptions'!H23&gt;=0),0,1),1)</x:f>
        <x:v>0</x:v>
      </x:c>
      <x:c r="I28" s="40" t="n">
        <x:f>IFERROR(IF(AND(ISNUMBER('Assumptions'!I23),TYPE('Assumptions'!I23)=1,'Assumptions'!I23&gt;=0),0,1),1)</x:f>
        <x:v>0</x:v>
      </x:c>
      <x:c r="J28" s="40" t="n">
        <x:f>IFERROR(IF(AND(ISNUMBER('Assumptions'!J23),TYPE('Assumptions'!J23)=1,'Assumptions'!J23&gt;=0),0,1),1)</x:f>
        <x:v>0</x:v>
      </x:c>
      <x:c r="K28" s="40" t="n">
        <x:f>IFERROR(IF(AND(ISNUMBER('Assumptions'!K23),TYPE('Assumptions'!K23)=1,'Assumptions'!K23&gt;=0),0,1),1)</x:f>
        <x:v>0</x:v>
      </x:c>
      <x:c r="L28" s="40" t="n">
        <x:f>IFERROR(IF(AND(ISNUMBER('Assumptions'!L23),TYPE('Assumptions'!L23)=1,'Assumptions'!L23&gt;=0),0,1),1)</x:f>
        <x:v>0</x:v>
      </x:c>
      <x:c r="M28" s="40" t="n">
        <x:f>IFERROR(IF(AND(ISNUMBER('Assumptions'!M23),TYPE('Assumptions'!M23)=1,'Assumptions'!M23&gt;=0),0,1),1)</x:f>
        <x:v>0</x:v>
      </x:c>
      <x:c r="N28" s="40" t="n">
        <x:f>IFERROR(IF(AND(ISNUMBER('Assumptions'!N23),TYPE('Assumptions'!N23)=1,'Assumptions'!N23&gt;=0),0,1),1)</x:f>
        <x:v>0</x:v>
      </x:c>
      <x:c r="O28" s="40" t="n">
        <x:f>IFERROR(IF(AND(ISNUMBER('Assumptions'!O23),TYPE('Assumptions'!O23)=1,'Assumptions'!O23&gt;=0),0,1),1)</x:f>
        <x:v>0</x:v>
      </x:c>
    </x:row>
    <x:row r="29" ht="32" customHeight="1">
      <x:c r="C29" s="7" t="str">
        <x:v>Input validity | min_cash</x:v>
      </x:c>
      <x:c r="D29" s="40" t="n">
        <x:f>IFERROR(IF(AND(ISNUMBER('Assumptions'!D22),TYPE('Assumptions'!D22)=1,'Assumptions'!D22&gt;=0),0,1),1)</x:f>
        <x:v>0</x:v>
      </x:c>
      <x:c r="E29" s="40" t="n">
        <x:f>IFERROR(IF(AND(ISNUMBER('Assumptions'!E22),TYPE('Assumptions'!E22)=1,'Assumptions'!E22&gt;=0),0,1),1)</x:f>
        <x:v>0</x:v>
      </x:c>
      <x:c r="F29" s="40" t="n">
        <x:f>IFERROR(IF(AND(ISNUMBER('Assumptions'!F22),TYPE('Assumptions'!F22)=1,'Assumptions'!F22&gt;=0),0,1),1)</x:f>
        <x:v>0</x:v>
      </x:c>
      <x:c r="G29" s="40" t="n">
        <x:f>IFERROR(IF(AND(ISNUMBER('Assumptions'!G22),TYPE('Assumptions'!G22)=1,'Assumptions'!G22&gt;=0),0,1),1)</x:f>
        <x:v>0</x:v>
      </x:c>
      <x:c r="H29" s="40" t="n">
        <x:f>IFERROR(IF(AND(ISNUMBER('Assumptions'!H22),TYPE('Assumptions'!H22)=1,'Assumptions'!H22&gt;=0),0,1),1)</x:f>
        <x:v>0</x:v>
      </x:c>
      <x:c r="I29" s="40" t="n">
        <x:f>IFERROR(IF(AND(ISNUMBER('Assumptions'!I22),TYPE('Assumptions'!I22)=1,'Assumptions'!I22&gt;=0),0,1),1)</x:f>
        <x:v>0</x:v>
      </x:c>
      <x:c r="J29" s="40" t="n">
        <x:f>IFERROR(IF(AND(ISNUMBER('Assumptions'!J22),TYPE('Assumptions'!J22)=1,'Assumptions'!J22&gt;=0),0,1),1)</x:f>
        <x:v>0</x:v>
      </x:c>
      <x:c r="K29" s="40" t="n">
        <x:f>IFERROR(IF(AND(ISNUMBER('Assumptions'!K22),TYPE('Assumptions'!K22)=1,'Assumptions'!K22&gt;=0),0,1),1)</x:f>
        <x:v>0</x:v>
      </x:c>
      <x:c r="L29" s="40" t="n">
        <x:f>IFERROR(IF(AND(ISNUMBER('Assumptions'!L22),TYPE('Assumptions'!L22)=1,'Assumptions'!L22&gt;=0),0,1),1)</x:f>
        <x:v>0</x:v>
      </x:c>
      <x:c r="M29" s="40" t="n">
        <x:f>IFERROR(IF(AND(ISNUMBER('Assumptions'!M22),TYPE('Assumptions'!M22)=1,'Assumptions'!M22&gt;=0),0,1),1)</x:f>
        <x:v>0</x:v>
      </x:c>
      <x:c r="N29" s="40" t="n">
        <x:f>IFERROR(IF(AND(ISNUMBER('Assumptions'!N22),TYPE('Assumptions'!N22)=1,'Assumptions'!N22&gt;=0),0,1),1)</x:f>
        <x:v>0</x:v>
      </x:c>
      <x:c r="O29" s="40" t="n">
        <x:f>IFERROR(IF(AND(ISNUMBER('Assumptions'!O22),TYPE('Assumptions'!O22)=1,'Assumptions'!O22&gt;=0),0,1),1)</x:f>
        <x:v>0</x:v>
      </x:c>
    </x:row>
    <x:row r="30" ht="32" customHeight="1">
      <x:c r="C30" s="7" t="str">
        <x:v>Input validity | capex</x:v>
      </x:c>
      <x:c r="D30" s="40" t="n">
        <x:f>IFERROR(IF(AND(ISNUMBER('Assumptions'!D11),TYPE('Assumptions'!D11)=1,'Assumptions'!D11&gt;=0),0,1),1)</x:f>
        <x:v>0</x:v>
      </x:c>
      <x:c r="E30" s="40" t="n">
        <x:f>IFERROR(IF(AND(ISNUMBER('Assumptions'!E11),TYPE('Assumptions'!E11)=1,'Assumptions'!E11&gt;=0),0,1),1)</x:f>
        <x:v>0</x:v>
      </x:c>
      <x:c r="F30" s="40" t="n">
        <x:f>IFERROR(IF(AND(ISNUMBER('Assumptions'!F11),TYPE('Assumptions'!F11)=1,'Assumptions'!F11&gt;=0),0,1),1)</x:f>
        <x:v>0</x:v>
      </x:c>
      <x:c r="G30" s="40" t="n">
        <x:f>IFERROR(IF(AND(ISNUMBER('Assumptions'!G11),TYPE('Assumptions'!G11)=1,'Assumptions'!G11&gt;=0),0,1),1)</x:f>
        <x:v>0</x:v>
      </x:c>
      <x:c r="H30" s="40" t="n">
        <x:f>IFERROR(IF(AND(ISNUMBER('Assumptions'!H11),TYPE('Assumptions'!H11)=1,'Assumptions'!H11&gt;=0),0,1),1)</x:f>
        <x:v>0</x:v>
      </x:c>
      <x:c r="I30" s="40" t="n">
        <x:f>IFERROR(IF(AND(ISNUMBER('Assumptions'!I11),TYPE('Assumptions'!I11)=1,'Assumptions'!I11&gt;=0),0,1),1)</x:f>
        <x:v>0</x:v>
      </x:c>
      <x:c r="J30" s="40" t="n">
        <x:f>IFERROR(IF(AND(ISNUMBER('Assumptions'!J11),TYPE('Assumptions'!J11)=1,'Assumptions'!J11&gt;=0),0,1),1)</x:f>
        <x:v>0</x:v>
      </x:c>
      <x:c r="K30" s="40" t="n">
        <x:f>IFERROR(IF(AND(ISNUMBER('Assumptions'!K11),TYPE('Assumptions'!K11)=1,'Assumptions'!K11&gt;=0),0,1),1)</x:f>
        <x:v>0</x:v>
      </x:c>
      <x:c r="L30" s="40" t="n">
        <x:f>IFERROR(IF(AND(ISNUMBER('Assumptions'!L11),TYPE('Assumptions'!L11)=1,'Assumptions'!L11&gt;=0),0,1),1)</x:f>
        <x:v>0</x:v>
      </x:c>
      <x:c r="M30" s="40" t="n">
        <x:f>IFERROR(IF(AND(ISNUMBER('Assumptions'!M11),TYPE('Assumptions'!M11)=1,'Assumptions'!M11&gt;=0),0,1),1)</x:f>
        <x:v>0</x:v>
      </x:c>
      <x:c r="N30" s="40" t="n">
        <x:f>IFERROR(IF(AND(ISNUMBER('Assumptions'!N11),TYPE('Assumptions'!N11)=1,'Assumptions'!N11&gt;=0),0,1),1)</x:f>
        <x:v>0</x:v>
      </x:c>
      <x:c r="O30" s="40" t="n">
        <x:f>IFERROR(IF(AND(ISNUMBER('Assumptions'!O11),TYPE('Assumptions'!O11)=1,'Assumptions'!O11&gt;=0),0,1),1)</x:f>
        <x:v>0</x:v>
      </x:c>
    </x:row>
    <x:row r="31" ht="32" customHeight="1">
      <x:c r="C31" s="7" t="str">
        <x:v>Input validity | asp_growth</x:v>
      </x:c>
      <x:c r="D31" s="40" t="n">
        <x:f>IFERROR(IF(AND(ISNUMBER('Assumptions'!D10),TYPE('Assumptions'!D10)=1,'Assumptions'!D10&gt;=-1),0,1),1)</x:f>
        <x:v>0</x:v>
      </x:c>
      <x:c r="E31" s="40" t="n">
        <x:f>IFERROR(IF(AND(ISNUMBER('Assumptions'!E10),TYPE('Assumptions'!E10)=1,'Assumptions'!E10&gt;=-1),0,1),1)</x:f>
        <x:v>0</x:v>
      </x:c>
      <x:c r="F31" s="40" t="n">
        <x:f>IFERROR(IF(AND(ISNUMBER('Assumptions'!F10),TYPE('Assumptions'!F10)=1,'Assumptions'!F10&gt;=-1),0,1),1)</x:f>
        <x:v>0</x:v>
      </x:c>
      <x:c r="G31" s="40" t="n">
        <x:f>IFERROR(IF(AND(ISNUMBER('Assumptions'!G10),TYPE('Assumptions'!G10)=1,'Assumptions'!G10&gt;=-1),0,1),1)</x:f>
        <x:v>0</x:v>
      </x:c>
      <x:c r="H31" s="40" t="n">
        <x:f>IFERROR(IF(AND(ISNUMBER('Assumptions'!H10),TYPE('Assumptions'!H10)=1,'Assumptions'!H10&gt;=-1),0,1),1)</x:f>
        <x:v>0</x:v>
      </x:c>
      <x:c r="I31" s="40" t="n">
        <x:f>IFERROR(IF(AND(ISNUMBER('Assumptions'!I10),TYPE('Assumptions'!I10)=1,'Assumptions'!I10&gt;=-1),0,1),1)</x:f>
        <x:v>0</x:v>
      </x:c>
      <x:c r="J31" s="40" t="n">
        <x:f>IFERROR(IF(AND(ISNUMBER('Assumptions'!J10),TYPE('Assumptions'!J10)=1,'Assumptions'!J10&gt;=-1),0,1),1)</x:f>
        <x:v>0</x:v>
      </x:c>
      <x:c r="K31" s="40" t="n">
        <x:f>IFERROR(IF(AND(ISNUMBER('Assumptions'!K10),TYPE('Assumptions'!K10)=1,'Assumptions'!K10&gt;=-1),0,1),1)</x:f>
        <x:v>0</x:v>
      </x:c>
      <x:c r="L31" s="40" t="n">
        <x:f>IFERROR(IF(AND(ISNUMBER('Assumptions'!L10),TYPE('Assumptions'!L10)=1,'Assumptions'!L10&gt;=-1),0,1),1)</x:f>
        <x:v>0</x:v>
      </x:c>
      <x:c r="M31" s="40" t="n">
        <x:f>IFERROR(IF(AND(ISNUMBER('Assumptions'!M10),TYPE('Assumptions'!M10)=1,'Assumptions'!M10&gt;=-1),0,1),1)</x:f>
        <x:v>0</x:v>
      </x:c>
      <x:c r="N31" s="40" t="n">
        <x:f>IFERROR(IF(AND(ISNUMBER('Assumptions'!N10),TYPE('Assumptions'!N10)=1,'Assumptions'!N10&gt;=-1),0,1),1)</x:f>
        <x:v>0</x:v>
      </x:c>
      <x:c r="O31" s="40" t="n">
        <x:f>IFERROR(IF(AND(ISNUMBER('Assumptions'!O10),TYPE('Assumptions'!O10)=1,'Assumptions'!O10&gt;=-1),0,1),1)</x:f>
        <x:v>0</x:v>
      </x:c>
    </x:row>
    <x:row r="32" ht="32" customHeight="1">
      <x:c r="C32" s="7" t="str">
        <x:v>Input validity | dividends</x:v>
      </x:c>
      <x:c r="D32" s="40" t="n">
        <x:f>IFERROR(IF(AND(ISNUMBER('Assumptions'!D16),TYPE('Assumptions'!D16)=1,'Assumptions'!D16&gt;=0),0,1),1)</x:f>
        <x:v>0</x:v>
      </x:c>
      <x:c r="E32" s="40" t="n">
        <x:f>IFERROR(IF(AND(ISNUMBER('Assumptions'!E16),TYPE('Assumptions'!E16)=1,'Assumptions'!E16&gt;=0),0,1),1)</x:f>
        <x:v>0</x:v>
      </x:c>
      <x:c r="F32" s="40" t="n">
        <x:f>IFERROR(IF(AND(ISNUMBER('Assumptions'!F16),TYPE('Assumptions'!F16)=1,'Assumptions'!F16&gt;=0),0,1),1)</x:f>
        <x:v>0</x:v>
      </x:c>
      <x:c r="G32" s="40" t="n">
        <x:f>IFERROR(IF(AND(ISNUMBER('Assumptions'!G16),TYPE('Assumptions'!G16)=1,'Assumptions'!G16&gt;=0),0,1),1)</x:f>
        <x:v>0</x:v>
      </x:c>
      <x:c r="H32" s="40" t="n">
        <x:f>IFERROR(IF(AND(ISNUMBER('Assumptions'!H16),TYPE('Assumptions'!H16)=1,'Assumptions'!H16&gt;=0),0,1),1)</x:f>
        <x:v>0</x:v>
      </x:c>
      <x:c r="I32" s="40" t="n">
        <x:f>IFERROR(IF(AND(ISNUMBER('Assumptions'!I16),TYPE('Assumptions'!I16)=1,'Assumptions'!I16&gt;=0),0,1),1)</x:f>
        <x:v>0</x:v>
      </x:c>
      <x:c r="J32" s="40" t="n">
        <x:f>IFERROR(IF(AND(ISNUMBER('Assumptions'!J16),TYPE('Assumptions'!J16)=1,'Assumptions'!J16&gt;=0),0,1),1)</x:f>
        <x:v>0</x:v>
      </x:c>
      <x:c r="K32" s="40" t="n">
        <x:f>IFERROR(IF(AND(ISNUMBER('Assumptions'!K16),TYPE('Assumptions'!K16)=1,'Assumptions'!K16&gt;=0),0,1),1)</x:f>
        <x:v>0</x:v>
      </x:c>
      <x:c r="L32" s="40" t="n">
        <x:f>IFERROR(IF(AND(ISNUMBER('Assumptions'!L16),TYPE('Assumptions'!L16)=1,'Assumptions'!L16&gt;=0),0,1),1)</x:f>
        <x:v>0</x:v>
      </x:c>
      <x:c r="M32" s="40" t="n">
        <x:f>IFERROR(IF(AND(ISNUMBER('Assumptions'!M16),TYPE('Assumptions'!M16)=1,'Assumptions'!M16&gt;=0),0,1),1)</x:f>
        <x:v>0</x:v>
      </x:c>
      <x:c r="N32" s="40" t="n">
        <x:f>IFERROR(IF(AND(ISNUMBER('Assumptions'!N16),TYPE('Assumptions'!N16)=1,'Assumptions'!N16&gt;=0),0,1),1)</x:f>
        <x:v>0</x:v>
      </x:c>
      <x:c r="O32" s="40" t="n">
        <x:f>IFERROR(IF(AND(ISNUMBER('Assumptions'!O16),TYPE('Assumptions'!O16)=1,'Assumptions'!O16&gt;=0),0,1),1)</x:f>
        <x:v>0</x:v>
      </x:c>
    </x:row>
    <x:row r="33" ht="32" customHeight="1">
      <x:c r="C33" s="7" t="str">
        <x:v>Input validity | dso</x:v>
      </x:c>
      <x:c r="D33" s="40" t="n">
        <x:f>IFERROR(IF(AND(ISNUMBER('Assumptions'!D18),TYPE('Assumptions'!D18)=1,'Assumptions'!D18&gt;=0),0,1),1)</x:f>
        <x:v>0</x:v>
      </x:c>
      <x:c r="E33" s="40" t="n">
        <x:f>IFERROR(IF(AND(ISNUMBER('Assumptions'!E18),TYPE('Assumptions'!E18)=1,'Assumptions'!E18&gt;=0),0,1),1)</x:f>
        <x:v>0</x:v>
      </x:c>
      <x:c r="F33" s="40" t="n">
        <x:f>IFERROR(IF(AND(ISNUMBER('Assumptions'!F18),TYPE('Assumptions'!F18)=1,'Assumptions'!F18&gt;=0),0,1),1)</x:f>
        <x:v>0</x:v>
      </x:c>
      <x:c r="G33" s="40" t="n">
        <x:f>IFERROR(IF(AND(ISNUMBER('Assumptions'!G18),TYPE('Assumptions'!G18)=1,'Assumptions'!G18&gt;=0),0,1),1)</x:f>
        <x:v>0</x:v>
      </x:c>
      <x:c r="H33" s="40" t="n">
        <x:f>IFERROR(IF(AND(ISNUMBER('Assumptions'!H18),TYPE('Assumptions'!H18)=1,'Assumptions'!H18&gt;=0),0,1),1)</x:f>
        <x:v>0</x:v>
      </x:c>
      <x:c r="I33" s="40" t="n">
        <x:f>IFERROR(IF(AND(ISNUMBER('Assumptions'!I18),TYPE('Assumptions'!I18)=1,'Assumptions'!I18&gt;=0),0,1),1)</x:f>
        <x:v>0</x:v>
      </x:c>
      <x:c r="J33" s="40" t="n">
        <x:f>IFERROR(IF(AND(ISNUMBER('Assumptions'!J18),TYPE('Assumptions'!J18)=1,'Assumptions'!J18&gt;=0),0,1),1)</x:f>
        <x:v>0</x:v>
      </x:c>
      <x:c r="K33" s="40" t="n">
        <x:f>IFERROR(IF(AND(ISNUMBER('Assumptions'!K18),TYPE('Assumptions'!K18)=1,'Assumptions'!K18&gt;=0),0,1),1)</x:f>
        <x:v>0</x:v>
      </x:c>
      <x:c r="L33" s="40" t="n">
        <x:f>IFERROR(IF(AND(ISNUMBER('Assumptions'!L18),TYPE('Assumptions'!L18)=1,'Assumptions'!L18&gt;=0),0,1),1)</x:f>
        <x:v>0</x:v>
      </x:c>
      <x:c r="M33" s="40" t="n">
        <x:f>IFERROR(IF(AND(ISNUMBER('Assumptions'!M18),TYPE('Assumptions'!M18)=1,'Assumptions'!M18&gt;=0),0,1),1)</x:f>
        <x:v>0</x:v>
      </x:c>
      <x:c r="N33" s="40" t="n">
        <x:f>IFERROR(IF(AND(ISNUMBER('Assumptions'!N18),TYPE('Assumptions'!N18)=1,'Assumptions'!N18&gt;=0),0,1),1)</x:f>
        <x:v>0</x:v>
      </x:c>
      <x:c r="O33" s="40" t="n">
        <x:f>IFERROR(IF(AND(ISNUMBER('Assumptions'!O18),TYPE('Assumptions'!O18)=1,'Assumptions'!O18&gt;=0),0,1),1)</x:f>
        <x:v>0</x:v>
      </x:c>
    </x:row>
    <x:row r="34" ht="32" customHeight="1">
      <x:c r="C34" s="7" t="str">
        <x:v>Input validity | volume</x:v>
      </x:c>
      <x:c r="D34" s="40" t="n">
        <x:f>IFERROR(IF(AND(ISNUMBER('Assumptions'!D26),TYPE('Assumptions'!D26)=1,'Assumptions'!D26&gt;=0),0,1),1)</x:f>
        <x:v>0</x:v>
      </x:c>
      <x:c r="E34" s="40" t="n">
        <x:f>IFERROR(IF(AND(ISNUMBER('Assumptions'!E26),TYPE('Assumptions'!E26)=1,'Assumptions'!E26&gt;=0),0,1),1)</x:f>
        <x:v>0</x:v>
      </x:c>
      <x:c r="F34" s="40" t="n">
        <x:f>IFERROR(IF(AND(ISNUMBER('Assumptions'!F26),TYPE('Assumptions'!F26)=1,'Assumptions'!F26&gt;=0),0,1),1)</x:f>
        <x:v>0</x:v>
      </x:c>
      <x:c r="G34" s="40" t="n">
        <x:f>IFERROR(IF(AND(ISNUMBER('Assumptions'!G26),TYPE('Assumptions'!G26)=1,'Assumptions'!G26&gt;=0),0,1),1)</x:f>
        <x:v>0</x:v>
      </x:c>
      <x:c r="H34" s="40" t="n">
        <x:f>IFERROR(IF(AND(ISNUMBER('Assumptions'!H26),TYPE('Assumptions'!H26)=1,'Assumptions'!H26&gt;=0),0,1),1)</x:f>
        <x:v>0</x:v>
      </x:c>
      <x:c r="I34" s="40" t="n">
        <x:f>IFERROR(IF(AND(ISNUMBER('Assumptions'!I26),TYPE('Assumptions'!I26)=1,'Assumptions'!I26&gt;=0),0,1),1)</x:f>
        <x:v>0</x:v>
      </x:c>
      <x:c r="J34" s="40" t="n">
        <x:f>IFERROR(IF(AND(ISNUMBER('Assumptions'!J26),TYPE('Assumptions'!J26)=1,'Assumptions'!J26&gt;=0),0,1),1)</x:f>
        <x:v>0</x:v>
      </x:c>
      <x:c r="K34" s="40" t="n">
        <x:f>IFERROR(IF(AND(ISNUMBER('Assumptions'!K26),TYPE('Assumptions'!K26)=1,'Assumptions'!K26&gt;=0),0,1),1)</x:f>
        <x:v>0</x:v>
      </x:c>
      <x:c r="L34" s="40" t="n">
        <x:f>IFERROR(IF(AND(ISNUMBER('Assumptions'!L26),TYPE('Assumptions'!L26)=1,'Assumptions'!L26&gt;=0),0,1),1)</x:f>
        <x:v>0</x:v>
      </x:c>
      <x:c r="M34" s="40" t="n">
        <x:f>IFERROR(IF(AND(ISNUMBER('Assumptions'!M26),TYPE('Assumptions'!M26)=1,'Assumptions'!M26&gt;=0),0,1),1)</x:f>
        <x:v>0</x:v>
      </x:c>
      <x:c r="N34" s="40" t="n">
        <x:f>IFERROR(IF(AND(ISNUMBER('Assumptions'!N26),TYPE('Assumptions'!N26)=1,'Assumptions'!N26&gt;=0),0,1),1)</x:f>
        <x:v>0</x:v>
      </x:c>
      <x:c r="O34" s="40" t="n">
        <x:f>IFERROR(IF(AND(ISNUMBER('Assumptions'!O26),TYPE('Assumptions'!O26)=1,'Assumptions'!O26&gt;=0),0,1),1)</x:f>
        <x:v>0</x:v>
      </x:c>
    </x:row>
    <x:row r="35" ht="32" customHeight="1">
      <x:c r="C35" s="7" t="str">
        <x:v>Input validity | debt_repayment</x:v>
      </x:c>
      <x:c r="D35" s="40" t="n">
        <x:f>IFERROR(IF(AND(ISNUMBER('Assumptions'!D13),TYPE('Assumptions'!D13)=1,'Assumptions'!D13&gt;=0),0,1),1)</x:f>
        <x:v>0</x:v>
      </x:c>
      <x:c r="E35" s="40" t="n">
        <x:f>IFERROR(IF(AND(ISNUMBER('Assumptions'!E13),TYPE('Assumptions'!E13)=1,'Assumptions'!E13&gt;=0),0,1),1)</x:f>
        <x:v>0</x:v>
      </x:c>
      <x:c r="F35" s="40" t="n">
        <x:f>IFERROR(IF(AND(ISNUMBER('Assumptions'!F13),TYPE('Assumptions'!F13)=1,'Assumptions'!F13&gt;=0),0,1),1)</x:f>
        <x:v>0</x:v>
      </x:c>
      <x:c r="G35" s="40" t="n">
        <x:f>IFERROR(IF(AND(ISNUMBER('Assumptions'!G13),TYPE('Assumptions'!G13)=1,'Assumptions'!G13&gt;=0),0,1),1)</x:f>
        <x:v>0</x:v>
      </x:c>
      <x:c r="H35" s="40" t="n">
        <x:f>IFERROR(IF(AND(ISNUMBER('Assumptions'!H13),TYPE('Assumptions'!H13)=1,'Assumptions'!H13&gt;=0),0,1),1)</x:f>
        <x:v>0</x:v>
      </x:c>
      <x:c r="I35" s="40" t="n">
        <x:f>IFERROR(IF(AND(ISNUMBER('Assumptions'!I13),TYPE('Assumptions'!I13)=1,'Assumptions'!I13&gt;=0),0,1),1)</x:f>
        <x:v>0</x:v>
      </x:c>
      <x:c r="J35" s="40" t="n">
        <x:f>IFERROR(IF(AND(ISNUMBER('Assumptions'!J13),TYPE('Assumptions'!J13)=1,'Assumptions'!J13&gt;=0),0,1),1)</x:f>
        <x:v>0</x:v>
      </x:c>
      <x:c r="K35" s="40" t="n">
        <x:f>IFERROR(IF(AND(ISNUMBER('Assumptions'!K13),TYPE('Assumptions'!K13)=1,'Assumptions'!K13&gt;=0),0,1),1)</x:f>
        <x:v>0</x:v>
      </x:c>
      <x:c r="L35" s="40" t="n">
        <x:f>IFERROR(IF(AND(ISNUMBER('Assumptions'!L13),TYPE('Assumptions'!L13)=1,'Assumptions'!L13&gt;=0),0,1),1)</x:f>
        <x:v>0</x:v>
      </x:c>
      <x:c r="M35" s="40" t="n">
        <x:f>IFERROR(IF(AND(ISNUMBER('Assumptions'!M13),TYPE('Assumptions'!M13)=1,'Assumptions'!M13&gt;=0),0,1),1)</x:f>
        <x:v>0</x:v>
      </x:c>
      <x:c r="N35" s="40" t="n">
        <x:f>IFERROR(IF(AND(ISNUMBER('Assumptions'!N13),TYPE('Assumptions'!N13)=1,'Assumptions'!N13&gt;=0),0,1),1)</x:f>
        <x:v>0</x:v>
      </x:c>
      <x:c r="O35" s="40" t="n">
        <x:f>IFERROR(IF(AND(ISNUMBER('Assumptions'!O13),TYPE('Assumptions'!O13)=1,'Assumptions'!O13&gt;=0),0,1),1)</x:f>
        <x:v>0</x:v>
      </x:c>
    </x:row>
    <x:row r="36" ht="32" customHeight="1">
      <x:c r="C36" s="7" t="str">
        <x:v>Input validity | admin_ratio</x:v>
      </x:c>
      <x:c r="D36" s="40" t="n">
        <x:f>IFERROR(IF(AND(ISNUMBER('Assumptions'!D8),TYPE('Assumptions'!D8)=1,'Assumptions'!D8&gt;=0),0,1),1)</x:f>
        <x:v>0</x:v>
      </x:c>
      <x:c r="E36" s="40" t="n">
        <x:f>IFERROR(IF(AND(ISNUMBER('Assumptions'!E8),TYPE('Assumptions'!E8)=1,'Assumptions'!E8&gt;=0),0,1),1)</x:f>
        <x:v>0</x:v>
      </x:c>
      <x:c r="F36" s="40" t="n">
        <x:f>IFERROR(IF(AND(ISNUMBER('Assumptions'!F8),TYPE('Assumptions'!F8)=1,'Assumptions'!F8&gt;=0),0,1),1)</x:f>
        <x:v>0</x:v>
      </x:c>
      <x:c r="G36" s="40" t="n">
        <x:f>IFERROR(IF(AND(ISNUMBER('Assumptions'!G8),TYPE('Assumptions'!G8)=1,'Assumptions'!G8&gt;=0),0,1),1)</x:f>
        <x:v>0</x:v>
      </x:c>
      <x:c r="H36" s="40" t="n">
        <x:f>IFERROR(IF(AND(ISNUMBER('Assumptions'!H8),TYPE('Assumptions'!H8)=1,'Assumptions'!H8&gt;=0),0,1),1)</x:f>
        <x:v>0</x:v>
      </x:c>
      <x:c r="I36" s="40" t="n">
        <x:f>IFERROR(IF(AND(ISNUMBER('Assumptions'!I8),TYPE('Assumptions'!I8)=1,'Assumptions'!I8&gt;=0),0,1),1)</x:f>
        <x:v>0</x:v>
      </x:c>
      <x:c r="J36" s="40" t="n">
        <x:f>IFERROR(IF(AND(ISNUMBER('Assumptions'!J8),TYPE('Assumptions'!J8)=1,'Assumptions'!J8&gt;=0),0,1),1)</x:f>
        <x:v>0</x:v>
      </x:c>
      <x:c r="K36" s="40" t="n">
        <x:f>IFERROR(IF(AND(ISNUMBER('Assumptions'!K8),TYPE('Assumptions'!K8)=1,'Assumptions'!K8&gt;=0),0,1),1)</x:f>
        <x:v>0</x:v>
      </x:c>
      <x:c r="L36" s="40" t="n">
        <x:f>IFERROR(IF(AND(ISNUMBER('Assumptions'!L8),TYPE('Assumptions'!L8)=1,'Assumptions'!L8&gt;=0),0,1),1)</x:f>
        <x:v>0</x:v>
      </x:c>
      <x:c r="M36" s="40" t="n">
        <x:f>IFERROR(IF(AND(ISNUMBER('Assumptions'!M8),TYPE('Assumptions'!M8)=1,'Assumptions'!M8&gt;=0),0,1),1)</x:f>
        <x:v>0</x:v>
      </x:c>
      <x:c r="N36" s="40" t="n">
        <x:f>IFERROR(IF(AND(ISNUMBER('Assumptions'!N8),TYPE('Assumptions'!N8)=1,'Assumptions'!N8&gt;=0),0,1),1)</x:f>
        <x:v>0</x:v>
      </x:c>
      <x:c r="O36" s="40" t="n">
        <x:f>IFERROR(IF(AND(ISNUMBER('Assumptions'!O8),TYPE('Assumptions'!O8)=1,'Assumptions'!O8&gt;=0),0,1),1)</x:f>
        <x:v>0</x:v>
      </x:c>
    </x:row>
    <x:row r="37" ht="32" customHeight="1">
      <x:c r="C37" s="7" t="str">
        <x:v>Input validity | tax_rate</x:v>
      </x:c>
      <x:c r="D37" s="40" t="n">
        <x:f>IFERROR(IF(AND(ISNUMBER('Assumptions'!D25),TYPE('Assumptions'!D25)=1,'Assumptions'!D25&gt;=0,'Assumptions'!D25&lt;=1),0,1),1)</x:f>
        <x:v>0</x:v>
      </x:c>
      <x:c r="E37" s="40" t="n">
        <x:f>IFERROR(IF(AND(ISNUMBER('Assumptions'!E25),TYPE('Assumptions'!E25)=1,'Assumptions'!E25&gt;=0,'Assumptions'!E25&lt;=1),0,1),1)</x:f>
        <x:v>0</x:v>
      </x:c>
      <x:c r="F37" s="40" t="n">
        <x:f>IFERROR(IF(AND(ISNUMBER('Assumptions'!F25),TYPE('Assumptions'!F25)=1,'Assumptions'!F25&gt;=0,'Assumptions'!F25&lt;=1),0,1),1)</x:f>
        <x:v>0</x:v>
      </x:c>
      <x:c r="G37" s="40" t="n">
        <x:f>IFERROR(IF(AND(ISNUMBER('Assumptions'!G25),TYPE('Assumptions'!G25)=1,'Assumptions'!G25&gt;=0,'Assumptions'!G25&lt;=1),0,1),1)</x:f>
        <x:v>0</x:v>
      </x:c>
      <x:c r="H37" s="40" t="n">
        <x:f>IFERROR(IF(AND(ISNUMBER('Assumptions'!H25),TYPE('Assumptions'!H25)=1,'Assumptions'!H25&gt;=0,'Assumptions'!H25&lt;=1),0,1),1)</x:f>
        <x:v>0</x:v>
      </x:c>
      <x:c r="I37" s="40" t="n">
        <x:f>IFERROR(IF(AND(ISNUMBER('Assumptions'!I25),TYPE('Assumptions'!I25)=1,'Assumptions'!I25&gt;=0,'Assumptions'!I25&lt;=1),0,1),1)</x:f>
        <x:v>0</x:v>
      </x:c>
      <x:c r="J37" s="40" t="n">
        <x:f>IFERROR(IF(AND(ISNUMBER('Assumptions'!J25),TYPE('Assumptions'!J25)=1,'Assumptions'!J25&gt;=0,'Assumptions'!J25&lt;=1),0,1),1)</x:f>
        <x:v>0</x:v>
      </x:c>
      <x:c r="K37" s="40" t="n">
        <x:f>IFERROR(IF(AND(ISNUMBER('Assumptions'!K25),TYPE('Assumptions'!K25)=1,'Assumptions'!K25&gt;=0,'Assumptions'!K25&lt;=1),0,1),1)</x:f>
        <x:v>0</x:v>
      </x:c>
      <x:c r="L37" s="40" t="n">
        <x:f>IFERROR(IF(AND(ISNUMBER('Assumptions'!L25),TYPE('Assumptions'!L25)=1,'Assumptions'!L25&gt;=0,'Assumptions'!L25&lt;=1),0,1),1)</x:f>
        <x:v>0</x:v>
      </x:c>
      <x:c r="M37" s="40" t="n">
        <x:f>IFERROR(IF(AND(ISNUMBER('Assumptions'!M25),TYPE('Assumptions'!M25)=1,'Assumptions'!M25&gt;=0,'Assumptions'!M25&lt;=1),0,1),1)</x:f>
        <x:v>0</x:v>
      </x:c>
      <x:c r="N37" s="40" t="n">
        <x:f>IFERROR(IF(AND(ISNUMBER('Assumptions'!N25),TYPE('Assumptions'!N25)=1,'Assumptions'!N25&gt;=0,'Assumptions'!N25&lt;=1),0,1),1)</x:f>
        <x:v>0</x:v>
      </x:c>
      <x:c r="O37" s="40" t="n">
        <x:f>IFERROR(IF(AND(ISNUMBER('Assumptions'!O25),TYPE('Assumptions'!O25)=1,'Assumptions'!O25&gt;=0,'Assumptions'!O25&lt;=1),0,1),1)</x:f>
        <x:v>0</x:v>
      </x:c>
    </x:row>
    <x:row r="38" ht="32" customHeight="1">
      <x:c r="C38" s="7" t="str">
        <x:v>Input validity | asp</x:v>
      </x:c>
      <x:c r="D38" s="40" t="n">
        <x:f>IFERROR(IF(AND(ISNUMBER('Assumptions'!D9),TYPE('Assumptions'!D9)=1,'Assumptions'!D9&gt;=0),0,1),1)</x:f>
        <x:v>0</x:v>
      </x:c>
      <x:c r="E38" s="40" t="n">
        <x:f>IFERROR(IF(AND(ISNUMBER('Assumptions'!E9),TYPE('Assumptions'!E9)=1,'Assumptions'!E9&gt;=0),0,1),1)</x:f>
        <x:v>0</x:v>
      </x:c>
      <x:c r="F38" s="40" t="n">
        <x:f>IFERROR(IF(AND(ISNUMBER('Assumptions'!F9),TYPE('Assumptions'!F9)=1,'Assumptions'!F9&gt;=0),0,1),1)</x:f>
        <x:v>0</x:v>
      </x:c>
      <x:c r="G38" s="40" t="n">
        <x:f>IFERROR(IF(AND(ISNUMBER('Assumptions'!G9),TYPE('Assumptions'!G9)=1,'Assumptions'!G9&gt;=0),0,1),1)</x:f>
        <x:v>0</x:v>
      </x:c>
      <x:c r="H38" s="40" t="n">
        <x:f>IFERROR(IF(AND(ISNUMBER('Assumptions'!H9),TYPE('Assumptions'!H9)=1,'Assumptions'!H9&gt;=0),0,1),1)</x:f>
        <x:v>0</x:v>
      </x:c>
      <x:c r="I38" s="40" t="n">
        <x:f>IFERROR(IF(AND(ISNUMBER('Assumptions'!I9),TYPE('Assumptions'!I9)=1,'Assumptions'!I9&gt;=0),0,1),1)</x:f>
        <x:v>0</x:v>
      </x:c>
      <x:c r="J38" s="40" t="n">
        <x:f>IFERROR(IF(AND(ISNUMBER('Assumptions'!J9),TYPE('Assumptions'!J9)=1,'Assumptions'!J9&gt;=0),0,1),1)</x:f>
        <x:v>0</x:v>
      </x:c>
      <x:c r="K38" s="40" t="n">
        <x:f>IFERROR(IF(AND(ISNUMBER('Assumptions'!K9),TYPE('Assumptions'!K9)=1,'Assumptions'!K9&gt;=0),0,1),1)</x:f>
        <x:v>0</x:v>
      </x:c>
      <x:c r="L38" s="40" t="n">
        <x:f>IFERROR(IF(AND(ISNUMBER('Assumptions'!L9),TYPE('Assumptions'!L9)=1,'Assumptions'!L9&gt;=0),0,1),1)</x:f>
        <x:v>0</x:v>
      </x:c>
      <x:c r="M38" s="40" t="n">
        <x:f>IFERROR(IF(AND(ISNUMBER('Assumptions'!M9),TYPE('Assumptions'!M9)=1,'Assumptions'!M9&gt;=0),0,1),1)</x:f>
        <x:v>0</x:v>
      </x:c>
      <x:c r="N38" s="40" t="n">
        <x:f>IFERROR(IF(AND(ISNUMBER('Assumptions'!N9),TYPE('Assumptions'!N9)=1,'Assumptions'!N9&gt;=0),0,1),1)</x:f>
        <x:v>0</x:v>
      </x:c>
      <x:c r="O38" s="40" t="n">
        <x:f>IFERROR(IF(AND(ISNUMBER('Assumptions'!O9),TYPE('Assumptions'!O9)=1,'Assumptions'!O9&gt;=0),0,1),1)</x:f>
        <x:v>0</x:v>
      </x:c>
    </x:row>
    <x:row r="39" ht="32" customHeight="1">
      <x:c r="C39" s="11" t="str">
        <x:v>Failed live input rules (global rules repeat)</x:v>
      </x:c>
      <x:c r="D39" s="41" t="n">
        <x:f>SUM('Checks'!D19,'Checks'!D20,'Checks'!D21,'Checks'!D22,'Checks'!D23,'Checks'!D24,'Checks'!D25,'Checks'!D26,'Checks'!D27,'Checks'!D28,'Checks'!D29,'Checks'!D30,'Checks'!D31,'Checks'!D32,'Checks'!D33,'Checks'!D34,'Checks'!D35,'Checks'!D36,'Checks'!D37,'Checks'!D38)</x:f>
        <x:v>0</x:v>
      </x:c>
      <x:c r="E39" s="41" t="n">
        <x:f>SUM('Checks'!E19,'Checks'!E20,'Checks'!E21,'Checks'!E22,'Checks'!E23,'Checks'!E24,'Checks'!E25,'Checks'!E26,'Checks'!E27,'Checks'!E28,'Checks'!E29,'Checks'!E30,'Checks'!E31,'Checks'!E32,'Checks'!E33,'Checks'!E34,'Checks'!E35,'Checks'!E36,'Checks'!E37,'Checks'!E38)</x:f>
        <x:v>0</x:v>
      </x:c>
      <x:c r="F39" s="41" t="n">
        <x:f>SUM('Checks'!F19,'Checks'!F20,'Checks'!F21,'Checks'!F22,'Checks'!F23,'Checks'!F24,'Checks'!F25,'Checks'!F26,'Checks'!F27,'Checks'!F28,'Checks'!F29,'Checks'!F30,'Checks'!F31,'Checks'!F32,'Checks'!F33,'Checks'!F34,'Checks'!F35,'Checks'!F36,'Checks'!F37,'Checks'!F38)</x:f>
        <x:v>0</x:v>
      </x:c>
      <x:c r="G39" s="41" t="n">
        <x:f>SUM('Checks'!G19,'Checks'!G20,'Checks'!G21,'Checks'!G22,'Checks'!G23,'Checks'!G24,'Checks'!G25,'Checks'!G26,'Checks'!G27,'Checks'!G28,'Checks'!G29,'Checks'!G30,'Checks'!G31,'Checks'!G32,'Checks'!G33,'Checks'!G34,'Checks'!G35,'Checks'!G36,'Checks'!G37,'Checks'!G38)</x:f>
        <x:v>0</x:v>
      </x:c>
      <x:c r="H39" s="41" t="n">
        <x:f>SUM('Checks'!H19,'Checks'!H20,'Checks'!H21,'Checks'!H22,'Checks'!H23,'Checks'!H24,'Checks'!H25,'Checks'!H26,'Checks'!H27,'Checks'!H28,'Checks'!H29,'Checks'!H30,'Checks'!H31,'Checks'!H32,'Checks'!H33,'Checks'!H34,'Checks'!H35,'Checks'!H36,'Checks'!H37,'Checks'!H38)</x:f>
        <x:v>0</x:v>
      </x:c>
      <x:c r="I39" s="41" t="n">
        <x:f>SUM('Checks'!I19,'Checks'!I20,'Checks'!I21,'Checks'!I22,'Checks'!I23,'Checks'!I24,'Checks'!I25,'Checks'!I26,'Checks'!I27,'Checks'!I28,'Checks'!I29,'Checks'!I30,'Checks'!I31,'Checks'!I32,'Checks'!I33,'Checks'!I34,'Checks'!I35,'Checks'!I36,'Checks'!I37,'Checks'!I38)</x:f>
        <x:v>0</x:v>
      </x:c>
      <x:c r="J39" s="41" t="n">
        <x:f>SUM('Checks'!J19,'Checks'!J20,'Checks'!J21,'Checks'!J22,'Checks'!J23,'Checks'!J24,'Checks'!J25,'Checks'!J26,'Checks'!J27,'Checks'!J28,'Checks'!J29,'Checks'!J30,'Checks'!J31,'Checks'!J32,'Checks'!J33,'Checks'!J34,'Checks'!J35,'Checks'!J36,'Checks'!J37,'Checks'!J38)</x:f>
        <x:v>0</x:v>
      </x:c>
      <x:c r="K39" s="41" t="n">
        <x:f>SUM('Checks'!K19,'Checks'!K20,'Checks'!K21,'Checks'!K22,'Checks'!K23,'Checks'!K24,'Checks'!K25,'Checks'!K26,'Checks'!K27,'Checks'!K28,'Checks'!K29,'Checks'!K30,'Checks'!K31,'Checks'!K32,'Checks'!K33,'Checks'!K34,'Checks'!K35,'Checks'!K36,'Checks'!K37,'Checks'!K38)</x:f>
        <x:v>0</x:v>
      </x:c>
      <x:c r="L39" s="41" t="n">
        <x:f>SUM('Checks'!L19,'Checks'!L20,'Checks'!L21,'Checks'!L22,'Checks'!L23,'Checks'!L24,'Checks'!L25,'Checks'!L26,'Checks'!L27,'Checks'!L28,'Checks'!L29,'Checks'!L30,'Checks'!L31,'Checks'!L32,'Checks'!L33,'Checks'!L34,'Checks'!L35,'Checks'!L36,'Checks'!L37,'Checks'!L38)</x:f>
        <x:v>0</x:v>
      </x:c>
      <x:c r="M39" s="41" t="n">
        <x:f>SUM('Checks'!M19,'Checks'!M20,'Checks'!M21,'Checks'!M22,'Checks'!M23,'Checks'!M24,'Checks'!M25,'Checks'!M26,'Checks'!M27,'Checks'!M28,'Checks'!M29,'Checks'!M30,'Checks'!M31,'Checks'!M32,'Checks'!M33,'Checks'!M34,'Checks'!M35,'Checks'!M36,'Checks'!M37,'Checks'!M38)</x:f>
        <x:v>0</x:v>
      </x:c>
      <x:c r="N39" s="41" t="n">
        <x:f>SUM('Checks'!N19,'Checks'!N20,'Checks'!N21,'Checks'!N22,'Checks'!N23,'Checks'!N24,'Checks'!N25,'Checks'!N26,'Checks'!N27,'Checks'!N28,'Checks'!N29,'Checks'!N30,'Checks'!N31,'Checks'!N32,'Checks'!N33,'Checks'!N34,'Checks'!N35,'Checks'!N36,'Checks'!N37,'Checks'!N38)</x:f>
        <x:v>0</x:v>
      </x:c>
      <x:c r="O39" s="41" t="n">
        <x:f>SUM('Checks'!O19,'Checks'!O20,'Checks'!O21,'Checks'!O22,'Checks'!O23,'Checks'!O24,'Checks'!O25,'Checks'!O26,'Checks'!O27,'Checks'!O28,'Checks'!O29,'Checks'!O30,'Checks'!O31,'Checks'!O32,'Checks'!O33,'Checks'!O34,'Checks'!O35,'Checks'!O36,'Checks'!O37,'Checks'!O38)</x:f>
        <x:v>0</x:v>
      </x:c>
    </x:row>
    <x:row r="40" ht="22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</x:sheetData>
  <x:conditionalFormatting sqref="D8:O8">
    <x:cfRule type="cellIs" dxfId="48" priority="1" operator="greaterThan">
      <x:formula>0.000090375</x:formula>
    </x:cfRule>
    <x:cfRule type="cellIs" dxfId="49" priority="2" operator="lessThan">
      <x:formula>-0.000090375</x:formula>
    </x:cfRule>
  </x:conditionalFormatting>
  <x:conditionalFormatting sqref="D9:O9">
    <x:cfRule type="cellIs" dxfId="50" priority="3" operator="greaterThan">
      <x:formula>0.000090375</x:formula>
    </x:cfRule>
    <x:cfRule type="cellIs" dxfId="51" priority="4" operator="lessThan">
      <x:formula>-0.000090375</x:formula>
    </x:cfRule>
  </x:conditionalFormatting>
  <x:conditionalFormatting sqref="D10:O10">
    <x:cfRule type="cellIs" dxfId="52" priority="5" operator="greaterThan">
      <x:formula>0.000090375</x:formula>
    </x:cfRule>
    <x:cfRule type="cellIs" dxfId="53" priority="6" operator="lessThan">
      <x:formula>-0.000090375</x:formula>
    </x:cfRule>
  </x:conditionalFormatting>
  <x:conditionalFormatting sqref="D11:O11">
    <x:cfRule type="cellIs" dxfId="54" priority="7" operator="greaterThan">
      <x:formula>0.000090375</x:formula>
    </x:cfRule>
    <x:cfRule type="cellIs" dxfId="55" priority="8" operator="lessThan">
      <x:formula>-0.000090375</x:formula>
    </x:cfRule>
  </x:conditionalFormatting>
  <x:conditionalFormatting sqref="D12:O12">
    <x:cfRule type="cellIs" dxfId="56" priority="9" operator="greaterThan">
      <x:formula>0.000090375</x:formula>
    </x:cfRule>
    <x:cfRule type="cellIs" dxfId="57" priority="10" operator="lessThan">
      <x:formula>-0.000090375</x:formula>
    </x:cfRule>
  </x:conditionalFormatting>
  <x:conditionalFormatting sqref="D13:O13">
    <x:cfRule type="cellIs" dxfId="58" priority="11" operator="greaterThan">
      <x:formula>0.000090375</x:formula>
    </x:cfRule>
    <x:cfRule type="cellIs" dxfId="59" priority="12" operator="lessThan">
      <x:formula>-0.000090375</x:formula>
    </x:cfRule>
  </x:conditionalFormatting>
  <x:conditionalFormatting sqref="D14:O14">
    <x:cfRule type="cellIs" dxfId="60" priority="13" operator="greaterThan">
      <x:formula>0.000090375</x:formula>
    </x:cfRule>
    <x:cfRule type="cellIs" dxfId="61" priority="14" operator="lessThan">
      <x:formula>-0.000090375</x:formula>
    </x:cfRule>
  </x:conditionalFormatting>
  <x:conditionalFormatting sqref="D15:O15">
    <x:cfRule type="cellIs" dxfId="62" priority="15" operator="greaterThan">
      <x:formula>0.000090375</x:formula>
    </x:cfRule>
    <x:cfRule type="cellIs" dxfId="63" priority="16" operator="lessThan">
      <x:formula>-0.000090375</x:formula>
    </x:cfRule>
  </x:conditionalFormatting>
  <x:conditionalFormatting sqref="D16:O16">
    <x:cfRule type="cellIs" dxfId="64" priority="17" operator="greaterThan">
      <x:formula>0.000090375</x:formula>
    </x:cfRule>
    <x:cfRule type="cellIs" dxfId="65" priority="18" operator="lessThan">
      <x:formula>-0.000090375</x:formula>
    </x:cfRule>
  </x:conditionalFormatting>
  <x:conditionalFormatting sqref="D17:O17">
    <x:cfRule type="cellIs" dxfId="66" priority="19" operator="greaterThan">
      <x:formula>0.000090375</x:formula>
    </x:cfRule>
    <x:cfRule type="cellIs" dxfId="67" priority="20" operator="lessThan">
      <x:formula>-0.000090375</x:formula>
    </x:cfRule>
  </x:conditionalFormatting>
  <x:conditionalFormatting sqref="D18:O18">
    <x:cfRule type="cellIs" dxfId="68" priority="21" operator="greaterThan">
      <x:formula>0.000090375</x:formula>
    </x:cfRule>
    <x:cfRule type="cellIs" dxfId="69" priority="22" operator="lessThan">
      <x:formula>-0.000090375</x:formula>
    </x:cfRule>
  </x:conditionalFormatting>
  <x:conditionalFormatting sqref="D19:O19">
    <x:cfRule type="cellIs" dxfId="70" priority="23" operator="greaterThan">
      <x:formula>0</x:formula>
    </x:cfRule>
  </x:conditionalFormatting>
  <x:conditionalFormatting sqref="D20:O20">
    <x:cfRule type="cellIs" dxfId="71" priority="24" operator="greaterThan">
      <x:formula>0</x:formula>
    </x:cfRule>
  </x:conditionalFormatting>
  <x:conditionalFormatting sqref="D21:O21">
    <x:cfRule type="cellIs" dxfId="72" priority="25" operator="greaterThan">
      <x:formula>0</x:formula>
    </x:cfRule>
  </x:conditionalFormatting>
  <x:conditionalFormatting sqref="D22:O22">
    <x:cfRule type="cellIs" dxfId="73" priority="26" operator="greaterThan">
      <x:formula>0</x:formula>
    </x:cfRule>
  </x:conditionalFormatting>
  <x:conditionalFormatting sqref="D23:O23">
    <x:cfRule type="cellIs" dxfId="74" priority="27" operator="greaterThan">
      <x:formula>0</x:formula>
    </x:cfRule>
  </x:conditionalFormatting>
  <x:conditionalFormatting sqref="D24:O24">
    <x:cfRule type="cellIs" dxfId="75" priority="28" operator="greaterThan">
      <x:formula>0</x:formula>
    </x:cfRule>
  </x:conditionalFormatting>
  <x:conditionalFormatting sqref="D25:O25">
    <x:cfRule type="cellIs" dxfId="76" priority="29" operator="greaterThan">
      <x:formula>0</x:formula>
    </x:cfRule>
  </x:conditionalFormatting>
  <x:conditionalFormatting sqref="D26:O26">
    <x:cfRule type="cellIs" dxfId="77" priority="30" operator="greaterThan">
      <x:formula>0</x:formula>
    </x:cfRule>
  </x:conditionalFormatting>
  <x:conditionalFormatting sqref="D27:O27">
    <x:cfRule type="cellIs" dxfId="78" priority="31" operator="greaterThan">
      <x:formula>0</x:formula>
    </x:cfRule>
  </x:conditionalFormatting>
  <x:conditionalFormatting sqref="D28:O28">
    <x:cfRule type="cellIs" dxfId="79" priority="32" operator="greaterThan">
      <x:formula>0</x:formula>
    </x:cfRule>
  </x:conditionalFormatting>
  <x:conditionalFormatting sqref="D29:O29">
    <x:cfRule type="cellIs" dxfId="80" priority="33" operator="greaterThan">
      <x:formula>0</x:formula>
    </x:cfRule>
  </x:conditionalFormatting>
  <x:conditionalFormatting sqref="D30:O30">
    <x:cfRule type="cellIs" dxfId="81" priority="34" operator="greaterThan">
      <x:formula>0</x:formula>
    </x:cfRule>
  </x:conditionalFormatting>
  <x:conditionalFormatting sqref="D31:O31">
    <x:cfRule type="cellIs" dxfId="82" priority="35" operator="greaterThan">
      <x:formula>0</x:formula>
    </x:cfRule>
  </x:conditionalFormatting>
  <x:conditionalFormatting sqref="D32:O32">
    <x:cfRule type="cellIs" dxfId="83" priority="36" operator="greaterThan">
      <x:formula>0</x:formula>
    </x:cfRule>
  </x:conditionalFormatting>
  <x:conditionalFormatting sqref="D33:O33">
    <x:cfRule type="cellIs" dxfId="84" priority="37" operator="greaterThan">
      <x:formula>0</x:formula>
    </x:cfRule>
  </x:conditionalFormatting>
  <x:conditionalFormatting sqref="D34:O34">
    <x:cfRule type="cellIs" dxfId="85" priority="38" operator="greaterThan">
      <x:formula>0</x:formula>
    </x:cfRule>
  </x:conditionalFormatting>
  <x:conditionalFormatting sqref="D35:O35">
    <x:cfRule type="cellIs" dxfId="86" priority="39" operator="greaterThan">
      <x:formula>0</x:formula>
    </x:cfRule>
  </x:conditionalFormatting>
  <x:conditionalFormatting sqref="D36:O36">
    <x:cfRule type="cellIs" dxfId="87" priority="40" operator="greaterThan">
      <x:formula>0</x:formula>
    </x:cfRule>
  </x:conditionalFormatting>
  <x:conditionalFormatting sqref="D37:O37">
    <x:cfRule type="cellIs" dxfId="88" priority="41" operator="greaterThan">
      <x:formula>0</x:formula>
    </x:cfRule>
  </x:conditionalFormatting>
  <x:conditionalFormatting sqref="D38:O38">
    <x:cfRule type="cellIs" dxfId="89" priority="42" operator="greaterThan">
      <x:formula>0</x:formula>
    </x:cfRule>
  </x:conditionalFormatting>
  <x:conditionalFormatting sqref="D39:O39">
    <x:cfRule type="cellIs" dxfId="90" priority="43" operator="greaterThan">
      <x:formula>0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2" customHeight="1">
      <x:c r="C1" s="2"/>
      <x:c r="D1" s="2"/>
      <x:c r="E1" s="2"/>
      <x:c r="F1" s="2"/>
      <x:c r="G1" s="2"/>
      <x:c r="H1" s="2"/>
    </x:row>
    <x:row r="2" ht="31" customHeight="1">
      <x:c r="C2" s="4" t="str">
        <x:v>Historical Statements</x:v>
      </x:c>
      <x:c r="D2" s="4"/>
      <x:c r="E2" s="4"/>
      <x:c r="F2" s="4"/>
      <x:c r="G2" s="4"/>
      <x:c r="H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</x:row>
    <x:row r="4" ht="22" customHeight="1">
      <x:c r="C4" s="2"/>
      <x:c r="D4" s="2"/>
      <x:c r="E4" s="2"/>
      <x:c r="F4" s="2"/>
      <x:c r="G4" s="2"/>
      <x:c r="H4" s="2"/>
    </x:row>
    <x:row r="5" ht="22" customHeight="1">
      <x:c r="C5" s="2" t="str">
        <x:v>Monthly P&amp;L derived from source YTD.</x:v>
      </x:c>
      <x:c r="D5" s="2"/>
      <x:c r="E5" s="2"/>
      <x:c r="F5" s="2"/>
      <x:c r="G5" s="2"/>
      <x:c r="H5" s="2"/>
    </x:row>
    <x:row r="6" ht="22" customHeight="1">
      <x:c r="C6" s="2"/>
      <x:c r="D6" s="2"/>
      <x:c r="E6" s="2"/>
      <x:c r="F6" s="2"/>
      <x:c r="G6" s="2"/>
      <x:c r="H6" s="2"/>
    </x:row>
    <x:row r="7" ht="32" customHeight="1">
      <x:c r="C7" s="15" t="str">
        <x:v>Historical period</x:v>
      </x:c>
      <x:c r="D7" s="16" t="n">
        <x:v>46023</x:v>
      </x:c>
      <x:c r="E7" s="16" t="n">
        <x:v>46054</x:v>
      </x:c>
      <x:c r="F7" s="16" t="n">
        <x:v>46082</x:v>
      </x:c>
      <x:c r="G7" s="15"/>
      <x:c r="H7" s="15"/>
    </x:row>
    <x:row r="8" ht="32" customHeight="1">
      <x:c r="C8" s="11" t="str">
        <x:v>Cash</x:v>
      </x:c>
      <x:c r="D8" s="26" t="n">
        <x:f>(1*SUM('TB'!J8))</x:f>
        <x:v>111250</x:v>
      </x:c>
      <x:c r="E8" s="26" t="n">
        <x:f>(1*SUM('TB'!J25))</x:f>
        <x:v>222500</x:v>
      </x:c>
      <x:c r="F8" s="26" t="n">
        <x:f>(1*SUM('TB'!J42))</x:f>
        <x:v>333750</x:v>
      </x:c>
      <x:c r="G8" s="2"/>
      <x:c r="H8" s="2"/>
    </x:row>
    <x:row r="9" ht="32" customHeight="1">
      <x:c r="C9" s="7" t="str">
        <x:v>Receivables</x:v>
      </x:c>
      <x:c r="D9" s="27" t="n">
        <x:f>(1*SUM('TB'!J9))</x:f>
        <x:v>100000</x:v>
      </x:c>
      <x:c r="E9" s="27" t="n">
        <x:f>(1*SUM('TB'!J26))</x:f>
        <x:v>100000</x:v>
      </x:c>
      <x:c r="F9" s="27" t="n">
        <x:f>(1*SUM('TB'!J43))</x:f>
        <x:v>100000</x:v>
      </x:c>
      <x:c r="G9" s="2"/>
      <x:c r="H9" s="2"/>
    </x:row>
    <x:row r="10" ht="32" customHeight="1">
      <x:c r="C10" s="7" t="str">
        <x:v>Inventory</x:v>
      </x:c>
      <x:c r="D10" s="27" t="n">
        <x:f>(1*SUM('TB'!J10))</x:f>
        <x:v>100000</x:v>
      </x:c>
      <x:c r="E10" s="27" t="n">
        <x:f>(1*SUM('TB'!J27))</x:f>
        <x:v>100000</x:v>
      </x:c>
      <x:c r="F10" s="27" t="n">
        <x:f>(1*SUM('TB'!J44))</x:f>
        <x:v>100000</x:v>
      </x:c>
      <x:c r="G10" s="2"/>
      <x:c r="H10" s="2"/>
    </x:row>
    <x:row r="11" ht="32" customHeight="1">
      <x:c r="C11" s="7" t="str">
        <x:v>Ppe</x:v>
      </x:c>
      <x:c r="D11" s="27" t="n">
        <x:f>(1*SUM('TB'!J11))</x:f>
        <x:v>400000</x:v>
      </x:c>
      <x:c r="E11" s="27" t="n">
        <x:f>(1*SUM('TB'!J28))</x:f>
        <x:v>400000</x:v>
      </x:c>
      <x:c r="F11" s="27" t="n">
        <x:f>(1*SUM('TB'!J45))</x:f>
        <x:v>400000</x:v>
      </x:c>
      <x:c r="G11" s="2"/>
      <x:c r="H11" s="2"/>
    </x:row>
    <x:row r="12" ht="32" customHeight="1">
      <x:c r="C12" s="7" t="str">
        <x:v>Accumulated Depreciation</x:v>
      </x:c>
      <x:c r="D12" s="27" t="n">
        <x:f>(1*SUM('TB'!J12))</x:f>
        <x:v>-10000</x:v>
      </x:c>
      <x:c r="E12" s="27" t="n">
        <x:f>(1*SUM('TB'!J29))</x:f>
        <x:v>-20000</x:v>
      </x:c>
      <x:c r="F12" s="27" t="n">
        <x:f>(1*SUM('TB'!J46))</x:f>
        <x:v>-30000</x:v>
      </x:c>
      <x:c r="G12" s="2"/>
      <x:c r="H12" s="2"/>
    </x:row>
    <x:row r="13" ht="32" customHeight="1">
      <x:c r="C13" s="7" t="str">
        <x:v>Other Assets</x:v>
      </x:c>
      <x:c r="D13" s="28" t="n">
        <x:f>(1*0)</x:f>
        <x:v>0</x:v>
      </x:c>
      <x:c r="E13" s="28" t="n">
        <x:f>(1*0)</x:f>
        <x:v>0</x:v>
      </x:c>
      <x:c r="F13" s="28" t="n">
        <x:f>(1*0)</x:f>
        <x:v>0</x:v>
      </x:c>
      <x:c r="G13" s="2"/>
      <x:c r="H13" s="2"/>
    </x:row>
    <x:row r="14" ht="32" customHeight="1">
      <x:c r="C14" s="7" t="str">
        <x:v>Payables</x:v>
      </x:c>
      <x:c r="D14" s="27" t="n">
        <x:f>(-1*SUM('TB'!J13))</x:f>
        <x:v>100000</x:v>
      </x:c>
      <x:c r="E14" s="27" t="n">
        <x:f>(-1*SUM('TB'!J30))</x:f>
        <x:v>100000</x:v>
      </x:c>
      <x:c r="F14" s="27" t="n">
        <x:f>(-1*SUM('TB'!J47))</x:f>
        <x:v>100000</x:v>
      </x:c>
      <x:c r="G14" s="2"/>
      <x:c r="H14" s="2"/>
    </x:row>
    <x:row r="15" ht="32" customHeight="1">
      <x:c r="C15" s="7" t="str">
        <x:v>Tax Payable</x:v>
      </x:c>
      <x:c r="D15" s="28" t="n">
        <x:f>(-1*0)</x:f>
        <x:v>0</x:v>
      </x:c>
      <x:c r="E15" s="28" t="n">
        <x:f>(-1*0)</x:f>
        <x:v>0</x:v>
      </x:c>
      <x:c r="F15" s="28" t="n">
        <x:f>(-1*0)</x:f>
        <x:v>0</x:v>
      </x:c>
      <x:c r="G15" s="2"/>
      <x:c r="H15" s="2"/>
    </x:row>
    <x:row r="16" ht="32" customHeight="1">
      <x:c r="C16" s="11" t="str">
        <x:v>Debt</x:v>
      </x:c>
      <x:c r="D16" s="26" t="n">
        <x:f>(-1*SUM('TB'!J14))</x:f>
        <x:v>100000</x:v>
      </x:c>
      <x:c r="E16" s="26" t="n">
        <x:f>(-1*SUM('TB'!J31))</x:f>
        <x:v>100000</x:v>
      </x:c>
      <x:c r="F16" s="26" t="n">
        <x:f>(-1*SUM('TB'!J48))</x:f>
        <x:v>100000</x:v>
      </x:c>
      <x:c r="G16" s="2"/>
      <x:c r="H16" s="2"/>
    </x:row>
    <x:row r="17" ht="32" customHeight="1">
      <x:c r="C17" s="7" t="str">
        <x:v>Lease Liability</x:v>
      </x:c>
      <x:c r="D17" s="28" t="n">
        <x:f>(-1*0)</x:f>
        <x:v>0</x:v>
      </x:c>
      <x:c r="E17" s="28" t="n">
        <x:f>(-1*0)</x:f>
        <x:v>0</x:v>
      </x:c>
      <x:c r="F17" s="28" t="n">
        <x:f>(-1*0)</x:f>
        <x:v>0</x:v>
      </x:c>
      <x:c r="G17" s="2"/>
      <x:c r="H17" s="2"/>
    </x:row>
    <x:row r="18" ht="32" customHeight="1">
      <x:c r="C18" s="7" t="str">
        <x:v>Other Liabilities</x:v>
      </x:c>
      <x:c r="D18" s="28" t="n">
        <x:f>(-1*0)</x:f>
        <x:v>0</x:v>
      </x:c>
      <x:c r="E18" s="28" t="n">
        <x:f>(-1*0)</x:f>
        <x:v>0</x:v>
      </x:c>
      <x:c r="F18" s="28" t="n">
        <x:f>(-1*0)</x:f>
        <x:v>0</x:v>
      </x:c>
      <x:c r="G18" s="2"/>
      <x:c r="H18" s="2"/>
    </x:row>
    <x:row r="19" ht="32" customHeight="1">
      <x:c r="C19" s="7" t="str">
        <x:v>Share Capital</x:v>
      </x:c>
      <x:c r="D19" s="27" t="n">
        <x:f>(-1*SUM('TB'!J15))</x:f>
        <x:v>400000</x:v>
      </x:c>
      <x:c r="E19" s="27" t="n">
        <x:f>(-1*SUM('TB'!J32))</x:f>
        <x:v>400000</x:v>
      </x:c>
      <x:c r="F19" s="27" t="n">
        <x:f>(-1*SUM('TB'!J49))</x:f>
        <x:v>400000</x:v>
      </x:c>
      <x:c r="G19" s="2"/>
      <x:c r="H19" s="2"/>
    </x:row>
    <x:row r="20" ht="32" customHeight="1">
      <x:c r="C20" s="7" t="str">
        <x:v>Retained Earnings</x:v>
      </x:c>
      <x:c r="D20" s="27" t="n">
        <x:f>(-1*SUM('TB'!J16))</x:f>
        <x:v>0</x:v>
      </x:c>
      <x:c r="E20" s="27" t="n">
        <x:f>(-1*SUM('TB'!J33))</x:f>
        <x:v>0</x:v>
      </x:c>
      <x:c r="F20" s="27" t="n">
        <x:f>(-1*SUM('TB'!J50))</x:f>
        <x:v>0</x:v>
      </x:c>
      <x:c r="G20" s="2"/>
      <x:c r="H20" s="2"/>
    </x:row>
    <x:row r="21" ht="32" customHeight="1">
      <x:c r="C21" s="7" t="str">
        <x:v>Other Equity</x:v>
      </x:c>
      <x:c r="D21" s="28" t="n">
        <x:f>(-1*0)</x:f>
        <x:v>0</x:v>
      </x:c>
      <x:c r="E21" s="28" t="n">
        <x:f>(-1*0)</x:f>
        <x:v>0</x:v>
      </x:c>
      <x:c r="F21" s="28" t="n">
        <x:f>(-1*0)</x:f>
        <x:v>0</x:v>
      </x:c>
      <x:c r="G21" s="2"/>
      <x:c r="H21" s="2"/>
    </x:row>
    <x:row r="22" ht="32" customHeight="1">
      <x:c r="C22" s="7" t="str">
        <x:v>Revenue (source YTD)</x:v>
      </x:c>
      <x:c r="D22" s="27" t="n">
        <x:f>(-1*SUM('TB'!J17))</x:f>
        <x:v>500000</x:v>
      </x:c>
      <x:c r="E22" s="27" t="n">
        <x:f>(-1*SUM('TB'!J34))</x:f>
        <x:v>1000000</x:v>
      </x:c>
      <x:c r="F22" s="27" t="n">
        <x:f>(-1*SUM('TB'!J51))</x:f>
        <x:v>1500000</x:v>
      </x:c>
      <x:c r="G22" s="2"/>
      <x:c r="H22" s="2"/>
    </x:row>
    <x:row r="23" ht="32" customHeight="1">
      <x:c r="C23" s="11" t="str">
        <x:v>Revenue</x:v>
      </x:c>
      <x:c r="D23" s="26" t="n">
        <x:f>'History'!D22</x:f>
        <x:v>500000</x:v>
      </x:c>
      <x:c r="E23" s="26" t="n">
        <x:f>('History'!E22-(-1*SUM('TB'!J17)))</x:f>
        <x:v>500000</x:v>
      </x:c>
      <x:c r="F23" s="26" t="n">
        <x:f>('History'!F22-(-1*SUM('TB'!J34)))</x:f>
        <x:v>500000</x:v>
      </x:c>
      <x:c r="G23" s="2"/>
      <x:c r="H23" s="2"/>
    </x:row>
    <x:row r="24" ht="32" customHeight="1">
      <x:c r="C24" s="7" t="str">
        <x:v>Cogs (source YTD)</x:v>
      </x:c>
      <x:c r="D24" s="27" t="n">
        <x:f>(1*SUM('TB'!J18))</x:f>
        <x:v>300000</x:v>
      </x:c>
      <x:c r="E24" s="27" t="n">
        <x:f>(1*SUM('TB'!J35))</x:f>
        <x:v>600000</x:v>
      </x:c>
      <x:c r="F24" s="27" t="n">
        <x:f>(1*SUM('TB'!J52))</x:f>
        <x:v>900000</x:v>
      </x:c>
      <x:c r="G24" s="2"/>
      <x:c r="H24" s="2"/>
    </x:row>
    <x:row r="25" ht="32" customHeight="1">
      <x:c r="C25" s="7" t="str">
        <x:v>Cogs</x:v>
      </x:c>
      <x:c r="D25" s="27" t="n">
        <x:f>'History'!D24</x:f>
        <x:v>300000</x:v>
      </x:c>
      <x:c r="E25" s="27" t="n">
        <x:f>('History'!E24-(1*SUM('TB'!J18)))</x:f>
        <x:v>300000</x:v>
      </x:c>
      <x:c r="F25" s="27" t="n">
        <x:f>('History'!F24-(1*SUM('TB'!J35)))</x:f>
        <x:v>300000</x:v>
      </x:c>
      <x:c r="G25" s="2"/>
      <x:c r="H25" s="2"/>
    </x:row>
    <x:row r="26" ht="32" customHeight="1">
      <x:c r="C26" s="7" t="str">
        <x:v>Selling Expense (source YTD)</x:v>
      </x:c>
      <x:c r="D26" s="27" t="n">
        <x:f>(1*SUM('TB'!J19))</x:f>
        <x:v>25000</x:v>
      </x:c>
      <x:c r="E26" s="27" t="n">
        <x:f>(1*SUM('TB'!J36))</x:f>
        <x:v>50000</x:v>
      </x:c>
      <x:c r="F26" s="27" t="n">
        <x:f>(1*SUM('TB'!J53))</x:f>
        <x:v>75000</x:v>
      </x:c>
      <x:c r="G26" s="2"/>
      <x:c r="H26" s="2"/>
    </x:row>
    <x:row r="27" ht="32" customHeight="1">
      <x:c r="C27" s="7" t="str">
        <x:v>Selling Expense</x:v>
      </x:c>
      <x:c r="D27" s="27" t="n">
        <x:f>'History'!D26</x:f>
        <x:v>25000</x:v>
      </x:c>
      <x:c r="E27" s="27" t="n">
        <x:f>('History'!E26-(1*SUM('TB'!J19)))</x:f>
        <x:v>25000</x:v>
      </x:c>
      <x:c r="F27" s="27" t="n">
        <x:f>('History'!F26-(1*SUM('TB'!J36)))</x:f>
        <x:v>25000</x:v>
      </x:c>
      <x:c r="G27" s="2"/>
      <x:c r="H27" s="2"/>
    </x:row>
    <x:row r="28" ht="32" customHeight="1">
      <x:c r="C28" s="7" t="str">
        <x:v>Admin Expense (source YTD)</x:v>
      </x:c>
      <x:c r="D28" s="27" t="n">
        <x:f>(1*SUM('TB'!J20))</x:f>
        <x:v>25000</x:v>
      </x:c>
      <x:c r="E28" s="27" t="n">
        <x:f>(1*SUM('TB'!J37))</x:f>
        <x:v>50000</x:v>
      </x:c>
      <x:c r="F28" s="27" t="n">
        <x:f>(1*SUM('TB'!J54))</x:f>
        <x:v>75000</x:v>
      </x:c>
      <x:c r="G28" s="2"/>
      <x:c r="H28" s="2"/>
    </x:row>
    <x:row r="29" ht="32" customHeight="1">
      <x:c r="C29" s="7" t="str">
        <x:v>Admin Expense</x:v>
      </x:c>
      <x:c r="D29" s="27" t="n">
        <x:f>'History'!D28</x:f>
        <x:v>25000</x:v>
      </x:c>
      <x:c r="E29" s="27" t="n">
        <x:f>('History'!E28-(1*SUM('TB'!J20)))</x:f>
        <x:v>25000</x:v>
      </x:c>
      <x:c r="F29" s="27" t="n">
        <x:f>('History'!F28-(1*SUM('TB'!J37)))</x:f>
        <x:v>25000</x:v>
      </x:c>
      <x:c r="G29" s="2"/>
      <x:c r="H29" s="2"/>
    </x:row>
    <x:row r="30" ht="32" customHeight="1">
      <x:c r="C30" s="7" t="str">
        <x:v>Research Expense (source YTD)</x:v>
      </x:c>
      <x:c r="D30" s="27" t="n">
        <x:f>(1*SUM('TB'!J21))</x:f>
        <x:v>0</x:v>
      </x:c>
      <x:c r="E30" s="27" t="n">
        <x:f>(1*SUM('TB'!J38))</x:f>
        <x:v>0</x:v>
      </x:c>
      <x:c r="F30" s="27" t="n">
        <x:f>(1*SUM('TB'!J55))</x:f>
        <x:v>0</x:v>
      </x:c>
      <x:c r="G30" s="2"/>
      <x:c r="H30" s="2"/>
    </x:row>
    <x:row r="31" ht="32" customHeight="1">
      <x:c r="C31" s="7" t="str">
        <x:v>Research Expense</x:v>
      </x:c>
      <x:c r="D31" s="27" t="n">
        <x:f>'History'!D30</x:f>
        <x:v>0</x:v>
      </x:c>
      <x:c r="E31" s="27" t="n">
        <x:f>('History'!E30-(1*SUM('TB'!J21)))</x:f>
        <x:v>0</x:v>
      </x:c>
      <x:c r="F31" s="27" t="n">
        <x:f>('History'!F30-(1*SUM('TB'!J38)))</x:f>
        <x:v>0</x:v>
      </x:c>
      <x:c r="G31" s="2"/>
      <x:c r="H31" s="2"/>
    </x:row>
    <x:row r="32" ht="32" customHeight="1">
      <x:c r="C32" s="7" t="str">
        <x:v>Depreciation (source YTD)</x:v>
      </x:c>
      <x:c r="D32" s="27" t="n">
        <x:f>(1*SUM('TB'!J22))</x:f>
        <x:v>10000</x:v>
      </x:c>
      <x:c r="E32" s="27" t="n">
        <x:f>(1*SUM('TB'!J39))</x:f>
        <x:v>20000</x:v>
      </x:c>
      <x:c r="F32" s="27" t="n">
        <x:f>(1*SUM('TB'!J56))</x:f>
        <x:v>30000</x:v>
      </x:c>
      <x:c r="G32" s="2"/>
      <x:c r="H32" s="2"/>
    </x:row>
    <x:row r="33" ht="32" customHeight="1">
      <x:c r="C33" s="7" t="str">
        <x:v>Depreciation</x:v>
      </x:c>
      <x:c r="D33" s="27" t="n">
        <x:f>'History'!D32</x:f>
        <x:v>10000</x:v>
      </x:c>
      <x:c r="E33" s="27" t="n">
        <x:f>('History'!E32-(1*SUM('TB'!J22)))</x:f>
        <x:v>10000</x:v>
      </x:c>
      <x:c r="F33" s="27" t="n">
        <x:f>('History'!F32-(1*SUM('TB'!J39)))</x:f>
        <x:v>10000</x:v>
      </x:c>
      <x:c r="G33" s="2"/>
      <x:c r="H33" s="2"/>
    </x:row>
    <x:row r="34" ht="32" customHeight="1">
      <x:c r="C34" s="7" t="str">
        <x:v>Interest Expense (source YTD)</x:v>
      </x:c>
      <x:c r="D34" s="27" t="n">
        <x:f>(1*SUM('TB'!J23))</x:f>
        <x:v>5000</x:v>
      </x:c>
      <x:c r="E34" s="27" t="n">
        <x:f>(1*SUM('TB'!J40))</x:f>
        <x:v>10000</x:v>
      </x:c>
      <x:c r="F34" s="27" t="n">
        <x:f>(1*SUM('TB'!J57))</x:f>
        <x:v>15000</x:v>
      </x:c>
      <x:c r="G34" s="2"/>
      <x:c r="H34" s="2"/>
    </x:row>
    <x:row r="35" ht="32" customHeight="1">
      <x:c r="C35" s="7" t="str">
        <x:v>Interest Expense</x:v>
      </x:c>
      <x:c r="D35" s="27" t="n">
        <x:f>'History'!D34</x:f>
        <x:v>5000</x:v>
      </x:c>
      <x:c r="E35" s="27" t="n">
        <x:f>('History'!E34-(1*SUM('TB'!J23)))</x:f>
        <x:v>5000</x:v>
      </x:c>
      <x:c r="F35" s="27" t="n">
        <x:f>('History'!F34-(1*SUM('TB'!J40)))</x:f>
        <x:v>5000</x:v>
      </x:c>
      <x:c r="G35" s="2"/>
      <x:c r="H35" s="2"/>
    </x:row>
    <x:row r="36" ht="32" customHeight="1">
      <x:c r="C36" s="7" t="str">
        <x:v>Tax Expense (source YTD)</x:v>
      </x:c>
      <x:c r="D36" s="27" t="n">
        <x:f>(1*SUM('TB'!J24))</x:f>
        <x:v>33750</x:v>
      </x:c>
      <x:c r="E36" s="27" t="n">
        <x:f>(1*SUM('TB'!J41))</x:f>
        <x:v>67500</x:v>
      </x:c>
      <x:c r="F36" s="27" t="n">
        <x:f>(1*SUM('TB'!J58))</x:f>
        <x:v>101250</x:v>
      </x:c>
      <x:c r="G36" s="2"/>
      <x:c r="H36" s="2"/>
    </x:row>
    <x:row r="37" ht="32" customHeight="1">
      <x:c r="C37" s="7" t="str">
        <x:v>Tax Expense</x:v>
      </x:c>
      <x:c r="D37" s="27" t="n">
        <x:f>'History'!D36</x:f>
        <x:v>33750</x:v>
      </x:c>
      <x:c r="E37" s="27" t="n">
        <x:f>('History'!E36-(1*SUM('TB'!J24)))</x:f>
        <x:v>33750</x:v>
      </x:c>
      <x:c r="F37" s="27" t="n">
        <x:f>('History'!F36-(1*SUM('TB'!J41)))</x:f>
        <x:v>33750</x:v>
      </x:c>
      <x:c r="G37" s="2"/>
      <x:c r="H37" s="2"/>
    </x:row>
    <x:row r="38" ht="32" customHeight="1">
      <x:c r="C38" s="7" t="str">
        <x:v>Other Income (source YTD)</x:v>
      </x:c>
      <x:c r="D38" s="28" t="n">
        <x:f>(-1*0)</x:f>
        <x:v>0</x:v>
      </x:c>
      <x:c r="E38" s="28" t="n">
        <x:f>(-1*0)</x:f>
        <x:v>0</x:v>
      </x:c>
      <x:c r="F38" s="28" t="n">
        <x:f>(-1*0)</x:f>
        <x:v>0</x:v>
      </x:c>
      <x:c r="G38" s="2"/>
      <x:c r="H38" s="2"/>
    </x:row>
    <x:row r="39" ht="32" customHeight="1">
      <x:c r="C39" s="7" t="str">
        <x:v>Other Income</x:v>
      </x:c>
      <x:c r="D39" s="27" t="n">
        <x:f>'History'!D38</x:f>
        <x:v>0</x:v>
      </x:c>
      <x:c r="E39" s="27" t="n">
        <x:f>('History'!E38-(-1*0))</x:f>
        <x:v>0</x:v>
      </x:c>
      <x:c r="F39" s="27" t="n">
        <x:f>('History'!F38-(-1*0))</x:f>
        <x:v>0</x:v>
      </x:c>
      <x:c r="G39" s="2"/>
      <x:c r="H39" s="2"/>
    </x:row>
    <x:row r="40" ht="32" customHeight="1">
      <x:c r="C40" s="7" t="str">
        <x:v>TB signed closing balance check</x:v>
      </x:c>
      <x:c r="D40" s="27" t="n">
        <x:f>SUM('TB'!J8,'TB'!J9,'TB'!J10,'TB'!J11,'TB'!J12,'TB'!J13,'TB'!J14,'TB'!J15,'TB'!J16,'TB'!J17,'TB'!J18,'TB'!J19,'TB'!J20,'TB'!J21,'TB'!J22,'TB'!J23,'TB'!J24)</x:f>
        <x:v>0</x:v>
      </x:c>
      <x:c r="E40" s="27" t="n">
        <x:f>SUM('TB'!J25,'TB'!J26,'TB'!J27,'TB'!J28,'TB'!J29,'TB'!J30,'TB'!J31,'TB'!J32,'TB'!J33,'TB'!J34,'TB'!J35,'TB'!J36,'TB'!J37,'TB'!J38,'TB'!J39,'TB'!J40,'TB'!J41)</x:f>
        <x:v>0</x:v>
      </x:c>
      <x:c r="F40" s="27" t="n">
        <x:f>SUM('TB'!J42,'TB'!J43,'TB'!J44,'TB'!J45,'TB'!J46,'TB'!J47,'TB'!J48,'TB'!J49,'TB'!J50,'TB'!J51,'TB'!J52,'TB'!J53,'TB'!J54,'TB'!J55,'TB'!J56,'TB'!J57,'TB'!J58)</x:f>
        <x:v>0</x:v>
      </x:c>
      <x:c r="G40" s="2"/>
      <x:c r="H40" s="2"/>
    </x:row>
    <x:row r="41" ht="32" customHeight="1">
      <x:c r="C41" s="7" t="str">
        <x:v>Explicit unclosed profit transfer</x:v>
      </x:c>
      <x:c r="D41" s="27" t="n">
        <x:f>(-1*SUM('TB'!J17,'TB'!J18,'TB'!J19,'TB'!J20,'TB'!J21,'TB'!J22,'TB'!J23,'TB'!J24))</x:f>
        <x:v>101250</x:v>
      </x:c>
      <x:c r="E41" s="27" t="n">
        <x:f>(-1*SUM('TB'!J34,'TB'!J35,'TB'!J36,'TB'!J37,'TB'!J38,'TB'!J39,'TB'!J40,'TB'!J41))</x:f>
        <x:v>202500</x:v>
      </x:c>
      <x:c r="F41" s="27" t="n">
        <x:f>(-1*SUM('TB'!J51,'TB'!J52,'TB'!J53,'TB'!J54,'TB'!J55,'TB'!J56,'TB'!J57,'TB'!J58))</x:f>
        <x:v>303750</x:v>
      </x:c>
      <x:c r="G41" s="2"/>
      <x:c r="H41" s="2"/>
    </x:row>
    <x:row r="42" ht="32" customHeight="1">
      <x:c r="C42" s="7" t="str">
        <x:v>Retained earnings including explicit profit transfer</x:v>
      </x:c>
      <x:c r="D42" s="27" t="n">
        <x:f>SUM('History'!D20,'History'!D41)</x:f>
        <x:v>101250</x:v>
      </x:c>
      <x:c r="E42" s="27" t="n">
        <x:f>SUM('History'!E20,'History'!E41)</x:f>
        <x:v>202500</x:v>
      </x:c>
      <x:c r="F42" s="27" t="n">
        <x:f>SUM('History'!F20,'History'!F41)</x:f>
        <x:v>303750</x:v>
      </x:c>
      <x:c r="G42" s="2"/>
      <x:c r="H42" s="2"/>
    </x:row>
    <x:row r="43" ht="32" customHeight="1">
      <x:c r="C43" s="11" t="str">
        <x:v>Total assets</x:v>
      </x:c>
      <x:c r="D43" s="26" t="n">
        <x:f>SUM('History'!D8,'History'!D9,'History'!D10,'History'!D11,'History'!D12,'History'!D13)</x:f>
        <x:v>701250</x:v>
      </x:c>
      <x:c r="E43" s="26" t="n">
        <x:f>SUM('History'!E8,'History'!E9,'History'!E10,'History'!E11,'History'!E12,'History'!E13)</x:f>
        <x:v>802500</x:v>
      </x:c>
      <x:c r="F43" s="26" t="n">
        <x:f>SUM('History'!F8,'History'!F9,'History'!F10,'History'!F11,'History'!F12,'History'!F13)</x:f>
        <x:v>903750</x:v>
      </x:c>
      <x:c r="G43" s="2"/>
      <x:c r="H43" s="2"/>
    </x:row>
    <x:row r="44" ht="32" customHeight="1">
      <x:c r="C44" s="11" t="str">
        <x:v>Total liabilities</x:v>
      </x:c>
      <x:c r="D44" s="26" t="n">
        <x:f>SUM('History'!D14,'History'!D15,'History'!D16,'History'!D17,'History'!D18)</x:f>
        <x:v>200000</x:v>
      </x:c>
      <x:c r="E44" s="26" t="n">
        <x:f>SUM('History'!E14,'History'!E15,'History'!E16,'History'!E17,'History'!E18)</x:f>
        <x:v>200000</x:v>
      </x:c>
      <x:c r="F44" s="26" t="n">
        <x:f>SUM('History'!F14,'History'!F15,'History'!F16,'History'!F17,'History'!F18)</x:f>
        <x:v>200000</x:v>
      </x:c>
      <x:c r="G44" s="2"/>
      <x:c r="H44" s="2"/>
    </x:row>
    <x:row r="45" ht="32" customHeight="1">
      <x:c r="C45" s="11" t="str">
        <x:v>Total equity</x:v>
      </x:c>
      <x:c r="D45" s="26" t="n">
        <x:f>SUM('History'!D19,'History'!D42,'History'!D21)</x:f>
        <x:v>501250</x:v>
      </x:c>
      <x:c r="E45" s="26" t="n">
        <x:f>SUM('History'!E19,'History'!E42,'History'!E21)</x:f>
        <x:v>602500</x:v>
      </x:c>
      <x:c r="F45" s="26" t="n">
        <x:f>SUM('History'!F19,'History'!F42,'History'!F21)</x:f>
        <x:v>703750</x:v>
      </x:c>
      <x:c r="G45" s="2"/>
      <x:c r="H45" s="2"/>
    </x:row>
    <x:row r="46" ht="32" customHeight="1">
      <x:c r="C46" s="7" t="str">
        <x:v>Historical balance sheet difference</x:v>
      </x:c>
      <x:c r="D46" s="27" t="n">
        <x:f>('History'!D43-SUM('History'!D44,'History'!D45))</x:f>
        <x:v>0</x:v>
      </x:c>
      <x:c r="E46" s="27" t="n">
        <x:f>('History'!E43-SUM('History'!E44,'History'!E45))</x:f>
        <x:v>0</x:v>
      </x:c>
      <x:c r="F46" s="27" t="n">
        <x:f>('History'!F43-SUM('History'!F44,'History'!F45))</x:f>
        <x:v>0</x:v>
      </x:c>
      <x:c r="G46" s="2"/>
      <x:c r="H46" s="2"/>
    </x:row>
    <x:row r="47" ht="22" customHeight="1">
      <x:c r="C47" s="2"/>
      <x:c r="D47" s="2"/>
      <x:c r="E47" s="2"/>
      <x:c r="F47" s="2"/>
      <x:c r="G47" s="2"/>
      <x:c r="H47" s="2"/>
    </x:row>
  </x:sheetData>
  <x:conditionalFormatting sqref="D40:F40">
    <x:cfRule type="cellIs" dxfId="91" priority="1" operator="greaterThan">
      <x:formula>1e-8</x:formula>
    </x:cfRule>
    <x:cfRule type="cellIs" dxfId="92" priority="2" operator="lessThan">
      <x:formula>-1e-8</x:formula>
    </x:cfRule>
  </x:conditionalFormatting>
  <x:conditionalFormatting sqref="D46:F46">
    <x:cfRule type="cellIs" dxfId="93" priority="3" operator="greaterThan">
      <x:formula>1e-8</x:formula>
    </x:cfRule>
    <x:cfRule type="cellIs" dxfId="94" priority="4" operator="lessThan">
      <x:formula>-1e-8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8" hidden="0" customWidth="1"/>
    <x:col min="4" max="4" width="3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7" hidden="0" customWidth="1"/>
    <x:col min="12" max="12" width="70" hidden="0" customWidth="1"/>
  </x:cols>
  <x:sheetData>
    <x:row r="1" ht="22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C2" s="4" t="str">
        <x:v>Historical Trial Balance</x:v>
      </x:c>
      <x:c r="D2" s="4"/>
      <x:c r="E2" s="4"/>
      <x:c r="F2" s="4"/>
      <x:c r="G2" s="4"/>
      <x:c r="H2" s="4"/>
      <x:c r="I2" s="4"/>
      <x:c r="J2" s="4"/>
      <x:c r="K2" s="4"/>
      <x:c r="L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2" customHeight="1">
      <x:c r="C7" s="24" t="str">
        <x:v>Account</x:v>
      </x:c>
      <x:c r="D7" s="24" t="str">
        <x:v>Account Name</x:v>
      </x:c>
      <x:c r="E7" s="24" t="str">
        <x:v>Period</x:v>
      </x:c>
      <x:c r="F7" s="24" t="str">
        <x:v>Entity</x:v>
      </x:c>
      <x:c r="G7" s="24" t="str">
        <x:v>Opening</x:v>
      </x:c>
      <x:c r="H7" s="24" t="str">
        <x:v>Debit</x:v>
      </x:c>
      <x:c r="I7" s="24" t="str">
        <x:v>Credit</x:v>
      </x:c>
      <x:c r="J7" s="24" t="str">
        <x:v>Closing</x:v>
      </x:c>
      <x:c r="K7" s="24" t="str">
        <x:v>Mapped Line</x:v>
      </x:c>
      <x:c r="L7" s="24" t="str">
        <x:v>Source Row</x:v>
      </x:c>
    </x:row>
    <x:row r="8" ht="48" customHeight="1">
      <x:c r="C8" s="2" t="str">
        <x:v>1002</x:v>
      </x:c>
      <x:c r="D8" s="2" t="str">
        <x:v>银行存款</x:v>
      </x:c>
      <x:c r="E8" s="2" t="str">
        <x:v>2026-01</x:v>
      </x:c>
      <x:c r="F8" s="2" t="str">
        <x:v>清禾出行 · 合成示例</x:v>
      </x:c>
      <x:c r="G8" s="8" t="n">
        <x:v>0</x:v>
      </x:c>
      <x:c r="H8" s="8" t="n">
        <x:v>111250</x:v>
      </x:c>
      <x:c r="I8" s="8" t="n">
        <x:v>0</x:v>
      </x:c>
      <x:c r="J8" s="8" t="n">
        <x:v>111250</x:v>
      </x:c>
      <x:c r="K8" s="2" t="str">
        <x:v>cash</x:v>
      </x:c>
      <x:c r="L8" s="7" t="str">
        <x:v>{'sheet': 'CSV', 'row': 2, 'cells': {'account_code': 'A2', 'account_name': 'B2', 'period': 'C2', 'entity': 'D2', 'opening': 'E2', 'debit': 'F2', 'credit': 'G2', 'closing': 'H2'}, 'source_sha256': '47f77314f0ac0c334b5046a8dd8fecbda212108df7b8329f2f0c407af2a63bc8', 'source_name': '清禾出行_历史TB_合成示例.csv', 'source_id': 'adc75429-4b5c-40a3-8fcc-0abca4ab9990', 'part_index': 1}</x:v>
      </x:c>
    </x:row>
    <x:row r="9" ht="48" customHeight="1">
      <x:c r="C9" s="2" t="str">
        <x:v>1122</x:v>
      </x:c>
      <x:c r="D9" s="2" t="str">
        <x:v>应收账款</x:v>
      </x:c>
      <x:c r="E9" s="2" t="str">
        <x:v>2026-01</x:v>
      </x:c>
      <x:c r="F9" s="2" t="str">
        <x:v>清禾出行 · 合成示例</x:v>
      </x:c>
      <x:c r="G9" s="8" t="n">
        <x:v>100000</x:v>
      </x:c>
      <x:c r="H9" s="8" t="n">
        <x:v>0</x:v>
      </x:c>
      <x:c r="I9" s="8" t="n">
        <x:v>0</x:v>
      </x:c>
      <x:c r="J9" s="8" t="n">
        <x:v>100000</x:v>
      </x:c>
      <x:c r="K9" s="2" t="str">
        <x:v>receivables</x:v>
      </x:c>
      <x:c r="L9" s="7" t="str">
        <x:v>{'sheet': 'CSV', 'row': 3, 'cells': {'account_code': 'A3', 'account_name': 'B3', 'period': 'C3', 'entity': 'D3', 'opening': 'E3', 'debit': 'F3', 'credit': 'G3', 'closing': 'H3'}, 'source_sha256': '47f77314f0ac0c334b5046a8dd8fecbda212108df7b8329f2f0c407af2a63bc8', 'source_name': '清禾出行_历史TB_合成示例.csv', 'source_id': 'adc75429-4b5c-40a3-8fcc-0abca4ab9990', 'part_index': 1}</x:v>
      </x:c>
    </x:row>
    <x:row r="10" ht="48" customHeight="1">
      <x:c r="C10" s="2" t="str">
        <x:v>1405</x:v>
      </x:c>
      <x:c r="D10" s="2" t="str">
        <x:v>库存商品</x:v>
      </x:c>
      <x:c r="E10" s="2" t="str">
        <x:v>2026-01</x:v>
      </x:c>
      <x:c r="F10" s="2" t="str">
        <x:v>清禾出行 · 合成示例</x:v>
      </x:c>
      <x:c r="G10" s="8" t="n">
        <x:v>100000</x:v>
      </x:c>
      <x:c r="H10" s="8" t="n">
        <x:v>0</x:v>
      </x:c>
      <x:c r="I10" s="8" t="n">
        <x:v>0</x:v>
      </x:c>
      <x:c r="J10" s="8" t="n">
        <x:v>100000</x:v>
      </x:c>
      <x:c r="K10" s="2" t="str">
        <x:v>inventory</x:v>
      </x:c>
      <x:c r="L10" s="7" t="str">
        <x:v>{'sheet': 'CSV', 'row': 4, 'cells': {'account_code': 'A4', 'account_name': 'B4', 'period': 'C4', 'entity': 'D4', 'opening': 'E4', 'debit': 'F4', 'credit': 'G4', 'closing': 'H4'}, 'source_sha256': '47f77314f0ac0c334b5046a8dd8fecbda212108df7b8329f2f0c407af2a63bc8', 'source_name': '清禾出行_历史TB_合成示例.csv', 'source_id': 'adc75429-4b5c-40a3-8fcc-0abca4ab9990', 'part_index': 1}</x:v>
      </x:c>
    </x:row>
    <x:row r="11" ht="48" customHeight="1">
      <x:c r="C11" s="2" t="str">
        <x:v>1601</x:v>
      </x:c>
      <x:c r="D11" s="2" t="str">
        <x:v>固定资产</x:v>
      </x:c>
      <x:c r="E11" s="2" t="str">
        <x:v>2026-01</x:v>
      </x:c>
      <x:c r="F11" s="2" t="str">
        <x:v>清禾出行 · 合成示例</x:v>
      </x:c>
      <x:c r="G11" s="8" t="n">
        <x:v>400000</x:v>
      </x:c>
      <x:c r="H11" s="8" t="n">
        <x:v>0</x:v>
      </x:c>
      <x:c r="I11" s="8" t="n">
        <x:v>0</x:v>
      </x:c>
      <x:c r="J11" s="8" t="n">
        <x:v>400000</x:v>
      </x:c>
      <x:c r="K11" s="2" t="str">
        <x:v>ppe</x:v>
      </x:c>
      <x:c r="L11" s="7" t="str">
        <x:v>{'sheet': 'CSV', 'row': 5, 'cells': {'account_code': 'A5', 'account_name': 'B5', 'period': 'C5', 'entity': 'D5', 'opening': 'E5', 'debit': 'F5', 'credit': 'G5', 'closing': 'H5'}, 'source_sha256': '47f77314f0ac0c334b5046a8dd8fecbda212108df7b8329f2f0c407af2a63bc8', 'source_name': '清禾出行_历史TB_合成示例.csv', 'source_id': 'adc75429-4b5c-40a3-8fcc-0abca4ab9990', 'part_index': 1}</x:v>
      </x:c>
    </x:row>
    <x:row r="12" ht="48" customHeight="1">
      <x:c r="C12" s="2" t="str">
        <x:v>1602</x:v>
      </x:c>
      <x:c r="D12" s="2" t="str">
        <x:v>累计折旧</x:v>
      </x:c>
      <x:c r="E12" s="2" t="str">
        <x:v>2026-01</x:v>
      </x:c>
      <x:c r="F12" s="2" t="str">
        <x:v>清禾出行 · 合成示例</x:v>
      </x:c>
      <x:c r="G12" s="8" t="n">
        <x:v>0</x:v>
      </x:c>
      <x:c r="H12" s="8" t="n">
        <x:v>0</x:v>
      </x:c>
      <x:c r="I12" s="8" t="n">
        <x:v>10000</x:v>
      </x:c>
      <x:c r="J12" s="8" t="n">
        <x:v>-10000</x:v>
      </x:c>
      <x:c r="K12" s="2" t="str">
        <x:v>accumulated_depreciation</x:v>
      </x:c>
      <x:c r="L12" s="7" t="str">
        <x:v>{'sheet': 'CSV', 'row': 6, 'cells': {'account_code': 'A6', 'account_name': 'B6', 'period': 'C6', 'entity': 'D6', 'opening': 'E6', 'debit': 'F6', 'credit': 'G6', 'closing': 'H6'}, 'source_sha256': '47f77314f0ac0c334b5046a8dd8fecbda212108df7b8329f2f0c407af2a63bc8', 'source_name': '清禾出行_历史TB_合成示例.csv', 'source_id': 'adc75429-4b5c-40a3-8fcc-0abca4ab9990', 'part_index': 1}</x:v>
      </x:c>
    </x:row>
    <x:row r="13" ht="48" customHeight="1">
      <x:c r="C13" s="2" t="str">
        <x:v>2202</x:v>
      </x:c>
      <x:c r="D13" s="2" t="str">
        <x:v>应付账款</x:v>
      </x:c>
      <x:c r="E13" s="2" t="str">
        <x:v>2026-01</x:v>
      </x:c>
      <x:c r="F13" s="2" t="str">
        <x:v>清禾出行 · 合成示例</x:v>
      </x:c>
      <x:c r="G13" s="8" t="n">
        <x:v>-100000</x:v>
      </x:c>
      <x:c r="H13" s="8" t="n">
        <x:v>0</x:v>
      </x:c>
      <x:c r="I13" s="8" t="n">
        <x:v>0</x:v>
      </x:c>
      <x:c r="J13" s="8" t="n">
        <x:v>-100000</x:v>
      </x:c>
      <x:c r="K13" s="2" t="str">
        <x:v>payables</x:v>
      </x:c>
      <x:c r="L13" s="7" t="str">
        <x:v>{'sheet': 'CSV', 'row': 7, 'cells': {'account_code': 'A7', 'account_name': 'B7', 'period': 'C7', 'entity': 'D7', 'opening': 'E7', 'debit': 'F7', 'credit': 'G7', 'closing': 'H7'}, 'source_sha256': '47f77314f0ac0c334b5046a8dd8fecbda212108df7b8329f2f0c407af2a63bc8', 'source_name': '清禾出行_历史TB_合成示例.csv', 'source_id': 'adc75429-4b5c-40a3-8fcc-0abca4ab9990', 'part_index': 1}</x:v>
      </x:c>
    </x:row>
    <x:row r="14" ht="48" customHeight="1">
      <x:c r="C14" s="2" t="str">
        <x:v>2501</x:v>
      </x:c>
      <x:c r="D14" s="2" t="str">
        <x:v>长期借款</x:v>
      </x:c>
      <x:c r="E14" s="2" t="str">
        <x:v>2026-01</x:v>
      </x:c>
      <x:c r="F14" s="2" t="str">
        <x:v>清禾出行 · 合成示例</x:v>
      </x:c>
      <x:c r="G14" s="8" t="n">
        <x:v>-100000</x:v>
      </x:c>
      <x:c r="H14" s="8" t="n">
        <x:v>0</x:v>
      </x:c>
      <x:c r="I14" s="8" t="n">
        <x:v>0</x:v>
      </x:c>
      <x:c r="J14" s="8" t="n">
        <x:v>-100000</x:v>
      </x:c>
      <x:c r="K14" s="2" t="str">
        <x:v>debt</x:v>
      </x:c>
      <x:c r="L14" s="7" t="str">
        <x:v>{'sheet': 'CSV', 'row': 8, 'cells': {'account_code': 'A8', 'account_name': 'B8', 'period': 'C8', 'entity': 'D8', 'opening': 'E8', 'debit': 'F8', 'credit': 'G8', 'closing': 'H8'}, 'source_sha256': '47f77314f0ac0c334b5046a8dd8fecbda212108df7b8329f2f0c407af2a63bc8', 'source_name': '清禾出行_历史TB_合成示例.csv', 'source_id': 'adc75429-4b5c-40a3-8fcc-0abca4ab9990', 'part_index': 1}</x:v>
      </x:c>
    </x:row>
    <x:row r="15" ht="48" customHeight="1">
      <x:c r="C15" s="2" t="str">
        <x:v>4001</x:v>
      </x:c>
      <x:c r="D15" s="2" t="str">
        <x:v>实收资本</x:v>
      </x:c>
      <x:c r="E15" s="2" t="str">
        <x:v>2026-01</x:v>
      </x:c>
      <x:c r="F15" s="2" t="str">
        <x:v>清禾出行 · 合成示例</x:v>
      </x:c>
      <x:c r="G15" s="8" t="n">
        <x:v>-400000</x:v>
      </x:c>
      <x:c r="H15" s="8" t="n">
        <x:v>0</x:v>
      </x:c>
      <x:c r="I15" s="8" t="n">
        <x:v>0</x:v>
      </x:c>
      <x:c r="J15" s="8" t="n">
        <x:v>-400000</x:v>
      </x:c>
      <x:c r="K15" s="2" t="str">
        <x:v>share_capital</x:v>
      </x:c>
      <x:c r="L15" s="7" t="str">
        <x:v>{'sheet': 'CSV', 'row': 9, 'cells': {'account_code': 'A9', 'account_name': 'B9', 'period': 'C9', 'entity': 'D9', 'opening': 'E9', 'debit': 'F9', 'credit': 'G9', 'closing': 'H9'}, 'source_sha256': '47f77314f0ac0c334b5046a8dd8fecbda212108df7b8329f2f0c407af2a63bc8', 'source_name': '清禾出行_历史TB_合成示例.csv', 'source_id': 'adc75429-4b5c-40a3-8fcc-0abca4ab9990', 'part_index': 1}</x:v>
      </x:c>
    </x:row>
    <x:row r="16" ht="48" customHeight="1">
      <x:c r="C16" s="2" t="str">
        <x:v>4104</x:v>
      </x:c>
      <x:c r="D16" s="2" t="str">
        <x:v>未分配利润</x:v>
      </x:c>
      <x:c r="E16" s="2" t="str">
        <x:v>2026-01</x:v>
      </x:c>
      <x:c r="F16" s="2" t="str">
        <x:v>清禾出行 · 合成示例</x:v>
      </x:c>
      <x:c r="G16" s="8" t="n">
        <x:v>0</x:v>
      </x:c>
      <x:c r="H16" s="8" t="n">
        <x:v>0</x:v>
      </x:c>
      <x:c r="I16" s="8" t="n">
        <x:v>0</x:v>
      </x:c>
      <x:c r="J16" s="8" t="n">
        <x:v>0</x:v>
      </x:c>
      <x:c r="K16" s="2" t="str">
        <x:v>retained_earnings</x:v>
      </x:c>
      <x:c r="L16" s="7" t="str">
        <x:v>{'sheet': 'CSV', 'row': 10, 'cells': {'account_code': 'A10', 'account_name': 'B10', 'period': 'C10', 'entity': 'D10', 'opening': 'E10', 'debit': 'F10', 'credit': 'G10', 'closing': 'H10'}, 'source_sha256': '47f77314f0ac0c334b5046a8dd8fecbda212108df7b8329f2f0c407af2a63bc8', 'source_name': '清禾出行_历史TB_合成示例.csv', 'source_id': 'adc75429-4b5c-40a3-8fcc-0abca4ab9990', 'part_index': 1}</x:v>
      </x:c>
    </x:row>
    <x:row r="17" ht="48" customHeight="1">
      <x:c r="C17" s="2" t="str">
        <x:v>6001</x:v>
      </x:c>
      <x:c r="D17" s="2" t="str">
        <x:v>主营业务收入</x:v>
      </x:c>
      <x:c r="E17" s="2" t="str">
        <x:v>2026-01</x:v>
      </x:c>
      <x:c r="F17" s="2" t="str">
        <x:v>清禾出行 · 合成示例</x:v>
      </x:c>
      <x:c r="G17" s="8" t="n">
        <x:v>0</x:v>
      </x:c>
      <x:c r="H17" s="8" t="n">
        <x:v>0</x:v>
      </x:c>
      <x:c r="I17" s="8" t="n">
        <x:v>500000</x:v>
      </x:c>
      <x:c r="J17" s="8" t="n">
        <x:v>-500000</x:v>
      </x:c>
      <x:c r="K17" s="2" t="str">
        <x:v>revenue</x:v>
      </x:c>
      <x:c r="L17" s="7" t="str">
        <x:v>{'sheet': 'CSV', 'row': 11, 'cells': {'account_code': 'A11', 'account_name': 'B11', 'period': 'C11', 'entity': 'D11', 'opening': 'E11', 'debit': 'F11', 'credit': 'G11', 'closing': 'H11'}, 'source_sha256': '47f77314f0ac0c334b5046a8dd8fecbda212108df7b8329f2f0c407af2a63bc8', 'source_name': '清禾出行_历史TB_合成示例.csv', 'source_id': 'adc75429-4b5c-40a3-8fcc-0abca4ab9990', 'part_index': 1}</x:v>
      </x:c>
    </x:row>
    <x:row r="18" ht="48" customHeight="1">
      <x:c r="C18" s="2" t="str">
        <x:v>6401</x:v>
      </x:c>
      <x:c r="D18" s="2" t="str">
        <x:v>主营业务成本</x:v>
      </x:c>
      <x:c r="E18" s="2" t="str">
        <x:v>2026-01</x:v>
      </x:c>
      <x:c r="F18" s="2" t="str">
        <x:v>清禾出行 · 合成示例</x:v>
      </x:c>
      <x:c r="G18" s="8" t="n">
        <x:v>0</x:v>
      </x:c>
      <x:c r="H18" s="8" t="n">
        <x:v>300000</x:v>
      </x:c>
      <x:c r="I18" s="8" t="n">
        <x:v>0</x:v>
      </x:c>
      <x:c r="J18" s="8" t="n">
        <x:v>300000</x:v>
      </x:c>
      <x:c r="K18" s="2" t="str">
        <x:v>cogs</x:v>
      </x:c>
      <x:c r="L18" s="7" t="str">
        <x:v>{'sheet': 'CSV', 'row': 12, 'cells': {'account_code': 'A12', 'account_name': 'B12', 'period': 'C12', 'entity': 'D12', 'opening': 'E12', 'debit': 'F12', 'credit': 'G12', 'closing': 'H12'}, 'source_sha256': '47f77314f0ac0c334b5046a8dd8fecbda212108df7b8329f2f0c407af2a63bc8', 'source_name': '清禾出行_历史TB_合成示例.csv', 'source_id': 'adc75429-4b5c-40a3-8fcc-0abca4ab9990', 'part_index': 1}</x:v>
      </x:c>
    </x:row>
    <x:row r="19" ht="48" customHeight="1">
      <x:c r="C19" s="2" t="str">
        <x:v>6601</x:v>
      </x:c>
      <x:c r="D19" s="2" t="str">
        <x:v>销售费用</x:v>
      </x:c>
      <x:c r="E19" s="2" t="str">
        <x:v>2026-01</x:v>
      </x:c>
      <x:c r="F19" s="2" t="str">
        <x:v>清禾出行 · 合成示例</x:v>
      </x:c>
      <x:c r="G19" s="8" t="n">
        <x:v>0</x:v>
      </x:c>
      <x:c r="H19" s="8" t="n">
        <x:v>25000</x:v>
      </x:c>
      <x:c r="I19" s="8" t="n">
        <x:v>0</x:v>
      </x:c>
      <x:c r="J19" s="8" t="n">
        <x:v>25000</x:v>
      </x:c>
      <x:c r="K19" s="2" t="str">
        <x:v>selling_expense</x:v>
      </x:c>
      <x:c r="L19" s="7" t="str">
        <x:v>{'sheet': 'CSV', 'row': 13, 'cells': {'account_code': 'A13', 'account_name': 'B13', 'period': 'C13', 'entity': 'D13', 'opening': 'E13', 'debit': 'F13', 'credit': 'G13', 'closing': 'H13'}, 'source_sha256': '47f77314f0ac0c334b5046a8dd8fecbda212108df7b8329f2f0c407af2a63bc8', 'source_name': '清禾出行_历史TB_合成示例.csv', 'source_id': 'adc75429-4b5c-40a3-8fcc-0abca4ab9990', 'part_index': 1}</x:v>
      </x:c>
    </x:row>
    <x:row r="20" ht="48" customHeight="1">
      <x:c r="C20" s="2" t="str">
        <x:v>6602</x:v>
      </x:c>
      <x:c r="D20" s="2" t="str">
        <x:v>管理费用</x:v>
      </x:c>
      <x:c r="E20" s="2" t="str">
        <x:v>2026-01</x:v>
      </x:c>
      <x:c r="F20" s="2" t="str">
        <x:v>清禾出行 · 合成示例</x:v>
      </x:c>
      <x:c r="G20" s="8" t="n">
        <x:v>0</x:v>
      </x:c>
      <x:c r="H20" s="8" t="n">
        <x:v>25000</x:v>
      </x:c>
      <x:c r="I20" s="8" t="n">
        <x:v>0</x:v>
      </x:c>
      <x:c r="J20" s="8" t="n">
        <x:v>25000</x:v>
      </x:c>
      <x:c r="K20" s="2" t="str">
        <x:v>admin_expense</x:v>
      </x:c>
      <x:c r="L20" s="7" t="str">
        <x:v>{'sheet': 'CSV', 'row': 14, 'cells': {'account_code': 'A14', 'account_name': 'B14', 'period': 'C14', 'entity': 'D14', 'opening': 'E14', 'debit': 'F14', 'credit': 'G14', 'closing': 'H14'}, 'source_sha256': '47f77314f0ac0c334b5046a8dd8fecbda212108df7b8329f2f0c407af2a63bc8', 'source_name': '清禾出行_历史TB_合成示例.csv', 'source_id': 'adc75429-4b5c-40a3-8fcc-0abca4ab9990', 'part_index': 1}</x:v>
      </x:c>
    </x:row>
    <x:row r="21" ht="48" customHeight="1">
      <x:c r="C21" s="2" t="str">
        <x:v>6603</x:v>
      </x:c>
      <x:c r="D21" s="2" t="str">
        <x:v>研发费用</x:v>
      </x:c>
      <x:c r="E21" s="2" t="str">
        <x:v>2026-01</x:v>
      </x:c>
      <x:c r="F21" s="2" t="str">
        <x:v>清禾出行 · 合成示例</x:v>
      </x:c>
      <x:c r="G21" s="8" t="n">
        <x:v>0</x:v>
      </x:c>
      <x:c r="H21" s="8" t="n">
        <x:v>0</x:v>
      </x:c>
      <x:c r="I21" s="8" t="n">
        <x:v>0</x:v>
      </x:c>
      <x:c r="J21" s="8" t="n">
        <x:v>0</x:v>
      </x:c>
      <x:c r="K21" s="2" t="str">
        <x:v>research_expense</x:v>
      </x:c>
      <x:c r="L21" s="7" t="str">
        <x:v>{'sheet': 'CSV', 'row': 15, 'cells': {'account_code': 'A15', 'account_name': 'B15', 'period': 'C15', 'entity': 'D15', 'opening': 'E15', 'debit': 'F15', 'credit': 'G15', 'closing': 'H15'}, 'source_sha256': '47f77314f0ac0c334b5046a8dd8fecbda212108df7b8329f2f0c407af2a63bc8', 'source_name': '清禾出行_历史TB_合成示例.csv', 'source_id': 'adc75429-4b5c-40a3-8fcc-0abca4ab9990', 'part_index': 1}</x:v>
      </x:c>
    </x:row>
    <x:row r="22" ht="48" customHeight="1">
      <x:c r="C22" s="2" t="str">
        <x:v>6604</x:v>
      </x:c>
      <x:c r="D22" s="2" t="str">
        <x:v>折旧费用</x:v>
      </x:c>
      <x:c r="E22" s="2" t="str">
        <x:v>2026-01</x:v>
      </x:c>
      <x:c r="F22" s="2" t="str">
        <x:v>清禾出行 · 合成示例</x:v>
      </x:c>
      <x:c r="G22" s="8" t="n">
        <x:v>0</x:v>
      </x:c>
      <x:c r="H22" s="8" t="n">
        <x:v>10000</x:v>
      </x:c>
      <x:c r="I22" s="8" t="n">
        <x:v>0</x:v>
      </x:c>
      <x:c r="J22" s="8" t="n">
        <x:v>10000</x:v>
      </x:c>
      <x:c r="K22" s="2" t="str">
        <x:v>depreciation</x:v>
      </x:c>
      <x:c r="L22" s="7" t="str">
        <x:v>{'sheet': 'CSV', 'row': 16, 'cells': {'account_code': 'A16', 'account_name': 'B16', 'period': 'C16', 'entity': 'D16', 'opening': 'E16', 'debit': 'F16', 'credit': 'G16', 'closing': 'H16'}, 'source_sha256': '47f77314f0ac0c334b5046a8dd8fecbda212108df7b8329f2f0c407af2a63bc8', 'source_name': '清禾出行_历史TB_合成示例.csv', 'source_id': 'adc75429-4b5c-40a3-8fcc-0abca4ab9990', 'part_index': 1}</x:v>
      </x:c>
    </x:row>
    <x:row r="23" ht="48" customHeight="1">
      <x:c r="C23" s="2" t="str">
        <x:v>6605</x:v>
      </x:c>
      <x:c r="D23" s="2" t="str">
        <x:v>利息费用</x:v>
      </x:c>
      <x:c r="E23" s="2" t="str">
        <x:v>2026-01</x:v>
      </x:c>
      <x:c r="F23" s="2" t="str">
        <x:v>清禾出行 · 合成示例</x:v>
      </x:c>
      <x:c r="G23" s="8" t="n">
        <x:v>0</x:v>
      </x:c>
      <x:c r="H23" s="8" t="n">
        <x:v>5000</x:v>
      </x:c>
      <x:c r="I23" s="8" t="n">
        <x:v>0</x:v>
      </x:c>
      <x:c r="J23" s="8" t="n">
        <x:v>5000</x:v>
      </x:c>
      <x:c r="K23" s="2" t="str">
        <x:v>interest_expense</x:v>
      </x:c>
      <x:c r="L23" s="7" t="str">
        <x:v>{'sheet': 'CSV', 'row': 17, 'cells': {'account_code': 'A17', 'account_name': 'B17', 'period': 'C17', 'entity': 'D17', 'opening': 'E17', 'debit': 'F17', 'credit': 'G17', 'closing': 'H17'}, 'source_sha256': '47f77314f0ac0c334b5046a8dd8fecbda212108df7b8329f2f0c407af2a63bc8', 'source_name': '清禾出行_历史TB_合成示例.csv', 'source_id': 'adc75429-4b5c-40a3-8fcc-0abca4ab9990', 'part_index': 1}</x:v>
      </x:c>
    </x:row>
    <x:row r="24" ht="48" customHeight="1">
      <x:c r="C24" s="2" t="str">
        <x:v>6801</x:v>
      </x:c>
      <x:c r="D24" s="2" t="str">
        <x:v>所得税费用</x:v>
      </x:c>
      <x:c r="E24" s="2" t="str">
        <x:v>2026-01</x:v>
      </x:c>
      <x:c r="F24" s="2" t="str">
        <x:v>清禾出行 · 合成示例</x:v>
      </x:c>
      <x:c r="G24" s="8" t="n">
        <x:v>0</x:v>
      </x:c>
      <x:c r="H24" s="8" t="n">
        <x:v>33750</x:v>
      </x:c>
      <x:c r="I24" s="8" t="n">
        <x:v>0</x:v>
      </x:c>
      <x:c r="J24" s="8" t="n">
        <x:v>33750</x:v>
      </x:c>
      <x:c r="K24" s="2" t="str">
        <x:v>tax_expense</x:v>
      </x:c>
      <x:c r="L24" s="7" t="str">
        <x:v>{'sheet': 'CSV', 'row': 18, 'cells': {'account_code': 'A18', 'account_name': 'B18', 'period': 'C18', 'entity': 'D18', 'opening': 'E18', 'debit': 'F18', 'credit': 'G18', 'closing': 'H18'}, 'source_sha256': '47f77314f0ac0c334b5046a8dd8fecbda212108df7b8329f2f0c407af2a63bc8', 'source_name': '清禾出行_历史TB_合成示例.csv', 'source_id': 'adc75429-4b5c-40a3-8fcc-0abca4ab9990', 'part_index': 1}</x:v>
      </x:c>
    </x:row>
    <x:row r="25" ht="48" customHeight="1">
      <x:c r="C25" s="2" t="str">
        <x:v>1002</x:v>
      </x:c>
      <x:c r="D25" s="2" t="str">
        <x:v>银行存款</x:v>
      </x:c>
      <x:c r="E25" s="2" t="str">
        <x:v>2026-02</x:v>
      </x:c>
      <x:c r="F25" s="2" t="str">
        <x:v>清禾出行 · 合成示例</x:v>
      </x:c>
      <x:c r="G25" s="8" t="n">
        <x:v>111250</x:v>
      </x:c>
      <x:c r="H25" s="8" t="n">
        <x:v>111250</x:v>
      </x:c>
      <x:c r="I25" s="8" t="n">
        <x:v>0</x:v>
      </x:c>
      <x:c r="J25" s="8" t="n">
        <x:v>222500</x:v>
      </x:c>
      <x:c r="K25" s="2" t="str">
        <x:v>cash</x:v>
      </x:c>
      <x:c r="L25" s="7" t="str">
        <x:v>{'sheet': 'CSV', 'row': 19, 'cells': {'account_code': 'A19', 'account_name': 'B19', 'period': 'C19', 'entity': 'D19', 'opening': 'E19', 'debit': 'F19', 'credit': 'G19', 'closing': 'H19'}, 'source_sha256': '47f77314f0ac0c334b5046a8dd8fecbda212108df7b8329f2f0c407af2a63bc8', 'source_name': '清禾出行_历史TB_合成示例.csv', 'source_id': 'adc75429-4b5c-40a3-8fcc-0abca4ab9990', 'part_index': 1}</x:v>
      </x:c>
    </x:row>
    <x:row r="26" ht="48" customHeight="1">
      <x:c r="C26" s="2" t="str">
        <x:v>1122</x:v>
      </x:c>
      <x:c r="D26" s="2" t="str">
        <x:v>应收账款</x:v>
      </x:c>
      <x:c r="E26" s="2" t="str">
        <x:v>2026-02</x:v>
      </x:c>
      <x:c r="F26" s="2" t="str">
        <x:v>清禾出行 · 合成示例</x:v>
      </x:c>
      <x:c r="G26" s="8" t="n">
        <x:v>100000</x:v>
      </x:c>
      <x:c r="H26" s="8" t="n">
        <x:v>0</x:v>
      </x:c>
      <x:c r="I26" s="8" t="n">
        <x:v>0</x:v>
      </x:c>
      <x:c r="J26" s="8" t="n">
        <x:v>100000</x:v>
      </x:c>
      <x:c r="K26" s="2" t="str">
        <x:v>receivables</x:v>
      </x:c>
      <x:c r="L26" s="7" t="str">
        <x:v>{'sheet': 'CSV', 'row': 20, 'cells': {'account_code': 'A20', 'account_name': 'B20', 'period': 'C20', 'entity': 'D20', 'opening': 'E20', 'debit': 'F20', 'credit': 'G20', 'closing': 'H20'}, 'source_sha256': '47f77314f0ac0c334b5046a8dd8fecbda212108df7b8329f2f0c407af2a63bc8', 'source_name': '清禾出行_历史TB_合成示例.csv', 'source_id': 'adc75429-4b5c-40a3-8fcc-0abca4ab9990', 'part_index': 1}</x:v>
      </x:c>
    </x:row>
    <x:row r="27" ht="48" customHeight="1">
      <x:c r="C27" s="2" t="str">
        <x:v>1405</x:v>
      </x:c>
      <x:c r="D27" s="2" t="str">
        <x:v>库存商品</x:v>
      </x:c>
      <x:c r="E27" s="2" t="str">
        <x:v>2026-02</x:v>
      </x:c>
      <x:c r="F27" s="2" t="str">
        <x:v>清禾出行 · 合成示例</x:v>
      </x:c>
      <x:c r="G27" s="8" t="n">
        <x:v>100000</x:v>
      </x:c>
      <x:c r="H27" s="8" t="n">
        <x:v>0</x:v>
      </x:c>
      <x:c r="I27" s="8" t="n">
        <x:v>0</x:v>
      </x:c>
      <x:c r="J27" s="8" t="n">
        <x:v>100000</x:v>
      </x:c>
      <x:c r="K27" s="2" t="str">
        <x:v>inventory</x:v>
      </x:c>
      <x:c r="L27" s="7" t="str">
        <x:v>{'sheet': 'CSV', 'row': 21, 'cells': {'account_code': 'A21', 'account_name': 'B21', 'period': 'C21', 'entity': 'D21', 'opening': 'E21', 'debit': 'F21', 'credit': 'G21', 'closing': 'H21'}, 'source_sha256': '47f77314f0ac0c334b5046a8dd8fecbda212108df7b8329f2f0c407af2a63bc8', 'source_name': '清禾出行_历史TB_合成示例.csv', 'source_id': 'adc75429-4b5c-40a3-8fcc-0abca4ab9990', 'part_index': 1}</x:v>
      </x:c>
    </x:row>
    <x:row r="28" ht="48" customHeight="1">
      <x:c r="C28" s="2" t="str">
        <x:v>1601</x:v>
      </x:c>
      <x:c r="D28" s="2" t="str">
        <x:v>固定资产</x:v>
      </x:c>
      <x:c r="E28" s="2" t="str">
        <x:v>2026-02</x:v>
      </x:c>
      <x:c r="F28" s="2" t="str">
        <x:v>清禾出行 · 合成示例</x:v>
      </x:c>
      <x:c r="G28" s="8" t="n">
        <x:v>400000</x:v>
      </x:c>
      <x:c r="H28" s="8" t="n">
        <x:v>0</x:v>
      </x:c>
      <x:c r="I28" s="8" t="n">
        <x:v>0</x:v>
      </x:c>
      <x:c r="J28" s="8" t="n">
        <x:v>400000</x:v>
      </x:c>
      <x:c r="K28" s="2" t="str">
        <x:v>ppe</x:v>
      </x:c>
      <x:c r="L28" s="7" t="str">
        <x:v>{'sheet': 'CSV', 'row': 22, 'cells': {'account_code': 'A22', 'account_name': 'B22', 'period': 'C22', 'entity': 'D22', 'opening': 'E22', 'debit': 'F22', 'credit': 'G22', 'closing': 'H22'}, 'source_sha256': '47f77314f0ac0c334b5046a8dd8fecbda212108df7b8329f2f0c407af2a63bc8', 'source_name': '清禾出行_历史TB_合成示例.csv', 'source_id': 'adc75429-4b5c-40a3-8fcc-0abca4ab9990', 'part_index': 1}</x:v>
      </x:c>
    </x:row>
    <x:row r="29" ht="48" customHeight="1">
      <x:c r="C29" s="2" t="str">
        <x:v>1602</x:v>
      </x:c>
      <x:c r="D29" s="2" t="str">
        <x:v>累计折旧</x:v>
      </x:c>
      <x:c r="E29" s="2" t="str">
        <x:v>2026-02</x:v>
      </x:c>
      <x:c r="F29" s="2" t="str">
        <x:v>清禾出行 · 合成示例</x:v>
      </x:c>
      <x:c r="G29" s="8" t="n">
        <x:v>-10000</x:v>
      </x:c>
      <x:c r="H29" s="8" t="n">
        <x:v>0</x:v>
      </x:c>
      <x:c r="I29" s="8" t="n">
        <x:v>10000</x:v>
      </x:c>
      <x:c r="J29" s="8" t="n">
        <x:v>-20000</x:v>
      </x:c>
      <x:c r="K29" s="2" t="str">
        <x:v>accumulated_depreciation</x:v>
      </x:c>
      <x:c r="L29" s="7" t="str">
        <x:v>{'sheet': 'CSV', 'row': 23, 'cells': {'account_code': 'A23', 'account_name': 'B23', 'period': 'C23', 'entity': 'D23', 'opening': 'E23', 'debit': 'F23', 'credit': 'G23', 'closing': 'H23'}, 'source_sha256': '47f77314f0ac0c334b5046a8dd8fecbda212108df7b8329f2f0c407af2a63bc8', 'source_name': '清禾出行_历史TB_合成示例.csv', 'source_id': 'adc75429-4b5c-40a3-8fcc-0abca4ab9990', 'part_index': 1}</x:v>
      </x:c>
    </x:row>
    <x:row r="30" ht="48" customHeight="1">
      <x:c r="C30" s="2" t="str">
        <x:v>2202</x:v>
      </x:c>
      <x:c r="D30" s="2" t="str">
        <x:v>应付账款</x:v>
      </x:c>
      <x:c r="E30" s="2" t="str">
        <x:v>2026-02</x:v>
      </x:c>
      <x:c r="F30" s="2" t="str">
        <x:v>清禾出行 · 合成示例</x:v>
      </x:c>
      <x:c r="G30" s="8" t="n">
        <x:v>-100000</x:v>
      </x:c>
      <x:c r="H30" s="8" t="n">
        <x:v>0</x:v>
      </x:c>
      <x:c r="I30" s="8" t="n">
        <x:v>0</x:v>
      </x:c>
      <x:c r="J30" s="8" t="n">
        <x:v>-100000</x:v>
      </x:c>
      <x:c r="K30" s="2" t="str">
        <x:v>payables</x:v>
      </x:c>
      <x:c r="L30" s="7" t="str">
        <x:v>{'sheet': 'CSV', 'row': 24, 'cells': {'account_code': 'A24', 'account_name': 'B24', 'period': 'C24', 'entity': 'D24', 'opening': 'E24', 'debit': 'F24', 'credit': 'G24', 'closing': 'H24'}, 'source_sha256': '47f77314f0ac0c334b5046a8dd8fecbda212108df7b8329f2f0c407af2a63bc8', 'source_name': '清禾出行_历史TB_合成示例.csv', 'source_id': 'adc75429-4b5c-40a3-8fcc-0abca4ab9990', 'part_index': 1}</x:v>
      </x:c>
    </x:row>
    <x:row r="31" ht="48" customHeight="1">
      <x:c r="C31" s="2" t="str">
        <x:v>2501</x:v>
      </x:c>
      <x:c r="D31" s="2" t="str">
        <x:v>长期借款</x:v>
      </x:c>
      <x:c r="E31" s="2" t="str">
        <x:v>2026-02</x:v>
      </x:c>
      <x:c r="F31" s="2" t="str">
        <x:v>清禾出行 · 合成示例</x:v>
      </x:c>
      <x:c r="G31" s="8" t="n">
        <x:v>-100000</x:v>
      </x:c>
      <x:c r="H31" s="8" t="n">
        <x:v>0</x:v>
      </x:c>
      <x:c r="I31" s="8" t="n">
        <x:v>0</x:v>
      </x:c>
      <x:c r="J31" s="8" t="n">
        <x:v>-100000</x:v>
      </x:c>
      <x:c r="K31" s="2" t="str">
        <x:v>debt</x:v>
      </x:c>
      <x:c r="L31" s="7" t="str">
        <x:v>{'sheet': 'CSV', 'row': 25, 'cells': {'account_code': 'A25', 'account_name': 'B25', 'period': 'C25', 'entity': 'D25', 'opening': 'E25', 'debit': 'F25', 'credit': 'G25', 'closing': 'H25'}, 'source_sha256': '47f77314f0ac0c334b5046a8dd8fecbda212108df7b8329f2f0c407af2a63bc8', 'source_name': '清禾出行_历史TB_合成示例.csv', 'source_id': 'adc75429-4b5c-40a3-8fcc-0abca4ab9990', 'part_index': 1}</x:v>
      </x:c>
    </x:row>
    <x:row r="32" ht="48" customHeight="1">
      <x:c r="C32" s="2" t="str">
        <x:v>4001</x:v>
      </x:c>
      <x:c r="D32" s="2" t="str">
        <x:v>实收资本</x:v>
      </x:c>
      <x:c r="E32" s="2" t="str">
        <x:v>2026-02</x:v>
      </x:c>
      <x:c r="F32" s="2" t="str">
        <x:v>清禾出行 · 合成示例</x:v>
      </x:c>
      <x:c r="G32" s="8" t="n">
        <x:v>-400000</x:v>
      </x:c>
      <x:c r="H32" s="8" t="n">
        <x:v>0</x:v>
      </x:c>
      <x:c r="I32" s="8" t="n">
        <x:v>0</x:v>
      </x:c>
      <x:c r="J32" s="8" t="n">
        <x:v>-400000</x:v>
      </x:c>
      <x:c r="K32" s="2" t="str">
        <x:v>share_capital</x:v>
      </x:c>
      <x:c r="L32" s="7" t="str">
        <x:v>{'sheet': 'CSV', 'row': 26, 'cells': {'account_code': 'A26', 'account_name': 'B26', 'period': 'C26', 'entity': 'D26', 'opening': 'E26', 'debit': 'F26', 'credit': 'G26', 'closing': 'H26'}, 'source_sha256': '47f77314f0ac0c334b5046a8dd8fecbda212108df7b8329f2f0c407af2a63bc8', 'source_name': '清禾出行_历史TB_合成示例.csv', 'source_id': 'adc75429-4b5c-40a3-8fcc-0abca4ab9990', 'part_index': 1}</x:v>
      </x:c>
    </x:row>
    <x:row r="33" ht="48" customHeight="1">
      <x:c r="C33" s="2" t="str">
        <x:v>4104</x:v>
      </x:c>
      <x:c r="D33" s="2" t="str">
        <x:v>未分配利润</x:v>
      </x:c>
      <x:c r="E33" s="2" t="str">
        <x:v>2026-02</x:v>
      </x:c>
      <x:c r="F33" s="2" t="str">
        <x:v>清禾出行 · 合成示例</x:v>
      </x:c>
      <x:c r="G33" s="8" t="n">
        <x:v>0</x:v>
      </x:c>
      <x:c r="H33" s="8" t="n">
        <x:v>0</x:v>
      </x:c>
      <x:c r="I33" s="8" t="n">
        <x:v>0</x:v>
      </x:c>
      <x:c r="J33" s="8" t="n">
        <x:v>0</x:v>
      </x:c>
      <x:c r="K33" s="2" t="str">
        <x:v>retained_earnings</x:v>
      </x:c>
      <x:c r="L33" s="7" t="str">
        <x:v>{'sheet': 'CSV', 'row': 27, 'cells': {'account_code': 'A27', 'account_name': 'B27', 'period': 'C27', 'entity': 'D27', 'opening': 'E27', 'debit': 'F27', 'credit': 'G27', 'closing': 'H27'}, 'source_sha256': '47f77314f0ac0c334b5046a8dd8fecbda212108df7b8329f2f0c407af2a63bc8', 'source_name': '清禾出行_历史TB_合成示例.csv', 'source_id': 'adc75429-4b5c-40a3-8fcc-0abca4ab9990', 'part_index': 1}</x:v>
      </x:c>
    </x:row>
    <x:row r="34" ht="48" customHeight="1">
      <x:c r="C34" s="2" t="str">
        <x:v>6001</x:v>
      </x:c>
      <x:c r="D34" s="2" t="str">
        <x:v>主营业务收入</x:v>
      </x:c>
      <x:c r="E34" s="2" t="str">
        <x:v>2026-02</x:v>
      </x:c>
      <x:c r="F34" s="2" t="str">
        <x:v>清禾出行 · 合成示例</x:v>
      </x:c>
      <x:c r="G34" s="8" t="n">
        <x:v>-500000</x:v>
      </x:c>
      <x:c r="H34" s="8" t="n">
        <x:v>0</x:v>
      </x:c>
      <x:c r="I34" s="8" t="n">
        <x:v>500000</x:v>
      </x:c>
      <x:c r="J34" s="8" t="n">
        <x:v>-1000000</x:v>
      </x:c>
      <x:c r="K34" s="2" t="str">
        <x:v>revenue</x:v>
      </x:c>
      <x:c r="L34" s="7" t="str">
        <x:v>{'sheet': 'CSV', 'row': 28, 'cells': {'account_code': 'A28', 'account_name': 'B28', 'period': 'C28', 'entity': 'D28', 'opening': 'E28', 'debit': 'F28', 'credit': 'G28', 'closing': 'H28'}, 'source_sha256': '47f77314f0ac0c334b5046a8dd8fecbda212108df7b8329f2f0c407af2a63bc8', 'source_name': '清禾出行_历史TB_合成示例.csv', 'source_id': 'adc75429-4b5c-40a3-8fcc-0abca4ab9990', 'part_index': 1}</x:v>
      </x:c>
    </x:row>
    <x:row r="35" ht="48" customHeight="1">
      <x:c r="C35" s="2" t="str">
        <x:v>6401</x:v>
      </x:c>
      <x:c r="D35" s="2" t="str">
        <x:v>主营业务成本</x:v>
      </x:c>
      <x:c r="E35" s="2" t="str">
        <x:v>2026-02</x:v>
      </x:c>
      <x:c r="F35" s="2" t="str">
        <x:v>清禾出行 · 合成示例</x:v>
      </x:c>
      <x:c r="G35" s="8" t="n">
        <x:v>300000</x:v>
      </x:c>
      <x:c r="H35" s="8" t="n">
        <x:v>300000</x:v>
      </x:c>
      <x:c r="I35" s="8" t="n">
        <x:v>0</x:v>
      </x:c>
      <x:c r="J35" s="8" t="n">
        <x:v>600000</x:v>
      </x:c>
      <x:c r="K35" s="2" t="str">
        <x:v>cogs</x:v>
      </x:c>
      <x:c r="L35" s="7" t="str">
        <x:v>{'sheet': 'CSV', 'row': 29, 'cells': {'account_code': 'A29', 'account_name': 'B29', 'period': 'C29', 'entity': 'D29', 'opening': 'E29', 'debit': 'F29', 'credit': 'G29', 'closing': 'H29'}, 'source_sha256': '47f77314f0ac0c334b5046a8dd8fecbda212108df7b8329f2f0c407af2a63bc8', 'source_name': '清禾出行_历史TB_合成示例.csv', 'source_id': 'adc75429-4b5c-40a3-8fcc-0abca4ab9990', 'part_index': 1}</x:v>
      </x:c>
    </x:row>
    <x:row r="36" ht="48" customHeight="1">
      <x:c r="C36" s="2" t="str">
        <x:v>6601</x:v>
      </x:c>
      <x:c r="D36" s="2" t="str">
        <x:v>销售费用</x:v>
      </x:c>
      <x:c r="E36" s="2" t="str">
        <x:v>2026-02</x:v>
      </x:c>
      <x:c r="F36" s="2" t="str">
        <x:v>清禾出行 · 合成示例</x:v>
      </x:c>
      <x:c r="G36" s="8" t="n">
        <x:v>25000</x:v>
      </x:c>
      <x:c r="H36" s="8" t="n">
        <x:v>25000</x:v>
      </x:c>
      <x:c r="I36" s="8" t="n">
        <x:v>0</x:v>
      </x:c>
      <x:c r="J36" s="8" t="n">
        <x:v>50000</x:v>
      </x:c>
      <x:c r="K36" s="2" t="str">
        <x:v>selling_expense</x:v>
      </x:c>
      <x:c r="L36" s="7" t="str">
        <x:v>{'sheet': 'CSV', 'row': 30, 'cells': {'account_code': 'A30', 'account_name': 'B30', 'period': 'C30', 'entity': 'D30', 'opening': 'E30', 'debit': 'F30', 'credit': 'G30', 'closing': 'H30'}, 'source_sha256': '47f77314f0ac0c334b5046a8dd8fecbda212108df7b8329f2f0c407af2a63bc8', 'source_name': '清禾出行_历史TB_合成示例.csv', 'source_id': 'adc75429-4b5c-40a3-8fcc-0abca4ab9990', 'part_index': 1}</x:v>
      </x:c>
    </x:row>
    <x:row r="37" ht="48" customHeight="1">
      <x:c r="C37" s="2" t="str">
        <x:v>6602</x:v>
      </x:c>
      <x:c r="D37" s="2" t="str">
        <x:v>管理费用</x:v>
      </x:c>
      <x:c r="E37" s="2" t="str">
        <x:v>2026-02</x:v>
      </x:c>
      <x:c r="F37" s="2" t="str">
        <x:v>清禾出行 · 合成示例</x:v>
      </x:c>
      <x:c r="G37" s="8" t="n">
        <x:v>25000</x:v>
      </x:c>
      <x:c r="H37" s="8" t="n">
        <x:v>25000</x:v>
      </x:c>
      <x:c r="I37" s="8" t="n">
        <x:v>0</x:v>
      </x:c>
      <x:c r="J37" s="8" t="n">
        <x:v>50000</x:v>
      </x:c>
      <x:c r="K37" s="2" t="str">
        <x:v>admin_expense</x:v>
      </x:c>
      <x:c r="L37" s="7" t="str">
        <x:v>{'sheet': 'CSV', 'row': 31, 'cells': {'account_code': 'A31', 'account_name': 'B31', 'period': 'C31', 'entity': 'D31', 'opening': 'E31', 'debit': 'F31', 'credit': 'G31', 'closing': 'H31'}, 'source_sha256': '47f77314f0ac0c334b5046a8dd8fecbda212108df7b8329f2f0c407af2a63bc8', 'source_name': '清禾出行_历史TB_合成示例.csv', 'source_id': 'adc75429-4b5c-40a3-8fcc-0abca4ab9990', 'part_index': 1}</x:v>
      </x:c>
    </x:row>
    <x:row r="38" ht="48" customHeight="1">
      <x:c r="C38" s="2" t="str">
        <x:v>6603</x:v>
      </x:c>
      <x:c r="D38" s="2" t="str">
        <x:v>研发费用</x:v>
      </x:c>
      <x:c r="E38" s="2" t="str">
        <x:v>2026-02</x:v>
      </x:c>
      <x:c r="F38" s="2" t="str">
        <x:v>清禾出行 · 合成示例</x:v>
      </x:c>
      <x:c r="G38" s="8" t="n">
        <x:v>0</x:v>
      </x:c>
      <x:c r="H38" s="8" t="n">
        <x:v>0</x:v>
      </x:c>
      <x:c r="I38" s="8" t="n">
        <x:v>0</x:v>
      </x:c>
      <x:c r="J38" s="8" t="n">
        <x:v>0</x:v>
      </x:c>
      <x:c r="K38" s="2" t="str">
        <x:v>research_expense</x:v>
      </x:c>
      <x:c r="L38" s="7" t="str">
        <x:v>{'sheet': 'CSV', 'row': 32, 'cells': {'account_code': 'A32', 'account_name': 'B32', 'period': 'C32', 'entity': 'D32', 'opening': 'E32', 'debit': 'F32', 'credit': 'G32', 'closing': 'H32'}, 'source_sha256': '47f77314f0ac0c334b5046a8dd8fecbda212108df7b8329f2f0c407af2a63bc8', 'source_name': '清禾出行_历史TB_合成示例.csv', 'source_id': 'adc75429-4b5c-40a3-8fcc-0abca4ab9990', 'part_index': 1}</x:v>
      </x:c>
    </x:row>
    <x:row r="39" ht="48" customHeight="1">
      <x:c r="C39" s="2" t="str">
        <x:v>6604</x:v>
      </x:c>
      <x:c r="D39" s="2" t="str">
        <x:v>折旧费用</x:v>
      </x:c>
      <x:c r="E39" s="2" t="str">
        <x:v>2026-02</x:v>
      </x:c>
      <x:c r="F39" s="2" t="str">
        <x:v>清禾出行 · 合成示例</x:v>
      </x:c>
      <x:c r="G39" s="8" t="n">
        <x:v>10000</x:v>
      </x:c>
      <x:c r="H39" s="8" t="n">
        <x:v>10000</x:v>
      </x:c>
      <x:c r="I39" s="8" t="n">
        <x:v>0</x:v>
      </x:c>
      <x:c r="J39" s="8" t="n">
        <x:v>20000</x:v>
      </x:c>
      <x:c r="K39" s="2" t="str">
        <x:v>depreciation</x:v>
      </x:c>
      <x:c r="L39" s="7" t="str">
        <x:v>{'sheet': 'CSV', 'row': 33, 'cells': {'account_code': 'A33', 'account_name': 'B33', 'period': 'C33', 'entity': 'D33', 'opening': 'E33', 'debit': 'F33', 'credit': 'G33', 'closing': 'H33'}, 'source_sha256': '47f77314f0ac0c334b5046a8dd8fecbda212108df7b8329f2f0c407af2a63bc8', 'source_name': '清禾出行_历史TB_合成示例.csv', 'source_id': 'adc75429-4b5c-40a3-8fcc-0abca4ab9990', 'part_index': 1}</x:v>
      </x:c>
    </x:row>
    <x:row r="40" ht="48" customHeight="1">
      <x:c r="C40" s="2" t="str">
        <x:v>6605</x:v>
      </x:c>
      <x:c r="D40" s="2" t="str">
        <x:v>利息费用</x:v>
      </x:c>
      <x:c r="E40" s="2" t="str">
        <x:v>2026-02</x:v>
      </x:c>
      <x:c r="F40" s="2" t="str">
        <x:v>清禾出行 · 合成示例</x:v>
      </x:c>
      <x:c r="G40" s="8" t="n">
        <x:v>5000</x:v>
      </x:c>
      <x:c r="H40" s="8" t="n">
        <x:v>5000</x:v>
      </x:c>
      <x:c r="I40" s="8" t="n">
        <x:v>0</x:v>
      </x:c>
      <x:c r="J40" s="8" t="n">
        <x:v>10000</x:v>
      </x:c>
      <x:c r="K40" s="2" t="str">
        <x:v>interest_expense</x:v>
      </x:c>
      <x:c r="L40" s="7" t="str">
        <x:v>{'sheet': 'CSV', 'row': 34, 'cells': {'account_code': 'A34', 'account_name': 'B34', 'period': 'C34', 'entity': 'D34', 'opening': 'E34', 'debit': 'F34', 'credit': 'G34', 'closing': 'H34'}, 'source_sha256': '47f77314f0ac0c334b5046a8dd8fecbda212108df7b8329f2f0c407af2a63bc8', 'source_name': '清禾出行_历史TB_合成示例.csv', 'source_id': 'adc75429-4b5c-40a3-8fcc-0abca4ab9990', 'part_index': 1}</x:v>
      </x:c>
    </x:row>
    <x:row r="41" ht="48" customHeight="1">
      <x:c r="C41" s="2" t="str">
        <x:v>6801</x:v>
      </x:c>
      <x:c r="D41" s="2" t="str">
        <x:v>所得税费用</x:v>
      </x:c>
      <x:c r="E41" s="2" t="str">
        <x:v>2026-02</x:v>
      </x:c>
      <x:c r="F41" s="2" t="str">
        <x:v>清禾出行 · 合成示例</x:v>
      </x:c>
      <x:c r="G41" s="8" t="n">
        <x:v>33750</x:v>
      </x:c>
      <x:c r="H41" s="8" t="n">
        <x:v>33750</x:v>
      </x:c>
      <x:c r="I41" s="8" t="n">
        <x:v>0</x:v>
      </x:c>
      <x:c r="J41" s="8" t="n">
        <x:v>67500</x:v>
      </x:c>
      <x:c r="K41" s="2" t="str">
        <x:v>tax_expense</x:v>
      </x:c>
      <x:c r="L41" s="7" t="str">
        <x:v>{'sheet': 'CSV', 'row': 35, 'cells': {'account_code': 'A35', 'account_name': 'B35', 'period': 'C35', 'entity': 'D35', 'opening': 'E35', 'debit': 'F35', 'credit': 'G35', 'closing': 'H35'}, 'source_sha256': '47f77314f0ac0c334b5046a8dd8fecbda212108df7b8329f2f0c407af2a63bc8', 'source_name': '清禾出行_历史TB_合成示例.csv', 'source_id': 'adc75429-4b5c-40a3-8fcc-0abca4ab9990', 'part_index': 1}</x:v>
      </x:c>
    </x:row>
    <x:row r="42" ht="48" customHeight="1">
      <x:c r="C42" s="2" t="str">
        <x:v>1002</x:v>
      </x:c>
      <x:c r="D42" s="2" t="str">
        <x:v>银行存款</x:v>
      </x:c>
      <x:c r="E42" s="2" t="str">
        <x:v>2026-03</x:v>
      </x:c>
      <x:c r="F42" s="2" t="str">
        <x:v>清禾出行 · 合成示例</x:v>
      </x:c>
      <x:c r="G42" s="8" t="n">
        <x:v>222500</x:v>
      </x:c>
      <x:c r="H42" s="8" t="n">
        <x:v>111250</x:v>
      </x:c>
      <x:c r="I42" s="8" t="n">
        <x:v>0</x:v>
      </x:c>
      <x:c r="J42" s="8" t="n">
        <x:v>333750</x:v>
      </x:c>
      <x:c r="K42" s="2" t="str">
        <x:v>cash</x:v>
      </x:c>
      <x:c r="L42" s="7" t="str">
        <x:v>{'sheet': 'CSV', 'row': 36, 'cells': {'account_code': 'A36', 'account_name': 'B36', 'period': 'C36', 'entity': 'D36', 'opening': 'E36', 'debit': 'F36', 'credit': 'G36', 'closing': 'H36'}, 'source_sha256': '47f77314f0ac0c334b5046a8dd8fecbda212108df7b8329f2f0c407af2a63bc8', 'source_name': '清禾出行_历史TB_合成示例.csv', 'source_id': 'adc75429-4b5c-40a3-8fcc-0abca4ab9990', 'part_index': 1}</x:v>
      </x:c>
    </x:row>
    <x:row r="43" ht="48" customHeight="1">
      <x:c r="C43" s="2" t="str">
        <x:v>1122</x:v>
      </x:c>
      <x:c r="D43" s="2" t="str">
        <x:v>应收账款</x:v>
      </x:c>
      <x:c r="E43" s="2" t="str">
        <x:v>2026-03</x:v>
      </x:c>
      <x:c r="F43" s="2" t="str">
        <x:v>清禾出行 · 合成示例</x:v>
      </x:c>
      <x:c r="G43" s="8" t="n">
        <x:v>100000</x:v>
      </x:c>
      <x:c r="H43" s="8" t="n">
        <x:v>0</x:v>
      </x:c>
      <x:c r="I43" s="8" t="n">
        <x:v>0</x:v>
      </x:c>
      <x:c r="J43" s="8" t="n">
        <x:v>100000</x:v>
      </x:c>
      <x:c r="K43" s="2" t="str">
        <x:v>receivables</x:v>
      </x:c>
      <x:c r="L43" s="7" t="str">
        <x:v>{'sheet': 'CSV', 'row': 37, 'cells': {'account_code': 'A37', 'account_name': 'B37', 'period': 'C37', 'entity': 'D37', 'opening': 'E37', 'debit': 'F37', 'credit': 'G37', 'closing': 'H37'}, 'source_sha256': '47f77314f0ac0c334b5046a8dd8fecbda212108df7b8329f2f0c407af2a63bc8', 'source_name': '清禾出行_历史TB_合成示例.csv', 'source_id': 'adc75429-4b5c-40a3-8fcc-0abca4ab9990', 'part_index': 1}</x:v>
      </x:c>
    </x:row>
    <x:row r="44" ht="48" customHeight="1">
      <x:c r="C44" s="2" t="str">
        <x:v>1405</x:v>
      </x:c>
      <x:c r="D44" s="2" t="str">
        <x:v>库存商品</x:v>
      </x:c>
      <x:c r="E44" s="2" t="str">
        <x:v>2026-03</x:v>
      </x:c>
      <x:c r="F44" s="2" t="str">
        <x:v>清禾出行 · 合成示例</x:v>
      </x:c>
      <x:c r="G44" s="8" t="n">
        <x:v>100000</x:v>
      </x:c>
      <x:c r="H44" s="8" t="n">
        <x:v>0</x:v>
      </x:c>
      <x:c r="I44" s="8" t="n">
        <x:v>0</x:v>
      </x:c>
      <x:c r="J44" s="8" t="n">
        <x:v>100000</x:v>
      </x:c>
      <x:c r="K44" s="2" t="str">
        <x:v>inventory</x:v>
      </x:c>
      <x:c r="L44" s="7" t="str">
        <x:v>{'sheet': 'CSV', 'row': 38, 'cells': {'account_code': 'A38', 'account_name': 'B38', 'period': 'C38', 'entity': 'D38', 'opening': 'E38', 'debit': 'F38', 'credit': 'G38', 'closing': 'H38'}, 'source_sha256': '47f77314f0ac0c334b5046a8dd8fecbda212108df7b8329f2f0c407af2a63bc8', 'source_name': '清禾出行_历史TB_合成示例.csv', 'source_id': 'adc75429-4b5c-40a3-8fcc-0abca4ab9990', 'part_index': 1}</x:v>
      </x:c>
    </x:row>
    <x:row r="45" ht="48" customHeight="1">
      <x:c r="C45" s="2" t="str">
        <x:v>1601</x:v>
      </x:c>
      <x:c r="D45" s="2" t="str">
        <x:v>固定资产</x:v>
      </x:c>
      <x:c r="E45" s="2" t="str">
        <x:v>2026-03</x:v>
      </x:c>
      <x:c r="F45" s="2" t="str">
        <x:v>清禾出行 · 合成示例</x:v>
      </x:c>
      <x:c r="G45" s="8" t="n">
        <x:v>400000</x:v>
      </x:c>
      <x:c r="H45" s="8" t="n">
        <x:v>0</x:v>
      </x:c>
      <x:c r="I45" s="8" t="n">
        <x:v>0</x:v>
      </x:c>
      <x:c r="J45" s="8" t="n">
        <x:v>400000</x:v>
      </x:c>
      <x:c r="K45" s="2" t="str">
        <x:v>ppe</x:v>
      </x:c>
      <x:c r="L45" s="7" t="str">
        <x:v>{'sheet': 'CSV', 'row': 39, 'cells': {'account_code': 'A39', 'account_name': 'B39', 'period': 'C39', 'entity': 'D39', 'opening': 'E39', 'debit': 'F39', 'credit': 'G39', 'closing': 'H39'}, 'source_sha256': '47f77314f0ac0c334b5046a8dd8fecbda212108df7b8329f2f0c407af2a63bc8', 'source_name': '清禾出行_历史TB_合成示例.csv', 'source_id': 'adc75429-4b5c-40a3-8fcc-0abca4ab9990', 'part_index': 1}</x:v>
      </x:c>
    </x:row>
    <x:row r="46" ht="48" customHeight="1">
      <x:c r="C46" s="2" t="str">
        <x:v>1602</x:v>
      </x:c>
      <x:c r="D46" s="2" t="str">
        <x:v>累计折旧</x:v>
      </x:c>
      <x:c r="E46" s="2" t="str">
        <x:v>2026-03</x:v>
      </x:c>
      <x:c r="F46" s="2" t="str">
        <x:v>清禾出行 · 合成示例</x:v>
      </x:c>
      <x:c r="G46" s="8" t="n">
        <x:v>-20000</x:v>
      </x:c>
      <x:c r="H46" s="8" t="n">
        <x:v>0</x:v>
      </x:c>
      <x:c r="I46" s="8" t="n">
        <x:v>10000</x:v>
      </x:c>
      <x:c r="J46" s="8" t="n">
        <x:v>-30000</x:v>
      </x:c>
      <x:c r="K46" s="2" t="str">
        <x:v>accumulated_depreciation</x:v>
      </x:c>
      <x:c r="L46" s="7" t="str">
        <x:v>{'sheet': 'CSV', 'row': 40, 'cells': {'account_code': 'A40', 'account_name': 'B40', 'period': 'C40', 'entity': 'D40', 'opening': 'E40', 'debit': 'F40', 'credit': 'G40', 'closing': 'H40'}, 'source_sha256': '47f77314f0ac0c334b5046a8dd8fecbda212108df7b8329f2f0c407af2a63bc8', 'source_name': '清禾出行_历史TB_合成示例.csv', 'source_id': 'adc75429-4b5c-40a3-8fcc-0abca4ab9990', 'part_index': 1}</x:v>
      </x:c>
    </x:row>
    <x:row r="47" ht="48" customHeight="1">
      <x:c r="C47" s="2" t="str">
        <x:v>2202</x:v>
      </x:c>
      <x:c r="D47" s="2" t="str">
        <x:v>应付账款</x:v>
      </x:c>
      <x:c r="E47" s="2" t="str">
        <x:v>2026-03</x:v>
      </x:c>
      <x:c r="F47" s="2" t="str">
        <x:v>清禾出行 · 合成示例</x:v>
      </x:c>
      <x:c r="G47" s="8" t="n">
        <x:v>-100000</x:v>
      </x:c>
      <x:c r="H47" s="8" t="n">
        <x:v>0</x:v>
      </x:c>
      <x:c r="I47" s="8" t="n">
        <x:v>0</x:v>
      </x:c>
      <x:c r="J47" s="8" t="n">
        <x:v>-100000</x:v>
      </x:c>
      <x:c r="K47" s="2" t="str">
        <x:v>payables</x:v>
      </x:c>
      <x:c r="L47" s="7" t="str">
        <x:v>{'sheet': 'CSV', 'row': 41, 'cells': {'account_code': 'A41', 'account_name': 'B41', 'period': 'C41', 'entity': 'D41', 'opening': 'E41', 'debit': 'F41', 'credit': 'G41', 'closing': 'H41'}, 'source_sha256': '47f77314f0ac0c334b5046a8dd8fecbda212108df7b8329f2f0c407af2a63bc8', 'source_name': '清禾出行_历史TB_合成示例.csv', 'source_id': 'adc75429-4b5c-40a3-8fcc-0abca4ab9990', 'part_index': 1}</x:v>
      </x:c>
    </x:row>
    <x:row r="48" ht="48" customHeight="1">
      <x:c r="C48" s="2" t="str">
        <x:v>2501</x:v>
      </x:c>
      <x:c r="D48" s="2" t="str">
        <x:v>长期借款</x:v>
      </x:c>
      <x:c r="E48" s="2" t="str">
        <x:v>2026-03</x:v>
      </x:c>
      <x:c r="F48" s="2" t="str">
        <x:v>清禾出行 · 合成示例</x:v>
      </x:c>
      <x:c r="G48" s="8" t="n">
        <x:v>-100000</x:v>
      </x:c>
      <x:c r="H48" s="8" t="n">
        <x:v>0</x:v>
      </x:c>
      <x:c r="I48" s="8" t="n">
        <x:v>0</x:v>
      </x:c>
      <x:c r="J48" s="8" t="n">
        <x:v>-100000</x:v>
      </x:c>
      <x:c r="K48" s="2" t="str">
        <x:v>debt</x:v>
      </x:c>
      <x:c r="L48" s="7" t="str">
        <x:v>{'sheet': 'CSV', 'row': 42, 'cells': {'account_code': 'A42', 'account_name': 'B42', 'period': 'C42', 'entity': 'D42', 'opening': 'E42', 'debit': 'F42', 'credit': 'G42', 'closing': 'H42'}, 'source_sha256': '47f77314f0ac0c334b5046a8dd8fecbda212108df7b8329f2f0c407af2a63bc8', 'source_name': '清禾出行_历史TB_合成示例.csv', 'source_id': 'adc75429-4b5c-40a3-8fcc-0abca4ab9990', 'part_index': 1}</x:v>
      </x:c>
    </x:row>
    <x:row r="49" ht="48" customHeight="1">
      <x:c r="C49" s="2" t="str">
        <x:v>4001</x:v>
      </x:c>
      <x:c r="D49" s="2" t="str">
        <x:v>实收资本</x:v>
      </x:c>
      <x:c r="E49" s="2" t="str">
        <x:v>2026-03</x:v>
      </x:c>
      <x:c r="F49" s="2" t="str">
        <x:v>清禾出行 · 合成示例</x:v>
      </x:c>
      <x:c r="G49" s="8" t="n">
        <x:v>-400000</x:v>
      </x:c>
      <x:c r="H49" s="8" t="n">
        <x:v>0</x:v>
      </x:c>
      <x:c r="I49" s="8" t="n">
        <x:v>0</x:v>
      </x:c>
      <x:c r="J49" s="8" t="n">
        <x:v>-400000</x:v>
      </x:c>
      <x:c r="K49" s="2" t="str">
        <x:v>share_capital</x:v>
      </x:c>
      <x:c r="L49" s="7" t="str">
        <x:v>{'sheet': 'CSV', 'row': 43, 'cells': {'account_code': 'A43', 'account_name': 'B43', 'period': 'C43', 'entity': 'D43', 'opening': 'E43', 'debit': 'F43', 'credit': 'G43', 'closing': 'H43'}, 'source_sha256': '47f77314f0ac0c334b5046a8dd8fecbda212108df7b8329f2f0c407af2a63bc8', 'source_name': '清禾出行_历史TB_合成示例.csv', 'source_id': 'adc75429-4b5c-40a3-8fcc-0abca4ab9990', 'part_index': 1}</x:v>
      </x:c>
    </x:row>
    <x:row r="50" ht="48" customHeight="1">
      <x:c r="C50" s="2" t="str">
        <x:v>4104</x:v>
      </x:c>
      <x:c r="D50" s="2" t="str">
        <x:v>未分配利润</x:v>
      </x:c>
      <x:c r="E50" s="2" t="str">
        <x:v>2026-03</x:v>
      </x:c>
      <x:c r="F50" s="2" t="str">
        <x:v>清禾出行 · 合成示例</x:v>
      </x:c>
      <x:c r="G50" s="8" t="n">
        <x:v>0</x:v>
      </x:c>
      <x:c r="H50" s="8" t="n">
        <x:v>0</x:v>
      </x:c>
      <x:c r="I50" s="8" t="n">
        <x:v>0</x:v>
      </x:c>
      <x:c r="J50" s="8" t="n">
        <x:v>0</x:v>
      </x:c>
      <x:c r="K50" s="2" t="str">
        <x:v>retained_earnings</x:v>
      </x:c>
      <x:c r="L50" s="7" t="str">
        <x:v>{'sheet': 'CSV', 'row': 44, 'cells': {'account_code': 'A44', 'account_name': 'B44', 'period': 'C44', 'entity': 'D44', 'opening': 'E44', 'debit': 'F44', 'credit': 'G44', 'closing': 'H44'}, 'source_sha256': '47f77314f0ac0c334b5046a8dd8fecbda212108df7b8329f2f0c407af2a63bc8', 'source_name': '清禾出行_历史TB_合成示例.csv', 'source_id': 'adc75429-4b5c-40a3-8fcc-0abca4ab9990', 'part_index': 1}</x:v>
      </x:c>
    </x:row>
    <x:row r="51" ht="48" customHeight="1">
      <x:c r="C51" s="2" t="str">
        <x:v>6001</x:v>
      </x:c>
      <x:c r="D51" s="2" t="str">
        <x:v>主营业务收入</x:v>
      </x:c>
      <x:c r="E51" s="2" t="str">
        <x:v>2026-03</x:v>
      </x:c>
      <x:c r="F51" s="2" t="str">
        <x:v>清禾出行 · 合成示例</x:v>
      </x:c>
      <x:c r="G51" s="8" t="n">
        <x:v>-1000000</x:v>
      </x:c>
      <x:c r="H51" s="8" t="n">
        <x:v>0</x:v>
      </x:c>
      <x:c r="I51" s="8" t="n">
        <x:v>500000</x:v>
      </x:c>
      <x:c r="J51" s="8" t="n">
        <x:v>-1500000</x:v>
      </x:c>
      <x:c r="K51" s="2" t="str">
        <x:v>revenue</x:v>
      </x:c>
      <x:c r="L51" s="7" t="str">
        <x:v>{'sheet': 'CSV', 'row': 45, 'cells': {'account_code': 'A45', 'account_name': 'B45', 'period': 'C45', 'entity': 'D45', 'opening': 'E45', 'debit': 'F45', 'credit': 'G45', 'closing': 'H45'}, 'source_sha256': '47f77314f0ac0c334b5046a8dd8fecbda212108df7b8329f2f0c407af2a63bc8', 'source_name': '清禾出行_历史TB_合成示例.csv', 'source_id': 'adc75429-4b5c-40a3-8fcc-0abca4ab9990', 'part_index': 1}</x:v>
      </x:c>
    </x:row>
    <x:row r="52" ht="48" customHeight="1">
      <x:c r="C52" s="2" t="str">
        <x:v>6401</x:v>
      </x:c>
      <x:c r="D52" s="2" t="str">
        <x:v>主营业务成本</x:v>
      </x:c>
      <x:c r="E52" s="2" t="str">
        <x:v>2026-03</x:v>
      </x:c>
      <x:c r="F52" s="2" t="str">
        <x:v>清禾出行 · 合成示例</x:v>
      </x:c>
      <x:c r="G52" s="8" t="n">
        <x:v>600000</x:v>
      </x:c>
      <x:c r="H52" s="8" t="n">
        <x:v>300000</x:v>
      </x:c>
      <x:c r="I52" s="8" t="n">
        <x:v>0</x:v>
      </x:c>
      <x:c r="J52" s="8" t="n">
        <x:v>900000</x:v>
      </x:c>
      <x:c r="K52" s="2" t="str">
        <x:v>cogs</x:v>
      </x:c>
      <x:c r="L52" s="7" t="str">
        <x:v>{'sheet': 'CSV', 'row': 46, 'cells': {'account_code': 'A46', 'account_name': 'B46', 'period': 'C46', 'entity': 'D46', 'opening': 'E46', 'debit': 'F46', 'credit': 'G46', 'closing': 'H46'}, 'source_sha256': '47f77314f0ac0c334b5046a8dd8fecbda212108df7b8329f2f0c407af2a63bc8', 'source_name': '清禾出行_历史TB_合成示例.csv', 'source_id': 'adc75429-4b5c-40a3-8fcc-0abca4ab9990', 'part_index': 1}</x:v>
      </x:c>
    </x:row>
    <x:row r="53" ht="48" customHeight="1">
      <x:c r="C53" s="2" t="str">
        <x:v>6601</x:v>
      </x:c>
      <x:c r="D53" s="2" t="str">
        <x:v>销售费用</x:v>
      </x:c>
      <x:c r="E53" s="2" t="str">
        <x:v>2026-03</x:v>
      </x:c>
      <x:c r="F53" s="2" t="str">
        <x:v>清禾出行 · 合成示例</x:v>
      </x:c>
      <x:c r="G53" s="8" t="n">
        <x:v>50000</x:v>
      </x:c>
      <x:c r="H53" s="8" t="n">
        <x:v>25000</x:v>
      </x:c>
      <x:c r="I53" s="8" t="n">
        <x:v>0</x:v>
      </x:c>
      <x:c r="J53" s="8" t="n">
        <x:v>75000</x:v>
      </x:c>
      <x:c r="K53" s="2" t="str">
        <x:v>selling_expense</x:v>
      </x:c>
      <x:c r="L53" s="7" t="str">
        <x:v>{'sheet': 'CSV', 'row': 47, 'cells': {'account_code': 'A47', 'account_name': 'B47', 'period': 'C47', 'entity': 'D47', 'opening': 'E47', 'debit': 'F47', 'credit': 'G47', 'closing': 'H47'}, 'source_sha256': '47f77314f0ac0c334b5046a8dd8fecbda212108df7b8329f2f0c407af2a63bc8', 'source_name': '清禾出行_历史TB_合成示例.csv', 'source_id': 'adc75429-4b5c-40a3-8fcc-0abca4ab9990', 'part_index': 1}</x:v>
      </x:c>
    </x:row>
    <x:row r="54" ht="48" customHeight="1">
      <x:c r="C54" s="2" t="str">
        <x:v>6602</x:v>
      </x:c>
      <x:c r="D54" s="2" t="str">
        <x:v>管理费用</x:v>
      </x:c>
      <x:c r="E54" s="2" t="str">
        <x:v>2026-03</x:v>
      </x:c>
      <x:c r="F54" s="2" t="str">
        <x:v>清禾出行 · 合成示例</x:v>
      </x:c>
      <x:c r="G54" s="8" t="n">
        <x:v>50000</x:v>
      </x:c>
      <x:c r="H54" s="8" t="n">
        <x:v>25000</x:v>
      </x:c>
      <x:c r="I54" s="8" t="n">
        <x:v>0</x:v>
      </x:c>
      <x:c r="J54" s="8" t="n">
        <x:v>75000</x:v>
      </x:c>
      <x:c r="K54" s="2" t="str">
        <x:v>admin_expense</x:v>
      </x:c>
      <x:c r="L54" s="7" t="str">
        <x:v>{'sheet': 'CSV', 'row': 48, 'cells': {'account_code': 'A48', 'account_name': 'B48', 'period': 'C48', 'entity': 'D48', 'opening': 'E48', 'debit': 'F48', 'credit': 'G48', 'closing': 'H48'}, 'source_sha256': '47f77314f0ac0c334b5046a8dd8fecbda212108df7b8329f2f0c407af2a63bc8', 'source_name': '清禾出行_历史TB_合成示例.csv', 'source_id': 'adc75429-4b5c-40a3-8fcc-0abca4ab9990', 'part_index': 1}</x:v>
      </x:c>
    </x:row>
    <x:row r="55" ht="48" customHeight="1">
      <x:c r="C55" s="2" t="str">
        <x:v>6603</x:v>
      </x:c>
      <x:c r="D55" s="2" t="str">
        <x:v>研发费用</x:v>
      </x:c>
      <x:c r="E55" s="2" t="str">
        <x:v>2026-03</x:v>
      </x:c>
      <x:c r="F55" s="2" t="str">
        <x:v>清禾出行 · 合成示例</x:v>
      </x:c>
      <x:c r="G55" s="8" t="n">
        <x:v>0</x:v>
      </x:c>
      <x:c r="H55" s="8" t="n">
        <x:v>0</x:v>
      </x:c>
      <x:c r="I55" s="8" t="n">
        <x:v>0</x:v>
      </x:c>
      <x:c r="J55" s="8" t="n">
        <x:v>0</x:v>
      </x:c>
      <x:c r="K55" s="2" t="str">
        <x:v>research_expense</x:v>
      </x:c>
      <x:c r="L55" s="7" t="str">
        <x:v>{'sheet': 'CSV', 'row': 49, 'cells': {'account_code': 'A49', 'account_name': 'B49', 'period': 'C49', 'entity': 'D49', 'opening': 'E49', 'debit': 'F49', 'credit': 'G49', 'closing': 'H49'}, 'source_sha256': '47f77314f0ac0c334b5046a8dd8fecbda212108df7b8329f2f0c407af2a63bc8', 'source_name': '清禾出行_历史TB_合成示例.csv', 'source_id': 'adc75429-4b5c-40a3-8fcc-0abca4ab9990', 'part_index': 1}</x:v>
      </x:c>
    </x:row>
    <x:row r="56" ht="48" customHeight="1">
      <x:c r="C56" s="2" t="str">
        <x:v>6604</x:v>
      </x:c>
      <x:c r="D56" s="2" t="str">
        <x:v>折旧费用</x:v>
      </x:c>
      <x:c r="E56" s="2" t="str">
        <x:v>2026-03</x:v>
      </x:c>
      <x:c r="F56" s="2" t="str">
        <x:v>清禾出行 · 合成示例</x:v>
      </x:c>
      <x:c r="G56" s="8" t="n">
        <x:v>20000</x:v>
      </x:c>
      <x:c r="H56" s="8" t="n">
        <x:v>10000</x:v>
      </x:c>
      <x:c r="I56" s="8" t="n">
        <x:v>0</x:v>
      </x:c>
      <x:c r="J56" s="8" t="n">
        <x:v>30000</x:v>
      </x:c>
      <x:c r="K56" s="2" t="str">
        <x:v>depreciation</x:v>
      </x:c>
      <x:c r="L56" s="7" t="str">
        <x:v>{'sheet': 'CSV', 'row': 50, 'cells': {'account_code': 'A50', 'account_name': 'B50', 'period': 'C50', 'entity': 'D50', 'opening': 'E50', 'debit': 'F50', 'credit': 'G50', 'closing': 'H50'}, 'source_sha256': '47f77314f0ac0c334b5046a8dd8fecbda212108df7b8329f2f0c407af2a63bc8', 'source_name': '清禾出行_历史TB_合成示例.csv', 'source_id': 'adc75429-4b5c-40a3-8fcc-0abca4ab9990', 'part_index': 1}</x:v>
      </x:c>
    </x:row>
    <x:row r="57" ht="48" customHeight="1">
      <x:c r="C57" s="2" t="str">
        <x:v>6605</x:v>
      </x:c>
      <x:c r="D57" s="2" t="str">
        <x:v>利息费用</x:v>
      </x:c>
      <x:c r="E57" s="2" t="str">
        <x:v>2026-03</x:v>
      </x:c>
      <x:c r="F57" s="2" t="str">
        <x:v>清禾出行 · 合成示例</x:v>
      </x:c>
      <x:c r="G57" s="8" t="n">
        <x:v>10000</x:v>
      </x:c>
      <x:c r="H57" s="8" t="n">
        <x:v>5000</x:v>
      </x:c>
      <x:c r="I57" s="8" t="n">
        <x:v>0</x:v>
      </x:c>
      <x:c r="J57" s="8" t="n">
        <x:v>15000</x:v>
      </x:c>
      <x:c r="K57" s="2" t="str">
        <x:v>interest_expense</x:v>
      </x:c>
      <x:c r="L57" s="7" t="str">
        <x:v>{'sheet': 'CSV', 'row': 51, 'cells': {'account_code': 'A51', 'account_name': 'B51', 'period': 'C51', 'entity': 'D51', 'opening': 'E51', 'debit': 'F51', 'credit': 'G51', 'closing': 'H51'}, 'source_sha256': '47f77314f0ac0c334b5046a8dd8fecbda212108df7b8329f2f0c407af2a63bc8', 'source_name': '清禾出行_历史TB_合成示例.csv', 'source_id': 'adc75429-4b5c-40a3-8fcc-0abca4ab9990', 'part_index': 1}</x:v>
      </x:c>
    </x:row>
    <x:row r="58" ht="48" customHeight="1">
      <x:c r="C58" s="2" t="str">
        <x:v>6801</x:v>
      </x:c>
      <x:c r="D58" s="2" t="str">
        <x:v>所得税费用</x:v>
      </x:c>
      <x:c r="E58" s="2" t="str">
        <x:v>2026-03</x:v>
      </x:c>
      <x:c r="F58" s="2" t="str">
        <x:v>清禾出行 · 合成示例</x:v>
      </x:c>
      <x:c r="G58" s="8" t="n">
        <x:v>67500</x:v>
      </x:c>
      <x:c r="H58" s="8" t="n">
        <x:v>33750</x:v>
      </x:c>
      <x:c r="I58" s="8" t="n">
        <x:v>0</x:v>
      </x:c>
      <x:c r="J58" s="8" t="n">
        <x:v>101250</x:v>
      </x:c>
      <x:c r="K58" s="2" t="str">
        <x:v>tax_expense</x:v>
      </x:c>
      <x:c r="L58" s="7" t="str">
        <x:v>{'sheet': 'CSV', 'row': 52, 'cells': {'account_code': 'A52', 'account_name': 'B52', 'period': 'C52', 'entity': 'D52', 'opening': 'E52', 'debit': 'F52', 'credit': 'G52', 'closing': 'H52'}, 'source_sha256': '47f77314f0ac0c334b5046a8dd8fecbda212108df7b8329f2f0c407af2a63bc8', 'source_name': '清禾出行_历史TB_合成示例.csv', 'source_id': 'adc75429-4b5c-40a3-8fcc-0abca4ab9990', 'part_index': 1}</x:v>
      </x:c>
    </x:row>
    <x:row r="59" ht="48" customHeight="1">
      <x:c r="C59" s="2"/>
      <x:c r="D59" s="2"/>
      <x:c r="E59" s="2"/>
      <x:c r="F59" s="2"/>
      <x:c r="G59" s="8"/>
      <x:c r="H59" s="8"/>
      <x:c r="I59" s="8"/>
      <x:c r="J59" s="8"/>
      <x:c r="K59" s="2"/>
      <x:c r="L59" s="7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48" hidden="0" customWidth="1"/>
    <x:col min="5" max="5" width="15" hidden="0" customWidth="1"/>
    <x:col min="6" max="6" width="76" hidden="0" customWidth="1"/>
    <x:col min="7" max="7" width="15" hidden="0" customWidth="1"/>
    <x:col min="8" max="8" width="15" hidden="0" customWidth="1"/>
  </x:cols>
  <x:sheetData>
    <x:row r="1" ht="22" customHeight="1">
      <x:c r="C1" s="2"/>
      <x:c r="D1" s="2"/>
      <x:c r="E1" s="2"/>
      <x:c r="F1" s="2"/>
      <x:c r="G1" s="2"/>
      <x:c r="H1" s="2"/>
    </x:row>
    <x:row r="2" ht="31" customHeight="1">
      <x:c r="C2" s="4" t="str">
        <x:v>Source Register</x:v>
      </x:c>
      <x:c r="D2" s="4"/>
      <x:c r="E2" s="4"/>
      <x:c r="F2" s="4"/>
      <x:c r="G2" s="4"/>
      <x:c r="H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</x:row>
    <x:row r="4" ht="22" customHeight="1">
      <x:c r="C4" s="2"/>
      <x:c r="D4" s="2"/>
      <x:c r="E4" s="2"/>
      <x:c r="F4" s="2"/>
      <x:c r="G4" s="2"/>
      <x:c r="H4" s="2"/>
    </x:row>
    <x:row r="5" ht="22" customHeight="1">
      <x:c r="C5" s="2"/>
      <x:c r="D5" s="2"/>
      <x:c r="E5" s="2"/>
      <x:c r="F5" s="2"/>
      <x:c r="G5" s="2"/>
      <x:c r="H5" s="2"/>
    </x:row>
    <x:row r="6" ht="22" customHeight="1">
      <x:c r="C6" s="2"/>
      <x:c r="D6" s="2"/>
      <x:c r="E6" s="2"/>
      <x:c r="F6" s="2"/>
      <x:c r="G6" s="2"/>
      <x:c r="H6" s="2"/>
    </x:row>
    <x:row r="7" ht="32" customHeight="1">
      <x:c r="C7" s="24" t="str">
        <x:v>Source ID</x:v>
      </x:c>
      <x:c r="D7" s="24" t="str">
        <x:v>Name</x:v>
      </x:c>
      <x:c r="E7" s="24" t="str">
        <x:v>Role</x:v>
      </x:c>
      <x:c r="F7" s="24" t="str">
        <x:v>SHA-256</x:v>
      </x:c>
      <x:c r="G7" s="15"/>
      <x:c r="H7" s="15"/>
    </x:row>
    <x:row r="8" ht="48" customHeight="1">
      <x:c r="C8" s="25" t="str">
        <x:v>adc75429-4b5c-40a3-8fcc-0abca4ab9990</x:v>
      </x:c>
      <x:c r="D8" s="25" t="str">
        <x:v>清禾出行_历史TB_合成示例.csv</x:v>
      </x:c>
      <x:c r="E8" s="25" t="str">
        <x:v>tb</x:v>
      </x:c>
      <x:c r="F8" s="25" t="str">
        <x:v>47f77314f0ac0c334b5046a8dd8fecbda212108df7b8329f2f0c407af2a63bc8</x:v>
      </x:c>
      <x:c r="G8" s="2"/>
      <x:c r="H8" s="2"/>
    </x:row>
    <x:row r="9" ht="48" customHeight="1">
      <x:c r="C9" s="25" t="str">
        <x:v>c340447c-29b3-4e18-9500-cfa5aa37316a</x:v>
      </x:c>
      <x:c r="D9" s="25" t="str">
        <x:v>清禾出行_MDD_合成示例_v1.md</x:v>
      </x:c>
      <x:c r="E9" s="25" t="str">
        <x:v>minutes</x:v>
      </x:c>
      <x:c r="F9" s="25" t="str">
        <x:v>21c68fcc48181c82f9b16daf006a5232b069220173cc9464e0d4447b2483b8c3</x:v>
      </x:c>
      <x:c r="G9" s="2"/>
      <x:c r="H9" s="2"/>
    </x:row>
    <x:row r="10" ht="48" customHeight="1">
      <x:c r="C10" s="25" t="str">
        <x:v>7a212be0-712e-4919-85f4-db5d44a2adf1</x:v>
      </x:c>
      <x:c r="D10" s="25" t="str">
        <x:v>清禾出行_MDD_合成示例_v2.md</x:v>
      </x:c>
      <x:c r="E10" s="25" t="str">
        <x:v>minutes</x:v>
      </x:c>
      <x:c r="F10" s="25" t="str">
        <x:v>e94c7d7100aebdce5f52c2c26b96199278a19a8b20dad2d0cba5b4e7ddfeb370</x:v>
      </x:c>
      <x:c r="G10" s="2"/>
      <x:c r="H10" s="2"/>
    </x:row>
    <x:row r="11" ht="48" customHeight="1">
      <x:c r="C11" s="25" t="str">
        <x:v>e07aae47-286d-4138-baa0-44aa40011295</x:v>
      </x:c>
      <x:c r="D11" s="25" t="str">
        <x:v>清禾出行_FDD_合成示例.md</x:v>
      </x:c>
      <x:c r="E11" s="25" t="str">
        <x:v>minutes</x:v>
      </x:c>
      <x:c r="F11" s="25" t="str">
        <x:v>dce3ea3cb2d71e6070a29380b7434172111e166000e7639f485135e034ef9177</x:v>
      </x:c>
      <x:c r="G11" s="2"/>
      <x:c r="H11" s="2"/>
    </x:row>
    <x:row r="12" ht="48" customHeight="1">
      <x:c r="C12" s="25" t="str">
        <x:v>6a84cfcc-47d2-4135-84b7-cc3eda02b01a</x:v>
      </x:c>
      <x:c r="D12" s="25" t="str">
        <x:v>清禾出行_现金变动核对_合成示例.csv</x:v>
      </x:c>
      <x:c r="E12" s="25" t="str">
        <x:v>tb</x:v>
      </x:c>
      <x:c r="F12" s="25" t="str">
        <x:v>54f9facf224b34f6e6c3263058f5abcce102253683050a8b867fa07e5500bd7c</x:v>
      </x:c>
      <x:c r="G12" s="2"/>
      <x:c r="H12" s="2"/>
    </x:row>
    <x:row r="13" ht="48" customHeight="1">
      <x:c r="C13" s="25"/>
      <x:c r="D13" s="25"/>
      <x:c r="E13" s="25"/>
      <x:c r="F13" s="25"/>
      <x:c r="G13" s="2"/>
      <x:c r="H13" s="2"/>
    </x:row>
    <x:row r="14" ht="48" customHeight="1">
      <x:c r="C14" s="25"/>
      <x:c r="D14" s="25"/>
      <x:c r="E14" s="25"/>
      <x:c r="F14" s="25"/>
      <x:c r="G14" s="2"/>
      <x:c r="H14" s="2"/>
    </x:row>
    <x:row r="15" ht="48" customHeight="1">
      <x:c r="C15" s="25"/>
      <x:c r="D15" s="25"/>
      <x:c r="E15" s="25"/>
      <x:c r="F15" s="25"/>
      <x:c r="G15" s="2"/>
      <x:c r="H15" s="2"/>
    </x:row>
    <x:row r="16" ht="48" customHeight="1">
      <x:c r="C16" s="25"/>
      <x:c r="D16" s="25"/>
      <x:c r="E16" s="25"/>
      <x:c r="F16" s="25"/>
      <x:c r="G16" s="2"/>
      <x:c r="H16" s="2"/>
    </x:row>
    <x:row r="17" ht="48" customHeight="1">
      <x:c r="C17" s="25"/>
      <x:c r="D17" s="25"/>
      <x:c r="E17" s="25"/>
      <x:c r="F17" s="25"/>
      <x:c r="G17" s="2"/>
      <x:c r="H17" s="2"/>
    </x:row>
    <x:row r="18" ht="48" customHeight="1">
      <x:c r="C18" s="25"/>
      <x:c r="D18" s="25"/>
      <x:c r="E18" s="25"/>
      <x:c r="F18" s="25"/>
      <x:c r="G18" s="2"/>
      <x:c r="H18" s="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7" hidden="0" customWidth="1"/>
    <x:col min="4" max="4" width="82" hidden="0" customWidth="1"/>
    <x:col min="5" max="5" width="18" hidden="0" customWidth="1"/>
    <x:col min="6" max="6" width="38" hidden="0" customWidth="1"/>
    <x:col min="7" max="7" width="80" hidden="0" customWidth="1"/>
    <x:col min="8" max="8" width="15" hidden="0" customWidth="1"/>
  </x:cols>
  <x:sheetData>
    <x:row r="1" ht="22" customHeight="1">
      <x:c r="C1" s="2"/>
      <x:c r="D1" s="2"/>
      <x:c r="E1" s="2"/>
      <x:c r="F1" s="2"/>
      <x:c r="G1" s="2"/>
      <x:c r="H1" s="2"/>
    </x:row>
    <x:row r="2" ht="31" customHeight="1">
      <x:c r="C2" s="4" t="str">
        <x:v>Scope and Assumption Evidence</x:v>
      </x:c>
      <x:c r="D2" s="4"/>
      <x:c r="E2" s="4"/>
      <x:c r="F2" s="4"/>
      <x:c r="G2" s="4"/>
      <x:c r="H2" s="4"/>
    </x:row>
    <x:row r="3" ht="24" customHeight="1">
      <x:c r="C3" s="5" t="str">
        <x:v>清禾出行 · 合成示例 · CNY 1</x:v>
      </x:c>
      <x:c r="D3" s="2"/>
      <x:c r="E3" s="2"/>
      <x:c r="F3" s="2"/>
      <x:c r="G3" s="2"/>
      <x:c r="H3" s="2"/>
    </x:row>
    <x:row r="4" ht="22" customHeight="1">
      <x:c r="C4" s="2"/>
      <x:c r="D4" s="2"/>
      <x:c r="E4" s="2"/>
      <x:c r="F4" s="2"/>
      <x:c r="G4" s="2"/>
      <x:c r="H4" s="2"/>
    </x:row>
    <x:row r="5" ht="22" customHeight="1">
      <x:c r="C5" s="2"/>
      <x:c r="D5" s="2"/>
      <x:c r="E5" s="2"/>
      <x:c r="F5" s="2"/>
      <x:c r="G5" s="2"/>
      <x:c r="H5" s="2"/>
    </x:row>
    <x:row r="6" ht="22" customHeight="1">
      <x:c r="C6" s="2"/>
      <x:c r="D6" s="2"/>
      <x:c r="E6" s="2"/>
      <x:c r="F6" s="2"/>
      <x:c r="G6" s="2"/>
      <x:c r="H6" s="2"/>
    </x:row>
    <x:row r="7" ht="32" customHeight="1">
      <x:c r="C7" s="24" t="str">
        <x:v>Topic</x:v>
      </x:c>
      <x:c r="D7" s="24" t="str">
        <x:v>Explanation</x:v>
      </x:c>
      <x:c r="E7" s="24" t="str">
        <x:v>Owner</x:v>
      </x:c>
      <x:c r="F7" s="24" t="str">
        <x:v>Source</x:v>
      </x:c>
      <x:c r="G7" s="24" t="str">
        <x:v>Original statement</x:v>
      </x:c>
      <x:c r="H7" s="15"/>
    </x:row>
    <x:row r="8" ht="92" customHeight="1">
      <x:c r="C8" s="25" t="str">
        <x:v>HISTORICAL_CFS_UNDETERMINED</x:v>
      </x:c>
      <x:c r="D8" s="25" t="str">
        <x:v>TB balances do not establish historical cash flows. Noncash movements and source cash-flow schedules are required; historical CFS has not been fabricated.</x:v>
      </x:c>
      <x:c r="E8" s="25" t="str"/>
      <x:c r="F8" s="25" t="str"/>
      <x:c r="G8" s="25" t="str"/>
      <x:c r="H8" s="2"/>
    </x:row>
    <x:row r="9" ht="92" customHeight="1">
      <x:c r="C9" s="25" t="str">
        <x:v>ACCOUNTING_SCOPE</x:v>
      </x:c>
      <x:c r="D9" s="25" t="str">
        <x:v>Forecast uses the explicitly selected cash cost drivers, opening-net-PPE depreciation, same-month cash tax, constant other balances and no new equity/leases/noncash remeasurements. Validate these policies and omitted material movements before formal reliance.</x:v>
      </x:c>
      <x:c r="E9" s="25" t="str"/>
      <x:c r="F9" s="25" t="str"/>
      <x:c r="G9" s="25" t="str"/>
      <x:c r="H9" s="2"/>
    </x:row>
    <x:row r="10" ht="92" customHeight="1">
      <x:c r="C10" s="25" t="str">
        <x:v>CONTRACTUAL_FUNDING_UNKNOWN</x:v>
      </x:c>
      <x:c r="D10" s="25" t="str">
        <x:v>Aggregate draw/repayment requests and a principal ceiling do not establish facility availability, maturity, contractual dues or overdue balances. Supply and adopt identified facility arrangements before relying on those controls.</x:v>
      </x:c>
      <x:c r="E10" s="25" t="str"/>
      <x:c r="F10" s="25" t="str"/>
      <x:c r="G10" s="25" t="str"/>
      <x:c r="H10" s="2"/>
    </x:row>
    <x:row r="11" ht="92" customHeight="1">
      <x:c r="C11" s="25" t="str">
        <x:v>cash_tax_policy</x:v>
      </x:c>
      <x:c r="D11" s="25" t="str">
        <x:v>same_month</x:v>
      </x:c>
      <x:c r="E11" s="25" t="str">
        <x:v>Local operator adoption</x:v>
      </x:c>
      <x:c r="F11" s="25" t="str">
        <x:v>Selected module policy</x:v>
      </x:c>
      <x:c r="G11" s="25" t="str">
        <x:v>Company confirmation is separate</x:v>
      </x:c>
      <x:c r="H11" s="2"/>
    </x:row>
    <x:row r="12" ht="92" customHeight="1">
      <x:c r="C12" s="25" t="str">
        <x:v>depreciation_policy</x:v>
      </x:c>
      <x:c r="D12" s="25" t="str">
        <x:v>opening_net_ppe</x:v>
      </x:c>
      <x:c r="E12" s="25" t="str">
        <x:v>Local operator adoption</x:v>
      </x:c>
      <x:c r="F12" s="25" t="str">
        <x:v>Selected module policy</x:v>
      </x:c>
      <x:c r="G12" s="25" t="str">
        <x:v>Company confirmation is separate</x:v>
      </x:c>
      <x:c r="H12" s="2"/>
    </x:row>
    <x:row r="13" ht="92" customHeight="1">
      <x:c r="C13" s="25" t="str">
        <x:v>other_balances_policy</x:v>
      </x:c>
      <x:c r="D13" s="25" t="str">
        <x:v>constant</x:v>
      </x:c>
      <x:c r="E13" s="25" t="str">
        <x:v>Local operator adoption</x:v>
      </x:c>
      <x:c r="F13" s="25" t="str">
        <x:v>Selected module policy</x:v>
      </x:c>
      <x:c r="G13" s="25" t="str">
        <x:v>Company confirmation is separate</x:v>
      </x:c>
      <x:c r="H13" s="2"/>
    </x:row>
    <x:row r="14" ht="92" customHeight="1">
      <x:c r="C14" s="25" t="str">
        <x:v>cost_basis</x:v>
      </x:c>
      <x:c r="D14" s="25" t="str">
        <x:v>cash_before_depreciation</x:v>
      </x:c>
      <x:c r="E14" s="25" t="str">
        <x:v>Local operator adoption</x:v>
      </x:c>
      <x:c r="F14" s="25" t="str">
        <x:v>Selected module policy</x:v>
      </x:c>
      <x:c r="G14" s="25" t="str">
        <x:v>Company confirmation is separate</x:v>
      </x:c>
      <x:c r="H14" s="2"/>
    </x:row>
    <x:row r="15" ht="92" customHeight="1">
      <x:c r="C15" s="25" t="str">
        <x:v>Cash administration expense / revenue</x:v>
      </x:c>
      <x:c r="D15" s="25" t="str">
        <x:v>monthly; Operator adoption rationale: 合成案例的明确输入，不代表真实公司确认。</x:v>
      </x:c>
      <x:c r="E15" s="25" t="str">
        <x:v>management</x:v>
      </x:c>
      <x:c r="F15" s="25" t="str">
        <x:v>清禾出行_MDD_合成示例_v1.md</x:v>
      </x:c>
      <x:c r="G15" s="25" t="str">
        <x:v>管理费用率 [admin_ratio] = 0.05; 单位 ratio; 口径 monthly。</x:v>
      </x:c>
      <x:c r="H15" s="2"/>
    </x:row>
    <x:row r="16" ht="92" customHeight="1">
      <x:c r="C16" s="25" t="str">
        <x:v>Product unit price (adopted input basis)</x:v>
      </x:c>
      <x:c r="D16" s="25" t="str">
        <x:v>monthly; Operator adoption rationale: 合成案例的明确输入，不代表真实公司确认。</x:v>
      </x:c>
      <x:c r="E16" s="25" t="str">
        <x:v>management</x:v>
      </x:c>
      <x:c r="F16" s="25" t="str">
        <x:v>清禾出行_MDD_合成示例_v1.md</x:v>
      </x:c>
      <x:c r="G16" s="25" t="str">
        <x:v>平均单价 [asp] = 5000.0; 单位 CNY/unit; 口径 monthly。</x:v>
      </x:c>
      <x:c r="H16" s="2"/>
    </x:row>
    <x:row r="17" ht="92" customHeight="1">
      <x:c r="C17" s="25" t="str">
        <x:v>Product price growth (confirmed time basis)</x:v>
      </x:c>
      <x:c r="D17" s="25" t="str">
        <x:v>monthly; Operator adoption rationale: 合成案例的明确输入，不代表真实公司确认。</x:v>
      </x:c>
      <x:c r="E17" s="25" t="str">
        <x:v>management</x:v>
      </x:c>
      <x:c r="F17" s="25" t="str">
        <x:v>清禾出行_MDD_合成示例_v1.md</x:v>
      </x:c>
      <x:c r="G17" s="25" t="str">
        <x:v>月度售价增长率 [asp_growth] = 0.0; 单位 ratio; 口径 monthly。</x:v>
      </x:c>
      <x:c r="H17" s="2"/>
    </x:row>
    <x:row r="18" ht="92" customHeight="1">
      <x:c r="C18" s="25" t="str">
        <x:v>Monthly cash capital expenditure</x:v>
      </x:c>
      <x:c r="D18" s="25" t="str">
        <x:v>monthly; Operator adoption rationale: 合成案例的明确输入，不代表真实公司确认。</x:v>
      </x:c>
      <x:c r="E18" s="25" t="str">
        <x:v>management</x:v>
      </x:c>
      <x:c r="F18" s="25" t="str">
        <x:v>清禾出行_MDD_合成示例_v1.md</x:v>
      </x:c>
      <x:c r="G18" s="25" t="str">
        <x:v>月度资本开支 [capex] = 5000.0; 单位 CNY; 口径 monthly。</x:v>
      </x:c>
      <x:c r="H18" s="2"/>
    </x:row>
    <x:row r="19" ht="92" customHeight="1">
      <x:c r="C19" s="25" t="str">
        <x:v>Monthly loan draw request</x:v>
      </x:c>
      <x:c r="D19" s="25" t="str">
        <x:v>monthly; Operator adoption rationale: 合成案例的明确输入，不代表真实公司确认。</x:v>
      </x:c>
      <x:c r="E19" s="25" t="str">
        <x:v>management</x:v>
      </x:c>
      <x:c r="F19" s="25" t="str">
        <x:v>清禾出行_MDD_合成示例_v1.md</x:v>
      </x:c>
      <x:c r="G19" s="25" t="str">
        <x:v>每月主动提款 [debt_draw] = 0.0; 单位 CNY; 口径 monthly。</x:v>
      </x:c>
      <x:c r="H19" s="2"/>
    </x:row>
    <x:row r="20" ht="92" customHeight="1">
      <x:c r="C20" s="25" t="str">
        <x:v>Monthly loan principal repayment request</x:v>
      </x:c>
      <x:c r="D20" s="25" t="str">
        <x:v>monthly; Operator adoption rationale: 合成案例的明确输入，不代表真实公司确认。</x:v>
      </x:c>
      <x:c r="E20" s="25" t="str">
        <x:v>management</x:v>
      </x:c>
      <x:c r="F20" s="25" t="str">
        <x:v>清禾出行_MDD_合成示例_v1.md</x:v>
      </x:c>
      <x:c r="G20" s="25" t="str">
        <x:v>每月计划偿还借款 [debt_repayment] = 0.0; 单位 CNY; 口径 monthly。</x:v>
      </x:c>
      <x:c r="H20" s="2"/>
    </x:row>
    <x:row r="21" ht="92" customHeight="1">
      <x:c r="C21" s="25" t="str">
        <x:v>Annual depreciation / opening net PPE</x:v>
      </x:c>
      <x:c r="D21" s="25" t="str">
        <x:v>annual; Operator adoption rationale: 合成案例的明确输入，不代表真实公司确认。</x:v>
      </x:c>
      <x:c r="E21" s="25" t="str">
        <x:v>management</x:v>
      </x:c>
      <x:c r="F21" s="25" t="str">
        <x:v>清禾出行_MDD_合成示例_v1.md</x:v>
      </x:c>
      <x:c r="G21" s="25" t="str">
        <x:v>年折旧率 [depreciation_rate] = 0.1; 单位 ratio; 口径 annual。</x:v>
      </x:c>
      <x:c r="H21" s="2"/>
    </x:row>
    <x:row r="22" ht="92" customHeight="1">
      <x:c r="C22" s="25" t="str">
        <x:v>Closing inventory days</x:v>
      </x:c>
      <x:c r="D22" s="25" t="str">
        <x:v>monthly; Operator adoption rationale: 合成案例的明确输入，不代表真实公司确认。</x:v>
      </x:c>
      <x:c r="E22" s="25" t="str">
        <x:v>management</x:v>
      </x:c>
      <x:c r="F22" s="25" t="str">
        <x:v>清禾出行_MDD_合成示例_v1.md</x:v>
      </x:c>
      <x:c r="G22" s="25" t="str">
        <x:v>存货周转天数 [dio] = 30.0; 单位 days; 口径 monthly。</x:v>
      </x:c>
      <x:c r="H22" s="2"/>
    </x:row>
    <x:row r="23" ht="92" customHeight="1">
      <x:c r="C23" s="25" t="str">
        <x:v>Monthly dividend request</x:v>
      </x:c>
      <x:c r="D23" s="25" t="str">
        <x:v>monthly; Operator adoption rationale: 合成案例的明确输入，不代表真实公司确认。</x:v>
      </x:c>
      <x:c r="E23" s="25" t="str">
        <x:v>management</x:v>
      </x:c>
      <x:c r="F23" s="25" t="str">
        <x:v>清禾出行_MDD_合成示例_v1.md</x:v>
      </x:c>
      <x:c r="G23" s="25" t="str">
        <x:v>月度分红 [dividends] = 0.0; 单位 CNY; 口径 monthly。</x:v>
      </x:c>
      <x:c r="H23" s="2"/>
    </x:row>
    <x:row r="24" ht="92" customHeight="1">
      <x:c r="C24" s="25" t="str">
        <x:v>Closing payable days of purchases</x:v>
      </x:c>
      <x:c r="D24" s="25" t="str">
        <x:v>monthly; Operator adoption rationale: 合成案例的明确输入，不代表真实公司确认。</x:v>
      </x:c>
      <x:c r="E24" s="25" t="str">
        <x:v>management</x:v>
      </x:c>
      <x:c r="F24" s="25" t="str">
        <x:v>清禾出行_MDD_合成示例_v1.md</x:v>
      </x:c>
      <x:c r="G24" s="25" t="str">
        <x:v>应付账款周转天数 [dpo] = 45.0; 单位 days; 口径 monthly。</x:v>
      </x:c>
      <x:c r="H24" s="2"/>
    </x:row>
    <x:row r="25" ht="92" customHeight="1">
      <x:c r="C25" s="25" t="str">
        <x:v>Closing receivable days</x:v>
      </x:c>
      <x:c r="D25" s="25" t="str">
        <x:v>monthly; Operator adoption rationale: 合成案例的明确输入，不代表真实公司确认。</x:v>
      </x:c>
      <x:c r="E25" s="25" t="str">
        <x:v>management</x:v>
      </x:c>
      <x:c r="F25" s="25" t="str">
        <x:v>清禾出行_MDD_合成示例_v1.md</x:v>
      </x:c>
      <x:c r="G25" s="25" t="str">
        <x:v>应收账款周转天数 [dso] = 30.0; 单位 days; 口径 monthly。</x:v>
      </x:c>
      <x:c r="H25" s="2"/>
    </x:row>
    <x:row r="26" ht="92" customHeight="1">
      <x:c r="C26" s="25" t="str">
        <x:v>Confirmed total outstanding debt ceiling</x:v>
      </x:c>
      <x:c r="D26" s="25" t="str">
        <x:v>monthly; Operator adoption rationale: 合成案例的明确输入，不代表真实公司确认。</x:v>
      </x:c>
      <x:c r="E26" s="25" t="str">
        <x:v>management</x:v>
      </x:c>
      <x:c r="F26" s="25" t="str">
        <x:v>清禾出行_MDD_合成示例_v1.md</x:v>
      </x:c>
      <x:c r="G26" s="25" t="str">
        <x:v>借款本金总上限 [facility_limit] = 150000.0; 单位 CNY; 口径 monthly。</x:v>
      </x:c>
      <x:c r="H26" s="2"/>
    </x:row>
    <x:row r="27" ht="92" customHeight="1">
      <x:c r="C27" s="25" t="str">
        <x:v>Cash gross margin before depreciation</x:v>
      </x:c>
      <x:c r="D27" s="25" t="str">
        <x:v>monthly; Operator adoption rationale: 合成案例的明确输入，不代表真实公司确认。</x:v>
      </x:c>
      <x:c r="E27" s="25" t="str">
        <x:v>management</x:v>
      </x:c>
      <x:c r="F27" s="25" t="str">
        <x:v>清禾出行_MDD_合成示例_v1.md</x:v>
      </x:c>
      <x:c r="G27" s="25" t="str">
        <x:v>不含折旧的现金毛利率 [gross_margin] = 0.4; 单位 ratio; 口径 monthly。</x:v>
      </x:c>
      <x:c r="H27" s="2"/>
    </x:row>
    <x:row r="28" ht="92" customHeight="1">
      <x:c r="C28" s="25" t="str">
        <x:v>Annual interest / opening debt</x:v>
      </x:c>
      <x:c r="D28" s="25" t="str">
        <x:v>annual; Operator adoption rationale: 合成案例的明确输入，不代表真实公司确认。</x:v>
      </x:c>
      <x:c r="E28" s="25" t="str">
        <x:v>management</x:v>
      </x:c>
      <x:c r="F28" s="25" t="str">
        <x:v>清禾出行_MDD_合成示例_v1.md</x:v>
      </x:c>
      <x:c r="G28" s="25" t="str">
        <x:v>年借款利率 [interest_rate] = 0.06; 单位 ratio; 口径 annual。</x:v>
      </x:c>
      <x:c r="H28" s="2"/>
    </x:row>
    <x:row r="29" ht="92" customHeight="1">
      <x:c r="C29" s="25" t="str">
        <x:v>Minimum cash threshold</x:v>
      </x:c>
      <x:c r="D29" s="25" t="str">
        <x:v>monthly; Operator adoption rationale: 合成案例的明确输入，不代表真实公司确认。</x:v>
      </x:c>
      <x:c r="E29" s="25" t="str">
        <x:v>management</x:v>
      </x:c>
      <x:c r="F29" s="25" t="str">
        <x:v>清禾出行_MDD_合成示例_v1.md</x:v>
      </x:c>
      <x:c r="G29" s="25" t="str">
        <x:v>最低现金余额 [min_cash] = 10000.0; 单位 CNY; 口径 monthly。</x:v>
      </x:c>
      <x:c r="H29" s="2"/>
    </x:row>
    <x:row r="30" ht="92" customHeight="1">
      <x:c r="C30" s="25" t="str">
        <x:v>Cash research expense / revenue</x:v>
      </x:c>
      <x:c r="D30" s="25" t="str">
        <x:v>monthly; Operator adoption rationale: 合成案例的明确输入，不代表真实公司确认。</x:v>
      </x:c>
      <x:c r="E30" s="25" t="str">
        <x:v>management</x:v>
      </x:c>
      <x:c r="F30" s="25" t="str">
        <x:v>清禾出行_MDD_合成示例_v1.md</x:v>
      </x:c>
      <x:c r="G30" s="25" t="str">
        <x:v>研发费用率 [research_ratio] = 0.0; 单位 ratio; 口径 monthly。</x:v>
      </x:c>
      <x:c r="H30" s="2"/>
    </x:row>
    <x:row r="31" ht="92" customHeight="1">
      <x:c r="C31" s="25" t="str">
        <x:v>Cash selling expense / revenue</x:v>
      </x:c>
      <x:c r="D31" s="25" t="str">
        <x:v>monthly; Operator adoption rationale: 合成案例的明确输入，不代表真实公司确认。</x:v>
      </x:c>
      <x:c r="E31" s="25" t="str">
        <x:v>management</x:v>
      </x:c>
      <x:c r="F31" s="25" t="str">
        <x:v>清禾出行_MDD_合成示例_v1.md</x:v>
      </x:c>
      <x:c r="G31" s="25" t="str">
        <x:v>销售费用率 [selling_ratio] = 0.05; 单位 ratio; 口径 monthly。</x:v>
      </x:c>
      <x:c r="H31" s="2"/>
    </x:row>
    <x:row r="32" ht="92" customHeight="1">
      <x:c r="C32" s="25" t="str">
        <x:v>Tax rate on positive pretax profit</x:v>
      </x:c>
      <x:c r="D32" s="25" t="str">
        <x:v>annual; Operator adoption rationale: 合成案例的明确输入，不代表真实公司确认。</x:v>
      </x:c>
      <x:c r="E32" s="25" t="str">
        <x:v>management</x:v>
      </x:c>
      <x:c r="F32" s="25" t="str">
        <x:v>清禾出行_MDD_合成示例_v1.md</x:v>
      </x:c>
      <x:c r="G32" s="25" t="str">
        <x:v>所得税率 [tax_rate] = 0.25; 单位 ratio; 口径 annual。</x:v>
      </x:c>
      <x:c r="H32" s="2"/>
    </x:row>
    <x:row r="33" ht="92" customHeight="1">
      <x:c r="C33" s="25" t="str">
        <x:v>Product quantity (adopted input basis)</x:v>
      </x:c>
      <x:c r="D33" s="25" t="str">
        <x:v>monthly; Operator adoption rationale: 合成案例的明确输入，不代表真实公司确认。</x:v>
      </x:c>
      <x:c r="E33" s="25" t="str">
        <x:v>management</x:v>
      </x:c>
      <x:c r="F33" s="25" t="str">
        <x:v>清禾出行_MDD_合成示例_v1.md</x:v>
      </x:c>
      <x:c r="G33" s="25" t="str">
        <x:v>增长前基准月销量 [volume] = 100.0; 单位 units; 口径 monthly。</x:v>
      </x:c>
      <x:c r="H33" s="2"/>
    </x:row>
    <x:row r="34" ht="92" customHeight="1">
      <x:c r="C34" s="25" t="str">
        <x:v>Product volume growth (confirmed time basis)</x:v>
      </x:c>
      <x:c r="D34" s="25" t="str">
        <x:v>monthly; Operator adoption rationale: 合成案例的明确输入，不代表真实公司确认。</x:v>
      </x:c>
      <x:c r="E34" s="25" t="str">
        <x:v>management</x:v>
      </x:c>
      <x:c r="F34" s="25" t="str">
        <x:v>清禾出行_MDD_合成示例_v1.md</x:v>
      </x:c>
      <x:c r="G34" s="25" t="str">
        <x:v>月度销量增长率 [volume_growth] = 0.01; 单位 ratio; 口径 monthly。</x:v>
      </x:c>
      <x:c r="H34" s="2"/>
    </x:row>
    <x:row r="35" ht="92" customHeight="1">
      <x:c r="C35" s="25" t="str">
        <x:v>Operating input: volume</x:v>
      </x:c>
      <x:c r="D35" s="25" t="str">
        <x:v>2026-04; baseline_rollforward; adopted raw value 100; effective raw input 100.0; growth applied for 2026-04. Scenario edits target the selected raw input; effective monthly inputs receive no additional growth.</x:v>
      </x:c>
      <x:c r="E35" s="25" t="str">
        <x:v>management</x:v>
      </x:c>
      <x:c r="F35" s="25" t="str">
        <x:v>c340447c-29b3-4e18-9500-cfa5aa37316a</x:v>
      </x:c>
      <x:c r="G35" s="25" t="str">
        <x:v>增长前基准月销量 [volume] = 100.0; 单位 units; 口径 monthly。</x:v>
      </x:c>
      <x:c r="H35" s="2"/>
    </x:row>
    <x:row r="36" ht="92" customHeight="1">
      <x:c r="C36" s="25" t="str">
        <x:v>Operating input: volume</x:v>
      </x:c>
      <x:c r="D36" s="25" t="str">
        <x:v>2026-05; baseline_rollforward; adopted raw value 100; effective raw input 100.0; growth applied for 2026-04, 2026-05. Scenario edits target the selected raw input; effective monthly inputs receive no additional growth.</x:v>
      </x:c>
      <x:c r="E36" s="25" t="str">
        <x:v>management</x:v>
      </x:c>
      <x:c r="F36" s="25" t="str">
        <x:v>c340447c-29b3-4e18-9500-cfa5aa37316a</x:v>
      </x:c>
      <x:c r="G36" s="25" t="str">
        <x:v>增长前基准月销量 [volume] = 100.0; 单位 units; 口径 monthly。</x:v>
      </x:c>
      <x:c r="H36" s="2"/>
    </x:row>
    <x:row r="37" ht="92" customHeight="1">
      <x:c r="C37" s="25" t="str">
        <x:v>Operating input: volume</x:v>
      </x:c>
      <x:c r="D37" s="25" t="str">
        <x:v>2026-06; baseline_rollforward; adopted raw value 100; effective raw input 100.0; growth applied for 2026-04, 2026-05, 2026-06. Scenario edits target the selected raw input; effective monthly inputs receive no additional growth.</x:v>
      </x:c>
      <x:c r="E37" s="25" t="str">
        <x:v>management</x:v>
      </x:c>
      <x:c r="F37" s="25" t="str">
        <x:v>c340447c-29b3-4e18-9500-cfa5aa37316a</x:v>
      </x:c>
      <x:c r="G37" s="25" t="str">
        <x:v>增长前基准月销量 [volume] = 100.0; 单位 units; 口径 monthly。</x:v>
      </x:c>
      <x:c r="H37" s="2"/>
    </x:row>
    <x:row r="38" ht="92" customHeight="1">
      <x:c r="C38" s="25" t="str">
        <x:v>Operating input: volume</x:v>
      </x:c>
      <x:c r="D38" s="25" t="str">
        <x:v>2026-07; baseline_rollforward; adopted raw value 100; effective raw input 100.0; growth applied for 2026-04, 2026-05, 2026-06, 2026-07. Scenario edits target the selected raw input; effective monthly inputs receive no additional growth.</x:v>
      </x:c>
      <x:c r="E38" s="25" t="str">
        <x:v>management</x:v>
      </x:c>
      <x:c r="F38" s="25" t="str">
        <x:v>c340447c-29b3-4e18-9500-cfa5aa37316a</x:v>
      </x:c>
      <x:c r="G38" s="25" t="str">
        <x:v>增长前基准月销量 [volume] = 100.0; 单位 units; 口径 monthly。</x:v>
      </x:c>
      <x:c r="H38" s="2"/>
    </x:row>
    <x:row r="39" ht="92" customHeight="1">
      <x:c r="C39" s="25" t="str">
        <x:v>Operating input: volume</x:v>
      </x:c>
      <x:c r="D39" s="25" t="str">
        <x:v>2026-08; baseline_rollforward; adopted raw value 100; effective raw input 100.0; growth applied for 2026-04, 2026-05, 2026-06, 2026-07, 2026-08. Scenario edits target the selected raw input; effective monthly inputs receive no additional growth.</x:v>
      </x:c>
      <x:c r="E39" s="25" t="str">
        <x:v>management</x:v>
      </x:c>
      <x:c r="F39" s="25" t="str">
        <x:v>c340447c-29b3-4e18-9500-cfa5aa37316a</x:v>
      </x:c>
      <x:c r="G39" s="25" t="str">
        <x:v>增长前基准月销量 [volume] = 100.0; 单位 units; 口径 monthly。</x:v>
      </x:c>
      <x:c r="H39" s="2"/>
    </x:row>
    <x:row r="40" ht="92" customHeight="1">
      <x:c r="C40" s="25" t="str">
        <x:v>Operating input: volume</x:v>
      </x:c>
      <x:c r="D40" s="25" t="str">
        <x:v>2026-09; baseline_rollforward; adopted raw value 100; effective raw input 100.0; growth applied for 2026-04, 2026-05, 2026-06, 2026-07, 2026-08, 2026-09. Scenario edits target the selected raw input; effective monthly inputs receive no additional growth.</x:v>
      </x:c>
      <x:c r="E40" s="25" t="str">
        <x:v>management</x:v>
      </x:c>
      <x:c r="F40" s="25" t="str">
        <x:v>c340447c-29b3-4e18-9500-cfa5aa37316a</x:v>
      </x:c>
      <x:c r="G40" s="25" t="str">
        <x:v>增长前基准月销量 [volume] = 100.0; 单位 units; 口径 monthly。</x:v>
      </x:c>
      <x:c r="H40" s="2"/>
    </x:row>
    <x:row r="41" ht="92" customHeight="1">
      <x:c r="C41" s="25" t="str">
        <x:v>Operating input: volume</x:v>
      </x:c>
      <x:c r="D41" s="25" t="str">
        <x:v>2026-10; baseline_rollforward; adopted raw value 100; effective raw input 100.0; growth applied for 2026-04, 2026-05, 2026-06, 2026-07, 2026-08, 2026-09, 2026-10. Scenario edits target the selected raw input; effective monthly inputs receive no additional growth.</x:v>
      </x:c>
      <x:c r="E41" s="25" t="str">
        <x:v>management</x:v>
      </x:c>
      <x:c r="F41" s="25" t="str">
        <x:v>c340447c-29b3-4e18-9500-cfa5aa37316a</x:v>
      </x:c>
      <x:c r="G41" s="25" t="str">
        <x:v>增长前基准月销量 [volume] = 100.0; 单位 units; 口径 monthly。</x:v>
      </x:c>
      <x:c r="H41" s="2"/>
    </x:row>
    <x:row r="42" ht="92" customHeight="1">
      <x:c r="C42" s="25" t="str">
        <x:v>Operating input: volume</x:v>
      </x:c>
      <x:c r="D42" s="25" t="str">
        <x:v>2026-11; baseline_rollforward; adopted raw value 100; effective raw input 100.0; growth applied for 2026-04, 2026-05, 2026-06, 2026-07, 2026-08, 2026-09, 2026-10, 2026-11. Scenario edits target the selected raw input; effective monthly inputs receive no additional growth.</x:v>
      </x:c>
      <x:c r="E42" s="25" t="str">
        <x:v>management</x:v>
      </x:c>
      <x:c r="F42" s="25" t="str">
        <x:v>c340447c-29b3-4e18-9500-cfa5aa37316a</x:v>
      </x:c>
      <x:c r="G42" s="25" t="str">
        <x:v>增长前基准月销量 [volume] = 100.0; 单位 units; 口径 monthly。</x:v>
      </x:c>
      <x:c r="H42" s="2"/>
    </x:row>
    <x:row r="43" ht="92" customHeight="1">
      <x:c r="C43" s="25" t="str">
        <x:v>Operating input: volume</x:v>
      </x:c>
      <x:c r="D43" s="25" t="str">
        <x:v>2026-12; baseline_rollforward; adopted raw value 100; effective raw input 100.0; growth applied for 2026-04, 2026-05, 2026-06, 2026-07, 2026-08, 2026-09, 2026-10, 2026-11, 2026-12. Scenario edits target the selected raw input; effective monthly inputs receive no additional growth.</x:v>
      </x:c>
      <x:c r="E43" s="25" t="str">
        <x:v>management</x:v>
      </x:c>
      <x:c r="F43" s="25" t="str">
        <x:v>c340447c-29b3-4e18-9500-cfa5aa37316a</x:v>
      </x:c>
      <x:c r="G43" s="25" t="str">
        <x:v>增长前基准月销量 [volume] = 100.0; 单位 units; 口径 monthly。</x:v>
      </x:c>
      <x:c r="H43" s="2"/>
    </x:row>
    <x:row r="44" ht="92" customHeight="1">
      <x:c r="C44" s="25" t="str">
        <x:v>Operating input: volume</x:v>
      </x:c>
      <x:c r="D44" s="25" t="str">
        <x:v>2027-01; baseline_rollforward; adopted raw value 100; effective raw input 100.0; growth applied for 2026-04, 2026-05, 2026-06, 2026-07, 2026-08, 2026-09, 2026-10, 2026-11, 2026-12, 2027-01. Scenario edits target the selected raw input; effective monthly inputs receive no additional growth.</x:v>
      </x:c>
      <x:c r="E44" s="25" t="str">
        <x:v>management</x:v>
      </x:c>
      <x:c r="F44" s="25" t="str">
        <x:v>c340447c-29b3-4e18-9500-cfa5aa37316a</x:v>
      </x:c>
      <x:c r="G44" s="25" t="str">
        <x:v>增长前基准月销量 [volume] = 100.0; 单位 units; 口径 monthly。</x:v>
      </x:c>
      <x:c r="H44" s="2"/>
    </x:row>
    <x:row r="45" ht="92" customHeight="1">
      <x:c r="C45" s="25" t="str">
        <x:v>Operating input: volume</x:v>
      </x:c>
      <x:c r="D45" s="25" t="str">
        <x:v>2027-02; baseline_rollforward; adopted raw value 100; effective raw input 100.0; growth applied for 2026-04, 2026-05, 2026-06, 2026-07, 2026-08, 2026-09, 2026-10, 2026-11, 2026-12, 2027-01, 2027-02. Scenario edits target the selected raw input; effective monthly inputs receive no additional growth.</x:v>
      </x:c>
      <x:c r="E45" s="25" t="str">
        <x:v>management</x:v>
      </x:c>
      <x:c r="F45" s="25" t="str">
        <x:v>c340447c-29b3-4e18-9500-cfa5aa37316a</x:v>
      </x:c>
      <x:c r="G45" s="25" t="str">
        <x:v>增长前基准月销量 [volume] = 100.0; 单位 units; 口径 monthly。</x:v>
      </x:c>
      <x:c r="H45" s="2"/>
    </x:row>
    <x:row r="46" ht="92" customHeight="1">
      <x:c r="C46" s="25" t="str">
        <x:v>Operating input: volume</x:v>
      </x:c>
      <x:c r="D46" s="25" t="str">
        <x:v>2027-03; baseline_rollforward; adopted raw value 100; effective raw input 100.0; growth applied for 2026-04, 2026-05, 2026-06, 2026-07, 2026-08, 2026-09, 2026-10, 2026-11, 2026-12, 2027-01, 2027-02, 2027-03. Scenario edits target the selected raw input; effective monthly inputs receive no additional growth.</x:v>
      </x:c>
      <x:c r="E46" s="25" t="str">
        <x:v>management</x:v>
      </x:c>
      <x:c r="F46" s="25" t="str">
        <x:v>c340447c-29b3-4e18-9500-cfa5aa37316a</x:v>
      </x:c>
      <x:c r="G46" s="25" t="str">
        <x:v>增长前基准月销量 [volume] = 100.0; 单位 units; 口径 monthly。</x:v>
      </x:c>
      <x:c r="H46" s="2"/>
    </x:row>
    <x:row r="47" ht="92" customHeight="1">
      <x:c r="C47" s="25" t="str">
        <x:v>Operating input: asp</x:v>
      </x:c>
      <x:c r="D47" s="25" t="str">
        <x:v>2026-04; baseline_rollforward; adopted raw value 5000; effective raw input 5000.0; growth applied for 2026-04. Scenario edits target the selected raw input; effective monthly inputs receive no additional growth.</x:v>
      </x:c>
      <x:c r="E47" s="25" t="str">
        <x:v>management</x:v>
      </x:c>
      <x:c r="F47" s="25" t="str">
        <x:v>c340447c-29b3-4e18-9500-cfa5aa37316a</x:v>
      </x:c>
      <x:c r="G47" s="25" t="str">
        <x:v>平均单价 [asp] = 5000.0; 单位 CNY/unit; 口径 monthly。</x:v>
      </x:c>
      <x:c r="H47" s="2"/>
    </x:row>
    <x:row r="48" ht="92" customHeight="1">
      <x:c r="C48" s="25" t="str">
        <x:v>Operating input: asp</x:v>
      </x:c>
      <x:c r="D48" s="25" t="str">
        <x:v>2026-05; baseline_rollforward; adopted raw value 5000; effective raw input 5000.0; growth applied for 2026-04, 2026-05. Scenario edits target the selected raw input; effective monthly inputs receive no additional growth.</x:v>
      </x:c>
      <x:c r="E48" s="25" t="str">
        <x:v>management</x:v>
      </x:c>
      <x:c r="F48" s="25" t="str">
        <x:v>c340447c-29b3-4e18-9500-cfa5aa37316a</x:v>
      </x:c>
      <x:c r="G48" s="25" t="str">
        <x:v>平均单价 [asp] = 5000.0; 单位 CNY/unit; 口径 monthly。</x:v>
      </x:c>
      <x:c r="H48" s="2"/>
    </x:row>
    <x:row r="49" ht="92" customHeight="1">
      <x:c r="C49" s="25" t="str">
        <x:v>Operating input: asp</x:v>
      </x:c>
      <x:c r="D49" s="25" t="str">
        <x:v>2026-06; baseline_rollforward; adopted raw value 5000; effective raw input 5000.0; growth applied for 2026-04, 2026-05, 2026-06. Scenario edits target the selected raw input; effective monthly inputs receive no additional growth.</x:v>
      </x:c>
      <x:c r="E49" s="25" t="str">
        <x:v>management</x:v>
      </x:c>
      <x:c r="F49" s="25" t="str">
        <x:v>c340447c-29b3-4e18-9500-cfa5aa37316a</x:v>
      </x:c>
      <x:c r="G49" s="25" t="str">
        <x:v>平均单价 [asp] = 5000.0; 单位 CNY/unit; 口径 monthly。</x:v>
      </x:c>
      <x:c r="H49" s="2"/>
    </x:row>
    <x:row r="50" ht="92" customHeight="1">
      <x:c r="C50" s="25" t="str">
        <x:v>Operating input: asp</x:v>
      </x:c>
      <x:c r="D50" s="25" t="str">
        <x:v>2026-07; baseline_rollforward; adopted raw value 5000; effective raw input 5000.0; growth applied for 2026-04, 2026-05, 2026-06, 2026-07. Scenario edits target the selected raw input; effective monthly inputs receive no additional growth.</x:v>
      </x:c>
      <x:c r="E50" s="25" t="str">
        <x:v>management</x:v>
      </x:c>
      <x:c r="F50" s="25" t="str">
        <x:v>c340447c-29b3-4e18-9500-cfa5aa37316a</x:v>
      </x:c>
      <x:c r="G50" s="25" t="str">
        <x:v>平均单价 [asp] = 5000.0; 单位 CNY/unit; 口径 monthly。</x:v>
      </x:c>
      <x:c r="H50" s="2"/>
    </x:row>
    <x:row r="51" ht="92" customHeight="1">
      <x:c r="C51" s="25" t="str">
        <x:v>Operating input: asp</x:v>
      </x:c>
      <x:c r="D51" s="25" t="str">
        <x:v>2026-08; baseline_rollforward; adopted raw value 5000; effective raw input 5000.0; growth applied for 2026-04, 2026-05, 2026-06, 2026-07, 2026-08. Scenario edits target the selected raw input; effective monthly inputs receive no additional growth.</x:v>
      </x:c>
      <x:c r="E51" s="25" t="str">
        <x:v>management</x:v>
      </x:c>
      <x:c r="F51" s="25" t="str">
        <x:v>c340447c-29b3-4e18-9500-cfa5aa37316a</x:v>
      </x:c>
      <x:c r="G51" s="25" t="str">
        <x:v>平均单价 [asp] = 5000.0; 单位 CNY/unit; 口径 monthly。</x:v>
      </x:c>
      <x:c r="H51" s="2"/>
    </x:row>
    <x:row r="52" ht="92" customHeight="1">
      <x:c r="C52" s="25" t="str">
        <x:v>Operating input: asp</x:v>
      </x:c>
      <x:c r="D52" s="25" t="str">
        <x:v>2026-09; baseline_rollforward; adopted raw value 5000; effective raw input 5000.0; growth applied for 2026-04, 2026-05, 2026-06, 2026-07, 2026-08, 2026-09. Scenario edits target the selected raw input; effective monthly inputs receive no additional growth.</x:v>
      </x:c>
      <x:c r="E52" s="25" t="str">
        <x:v>management</x:v>
      </x:c>
      <x:c r="F52" s="25" t="str">
        <x:v>c340447c-29b3-4e18-9500-cfa5aa37316a</x:v>
      </x:c>
      <x:c r="G52" s="25" t="str">
        <x:v>平均单价 [asp] = 5000.0; 单位 CNY/unit; 口径 monthly。</x:v>
      </x:c>
      <x:c r="H52" s="2"/>
    </x:row>
    <x:row r="53" ht="92" customHeight="1">
      <x:c r="C53" s="25" t="str">
        <x:v>Operating input: asp</x:v>
      </x:c>
      <x:c r="D53" s="25" t="str">
        <x:v>2026-10; baseline_rollforward; adopted raw value 5000; effective raw input 5000.0; growth applied for 2026-04, 2026-05, 2026-06, 2026-07, 2026-08, 2026-09, 2026-10. Scenario edits target the selected raw input; effective monthly inputs receive no additional growth.</x:v>
      </x:c>
      <x:c r="E53" s="25" t="str">
        <x:v>management</x:v>
      </x:c>
      <x:c r="F53" s="25" t="str">
        <x:v>c340447c-29b3-4e18-9500-cfa5aa37316a</x:v>
      </x:c>
      <x:c r="G53" s="25" t="str">
        <x:v>平均单价 [asp] = 5000.0; 单位 CNY/unit; 口径 monthly。</x:v>
      </x:c>
      <x:c r="H53" s="2"/>
    </x:row>
    <x:row r="54" ht="92" customHeight="1">
      <x:c r="C54" s="25" t="str">
        <x:v>Operating input: asp</x:v>
      </x:c>
      <x:c r="D54" s="25" t="str">
        <x:v>2026-11; baseline_rollforward; adopted raw value 5000; effective raw input 5000.0; growth applied for 2026-04, 2026-05, 2026-06, 2026-07, 2026-08, 2026-09, 2026-10, 2026-11. Scenario edits target the selected raw input; effective monthly inputs receive no additional growth.</x:v>
      </x:c>
      <x:c r="E54" s="25" t="str">
        <x:v>management</x:v>
      </x:c>
      <x:c r="F54" s="25" t="str">
        <x:v>c340447c-29b3-4e18-9500-cfa5aa37316a</x:v>
      </x:c>
      <x:c r="G54" s="25" t="str">
        <x:v>平均单价 [asp] = 5000.0; 单位 CNY/unit; 口径 monthly。</x:v>
      </x:c>
      <x:c r="H54" s="2"/>
    </x:row>
    <x:row r="55" ht="92" customHeight="1">
      <x:c r="C55" s="25" t="str">
        <x:v>Operating input: asp</x:v>
      </x:c>
      <x:c r="D55" s="25" t="str">
        <x:v>2026-12; baseline_rollforward; adopted raw value 5000; effective raw input 5000.0; growth applied for 2026-04, 2026-05, 2026-06, 2026-07, 2026-08, 2026-09, 2026-10, 2026-11, 2026-12. Scenario edits target the selected raw input; effective monthly inputs receive no additional growth.</x:v>
      </x:c>
      <x:c r="E55" s="25" t="str">
        <x:v>management</x:v>
      </x:c>
      <x:c r="F55" s="25" t="str">
        <x:v>c340447c-29b3-4e18-9500-cfa5aa37316a</x:v>
      </x:c>
      <x:c r="G55" s="25" t="str">
        <x:v>平均单价 [asp] = 5000.0; 单位 CNY/unit; 口径 monthly。</x:v>
      </x:c>
      <x:c r="H55" s="2"/>
    </x:row>
    <x:row r="56" ht="92" customHeight="1">
      <x:c r="C56" s="25" t="str">
        <x:v>Operating input: asp</x:v>
      </x:c>
      <x:c r="D56" s="25" t="str">
        <x:v>2027-01; baseline_rollforward; adopted raw value 5000; effective raw input 5000.0; growth applied for 2026-04, 2026-05, 2026-06, 2026-07, 2026-08, 2026-09, 2026-10, 2026-11, 2026-12, 2027-01. Scenario edits target the selected raw input; effective monthly inputs receive no additional growth.</x:v>
      </x:c>
      <x:c r="E56" s="25" t="str">
        <x:v>management</x:v>
      </x:c>
      <x:c r="F56" s="25" t="str">
        <x:v>c340447c-29b3-4e18-9500-cfa5aa37316a</x:v>
      </x:c>
      <x:c r="G56" s="25" t="str">
        <x:v>平均单价 [asp] = 5000.0; 单位 CNY/unit; 口径 monthly。</x:v>
      </x:c>
      <x:c r="H56" s="2"/>
    </x:row>
    <x:row r="57" ht="92" customHeight="1">
      <x:c r="C57" s="25" t="str">
        <x:v>Operating input: asp</x:v>
      </x:c>
      <x:c r="D57" s="25" t="str">
        <x:v>2027-02; baseline_rollforward; adopted raw value 5000; effective raw input 5000.0; growth applied for 2026-04, 2026-05, 2026-06, 2026-07, 2026-08, 2026-09, 2026-10, 2026-11, 2026-12, 2027-01, 2027-02. Scenario edits target the selected raw input; effective monthly inputs receive no additional growth.</x:v>
      </x:c>
      <x:c r="E57" s="25" t="str">
        <x:v>management</x:v>
      </x:c>
      <x:c r="F57" s="25" t="str">
        <x:v>c340447c-29b3-4e18-9500-cfa5aa37316a</x:v>
      </x:c>
      <x:c r="G57" s="25" t="str">
        <x:v>平均单价 [asp] = 5000.0; 单位 CNY/unit; 口径 monthly。</x:v>
      </x:c>
      <x:c r="H57" s="2"/>
    </x:row>
    <x:row r="58" ht="92" customHeight="1">
      <x:c r="C58" s="25" t="str">
        <x:v>Operating input: asp</x:v>
      </x:c>
      <x:c r="D58" s="25" t="str">
        <x:v>2027-03; baseline_rollforward; adopted raw value 5000; effective raw input 5000.0; growth applied for 2026-04, 2026-05, 2026-06, 2026-07, 2026-08, 2026-09, 2026-10, 2026-11, 2026-12, 2027-01, 2027-02, 2027-03. Scenario edits target the selected raw input; effective monthly inputs receive no additional growth.</x:v>
      </x:c>
      <x:c r="E58" s="25" t="str">
        <x:v>management</x:v>
      </x:c>
      <x:c r="F58" s="25" t="str">
        <x:v>c340447c-29b3-4e18-9500-cfa5aa37316a</x:v>
      </x:c>
      <x:c r="G58" s="25" t="str">
        <x:v>平均单价 [asp] = 5000.0; 单位 CNY/unit; 口径 monthly。</x:v>
      </x:c>
      <x:c r="H58" s="2"/>
    </x:row>
    <x:row r="59" ht="92" customHeight="1">
      <x:c r="C59" s="25" t="str">
        <x:v>Operating growth: asp_growth</x:v>
      </x:c>
      <x:c r="D59" s="25" t="str">
        <x:v>Growth interval 2026-04; explicitly adopted monthly compound basis; effective input 0.0. Used only by baseline projections containing this interval. monthly; Operator adoption rationale: 合成案例的明确输入，不代表真实公司确认。</x:v>
      </x:c>
      <x:c r="E59" s="25" t="str">
        <x:v>management</x:v>
      </x:c>
      <x:c r="F59" s="25" t="str">
        <x:v>c340447c-29b3-4e18-9500-cfa5aa37316a</x:v>
      </x:c>
      <x:c r="G59" s="25" t="str">
        <x:v>月度售价增长率 [asp_growth] = 0.0; 单位 ratio; 口径 monthly。</x:v>
      </x:c>
      <x:c r="H59" s="2"/>
    </x:row>
    <x:row r="60" ht="92" customHeight="1">
      <x:c r="C60" s="25" t="str">
        <x:v>Operating growth: asp_growth</x:v>
      </x:c>
      <x:c r="D60" s="25" t="str">
        <x:v>Growth interval 2026-05; explicitly adopted monthly compound basis; effective input 0.0. Used only by baseline projections containing this interval. monthly; Operator adoption rationale: 合成案例的明确输入，不代表真实公司确认。</x:v>
      </x:c>
      <x:c r="E60" s="25" t="str">
        <x:v>management</x:v>
      </x:c>
      <x:c r="F60" s="25" t="str">
        <x:v>c340447c-29b3-4e18-9500-cfa5aa37316a</x:v>
      </x:c>
      <x:c r="G60" s="25" t="str">
        <x:v>月度售价增长率 [asp_growth] = 0.0; 单位 ratio; 口径 monthly。</x:v>
      </x:c>
      <x:c r="H60" s="2"/>
    </x:row>
    <x:row r="61" ht="92" customHeight="1">
      <x:c r="C61" s="25" t="str">
        <x:v>Operating growth: asp_growth</x:v>
      </x:c>
      <x:c r="D61" s="25" t="str">
        <x:v>Growth interval 2026-06; explicitly adopted monthly compound basis; effective input 0.0. Used only by baseline projections containing this interval. monthly; Operator adoption rationale: 合成案例的明确输入，不代表真实公司确认。</x:v>
      </x:c>
      <x:c r="E61" s="25" t="str">
        <x:v>management</x:v>
      </x:c>
      <x:c r="F61" s="25" t="str">
        <x:v>c340447c-29b3-4e18-9500-cfa5aa37316a</x:v>
      </x:c>
      <x:c r="G61" s="25" t="str">
        <x:v>月度售价增长率 [asp_growth] = 0.0; 单位 ratio; 口径 monthly。</x:v>
      </x:c>
      <x:c r="H61" s="2"/>
    </x:row>
    <x:row r="62" ht="92" customHeight="1">
      <x:c r="C62" s="25" t="str">
        <x:v>Operating growth: asp_growth</x:v>
      </x:c>
      <x:c r="D62" s="25" t="str">
        <x:v>Growth interval 2026-07; explicitly adopted monthly compound basis; effective input 0.0. Used only by baseline projections containing this interval. monthly; Operator adoption rationale: 合成案例的明确输入，不代表真实公司确认。</x:v>
      </x:c>
      <x:c r="E62" s="25" t="str">
        <x:v>management</x:v>
      </x:c>
      <x:c r="F62" s="25" t="str">
        <x:v>c340447c-29b3-4e18-9500-cfa5aa37316a</x:v>
      </x:c>
      <x:c r="G62" s="25" t="str">
        <x:v>月度售价增长率 [asp_growth] = 0.0; 单位 ratio; 口径 monthly。</x:v>
      </x:c>
      <x:c r="H62" s="2"/>
    </x:row>
    <x:row r="63" ht="92" customHeight="1">
      <x:c r="C63" s="25" t="str">
        <x:v>Operating growth: asp_growth</x:v>
      </x:c>
      <x:c r="D63" s="25" t="str">
        <x:v>Growth interval 2026-08; explicitly adopted monthly compound basis; effective input 0.0. Used only by baseline projections containing this interval. monthly; Operator adoption rationale: 合成案例的明确输入，不代表真实公司确认。</x:v>
      </x:c>
      <x:c r="E63" s="25" t="str">
        <x:v>management</x:v>
      </x:c>
      <x:c r="F63" s="25" t="str">
        <x:v>c340447c-29b3-4e18-9500-cfa5aa37316a</x:v>
      </x:c>
      <x:c r="G63" s="25" t="str">
        <x:v>月度售价增长率 [asp_growth] = 0.0; 单位 ratio; 口径 monthly。</x:v>
      </x:c>
      <x:c r="H63" s="2"/>
    </x:row>
    <x:row r="64" ht="92" customHeight="1">
      <x:c r="C64" s="25" t="str">
        <x:v>Operating growth: asp_growth</x:v>
      </x:c>
      <x:c r="D64" s="25" t="str">
        <x:v>Growth interval 2026-09; explicitly adopted monthly compound basis; effective input 0.0. Used only by baseline projections containing this interval. monthly; Operator adoption rationale: 合成案例的明确输入，不代表真实公司确认。</x:v>
      </x:c>
      <x:c r="E64" s="25" t="str">
        <x:v>management</x:v>
      </x:c>
      <x:c r="F64" s="25" t="str">
        <x:v>c340447c-29b3-4e18-9500-cfa5aa37316a</x:v>
      </x:c>
      <x:c r="G64" s="25" t="str">
        <x:v>月度售价增长率 [asp_growth] = 0.0; 单位 ratio; 口径 monthly。</x:v>
      </x:c>
      <x:c r="H64" s="2"/>
    </x:row>
    <x:row r="65" ht="92" customHeight="1">
      <x:c r="C65" s="25" t="str">
        <x:v>Operating growth: asp_growth</x:v>
      </x:c>
      <x:c r="D65" s="25" t="str">
        <x:v>Growth interval 2026-10; explicitly adopted monthly compound basis; effective input 0.0. Used only by baseline projections containing this interval. monthly; Operator adoption rationale: 合成案例的明确输入，不代表真实公司确认。</x:v>
      </x:c>
      <x:c r="E65" s="25" t="str">
        <x:v>management</x:v>
      </x:c>
      <x:c r="F65" s="25" t="str">
        <x:v>c340447c-29b3-4e18-9500-cfa5aa37316a</x:v>
      </x:c>
      <x:c r="G65" s="25" t="str">
        <x:v>月度售价增长率 [asp_growth] = 0.0; 单位 ratio; 口径 monthly。</x:v>
      </x:c>
      <x:c r="H65" s="2"/>
    </x:row>
    <x:row r="66" ht="92" customHeight="1">
      <x:c r="C66" s="25" t="str">
        <x:v>Operating growth: asp_growth</x:v>
      </x:c>
      <x:c r="D66" s="25" t="str">
        <x:v>Growth interval 2026-11; explicitly adopted monthly compound basis; effective input 0.0. Used only by baseline projections containing this interval. monthly; Operator adoption rationale: 合成案例的明确输入，不代表真实公司确认。</x:v>
      </x:c>
      <x:c r="E66" s="25" t="str">
        <x:v>management</x:v>
      </x:c>
      <x:c r="F66" s="25" t="str">
        <x:v>c340447c-29b3-4e18-9500-cfa5aa37316a</x:v>
      </x:c>
      <x:c r="G66" s="25" t="str">
        <x:v>月度售价增长率 [asp_growth] = 0.0; 单位 ratio; 口径 monthly。</x:v>
      </x:c>
      <x:c r="H66" s="2"/>
    </x:row>
    <x:row r="67" ht="92" customHeight="1">
      <x:c r="C67" s="25" t="str">
        <x:v>Operating growth: asp_growth</x:v>
      </x:c>
      <x:c r="D67" s="25" t="str">
        <x:v>Growth interval 2026-12; explicitly adopted monthly compound basis; effective input 0.0. Used only by baseline projections containing this interval. monthly; Operator adoption rationale: 合成案例的明确输入，不代表真实公司确认。</x:v>
      </x:c>
      <x:c r="E67" s="25" t="str">
        <x:v>management</x:v>
      </x:c>
      <x:c r="F67" s="25" t="str">
        <x:v>c340447c-29b3-4e18-9500-cfa5aa37316a</x:v>
      </x:c>
      <x:c r="G67" s="25" t="str">
        <x:v>月度售价增长率 [asp_growth] = 0.0; 单位 ratio; 口径 monthly。</x:v>
      </x:c>
      <x:c r="H67" s="2"/>
    </x:row>
    <x:row r="68" ht="92" customHeight="1">
      <x:c r="C68" s="25" t="str">
        <x:v>Operating growth: asp_growth</x:v>
      </x:c>
      <x:c r="D68" s="25" t="str">
        <x:v>Growth interval 2027-01; explicitly adopted monthly compound basis; effective input 0.0. Used only by baseline projections containing this interval. monthly; Operator adoption rationale: 合成案例的明确输入，不代表真实公司确认。</x:v>
      </x:c>
      <x:c r="E68" s="25" t="str">
        <x:v>management</x:v>
      </x:c>
      <x:c r="F68" s="25" t="str">
        <x:v>c340447c-29b3-4e18-9500-cfa5aa37316a</x:v>
      </x:c>
      <x:c r="G68" s="25" t="str">
        <x:v>月度售价增长率 [asp_growth] = 0.0; 单位 ratio; 口径 monthly。</x:v>
      </x:c>
      <x:c r="H68" s="2"/>
    </x:row>
    <x:row r="69" ht="92" customHeight="1">
      <x:c r="C69" s="25" t="str">
        <x:v>Operating growth: asp_growth</x:v>
      </x:c>
      <x:c r="D69" s="25" t="str">
        <x:v>Growth interval 2027-02; explicitly adopted monthly compound basis; effective input 0.0. Used only by baseline projections containing this interval. monthly; Operator adoption rationale: 合成案例的明确输入，不代表真实公司确认。</x:v>
      </x:c>
      <x:c r="E69" s="25" t="str">
        <x:v>management</x:v>
      </x:c>
      <x:c r="F69" s="25" t="str">
        <x:v>c340447c-29b3-4e18-9500-cfa5aa37316a</x:v>
      </x:c>
      <x:c r="G69" s="25" t="str">
        <x:v>月度售价增长率 [asp_growth] = 0.0; 单位 ratio; 口径 monthly。</x:v>
      </x:c>
      <x:c r="H69" s="2"/>
    </x:row>
    <x:row r="70" ht="92" customHeight="1">
      <x:c r="C70" s="25" t="str">
        <x:v>Operating growth: asp_growth</x:v>
      </x:c>
      <x:c r="D70" s="25" t="str">
        <x:v>Growth interval 2027-03; explicitly adopted monthly compound basis; effective input 0.0. Used only by baseline projections containing this interval. monthly; Operator adoption rationale: 合成案例的明确输入，不代表真实公司确认。</x:v>
      </x:c>
      <x:c r="E70" s="25" t="str">
        <x:v>management</x:v>
      </x:c>
      <x:c r="F70" s="25" t="str">
        <x:v>c340447c-29b3-4e18-9500-cfa5aa37316a</x:v>
      </x:c>
      <x:c r="G70" s="25" t="str">
        <x:v>月度售价增长率 [asp_growth] = 0.0; 单位 ratio; 口径 monthly。</x:v>
      </x:c>
      <x:c r="H70" s="2"/>
    </x:row>
    <x:row r="71" ht="92" customHeight="1">
      <x:c r="C71" s="25" t="str">
        <x:v>Operating growth: volume_growth</x:v>
      </x:c>
      <x:c r="D71" s="25" t="str">
        <x:v>Growth interval 2026-04; explicitly adopted monthly compound basis; effective input 0.01. Used only by baseline projections containing this interval. monthly; Operator adoption rationale: 合成案例的明确输入，不代表真实公司确认。</x:v>
      </x:c>
      <x:c r="E71" s="25" t="str">
        <x:v>management</x:v>
      </x:c>
      <x:c r="F71" s="25" t="str">
        <x:v>c340447c-29b3-4e18-9500-cfa5aa37316a</x:v>
      </x:c>
      <x:c r="G71" s="25" t="str">
        <x:v>月度销量增长率 [volume_growth] = 0.01; 单位 ratio; 口径 monthly。</x:v>
      </x:c>
      <x:c r="H71" s="2"/>
    </x:row>
    <x:row r="72" ht="92" customHeight="1">
      <x:c r="C72" s="25" t="str">
        <x:v>Operating growth: volume_growth</x:v>
      </x:c>
      <x:c r="D72" s="25" t="str">
        <x:v>Growth interval 2026-05; explicitly adopted monthly compound basis; effective input 0.01. Used only by baseline projections containing this interval. monthly; Operator adoption rationale: 合成案例的明确输入，不代表真实公司确认。</x:v>
      </x:c>
      <x:c r="E72" s="25" t="str">
        <x:v>management</x:v>
      </x:c>
      <x:c r="F72" s="25" t="str">
        <x:v>c340447c-29b3-4e18-9500-cfa5aa37316a</x:v>
      </x:c>
      <x:c r="G72" s="25" t="str">
        <x:v>月度销量增长率 [volume_growth] = 0.01; 单位 ratio; 口径 monthly。</x:v>
      </x:c>
      <x:c r="H72" s="2"/>
    </x:row>
    <x:row r="73" ht="92" customHeight="1">
      <x:c r="C73" s="25" t="str">
        <x:v>Operating growth: volume_growth</x:v>
      </x:c>
      <x:c r="D73" s="25" t="str">
        <x:v>Growth interval 2026-06; explicitly adopted monthly compound basis; effective input 0.01. Used only by baseline projections containing this interval. monthly; Operator adoption rationale: 合成案例的明确输入，不代表真实公司确认。</x:v>
      </x:c>
      <x:c r="E73" s="25" t="str">
        <x:v>management</x:v>
      </x:c>
      <x:c r="F73" s="25" t="str">
        <x:v>c340447c-29b3-4e18-9500-cfa5aa37316a</x:v>
      </x:c>
      <x:c r="G73" s="25" t="str">
        <x:v>月度销量增长率 [volume_growth] = 0.01; 单位 ratio; 口径 monthly。</x:v>
      </x:c>
      <x:c r="H73" s="2"/>
    </x:row>
    <x:row r="74" ht="92" customHeight="1">
      <x:c r="C74" s="25" t="str">
        <x:v>Operating growth: volume_growth</x:v>
      </x:c>
      <x:c r="D74" s="25" t="str">
        <x:v>Growth interval 2026-07; explicitly adopted monthly compound basis; effective input 0.01. Used only by baseline projections containing this interval. monthly; Operator adoption rationale: 合成案例的明确输入，不代表真实公司确认。</x:v>
      </x:c>
      <x:c r="E74" s="25" t="str">
        <x:v>management</x:v>
      </x:c>
      <x:c r="F74" s="25" t="str">
        <x:v>c340447c-29b3-4e18-9500-cfa5aa37316a</x:v>
      </x:c>
      <x:c r="G74" s="25" t="str">
        <x:v>月度销量增长率 [volume_growth] = 0.01; 单位 ratio; 口径 monthly。</x:v>
      </x:c>
      <x:c r="H74" s="2"/>
    </x:row>
    <x:row r="75" ht="92" customHeight="1">
      <x:c r="C75" s="25" t="str">
        <x:v>Operating growth: volume_growth</x:v>
      </x:c>
      <x:c r="D75" s="25" t="str">
        <x:v>Growth interval 2026-08; explicitly adopted monthly compound basis; effective input 0.01. Used only by baseline projections containing this interval. monthly; Operator adoption rationale: 合成案例的明确输入，不代表真实公司确认。</x:v>
      </x:c>
      <x:c r="E75" s="25" t="str">
        <x:v>management</x:v>
      </x:c>
      <x:c r="F75" s="25" t="str">
        <x:v>c340447c-29b3-4e18-9500-cfa5aa37316a</x:v>
      </x:c>
      <x:c r="G75" s="25" t="str">
        <x:v>月度销量增长率 [volume_growth] = 0.01; 单位 ratio; 口径 monthly。</x:v>
      </x:c>
      <x:c r="H75" s="2"/>
    </x:row>
    <x:row r="76" ht="92" customHeight="1">
      <x:c r="C76" s="25" t="str">
        <x:v>Operating growth: volume_growth</x:v>
      </x:c>
      <x:c r="D76" s="25" t="str">
        <x:v>Growth interval 2026-09; explicitly adopted monthly compound basis; effective input 0.01. Used only by baseline projections containing this interval. monthly; Operator adoption rationale: 合成案例的明确输入，不代表真实公司确认。</x:v>
      </x:c>
      <x:c r="E76" s="25" t="str">
        <x:v>management</x:v>
      </x:c>
      <x:c r="F76" s="25" t="str">
        <x:v>c340447c-29b3-4e18-9500-cfa5aa37316a</x:v>
      </x:c>
      <x:c r="G76" s="25" t="str">
        <x:v>月度销量增长率 [volume_growth] = 0.01; 单位 ratio; 口径 monthly。</x:v>
      </x:c>
      <x:c r="H76" s="2"/>
    </x:row>
    <x:row r="77" ht="92" customHeight="1">
      <x:c r="C77" s="25" t="str">
        <x:v>Operating growth: volume_growth</x:v>
      </x:c>
      <x:c r="D77" s="25" t="str">
        <x:v>Growth interval 2026-10; explicitly adopted monthly compound basis; effective input 0.01. Used only by baseline projections containing this interval. monthly; Operator adoption rationale: 合成案例的明确输入，不代表真实公司确认。</x:v>
      </x:c>
      <x:c r="E77" s="25" t="str">
        <x:v>management</x:v>
      </x:c>
      <x:c r="F77" s="25" t="str">
        <x:v>c340447c-29b3-4e18-9500-cfa5aa37316a</x:v>
      </x:c>
      <x:c r="G77" s="25" t="str">
        <x:v>月度销量增长率 [volume_growth] = 0.01; 单位 ratio; 口径 monthly。</x:v>
      </x:c>
      <x:c r="H77" s="2"/>
    </x:row>
    <x:row r="78" ht="92" customHeight="1">
      <x:c r="C78" s="25" t="str">
        <x:v>Operating growth: volume_growth</x:v>
      </x:c>
      <x:c r="D78" s="25" t="str">
        <x:v>Growth interval 2026-11; explicitly adopted monthly compound basis; effective input 0.01. Used only by baseline projections containing this interval. monthly; Operator adoption rationale: 合成案例的明确输入，不代表真实公司确认。</x:v>
      </x:c>
      <x:c r="E78" s="25" t="str">
        <x:v>management</x:v>
      </x:c>
      <x:c r="F78" s="25" t="str">
        <x:v>c340447c-29b3-4e18-9500-cfa5aa37316a</x:v>
      </x:c>
      <x:c r="G78" s="25" t="str">
        <x:v>月度销量增长率 [volume_growth] = 0.01; 单位 ratio; 口径 monthly。</x:v>
      </x:c>
      <x:c r="H78" s="2"/>
    </x:row>
    <x:row r="79" ht="92" customHeight="1">
      <x:c r="C79" s="25" t="str">
        <x:v>Operating growth: volume_growth</x:v>
      </x:c>
      <x:c r="D79" s="25" t="str">
        <x:v>Growth interval 2026-12; explicitly adopted monthly compound basis; effective input 0.01. Used only by baseline projections containing this interval. monthly; Operator adoption rationale: 合成案例的明确输入，不代表真实公司确认。</x:v>
      </x:c>
      <x:c r="E79" s="25" t="str">
        <x:v>management</x:v>
      </x:c>
      <x:c r="F79" s="25" t="str">
        <x:v>c340447c-29b3-4e18-9500-cfa5aa37316a</x:v>
      </x:c>
      <x:c r="G79" s="25" t="str">
        <x:v>月度销量增长率 [volume_growth] = 0.01; 单位 ratio; 口径 monthly。</x:v>
      </x:c>
      <x:c r="H79" s="2"/>
    </x:row>
    <x:row r="80" ht="92" customHeight="1">
      <x:c r="C80" s="25" t="str">
        <x:v>Operating growth: volume_growth</x:v>
      </x:c>
      <x:c r="D80" s="25" t="str">
        <x:v>Growth interval 2027-01; explicitly adopted monthly compound basis; effective input 0.01. Used only by baseline projections containing this interval. monthly; Operator adoption rationale: 合成案例的明确输入，不代表真实公司确认。</x:v>
      </x:c>
      <x:c r="E80" s="25" t="str">
        <x:v>management</x:v>
      </x:c>
      <x:c r="F80" s="25" t="str">
        <x:v>c340447c-29b3-4e18-9500-cfa5aa37316a</x:v>
      </x:c>
      <x:c r="G80" s="25" t="str">
        <x:v>月度销量增长率 [volume_growth] = 0.01; 单位 ratio; 口径 monthly。</x:v>
      </x:c>
      <x:c r="H80" s="2"/>
    </x:row>
    <x:row r="81" ht="92" customHeight="1">
      <x:c r="C81" s="25" t="str">
        <x:v>Operating growth: volume_growth</x:v>
      </x:c>
      <x:c r="D81" s="25" t="str">
        <x:v>Growth interval 2027-02; explicitly adopted monthly compound basis; effective input 0.01. Used only by baseline projections containing this interval. monthly; Operator adoption rationale: 合成案例的明确输入，不代表真实公司确认。</x:v>
      </x:c>
      <x:c r="E81" s="25" t="str">
        <x:v>management</x:v>
      </x:c>
      <x:c r="F81" s="25" t="str">
        <x:v>c340447c-29b3-4e18-9500-cfa5aa37316a</x:v>
      </x:c>
      <x:c r="G81" s="25" t="str">
        <x:v>月度销量增长率 [volume_growth] = 0.01; 单位 ratio; 口径 monthly。</x:v>
      </x:c>
      <x:c r="H81" s="2"/>
    </x:row>
    <x:row r="82" ht="92" customHeight="1">
      <x:c r="C82" s="25" t="str">
        <x:v>Operating growth: volume_growth</x:v>
      </x:c>
      <x:c r="D82" s="25" t="str">
        <x:v>Growth interval 2027-03; explicitly adopted monthly compound basis; effective input 0.01. Used only by baseline projections containing this interval. monthly; Operator adoption rationale: 合成案例的明确输入，不代表真实公司确认。</x:v>
      </x:c>
      <x:c r="E82" s="25" t="str">
        <x:v>management</x:v>
      </x:c>
      <x:c r="F82" s="25" t="str">
        <x:v>c340447c-29b3-4e18-9500-cfa5aa37316a</x:v>
      </x:c>
      <x:c r="G82" s="25" t="str">
        <x:v>月度销量增长率 [volume_growth] = 0.01; 单位 ratio; 口径 monthly。</x:v>
      </x:c>
      <x:c r="H82" s="2"/>
    </x:row>
    <x:row r="83" ht="92" customHeight="1">
      <x:c r="C83" s="25" t="str">
        <x:v>Input control: Assumptions.admin_ratio.2026-04</x:v>
      </x:c>
      <x:c r="D83" s="25" t="str">
        <x:v>candidate_id=e005861c-b398-556d-bb2b-f262b235419b; unit=ratio;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83" s="25" t="str">
        <x:v>management</x:v>
      </x:c>
      <x:c r="F83" s="25" t="str">
        <x:v>c340447c-29b3-4e18-9500-cfa5aa37316a</x:v>
      </x:c>
      <x:c r="G83" s="25" t="str">
        <x:v>管理费用率 [admin_ratio] = 0.05; 单位 ratio; 口径 monthly。</x:v>
      </x:c>
      <x:c r="H83" s="2"/>
    </x:row>
    <x:row r="84" ht="92" customHeight="1">
      <x:c r="C84" s="25" t="str">
        <x:v>Input control: Assumptions.admin_ratio.2026-05</x:v>
      </x:c>
      <x:c r="D84" s="25" t="str">
        <x:v>candidate_id=e005861c-b398-556d-bb2b-f262b235419b; unit=ratio;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84" s="25" t="str">
        <x:v>management</x:v>
      </x:c>
      <x:c r="F84" s="25" t="str">
        <x:v>c340447c-29b3-4e18-9500-cfa5aa37316a</x:v>
      </x:c>
      <x:c r="G84" s="25" t="str">
        <x:v>管理费用率 [admin_ratio] = 0.05; 单位 ratio; 口径 monthly。</x:v>
      </x:c>
      <x:c r="H84" s="2"/>
    </x:row>
    <x:row r="85" ht="92" customHeight="1">
      <x:c r="C85" s="25" t="str">
        <x:v>Input control: Assumptions.admin_ratio.2026-06</x:v>
      </x:c>
      <x:c r="D85" s="25" t="str">
        <x:v>candidate_id=e005861c-b398-556d-bb2b-f262b235419b; unit=ratio;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85" s="25" t="str">
        <x:v>management</x:v>
      </x:c>
      <x:c r="F85" s="25" t="str">
        <x:v>c340447c-29b3-4e18-9500-cfa5aa37316a</x:v>
      </x:c>
      <x:c r="G85" s="25" t="str">
        <x:v>管理费用率 [admin_ratio] = 0.05; 单位 ratio; 口径 monthly。</x:v>
      </x:c>
      <x:c r="H85" s="2"/>
    </x:row>
    <x:row r="86" ht="92" customHeight="1">
      <x:c r="C86" s="25" t="str">
        <x:v>Input control: Assumptions.admin_ratio.2026-07</x:v>
      </x:c>
      <x:c r="D86" s="25" t="str">
        <x:v>candidate_id=e005861c-b398-556d-bb2b-f262b235419b; unit=ratio;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86" s="25" t="str">
        <x:v>management</x:v>
      </x:c>
      <x:c r="F86" s="25" t="str">
        <x:v>c340447c-29b3-4e18-9500-cfa5aa37316a</x:v>
      </x:c>
      <x:c r="G86" s="25" t="str">
        <x:v>管理费用率 [admin_ratio] = 0.05; 单位 ratio; 口径 monthly。</x:v>
      </x:c>
      <x:c r="H86" s="2"/>
    </x:row>
    <x:row r="87" ht="92" customHeight="1">
      <x:c r="C87" s="25" t="str">
        <x:v>Input control: Assumptions.admin_ratio.2026-08</x:v>
      </x:c>
      <x:c r="D87" s="25" t="str">
        <x:v>candidate_id=e005861c-b398-556d-bb2b-f262b235419b; unit=ratio;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87" s="25" t="str">
        <x:v>management</x:v>
      </x:c>
      <x:c r="F87" s="25" t="str">
        <x:v>c340447c-29b3-4e18-9500-cfa5aa37316a</x:v>
      </x:c>
      <x:c r="G87" s="25" t="str">
        <x:v>管理费用率 [admin_ratio] = 0.05; 单位 ratio; 口径 monthly。</x:v>
      </x:c>
      <x:c r="H87" s="2"/>
    </x:row>
    <x:row r="88" ht="92" customHeight="1">
      <x:c r="C88" s="25" t="str">
        <x:v>Input control: Assumptions.admin_ratio.2026-09</x:v>
      </x:c>
      <x:c r="D88" s="25" t="str">
        <x:v>candidate_id=e005861c-b398-556d-bb2b-f262b235419b; unit=ratio;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88" s="25" t="str">
        <x:v>management</x:v>
      </x:c>
      <x:c r="F88" s="25" t="str">
        <x:v>c340447c-29b3-4e18-9500-cfa5aa37316a</x:v>
      </x:c>
      <x:c r="G88" s="25" t="str">
        <x:v>管理费用率 [admin_ratio] = 0.05; 单位 ratio; 口径 monthly。</x:v>
      </x:c>
      <x:c r="H88" s="2"/>
    </x:row>
    <x:row r="89" ht="92" customHeight="1">
      <x:c r="C89" s="25" t="str">
        <x:v>Input control: Assumptions.admin_ratio.2026-10</x:v>
      </x:c>
      <x:c r="D89" s="25" t="str">
        <x:v>candidate_id=e005861c-b398-556d-bb2b-f262b235419b; unit=ratio;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89" s="25" t="str">
        <x:v>management</x:v>
      </x:c>
      <x:c r="F89" s="25" t="str">
        <x:v>c340447c-29b3-4e18-9500-cfa5aa37316a</x:v>
      </x:c>
      <x:c r="G89" s="25" t="str">
        <x:v>管理费用率 [admin_ratio] = 0.05; 单位 ratio; 口径 monthly。</x:v>
      </x:c>
      <x:c r="H89" s="2"/>
    </x:row>
    <x:row r="90" ht="92" customHeight="1">
      <x:c r="C90" s="25" t="str">
        <x:v>Input control: Assumptions.admin_ratio.2026-11</x:v>
      </x:c>
      <x:c r="D90" s="25" t="str">
        <x:v>candidate_id=e005861c-b398-556d-bb2b-f262b235419b; unit=ratio;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90" s="25" t="str">
        <x:v>management</x:v>
      </x:c>
      <x:c r="F90" s="25" t="str">
        <x:v>c340447c-29b3-4e18-9500-cfa5aa37316a</x:v>
      </x:c>
      <x:c r="G90" s="25" t="str">
        <x:v>管理费用率 [admin_ratio] = 0.05; 单位 ratio; 口径 monthly。</x:v>
      </x:c>
      <x:c r="H90" s="2"/>
    </x:row>
    <x:row r="91" ht="92" customHeight="1">
      <x:c r="C91" s="25" t="str">
        <x:v>Input control: Assumptions.admin_ratio.2026-12</x:v>
      </x:c>
      <x:c r="D91" s="25" t="str">
        <x:v>candidate_id=e005861c-b398-556d-bb2b-f262b235419b; unit=ratio;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91" s="25" t="str">
        <x:v>management</x:v>
      </x:c>
      <x:c r="F91" s="25" t="str">
        <x:v>c340447c-29b3-4e18-9500-cfa5aa37316a</x:v>
      </x:c>
      <x:c r="G91" s="25" t="str">
        <x:v>管理费用率 [admin_ratio] = 0.05; 单位 ratio; 口径 monthly。</x:v>
      </x:c>
      <x:c r="H91" s="2"/>
    </x:row>
    <x:row r="92" ht="92" customHeight="1">
      <x:c r="C92" s="25" t="str">
        <x:v>Input control: Assumptions.admin_ratio.2027-01</x:v>
      </x:c>
      <x:c r="D92" s="25" t="str">
        <x:v>candidate_id=e005861c-b398-556d-bb2b-f262b235419b; unit=ratio;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92" s="25" t="str">
        <x:v>management</x:v>
      </x:c>
      <x:c r="F92" s="25" t="str">
        <x:v>c340447c-29b3-4e18-9500-cfa5aa37316a</x:v>
      </x:c>
      <x:c r="G92" s="25" t="str">
        <x:v>管理费用率 [admin_ratio] = 0.05; 单位 ratio; 口径 monthly。</x:v>
      </x:c>
      <x:c r="H92" s="2"/>
    </x:row>
    <x:row r="93" ht="92" customHeight="1">
      <x:c r="C93" s="25" t="str">
        <x:v>Input control: Assumptions.admin_ratio.2027-02</x:v>
      </x:c>
      <x:c r="D93" s="25" t="str">
        <x:v>candidate_id=e005861c-b398-556d-bb2b-f262b235419b; unit=ratio;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93" s="25" t="str">
        <x:v>management</x:v>
      </x:c>
      <x:c r="F93" s="25" t="str">
        <x:v>c340447c-29b3-4e18-9500-cfa5aa37316a</x:v>
      </x:c>
      <x:c r="G93" s="25" t="str">
        <x:v>管理费用率 [admin_ratio] = 0.05; 单位 ratio; 口径 monthly。</x:v>
      </x:c>
      <x:c r="H93" s="2"/>
    </x:row>
    <x:row r="94" ht="92" customHeight="1">
      <x:c r="C94" s="25" t="str">
        <x:v>Input control: Assumptions.admin_ratio.2027-03</x:v>
      </x:c>
      <x:c r="D94" s="25" t="str">
        <x:v>candidate_id=e005861c-b398-556d-bb2b-f262b235419b; unit=ratio;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94" s="25" t="str">
        <x:v>management</x:v>
      </x:c>
      <x:c r="F94" s="25" t="str">
        <x:v>c340447c-29b3-4e18-9500-cfa5aa37316a</x:v>
      </x:c>
      <x:c r="G94" s="25" t="str">
        <x:v>管理费用率 [admin_ratio] = 0.05; 单位 ratio; 口径 monthly。</x:v>
      </x:c>
      <x:c r="H94" s="2"/>
    </x:row>
    <x:row r="95" ht="92" customHeight="1">
      <x:c r="C95" s="25" t="str">
        <x:v>Input control: Assumptions.asp.2026-04</x:v>
      </x:c>
      <x:c r="D95" s="25" t="str">
        <x:v>candidate_id=57c5eeed-0c40-58ab-9514-b6bfbefa8798; unit=CNY/unit;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95" s="25" t="str">
        <x:v>management</x:v>
      </x:c>
      <x:c r="F95" s="25" t="str">
        <x:v>c340447c-29b3-4e18-9500-cfa5aa37316a</x:v>
      </x:c>
      <x:c r="G95" s="25" t="str">
        <x:v>平均单价 [asp] = 5000.0; 单位 CNY/unit; 口径 monthly。</x:v>
      </x:c>
      <x:c r="H95" s="2"/>
    </x:row>
    <x:row r="96" ht="92" customHeight="1">
      <x:c r="C96" s="25" t="str">
        <x:v>Input control: Assumptions.asp.2026-05</x:v>
      </x:c>
      <x:c r="D96" s="25" t="str">
        <x:v>candidate_id=57c5eeed-0c40-58ab-9514-b6bfbefa8798; unit=CNY/unit;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96" s="25" t="str">
        <x:v>management</x:v>
      </x:c>
      <x:c r="F96" s="25" t="str">
        <x:v>c340447c-29b3-4e18-9500-cfa5aa37316a</x:v>
      </x:c>
      <x:c r="G96" s="25" t="str">
        <x:v>平均单价 [asp] = 5000.0; 单位 CNY/unit; 口径 monthly。</x:v>
      </x:c>
      <x:c r="H96" s="2"/>
    </x:row>
    <x:row r="97" ht="92" customHeight="1">
      <x:c r="C97" s="25" t="str">
        <x:v>Input control: Assumptions.asp.2026-06</x:v>
      </x:c>
      <x:c r="D97" s="25" t="str">
        <x:v>candidate_id=57c5eeed-0c40-58ab-9514-b6bfbefa8798; unit=CNY/unit;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97" s="25" t="str">
        <x:v>management</x:v>
      </x:c>
      <x:c r="F97" s="25" t="str">
        <x:v>c340447c-29b3-4e18-9500-cfa5aa37316a</x:v>
      </x:c>
      <x:c r="G97" s="25" t="str">
        <x:v>平均单价 [asp] = 5000.0; 单位 CNY/unit; 口径 monthly。</x:v>
      </x:c>
      <x:c r="H97" s="2"/>
    </x:row>
    <x:row r="98" ht="92" customHeight="1">
      <x:c r="C98" s="25" t="str">
        <x:v>Input control: Assumptions.asp.2026-07</x:v>
      </x:c>
      <x:c r="D98" s="25" t="str">
        <x:v>candidate_id=57c5eeed-0c40-58ab-9514-b6bfbefa8798; unit=CNY/unit;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98" s="25" t="str">
        <x:v>management</x:v>
      </x:c>
      <x:c r="F98" s="25" t="str">
        <x:v>c340447c-29b3-4e18-9500-cfa5aa37316a</x:v>
      </x:c>
      <x:c r="G98" s="25" t="str">
        <x:v>平均单价 [asp] = 5000.0; 单位 CNY/unit; 口径 monthly。</x:v>
      </x:c>
      <x:c r="H98" s="2"/>
    </x:row>
    <x:row r="99" ht="92" customHeight="1">
      <x:c r="C99" s="25" t="str">
        <x:v>Input control: Assumptions.asp.2026-08</x:v>
      </x:c>
      <x:c r="D99" s="25" t="str">
        <x:v>candidate_id=57c5eeed-0c40-58ab-9514-b6bfbefa8798; unit=CNY/unit;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99" s="25" t="str">
        <x:v>management</x:v>
      </x:c>
      <x:c r="F99" s="25" t="str">
        <x:v>c340447c-29b3-4e18-9500-cfa5aa37316a</x:v>
      </x:c>
      <x:c r="G99" s="25" t="str">
        <x:v>平均单价 [asp] = 5000.0; 单位 CNY/unit; 口径 monthly。</x:v>
      </x:c>
      <x:c r="H99" s="2"/>
    </x:row>
    <x:row r="100" ht="92" customHeight="1">
      <x:c r="C100" s="25" t="str">
        <x:v>Input control: Assumptions.asp.2026-09</x:v>
      </x:c>
      <x:c r="D100" s="25" t="str">
        <x:v>candidate_id=57c5eeed-0c40-58ab-9514-b6bfbefa8798; unit=CNY/unit;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100" s="25" t="str">
        <x:v>management</x:v>
      </x:c>
      <x:c r="F100" s="25" t="str">
        <x:v>c340447c-29b3-4e18-9500-cfa5aa37316a</x:v>
      </x:c>
      <x:c r="G100" s="25" t="str">
        <x:v>平均单价 [asp] = 5000.0; 单位 CNY/unit; 口径 monthly。</x:v>
      </x:c>
      <x:c r="H100" s="2"/>
    </x:row>
    <x:row r="101" ht="92" customHeight="1">
      <x:c r="C101" s="25" t="str">
        <x:v>Input control: Assumptions.asp.2026-10</x:v>
      </x:c>
      <x:c r="D101" s="25" t="str">
        <x:v>candidate_id=57c5eeed-0c40-58ab-9514-b6bfbefa8798; unit=CNY/unit;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101" s="25" t="str">
        <x:v>management</x:v>
      </x:c>
      <x:c r="F101" s="25" t="str">
        <x:v>c340447c-29b3-4e18-9500-cfa5aa37316a</x:v>
      </x:c>
      <x:c r="G101" s="25" t="str">
        <x:v>平均单价 [asp] = 5000.0; 单位 CNY/unit; 口径 monthly。</x:v>
      </x:c>
      <x:c r="H101" s="2"/>
    </x:row>
    <x:row r="102" ht="92" customHeight="1">
      <x:c r="C102" s="25" t="str">
        <x:v>Input control: Assumptions.asp.2026-11</x:v>
      </x:c>
      <x:c r="D102" s="25" t="str">
        <x:v>candidate_id=57c5eeed-0c40-58ab-9514-b6bfbefa8798; unit=CNY/unit;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102" s="25" t="str">
        <x:v>management</x:v>
      </x:c>
      <x:c r="F102" s="25" t="str">
        <x:v>c340447c-29b3-4e18-9500-cfa5aa37316a</x:v>
      </x:c>
      <x:c r="G102" s="25" t="str">
        <x:v>平均单价 [asp] = 5000.0; 单位 CNY/unit; 口径 monthly。</x:v>
      </x:c>
      <x:c r="H102" s="2"/>
    </x:row>
    <x:row r="103" ht="92" customHeight="1">
      <x:c r="C103" s="25" t="str">
        <x:v>Input control: Assumptions.asp.2026-12</x:v>
      </x:c>
      <x:c r="D103" s="25" t="str">
        <x:v>candidate_id=57c5eeed-0c40-58ab-9514-b6bfbefa8798; unit=CNY/unit;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103" s="25" t="str">
        <x:v>management</x:v>
      </x:c>
      <x:c r="F103" s="25" t="str">
        <x:v>c340447c-29b3-4e18-9500-cfa5aa37316a</x:v>
      </x:c>
      <x:c r="G103" s="25" t="str">
        <x:v>平均单价 [asp] = 5000.0; 单位 CNY/unit; 口径 monthly。</x:v>
      </x:c>
      <x:c r="H103" s="2"/>
    </x:row>
    <x:row r="104" ht="92" customHeight="1">
      <x:c r="C104" s="25" t="str">
        <x:v>Input control: Assumptions.asp.2027-01</x:v>
      </x:c>
      <x:c r="D104" s="25" t="str">
        <x:v>candidate_id=57c5eeed-0c40-58ab-9514-b6bfbefa8798; unit=CNY/unit;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104" s="25" t="str">
        <x:v>management</x:v>
      </x:c>
      <x:c r="F104" s="25" t="str">
        <x:v>c340447c-29b3-4e18-9500-cfa5aa37316a</x:v>
      </x:c>
      <x:c r="G104" s="25" t="str">
        <x:v>平均单价 [asp] = 5000.0; 单位 CNY/unit; 口径 monthly。</x:v>
      </x:c>
      <x:c r="H104" s="2"/>
    </x:row>
    <x:row r="105" ht="92" customHeight="1">
      <x:c r="C105" s="25" t="str">
        <x:v>Input control: Assumptions.asp.2027-02</x:v>
      </x:c>
      <x:c r="D105" s="25" t="str">
        <x:v>candidate_id=57c5eeed-0c40-58ab-9514-b6bfbefa8798; unit=CNY/unit;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105" s="25" t="str">
        <x:v>management</x:v>
      </x:c>
      <x:c r="F105" s="25" t="str">
        <x:v>c340447c-29b3-4e18-9500-cfa5aa37316a</x:v>
      </x:c>
      <x:c r="G105" s="25" t="str">
        <x:v>平均单价 [asp] = 5000.0; 单位 CNY/unit; 口径 monthly。</x:v>
      </x:c>
      <x:c r="H105" s="2"/>
    </x:row>
    <x:row r="106" ht="92" customHeight="1">
      <x:c r="C106" s="25" t="str">
        <x:v>Input control: Assumptions.asp.2027-03</x:v>
      </x:c>
      <x:c r="D106" s="25" t="str">
        <x:v>candidate_id=57c5eeed-0c40-58ab-9514-b6bfbefa8798; unit=CNY/unit;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106" s="25" t="str">
        <x:v>management</x:v>
      </x:c>
      <x:c r="F106" s="25" t="str">
        <x:v>c340447c-29b3-4e18-9500-cfa5aa37316a</x:v>
      </x:c>
      <x:c r="G106" s="25" t="str">
        <x:v>平均单价 [asp] = 5000.0; 单位 CNY/unit; 口径 monthly。</x:v>
      </x:c>
      <x:c r="H106" s="2"/>
    </x:row>
    <x:row r="107" ht="92" customHeight="1">
      <x:c r="C107" s="25" t="str">
        <x:v>Input control: Assumptions.asp_growth.2026-04</x:v>
      </x:c>
      <x:c r="D107" s="25" t="str">
        <x:v>candidate_id=f06b3a07-9c53-5769-a8b3-7c55b93a8aa5; unit=ratio; input stage=selected raw input; scope=input; period=2026-04; editable slots require supplied numeric values; formula/source-structure edits invalidate the original receipt and require separate review; domain {"max":null,"min":-1}; adopted bounds {"max":null,"min":null,"scope":"input"}</x:v>
      </x:c>
      <x:c r="E107" s="25" t="str">
        <x:v>management</x:v>
      </x:c>
      <x:c r="F107" s="25" t="str">
        <x:v>c340447c-29b3-4e18-9500-cfa5aa37316a</x:v>
      </x:c>
      <x:c r="G107" s="25" t="str">
        <x:v>月度售价增长率 [asp_growth] = 0.0; 单位 ratio; 口径 monthly。</x:v>
      </x:c>
      <x:c r="H107" s="2"/>
    </x:row>
    <x:row r="108" ht="92" customHeight="1">
      <x:c r="C108" s="25" t="str">
        <x:v>Input control: Assumptions.asp_growth.2026-05</x:v>
      </x:c>
      <x:c r="D108" s="25" t="str">
        <x:v>candidate_id=f06b3a07-9c53-5769-a8b3-7c55b93a8aa5; unit=ratio; input stage=selected raw input; scope=input; period=2026-05; editable slots require supplied numeric values; formula/source-structure edits invalidate the original receipt and require separate review; domain {"max":null,"min":-1}; adopted bounds {"max":null,"min":null,"scope":"input"}</x:v>
      </x:c>
      <x:c r="E108" s="25" t="str">
        <x:v>management</x:v>
      </x:c>
      <x:c r="F108" s="25" t="str">
        <x:v>c340447c-29b3-4e18-9500-cfa5aa37316a</x:v>
      </x:c>
      <x:c r="G108" s="25" t="str">
        <x:v>月度售价增长率 [asp_growth] = 0.0; 单位 ratio; 口径 monthly。</x:v>
      </x:c>
      <x:c r="H108" s="2"/>
    </x:row>
    <x:row r="109" ht="92" customHeight="1">
      <x:c r="C109" s="25" t="str">
        <x:v>Input control: Assumptions.asp_growth.2026-06</x:v>
      </x:c>
      <x:c r="D109" s="25" t="str">
        <x:v>candidate_id=f06b3a07-9c53-5769-a8b3-7c55b93a8aa5; unit=ratio; input stage=selected raw input; scope=input; period=2026-06; editable slots require supplied numeric values; formula/source-structure edits invalidate the original receipt and require separate review; domain {"max":null,"min":-1}; adopted bounds {"max":null,"min":null,"scope":"input"}</x:v>
      </x:c>
      <x:c r="E109" s="25" t="str">
        <x:v>management</x:v>
      </x:c>
      <x:c r="F109" s="25" t="str">
        <x:v>c340447c-29b3-4e18-9500-cfa5aa37316a</x:v>
      </x:c>
      <x:c r="G109" s="25" t="str">
        <x:v>月度售价增长率 [asp_growth] = 0.0; 单位 ratio; 口径 monthly。</x:v>
      </x:c>
      <x:c r="H109" s="2"/>
    </x:row>
    <x:row r="110" ht="92" customHeight="1">
      <x:c r="C110" s="25" t="str">
        <x:v>Input control: Assumptions.asp_growth.2026-07</x:v>
      </x:c>
      <x:c r="D110" s="25" t="str">
        <x:v>candidate_id=f06b3a07-9c53-5769-a8b3-7c55b93a8aa5; unit=ratio; input stage=selected raw input; scope=input; period=2026-07; editable slots require supplied numeric values; formula/source-structure edits invalidate the original receipt and require separate review; domain {"max":null,"min":-1}; adopted bounds {"max":null,"min":null,"scope":"input"}</x:v>
      </x:c>
      <x:c r="E110" s="25" t="str">
        <x:v>management</x:v>
      </x:c>
      <x:c r="F110" s="25" t="str">
        <x:v>c340447c-29b3-4e18-9500-cfa5aa37316a</x:v>
      </x:c>
      <x:c r="G110" s="25" t="str">
        <x:v>月度售价增长率 [asp_growth] = 0.0; 单位 ratio; 口径 monthly。</x:v>
      </x:c>
      <x:c r="H110" s="2"/>
    </x:row>
    <x:row r="111" ht="92" customHeight="1">
      <x:c r="C111" s="25" t="str">
        <x:v>Input control: Assumptions.asp_growth.2026-08</x:v>
      </x:c>
      <x:c r="D111" s="25" t="str">
        <x:v>candidate_id=f06b3a07-9c53-5769-a8b3-7c55b93a8aa5; unit=ratio; input stage=selected raw input; scope=input; period=2026-08; editable slots require supplied numeric values; formula/source-structure edits invalidate the original receipt and require separate review; domain {"max":null,"min":-1}; adopted bounds {"max":null,"min":null,"scope":"input"}</x:v>
      </x:c>
      <x:c r="E111" s="25" t="str">
        <x:v>management</x:v>
      </x:c>
      <x:c r="F111" s="25" t="str">
        <x:v>c340447c-29b3-4e18-9500-cfa5aa37316a</x:v>
      </x:c>
      <x:c r="G111" s="25" t="str">
        <x:v>月度售价增长率 [asp_growth] = 0.0; 单位 ratio; 口径 monthly。</x:v>
      </x:c>
      <x:c r="H111" s="2"/>
    </x:row>
    <x:row r="112" ht="92" customHeight="1">
      <x:c r="C112" s="25" t="str">
        <x:v>Input control: Assumptions.asp_growth.2026-09</x:v>
      </x:c>
      <x:c r="D112" s="25" t="str">
        <x:v>candidate_id=f06b3a07-9c53-5769-a8b3-7c55b93a8aa5; unit=ratio; input stage=selected raw input; scope=input; period=2026-09; editable slots require supplied numeric values; formula/source-structure edits invalidate the original receipt and require separate review; domain {"max":null,"min":-1}; adopted bounds {"max":null,"min":null,"scope":"input"}</x:v>
      </x:c>
      <x:c r="E112" s="25" t="str">
        <x:v>management</x:v>
      </x:c>
      <x:c r="F112" s="25" t="str">
        <x:v>c340447c-29b3-4e18-9500-cfa5aa37316a</x:v>
      </x:c>
      <x:c r="G112" s="25" t="str">
        <x:v>月度售价增长率 [asp_growth] = 0.0; 单位 ratio; 口径 monthly。</x:v>
      </x:c>
      <x:c r="H112" s="2"/>
    </x:row>
    <x:row r="113" ht="92" customHeight="1">
      <x:c r="C113" s="25" t="str">
        <x:v>Input control: Assumptions.asp_growth.2026-10</x:v>
      </x:c>
      <x:c r="D113" s="25" t="str">
        <x:v>candidate_id=f06b3a07-9c53-5769-a8b3-7c55b93a8aa5; unit=ratio; input stage=selected raw input; scope=input; period=2026-10; editable slots require supplied numeric values; formula/source-structure edits invalidate the original receipt and require separate review; domain {"max":null,"min":-1}; adopted bounds {"max":null,"min":null,"scope":"input"}</x:v>
      </x:c>
      <x:c r="E113" s="25" t="str">
        <x:v>management</x:v>
      </x:c>
      <x:c r="F113" s="25" t="str">
        <x:v>c340447c-29b3-4e18-9500-cfa5aa37316a</x:v>
      </x:c>
      <x:c r="G113" s="25" t="str">
        <x:v>月度售价增长率 [asp_growth] = 0.0; 单位 ratio; 口径 monthly。</x:v>
      </x:c>
      <x:c r="H113" s="2"/>
    </x:row>
    <x:row r="114" ht="92" customHeight="1">
      <x:c r="C114" s="25" t="str">
        <x:v>Input control: Assumptions.asp_growth.2026-11</x:v>
      </x:c>
      <x:c r="D114" s="25" t="str">
        <x:v>candidate_id=f06b3a07-9c53-5769-a8b3-7c55b93a8aa5; unit=ratio; input stage=selected raw input; scope=input; period=2026-11; editable slots require supplied numeric values; formula/source-structure edits invalidate the original receipt and require separate review; domain {"max":null,"min":-1}; adopted bounds {"max":null,"min":null,"scope":"input"}</x:v>
      </x:c>
      <x:c r="E114" s="25" t="str">
        <x:v>management</x:v>
      </x:c>
      <x:c r="F114" s="25" t="str">
        <x:v>c340447c-29b3-4e18-9500-cfa5aa37316a</x:v>
      </x:c>
      <x:c r="G114" s="25" t="str">
        <x:v>月度售价增长率 [asp_growth] = 0.0; 单位 ratio; 口径 monthly。</x:v>
      </x:c>
      <x:c r="H114" s="2"/>
    </x:row>
    <x:row r="115" ht="92" customHeight="1">
      <x:c r="C115" s="25" t="str">
        <x:v>Input control: Assumptions.asp_growth.2026-12</x:v>
      </x:c>
      <x:c r="D115" s="25" t="str">
        <x:v>candidate_id=f06b3a07-9c53-5769-a8b3-7c55b93a8aa5; unit=ratio; input stage=selected raw input; scope=input; period=2026-12; editable slots require supplied numeric values; formula/source-structure edits invalidate the original receipt and require separate review; domain {"max":null,"min":-1}; adopted bounds {"max":null,"min":null,"scope":"input"}</x:v>
      </x:c>
      <x:c r="E115" s="25" t="str">
        <x:v>management</x:v>
      </x:c>
      <x:c r="F115" s="25" t="str">
        <x:v>c340447c-29b3-4e18-9500-cfa5aa37316a</x:v>
      </x:c>
      <x:c r="G115" s="25" t="str">
        <x:v>月度售价增长率 [asp_growth] = 0.0; 单位 ratio; 口径 monthly。</x:v>
      </x:c>
      <x:c r="H115" s="2"/>
    </x:row>
    <x:row r="116" ht="92" customHeight="1">
      <x:c r="C116" s="25" t="str">
        <x:v>Input control: Assumptions.asp_growth.2027-01</x:v>
      </x:c>
      <x:c r="D116" s="25" t="str">
        <x:v>candidate_id=f06b3a07-9c53-5769-a8b3-7c55b93a8aa5; unit=ratio; input stage=selected raw input; scope=input; period=2027-01; editable slots require supplied numeric values; formula/source-structure edits invalidate the original receipt and require separate review; domain {"max":null,"min":-1}; adopted bounds {"max":null,"min":null,"scope":"input"}</x:v>
      </x:c>
      <x:c r="E116" s="25" t="str">
        <x:v>management</x:v>
      </x:c>
      <x:c r="F116" s="25" t="str">
        <x:v>c340447c-29b3-4e18-9500-cfa5aa37316a</x:v>
      </x:c>
      <x:c r="G116" s="25" t="str">
        <x:v>月度售价增长率 [asp_growth] = 0.0; 单位 ratio; 口径 monthly。</x:v>
      </x:c>
      <x:c r="H116" s="2"/>
    </x:row>
    <x:row r="117" ht="92" customHeight="1">
      <x:c r="C117" s="25" t="str">
        <x:v>Input control: Assumptions.asp_growth.2027-02</x:v>
      </x:c>
      <x:c r="D117" s="25" t="str">
        <x:v>candidate_id=f06b3a07-9c53-5769-a8b3-7c55b93a8aa5; unit=ratio; input stage=selected raw input; scope=input; period=2027-02; editable slots require supplied numeric values; formula/source-structure edits invalidate the original receipt and require separate review; domain {"max":null,"min":-1}; adopted bounds {"max":null,"min":null,"scope":"input"}</x:v>
      </x:c>
      <x:c r="E117" s="25" t="str">
        <x:v>management</x:v>
      </x:c>
      <x:c r="F117" s="25" t="str">
        <x:v>c340447c-29b3-4e18-9500-cfa5aa37316a</x:v>
      </x:c>
      <x:c r="G117" s="25" t="str">
        <x:v>月度售价增长率 [asp_growth] = 0.0; 单位 ratio; 口径 monthly。</x:v>
      </x:c>
      <x:c r="H117" s="2"/>
    </x:row>
    <x:row r="118" ht="92" customHeight="1">
      <x:c r="C118" s="25" t="str">
        <x:v>Input control: Assumptions.asp_growth.2027-03</x:v>
      </x:c>
      <x:c r="D118" s="25" t="str">
        <x:v>candidate_id=f06b3a07-9c53-5769-a8b3-7c55b93a8aa5; unit=ratio; input stage=selected raw input; scope=input; period=2027-03; editable slots require supplied numeric values; formula/source-structure edits invalidate the original receipt and require separate review; domain {"max":null,"min":-1}; adopted bounds {"max":null,"min":null,"scope":"input"}</x:v>
      </x:c>
      <x:c r="E118" s="25" t="str">
        <x:v>management</x:v>
      </x:c>
      <x:c r="F118" s="25" t="str">
        <x:v>c340447c-29b3-4e18-9500-cfa5aa37316a</x:v>
      </x:c>
      <x:c r="G118" s="25" t="str">
        <x:v>月度售价增长率 [asp_growth] = 0.0; 单位 ratio; 口径 monthly。</x:v>
      </x:c>
      <x:c r="H118" s="2"/>
    </x:row>
    <x:row r="119" ht="92" customHeight="1">
      <x:c r="C119" s="25" t="str">
        <x:v>Input control: Assumptions.capex.2026-04</x:v>
      </x:c>
      <x:c r="D119" s="25" t="str">
        <x:v>candidate_id=22e9e4d8-77e8-509e-a316-84d5facb8fe5; unit=CNY;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119" s="25" t="str">
        <x:v>management</x:v>
      </x:c>
      <x:c r="F119" s="25" t="str">
        <x:v>c340447c-29b3-4e18-9500-cfa5aa37316a</x:v>
      </x:c>
      <x:c r="G119" s="25" t="str">
        <x:v>月度资本开支 [capex] = 5000.0; 单位 CNY; 口径 monthly。</x:v>
      </x:c>
      <x:c r="H119" s="2"/>
    </x:row>
    <x:row r="120" ht="92" customHeight="1">
      <x:c r="C120" s="25" t="str">
        <x:v>Input control: Assumptions.capex.2026-05</x:v>
      </x:c>
      <x:c r="D120" s="25" t="str">
        <x:v>candidate_id=22e9e4d8-77e8-509e-a316-84d5facb8fe5; unit=CNY;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120" s="25" t="str">
        <x:v>management</x:v>
      </x:c>
      <x:c r="F120" s="25" t="str">
        <x:v>c340447c-29b3-4e18-9500-cfa5aa37316a</x:v>
      </x:c>
      <x:c r="G120" s="25" t="str">
        <x:v>月度资本开支 [capex] = 5000.0; 单位 CNY; 口径 monthly。</x:v>
      </x:c>
      <x:c r="H120" s="2"/>
    </x:row>
    <x:row r="121" ht="92" customHeight="1">
      <x:c r="C121" s="25" t="str">
        <x:v>Input control: Assumptions.capex.2026-06</x:v>
      </x:c>
      <x:c r="D121" s="25" t="str">
        <x:v>candidate_id=22e9e4d8-77e8-509e-a316-84d5facb8fe5; unit=CNY;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121" s="25" t="str">
        <x:v>management</x:v>
      </x:c>
      <x:c r="F121" s="25" t="str">
        <x:v>c340447c-29b3-4e18-9500-cfa5aa37316a</x:v>
      </x:c>
      <x:c r="G121" s="25" t="str">
        <x:v>月度资本开支 [capex] = 5000.0; 单位 CNY; 口径 monthly。</x:v>
      </x:c>
      <x:c r="H121" s="2"/>
    </x:row>
    <x:row r="122" ht="92" customHeight="1">
      <x:c r="C122" s="25" t="str">
        <x:v>Input control: Assumptions.capex.2026-07</x:v>
      </x:c>
      <x:c r="D122" s="25" t="str">
        <x:v>candidate_id=22e9e4d8-77e8-509e-a316-84d5facb8fe5; unit=CNY;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122" s="25" t="str">
        <x:v>management</x:v>
      </x:c>
      <x:c r="F122" s="25" t="str">
        <x:v>c340447c-29b3-4e18-9500-cfa5aa37316a</x:v>
      </x:c>
      <x:c r="G122" s="25" t="str">
        <x:v>月度资本开支 [capex] = 5000.0; 单位 CNY; 口径 monthly。</x:v>
      </x:c>
      <x:c r="H122" s="2"/>
    </x:row>
    <x:row r="123" ht="92" customHeight="1">
      <x:c r="C123" s="25" t="str">
        <x:v>Input control: Assumptions.capex.2026-08</x:v>
      </x:c>
      <x:c r="D123" s="25" t="str">
        <x:v>candidate_id=22e9e4d8-77e8-509e-a316-84d5facb8fe5; unit=CNY;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123" s="25" t="str">
        <x:v>management</x:v>
      </x:c>
      <x:c r="F123" s="25" t="str">
        <x:v>c340447c-29b3-4e18-9500-cfa5aa37316a</x:v>
      </x:c>
      <x:c r="G123" s="25" t="str">
        <x:v>月度资本开支 [capex] = 5000.0; 单位 CNY; 口径 monthly。</x:v>
      </x:c>
      <x:c r="H123" s="2"/>
    </x:row>
    <x:row r="124" ht="92" customHeight="1">
      <x:c r="C124" s="25" t="str">
        <x:v>Input control: Assumptions.capex.2026-09</x:v>
      </x:c>
      <x:c r="D124" s="25" t="str">
        <x:v>candidate_id=22e9e4d8-77e8-509e-a316-84d5facb8fe5; unit=CNY;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124" s="25" t="str">
        <x:v>management</x:v>
      </x:c>
      <x:c r="F124" s="25" t="str">
        <x:v>c340447c-29b3-4e18-9500-cfa5aa37316a</x:v>
      </x:c>
      <x:c r="G124" s="25" t="str">
        <x:v>月度资本开支 [capex] = 5000.0; 单位 CNY; 口径 monthly。</x:v>
      </x:c>
      <x:c r="H124" s="2"/>
    </x:row>
    <x:row r="125" ht="92" customHeight="1">
      <x:c r="C125" s="25" t="str">
        <x:v>Input control: Assumptions.capex.2026-10</x:v>
      </x:c>
      <x:c r="D125" s="25" t="str">
        <x:v>candidate_id=22e9e4d8-77e8-509e-a316-84d5facb8fe5; unit=CNY;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125" s="25" t="str">
        <x:v>management</x:v>
      </x:c>
      <x:c r="F125" s="25" t="str">
        <x:v>c340447c-29b3-4e18-9500-cfa5aa37316a</x:v>
      </x:c>
      <x:c r="G125" s="25" t="str">
        <x:v>月度资本开支 [capex] = 5000.0; 单位 CNY; 口径 monthly。</x:v>
      </x:c>
      <x:c r="H125" s="2"/>
    </x:row>
    <x:row r="126" ht="92" customHeight="1">
      <x:c r="C126" s="25" t="str">
        <x:v>Input control: Assumptions.capex.2026-11</x:v>
      </x:c>
      <x:c r="D126" s="25" t="str">
        <x:v>candidate_id=22e9e4d8-77e8-509e-a316-84d5facb8fe5; unit=CNY;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126" s="25" t="str">
        <x:v>management</x:v>
      </x:c>
      <x:c r="F126" s="25" t="str">
        <x:v>c340447c-29b3-4e18-9500-cfa5aa37316a</x:v>
      </x:c>
      <x:c r="G126" s="25" t="str">
        <x:v>月度资本开支 [capex] = 5000.0; 单位 CNY; 口径 monthly。</x:v>
      </x:c>
      <x:c r="H126" s="2"/>
    </x:row>
    <x:row r="127" ht="92" customHeight="1">
      <x:c r="C127" s="25" t="str">
        <x:v>Input control: Assumptions.capex.2026-12</x:v>
      </x:c>
      <x:c r="D127" s="25" t="str">
        <x:v>candidate_id=22e9e4d8-77e8-509e-a316-84d5facb8fe5; unit=CNY;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127" s="25" t="str">
        <x:v>management</x:v>
      </x:c>
      <x:c r="F127" s="25" t="str">
        <x:v>c340447c-29b3-4e18-9500-cfa5aa37316a</x:v>
      </x:c>
      <x:c r="G127" s="25" t="str">
        <x:v>月度资本开支 [capex] = 5000.0; 单位 CNY; 口径 monthly。</x:v>
      </x:c>
      <x:c r="H127" s="2"/>
    </x:row>
    <x:row r="128" ht="92" customHeight="1">
      <x:c r="C128" s="25" t="str">
        <x:v>Input control: Assumptions.capex.2027-01</x:v>
      </x:c>
      <x:c r="D128" s="25" t="str">
        <x:v>candidate_id=22e9e4d8-77e8-509e-a316-84d5facb8fe5; unit=CNY;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128" s="25" t="str">
        <x:v>management</x:v>
      </x:c>
      <x:c r="F128" s="25" t="str">
        <x:v>c340447c-29b3-4e18-9500-cfa5aa37316a</x:v>
      </x:c>
      <x:c r="G128" s="25" t="str">
        <x:v>月度资本开支 [capex] = 5000.0; 单位 CNY; 口径 monthly。</x:v>
      </x:c>
      <x:c r="H128" s="2"/>
    </x:row>
    <x:row r="129" ht="92" customHeight="1">
      <x:c r="C129" s="25" t="str">
        <x:v>Input control: Assumptions.capex.2027-02</x:v>
      </x:c>
      <x:c r="D129" s="25" t="str">
        <x:v>candidate_id=22e9e4d8-77e8-509e-a316-84d5facb8fe5; unit=CNY;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129" s="25" t="str">
        <x:v>management</x:v>
      </x:c>
      <x:c r="F129" s="25" t="str">
        <x:v>c340447c-29b3-4e18-9500-cfa5aa37316a</x:v>
      </x:c>
      <x:c r="G129" s="25" t="str">
        <x:v>月度资本开支 [capex] = 5000.0; 单位 CNY; 口径 monthly。</x:v>
      </x:c>
      <x:c r="H129" s="2"/>
    </x:row>
    <x:row r="130" ht="92" customHeight="1">
      <x:c r="C130" s="25" t="str">
        <x:v>Input control: Assumptions.capex.2027-03</x:v>
      </x:c>
      <x:c r="D130" s="25" t="str">
        <x:v>candidate_id=22e9e4d8-77e8-509e-a316-84d5facb8fe5; unit=CNY;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130" s="25" t="str">
        <x:v>management</x:v>
      </x:c>
      <x:c r="F130" s="25" t="str">
        <x:v>c340447c-29b3-4e18-9500-cfa5aa37316a</x:v>
      </x:c>
      <x:c r="G130" s="25" t="str">
        <x:v>月度资本开支 [capex] = 5000.0; 单位 CNY; 口径 monthly。</x:v>
      </x:c>
      <x:c r="H130" s="2"/>
    </x:row>
    <x:row r="131" ht="92" customHeight="1">
      <x:c r="C131" s="25" t="str">
        <x:v>Input control: Assumptions.debt_draw.2026-04</x:v>
      </x:c>
      <x:c r="D131" s="25" t="str">
        <x:v>candidate_id=e8688216-dac5-5b02-bff9-66ae30a7e3e1; unit=CNY;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131" s="25" t="str">
        <x:v>management</x:v>
      </x:c>
      <x:c r="F131" s="25" t="str">
        <x:v>c340447c-29b3-4e18-9500-cfa5aa37316a</x:v>
      </x:c>
      <x:c r="G131" s="25" t="str">
        <x:v>每月主动提款 [debt_draw] = 0.0; 单位 CNY; 口径 monthly。</x:v>
      </x:c>
      <x:c r="H131" s="2"/>
    </x:row>
    <x:row r="132" ht="92" customHeight="1">
      <x:c r="C132" s="25" t="str">
        <x:v>Input control: Assumptions.debt_draw.2026-05</x:v>
      </x:c>
      <x:c r="D132" s="25" t="str">
        <x:v>candidate_id=e8688216-dac5-5b02-bff9-66ae30a7e3e1; unit=CNY;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132" s="25" t="str">
        <x:v>management</x:v>
      </x:c>
      <x:c r="F132" s="25" t="str">
        <x:v>c340447c-29b3-4e18-9500-cfa5aa37316a</x:v>
      </x:c>
      <x:c r="G132" s="25" t="str">
        <x:v>每月主动提款 [debt_draw] = 0.0; 单位 CNY; 口径 monthly。</x:v>
      </x:c>
      <x:c r="H132" s="2"/>
    </x:row>
    <x:row r="133" ht="92" customHeight="1">
      <x:c r="C133" s="25" t="str">
        <x:v>Input control: Assumptions.debt_draw.2026-06</x:v>
      </x:c>
      <x:c r="D133" s="25" t="str">
        <x:v>candidate_id=e8688216-dac5-5b02-bff9-66ae30a7e3e1; unit=CNY;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133" s="25" t="str">
        <x:v>management</x:v>
      </x:c>
      <x:c r="F133" s="25" t="str">
        <x:v>c340447c-29b3-4e18-9500-cfa5aa37316a</x:v>
      </x:c>
      <x:c r="G133" s="25" t="str">
        <x:v>每月主动提款 [debt_draw] = 0.0; 单位 CNY; 口径 monthly。</x:v>
      </x:c>
      <x:c r="H133" s="2"/>
    </x:row>
    <x:row r="134" ht="92" customHeight="1">
      <x:c r="C134" s="25" t="str">
        <x:v>Input control: Assumptions.debt_draw.2026-07</x:v>
      </x:c>
      <x:c r="D134" s="25" t="str">
        <x:v>candidate_id=e8688216-dac5-5b02-bff9-66ae30a7e3e1; unit=CNY;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134" s="25" t="str">
        <x:v>management</x:v>
      </x:c>
      <x:c r="F134" s="25" t="str">
        <x:v>c340447c-29b3-4e18-9500-cfa5aa37316a</x:v>
      </x:c>
      <x:c r="G134" s="25" t="str">
        <x:v>每月主动提款 [debt_draw] = 0.0; 单位 CNY; 口径 monthly。</x:v>
      </x:c>
      <x:c r="H134" s="2"/>
    </x:row>
    <x:row r="135" ht="92" customHeight="1">
      <x:c r="C135" s="25" t="str">
        <x:v>Input control: Assumptions.debt_draw.2026-08</x:v>
      </x:c>
      <x:c r="D135" s="25" t="str">
        <x:v>candidate_id=e8688216-dac5-5b02-bff9-66ae30a7e3e1; unit=CNY;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135" s="25" t="str">
        <x:v>management</x:v>
      </x:c>
      <x:c r="F135" s="25" t="str">
        <x:v>c340447c-29b3-4e18-9500-cfa5aa37316a</x:v>
      </x:c>
      <x:c r="G135" s="25" t="str">
        <x:v>每月主动提款 [debt_draw] = 0.0; 单位 CNY; 口径 monthly。</x:v>
      </x:c>
      <x:c r="H135" s="2"/>
    </x:row>
    <x:row r="136" ht="92" customHeight="1">
      <x:c r="C136" s="25" t="str">
        <x:v>Input control: Assumptions.debt_draw.2026-09</x:v>
      </x:c>
      <x:c r="D136" s="25" t="str">
        <x:v>candidate_id=e8688216-dac5-5b02-bff9-66ae30a7e3e1; unit=CNY;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136" s="25" t="str">
        <x:v>management</x:v>
      </x:c>
      <x:c r="F136" s="25" t="str">
        <x:v>c340447c-29b3-4e18-9500-cfa5aa37316a</x:v>
      </x:c>
      <x:c r="G136" s="25" t="str">
        <x:v>每月主动提款 [debt_draw] = 0.0; 单位 CNY; 口径 monthly。</x:v>
      </x:c>
      <x:c r="H136" s="2"/>
    </x:row>
    <x:row r="137" ht="92" customHeight="1">
      <x:c r="C137" s="25" t="str">
        <x:v>Input control: Assumptions.debt_draw.2026-10</x:v>
      </x:c>
      <x:c r="D137" s="25" t="str">
        <x:v>candidate_id=e8688216-dac5-5b02-bff9-66ae30a7e3e1; unit=CNY;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137" s="25" t="str">
        <x:v>management</x:v>
      </x:c>
      <x:c r="F137" s="25" t="str">
        <x:v>c340447c-29b3-4e18-9500-cfa5aa37316a</x:v>
      </x:c>
      <x:c r="G137" s="25" t="str">
        <x:v>每月主动提款 [debt_draw] = 0.0; 单位 CNY; 口径 monthly。</x:v>
      </x:c>
      <x:c r="H137" s="2"/>
    </x:row>
    <x:row r="138" ht="92" customHeight="1">
      <x:c r="C138" s="25" t="str">
        <x:v>Input control: Assumptions.debt_draw.2026-11</x:v>
      </x:c>
      <x:c r="D138" s="25" t="str">
        <x:v>candidate_id=e8688216-dac5-5b02-bff9-66ae30a7e3e1; unit=CNY;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138" s="25" t="str">
        <x:v>management</x:v>
      </x:c>
      <x:c r="F138" s="25" t="str">
        <x:v>c340447c-29b3-4e18-9500-cfa5aa37316a</x:v>
      </x:c>
      <x:c r="G138" s="25" t="str">
        <x:v>每月主动提款 [debt_draw] = 0.0; 单位 CNY; 口径 monthly。</x:v>
      </x:c>
      <x:c r="H138" s="2"/>
    </x:row>
    <x:row r="139" ht="92" customHeight="1">
      <x:c r="C139" s="25" t="str">
        <x:v>Input control: Assumptions.debt_draw.2026-12</x:v>
      </x:c>
      <x:c r="D139" s="25" t="str">
        <x:v>candidate_id=e8688216-dac5-5b02-bff9-66ae30a7e3e1; unit=CNY;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139" s="25" t="str">
        <x:v>management</x:v>
      </x:c>
      <x:c r="F139" s="25" t="str">
        <x:v>c340447c-29b3-4e18-9500-cfa5aa37316a</x:v>
      </x:c>
      <x:c r="G139" s="25" t="str">
        <x:v>每月主动提款 [debt_draw] = 0.0; 单位 CNY; 口径 monthly。</x:v>
      </x:c>
      <x:c r="H139" s="2"/>
    </x:row>
    <x:row r="140" ht="92" customHeight="1">
      <x:c r="C140" s="25" t="str">
        <x:v>Input control: Assumptions.debt_draw.2027-01</x:v>
      </x:c>
      <x:c r="D140" s="25" t="str">
        <x:v>candidate_id=e8688216-dac5-5b02-bff9-66ae30a7e3e1; unit=CNY;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140" s="25" t="str">
        <x:v>management</x:v>
      </x:c>
      <x:c r="F140" s="25" t="str">
        <x:v>c340447c-29b3-4e18-9500-cfa5aa37316a</x:v>
      </x:c>
      <x:c r="G140" s="25" t="str">
        <x:v>每月主动提款 [debt_draw] = 0.0; 单位 CNY; 口径 monthly。</x:v>
      </x:c>
      <x:c r="H140" s="2"/>
    </x:row>
    <x:row r="141" ht="92" customHeight="1">
      <x:c r="C141" s="25" t="str">
        <x:v>Input control: Assumptions.debt_draw.2027-02</x:v>
      </x:c>
      <x:c r="D141" s="25" t="str">
        <x:v>candidate_id=e8688216-dac5-5b02-bff9-66ae30a7e3e1; unit=CNY;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141" s="25" t="str">
        <x:v>management</x:v>
      </x:c>
      <x:c r="F141" s="25" t="str">
        <x:v>c340447c-29b3-4e18-9500-cfa5aa37316a</x:v>
      </x:c>
      <x:c r="G141" s="25" t="str">
        <x:v>每月主动提款 [debt_draw] = 0.0; 单位 CNY; 口径 monthly。</x:v>
      </x:c>
      <x:c r="H141" s="2"/>
    </x:row>
    <x:row r="142" ht="92" customHeight="1">
      <x:c r="C142" s="25" t="str">
        <x:v>Input control: Assumptions.debt_draw.2027-03</x:v>
      </x:c>
      <x:c r="D142" s="25" t="str">
        <x:v>candidate_id=e8688216-dac5-5b02-bff9-66ae30a7e3e1; unit=CNY;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142" s="25" t="str">
        <x:v>management</x:v>
      </x:c>
      <x:c r="F142" s="25" t="str">
        <x:v>c340447c-29b3-4e18-9500-cfa5aa37316a</x:v>
      </x:c>
      <x:c r="G142" s="25" t="str">
        <x:v>每月主动提款 [debt_draw] = 0.0; 单位 CNY; 口径 monthly。</x:v>
      </x:c>
      <x:c r="H142" s="2"/>
    </x:row>
    <x:row r="143" ht="92" customHeight="1">
      <x:c r="C143" s="25" t="str">
        <x:v>Input control: Assumptions.debt_repayment.2026-04</x:v>
      </x:c>
      <x:c r="D143" s="25" t="str">
        <x:v>candidate_id=416508b1-2c25-51f5-9fc5-5156d0fcd658; unit=CNY;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143" s="25" t="str">
        <x:v>management</x:v>
      </x:c>
      <x:c r="F143" s="25" t="str">
        <x:v>c340447c-29b3-4e18-9500-cfa5aa37316a</x:v>
      </x:c>
      <x:c r="G143" s="25" t="str">
        <x:v>每月计划偿还借款 [debt_repayment] = 0.0; 单位 CNY; 口径 monthly。</x:v>
      </x:c>
      <x:c r="H143" s="2"/>
    </x:row>
    <x:row r="144" ht="92" customHeight="1">
      <x:c r="C144" s="25" t="str">
        <x:v>Input control: Assumptions.debt_repayment.2026-05</x:v>
      </x:c>
      <x:c r="D144" s="25" t="str">
        <x:v>candidate_id=416508b1-2c25-51f5-9fc5-5156d0fcd658; unit=CNY;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144" s="25" t="str">
        <x:v>management</x:v>
      </x:c>
      <x:c r="F144" s="25" t="str">
        <x:v>c340447c-29b3-4e18-9500-cfa5aa37316a</x:v>
      </x:c>
      <x:c r="G144" s="25" t="str">
        <x:v>每月计划偿还借款 [debt_repayment] = 0.0; 单位 CNY; 口径 monthly。</x:v>
      </x:c>
      <x:c r="H144" s="2"/>
    </x:row>
    <x:row r="145" ht="92" customHeight="1">
      <x:c r="C145" s="25" t="str">
        <x:v>Input control: Assumptions.debt_repayment.2026-06</x:v>
      </x:c>
      <x:c r="D145" s="25" t="str">
        <x:v>candidate_id=416508b1-2c25-51f5-9fc5-5156d0fcd658; unit=CNY;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145" s="25" t="str">
        <x:v>management</x:v>
      </x:c>
      <x:c r="F145" s="25" t="str">
        <x:v>c340447c-29b3-4e18-9500-cfa5aa37316a</x:v>
      </x:c>
      <x:c r="G145" s="25" t="str">
        <x:v>每月计划偿还借款 [debt_repayment] = 0.0; 单位 CNY; 口径 monthly。</x:v>
      </x:c>
      <x:c r="H145" s="2"/>
    </x:row>
    <x:row r="146" ht="92" customHeight="1">
      <x:c r="C146" s="25" t="str">
        <x:v>Input control: Assumptions.debt_repayment.2026-07</x:v>
      </x:c>
      <x:c r="D146" s="25" t="str">
        <x:v>candidate_id=416508b1-2c25-51f5-9fc5-5156d0fcd658; unit=CNY;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146" s="25" t="str">
        <x:v>management</x:v>
      </x:c>
      <x:c r="F146" s="25" t="str">
        <x:v>c340447c-29b3-4e18-9500-cfa5aa37316a</x:v>
      </x:c>
      <x:c r="G146" s="25" t="str">
        <x:v>每月计划偿还借款 [debt_repayment] = 0.0; 单位 CNY; 口径 monthly。</x:v>
      </x:c>
      <x:c r="H146" s="2"/>
    </x:row>
    <x:row r="147" ht="92" customHeight="1">
      <x:c r="C147" s="25" t="str">
        <x:v>Input control: Assumptions.debt_repayment.2026-08</x:v>
      </x:c>
      <x:c r="D147" s="25" t="str">
        <x:v>candidate_id=416508b1-2c25-51f5-9fc5-5156d0fcd658; unit=CNY;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147" s="25" t="str">
        <x:v>management</x:v>
      </x:c>
      <x:c r="F147" s="25" t="str">
        <x:v>c340447c-29b3-4e18-9500-cfa5aa37316a</x:v>
      </x:c>
      <x:c r="G147" s="25" t="str">
        <x:v>每月计划偿还借款 [debt_repayment] = 0.0; 单位 CNY; 口径 monthly。</x:v>
      </x:c>
      <x:c r="H147" s="2"/>
    </x:row>
    <x:row r="148" ht="92" customHeight="1">
      <x:c r="C148" s="25" t="str">
        <x:v>Input control: Assumptions.debt_repayment.2026-09</x:v>
      </x:c>
      <x:c r="D148" s="25" t="str">
        <x:v>candidate_id=416508b1-2c25-51f5-9fc5-5156d0fcd658; unit=CNY;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148" s="25" t="str">
        <x:v>management</x:v>
      </x:c>
      <x:c r="F148" s="25" t="str">
        <x:v>c340447c-29b3-4e18-9500-cfa5aa37316a</x:v>
      </x:c>
      <x:c r="G148" s="25" t="str">
        <x:v>每月计划偿还借款 [debt_repayment] = 0.0; 单位 CNY; 口径 monthly。</x:v>
      </x:c>
      <x:c r="H148" s="2"/>
    </x:row>
    <x:row r="149" ht="92" customHeight="1">
      <x:c r="C149" s="25" t="str">
        <x:v>Input control: Assumptions.debt_repayment.2026-10</x:v>
      </x:c>
      <x:c r="D149" s="25" t="str">
        <x:v>candidate_id=416508b1-2c25-51f5-9fc5-5156d0fcd658; unit=CNY;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149" s="25" t="str">
        <x:v>management</x:v>
      </x:c>
      <x:c r="F149" s="25" t="str">
        <x:v>c340447c-29b3-4e18-9500-cfa5aa37316a</x:v>
      </x:c>
      <x:c r="G149" s="25" t="str">
        <x:v>每月计划偿还借款 [debt_repayment] = 0.0; 单位 CNY; 口径 monthly。</x:v>
      </x:c>
      <x:c r="H149" s="2"/>
    </x:row>
    <x:row r="150" ht="92" customHeight="1">
      <x:c r="C150" s="25" t="str">
        <x:v>Input control: Assumptions.debt_repayment.2026-11</x:v>
      </x:c>
      <x:c r="D150" s="25" t="str">
        <x:v>candidate_id=416508b1-2c25-51f5-9fc5-5156d0fcd658; unit=CNY;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150" s="25" t="str">
        <x:v>management</x:v>
      </x:c>
      <x:c r="F150" s="25" t="str">
        <x:v>c340447c-29b3-4e18-9500-cfa5aa37316a</x:v>
      </x:c>
      <x:c r="G150" s="25" t="str">
        <x:v>每月计划偿还借款 [debt_repayment] = 0.0; 单位 CNY; 口径 monthly。</x:v>
      </x:c>
      <x:c r="H150" s="2"/>
    </x:row>
    <x:row r="151" ht="92" customHeight="1">
      <x:c r="C151" s="25" t="str">
        <x:v>Input control: Assumptions.debt_repayment.2026-12</x:v>
      </x:c>
      <x:c r="D151" s="25" t="str">
        <x:v>candidate_id=416508b1-2c25-51f5-9fc5-5156d0fcd658; unit=CNY;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151" s="25" t="str">
        <x:v>management</x:v>
      </x:c>
      <x:c r="F151" s="25" t="str">
        <x:v>c340447c-29b3-4e18-9500-cfa5aa37316a</x:v>
      </x:c>
      <x:c r="G151" s="25" t="str">
        <x:v>每月计划偿还借款 [debt_repayment] = 0.0; 单位 CNY; 口径 monthly。</x:v>
      </x:c>
      <x:c r="H151" s="2"/>
    </x:row>
    <x:row r="152" ht="92" customHeight="1">
      <x:c r="C152" s="25" t="str">
        <x:v>Input control: Assumptions.debt_repayment.2027-01</x:v>
      </x:c>
      <x:c r="D152" s="25" t="str">
        <x:v>candidate_id=416508b1-2c25-51f5-9fc5-5156d0fcd658; unit=CNY;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152" s="25" t="str">
        <x:v>management</x:v>
      </x:c>
      <x:c r="F152" s="25" t="str">
        <x:v>c340447c-29b3-4e18-9500-cfa5aa37316a</x:v>
      </x:c>
      <x:c r="G152" s="25" t="str">
        <x:v>每月计划偿还借款 [debt_repayment] = 0.0; 单位 CNY; 口径 monthly。</x:v>
      </x:c>
      <x:c r="H152" s="2"/>
    </x:row>
    <x:row r="153" ht="92" customHeight="1">
      <x:c r="C153" s="25" t="str">
        <x:v>Input control: Assumptions.debt_repayment.2027-02</x:v>
      </x:c>
      <x:c r="D153" s="25" t="str">
        <x:v>candidate_id=416508b1-2c25-51f5-9fc5-5156d0fcd658; unit=CNY;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153" s="25" t="str">
        <x:v>management</x:v>
      </x:c>
      <x:c r="F153" s="25" t="str">
        <x:v>c340447c-29b3-4e18-9500-cfa5aa37316a</x:v>
      </x:c>
      <x:c r="G153" s="25" t="str">
        <x:v>每月计划偿还借款 [debt_repayment] = 0.0; 单位 CNY; 口径 monthly。</x:v>
      </x:c>
      <x:c r="H153" s="2"/>
    </x:row>
    <x:row r="154" ht="92" customHeight="1">
      <x:c r="C154" s="25" t="str">
        <x:v>Input control: Assumptions.debt_repayment.2027-03</x:v>
      </x:c>
      <x:c r="D154" s="25" t="str">
        <x:v>candidate_id=416508b1-2c25-51f5-9fc5-5156d0fcd658; unit=CNY;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154" s="25" t="str">
        <x:v>management</x:v>
      </x:c>
      <x:c r="F154" s="25" t="str">
        <x:v>c340447c-29b3-4e18-9500-cfa5aa37316a</x:v>
      </x:c>
      <x:c r="G154" s="25" t="str">
        <x:v>每月计划偿还借款 [debt_repayment] = 0.0; 单位 CNY; 口径 monthly。</x:v>
      </x:c>
      <x:c r="H154" s="2"/>
    </x:row>
    <x:row r="155" ht="92" customHeight="1">
      <x:c r="C155" s="25" t="str">
        <x:v>Input control: Assumptions.depreciation_rate.2026-04</x:v>
      </x:c>
      <x:c r="D155" s="25" t="str">
        <x:v>candidate_id=9514152e-0f96-533c-92a1-d6d8bfa3d1e2; unit=ratio;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155" s="25" t="str">
        <x:v>management</x:v>
      </x:c>
      <x:c r="F155" s="25" t="str">
        <x:v>c340447c-29b3-4e18-9500-cfa5aa37316a</x:v>
      </x:c>
      <x:c r="G155" s="25" t="str">
        <x:v>年折旧率 [depreciation_rate] = 0.1; 单位 ratio; 口径 annual。</x:v>
      </x:c>
      <x:c r="H155" s="2"/>
    </x:row>
    <x:row r="156" ht="92" customHeight="1">
      <x:c r="C156" s="25" t="str">
        <x:v>Input control: Assumptions.depreciation_rate.2026-05</x:v>
      </x:c>
      <x:c r="D156" s="25" t="str">
        <x:v>candidate_id=9514152e-0f96-533c-92a1-d6d8bfa3d1e2; unit=ratio;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156" s="25" t="str">
        <x:v>management</x:v>
      </x:c>
      <x:c r="F156" s="25" t="str">
        <x:v>c340447c-29b3-4e18-9500-cfa5aa37316a</x:v>
      </x:c>
      <x:c r="G156" s="25" t="str">
        <x:v>年折旧率 [depreciation_rate] = 0.1; 单位 ratio; 口径 annual。</x:v>
      </x:c>
      <x:c r="H156" s="2"/>
    </x:row>
    <x:row r="157" ht="92" customHeight="1">
      <x:c r="C157" s="25" t="str">
        <x:v>Input control: Assumptions.depreciation_rate.2026-06</x:v>
      </x:c>
      <x:c r="D157" s="25" t="str">
        <x:v>candidate_id=9514152e-0f96-533c-92a1-d6d8bfa3d1e2; unit=ratio;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157" s="25" t="str">
        <x:v>management</x:v>
      </x:c>
      <x:c r="F157" s="25" t="str">
        <x:v>c340447c-29b3-4e18-9500-cfa5aa37316a</x:v>
      </x:c>
      <x:c r="G157" s="25" t="str">
        <x:v>年折旧率 [depreciation_rate] = 0.1; 单位 ratio; 口径 annual。</x:v>
      </x:c>
      <x:c r="H157" s="2"/>
    </x:row>
    <x:row r="158" ht="92" customHeight="1">
      <x:c r="C158" s="25" t="str">
        <x:v>Input control: Assumptions.depreciation_rate.2026-07</x:v>
      </x:c>
      <x:c r="D158" s="25" t="str">
        <x:v>candidate_id=9514152e-0f96-533c-92a1-d6d8bfa3d1e2; unit=ratio;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158" s="25" t="str">
        <x:v>management</x:v>
      </x:c>
      <x:c r="F158" s="25" t="str">
        <x:v>c340447c-29b3-4e18-9500-cfa5aa37316a</x:v>
      </x:c>
      <x:c r="G158" s="25" t="str">
        <x:v>年折旧率 [depreciation_rate] = 0.1; 单位 ratio; 口径 annual。</x:v>
      </x:c>
      <x:c r="H158" s="2"/>
    </x:row>
    <x:row r="159" ht="92" customHeight="1">
      <x:c r="C159" s="25" t="str">
        <x:v>Input control: Assumptions.depreciation_rate.2026-08</x:v>
      </x:c>
      <x:c r="D159" s="25" t="str">
        <x:v>candidate_id=9514152e-0f96-533c-92a1-d6d8bfa3d1e2; unit=ratio;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159" s="25" t="str">
        <x:v>management</x:v>
      </x:c>
      <x:c r="F159" s="25" t="str">
        <x:v>c340447c-29b3-4e18-9500-cfa5aa37316a</x:v>
      </x:c>
      <x:c r="G159" s="25" t="str">
        <x:v>年折旧率 [depreciation_rate] = 0.1; 单位 ratio; 口径 annual。</x:v>
      </x:c>
      <x:c r="H159" s="2"/>
    </x:row>
    <x:row r="160" ht="92" customHeight="1">
      <x:c r="C160" s="25" t="str">
        <x:v>Input control: Assumptions.depreciation_rate.2026-09</x:v>
      </x:c>
      <x:c r="D160" s="25" t="str">
        <x:v>candidate_id=9514152e-0f96-533c-92a1-d6d8bfa3d1e2; unit=ratio;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160" s="25" t="str">
        <x:v>management</x:v>
      </x:c>
      <x:c r="F160" s="25" t="str">
        <x:v>c340447c-29b3-4e18-9500-cfa5aa37316a</x:v>
      </x:c>
      <x:c r="G160" s="25" t="str">
        <x:v>年折旧率 [depreciation_rate] = 0.1; 单位 ratio; 口径 annual。</x:v>
      </x:c>
      <x:c r="H160" s="2"/>
    </x:row>
    <x:row r="161" ht="92" customHeight="1">
      <x:c r="C161" s="25" t="str">
        <x:v>Input control: Assumptions.depreciation_rate.2026-10</x:v>
      </x:c>
      <x:c r="D161" s="25" t="str">
        <x:v>candidate_id=9514152e-0f96-533c-92a1-d6d8bfa3d1e2; unit=ratio;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161" s="25" t="str">
        <x:v>management</x:v>
      </x:c>
      <x:c r="F161" s="25" t="str">
        <x:v>c340447c-29b3-4e18-9500-cfa5aa37316a</x:v>
      </x:c>
      <x:c r="G161" s="25" t="str">
        <x:v>年折旧率 [depreciation_rate] = 0.1; 单位 ratio; 口径 annual。</x:v>
      </x:c>
      <x:c r="H161" s="2"/>
    </x:row>
    <x:row r="162" ht="92" customHeight="1">
      <x:c r="C162" s="25" t="str">
        <x:v>Input control: Assumptions.depreciation_rate.2026-11</x:v>
      </x:c>
      <x:c r="D162" s="25" t="str">
        <x:v>candidate_id=9514152e-0f96-533c-92a1-d6d8bfa3d1e2; unit=ratio;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162" s="25" t="str">
        <x:v>management</x:v>
      </x:c>
      <x:c r="F162" s="25" t="str">
        <x:v>c340447c-29b3-4e18-9500-cfa5aa37316a</x:v>
      </x:c>
      <x:c r="G162" s="25" t="str">
        <x:v>年折旧率 [depreciation_rate] = 0.1; 单位 ratio; 口径 annual。</x:v>
      </x:c>
      <x:c r="H162" s="2"/>
    </x:row>
    <x:row r="163" ht="92" customHeight="1">
      <x:c r="C163" s="25" t="str">
        <x:v>Input control: Assumptions.depreciation_rate.2026-12</x:v>
      </x:c>
      <x:c r="D163" s="25" t="str">
        <x:v>candidate_id=9514152e-0f96-533c-92a1-d6d8bfa3d1e2; unit=ratio;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163" s="25" t="str">
        <x:v>management</x:v>
      </x:c>
      <x:c r="F163" s="25" t="str">
        <x:v>c340447c-29b3-4e18-9500-cfa5aa37316a</x:v>
      </x:c>
      <x:c r="G163" s="25" t="str">
        <x:v>年折旧率 [depreciation_rate] = 0.1; 单位 ratio; 口径 annual。</x:v>
      </x:c>
      <x:c r="H163" s="2"/>
    </x:row>
    <x:row r="164" ht="92" customHeight="1">
      <x:c r="C164" s="25" t="str">
        <x:v>Input control: Assumptions.depreciation_rate.2027-01</x:v>
      </x:c>
      <x:c r="D164" s="25" t="str">
        <x:v>candidate_id=9514152e-0f96-533c-92a1-d6d8bfa3d1e2; unit=ratio;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164" s="25" t="str">
        <x:v>management</x:v>
      </x:c>
      <x:c r="F164" s="25" t="str">
        <x:v>c340447c-29b3-4e18-9500-cfa5aa37316a</x:v>
      </x:c>
      <x:c r="G164" s="25" t="str">
        <x:v>年折旧率 [depreciation_rate] = 0.1; 单位 ratio; 口径 annual。</x:v>
      </x:c>
      <x:c r="H164" s="2"/>
    </x:row>
    <x:row r="165" ht="92" customHeight="1">
      <x:c r="C165" s="25" t="str">
        <x:v>Input control: Assumptions.depreciation_rate.2027-02</x:v>
      </x:c>
      <x:c r="D165" s="25" t="str">
        <x:v>candidate_id=9514152e-0f96-533c-92a1-d6d8bfa3d1e2; unit=ratio;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165" s="25" t="str">
        <x:v>management</x:v>
      </x:c>
      <x:c r="F165" s="25" t="str">
        <x:v>c340447c-29b3-4e18-9500-cfa5aa37316a</x:v>
      </x:c>
      <x:c r="G165" s="25" t="str">
        <x:v>年折旧率 [depreciation_rate] = 0.1; 单位 ratio; 口径 annual。</x:v>
      </x:c>
      <x:c r="H165" s="2"/>
    </x:row>
    <x:row r="166" ht="92" customHeight="1">
      <x:c r="C166" s="25" t="str">
        <x:v>Input control: Assumptions.depreciation_rate.2027-03</x:v>
      </x:c>
      <x:c r="D166" s="25" t="str">
        <x:v>candidate_id=9514152e-0f96-533c-92a1-d6d8bfa3d1e2; unit=ratio;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166" s="25" t="str">
        <x:v>management</x:v>
      </x:c>
      <x:c r="F166" s="25" t="str">
        <x:v>c340447c-29b3-4e18-9500-cfa5aa37316a</x:v>
      </x:c>
      <x:c r="G166" s="25" t="str">
        <x:v>年折旧率 [depreciation_rate] = 0.1; 单位 ratio; 口径 annual。</x:v>
      </x:c>
      <x:c r="H166" s="2"/>
    </x:row>
    <x:row r="167" ht="92" customHeight="1">
      <x:c r="C167" s="25" t="str">
        <x:v>Input control: Assumptions.dio.2026-04</x:v>
      </x:c>
      <x:c r="D167" s="25" t="str">
        <x:v>candidate_id=ac2d8f44-ef9e-5946-bf5c-6b892174df20; unit=days;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167" s="25" t="str">
        <x:v>management</x:v>
      </x:c>
      <x:c r="F167" s="25" t="str">
        <x:v>c340447c-29b3-4e18-9500-cfa5aa37316a</x:v>
      </x:c>
      <x:c r="G167" s="25" t="str">
        <x:v>存货周转天数 [dio] = 30.0; 单位 days; 口径 monthly。</x:v>
      </x:c>
      <x:c r="H167" s="2"/>
    </x:row>
    <x:row r="168" ht="92" customHeight="1">
      <x:c r="C168" s="25" t="str">
        <x:v>Input control: Assumptions.dio.2026-05</x:v>
      </x:c>
      <x:c r="D168" s="25" t="str">
        <x:v>candidate_id=ac2d8f44-ef9e-5946-bf5c-6b892174df20; unit=days;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168" s="25" t="str">
        <x:v>management</x:v>
      </x:c>
      <x:c r="F168" s="25" t="str">
        <x:v>c340447c-29b3-4e18-9500-cfa5aa37316a</x:v>
      </x:c>
      <x:c r="G168" s="25" t="str">
        <x:v>存货周转天数 [dio] = 30.0; 单位 days; 口径 monthly。</x:v>
      </x:c>
      <x:c r="H168" s="2"/>
    </x:row>
    <x:row r="169" ht="92" customHeight="1">
      <x:c r="C169" s="25" t="str">
        <x:v>Input control: Assumptions.dio.2026-06</x:v>
      </x:c>
      <x:c r="D169" s="25" t="str">
        <x:v>candidate_id=ac2d8f44-ef9e-5946-bf5c-6b892174df20; unit=days;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169" s="25" t="str">
        <x:v>management</x:v>
      </x:c>
      <x:c r="F169" s="25" t="str">
        <x:v>c340447c-29b3-4e18-9500-cfa5aa37316a</x:v>
      </x:c>
      <x:c r="G169" s="25" t="str">
        <x:v>存货周转天数 [dio] = 30.0; 单位 days; 口径 monthly。</x:v>
      </x:c>
      <x:c r="H169" s="2"/>
    </x:row>
    <x:row r="170" ht="92" customHeight="1">
      <x:c r="C170" s="25" t="str">
        <x:v>Input control: Assumptions.dio.2026-07</x:v>
      </x:c>
      <x:c r="D170" s="25" t="str">
        <x:v>candidate_id=ac2d8f44-ef9e-5946-bf5c-6b892174df20; unit=days;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170" s="25" t="str">
        <x:v>management</x:v>
      </x:c>
      <x:c r="F170" s="25" t="str">
        <x:v>c340447c-29b3-4e18-9500-cfa5aa37316a</x:v>
      </x:c>
      <x:c r="G170" s="25" t="str">
        <x:v>存货周转天数 [dio] = 30.0; 单位 days; 口径 monthly。</x:v>
      </x:c>
      <x:c r="H170" s="2"/>
    </x:row>
    <x:row r="171" ht="92" customHeight="1">
      <x:c r="C171" s="25" t="str">
        <x:v>Input control: Assumptions.dio.2026-08</x:v>
      </x:c>
      <x:c r="D171" s="25" t="str">
        <x:v>candidate_id=ac2d8f44-ef9e-5946-bf5c-6b892174df20; unit=days;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171" s="25" t="str">
        <x:v>management</x:v>
      </x:c>
      <x:c r="F171" s="25" t="str">
        <x:v>c340447c-29b3-4e18-9500-cfa5aa37316a</x:v>
      </x:c>
      <x:c r="G171" s="25" t="str">
        <x:v>存货周转天数 [dio] = 30.0; 单位 days; 口径 monthly。</x:v>
      </x:c>
      <x:c r="H171" s="2"/>
    </x:row>
    <x:row r="172" ht="92" customHeight="1">
      <x:c r="C172" s="25" t="str">
        <x:v>Input control: Assumptions.dio.2026-09</x:v>
      </x:c>
      <x:c r="D172" s="25" t="str">
        <x:v>candidate_id=ac2d8f44-ef9e-5946-bf5c-6b892174df20; unit=days;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172" s="25" t="str">
        <x:v>management</x:v>
      </x:c>
      <x:c r="F172" s="25" t="str">
        <x:v>c340447c-29b3-4e18-9500-cfa5aa37316a</x:v>
      </x:c>
      <x:c r="G172" s="25" t="str">
        <x:v>存货周转天数 [dio] = 30.0; 单位 days; 口径 monthly。</x:v>
      </x:c>
      <x:c r="H172" s="2"/>
    </x:row>
    <x:row r="173" ht="92" customHeight="1">
      <x:c r="C173" s="25" t="str">
        <x:v>Input control: Assumptions.dio.2026-10</x:v>
      </x:c>
      <x:c r="D173" s="25" t="str">
        <x:v>candidate_id=ac2d8f44-ef9e-5946-bf5c-6b892174df20; unit=days;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173" s="25" t="str">
        <x:v>management</x:v>
      </x:c>
      <x:c r="F173" s="25" t="str">
        <x:v>c340447c-29b3-4e18-9500-cfa5aa37316a</x:v>
      </x:c>
      <x:c r="G173" s="25" t="str">
        <x:v>存货周转天数 [dio] = 30.0; 单位 days; 口径 monthly。</x:v>
      </x:c>
      <x:c r="H173" s="2"/>
    </x:row>
    <x:row r="174" ht="92" customHeight="1">
      <x:c r="C174" s="25" t="str">
        <x:v>Input control: Assumptions.dio.2026-11</x:v>
      </x:c>
      <x:c r="D174" s="25" t="str">
        <x:v>candidate_id=ac2d8f44-ef9e-5946-bf5c-6b892174df20; unit=days;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174" s="25" t="str">
        <x:v>management</x:v>
      </x:c>
      <x:c r="F174" s="25" t="str">
        <x:v>c340447c-29b3-4e18-9500-cfa5aa37316a</x:v>
      </x:c>
      <x:c r="G174" s="25" t="str">
        <x:v>存货周转天数 [dio] = 30.0; 单位 days; 口径 monthly。</x:v>
      </x:c>
      <x:c r="H174" s="2"/>
    </x:row>
    <x:row r="175" ht="92" customHeight="1">
      <x:c r="C175" s="25" t="str">
        <x:v>Input control: Assumptions.dio.2026-12</x:v>
      </x:c>
      <x:c r="D175" s="25" t="str">
        <x:v>candidate_id=ac2d8f44-ef9e-5946-bf5c-6b892174df20; unit=days;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175" s="25" t="str">
        <x:v>management</x:v>
      </x:c>
      <x:c r="F175" s="25" t="str">
        <x:v>c340447c-29b3-4e18-9500-cfa5aa37316a</x:v>
      </x:c>
      <x:c r="G175" s="25" t="str">
        <x:v>存货周转天数 [dio] = 30.0; 单位 days; 口径 monthly。</x:v>
      </x:c>
      <x:c r="H175" s="2"/>
    </x:row>
    <x:row r="176" ht="92" customHeight="1">
      <x:c r="C176" s="25" t="str">
        <x:v>Input control: Assumptions.dio.2027-01</x:v>
      </x:c>
      <x:c r="D176" s="25" t="str">
        <x:v>candidate_id=ac2d8f44-ef9e-5946-bf5c-6b892174df20; unit=days;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176" s="25" t="str">
        <x:v>management</x:v>
      </x:c>
      <x:c r="F176" s="25" t="str">
        <x:v>c340447c-29b3-4e18-9500-cfa5aa37316a</x:v>
      </x:c>
      <x:c r="G176" s="25" t="str">
        <x:v>存货周转天数 [dio] = 30.0; 单位 days; 口径 monthly。</x:v>
      </x:c>
      <x:c r="H176" s="2"/>
    </x:row>
    <x:row r="177" ht="92" customHeight="1">
      <x:c r="C177" s="25" t="str">
        <x:v>Input control: Assumptions.dio.2027-02</x:v>
      </x:c>
      <x:c r="D177" s="25" t="str">
        <x:v>candidate_id=ac2d8f44-ef9e-5946-bf5c-6b892174df20; unit=days;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177" s="25" t="str">
        <x:v>management</x:v>
      </x:c>
      <x:c r="F177" s="25" t="str">
        <x:v>c340447c-29b3-4e18-9500-cfa5aa37316a</x:v>
      </x:c>
      <x:c r="G177" s="25" t="str">
        <x:v>存货周转天数 [dio] = 30.0; 单位 days; 口径 monthly。</x:v>
      </x:c>
      <x:c r="H177" s="2"/>
    </x:row>
    <x:row r="178" ht="92" customHeight="1">
      <x:c r="C178" s="25" t="str">
        <x:v>Input control: Assumptions.dio.2027-03</x:v>
      </x:c>
      <x:c r="D178" s="25" t="str">
        <x:v>candidate_id=ac2d8f44-ef9e-5946-bf5c-6b892174df20; unit=days;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178" s="25" t="str">
        <x:v>management</x:v>
      </x:c>
      <x:c r="F178" s="25" t="str">
        <x:v>c340447c-29b3-4e18-9500-cfa5aa37316a</x:v>
      </x:c>
      <x:c r="G178" s="25" t="str">
        <x:v>存货周转天数 [dio] = 30.0; 单位 days; 口径 monthly。</x:v>
      </x:c>
      <x:c r="H178" s="2"/>
    </x:row>
    <x:row r="179" ht="92" customHeight="1">
      <x:c r="C179" s="25" t="str">
        <x:v>Input control: Assumptions.dividends.2026-04</x:v>
      </x:c>
      <x:c r="D179" s="25" t="str">
        <x:v>candidate_id=80f9ad31-6cb8-5a40-bfe4-4fe986f39504; unit=CNY;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179" s="25" t="str">
        <x:v>management</x:v>
      </x:c>
      <x:c r="F179" s="25" t="str">
        <x:v>c340447c-29b3-4e18-9500-cfa5aa37316a</x:v>
      </x:c>
      <x:c r="G179" s="25" t="str">
        <x:v>月度分红 [dividends] = 0.0; 单位 CNY; 口径 monthly。</x:v>
      </x:c>
      <x:c r="H179" s="2"/>
    </x:row>
    <x:row r="180" ht="92" customHeight="1">
      <x:c r="C180" s="25" t="str">
        <x:v>Input control: Assumptions.dividends.2026-05</x:v>
      </x:c>
      <x:c r="D180" s="25" t="str">
        <x:v>candidate_id=80f9ad31-6cb8-5a40-bfe4-4fe986f39504; unit=CNY;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180" s="25" t="str">
        <x:v>management</x:v>
      </x:c>
      <x:c r="F180" s="25" t="str">
        <x:v>c340447c-29b3-4e18-9500-cfa5aa37316a</x:v>
      </x:c>
      <x:c r="G180" s="25" t="str">
        <x:v>月度分红 [dividends] = 0.0; 单位 CNY; 口径 monthly。</x:v>
      </x:c>
      <x:c r="H180" s="2"/>
    </x:row>
    <x:row r="181" ht="92" customHeight="1">
      <x:c r="C181" s="25" t="str">
        <x:v>Input control: Assumptions.dividends.2026-06</x:v>
      </x:c>
      <x:c r="D181" s="25" t="str">
        <x:v>candidate_id=80f9ad31-6cb8-5a40-bfe4-4fe986f39504; unit=CNY;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181" s="25" t="str">
        <x:v>management</x:v>
      </x:c>
      <x:c r="F181" s="25" t="str">
        <x:v>c340447c-29b3-4e18-9500-cfa5aa37316a</x:v>
      </x:c>
      <x:c r="G181" s="25" t="str">
        <x:v>月度分红 [dividends] = 0.0; 单位 CNY; 口径 monthly。</x:v>
      </x:c>
      <x:c r="H181" s="2"/>
    </x:row>
    <x:row r="182" ht="92" customHeight="1">
      <x:c r="C182" s="25" t="str">
        <x:v>Input control: Assumptions.dividends.2026-07</x:v>
      </x:c>
      <x:c r="D182" s="25" t="str">
        <x:v>candidate_id=80f9ad31-6cb8-5a40-bfe4-4fe986f39504; unit=CNY;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182" s="25" t="str">
        <x:v>management</x:v>
      </x:c>
      <x:c r="F182" s="25" t="str">
        <x:v>c340447c-29b3-4e18-9500-cfa5aa37316a</x:v>
      </x:c>
      <x:c r="G182" s="25" t="str">
        <x:v>月度分红 [dividends] = 0.0; 单位 CNY; 口径 monthly。</x:v>
      </x:c>
      <x:c r="H182" s="2"/>
    </x:row>
    <x:row r="183" ht="92" customHeight="1">
      <x:c r="C183" s="25" t="str">
        <x:v>Input control: Assumptions.dividends.2026-08</x:v>
      </x:c>
      <x:c r="D183" s="25" t="str">
        <x:v>candidate_id=80f9ad31-6cb8-5a40-bfe4-4fe986f39504; unit=CNY;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183" s="25" t="str">
        <x:v>management</x:v>
      </x:c>
      <x:c r="F183" s="25" t="str">
        <x:v>c340447c-29b3-4e18-9500-cfa5aa37316a</x:v>
      </x:c>
      <x:c r="G183" s="25" t="str">
        <x:v>月度分红 [dividends] = 0.0; 单位 CNY; 口径 monthly。</x:v>
      </x:c>
      <x:c r="H183" s="2"/>
    </x:row>
    <x:row r="184" ht="92" customHeight="1">
      <x:c r="C184" s="25" t="str">
        <x:v>Input control: Assumptions.dividends.2026-09</x:v>
      </x:c>
      <x:c r="D184" s="25" t="str">
        <x:v>candidate_id=80f9ad31-6cb8-5a40-bfe4-4fe986f39504; unit=CNY;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184" s="25" t="str">
        <x:v>management</x:v>
      </x:c>
      <x:c r="F184" s="25" t="str">
        <x:v>c340447c-29b3-4e18-9500-cfa5aa37316a</x:v>
      </x:c>
      <x:c r="G184" s="25" t="str">
        <x:v>月度分红 [dividends] = 0.0; 单位 CNY; 口径 monthly。</x:v>
      </x:c>
      <x:c r="H184" s="2"/>
    </x:row>
    <x:row r="185" ht="92" customHeight="1">
      <x:c r="C185" s="25" t="str">
        <x:v>Input control: Assumptions.dividends.2026-10</x:v>
      </x:c>
      <x:c r="D185" s="25" t="str">
        <x:v>candidate_id=80f9ad31-6cb8-5a40-bfe4-4fe986f39504; unit=CNY;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185" s="25" t="str">
        <x:v>management</x:v>
      </x:c>
      <x:c r="F185" s="25" t="str">
        <x:v>c340447c-29b3-4e18-9500-cfa5aa37316a</x:v>
      </x:c>
      <x:c r="G185" s="25" t="str">
        <x:v>月度分红 [dividends] = 0.0; 单位 CNY; 口径 monthly。</x:v>
      </x:c>
      <x:c r="H185" s="2"/>
    </x:row>
    <x:row r="186" ht="92" customHeight="1">
      <x:c r="C186" s="25" t="str">
        <x:v>Input control: Assumptions.dividends.2026-11</x:v>
      </x:c>
      <x:c r="D186" s="25" t="str">
        <x:v>candidate_id=80f9ad31-6cb8-5a40-bfe4-4fe986f39504; unit=CNY;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186" s="25" t="str">
        <x:v>management</x:v>
      </x:c>
      <x:c r="F186" s="25" t="str">
        <x:v>c340447c-29b3-4e18-9500-cfa5aa37316a</x:v>
      </x:c>
      <x:c r="G186" s="25" t="str">
        <x:v>月度分红 [dividends] = 0.0; 单位 CNY; 口径 monthly。</x:v>
      </x:c>
      <x:c r="H186" s="2"/>
    </x:row>
    <x:row r="187" ht="92" customHeight="1">
      <x:c r="C187" s="25" t="str">
        <x:v>Input control: Assumptions.dividends.2026-12</x:v>
      </x:c>
      <x:c r="D187" s="25" t="str">
        <x:v>candidate_id=80f9ad31-6cb8-5a40-bfe4-4fe986f39504; unit=CNY;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187" s="25" t="str">
        <x:v>management</x:v>
      </x:c>
      <x:c r="F187" s="25" t="str">
        <x:v>c340447c-29b3-4e18-9500-cfa5aa37316a</x:v>
      </x:c>
      <x:c r="G187" s="25" t="str">
        <x:v>月度分红 [dividends] = 0.0; 单位 CNY; 口径 monthly。</x:v>
      </x:c>
      <x:c r="H187" s="2"/>
    </x:row>
    <x:row r="188" ht="92" customHeight="1">
      <x:c r="C188" s="25" t="str">
        <x:v>Input control: Assumptions.dividends.2027-01</x:v>
      </x:c>
      <x:c r="D188" s="25" t="str">
        <x:v>candidate_id=80f9ad31-6cb8-5a40-bfe4-4fe986f39504; unit=CNY;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188" s="25" t="str">
        <x:v>management</x:v>
      </x:c>
      <x:c r="F188" s="25" t="str">
        <x:v>c340447c-29b3-4e18-9500-cfa5aa37316a</x:v>
      </x:c>
      <x:c r="G188" s="25" t="str">
        <x:v>月度分红 [dividends] = 0.0; 单位 CNY; 口径 monthly。</x:v>
      </x:c>
      <x:c r="H188" s="2"/>
    </x:row>
    <x:row r="189" ht="92" customHeight="1">
      <x:c r="C189" s="25" t="str">
        <x:v>Input control: Assumptions.dividends.2027-02</x:v>
      </x:c>
      <x:c r="D189" s="25" t="str">
        <x:v>candidate_id=80f9ad31-6cb8-5a40-bfe4-4fe986f39504; unit=CNY;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189" s="25" t="str">
        <x:v>management</x:v>
      </x:c>
      <x:c r="F189" s="25" t="str">
        <x:v>c340447c-29b3-4e18-9500-cfa5aa37316a</x:v>
      </x:c>
      <x:c r="G189" s="25" t="str">
        <x:v>月度分红 [dividends] = 0.0; 单位 CNY; 口径 monthly。</x:v>
      </x:c>
      <x:c r="H189" s="2"/>
    </x:row>
    <x:row r="190" ht="92" customHeight="1">
      <x:c r="C190" s="25" t="str">
        <x:v>Input control: Assumptions.dividends.2027-03</x:v>
      </x:c>
      <x:c r="D190" s="25" t="str">
        <x:v>candidate_id=80f9ad31-6cb8-5a40-bfe4-4fe986f39504; unit=CNY;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190" s="25" t="str">
        <x:v>management</x:v>
      </x:c>
      <x:c r="F190" s="25" t="str">
        <x:v>c340447c-29b3-4e18-9500-cfa5aa37316a</x:v>
      </x:c>
      <x:c r="G190" s="25" t="str">
        <x:v>月度分红 [dividends] = 0.0; 单位 CNY; 口径 monthly。</x:v>
      </x:c>
      <x:c r="H190" s="2"/>
    </x:row>
    <x:row r="191" ht="92" customHeight="1">
      <x:c r="C191" s="25" t="str">
        <x:v>Input control: Assumptions.dpo.2026-04</x:v>
      </x:c>
      <x:c r="D191" s="25" t="str">
        <x:v>candidate_id=bf273b73-2ae0-51c3-bbd4-988a36530266; unit=days;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191" s="25" t="str">
        <x:v>management</x:v>
      </x:c>
      <x:c r="F191" s="25" t="str">
        <x:v>c340447c-29b3-4e18-9500-cfa5aa37316a</x:v>
      </x:c>
      <x:c r="G191" s="25" t="str">
        <x:v>应付账款周转天数 [dpo] = 45.0; 单位 days; 口径 monthly。</x:v>
      </x:c>
      <x:c r="H191" s="2"/>
    </x:row>
    <x:row r="192" ht="92" customHeight="1">
      <x:c r="C192" s="25" t="str">
        <x:v>Input control: Assumptions.dpo.2026-05</x:v>
      </x:c>
      <x:c r="D192" s="25" t="str">
        <x:v>candidate_id=bf273b73-2ae0-51c3-bbd4-988a36530266; unit=days;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192" s="25" t="str">
        <x:v>management</x:v>
      </x:c>
      <x:c r="F192" s="25" t="str">
        <x:v>c340447c-29b3-4e18-9500-cfa5aa37316a</x:v>
      </x:c>
      <x:c r="G192" s="25" t="str">
        <x:v>应付账款周转天数 [dpo] = 45.0; 单位 days; 口径 monthly。</x:v>
      </x:c>
      <x:c r="H192" s="2"/>
    </x:row>
    <x:row r="193" ht="92" customHeight="1">
      <x:c r="C193" s="25" t="str">
        <x:v>Input control: Assumptions.dpo.2026-06</x:v>
      </x:c>
      <x:c r="D193" s="25" t="str">
        <x:v>candidate_id=bf273b73-2ae0-51c3-bbd4-988a36530266; unit=days;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193" s="25" t="str">
        <x:v>management</x:v>
      </x:c>
      <x:c r="F193" s="25" t="str">
        <x:v>c340447c-29b3-4e18-9500-cfa5aa37316a</x:v>
      </x:c>
      <x:c r="G193" s="25" t="str">
        <x:v>应付账款周转天数 [dpo] = 45.0; 单位 days; 口径 monthly。</x:v>
      </x:c>
      <x:c r="H193" s="2"/>
    </x:row>
    <x:row r="194" ht="92" customHeight="1">
      <x:c r="C194" s="25" t="str">
        <x:v>Input control: Assumptions.dpo.2026-07</x:v>
      </x:c>
      <x:c r="D194" s="25" t="str">
        <x:v>candidate_id=bf273b73-2ae0-51c3-bbd4-988a36530266; unit=days;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194" s="25" t="str">
        <x:v>management</x:v>
      </x:c>
      <x:c r="F194" s="25" t="str">
        <x:v>c340447c-29b3-4e18-9500-cfa5aa37316a</x:v>
      </x:c>
      <x:c r="G194" s="25" t="str">
        <x:v>应付账款周转天数 [dpo] = 45.0; 单位 days; 口径 monthly。</x:v>
      </x:c>
      <x:c r="H194" s="2"/>
    </x:row>
    <x:row r="195" ht="92" customHeight="1">
      <x:c r="C195" s="25" t="str">
        <x:v>Input control: Assumptions.dpo.2026-08</x:v>
      </x:c>
      <x:c r="D195" s="25" t="str">
        <x:v>candidate_id=bf273b73-2ae0-51c3-bbd4-988a36530266; unit=days;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195" s="25" t="str">
        <x:v>management</x:v>
      </x:c>
      <x:c r="F195" s="25" t="str">
        <x:v>c340447c-29b3-4e18-9500-cfa5aa37316a</x:v>
      </x:c>
      <x:c r="G195" s="25" t="str">
        <x:v>应付账款周转天数 [dpo] = 45.0; 单位 days; 口径 monthly。</x:v>
      </x:c>
      <x:c r="H195" s="2"/>
    </x:row>
    <x:row r="196" ht="92" customHeight="1">
      <x:c r="C196" s="25" t="str">
        <x:v>Input control: Assumptions.dpo.2026-09</x:v>
      </x:c>
      <x:c r="D196" s="25" t="str">
        <x:v>candidate_id=bf273b73-2ae0-51c3-bbd4-988a36530266; unit=days;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196" s="25" t="str">
        <x:v>management</x:v>
      </x:c>
      <x:c r="F196" s="25" t="str">
        <x:v>c340447c-29b3-4e18-9500-cfa5aa37316a</x:v>
      </x:c>
      <x:c r="G196" s="25" t="str">
        <x:v>应付账款周转天数 [dpo] = 45.0; 单位 days; 口径 monthly。</x:v>
      </x:c>
      <x:c r="H196" s="2"/>
    </x:row>
    <x:row r="197" ht="92" customHeight="1">
      <x:c r="C197" s="25" t="str">
        <x:v>Input control: Assumptions.dpo.2026-10</x:v>
      </x:c>
      <x:c r="D197" s="25" t="str">
        <x:v>candidate_id=bf273b73-2ae0-51c3-bbd4-988a36530266; unit=days;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197" s="25" t="str">
        <x:v>management</x:v>
      </x:c>
      <x:c r="F197" s="25" t="str">
        <x:v>c340447c-29b3-4e18-9500-cfa5aa37316a</x:v>
      </x:c>
      <x:c r="G197" s="25" t="str">
        <x:v>应付账款周转天数 [dpo] = 45.0; 单位 days; 口径 monthly。</x:v>
      </x:c>
      <x:c r="H197" s="2"/>
    </x:row>
    <x:row r="198" ht="92" customHeight="1">
      <x:c r="C198" s="25" t="str">
        <x:v>Input control: Assumptions.dpo.2026-11</x:v>
      </x:c>
      <x:c r="D198" s="25" t="str">
        <x:v>candidate_id=bf273b73-2ae0-51c3-bbd4-988a36530266; unit=days;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198" s="25" t="str">
        <x:v>management</x:v>
      </x:c>
      <x:c r="F198" s="25" t="str">
        <x:v>c340447c-29b3-4e18-9500-cfa5aa37316a</x:v>
      </x:c>
      <x:c r="G198" s="25" t="str">
        <x:v>应付账款周转天数 [dpo] = 45.0; 单位 days; 口径 monthly。</x:v>
      </x:c>
      <x:c r="H198" s="2"/>
    </x:row>
    <x:row r="199" ht="92" customHeight="1">
      <x:c r="C199" s="25" t="str">
        <x:v>Input control: Assumptions.dpo.2026-12</x:v>
      </x:c>
      <x:c r="D199" s="25" t="str">
        <x:v>candidate_id=bf273b73-2ae0-51c3-bbd4-988a36530266; unit=days;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199" s="25" t="str">
        <x:v>management</x:v>
      </x:c>
      <x:c r="F199" s="25" t="str">
        <x:v>c340447c-29b3-4e18-9500-cfa5aa37316a</x:v>
      </x:c>
      <x:c r="G199" s="25" t="str">
        <x:v>应付账款周转天数 [dpo] = 45.0; 单位 days; 口径 monthly。</x:v>
      </x:c>
      <x:c r="H199" s="2"/>
    </x:row>
    <x:row r="200" ht="92" customHeight="1">
      <x:c r="C200" s="25" t="str">
        <x:v>Input control: Assumptions.dpo.2027-01</x:v>
      </x:c>
      <x:c r="D200" s="25" t="str">
        <x:v>candidate_id=bf273b73-2ae0-51c3-bbd4-988a36530266; unit=days;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200" s="25" t="str">
        <x:v>management</x:v>
      </x:c>
      <x:c r="F200" s="25" t="str">
        <x:v>c340447c-29b3-4e18-9500-cfa5aa37316a</x:v>
      </x:c>
      <x:c r="G200" s="25" t="str">
        <x:v>应付账款周转天数 [dpo] = 45.0; 单位 days; 口径 monthly。</x:v>
      </x:c>
      <x:c r="H200" s="2"/>
    </x:row>
    <x:row r="201" ht="92" customHeight="1">
      <x:c r="C201" s="25" t="str">
        <x:v>Input control: Assumptions.dpo.2027-02</x:v>
      </x:c>
      <x:c r="D201" s="25" t="str">
        <x:v>candidate_id=bf273b73-2ae0-51c3-bbd4-988a36530266; unit=days;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201" s="25" t="str">
        <x:v>management</x:v>
      </x:c>
      <x:c r="F201" s="25" t="str">
        <x:v>c340447c-29b3-4e18-9500-cfa5aa37316a</x:v>
      </x:c>
      <x:c r="G201" s="25" t="str">
        <x:v>应付账款周转天数 [dpo] = 45.0; 单位 days; 口径 monthly。</x:v>
      </x:c>
      <x:c r="H201" s="2"/>
    </x:row>
    <x:row r="202" ht="92" customHeight="1">
      <x:c r="C202" s="25" t="str">
        <x:v>Input control: Assumptions.dpo.2027-03</x:v>
      </x:c>
      <x:c r="D202" s="25" t="str">
        <x:v>candidate_id=bf273b73-2ae0-51c3-bbd4-988a36530266; unit=days;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202" s="25" t="str">
        <x:v>management</x:v>
      </x:c>
      <x:c r="F202" s="25" t="str">
        <x:v>c340447c-29b3-4e18-9500-cfa5aa37316a</x:v>
      </x:c>
      <x:c r="G202" s="25" t="str">
        <x:v>应付账款周转天数 [dpo] = 45.0; 单位 days; 口径 monthly。</x:v>
      </x:c>
      <x:c r="H202" s="2"/>
    </x:row>
    <x:row r="203" ht="92" customHeight="1">
      <x:c r="C203" s="25" t="str">
        <x:v>Input control: Assumptions.dso.2026-04</x:v>
      </x:c>
      <x:c r="D203" s="25" t="str">
        <x:v>candidate_id=37f29fc6-c69a-5277-b15e-e291ca2f8a7a; unit=days;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203" s="25" t="str">
        <x:v>management</x:v>
      </x:c>
      <x:c r="F203" s="25" t="str">
        <x:v>c340447c-29b3-4e18-9500-cfa5aa37316a</x:v>
      </x:c>
      <x:c r="G203" s="25" t="str">
        <x:v>应收账款周转天数 [dso] = 30.0; 单位 days; 口径 monthly。</x:v>
      </x:c>
      <x:c r="H203" s="2"/>
    </x:row>
    <x:row r="204" ht="92" customHeight="1">
      <x:c r="C204" s="25" t="str">
        <x:v>Input control: Assumptions.dso.2026-05</x:v>
      </x:c>
      <x:c r="D204" s="25" t="str">
        <x:v>candidate_id=37f29fc6-c69a-5277-b15e-e291ca2f8a7a; unit=days;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204" s="25" t="str">
        <x:v>management</x:v>
      </x:c>
      <x:c r="F204" s="25" t="str">
        <x:v>c340447c-29b3-4e18-9500-cfa5aa37316a</x:v>
      </x:c>
      <x:c r="G204" s="25" t="str">
        <x:v>应收账款周转天数 [dso] = 30.0; 单位 days; 口径 monthly。</x:v>
      </x:c>
      <x:c r="H204" s="2"/>
    </x:row>
    <x:row r="205" ht="92" customHeight="1">
      <x:c r="C205" s="25" t="str">
        <x:v>Input control: Assumptions.dso.2026-06</x:v>
      </x:c>
      <x:c r="D205" s="25" t="str">
        <x:v>candidate_id=37f29fc6-c69a-5277-b15e-e291ca2f8a7a; unit=days;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205" s="25" t="str">
        <x:v>management</x:v>
      </x:c>
      <x:c r="F205" s="25" t="str">
        <x:v>c340447c-29b3-4e18-9500-cfa5aa37316a</x:v>
      </x:c>
      <x:c r="G205" s="25" t="str">
        <x:v>应收账款周转天数 [dso] = 30.0; 单位 days; 口径 monthly。</x:v>
      </x:c>
      <x:c r="H205" s="2"/>
    </x:row>
    <x:row r="206" ht="92" customHeight="1">
      <x:c r="C206" s="25" t="str">
        <x:v>Input control: Assumptions.dso.2026-07</x:v>
      </x:c>
      <x:c r="D206" s="25" t="str">
        <x:v>candidate_id=37f29fc6-c69a-5277-b15e-e291ca2f8a7a; unit=days;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206" s="25" t="str">
        <x:v>management</x:v>
      </x:c>
      <x:c r="F206" s="25" t="str">
        <x:v>c340447c-29b3-4e18-9500-cfa5aa37316a</x:v>
      </x:c>
      <x:c r="G206" s="25" t="str">
        <x:v>应收账款周转天数 [dso] = 30.0; 单位 days; 口径 monthly。</x:v>
      </x:c>
      <x:c r="H206" s="2"/>
    </x:row>
    <x:row r="207" ht="92" customHeight="1">
      <x:c r="C207" s="25" t="str">
        <x:v>Input control: Assumptions.dso.2026-08</x:v>
      </x:c>
      <x:c r="D207" s="25" t="str">
        <x:v>candidate_id=37f29fc6-c69a-5277-b15e-e291ca2f8a7a; unit=days;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207" s="25" t="str">
        <x:v>management</x:v>
      </x:c>
      <x:c r="F207" s="25" t="str">
        <x:v>c340447c-29b3-4e18-9500-cfa5aa37316a</x:v>
      </x:c>
      <x:c r="G207" s="25" t="str">
        <x:v>应收账款周转天数 [dso] = 30.0; 单位 days; 口径 monthly。</x:v>
      </x:c>
      <x:c r="H207" s="2"/>
    </x:row>
    <x:row r="208" ht="92" customHeight="1">
      <x:c r="C208" s="25" t="str">
        <x:v>Input control: Assumptions.dso.2026-09</x:v>
      </x:c>
      <x:c r="D208" s="25" t="str">
        <x:v>candidate_id=37f29fc6-c69a-5277-b15e-e291ca2f8a7a; unit=days;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208" s="25" t="str">
        <x:v>management</x:v>
      </x:c>
      <x:c r="F208" s="25" t="str">
        <x:v>c340447c-29b3-4e18-9500-cfa5aa37316a</x:v>
      </x:c>
      <x:c r="G208" s="25" t="str">
        <x:v>应收账款周转天数 [dso] = 30.0; 单位 days; 口径 monthly。</x:v>
      </x:c>
      <x:c r="H208" s="2"/>
    </x:row>
    <x:row r="209" ht="92" customHeight="1">
      <x:c r="C209" s="25" t="str">
        <x:v>Input control: Assumptions.dso.2026-10</x:v>
      </x:c>
      <x:c r="D209" s="25" t="str">
        <x:v>candidate_id=37f29fc6-c69a-5277-b15e-e291ca2f8a7a; unit=days;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209" s="25" t="str">
        <x:v>management</x:v>
      </x:c>
      <x:c r="F209" s="25" t="str">
        <x:v>c340447c-29b3-4e18-9500-cfa5aa37316a</x:v>
      </x:c>
      <x:c r="G209" s="25" t="str">
        <x:v>应收账款周转天数 [dso] = 30.0; 单位 days; 口径 monthly。</x:v>
      </x:c>
      <x:c r="H209" s="2"/>
    </x:row>
    <x:row r="210" ht="92" customHeight="1">
      <x:c r="C210" s="25" t="str">
        <x:v>Input control: Assumptions.dso.2026-11</x:v>
      </x:c>
      <x:c r="D210" s="25" t="str">
        <x:v>candidate_id=37f29fc6-c69a-5277-b15e-e291ca2f8a7a; unit=days;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210" s="25" t="str">
        <x:v>management</x:v>
      </x:c>
      <x:c r="F210" s="25" t="str">
        <x:v>c340447c-29b3-4e18-9500-cfa5aa37316a</x:v>
      </x:c>
      <x:c r="G210" s="25" t="str">
        <x:v>应收账款周转天数 [dso] = 30.0; 单位 days; 口径 monthly。</x:v>
      </x:c>
      <x:c r="H210" s="2"/>
    </x:row>
    <x:row r="211" ht="92" customHeight="1">
      <x:c r="C211" s="25" t="str">
        <x:v>Input control: Assumptions.dso.2026-12</x:v>
      </x:c>
      <x:c r="D211" s="25" t="str">
        <x:v>candidate_id=37f29fc6-c69a-5277-b15e-e291ca2f8a7a; unit=days;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211" s="25" t="str">
        <x:v>management</x:v>
      </x:c>
      <x:c r="F211" s="25" t="str">
        <x:v>c340447c-29b3-4e18-9500-cfa5aa37316a</x:v>
      </x:c>
      <x:c r="G211" s="25" t="str">
        <x:v>应收账款周转天数 [dso] = 30.0; 单位 days; 口径 monthly。</x:v>
      </x:c>
      <x:c r="H211" s="2"/>
    </x:row>
    <x:row r="212" ht="92" customHeight="1">
      <x:c r="C212" s="25" t="str">
        <x:v>Input control: Assumptions.dso.2027-01</x:v>
      </x:c>
      <x:c r="D212" s="25" t="str">
        <x:v>candidate_id=37f29fc6-c69a-5277-b15e-e291ca2f8a7a; unit=days;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212" s="25" t="str">
        <x:v>management</x:v>
      </x:c>
      <x:c r="F212" s="25" t="str">
        <x:v>c340447c-29b3-4e18-9500-cfa5aa37316a</x:v>
      </x:c>
      <x:c r="G212" s="25" t="str">
        <x:v>应收账款周转天数 [dso] = 30.0; 单位 days; 口径 monthly。</x:v>
      </x:c>
      <x:c r="H212" s="2"/>
    </x:row>
    <x:row r="213" ht="92" customHeight="1">
      <x:c r="C213" s="25" t="str">
        <x:v>Input control: Assumptions.dso.2027-02</x:v>
      </x:c>
      <x:c r="D213" s="25" t="str">
        <x:v>candidate_id=37f29fc6-c69a-5277-b15e-e291ca2f8a7a; unit=days;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213" s="25" t="str">
        <x:v>management</x:v>
      </x:c>
      <x:c r="F213" s="25" t="str">
        <x:v>c340447c-29b3-4e18-9500-cfa5aa37316a</x:v>
      </x:c>
      <x:c r="G213" s="25" t="str">
        <x:v>应收账款周转天数 [dso] = 30.0; 单位 days; 口径 monthly。</x:v>
      </x:c>
      <x:c r="H213" s="2"/>
    </x:row>
    <x:row r="214" ht="92" customHeight="1">
      <x:c r="C214" s="25" t="str">
        <x:v>Input control: Assumptions.dso.2027-03</x:v>
      </x:c>
      <x:c r="D214" s="25" t="str">
        <x:v>candidate_id=37f29fc6-c69a-5277-b15e-e291ca2f8a7a; unit=days;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214" s="25" t="str">
        <x:v>management</x:v>
      </x:c>
      <x:c r="F214" s="25" t="str">
        <x:v>c340447c-29b3-4e18-9500-cfa5aa37316a</x:v>
      </x:c>
      <x:c r="G214" s="25" t="str">
        <x:v>应收账款周转天数 [dso] = 30.0; 单位 days; 口径 monthly。</x:v>
      </x:c>
      <x:c r="H214" s="2"/>
    </x:row>
    <x:row r="215" ht="92" customHeight="1">
      <x:c r="C215" s="25" t="str">
        <x:v>Input control: Assumptions.facility_limit.2026-04</x:v>
      </x:c>
      <x:c r="D215" s="25" t="str">
        <x:v>candidate_id=09cef376-ec06-574d-bea6-d242aa7067ad; unit=CNY;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215" s="25" t="str">
        <x:v>management</x:v>
      </x:c>
      <x:c r="F215" s="25" t="str">
        <x:v>c340447c-29b3-4e18-9500-cfa5aa37316a</x:v>
      </x:c>
      <x:c r="G215" s="25" t="str">
        <x:v>借款本金总上限 [facility_limit] = 150000.0; 单位 CNY; 口径 monthly。</x:v>
      </x:c>
      <x:c r="H215" s="2"/>
    </x:row>
    <x:row r="216" ht="92" customHeight="1">
      <x:c r="C216" s="25" t="str">
        <x:v>Input control: Assumptions.facility_limit.2026-05</x:v>
      </x:c>
      <x:c r="D216" s="25" t="str">
        <x:v>candidate_id=09cef376-ec06-574d-bea6-d242aa7067ad; unit=CNY;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216" s="25" t="str">
        <x:v>management</x:v>
      </x:c>
      <x:c r="F216" s="25" t="str">
        <x:v>c340447c-29b3-4e18-9500-cfa5aa37316a</x:v>
      </x:c>
      <x:c r="G216" s="25" t="str">
        <x:v>借款本金总上限 [facility_limit] = 150000.0; 单位 CNY; 口径 monthly。</x:v>
      </x:c>
      <x:c r="H216" s="2"/>
    </x:row>
    <x:row r="217" ht="92" customHeight="1">
      <x:c r="C217" s="25" t="str">
        <x:v>Input control: Assumptions.facility_limit.2026-06</x:v>
      </x:c>
      <x:c r="D217" s="25" t="str">
        <x:v>candidate_id=09cef376-ec06-574d-bea6-d242aa7067ad; unit=CNY;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217" s="25" t="str">
        <x:v>management</x:v>
      </x:c>
      <x:c r="F217" s="25" t="str">
        <x:v>c340447c-29b3-4e18-9500-cfa5aa37316a</x:v>
      </x:c>
      <x:c r="G217" s="25" t="str">
        <x:v>借款本金总上限 [facility_limit] = 150000.0; 单位 CNY; 口径 monthly。</x:v>
      </x:c>
      <x:c r="H217" s="2"/>
    </x:row>
    <x:row r="218" ht="92" customHeight="1">
      <x:c r="C218" s="25" t="str">
        <x:v>Input control: Assumptions.facility_limit.2026-07</x:v>
      </x:c>
      <x:c r="D218" s="25" t="str">
        <x:v>candidate_id=09cef376-ec06-574d-bea6-d242aa7067ad; unit=CNY;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218" s="25" t="str">
        <x:v>management</x:v>
      </x:c>
      <x:c r="F218" s="25" t="str">
        <x:v>c340447c-29b3-4e18-9500-cfa5aa37316a</x:v>
      </x:c>
      <x:c r="G218" s="25" t="str">
        <x:v>借款本金总上限 [facility_limit] = 150000.0; 单位 CNY; 口径 monthly。</x:v>
      </x:c>
      <x:c r="H218" s="2"/>
    </x:row>
    <x:row r="219" ht="92" customHeight="1">
      <x:c r="C219" s="25" t="str">
        <x:v>Input control: Assumptions.facility_limit.2026-08</x:v>
      </x:c>
      <x:c r="D219" s="25" t="str">
        <x:v>candidate_id=09cef376-ec06-574d-bea6-d242aa7067ad; unit=CNY;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219" s="25" t="str">
        <x:v>management</x:v>
      </x:c>
      <x:c r="F219" s="25" t="str">
        <x:v>c340447c-29b3-4e18-9500-cfa5aa37316a</x:v>
      </x:c>
      <x:c r="G219" s="25" t="str">
        <x:v>借款本金总上限 [facility_limit] = 150000.0; 单位 CNY; 口径 monthly。</x:v>
      </x:c>
      <x:c r="H219" s="2"/>
    </x:row>
    <x:row r="220" ht="92" customHeight="1">
      <x:c r="C220" s="25" t="str">
        <x:v>Input control: Assumptions.facility_limit.2026-09</x:v>
      </x:c>
      <x:c r="D220" s="25" t="str">
        <x:v>candidate_id=09cef376-ec06-574d-bea6-d242aa7067ad; unit=CNY;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220" s="25" t="str">
        <x:v>management</x:v>
      </x:c>
      <x:c r="F220" s="25" t="str">
        <x:v>c340447c-29b3-4e18-9500-cfa5aa37316a</x:v>
      </x:c>
      <x:c r="G220" s="25" t="str">
        <x:v>借款本金总上限 [facility_limit] = 150000.0; 单位 CNY; 口径 monthly。</x:v>
      </x:c>
      <x:c r="H220" s="2"/>
    </x:row>
    <x:row r="221" ht="92" customHeight="1">
      <x:c r="C221" s="25" t="str">
        <x:v>Input control: Assumptions.facility_limit.2026-10</x:v>
      </x:c>
      <x:c r="D221" s="25" t="str">
        <x:v>candidate_id=09cef376-ec06-574d-bea6-d242aa7067ad; unit=CNY;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221" s="25" t="str">
        <x:v>management</x:v>
      </x:c>
      <x:c r="F221" s="25" t="str">
        <x:v>c340447c-29b3-4e18-9500-cfa5aa37316a</x:v>
      </x:c>
      <x:c r="G221" s="25" t="str">
        <x:v>借款本金总上限 [facility_limit] = 150000.0; 单位 CNY; 口径 monthly。</x:v>
      </x:c>
      <x:c r="H221" s="2"/>
    </x:row>
    <x:row r="222" ht="92" customHeight="1">
      <x:c r="C222" s="25" t="str">
        <x:v>Input control: Assumptions.facility_limit.2026-11</x:v>
      </x:c>
      <x:c r="D222" s="25" t="str">
        <x:v>candidate_id=09cef376-ec06-574d-bea6-d242aa7067ad; unit=CNY;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222" s="25" t="str">
        <x:v>management</x:v>
      </x:c>
      <x:c r="F222" s="25" t="str">
        <x:v>c340447c-29b3-4e18-9500-cfa5aa37316a</x:v>
      </x:c>
      <x:c r="G222" s="25" t="str">
        <x:v>借款本金总上限 [facility_limit] = 150000.0; 单位 CNY; 口径 monthly。</x:v>
      </x:c>
      <x:c r="H222" s="2"/>
    </x:row>
    <x:row r="223" ht="92" customHeight="1">
      <x:c r="C223" s="25" t="str">
        <x:v>Input control: Assumptions.facility_limit.2026-12</x:v>
      </x:c>
      <x:c r="D223" s="25" t="str">
        <x:v>candidate_id=09cef376-ec06-574d-bea6-d242aa7067ad; unit=CNY;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223" s="25" t="str">
        <x:v>management</x:v>
      </x:c>
      <x:c r="F223" s="25" t="str">
        <x:v>c340447c-29b3-4e18-9500-cfa5aa37316a</x:v>
      </x:c>
      <x:c r="G223" s="25" t="str">
        <x:v>借款本金总上限 [facility_limit] = 150000.0; 单位 CNY; 口径 monthly。</x:v>
      </x:c>
      <x:c r="H223" s="2"/>
    </x:row>
    <x:row r="224" ht="92" customHeight="1">
      <x:c r="C224" s="25" t="str">
        <x:v>Input control: Assumptions.facility_limit.2027-01</x:v>
      </x:c>
      <x:c r="D224" s="25" t="str">
        <x:v>candidate_id=09cef376-ec06-574d-bea6-d242aa7067ad; unit=CNY;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224" s="25" t="str">
        <x:v>management</x:v>
      </x:c>
      <x:c r="F224" s="25" t="str">
        <x:v>c340447c-29b3-4e18-9500-cfa5aa37316a</x:v>
      </x:c>
      <x:c r="G224" s="25" t="str">
        <x:v>借款本金总上限 [facility_limit] = 150000.0; 单位 CNY; 口径 monthly。</x:v>
      </x:c>
      <x:c r="H224" s="2"/>
    </x:row>
    <x:row r="225" ht="92" customHeight="1">
      <x:c r="C225" s="25" t="str">
        <x:v>Input control: Assumptions.facility_limit.2027-02</x:v>
      </x:c>
      <x:c r="D225" s="25" t="str">
        <x:v>candidate_id=09cef376-ec06-574d-bea6-d242aa7067ad; unit=CNY;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225" s="25" t="str">
        <x:v>management</x:v>
      </x:c>
      <x:c r="F225" s="25" t="str">
        <x:v>c340447c-29b3-4e18-9500-cfa5aa37316a</x:v>
      </x:c>
      <x:c r="G225" s="25" t="str">
        <x:v>借款本金总上限 [facility_limit] = 150000.0; 单位 CNY; 口径 monthly。</x:v>
      </x:c>
      <x:c r="H225" s="2"/>
    </x:row>
    <x:row r="226" ht="92" customHeight="1">
      <x:c r="C226" s="25" t="str">
        <x:v>Input control: Assumptions.facility_limit.2027-03</x:v>
      </x:c>
      <x:c r="D226" s="25" t="str">
        <x:v>candidate_id=09cef376-ec06-574d-bea6-d242aa7067ad; unit=CNY;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226" s="25" t="str">
        <x:v>management</x:v>
      </x:c>
      <x:c r="F226" s="25" t="str">
        <x:v>c340447c-29b3-4e18-9500-cfa5aa37316a</x:v>
      </x:c>
      <x:c r="G226" s="25" t="str">
        <x:v>借款本金总上限 [facility_limit] = 150000.0; 单位 CNY; 口径 monthly。</x:v>
      </x:c>
      <x:c r="H226" s="2"/>
    </x:row>
    <x:row r="227" ht="92" customHeight="1">
      <x:c r="C227" s="25" t="str">
        <x:v>Input control: Assumptions.gross_margin.2026-04</x:v>
      </x:c>
      <x:c r="D227" s="25" t="str">
        <x:v>candidate_id=c1dca922-05fa-58e0-84b1-22c2b8586611; unit=ratio; input stage=selected raw input; scope=input; period=2026-04; editable slots require supplied numeric values; formula/source-structure edits invalidate the original receipt and require separate review; domain {"max":1,"min":null}; adopted bounds {"max":null,"min":null,"scope":"input"}</x:v>
      </x:c>
      <x:c r="E227" s="25" t="str">
        <x:v>management</x:v>
      </x:c>
      <x:c r="F227" s="25" t="str">
        <x:v>c340447c-29b3-4e18-9500-cfa5aa37316a</x:v>
      </x:c>
      <x:c r="G227" s="25" t="str">
        <x:v>不含折旧的现金毛利率 [gross_margin] = 0.4; 单位 ratio; 口径 monthly。</x:v>
      </x:c>
      <x:c r="H227" s="2"/>
    </x:row>
    <x:row r="228" ht="92" customHeight="1">
      <x:c r="C228" s="25" t="str">
        <x:v>Input control: Assumptions.gross_margin.2026-05</x:v>
      </x:c>
      <x:c r="D228" s="25" t="str">
        <x:v>candidate_id=c1dca922-05fa-58e0-84b1-22c2b8586611; unit=ratio; input stage=selected raw input; scope=input; period=2026-05; editable slots require supplied numeric values; formula/source-structure edits invalidate the original receipt and require separate review; domain {"max":1,"min":null}; adopted bounds {"max":null,"min":null,"scope":"input"}</x:v>
      </x:c>
      <x:c r="E228" s="25" t="str">
        <x:v>management</x:v>
      </x:c>
      <x:c r="F228" s="25" t="str">
        <x:v>c340447c-29b3-4e18-9500-cfa5aa37316a</x:v>
      </x:c>
      <x:c r="G228" s="25" t="str">
        <x:v>不含折旧的现金毛利率 [gross_margin] = 0.4; 单位 ratio; 口径 monthly。</x:v>
      </x:c>
      <x:c r="H228" s="2"/>
    </x:row>
    <x:row r="229" ht="92" customHeight="1">
      <x:c r="C229" s="25" t="str">
        <x:v>Input control: Assumptions.gross_margin.2026-06</x:v>
      </x:c>
      <x:c r="D229" s="25" t="str">
        <x:v>candidate_id=c1dca922-05fa-58e0-84b1-22c2b8586611; unit=ratio; input stage=selected raw input; scope=input; period=2026-06; editable slots require supplied numeric values; formula/source-structure edits invalidate the original receipt and require separate review; domain {"max":1,"min":null}; adopted bounds {"max":null,"min":null,"scope":"input"}</x:v>
      </x:c>
      <x:c r="E229" s="25" t="str">
        <x:v>management</x:v>
      </x:c>
      <x:c r="F229" s="25" t="str">
        <x:v>c340447c-29b3-4e18-9500-cfa5aa37316a</x:v>
      </x:c>
      <x:c r="G229" s="25" t="str">
        <x:v>不含折旧的现金毛利率 [gross_margin] = 0.4; 单位 ratio; 口径 monthly。</x:v>
      </x:c>
      <x:c r="H229" s="2"/>
    </x:row>
    <x:row r="230" ht="92" customHeight="1">
      <x:c r="C230" s="25" t="str">
        <x:v>Input control: Assumptions.gross_margin.2026-07</x:v>
      </x:c>
      <x:c r="D230" s="25" t="str">
        <x:v>candidate_id=c1dca922-05fa-58e0-84b1-22c2b8586611; unit=ratio; input stage=selected raw input; scope=input; period=2026-07; editable slots require supplied numeric values; formula/source-structure edits invalidate the original receipt and require separate review; domain {"max":1,"min":null}; adopted bounds {"max":null,"min":null,"scope":"input"}</x:v>
      </x:c>
      <x:c r="E230" s="25" t="str">
        <x:v>management</x:v>
      </x:c>
      <x:c r="F230" s="25" t="str">
        <x:v>c340447c-29b3-4e18-9500-cfa5aa37316a</x:v>
      </x:c>
      <x:c r="G230" s="25" t="str">
        <x:v>不含折旧的现金毛利率 [gross_margin] = 0.4; 单位 ratio; 口径 monthly。</x:v>
      </x:c>
      <x:c r="H230" s="2"/>
    </x:row>
    <x:row r="231" ht="92" customHeight="1">
      <x:c r="C231" s="25" t="str">
        <x:v>Input control: Assumptions.gross_margin.2026-08</x:v>
      </x:c>
      <x:c r="D231" s="25" t="str">
        <x:v>candidate_id=c1dca922-05fa-58e0-84b1-22c2b8586611; unit=ratio; input stage=selected raw input; scope=input; period=2026-08; editable slots require supplied numeric values; formula/source-structure edits invalidate the original receipt and require separate review; domain {"max":1,"min":null}; adopted bounds {"max":null,"min":null,"scope":"input"}</x:v>
      </x:c>
      <x:c r="E231" s="25" t="str">
        <x:v>management</x:v>
      </x:c>
      <x:c r="F231" s="25" t="str">
        <x:v>c340447c-29b3-4e18-9500-cfa5aa37316a</x:v>
      </x:c>
      <x:c r="G231" s="25" t="str">
        <x:v>不含折旧的现金毛利率 [gross_margin] = 0.4; 单位 ratio; 口径 monthly。</x:v>
      </x:c>
      <x:c r="H231" s="2"/>
    </x:row>
    <x:row r="232" ht="92" customHeight="1">
      <x:c r="C232" s="25" t="str">
        <x:v>Input control: Assumptions.gross_margin.2026-09</x:v>
      </x:c>
      <x:c r="D232" s="25" t="str">
        <x:v>candidate_id=c1dca922-05fa-58e0-84b1-22c2b8586611; unit=ratio; input stage=selected raw input; scope=input; period=2026-09; editable slots require supplied numeric values; formula/source-structure edits invalidate the original receipt and require separate review; domain {"max":1,"min":null}; adopted bounds {"max":null,"min":null,"scope":"input"}</x:v>
      </x:c>
      <x:c r="E232" s="25" t="str">
        <x:v>management</x:v>
      </x:c>
      <x:c r="F232" s="25" t="str">
        <x:v>c340447c-29b3-4e18-9500-cfa5aa37316a</x:v>
      </x:c>
      <x:c r="G232" s="25" t="str">
        <x:v>不含折旧的现金毛利率 [gross_margin] = 0.4; 单位 ratio; 口径 monthly。</x:v>
      </x:c>
      <x:c r="H232" s="2"/>
    </x:row>
    <x:row r="233" ht="92" customHeight="1">
      <x:c r="C233" s="25" t="str">
        <x:v>Input control: Assumptions.gross_margin.2026-10</x:v>
      </x:c>
      <x:c r="D233" s="25" t="str">
        <x:v>candidate_id=c1dca922-05fa-58e0-84b1-22c2b8586611; unit=ratio; input stage=selected raw input; scope=input; period=2026-10; editable slots require supplied numeric values; formula/source-structure edits invalidate the original receipt and require separate review; domain {"max":1,"min":null}; adopted bounds {"max":null,"min":null,"scope":"input"}</x:v>
      </x:c>
      <x:c r="E233" s="25" t="str">
        <x:v>management</x:v>
      </x:c>
      <x:c r="F233" s="25" t="str">
        <x:v>c340447c-29b3-4e18-9500-cfa5aa37316a</x:v>
      </x:c>
      <x:c r="G233" s="25" t="str">
        <x:v>不含折旧的现金毛利率 [gross_margin] = 0.4; 单位 ratio; 口径 monthly。</x:v>
      </x:c>
      <x:c r="H233" s="2"/>
    </x:row>
    <x:row r="234" ht="92" customHeight="1">
      <x:c r="C234" s="25" t="str">
        <x:v>Input control: Assumptions.gross_margin.2026-11</x:v>
      </x:c>
      <x:c r="D234" s="25" t="str">
        <x:v>candidate_id=c1dca922-05fa-58e0-84b1-22c2b8586611; unit=ratio; input stage=selected raw input; scope=input; period=2026-11; editable slots require supplied numeric values; formula/source-structure edits invalidate the original receipt and require separate review; domain {"max":1,"min":null}; adopted bounds {"max":null,"min":null,"scope":"input"}</x:v>
      </x:c>
      <x:c r="E234" s="25" t="str">
        <x:v>management</x:v>
      </x:c>
      <x:c r="F234" s="25" t="str">
        <x:v>c340447c-29b3-4e18-9500-cfa5aa37316a</x:v>
      </x:c>
      <x:c r="G234" s="25" t="str">
        <x:v>不含折旧的现金毛利率 [gross_margin] = 0.4; 单位 ratio; 口径 monthly。</x:v>
      </x:c>
      <x:c r="H234" s="2"/>
    </x:row>
    <x:row r="235" ht="92" customHeight="1">
      <x:c r="C235" s="25" t="str">
        <x:v>Input control: Assumptions.gross_margin.2026-12</x:v>
      </x:c>
      <x:c r="D235" s="25" t="str">
        <x:v>candidate_id=c1dca922-05fa-58e0-84b1-22c2b8586611; unit=ratio; input stage=selected raw input; scope=input; period=2026-12; editable slots require supplied numeric values; formula/source-structure edits invalidate the original receipt and require separate review; domain {"max":1,"min":null}; adopted bounds {"max":null,"min":null,"scope":"input"}</x:v>
      </x:c>
      <x:c r="E235" s="25" t="str">
        <x:v>management</x:v>
      </x:c>
      <x:c r="F235" s="25" t="str">
        <x:v>c340447c-29b3-4e18-9500-cfa5aa37316a</x:v>
      </x:c>
      <x:c r="G235" s="25" t="str">
        <x:v>不含折旧的现金毛利率 [gross_margin] = 0.4; 单位 ratio; 口径 monthly。</x:v>
      </x:c>
      <x:c r="H235" s="2"/>
    </x:row>
    <x:row r="236" ht="92" customHeight="1">
      <x:c r="C236" s="25" t="str">
        <x:v>Input control: Assumptions.gross_margin.2027-01</x:v>
      </x:c>
      <x:c r="D236" s="25" t="str">
        <x:v>candidate_id=c1dca922-05fa-58e0-84b1-22c2b8586611; unit=ratio; input stage=selected raw input; scope=input; period=2027-01; editable slots require supplied numeric values; formula/source-structure edits invalidate the original receipt and require separate review; domain {"max":1,"min":null}; adopted bounds {"max":null,"min":null,"scope":"input"}</x:v>
      </x:c>
      <x:c r="E236" s="25" t="str">
        <x:v>management</x:v>
      </x:c>
      <x:c r="F236" s="25" t="str">
        <x:v>c340447c-29b3-4e18-9500-cfa5aa37316a</x:v>
      </x:c>
      <x:c r="G236" s="25" t="str">
        <x:v>不含折旧的现金毛利率 [gross_margin] = 0.4; 单位 ratio; 口径 monthly。</x:v>
      </x:c>
      <x:c r="H236" s="2"/>
    </x:row>
    <x:row r="237" ht="92" customHeight="1">
      <x:c r="C237" s="25" t="str">
        <x:v>Input control: Assumptions.gross_margin.2027-02</x:v>
      </x:c>
      <x:c r="D237" s="25" t="str">
        <x:v>candidate_id=c1dca922-05fa-58e0-84b1-22c2b8586611; unit=ratio; input stage=selected raw input; scope=input; period=2027-02; editable slots require supplied numeric values; formula/source-structure edits invalidate the original receipt and require separate review; domain {"max":1,"min":null}; adopted bounds {"max":null,"min":null,"scope":"input"}</x:v>
      </x:c>
      <x:c r="E237" s="25" t="str">
        <x:v>management</x:v>
      </x:c>
      <x:c r="F237" s="25" t="str">
        <x:v>c340447c-29b3-4e18-9500-cfa5aa37316a</x:v>
      </x:c>
      <x:c r="G237" s="25" t="str">
        <x:v>不含折旧的现金毛利率 [gross_margin] = 0.4; 单位 ratio; 口径 monthly。</x:v>
      </x:c>
      <x:c r="H237" s="2"/>
    </x:row>
    <x:row r="238" ht="92" customHeight="1">
      <x:c r="C238" s="25" t="str">
        <x:v>Input control: Assumptions.gross_margin.2027-03</x:v>
      </x:c>
      <x:c r="D238" s="25" t="str">
        <x:v>candidate_id=c1dca922-05fa-58e0-84b1-22c2b8586611; unit=ratio; input stage=selected raw input; scope=input; period=2027-03; editable slots require supplied numeric values; formula/source-structure edits invalidate the original receipt and require separate review; domain {"max":1,"min":null}; adopted bounds {"max":null,"min":null,"scope":"input"}</x:v>
      </x:c>
      <x:c r="E238" s="25" t="str">
        <x:v>management</x:v>
      </x:c>
      <x:c r="F238" s="25" t="str">
        <x:v>c340447c-29b3-4e18-9500-cfa5aa37316a</x:v>
      </x:c>
      <x:c r="G238" s="25" t="str">
        <x:v>不含折旧的现金毛利率 [gross_margin] = 0.4; 单位 ratio; 口径 monthly。</x:v>
      </x:c>
      <x:c r="H238" s="2"/>
    </x:row>
    <x:row r="239" ht="92" customHeight="1">
      <x:c r="C239" s="25" t="str">
        <x:v>Input control: Assumptions.interest_rate.2026-04</x:v>
      </x:c>
      <x:c r="D239" s="25" t="str">
        <x:v>candidate_id=8290d6e4-fe09-593e-b850-28415eaa22fa; unit=ratio;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239" s="25" t="str">
        <x:v>management</x:v>
      </x:c>
      <x:c r="F239" s="25" t="str">
        <x:v>c340447c-29b3-4e18-9500-cfa5aa37316a</x:v>
      </x:c>
      <x:c r="G239" s="25" t="str">
        <x:v>年借款利率 [interest_rate] = 0.06; 单位 ratio; 口径 annual。</x:v>
      </x:c>
      <x:c r="H239" s="2"/>
    </x:row>
    <x:row r="240" ht="92" customHeight="1">
      <x:c r="C240" s="25" t="str">
        <x:v>Input control: Assumptions.interest_rate.2026-05</x:v>
      </x:c>
      <x:c r="D240" s="25" t="str">
        <x:v>candidate_id=8290d6e4-fe09-593e-b850-28415eaa22fa; unit=ratio;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240" s="25" t="str">
        <x:v>management</x:v>
      </x:c>
      <x:c r="F240" s="25" t="str">
        <x:v>c340447c-29b3-4e18-9500-cfa5aa37316a</x:v>
      </x:c>
      <x:c r="G240" s="25" t="str">
        <x:v>年借款利率 [interest_rate] = 0.06; 单位 ratio; 口径 annual。</x:v>
      </x:c>
      <x:c r="H240" s="2"/>
    </x:row>
    <x:row r="241" ht="92" customHeight="1">
      <x:c r="C241" s="25" t="str">
        <x:v>Input control: Assumptions.interest_rate.2026-06</x:v>
      </x:c>
      <x:c r="D241" s="25" t="str">
        <x:v>candidate_id=8290d6e4-fe09-593e-b850-28415eaa22fa; unit=ratio;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241" s="25" t="str">
        <x:v>management</x:v>
      </x:c>
      <x:c r="F241" s="25" t="str">
        <x:v>c340447c-29b3-4e18-9500-cfa5aa37316a</x:v>
      </x:c>
      <x:c r="G241" s="25" t="str">
        <x:v>年借款利率 [interest_rate] = 0.06; 单位 ratio; 口径 annual。</x:v>
      </x:c>
      <x:c r="H241" s="2"/>
    </x:row>
    <x:row r="242" ht="92" customHeight="1">
      <x:c r="C242" s="25" t="str">
        <x:v>Input control: Assumptions.interest_rate.2026-07</x:v>
      </x:c>
      <x:c r="D242" s="25" t="str">
        <x:v>candidate_id=8290d6e4-fe09-593e-b850-28415eaa22fa; unit=ratio;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242" s="25" t="str">
        <x:v>management</x:v>
      </x:c>
      <x:c r="F242" s="25" t="str">
        <x:v>c340447c-29b3-4e18-9500-cfa5aa37316a</x:v>
      </x:c>
      <x:c r="G242" s="25" t="str">
        <x:v>年借款利率 [interest_rate] = 0.06; 单位 ratio; 口径 annual。</x:v>
      </x:c>
      <x:c r="H242" s="2"/>
    </x:row>
    <x:row r="243" ht="92" customHeight="1">
      <x:c r="C243" s="25" t="str">
        <x:v>Input control: Assumptions.interest_rate.2026-08</x:v>
      </x:c>
      <x:c r="D243" s="25" t="str">
        <x:v>candidate_id=8290d6e4-fe09-593e-b850-28415eaa22fa; unit=ratio;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243" s="25" t="str">
        <x:v>management</x:v>
      </x:c>
      <x:c r="F243" s="25" t="str">
        <x:v>c340447c-29b3-4e18-9500-cfa5aa37316a</x:v>
      </x:c>
      <x:c r="G243" s="25" t="str">
        <x:v>年借款利率 [interest_rate] = 0.06; 单位 ratio; 口径 annual。</x:v>
      </x:c>
      <x:c r="H243" s="2"/>
    </x:row>
    <x:row r="244" ht="92" customHeight="1">
      <x:c r="C244" s="25" t="str">
        <x:v>Input control: Assumptions.interest_rate.2026-09</x:v>
      </x:c>
      <x:c r="D244" s="25" t="str">
        <x:v>candidate_id=8290d6e4-fe09-593e-b850-28415eaa22fa; unit=ratio;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244" s="25" t="str">
        <x:v>management</x:v>
      </x:c>
      <x:c r="F244" s="25" t="str">
        <x:v>c340447c-29b3-4e18-9500-cfa5aa37316a</x:v>
      </x:c>
      <x:c r="G244" s="25" t="str">
        <x:v>年借款利率 [interest_rate] = 0.06; 单位 ratio; 口径 annual。</x:v>
      </x:c>
      <x:c r="H244" s="2"/>
    </x:row>
    <x:row r="245" ht="92" customHeight="1">
      <x:c r="C245" s="25" t="str">
        <x:v>Input control: Assumptions.interest_rate.2026-10</x:v>
      </x:c>
      <x:c r="D245" s="25" t="str">
        <x:v>candidate_id=8290d6e4-fe09-593e-b850-28415eaa22fa; unit=ratio;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245" s="25" t="str">
        <x:v>management</x:v>
      </x:c>
      <x:c r="F245" s="25" t="str">
        <x:v>c340447c-29b3-4e18-9500-cfa5aa37316a</x:v>
      </x:c>
      <x:c r="G245" s="25" t="str">
        <x:v>年借款利率 [interest_rate] = 0.06; 单位 ratio; 口径 annual。</x:v>
      </x:c>
      <x:c r="H245" s="2"/>
    </x:row>
    <x:row r="246" ht="92" customHeight="1">
      <x:c r="C246" s="25" t="str">
        <x:v>Input control: Assumptions.interest_rate.2026-11</x:v>
      </x:c>
      <x:c r="D246" s="25" t="str">
        <x:v>candidate_id=8290d6e4-fe09-593e-b850-28415eaa22fa; unit=ratio;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246" s="25" t="str">
        <x:v>management</x:v>
      </x:c>
      <x:c r="F246" s="25" t="str">
        <x:v>c340447c-29b3-4e18-9500-cfa5aa37316a</x:v>
      </x:c>
      <x:c r="G246" s="25" t="str">
        <x:v>年借款利率 [interest_rate] = 0.06; 单位 ratio; 口径 annual。</x:v>
      </x:c>
      <x:c r="H246" s="2"/>
    </x:row>
    <x:row r="247" ht="92" customHeight="1">
      <x:c r="C247" s="25" t="str">
        <x:v>Input control: Assumptions.interest_rate.2026-12</x:v>
      </x:c>
      <x:c r="D247" s="25" t="str">
        <x:v>candidate_id=8290d6e4-fe09-593e-b850-28415eaa22fa; unit=ratio;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247" s="25" t="str">
        <x:v>management</x:v>
      </x:c>
      <x:c r="F247" s="25" t="str">
        <x:v>c340447c-29b3-4e18-9500-cfa5aa37316a</x:v>
      </x:c>
      <x:c r="G247" s="25" t="str">
        <x:v>年借款利率 [interest_rate] = 0.06; 单位 ratio; 口径 annual。</x:v>
      </x:c>
      <x:c r="H247" s="2"/>
    </x:row>
    <x:row r="248" ht="92" customHeight="1">
      <x:c r="C248" s="25" t="str">
        <x:v>Input control: Assumptions.interest_rate.2027-01</x:v>
      </x:c>
      <x:c r="D248" s="25" t="str">
        <x:v>candidate_id=8290d6e4-fe09-593e-b850-28415eaa22fa; unit=ratio;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248" s="25" t="str">
        <x:v>management</x:v>
      </x:c>
      <x:c r="F248" s="25" t="str">
        <x:v>c340447c-29b3-4e18-9500-cfa5aa37316a</x:v>
      </x:c>
      <x:c r="G248" s="25" t="str">
        <x:v>年借款利率 [interest_rate] = 0.06; 单位 ratio; 口径 annual。</x:v>
      </x:c>
      <x:c r="H248" s="2"/>
    </x:row>
    <x:row r="249" ht="92" customHeight="1">
      <x:c r="C249" s="25" t="str">
        <x:v>Input control: Assumptions.interest_rate.2027-02</x:v>
      </x:c>
      <x:c r="D249" s="25" t="str">
        <x:v>candidate_id=8290d6e4-fe09-593e-b850-28415eaa22fa; unit=ratio;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249" s="25" t="str">
        <x:v>management</x:v>
      </x:c>
      <x:c r="F249" s="25" t="str">
        <x:v>c340447c-29b3-4e18-9500-cfa5aa37316a</x:v>
      </x:c>
      <x:c r="G249" s="25" t="str">
        <x:v>年借款利率 [interest_rate] = 0.06; 单位 ratio; 口径 annual。</x:v>
      </x:c>
      <x:c r="H249" s="2"/>
    </x:row>
    <x:row r="250" ht="92" customHeight="1">
      <x:c r="C250" s="25" t="str">
        <x:v>Input control: Assumptions.interest_rate.2027-03</x:v>
      </x:c>
      <x:c r="D250" s="25" t="str">
        <x:v>candidate_id=8290d6e4-fe09-593e-b850-28415eaa22fa; unit=ratio;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250" s="25" t="str">
        <x:v>management</x:v>
      </x:c>
      <x:c r="F250" s="25" t="str">
        <x:v>c340447c-29b3-4e18-9500-cfa5aa37316a</x:v>
      </x:c>
      <x:c r="G250" s="25" t="str">
        <x:v>年借款利率 [interest_rate] = 0.06; 单位 ratio; 口径 annual。</x:v>
      </x:c>
      <x:c r="H250" s="2"/>
    </x:row>
    <x:row r="251" ht="92" customHeight="1">
      <x:c r="C251" s="25" t="str">
        <x:v>Input control: Assumptions.min_cash.2026-04</x:v>
      </x:c>
      <x:c r="D251" s="25" t="str">
        <x:v>candidate_id=2b48a9e8-4220-565b-ac41-af2f0ea5b077; unit=CNY;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251" s="25" t="str">
        <x:v>management</x:v>
      </x:c>
      <x:c r="F251" s="25" t="str">
        <x:v>c340447c-29b3-4e18-9500-cfa5aa37316a</x:v>
      </x:c>
      <x:c r="G251" s="25" t="str">
        <x:v>最低现金余额 [min_cash] = 10000.0; 单位 CNY; 口径 monthly。</x:v>
      </x:c>
      <x:c r="H251" s="2"/>
    </x:row>
    <x:row r="252" ht="92" customHeight="1">
      <x:c r="C252" s="25" t="str">
        <x:v>Input control: Assumptions.min_cash.2026-05</x:v>
      </x:c>
      <x:c r="D252" s="25" t="str">
        <x:v>candidate_id=2b48a9e8-4220-565b-ac41-af2f0ea5b077; unit=CNY;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252" s="25" t="str">
        <x:v>management</x:v>
      </x:c>
      <x:c r="F252" s="25" t="str">
        <x:v>c340447c-29b3-4e18-9500-cfa5aa37316a</x:v>
      </x:c>
      <x:c r="G252" s="25" t="str">
        <x:v>最低现金余额 [min_cash] = 10000.0; 单位 CNY; 口径 monthly。</x:v>
      </x:c>
      <x:c r="H252" s="2"/>
    </x:row>
    <x:row r="253" ht="92" customHeight="1">
      <x:c r="C253" s="25" t="str">
        <x:v>Input control: Assumptions.min_cash.2026-06</x:v>
      </x:c>
      <x:c r="D253" s="25" t="str">
        <x:v>candidate_id=2b48a9e8-4220-565b-ac41-af2f0ea5b077; unit=CNY;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253" s="25" t="str">
        <x:v>management</x:v>
      </x:c>
      <x:c r="F253" s="25" t="str">
        <x:v>c340447c-29b3-4e18-9500-cfa5aa37316a</x:v>
      </x:c>
      <x:c r="G253" s="25" t="str">
        <x:v>最低现金余额 [min_cash] = 10000.0; 单位 CNY; 口径 monthly。</x:v>
      </x:c>
      <x:c r="H253" s="2"/>
    </x:row>
    <x:row r="254" ht="92" customHeight="1">
      <x:c r="C254" s="25" t="str">
        <x:v>Input control: Assumptions.min_cash.2026-07</x:v>
      </x:c>
      <x:c r="D254" s="25" t="str">
        <x:v>candidate_id=2b48a9e8-4220-565b-ac41-af2f0ea5b077; unit=CNY;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254" s="25" t="str">
        <x:v>management</x:v>
      </x:c>
      <x:c r="F254" s="25" t="str">
        <x:v>c340447c-29b3-4e18-9500-cfa5aa37316a</x:v>
      </x:c>
      <x:c r="G254" s="25" t="str">
        <x:v>最低现金余额 [min_cash] = 10000.0; 单位 CNY; 口径 monthly。</x:v>
      </x:c>
      <x:c r="H254" s="2"/>
    </x:row>
    <x:row r="255" ht="92" customHeight="1">
      <x:c r="C255" s="25" t="str">
        <x:v>Input control: Assumptions.min_cash.2026-08</x:v>
      </x:c>
      <x:c r="D255" s="25" t="str">
        <x:v>candidate_id=2b48a9e8-4220-565b-ac41-af2f0ea5b077; unit=CNY;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255" s="25" t="str">
        <x:v>management</x:v>
      </x:c>
      <x:c r="F255" s="25" t="str">
        <x:v>c340447c-29b3-4e18-9500-cfa5aa37316a</x:v>
      </x:c>
      <x:c r="G255" s="25" t="str">
        <x:v>最低现金余额 [min_cash] = 10000.0; 单位 CNY; 口径 monthly。</x:v>
      </x:c>
      <x:c r="H255" s="2"/>
    </x:row>
    <x:row r="256" ht="92" customHeight="1">
      <x:c r="C256" s="25" t="str">
        <x:v>Input control: Assumptions.min_cash.2026-09</x:v>
      </x:c>
      <x:c r="D256" s="25" t="str">
        <x:v>candidate_id=2b48a9e8-4220-565b-ac41-af2f0ea5b077; unit=CNY;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256" s="25" t="str">
        <x:v>management</x:v>
      </x:c>
      <x:c r="F256" s="25" t="str">
        <x:v>c340447c-29b3-4e18-9500-cfa5aa37316a</x:v>
      </x:c>
      <x:c r="G256" s="25" t="str">
        <x:v>最低现金余额 [min_cash] = 10000.0; 单位 CNY; 口径 monthly。</x:v>
      </x:c>
      <x:c r="H256" s="2"/>
    </x:row>
    <x:row r="257" ht="92" customHeight="1">
      <x:c r="C257" s="25" t="str">
        <x:v>Input control: Assumptions.min_cash.2026-10</x:v>
      </x:c>
      <x:c r="D257" s="25" t="str">
        <x:v>candidate_id=2b48a9e8-4220-565b-ac41-af2f0ea5b077; unit=CNY;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257" s="25" t="str">
        <x:v>management</x:v>
      </x:c>
      <x:c r="F257" s="25" t="str">
        <x:v>c340447c-29b3-4e18-9500-cfa5aa37316a</x:v>
      </x:c>
      <x:c r="G257" s="25" t="str">
        <x:v>最低现金余额 [min_cash] = 10000.0; 单位 CNY; 口径 monthly。</x:v>
      </x:c>
      <x:c r="H257" s="2"/>
    </x:row>
    <x:row r="258" ht="92" customHeight="1">
      <x:c r="C258" s="25" t="str">
        <x:v>Input control: Assumptions.min_cash.2026-11</x:v>
      </x:c>
      <x:c r="D258" s="25" t="str">
        <x:v>candidate_id=2b48a9e8-4220-565b-ac41-af2f0ea5b077; unit=CNY;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258" s="25" t="str">
        <x:v>management</x:v>
      </x:c>
      <x:c r="F258" s="25" t="str">
        <x:v>c340447c-29b3-4e18-9500-cfa5aa37316a</x:v>
      </x:c>
      <x:c r="G258" s="25" t="str">
        <x:v>最低现金余额 [min_cash] = 10000.0; 单位 CNY; 口径 monthly。</x:v>
      </x:c>
      <x:c r="H258" s="2"/>
    </x:row>
    <x:row r="259" ht="92" customHeight="1">
      <x:c r="C259" s="25" t="str">
        <x:v>Input control: Assumptions.min_cash.2026-12</x:v>
      </x:c>
      <x:c r="D259" s="25" t="str">
        <x:v>candidate_id=2b48a9e8-4220-565b-ac41-af2f0ea5b077; unit=CNY;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259" s="25" t="str">
        <x:v>management</x:v>
      </x:c>
      <x:c r="F259" s="25" t="str">
        <x:v>c340447c-29b3-4e18-9500-cfa5aa37316a</x:v>
      </x:c>
      <x:c r="G259" s="25" t="str">
        <x:v>最低现金余额 [min_cash] = 10000.0; 单位 CNY; 口径 monthly。</x:v>
      </x:c>
      <x:c r="H259" s="2"/>
    </x:row>
    <x:row r="260" ht="92" customHeight="1">
      <x:c r="C260" s="25" t="str">
        <x:v>Input control: Assumptions.min_cash.2027-01</x:v>
      </x:c>
      <x:c r="D260" s="25" t="str">
        <x:v>candidate_id=2b48a9e8-4220-565b-ac41-af2f0ea5b077; unit=CNY;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260" s="25" t="str">
        <x:v>management</x:v>
      </x:c>
      <x:c r="F260" s="25" t="str">
        <x:v>c340447c-29b3-4e18-9500-cfa5aa37316a</x:v>
      </x:c>
      <x:c r="G260" s="25" t="str">
        <x:v>最低现金余额 [min_cash] = 10000.0; 单位 CNY; 口径 monthly。</x:v>
      </x:c>
      <x:c r="H260" s="2"/>
    </x:row>
    <x:row r="261" ht="92" customHeight="1">
      <x:c r="C261" s="25" t="str">
        <x:v>Input control: Assumptions.min_cash.2027-02</x:v>
      </x:c>
      <x:c r="D261" s="25" t="str">
        <x:v>candidate_id=2b48a9e8-4220-565b-ac41-af2f0ea5b077; unit=CNY;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261" s="25" t="str">
        <x:v>management</x:v>
      </x:c>
      <x:c r="F261" s="25" t="str">
        <x:v>c340447c-29b3-4e18-9500-cfa5aa37316a</x:v>
      </x:c>
      <x:c r="G261" s="25" t="str">
        <x:v>最低现金余额 [min_cash] = 10000.0; 单位 CNY; 口径 monthly。</x:v>
      </x:c>
      <x:c r="H261" s="2"/>
    </x:row>
    <x:row r="262" ht="92" customHeight="1">
      <x:c r="C262" s="25" t="str">
        <x:v>Input control: Assumptions.min_cash.2027-03</x:v>
      </x:c>
      <x:c r="D262" s="25" t="str">
        <x:v>candidate_id=2b48a9e8-4220-565b-ac41-af2f0ea5b077; unit=CNY;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262" s="25" t="str">
        <x:v>management</x:v>
      </x:c>
      <x:c r="F262" s="25" t="str">
        <x:v>c340447c-29b3-4e18-9500-cfa5aa37316a</x:v>
      </x:c>
      <x:c r="G262" s="25" t="str">
        <x:v>最低现金余额 [min_cash] = 10000.0; 单位 CNY; 口径 monthly。</x:v>
      </x:c>
      <x:c r="H262" s="2"/>
    </x:row>
    <x:row r="263" ht="92" customHeight="1">
      <x:c r="C263" s="25" t="str">
        <x:v>Input control: Assumptions.research_ratio.2026-04</x:v>
      </x:c>
      <x:c r="D263" s="25" t="str">
        <x:v>candidate_id=02cb241e-9a40-5796-96d2-ae8dcbd33455; unit=ratio;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263" s="25" t="str">
        <x:v>management</x:v>
      </x:c>
      <x:c r="F263" s="25" t="str">
        <x:v>c340447c-29b3-4e18-9500-cfa5aa37316a</x:v>
      </x:c>
      <x:c r="G263" s="25" t="str">
        <x:v>研发费用率 [research_ratio] = 0.0; 单位 ratio; 口径 monthly。</x:v>
      </x:c>
      <x:c r="H263" s="2"/>
    </x:row>
    <x:row r="264" ht="92" customHeight="1">
      <x:c r="C264" s="25" t="str">
        <x:v>Input control: Assumptions.research_ratio.2026-05</x:v>
      </x:c>
      <x:c r="D264" s="25" t="str">
        <x:v>candidate_id=02cb241e-9a40-5796-96d2-ae8dcbd33455; unit=ratio;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264" s="25" t="str">
        <x:v>management</x:v>
      </x:c>
      <x:c r="F264" s="25" t="str">
        <x:v>c340447c-29b3-4e18-9500-cfa5aa37316a</x:v>
      </x:c>
      <x:c r="G264" s="25" t="str">
        <x:v>研发费用率 [research_ratio] = 0.0; 单位 ratio; 口径 monthly。</x:v>
      </x:c>
      <x:c r="H264" s="2"/>
    </x:row>
    <x:row r="265" ht="92" customHeight="1">
      <x:c r="C265" s="25" t="str">
        <x:v>Input control: Assumptions.research_ratio.2026-06</x:v>
      </x:c>
      <x:c r="D265" s="25" t="str">
        <x:v>candidate_id=02cb241e-9a40-5796-96d2-ae8dcbd33455; unit=ratio;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265" s="25" t="str">
        <x:v>management</x:v>
      </x:c>
      <x:c r="F265" s="25" t="str">
        <x:v>c340447c-29b3-4e18-9500-cfa5aa37316a</x:v>
      </x:c>
      <x:c r="G265" s="25" t="str">
        <x:v>研发费用率 [research_ratio] = 0.0; 单位 ratio; 口径 monthly。</x:v>
      </x:c>
      <x:c r="H265" s="2"/>
    </x:row>
    <x:row r="266" ht="92" customHeight="1">
      <x:c r="C266" s="25" t="str">
        <x:v>Input control: Assumptions.research_ratio.2026-07</x:v>
      </x:c>
      <x:c r="D266" s="25" t="str">
        <x:v>candidate_id=02cb241e-9a40-5796-96d2-ae8dcbd33455; unit=ratio;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266" s="25" t="str">
        <x:v>management</x:v>
      </x:c>
      <x:c r="F266" s="25" t="str">
        <x:v>c340447c-29b3-4e18-9500-cfa5aa37316a</x:v>
      </x:c>
      <x:c r="G266" s="25" t="str">
        <x:v>研发费用率 [research_ratio] = 0.0; 单位 ratio; 口径 monthly。</x:v>
      </x:c>
      <x:c r="H266" s="2"/>
    </x:row>
    <x:row r="267" ht="92" customHeight="1">
      <x:c r="C267" s="25" t="str">
        <x:v>Input control: Assumptions.research_ratio.2026-08</x:v>
      </x:c>
      <x:c r="D267" s="25" t="str">
        <x:v>candidate_id=02cb241e-9a40-5796-96d2-ae8dcbd33455; unit=ratio;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267" s="25" t="str">
        <x:v>management</x:v>
      </x:c>
      <x:c r="F267" s="25" t="str">
        <x:v>c340447c-29b3-4e18-9500-cfa5aa37316a</x:v>
      </x:c>
      <x:c r="G267" s="25" t="str">
        <x:v>研发费用率 [research_ratio] = 0.0; 单位 ratio; 口径 monthly。</x:v>
      </x:c>
      <x:c r="H267" s="2"/>
    </x:row>
    <x:row r="268" ht="92" customHeight="1">
      <x:c r="C268" s="25" t="str">
        <x:v>Input control: Assumptions.research_ratio.2026-09</x:v>
      </x:c>
      <x:c r="D268" s="25" t="str">
        <x:v>candidate_id=02cb241e-9a40-5796-96d2-ae8dcbd33455; unit=ratio;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268" s="25" t="str">
        <x:v>management</x:v>
      </x:c>
      <x:c r="F268" s="25" t="str">
        <x:v>c340447c-29b3-4e18-9500-cfa5aa37316a</x:v>
      </x:c>
      <x:c r="G268" s="25" t="str">
        <x:v>研发费用率 [research_ratio] = 0.0; 单位 ratio; 口径 monthly。</x:v>
      </x:c>
      <x:c r="H268" s="2"/>
    </x:row>
    <x:row r="269" ht="92" customHeight="1">
      <x:c r="C269" s="25" t="str">
        <x:v>Input control: Assumptions.research_ratio.2026-10</x:v>
      </x:c>
      <x:c r="D269" s="25" t="str">
        <x:v>candidate_id=02cb241e-9a40-5796-96d2-ae8dcbd33455; unit=ratio;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269" s="25" t="str">
        <x:v>management</x:v>
      </x:c>
      <x:c r="F269" s="25" t="str">
        <x:v>c340447c-29b3-4e18-9500-cfa5aa37316a</x:v>
      </x:c>
      <x:c r="G269" s="25" t="str">
        <x:v>研发费用率 [research_ratio] = 0.0; 单位 ratio; 口径 monthly。</x:v>
      </x:c>
      <x:c r="H269" s="2"/>
    </x:row>
    <x:row r="270" ht="92" customHeight="1">
      <x:c r="C270" s="25" t="str">
        <x:v>Input control: Assumptions.research_ratio.2026-11</x:v>
      </x:c>
      <x:c r="D270" s="25" t="str">
        <x:v>candidate_id=02cb241e-9a40-5796-96d2-ae8dcbd33455; unit=ratio;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270" s="25" t="str">
        <x:v>management</x:v>
      </x:c>
      <x:c r="F270" s="25" t="str">
        <x:v>c340447c-29b3-4e18-9500-cfa5aa37316a</x:v>
      </x:c>
      <x:c r="G270" s="25" t="str">
        <x:v>研发费用率 [research_ratio] = 0.0; 单位 ratio; 口径 monthly。</x:v>
      </x:c>
      <x:c r="H270" s="2"/>
    </x:row>
    <x:row r="271" ht="92" customHeight="1">
      <x:c r="C271" s="25" t="str">
        <x:v>Input control: Assumptions.research_ratio.2026-12</x:v>
      </x:c>
      <x:c r="D271" s="25" t="str">
        <x:v>candidate_id=02cb241e-9a40-5796-96d2-ae8dcbd33455; unit=ratio;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271" s="25" t="str">
        <x:v>management</x:v>
      </x:c>
      <x:c r="F271" s="25" t="str">
        <x:v>c340447c-29b3-4e18-9500-cfa5aa37316a</x:v>
      </x:c>
      <x:c r="G271" s="25" t="str">
        <x:v>研发费用率 [research_ratio] = 0.0; 单位 ratio; 口径 monthly。</x:v>
      </x:c>
      <x:c r="H271" s="2"/>
    </x:row>
    <x:row r="272" ht="92" customHeight="1">
      <x:c r="C272" s="25" t="str">
        <x:v>Input control: Assumptions.research_ratio.2027-01</x:v>
      </x:c>
      <x:c r="D272" s="25" t="str">
        <x:v>candidate_id=02cb241e-9a40-5796-96d2-ae8dcbd33455; unit=ratio;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272" s="25" t="str">
        <x:v>management</x:v>
      </x:c>
      <x:c r="F272" s="25" t="str">
        <x:v>c340447c-29b3-4e18-9500-cfa5aa37316a</x:v>
      </x:c>
      <x:c r="G272" s="25" t="str">
        <x:v>研发费用率 [research_ratio] = 0.0; 单位 ratio; 口径 monthly。</x:v>
      </x:c>
      <x:c r="H272" s="2"/>
    </x:row>
    <x:row r="273" ht="92" customHeight="1">
      <x:c r="C273" s="25" t="str">
        <x:v>Input control: Assumptions.research_ratio.2027-02</x:v>
      </x:c>
      <x:c r="D273" s="25" t="str">
        <x:v>candidate_id=02cb241e-9a40-5796-96d2-ae8dcbd33455; unit=ratio;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273" s="25" t="str">
        <x:v>management</x:v>
      </x:c>
      <x:c r="F273" s="25" t="str">
        <x:v>c340447c-29b3-4e18-9500-cfa5aa37316a</x:v>
      </x:c>
      <x:c r="G273" s="25" t="str">
        <x:v>研发费用率 [research_ratio] = 0.0; 单位 ratio; 口径 monthly。</x:v>
      </x:c>
      <x:c r="H273" s="2"/>
    </x:row>
    <x:row r="274" ht="92" customHeight="1">
      <x:c r="C274" s="25" t="str">
        <x:v>Input control: Assumptions.research_ratio.2027-03</x:v>
      </x:c>
      <x:c r="D274" s="25" t="str">
        <x:v>candidate_id=02cb241e-9a40-5796-96d2-ae8dcbd33455; unit=ratio;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274" s="25" t="str">
        <x:v>management</x:v>
      </x:c>
      <x:c r="F274" s="25" t="str">
        <x:v>c340447c-29b3-4e18-9500-cfa5aa37316a</x:v>
      </x:c>
      <x:c r="G274" s="25" t="str">
        <x:v>研发费用率 [research_ratio] = 0.0; 单位 ratio; 口径 monthly。</x:v>
      </x:c>
      <x:c r="H274" s="2"/>
    </x:row>
    <x:row r="275" ht="92" customHeight="1">
      <x:c r="C275" s="25" t="str">
        <x:v>Input control: Assumptions.selling_ratio.2026-04</x:v>
      </x:c>
      <x:c r="D275" s="25" t="str">
        <x:v>candidate_id=4c3c279b-a2e8-58c5-afbc-802f248aaba2; unit=ratio;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275" s="25" t="str">
        <x:v>management</x:v>
      </x:c>
      <x:c r="F275" s="25" t="str">
        <x:v>c340447c-29b3-4e18-9500-cfa5aa37316a</x:v>
      </x:c>
      <x:c r="G275" s="25" t="str">
        <x:v>销售费用率 [selling_ratio] = 0.05; 单位 ratio; 口径 monthly。</x:v>
      </x:c>
      <x:c r="H275" s="2"/>
    </x:row>
    <x:row r="276" ht="92" customHeight="1">
      <x:c r="C276" s="25" t="str">
        <x:v>Input control: Assumptions.selling_ratio.2026-05</x:v>
      </x:c>
      <x:c r="D276" s="25" t="str">
        <x:v>candidate_id=4c3c279b-a2e8-58c5-afbc-802f248aaba2; unit=ratio;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276" s="25" t="str">
        <x:v>management</x:v>
      </x:c>
      <x:c r="F276" s="25" t="str">
        <x:v>c340447c-29b3-4e18-9500-cfa5aa37316a</x:v>
      </x:c>
      <x:c r="G276" s="25" t="str">
        <x:v>销售费用率 [selling_ratio] = 0.05; 单位 ratio; 口径 monthly。</x:v>
      </x:c>
      <x:c r="H276" s="2"/>
    </x:row>
    <x:row r="277" ht="92" customHeight="1">
      <x:c r="C277" s="25" t="str">
        <x:v>Input control: Assumptions.selling_ratio.2026-06</x:v>
      </x:c>
      <x:c r="D277" s="25" t="str">
        <x:v>candidate_id=4c3c279b-a2e8-58c5-afbc-802f248aaba2; unit=ratio;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277" s="25" t="str">
        <x:v>management</x:v>
      </x:c>
      <x:c r="F277" s="25" t="str">
        <x:v>c340447c-29b3-4e18-9500-cfa5aa37316a</x:v>
      </x:c>
      <x:c r="G277" s="25" t="str">
        <x:v>销售费用率 [selling_ratio] = 0.05; 单位 ratio; 口径 monthly。</x:v>
      </x:c>
      <x:c r="H277" s="2"/>
    </x:row>
    <x:row r="278" ht="92" customHeight="1">
      <x:c r="C278" s="25" t="str">
        <x:v>Input control: Assumptions.selling_ratio.2026-07</x:v>
      </x:c>
      <x:c r="D278" s="25" t="str">
        <x:v>candidate_id=4c3c279b-a2e8-58c5-afbc-802f248aaba2; unit=ratio;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278" s="25" t="str">
        <x:v>management</x:v>
      </x:c>
      <x:c r="F278" s="25" t="str">
        <x:v>c340447c-29b3-4e18-9500-cfa5aa37316a</x:v>
      </x:c>
      <x:c r="G278" s="25" t="str">
        <x:v>销售费用率 [selling_ratio] = 0.05; 单位 ratio; 口径 monthly。</x:v>
      </x:c>
      <x:c r="H278" s="2"/>
    </x:row>
    <x:row r="279" ht="92" customHeight="1">
      <x:c r="C279" s="25" t="str">
        <x:v>Input control: Assumptions.selling_ratio.2026-08</x:v>
      </x:c>
      <x:c r="D279" s="25" t="str">
        <x:v>candidate_id=4c3c279b-a2e8-58c5-afbc-802f248aaba2; unit=ratio;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279" s="25" t="str">
        <x:v>management</x:v>
      </x:c>
      <x:c r="F279" s="25" t="str">
        <x:v>c340447c-29b3-4e18-9500-cfa5aa37316a</x:v>
      </x:c>
      <x:c r="G279" s="25" t="str">
        <x:v>销售费用率 [selling_ratio] = 0.05; 单位 ratio; 口径 monthly。</x:v>
      </x:c>
      <x:c r="H279" s="2"/>
    </x:row>
    <x:row r="280" ht="92" customHeight="1">
      <x:c r="C280" s="25" t="str">
        <x:v>Input control: Assumptions.selling_ratio.2026-09</x:v>
      </x:c>
      <x:c r="D280" s="25" t="str">
        <x:v>candidate_id=4c3c279b-a2e8-58c5-afbc-802f248aaba2; unit=ratio;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280" s="25" t="str">
        <x:v>management</x:v>
      </x:c>
      <x:c r="F280" s="25" t="str">
        <x:v>c340447c-29b3-4e18-9500-cfa5aa37316a</x:v>
      </x:c>
      <x:c r="G280" s="25" t="str">
        <x:v>销售费用率 [selling_ratio] = 0.05; 单位 ratio; 口径 monthly。</x:v>
      </x:c>
      <x:c r="H280" s="2"/>
    </x:row>
    <x:row r="281" ht="92" customHeight="1">
      <x:c r="C281" s="25" t="str">
        <x:v>Input control: Assumptions.selling_ratio.2026-10</x:v>
      </x:c>
      <x:c r="D281" s="25" t="str">
        <x:v>candidate_id=4c3c279b-a2e8-58c5-afbc-802f248aaba2; unit=ratio;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281" s="25" t="str">
        <x:v>management</x:v>
      </x:c>
      <x:c r="F281" s="25" t="str">
        <x:v>c340447c-29b3-4e18-9500-cfa5aa37316a</x:v>
      </x:c>
      <x:c r="G281" s="25" t="str">
        <x:v>销售费用率 [selling_ratio] = 0.05; 单位 ratio; 口径 monthly。</x:v>
      </x:c>
      <x:c r="H281" s="2"/>
    </x:row>
    <x:row r="282" ht="92" customHeight="1">
      <x:c r="C282" s="25" t="str">
        <x:v>Input control: Assumptions.selling_ratio.2026-11</x:v>
      </x:c>
      <x:c r="D282" s="25" t="str">
        <x:v>candidate_id=4c3c279b-a2e8-58c5-afbc-802f248aaba2; unit=ratio;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282" s="25" t="str">
        <x:v>management</x:v>
      </x:c>
      <x:c r="F282" s="25" t="str">
        <x:v>c340447c-29b3-4e18-9500-cfa5aa37316a</x:v>
      </x:c>
      <x:c r="G282" s="25" t="str">
        <x:v>销售费用率 [selling_ratio] = 0.05; 单位 ratio; 口径 monthly。</x:v>
      </x:c>
      <x:c r="H282" s="2"/>
    </x:row>
    <x:row r="283" ht="92" customHeight="1">
      <x:c r="C283" s="25" t="str">
        <x:v>Input control: Assumptions.selling_ratio.2026-12</x:v>
      </x:c>
      <x:c r="D283" s="25" t="str">
        <x:v>candidate_id=4c3c279b-a2e8-58c5-afbc-802f248aaba2; unit=ratio;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283" s="25" t="str">
        <x:v>management</x:v>
      </x:c>
      <x:c r="F283" s="25" t="str">
        <x:v>c340447c-29b3-4e18-9500-cfa5aa37316a</x:v>
      </x:c>
      <x:c r="G283" s="25" t="str">
        <x:v>销售费用率 [selling_ratio] = 0.05; 单位 ratio; 口径 monthly。</x:v>
      </x:c>
      <x:c r="H283" s="2"/>
    </x:row>
    <x:row r="284" ht="92" customHeight="1">
      <x:c r="C284" s="25" t="str">
        <x:v>Input control: Assumptions.selling_ratio.2027-01</x:v>
      </x:c>
      <x:c r="D284" s="25" t="str">
        <x:v>candidate_id=4c3c279b-a2e8-58c5-afbc-802f248aaba2; unit=ratio;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284" s="25" t="str">
        <x:v>management</x:v>
      </x:c>
      <x:c r="F284" s="25" t="str">
        <x:v>c340447c-29b3-4e18-9500-cfa5aa37316a</x:v>
      </x:c>
      <x:c r="G284" s="25" t="str">
        <x:v>销售费用率 [selling_ratio] = 0.05; 单位 ratio; 口径 monthly。</x:v>
      </x:c>
      <x:c r="H284" s="2"/>
    </x:row>
    <x:row r="285" ht="92" customHeight="1">
      <x:c r="C285" s="25" t="str">
        <x:v>Input control: Assumptions.selling_ratio.2027-02</x:v>
      </x:c>
      <x:c r="D285" s="25" t="str">
        <x:v>candidate_id=4c3c279b-a2e8-58c5-afbc-802f248aaba2; unit=ratio;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285" s="25" t="str">
        <x:v>management</x:v>
      </x:c>
      <x:c r="F285" s="25" t="str">
        <x:v>c340447c-29b3-4e18-9500-cfa5aa37316a</x:v>
      </x:c>
      <x:c r="G285" s="25" t="str">
        <x:v>销售费用率 [selling_ratio] = 0.05; 单位 ratio; 口径 monthly。</x:v>
      </x:c>
      <x:c r="H285" s="2"/>
    </x:row>
    <x:row r="286" ht="92" customHeight="1">
      <x:c r="C286" s="25" t="str">
        <x:v>Input control: Assumptions.selling_ratio.2027-03</x:v>
      </x:c>
      <x:c r="D286" s="25" t="str">
        <x:v>candidate_id=4c3c279b-a2e8-58c5-afbc-802f248aaba2; unit=ratio;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286" s="25" t="str">
        <x:v>management</x:v>
      </x:c>
      <x:c r="F286" s="25" t="str">
        <x:v>c340447c-29b3-4e18-9500-cfa5aa37316a</x:v>
      </x:c>
      <x:c r="G286" s="25" t="str">
        <x:v>销售费用率 [selling_ratio] = 0.05; 单位 ratio; 口径 monthly。</x:v>
      </x:c>
      <x:c r="H286" s="2"/>
    </x:row>
    <x:row r="287" ht="92" customHeight="1">
      <x:c r="C287" s="25" t="str">
        <x:v>Input control: Assumptions.tax_rate.2026-04</x:v>
      </x:c>
      <x:c r="D287" s="25" t="str">
        <x:v>candidate_id=7feb64f2-aee7-5877-914d-ff7bfdd3c2d4; unit=ratio; input stage=selected raw input; scope=input; period=2026-04; editable slots require supplied numeric values; formula/source-structure edits invalidate the original receipt and require separate review; domain {"max":1,"min":0}; adopted bounds {"max":null,"min":null,"scope":"input"}</x:v>
      </x:c>
      <x:c r="E287" s="25" t="str">
        <x:v>management</x:v>
      </x:c>
      <x:c r="F287" s="25" t="str">
        <x:v>c340447c-29b3-4e18-9500-cfa5aa37316a</x:v>
      </x:c>
      <x:c r="G287" s="25" t="str">
        <x:v>所得税率 [tax_rate] = 0.25; 单位 ratio; 口径 annual。</x:v>
      </x:c>
      <x:c r="H287" s="2"/>
    </x:row>
    <x:row r="288" ht="92" customHeight="1">
      <x:c r="C288" s="25" t="str">
        <x:v>Input control: Assumptions.tax_rate.2026-05</x:v>
      </x:c>
      <x:c r="D288" s="25" t="str">
        <x:v>candidate_id=7feb64f2-aee7-5877-914d-ff7bfdd3c2d4; unit=ratio; input stage=selected raw input; scope=input; period=2026-05; editable slots require supplied numeric values; formula/source-structure edits invalidate the original receipt and require separate review; domain {"max":1,"min":0}; adopted bounds {"max":null,"min":null,"scope":"input"}</x:v>
      </x:c>
      <x:c r="E288" s="25" t="str">
        <x:v>management</x:v>
      </x:c>
      <x:c r="F288" s="25" t="str">
        <x:v>c340447c-29b3-4e18-9500-cfa5aa37316a</x:v>
      </x:c>
      <x:c r="G288" s="25" t="str">
        <x:v>所得税率 [tax_rate] = 0.25; 单位 ratio; 口径 annual。</x:v>
      </x:c>
      <x:c r="H288" s="2"/>
    </x:row>
    <x:row r="289" ht="92" customHeight="1">
      <x:c r="C289" s="25" t="str">
        <x:v>Input control: Assumptions.tax_rate.2026-06</x:v>
      </x:c>
      <x:c r="D289" s="25" t="str">
        <x:v>candidate_id=7feb64f2-aee7-5877-914d-ff7bfdd3c2d4; unit=ratio; input stage=selected raw input; scope=input; period=2026-06; editable slots require supplied numeric values; formula/source-structure edits invalidate the original receipt and require separate review; domain {"max":1,"min":0}; adopted bounds {"max":null,"min":null,"scope":"input"}</x:v>
      </x:c>
      <x:c r="E289" s="25" t="str">
        <x:v>management</x:v>
      </x:c>
      <x:c r="F289" s="25" t="str">
        <x:v>c340447c-29b3-4e18-9500-cfa5aa37316a</x:v>
      </x:c>
      <x:c r="G289" s="25" t="str">
        <x:v>所得税率 [tax_rate] = 0.25; 单位 ratio; 口径 annual。</x:v>
      </x:c>
      <x:c r="H289" s="2"/>
    </x:row>
    <x:row r="290" ht="92" customHeight="1">
      <x:c r="C290" s="25" t="str">
        <x:v>Input control: Assumptions.tax_rate.2026-07</x:v>
      </x:c>
      <x:c r="D290" s="25" t="str">
        <x:v>candidate_id=7feb64f2-aee7-5877-914d-ff7bfdd3c2d4; unit=ratio; input stage=selected raw input; scope=input; period=2026-07; editable slots require supplied numeric values; formula/source-structure edits invalidate the original receipt and require separate review; domain {"max":1,"min":0}; adopted bounds {"max":null,"min":null,"scope":"input"}</x:v>
      </x:c>
      <x:c r="E290" s="25" t="str">
        <x:v>management</x:v>
      </x:c>
      <x:c r="F290" s="25" t="str">
        <x:v>c340447c-29b3-4e18-9500-cfa5aa37316a</x:v>
      </x:c>
      <x:c r="G290" s="25" t="str">
        <x:v>所得税率 [tax_rate] = 0.25; 单位 ratio; 口径 annual。</x:v>
      </x:c>
      <x:c r="H290" s="2"/>
    </x:row>
    <x:row r="291" ht="92" customHeight="1">
      <x:c r="C291" s="25" t="str">
        <x:v>Input control: Assumptions.tax_rate.2026-08</x:v>
      </x:c>
      <x:c r="D291" s="25" t="str">
        <x:v>candidate_id=7feb64f2-aee7-5877-914d-ff7bfdd3c2d4; unit=ratio; input stage=selected raw input; scope=input; period=2026-08; editable slots require supplied numeric values; formula/source-structure edits invalidate the original receipt and require separate review; domain {"max":1,"min":0}; adopted bounds {"max":null,"min":null,"scope":"input"}</x:v>
      </x:c>
      <x:c r="E291" s="25" t="str">
        <x:v>management</x:v>
      </x:c>
      <x:c r="F291" s="25" t="str">
        <x:v>c340447c-29b3-4e18-9500-cfa5aa37316a</x:v>
      </x:c>
      <x:c r="G291" s="25" t="str">
        <x:v>所得税率 [tax_rate] = 0.25; 单位 ratio; 口径 annual。</x:v>
      </x:c>
      <x:c r="H291" s="2"/>
    </x:row>
    <x:row r="292" ht="92" customHeight="1">
      <x:c r="C292" s="25" t="str">
        <x:v>Input control: Assumptions.tax_rate.2026-09</x:v>
      </x:c>
      <x:c r="D292" s="25" t="str">
        <x:v>candidate_id=7feb64f2-aee7-5877-914d-ff7bfdd3c2d4; unit=ratio; input stage=selected raw input; scope=input; period=2026-09; editable slots require supplied numeric values; formula/source-structure edits invalidate the original receipt and require separate review; domain {"max":1,"min":0}; adopted bounds {"max":null,"min":null,"scope":"input"}</x:v>
      </x:c>
      <x:c r="E292" s="25" t="str">
        <x:v>management</x:v>
      </x:c>
      <x:c r="F292" s="25" t="str">
        <x:v>c340447c-29b3-4e18-9500-cfa5aa37316a</x:v>
      </x:c>
      <x:c r="G292" s="25" t="str">
        <x:v>所得税率 [tax_rate] = 0.25; 单位 ratio; 口径 annual。</x:v>
      </x:c>
      <x:c r="H292" s="2"/>
    </x:row>
    <x:row r="293" ht="92" customHeight="1">
      <x:c r="C293" s="25" t="str">
        <x:v>Input control: Assumptions.tax_rate.2026-10</x:v>
      </x:c>
      <x:c r="D293" s="25" t="str">
        <x:v>candidate_id=7feb64f2-aee7-5877-914d-ff7bfdd3c2d4; unit=ratio; input stage=selected raw input; scope=input; period=2026-10; editable slots require supplied numeric values; formula/source-structure edits invalidate the original receipt and require separate review; domain {"max":1,"min":0}; adopted bounds {"max":null,"min":null,"scope":"input"}</x:v>
      </x:c>
      <x:c r="E293" s="25" t="str">
        <x:v>management</x:v>
      </x:c>
      <x:c r="F293" s="25" t="str">
        <x:v>c340447c-29b3-4e18-9500-cfa5aa37316a</x:v>
      </x:c>
      <x:c r="G293" s="25" t="str">
        <x:v>所得税率 [tax_rate] = 0.25; 单位 ratio; 口径 annual。</x:v>
      </x:c>
      <x:c r="H293" s="2"/>
    </x:row>
    <x:row r="294" ht="92" customHeight="1">
      <x:c r="C294" s="25" t="str">
        <x:v>Input control: Assumptions.tax_rate.2026-11</x:v>
      </x:c>
      <x:c r="D294" s="25" t="str">
        <x:v>candidate_id=7feb64f2-aee7-5877-914d-ff7bfdd3c2d4; unit=ratio; input stage=selected raw input; scope=input; period=2026-11; editable slots require supplied numeric values; formula/source-structure edits invalidate the original receipt and require separate review; domain {"max":1,"min":0}; adopted bounds {"max":null,"min":null,"scope":"input"}</x:v>
      </x:c>
      <x:c r="E294" s="25" t="str">
        <x:v>management</x:v>
      </x:c>
      <x:c r="F294" s="25" t="str">
        <x:v>c340447c-29b3-4e18-9500-cfa5aa37316a</x:v>
      </x:c>
      <x:c r="G294" s="25" t="str">
        <x:v>所得税率 [tax_rate] = 0.25; 单位 ratio; 口径 annual。</x:v>
      </x:c>
      <x:c r="H294" s="2"/>
    </x:row>
    <x:row r="295" ht="92" customHeight="1">
      <x:c r="C295" s="25" t="str">
        <x:v>Input control: Assumptions.tax_rate.2026-12</x:v>
      </x:c>
      <x:c r="D295" s="25" t="str">
        <x:v>candidate_id=7feb64f2-aee7-5877-914d-ff7bfdd3c2d4; unit=ratio; input stage=selected raw input; scope=input; period=2026-12; editable slots require supplied numeric values; formula/source-structure edits invalidate the original receipt and require separate review; domain {"max":1,"min":0}; adopted bounds {"max":null,"min":null,"scope":"input"}</x:v>
      </x:c>
      <x:c r="E295" s="25" t="str">
        <x:v>management</x:v>
      </x:c>
      <x:c r="F295" s="25" t="str">
        <x:v>c340447c-29b3-4e18-9500-cfa5aa37316a</x:v>
      </x:c>
      <x:c r="G295" s="25" t="str">
        <x:v>所得税率 [tax_rate] = 0.25; 单位 ratio; 口径 annual。</x:v>
      </x:c>
      <x:c r="H295" s="2"/>
    </x:row>
    <x:row r="296" ht="92" customHeight="1">
      <x:c r="C296" s="25" t="str">
        <x:v>Input control: Assumptions.tax_rate.2027-01</x:v>
      </x:c>
      <x:c r="D296" s="25" t="str">
        <x:v>candidate_id=7feb64f2-aee7-5877-914d-ff7bfdd3c2d4; unit=ratio; input stage=selected raw input; scope=input; period=2027-01; editable slots require supplied numeric values; formula/source-structure edits invalidate the original receipt and require separate review; domain {"max":1,"min":0}; adopted bounds {"max":null,"min":null,"scope":"input"}</x:v>
      </x:c>
      <x:c r="E296" s="25" t="str">
        <x:v>management</x:v>
      </x:c>
      <x:c r="F296" s="25" t="str">
        <x:v>c340447c-29b3-4e18-9500-cfa5aa37316a</x:v>
      </x:c>
      <x:c r="G296" s="25" t="str">
        <x:v>所得税率 [tax_rate] = 0.25; 单位 ratio; 口径 annual。</x:v>
      </x:c>
      <x:c r="H296" s="2"/>
    </x:row>
    <x:row r="297" ht="92" customHeight="1">
      <x:c r="C297" s="25" t="str">
        <x:v>Input control: Assumptions.tax_rate.2027-02</x:v>
      </x:c>
      <x:c r="D297" s="25" t="str">
        <x:v>candidate_id=7feb64f2-aee7-5877-914d-ff7bfdd3c2d4; unit=ratio; input stage=selected raw input; scope=input; period=2027-02; editable slots require supplied numeric values; formula/source-structure edits invalidate the original receipt and require separate review; domain {"max":1,"min":0}; adopted bounds {"max":null,"min":null,"scope":"input"}</x:v>
      </x:c>
      <x:c r="E297" s="25" t="str">
        <x:v>management</x:v>
      </x:c>
      <x:c r="F297" s="25" t="str">
        <x:v>c340447c-29b3-4e18-9500-cfa5aa37316a</x:v>
      </x:c>
      <x:c r="G297" s="25" t="str">
        <x:v>所得税率 [tax_rate] = 0.25; 单位 ratio; 口径 annual。</x:v>
      </x:c>
      <x:c r="H297" s="2"/>
    </x:row>
    <x:row r="298" ht="92" customHeight="1">
      <x:c r="C298" s="25" t="str">
        <x:v>Input control: Assumptions.tax_rate.2027-03</x:v>
      </x:c>
      <x:c r="D298" s="25" t="str">
        <x:v>candidate_id=7feb64f2-aee7-5877-914d-ff7bfdd3c2d4; unit=ratio; input stage=selected raw input; scope=input; period=2027-03; editable slots require supplied numeric values; formula/source-structure edits invalidate the original receipt and require separate review; domain {"max":1,"min":0}; adopted bounds {"max":null,"min":null,"scope":"input"}</x:v>
      </x:c>
      <x:c r="E298" s="25" t="str">
        <x:v>management</x:v>
      </x:c>
      <x:c r="F298" s="25" t="str">
        <x:v>c340447c-29b3-4e18-9500-cfa5aa37316a</x:v>
      </x:c>
      <x:c r="G298" s="25" t="str">
        <x:v>所得税率 [tax_rate] = 0.25; 单位 ratio; 口径 annual。</x:v>
      </x:c>
      <x:c r="H298" s="2"/>
    </x:row>
    <x:row r="299" ht="92" customHeight="1">
      <x:c r="C299" s="25" t="str">
        <x:v>Input control: Assumptions.volume.2026-04</x:v>
      </x:c>
      <x:c r="D299" s="25" t="str">
        <x:v>candidate_id=0b447f11-bea4-53c9-9be9-1dd3001b86b2; unit=units; input stage=selected raw input; scope=input; period=2026-04; editable slots require supplied numeric values; formula/source-structure edits invalidate the original receipt and require separate review; domain {"max":null,"min":0}; adopted bounds {"max":null,"min":null,"scope":"input"}</x:v>
      </x:c>
      <x:c r="E299" s="25" t="str">
        <x:v>management</x:v>
      </x:c>
      <x:c r="F299" s="25" t="str">
        <x:v>c340447c-29b3-4e18-9500-cfa5aa37316a</x:v>
      </x:c>
      <x:c r="G299" s="25" t="str">
        <x:v>增长前基准月销量 [volume] = 100.0; 单位 units; 口径 monthly。</x:v>
      </x:c>
      <x:c r="H299" s="2"/>
    </x:row>
    <x:row r="300" ht="92" customHeight="1">
      <x:c r="C300" s="25" t="str">
        <x:v>Input control: Assumptions.volume.2026-05</x:v>
      </x:c>
      <x:c r="D300" s="25" t="str">
        <x:v>candidate_id=0b447f11-bea4-53c9-9be9-1dd3001b86b2; unit=units; input stage=selected raw input; scope=input; period=2026-05; editable slots require supplied numeric values; formula/source-structure edits invalidate the original receipt and require separate review; domain {"max":null,"min":0}; adopted bounds {"max":null,"min":null,"scope":"input"}</x:v>
      </x:c>
      <x:c r="E300" s="25" t="str">
        <x:v>management</x:v>
      </x:c>
      <x:c r="F300" s="25" t="str">
        <x:v>c340447c-29b3-4e18-9500-cfa5aa37316a</x:v>
      </x:c>
      <x:c r="G300" s="25" t="str">
        <x:v>增长前基准月销量 [volume] = 100.0; 单位 units; 口径 monthly。</x:v>
      </x:c>
      <x:c r="H300" s="2"/>
    </x:row>
    <x:row r="301" ht="92" customHeight="1">
      <x:c r="C301" s="25" t="str">
        <x:v>Input control: Assumptions.volume.2026-06</x:v>
      </x:c>
      <x:c r="D301" s="25" t="str">
        <x:v>candidate_id=0b447f11-bea4-53c9-9be9-1dd3001b86b2; unit=units; input stage=selected raw input; scope=input; period=2026-06; editable slots require supplied numeric values; formula/source-structure edits invalidate the original receipt and require separate review; domain {"max":null,"min":0}; adopted bounds {"max":null,"min":null,"scope":"input"}</x:v>
      </x:c>
      <x:c r="E301" s="25" t="str">
        <x:v>management</x:v>
      </x:c>
      <x:c r="F301" s="25" t="str">
        <x:v>c340447c-29b3-4e18-9500-cfa5aa37316a</x:v>
      </x:c>
      <x:c r="G301" s="25" t="str">
        <x:v>增长前基准月销量 [volume] = 100.0; 单位 units; 口径 monthly。</x:v>
      </x:c>
      <x:c r="H301" s="2"/>
    </x:row>
    <x:row r="302" ht="92" customHeight="1">
      <x:c r="C302" s="25" t="str">
        <x:v>Input control: Assumptions.volume.2026-07</x:v>
      </x:c>
      <x:c r="D302" s="25" t="str">
        <x:v>candidate_id=0b447f11-bea4-53c9-9be9-1dd3001b86b2; unit=units; input stage=selected raw input; scope=input; period=2026-07; editable slots require supplied numeric values; formula/source-structure edits invalidate the original receipt and require separate review; domain {"max":null,"min":0}; adopted bounds {"max":null,"min":null,"scope":"input"}</x:v>
      </x:c>
      <x:c r="E302" s="25" t="str">
        <x:v>management</x:v>
      </x:c>
      <x:c r="F302" s="25" t="str">
        <x:v>c340447c-29b3-4e18-9500-cfa5aa37316a</x:v>
      </x:c>
      <x:c r="G302" s="25" t="str">
        <x:v>增长前基准月销量 [volume] = 100.0; 单位 units; 口径 monthly。</x:v>
      </x:c>
      <x:c r="H302" s="2"/>
    </x:row>
    <x:row r="303" ht="92" customHeight="1">
      <x:c r="C303" s="25" t="str">
        <x:v>Input control: Assumptions.volume.2026-08</x:v>
      </x:c>
      <x:c r="D303" s="25" t="str">
        <x:v>candidate_id=0b447f11-bea4-53c9-9be9-1dd3001b86b2; unit=units; input stage=selected raw input; scope=input; period=2026-08; editable slots require supplied numeric values; formula/source-structure edits invalidate the original receipt and require separate review; domain {"max":null,"min":0}; adopted bounds {"max":null,"min":null,"scope":"input"}</x:v>
      </x:c>
      <x:c r="E303" s="25" t="str">
        <x:v>management</x:v>
      </x:c>
      <x:c r="F303" s="25" t="str">
        <x:v>c340447c-29b3-4e18-9500-cfa5aa37316a</x:v>
      </x:c>
      <x:c r="G303" s="25" t="str">
        <x:v>增长前基准月销量 [volume] = 100.0; 单位 units; 口径 monthly。</x:v>
      </x:c>
      <x:c r="H303" s="2"/>
    </x:row>
    <x:row r="304" ht="92" customHeight="1">
      <x:c r="C304" s="25" t="str">
        <x:v>Input control: Assumptions.volume.2026-09</x:v>
      </x:c>
      <x:c r="D304" s="25" t="str">
        <x:v>candidate_id=0b447f11-bea4-53c9-9be9-1dd3001b86b2; unit=units; input stage=selected raw input; scope=input; period=2026-09; editable slots require supplied numeric values; formula/source-structure edits invalidate the original receipt and require separate review; domain {"max":null,"min":0}; adopted bounds {"max":null,"min":null,"scope":"input"}</x:v>
      </x:c>
      <x:c r="E304" s="25" t="str">
        <x:v>management</x:v>
      </x:c>
      <x:c r="F304" s="25" t="str">
        <x:v>c340447c-29b3-4e18-9500-cfa5aa37316a</x:v>
      </x:c>
      <x:c r="G304" s="25" t="str">
        <x:v>增长前基准月销量 [volume] = 100.0; 单位 units; 口径 monthly。</x:v>
      </x:c>
      <x:c r="H304" s="2"/>
    </x:row>
    <x:row r="305" ht="92" customHeight="1">
      <x:c r="C305" s="25" t="str">
        <x:v>Input control: Assumptions.volume.2026-10</x:v>
      </x:c>
      <x:c r="D305" s="25" t="str">
        <x:v>candidate_id=0b447f11-bea4-53c9-9be9-1dd3001b86b2; unit=units; input stage=selected raw input; scope=input; period=2026-10; editable slots require supplied numeric values; formula/source-structure edits invalidate the original receipt and require separate review; domain {"max":null,"min":0}; adopted bounds {"max":null,"min":null,"scope":"input"}</x:v>
      </x:c>
      <x:c r="E305" s="25" t="str">
        <x:v>management</x:v>
      </x:c>
      <x:c r="F305" s="25" t="str">
        <x:v>c340447c-29b3-4e18-9500-cfa5aa37316a</x:v>
      </x:c>
      <x:c r="G305" s="25" t="str">
        <x:v>增长前基准月销量 [volume] = 100.0; 单位 units; 口径 monthly。</x:v>
      </x:c>
      <x:c r="H305" s="2"/>
    </x:row>
    <x:row r="306" ht="92" customHeight="1">
      <x:c r="C306" s="25" t="str">
        <x:v>Input control: Assumptions.volume.2026-11</x:v>
      </x:c>
      <x:c r="D306" s="25" t="str">
        <x:v>candidate_id=0b447f11-bea4-53c9-9be9-1dd3001b86b2; unit=units; input stage=selected raw input; scope=input; period=2026-11; editable slots require supplied numeric values; formula/source-structure edits invalidate the original receipt and require separate review; domain {"max":null,"min":0}; adopted bounds {"max":null,"min":null,"scope":"input"}</x:v>
      </x:c>
      <x:c r="E306" s="25" t="str">
        <x:v>management</x:v>
      </x:c>
      <x:c r="F306" s="25" t="str">
        <x:v>c340447c-29b3-4e18-9500-cfa5aa37316a</x:v>
      </x:c>
      <x:c r="G306" s="25" t="str">
        <x:v>增长前基准月销量 [volume] = 100.0; 单位 units; 口径 monthly。</x:v>
      </x:c>
      <x:c r="H306" s="2"/>
    </x:row>
    <x:row r="307" ht="92" customHeight="1">
      <x:c r="C307" s="25" t="str">
        <x:v>Input control: Assumptions.volume.2026-12</x:v>
      </x:c>
      <x:c r="D307" s="25" t="str">
        <x:v>candidate_id=0b447f11-bea4-53c9-9be9-1dd3001b86b2; unit=units; input stage=selected raw input; scope=input; period=2026-12; editable slots require supplied numeric values; formula/source-structure edits invalidate the original receipt and require separate review; domain {"max":null,"min":0}; adopted bounds {"max":null,"min":null,"scope":"input"}</x:v>
      </x:c>
      <x:c r="E307" s="25" t="str">
        <x:v>management</x:v>
      </x:c>
      <x:c r="F307" s="25" t="str">
        <x:v>c340447c-29b3-4e18-9500-cfa5aa37316a</x:v>
      </x:c>
      <x:c r="G307" s="25" t="str">
        <x:v>增长前基准月销量 [volume] = 100.0; 单位 units; 口径 monthly。</x:v>
      </x:c>
      <x:c r="H307" s="2"/>
    </x:row>
    <x:row r="308" ht="92" customHeight="1">
      <x:c r="C308" s="25" t="str">
        <x:v>Input control: Assumptions.volume.2027-01</x:v>
      </x:c>
      <x:c r="D308" s="25" t="str">
        <x:v>candidate_id=0b447f11-bea4-53c9-9be9-1dd3001b86b2; unit=units; input stage=selected raw input; scope=input; period=2027-01; editable slots require supplied numeric values; formula/source-structure edits invalidate the original receipt and require separate review; domain {"max":null,"min":0}; adopted bounds {"max":null,"min":null,"scope":"input"}</x:v>
      </x:c>
      <x:c r="E308" s="25" t="str">
        <x:v>management</x:v>
      </x:c>
      <x:c r="F308" s="25" t="str">
        <x:v>c340447c-29b3-4e18-9500-cfa5aa37316a</x:v>
      </x:c>
      <x:c r="G308" s="25" t="str">
        <x:v>增长前基准月销量 [volume] = 100.0; 单位 units; 口径 monthly。</x:v>
      </x:c>
      <x:c r="H308" s="2"/>
    </x:row>
    <x:row r="309" ht="92" customHeight="1">
      <x:c r="C309" s="25" t="str">
        <x:v>Input control: Assumptions.volume.2027-02</x:v>
      </x:c>
      <x:c r="D309" s="25" t="str">
        <x:v>candidate_id=0b447f11-bea4-53c9-9be9-1dd3001b86b2; unit=units; input stage=selected raw input; scope=input; period=2027-02; editable slots require supplied numeric values; formula/source-structure edits invalidate the original receipt and require separate review; domain {"max":null,"min":0}; adopted bounds {"max":null,"min":null,"scope":"input"}</x:v>
      </x:c>
      <x:c r="E309" s="25" t="str">
        <x:v>management</x:v>
      </x:c>
      <x:c r="F309" s="25" t="str">
        <x:v>c340447c-29b3-4e18-9500-cfa5aa37316a</x:v>
      </x:c>
      <x:c r="G309" s="25" t="str">
        <x:v>增长前基准月销量 [volume] = 100.0; 单位 units; 口径 monthly。</x:v>
      </x:c>
      <x:c r="H309" s="2"/>
    </x:row>
    <x:row r="310" ht="92" customHeight="1">
      <x:c r="C310" s="25" t="str">
        <x:v>Input control: Assumptions.volume.2027-03</x:v>
      </x:c>
      <x:c r="D310" s="25" t="str">
        <x:v>candidate_id=0b447f11-bea4-53c9-9be9-1dd3001b86b2; unit=units; input stage=selected raw input; scope=input; period=2027-03; editable slots require supplied numeric values; formula/source-structure edits invalidate the original receipt and require separate review; domain {"max":null,"min":0}; adopted bounds {"max":null,"min":null,"scope":"input"}</x:v>
      </x:c>
      <x:c r="E310" s="25" t="str">
        <x:v>management</x:v>
      </x:c>
      <x:c r="F310" s="25" t="str">
        <x:v>c340447c-29b3-4e18-9500-cfa5aa37316a</x:v>
      </x:c>
      <x:c r="G310" s="25" t="str">
        <x:v>增长前基准月销量 [volume] = 100.0; 单位 units; 口径 monthly。</x:v>
      </x:c>
      <x:c r="H310" s="2"/>
    </x:row>
    <x:row r="311" ht="92" customHeight="1">
      <x:c r="C311" s="25" t="str">
        <x:v>Input control: Assumptions.volume_growth.2026-04</x:v>
      </x:c>
      <x:c r="D311" s="25" t="str">
        <x:v>candidate_id=c13de8d0-a71d-596b-b80f-4df808897903; unit=ratio; input stage=selected raw input; scope=input; period=2026-04; editable slots require supplied numeric values; formula/source-structure edits invalidate the original receipt and require separate review; domain {"max":null,"min":-1}; adopted bounds {"max":null,"min":null,"scope":"input"}</x:v>
      </x:c>
      <x:c r="E311" s="25" t="str">
        <x:v>management</x:v>
      </x:c>
      <x:c r="F311" s="25" t="str">
        <x:v>c340447c-29b3-4e18-9500-cfa5aa37316a</x:v>
      </x:c>
      <x:c r="G311" s="25" t="str">
        <x:v>月度销量增长率 [volume_growth] = 0.01; 单位 ratio; 口径 monthly。</x:v>
      </x:c>
      <x:c r="H311" s="2"/>
    </x:row>
    <x:row r="312" ht="92" customHeight="1">
      <x:c r="C312" s="25" t="str">
        <x:v>Input control: Assumptions.volume_growth.2026-05</x:v>
      </x:c>
      <x:c r="D312" s="25" t="str">
        <x:v>candidate_id=c13de8d0-a71d-596b-b80f-4df808897903; unit=ratio; input stage=selected raw input; scope=input; period=2026-05; editable slots require supplied numeric values; formula/source-structure edits invalidate the original receipt and require separate review; domain {"max":null,"min":-1}; adopted bounds {"max":null,"min":null,"scope":"input"}</x:v>
      </x:c>
      <x:c r="E312" s="25" t="str">
        <x:v>management</x:v>
      </x:c>
      <x:c r="F312" s="25" t="str">
        <x:v>c340447c-29b3-4e18-9500-cfa5aa37316a</x:v>
      </x:c>
      <x:c r="G312" s="25" t="str">
        <x:v>月度销量增长率 [volume_growth] = 0.01; 单位 ratio; 口径 monthly。</x:v>
      </x:c>
      <x:c r="H312" s="2"/>
    </x:row>
    <x:row r="313" ht="92" customHeight="1">
      <x:c r="C313" s="25" t="str">
        <x:v>Input control: Assumptions.volume_growth.2026-06</x:v>
      </x:c>
      <x:c r="D313" s="25" t="str">
        <x:v>candidate_id=c13de8d0-a71d-596b-b80f-4df808897903; unit=ratio; input stage=selected raw input; scope=input; period=2026-06; editable slots require supplied numeric values; formula/source-structure edits invalidate the original receipt and require separate review; domain {"max":null,"min":-1}; adopted bounds {"max":null,"min":null,"scope":"input"}</x:v>
      </x:c>
      <x:c r="E313" s="25" t="str">
        <x:v>management</x:v>
      </x:c>
      <x:c r="F313" s="25" t="str">
        <x:v>c340447c-29b3-4e18-9500-cfa5aa37316a</x:v>
      </x:c>
      <x:c r="G313" s="25" t="str">
        <x:v>月度销量增长率 [volume_growth] = 0.01; 单位 ratio; 口径 monthly。</x:v>
      </x:c>
      <x:c r="H313" s="2"/>
    </x:row>
    <x:row r="314" ht="92" customHeight="1">
      <x:c r="C314" s="25" t="str">
        <x:v>Input control: Assumptions.volume_growth.2026-07</x:v>
      </x:c>
      <x:c r="D314" s="25" t="str">
        <x:v>candidate_id=c13de8d0-a71d-596b-b80f-4df808897903; unit=ratio; input stage=selected raw input; scope=input; period=2026-07; editable slots require supplied numeric values; formula/source-structure edits invalidate the original receipt and require separate review; domain {"max":null,"min":-1}; adopted bounds {"max":null,"min":null,"scope":"input"}</x:v>
      </x:c>
      <x:c r="E314" s="25" t="str">
        <x:v>management</x:v>
      </x:c>
      <x:c r="F314" s="25" t="str">
        <x:v>c340447c-29b3-4e18-9500-cfa5aa37316a</x:v>
      </x:c>
      <x:c r="G314" s="25" t="str">
        <x:v>月度销量增长率 [volume_growth] = 0.01; 单位 ratio; 口径 monthly。</x:v>
      </x:c>
      <x:c r="H314" s="2"/>
    </x:row>
    <x:row r="315" ht="92" customHeight="1">
      <x:c r="C315" s="25" t="str">
        <x:v>Input control: Assumptions.volume_growth.2026-08</x:v>
      </x:c>
      <x:c r="D315" s="25" t="str">
        <x:v>candidate_id=c13de8d0-a71d-596b-b80f-4df808897903; unit=ratio; input stage=selected raw input; scope=input; period=2026-08; editable slots require supplied numeric values; formula/source-structure edits invalidate the original receipt and require separate review; domain {"max":null,"min":-1}; adopted bounds {"max":null,"min":null,"scope":"input"}</x:v>
      </x:c>
      <x:c r="E315" s="25" t="str">
        <x:v>management</x:v>
      </x:c>
      <x:c r="F315" s="25" t="str">
        <x:v>c340447c-29b3-4e18-9500-cfa5aa37316a</x:v>
      </x:c>
      <x:c r="G315" s="25" t="str">
        <x:v>月度销量增长率 [volume_growth] = 0.01; 单位 ratio; 口径 monthly。</x:v>
      </x:c>
      <x:c r="H315" s="2"/>
    </x:row>
    <x:row r="316" ht="92" customHeight="1">
      <x:c r="C316" s="25" t="str">
        <x:v>Input control: Assumptions.volume_growth.2026-09</x:v>
      </x:c>
      <x:c r="D316" s="25" t="str">
        <x:v>candidate_id=c13de8d0-a71d-596b-b80f-4df808897903; unit=ratio; input stage=selected raw input; scope=input; period=2026-09; editable slots require supplied numeric values; formula/source-structure edits invalidate the original receipt and require separate review; domain {"max":null,"min":-1}; adopted bounds {"max":null,"min":null,"scope":"input"}</x:v>
      </x:c>
      <x:c r="E316" s="25" t="str">
        <x:v>management</x:v>
      </x:c>
      <x:c r="F316" s="25" t="str">
        <x:v>c340447c-29b3-4e18-9500-cfa5aa37316a</x:v>
      </x:c>
      <x:c r="G316" s="25" t="str">
        <x:v>月度销量增长率 [volume_growth] = 0.01; 单位 ratio; 口径 monthly。</x:v>
      </x:c>
      <x:c r="H316" s="2"/>
    </x:row>
    <x:row r="317" ht="92" customHeight="1">
      <x:c r="C317" s="25" t="str">
        <x:v>Input control: Assumptions.volume_growth.2026-10</x:v>
      </x:c>
      <x:c r="D317" s="25" t="str">
        <x:v>candidate_id=c13de8d0-a71d-596b-b80f-4df808897903; unit=ratio; input stage=selected raw input; scope=input; period=2026-10; editable slots require supplied numeric values; formula/source-structure edits invalidate the original receipt and require separate review; domain {"max":null,"min":-1}; adopted bounds {"max":null,"min":null,"scope":"input"}</x:v>
      </x:c>
      <x:c r="E317" s="25" t="str">
        <x:v>management</x:v>
      </x:c>
      <x:c r="F317" s="25" t="str">
        <x:v>c340447c-29b3-4e18-9500-cfa5aa37316a</x:v>
      </x:c>
      <x:c r="G317" s="25" t="str">
        <x:v>月度销量增长率 [volume_growth] = 0.01; 单位 ratio; 口径 monthly。</x:v>
      </x:c>
      <x:c r="H317" s="2"/>
    </x:row>
    <x:row r="318" ht="92" customHeight="1">
      <x:c r="C318" s="25" t="str">
        <x:v>Input control: Assumptions.volume_growth.2026-11</x:v>
      </x:c>
      <x:c r="D318" s="25" t="str">
        <x:v>candidate_id=c13de8d0-a71d-596b-b80f-4df808897903; unit=ratio; input stage=selected raw input; scope=input; period=2026-11; editable slots require supplied numeric values; formula/source-structure edits invalidate the original receipt and require separate review; domain {"max":null,"min":-1}; adopted bounds {"max":null,"min":null,"scope":"input"}</x:v>
      </x:c>
      <x:c r="E318" s="25" t="str">
        <x:v>management</x:v>
      </x:c>
      <x:c r="F318" s="25" t="str">
        <x:v>c340447c-29b3-4e18-9500-cfa5aa37316a</x:v>
      </x:c>
      <x:c r="G318" s="25" t="str">
        <x:v>月度销量增长率 [volume_growth] = 0.01; 单位 ratio; 口径 monthly。</x:v>
      </x:c>
      <x:c r="H318" s="2"/>
    </x:row>
    <x:row r="319" ht="92" customHeight="1">
      <x:c r="C319" s="25" t="str">
        <x:v>Input control: Assumptions.volume_growth.2026-12</x:v>
      </x:c>
      <x:c r="D319" s="25" t="str">
        <x:v>candidate_id=c13de8d0-a71d-596b-b80f-4df808897903; unit=ratio; input stage=selected raw input; scope=input; period=2026-12; editable slots require supplied numeric values; formula/source-structure edits invalidate the original receipt and require separate review; domain {"max":null,"min":-1}; adopted bounds {"max":null,"min":null,"scope":"input"}</x:v>
      </x:c>
      <x:c r="E319" s="25" t="str">
        <x:v>management</x:v>
      </x:c>
      <x:c r="F319" s="25" t="str">
        <x:v>c340447c-29b3-4e18-9500-cfa5aa37316a</x:v>
      </x:c>
      <x:c r="G319" s="25" t="str">
        <x:v>月度销量增长率 [volume_growth] = 0.01; 单位 ratio; 口径 monthly。</x:v>
      </x:c>
      <x:c r="H319" s="2"/>
    </x:row>
    <x:row r="320" ht="92" customHeight="1">
      <x:c r="C320" s="25" t="str">
        <x:v>Input control: Assumptions.volume_growth.2027-01</x:v>
      </x:c>
      <x:c r="D320" s="25" t="str">
        <x:v>candidate_id=c13de8d0-a71d-596b-b80f-4df808897903; unit=ratio; input stage=selected raw input; scope=input; period=2027-01; editable slots require supplied numeric values; formula/source-structure edits invalidate the original receipt and require separate review; domain {"max":null,"min":-1}; adopted bounds {"max":null,"min":null,"scope":"input"}</x:v>
      </x:c>
      <x:c r="E320" s="25" t="str">
        <x:v>management</x:v>
      </x:c>
      <x:c r="F320" s="25" t="str">
        <x:v>c340447c-29b3-4e18-9500-cfa5aa37316a</x:v>
      </x:c>
      <x:c r="G320" s="25" t="str">
        <x:v>月度销量增长率 [volume_growth] = 0.01; 单位 ratio; 口径 monthly。</x:v>
      </x:c>
      <x:c r="H320" s="2"/>
    </x:row>
    <x:row r="321" ht="92" customHeight="1">
      <x:c r="C321" s="25" t="str">
        <x:v>Input control: Assumptions.volume_growth.2027-02</x:v>
      </x:c>
      <x:c r="D321" s="25" t="str">
        <x:v>candidate_id=c13de8d0-a71d-596b-b80f-4df808897903; unit=ratio; input stage=selected raw input; scope=input; period=2027-02; editable slots require supplied numeric values; formula/source-structure edits invalidate the original receipt and require separate review; domain {"max":null,"min":-1}; adopted bounds {"max":null,"min":null,"scope":"input"}</x:v>
      </x:c>
      <x:c r="E321" s="25" t="str">
        <x:v>management</x:v>
      </x:c>
      <x:c r="F321" s="25" t="str">
        <x:v>c340447c-29b3-4e18-9500-cfa5aa37316a</x:v>
      </x:c>
      <x:c r="G321" s="25" t="str">
        <x:v>月度销量增长率 [volume_growth] = 0.01; 单位 ratio; 口径 monthly。</x:v>
      </x:c>
      <x:c r="H321" s="2"/>
    </x:row>
    <x:row r="322" ht="92" customHeight="1">
      <x:c r="C322" s="25" t="str">
        <x:v>Input control: Assumptions.volume_growth.2027-03</x:v>
      </x:c>
      <x:c r="D322" s="25" t="str">
        <x:v>candidate_id=c13de8d0-a71d-596b-b80f-4df808897903; unit=ratio; input stage=selected raw input; scope=input; period=2027-03; editable slots require supplied numeric values; formula/source-structure edits invalidate the original receipt and require separate review; domain {"max":null,"min":-1}; adopted bounds {"max":null,"min":null,"scope":"input"}</x:v>
      </x:c>
      <x:c r="E322" s="25" t="str">
        <x:v>management</x:v>
      </x:c>
      <x:c r="F322" s="25" t="str">
        <x:v>c340447c-29b3-4e18-9500-cfa5aa37316a</x:v>
      </x:c>
      <x:c r="G322" s="25" t="str">
        <x:v>月度销量增长率 [volume_growth] = 0.01; 单位 ratio; 口径 monthly。</x:v>
      </x:c>
      <x:c r="H322" s="2"/>
    </x:row>
    <x:row r="323" ht="92" customHeight="1">
      <x:c r="C323" s="25"/>
      <x:c r="D323" s="25"/>
      <x:c r="E323" s="25"/>
      <x:c r="F323" s="25"/>
      <x:c r="G323" s="25"/>
      <x:c r="H323" s="2"/>
    </x:row>
  </x:sheetData>
  <x:pageMargins left="0.7" right="0.7" top="0.75" bottom="0.75" header="0.3" footer="0.3"/>
</x:worksheet>
</file>