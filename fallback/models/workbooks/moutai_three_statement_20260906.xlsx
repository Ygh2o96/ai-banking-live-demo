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41ff4d7f4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71189ec7cbe4ee1"/>
    <x:sheet xmlns:r="http://schemas.openxmlformats.org/officeDocument/2006/relationships" name="Assumptions" sheetId="2" r:id="R2df4e981bae34d28"/>
    <x:sheet xmlns:r="http://schemas.openxmlformats.org/officeDocument/2006/relationships" name="Operating" sheetId="3" r:id="R2dbfa35f42f84c95"/>
    <x:sheet xmlns:r="http://schemas.openxmlformats.org/officeDocument/2006/relationships" name="Statements" sheetId="4" r:id="R9d5a46395e6d485d"/>
    <x:sheet xmlns:r="http://schemas.openxmlformats.org/officeDocument/2006/relationships" name="WorkingCapital" sheetId="5" r:id="R541cd9044c894002"/>
    <x:sheet xmlns:r="http://schemas.openxmlformats.org/officeDocument/2006/relationships" name="FixedAssets" sheetId="6" r:id="R503cf2e2f8fd4988"/>
    <x:sheet xmlns:r="http://schemas.openxmlformats.org/officeDocument/2006/relationships" name="FundingTaxEquity" sheetId="7" r:id="Rbf327b8772204583"/>
    <x:sheet xmlns:r="http://schemas.openxmlformats.org/officeDocument/2006/relationships" name="Interim" sheetId="8" r:id="Rc70bf72146154789"/>
    <x:sheet xmlns:r="http://schemas.openxmlformats.org/officeDocument/2006/relationships" name="SourceFacts" sheetId="9" r:id="R6dcf0536329441ca"/>
    <x:sheet xmlns:r="http://schemas.openxmlformats.org/officeDocument/2006/relationships" name="SourceBS" sheetId="10" r:id="Rfd913c706a5a4c1d"/>
    <x:sheet xmlns:r="http://schemas.openxmlformats.org/officeDocument/2006/relationships" name="Sources" sheetId="11" r:id="R2dd95e21288640c2"/>
    <x:sheet xmlns:r="http://schemas.openxmlformats.org/officeDocument/2006/relationships" name="Checks" sheetId="12" r:id="R4bf734a00188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yyyy&quot;A&quot;"/>
    <x:numFmt numFmtId="202" formatCode="yyyy&quot;E&quot;"/>
    <x:numFmt numFmtId="203" formatCode="0.0%;(0.0%);&quot;-&quot;"/>
  </x:numFmts>
  <x:fonts count="12">
    <x:font>
      <x:sz val="11"/>
      <x:name val="Carlito"/>
    </x:font>
    <x:font>
      <x:sz val="11"/>
      <x:color rgb="FF222222"/>
      <x:name val="Helvetica"/>
    </x:font>
    <x:font>
      <x:b/>
      <x:sz val="15"/>
      <x:color rgb="FF222222"/>
      <x:name val="Helvetica"/>
    </x:font>
    <x:font>
      <x:i/>
      <x:sz val="11"/>
      <x:color rgb="FF222222"/>
      <x:name val="Helvetica"/>
    </x:font>
    <x:font>
      <x:sz val="11"/>
      <x:color rgb="FF008000"/>
      <x:name val="Helvetica"/>
    </x:font>
    <x:font>
      <x:b/>
      <x:sz val="11"/>
      <x:color rgb="FFFFFFFF"/>
      <x:name val="Helvetica"/>
    </x:font>
    <x:font>
      <x:sz val="11"/>
      <x:color rgb="FF0000FF"/>
      <x:name val="Helvetica"/>
    </x:font>
    <x:font>
      <x:sz val="11"/>
      <x:color rgb="FF000000"/>
      <x:name val="Helvetica"/>
    </x:font>
    <x:font>
      <x:b/>
      <x:sz val="11"/>
      <x:color rgb="FF222222"/>
      <x:name val="Helvetica"/>
    </x:font>
    <x:font>
      <x:b/>
      <x:sz val="11"/>
      <x:color rgb="FF000000"/>
      <x:name val="Helvetica"/>
    </x:font>
    <x:font>
      <x:b/>
      <x:sz val="11"/>
      <x:color rgb="FF008000"/>
      <x:name val="Helvetica"/>
    </x:font>
    <x:font>
      <x:sz val="10"/>
      <x:color rgb="FF222222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203A50"/>
      </x:patternFill>
    </x:fill>
    <x:fill>
      <x:patternFill patternType="solid">
        <x:fgColor rgb="FFFFF4CC"/>
      </x:patternFill>
    </x:fill>
  </x:fills>
  <x:borders count="3">
    <x:border/>
    <x:border>
      <x:bottom style="thin">
        <x:color rgb="FF203A50"/>
      </x:bottom>
    </x:border>
    <x:border>
      <x:top style="thin">
        <x:color rgb="FF758696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1" fillId="2" borderId="0" xfId="0" applyNumberFormat="1" applyFont="1" applyFill="1" applyBorder="1"/>
    <x:xf numFmtId="201" fontId="4" fillId="2" borderId="0" xfId="0" applyNumberFormat="1" applyFont="1" applyFill="1" applyBorder="1"/>
    <x:xf numFmtId="202" fontId="4" fillId="2" borderId="0" xfId="0" applyNumberFormat="1" applyFont="1" applyFill="1" applyBorder="1"/>
    <x:xf numFmtId="0" fontId="5" fillId="2" borderId="0" xfId="0" applyNumberFormat="1" applyFont="1" applyFill="1" applyBorder="1"/>
    <x:xf numFmtId="201" fontId="5" fillId="2" borderId="0" xfId="0" applyNumberFormat="1" applyFont="1" applyFill="1" applyBorder="1"/>
    <x:xf numFmtId="202" fontId="5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3" borderId="0" xfId="0" applyNumberFormat="1" applyFont="1" applyFill="1" applyBorder="1"/>
    <x:xf numFmtId="203" fontId="6" fillId="3" borderId="0" xfId="0" applyNumberFormat="1" applyFont="1" applyFill="1" applyBorder="1"/>
    <x:xf numFmtId="200" fontId="1" fillId="2" borderId="0" xfId="0" applyNumberFormat="1" applyFont="1" applyFill="1" applyBorder="1"/>
    <x:xf numFmtId="200" fontId="5" fillId="2" borderId="0" xfId="0" applyNumberFormat="1" applyFont="1" applyFill="1" applyBorder="1"/>
    <x:xf numFmtId="203" fontId="1" fillId="0" borderId="0" xfId="0" applyNumberFormat="1" applyFont="1" applyFill="1" applyBorder="1"/>
    <x:xf numFmtId="200" fontId="7" fillId="0" borderId="0" xfId="0" applyNumberFormat="1" applyFont="1" applyFill="1" applyBorder="1"/>
    <x:xf numFmtId="200" fontId="1" fillId="3" borderId="0" xfId="0" applyNumberFormat="1" applyFont="1" applyFill="1" applyBorder="1"/>
    <x:xf numFmtId="200" fontId="7" fillId="3" borderId="0" xfId="0" applyNumberFormat="1" applyFont="1" applyFill="1" applyBorder="1"/>
    <x:xf numFmtId="203" fontId="7" fillId="3" borderId="0" xfId="0" applyNumberFormat="1" applyFont="1" applyFill="1" applyBorder="1"/>
    <x:xf numFmtId="203" fontId="4" fillId="0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2" xfId="0" applyNumberFormat="1" applyFont="1" applyFill="1" applyBorder="1"/>
    <x:xf numFmtId="200" fontId="8" fillId="0" borderId="2" xfId="0" applyNumberFormat="1" applyFont="1" applyFill="1" applyBorder="1"/>
    <x:xf numFmtId="200" fontId="9" fillId="0" borderId="2" xfId="0" applyNumberFormat="1" applyFont="1" applyFill="1" applyBorder="1"/>
    <x:xf numFmtId="200" fontId="10" fillId="0" borderId="2" xfId="0" applyNumberFormat="1" applyFont="1" applyFill="1" applyBorder="1"/>
    <x:xf numFmtId="203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8000"/>
      </x:font>
    </x:dxf>
    <x:dxf>
      <x:fill>
        <x:patternFill patternType="solid">
          <x:bgColor rgb="FFFDE7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f29ad199b4d60" /><Relationship Type="http://schemas.openxmlformats.org/officeDocument/2006/relationships/theme" Target="/xl/theme/theme1.xml" Id="R024d445fc2404da7" /><Relationship Type="http://schemas.openxmlformats.org/officeDocument/2006/relationships/sharedStrings" Target="/xl/sharedStrings.xml" Id="R1adea7586b4c452b" /><Relationship Type="http://schemas.openxmlformats.org/officeDocument/2006/relationships/worksheet" Target="/xl/worksheets/sheet1.xml" Id="R171189ec7cbe4ee1" /><Relationship Type="http://schemas.openxmlformats.org/officeDocument/2006/relationships/worksheet" Target="/xl/worksheets/sheet2.xml" Id="R2df4e981bae34d28" /><Relationship Type="http://schemas.openxmlformats.org/officeDocument/2006/relationships/worksheet" Target="/xl/worksheets/sheet3.xml" Id="R2dbfa35f42f84c95" /><Relationship Type="http://schemas.openxmlformats.org/officeDocument/2006/relationships/worksheet" Target="/xl/worksheets/sheet4.xml" Id="R9d5a46395e6d485d" /><Relationship Type="http://schemas.openxmlformats.org/officeDocument/2006/relationships/worksheet" Target="/xl/worksheets/sheet5.xml" Id="R541cd9044c894002" /><Relationship Type="http://schemas.openxmlformats.org/officeDocument/2006/relationships/worksheet" Target="/xl/worksheets/sheet6.xml" Id="R503cf2e2f8fd4988" /><Relationship Type="http://schemas.openxmlformats.org/officeDocument/2006/relationships/worksheet" Target="/xl/worksheets/sheet7.xml" Id="Rbf327b8772204583" /><Relationship Type="http://schemas.openxmlformats.org/officeDocument/2006/relationships/worksheet" Target="/xl/worksheets/sheet8.xml" Id="Rc70bf72146154789" /><Relationship Type="http://schemas.openxmlformats.org/officeDocument/2006/relationships/worksheet" Target="/xl/worksheets/sheet9.xml" Id="R6dcf0536329441ca" /><Relationship Type="http://schemas.openxmlformats.org/officeDocument/2006/relationships/worksheet" Target="/xl/worksheets/sheet10.xml" Id="Rfd913c706a5a4c1d" /><Relationship Type="http://schemas.openxmlformats.org/officeDocument/2006/relationships/worksheet" Target="/xl/worksheets/sheet11.xml" Id="R2dd95e21288640c2" /><Relationship Type="http://schemas.openxmlformats.org/officeDocument/2006/relationships/worksheet" Target="/xl/worksheets/sheet12.xml" Id="R4bf734a0018846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贵州茅台 Kweichow Moutai</x:v>
      </x:c>
      <x:c r="D2" s="4"/>
      <x:c r="E2" s="4"/>
      <x:c r="F2" s="4"/>
      <x:c r="G2" s="4"/>
      <x:c r="H2" s="4"/>
      <x:c r="I2" s="4"/>
    </x:row>
    <x:row r="3" ht="21" customHeight="1">
      <x:c r="C3" s="5" t="str">
        <x:v>Overview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19" t="n">
        <x:f>'Statements'!D10</x:f>
        <x:v>147693.60499414</x:v>
      </x:c>
      <x:c r="E9" s="19" t="n">
        <x:f>'Statements'!E10</x:f>
        <x:v>170899.15227634</x:v>
      </x:c>
      <x:c r="F9" s="19" t="n">
        <x:f>'Statements'!F10</x:f>
        <x:v>168838.10251479002</x:v>
      </x:c>
      <x:c r="G9" s="19" t="n">
        <x:f>'Statements'!G10</x:f>
        <x:v>172744.20706365025</x:v>
      </x:c>
      <x:c r="H9" s="19" t="n">
        <x:f>'Statements'!H10</x:f>
        <x:v>178403.09507941068</x:v>
      </x:c>
      <x:c r="I9" s="19" t="n">
        <x:f>'Statements'!I10</x:f>
        <x:v>184255.6896138614</x:v>
      </x:c>
    </x:row>
    <x:row r="10" ht="21" customHeight="1">
      <x:c r="C10" s="1" t="str">
        <x:v>Gross profit</x:v>
      </x:c>
      <x:c r="D10" s="19" t="n">
        <x:f>'Statements'!D12</x:f>
        <x:v>135826.33114236002</x:v>
      </x:c>
      <x:c r="E10" s="19" t="n">
        <x:f>'Statements'!E12</x:f>
        <x:v>157109.66990836</x:v>
      </x:c>
      <x:c r="F10" s="19" t="n">
        <x:f>'Statements'!F12</x:f>
        <x:v>153945.82494388003</x:v>
      </x:c>
      <x:c r="G10" s="19" t="n">
        <x:f>'Statements'!G12</x:f>
        <x:v>157250.9796748338</x:v>
      </x:c>
      <x:c r="H10" s="19" t="n">
        <x:f>'Statements'!H12</x:f>
        <x:v>162346.93807860243</x:v>
      </x:c>
      <x:c r="I10" s="19" t="n">
        <x:f>'Statements'!I12</x:f>
        <x:v>167613.28938121168</x:v>
      </x:c>
    </x:row>
    <x:row r="11" ht="21" customHeight="1">
      <x:c r="C11" s="1" t="str">
        <x:v>EBITDA proxy; definition in Statements</x:v>
      </x:c>
      <x:c r="D11" s="2"/>
      <x:c r="E11" s="19" t="n">
        <x:f>'Statements'!E21</x:f>
        <x:v>120253.37794624001</x:v>
      </x:c>
      <x:c r="F11" s="19" t="n">
        <x:f>'Statements'!F21</x:f>
        <x:v>116199.40837464</x:v>
      </x:c>
      <x:c r="G11" s="19" t="n">
        <x:f>'Statements'!G21</x:f>
        <x:v>118675.1076251811</x:v>
      </x:c>
      <x:c r="H11" s="19" t="n">
        <x:f>'Statements'!H21</x:f>
        <x:v>122494.04142708541</x:v>
      </x:c>
      <x:c r="I11" s="19" t="n">
        <x:f>'Statements'!I21</x:f>
        <x:v>126440.41204683691</x:v>
      </x:c>
    </x:row>
    <x:row r="12" ht="21" customHeight="1">
      <x:c r="C12" s="1" t="str">
        <x:v>Consolidated net income</x:v>
      </x:c>
      <x:c r="D12" s="19" t="n">
        <x:f>'Statements'!D25</x:f>
        <x:v>77521.4762778</x:v>
      </x:c>
      <x:c r="E12" s="19" t="n">
        <x:f>'Statements'!E25</x:f>
        <x:v>89334.7280259</x:v>
      </x:c>
      <x:c r="F12" s="19" t="n">
        <x:f>'Statements'!F25</x:f>
        <x:v>85310.32483367</x:v>
      </x:c>
      <x:c r="G12" s="19" t="n">
        <x:f>'Statements'!G25</x:f>
        <x:v>87604.2834351507</x:v>
      </x:c>
      <x:c r="H12" s="19" t="n">
        <x:f>'Statements'!H25</x:f>
        <x:v>90478.28224645276</x:v>
      </x:c>
      <x:c r="I12" s="19" t="n">
        <x:f>'Statements'!I25</x:f>
        <x:v>93461.38626412432</x:v>
      </x:c>
    </x:row>
    <x:row r="13" ht="21" customHeight="1">
      <x:c r="C13" s="1" t="str">
        <x:v>Operating cash flow</x:v>
      </x:c>
      <x:c r="D13" s="19" t="n">
        <x:f>'Statements'!D65</x:f>
        <x:v>66593.24772109</x:v>
      </x:c>
      <x:c r="E13" s="19" t="n">
        <x:f>'Statements'!E65</x:f>
        <x:v>92463.69216842999</x:v>
      </x:c>
      <x:c r="F13" s="19" t="n">
        <x:f>'Statements'!F65</x:f>
        <x:v>61522.20498935</x:v>
      </x:c>
      <x:c r="G13" s="19" t="n">
        <x:f>'Statements'!G65</x:f>
        <x:v>84436.04915021597</x:v>
      </x:c>
      <x:c r="H13" s="19" t="n">
        <x:f>'Statements'!H65</x:f>
        <x:v>90998.24112087589</x:v>
      </x:c>
      <x:c r="I13" s="19" t="n">
        <x:f>'Statements'!I65</x:f>
        <x:v>93964.89422180354</x:v>
      </x:c>
    </x:row>
    <x:row r="14" ht="21" customHeight="1">
      <x:c r="C14" s="1" t="str">
        <x:v>Free cash flow before financing</x:v>
      </x:c>
      <x:c r="D14" s="19" t="n">
        <x:f>'Statements'!D87</x:f>
        <x:v>63973.491832299995</x:v>
      </x:c>
      <x:c r="E14" s="19" t="n">
        <x:f>'Statements'!E87</x:f>
        <x:v>87784.98011486999</x:v>
      </x:c>
      <x:c r="F14" s="19" t="n">
        <x:f>'Statements'!F87</x:f>
        <x:v>58394.61007294</x:v>
      </x:c>
      <x:c r="G14" s="19" t="n">
        <x:f>'Statements'!G87</x:f>
        <x:v>81236.09667619299</x:v>
      </x:c>
      <x:c r="H14" s="19" t="n">
        <x:f>'Statements'!H87</x:f>
        <x:v>87693.46213478596</x:v>
      </x:c>
      <x:c r="I14" s="19" t="n">
        <x:f>'Statements'!I87</x:f>
        <x:v>90551.70046060588</x:v>
      </x:c>
    </x:row>
    <x:row r="15" ht="21" customHeight="1">
      <x:c r="C15" s="1" t="str">
        <x:v>Closing cash and cash equivalents</x:v>
      </x:c>
      <x:c r="D15" s="19" t="n">
        <x:f>'Statements'!D31</x:f>
        <x:v>150360.18895247</x:v>
      </x:c>
      <x:c r="E15" s="19" t="n">
        <x:f>'Statements'!E31</x:f>
        <x:v>169970.08925783</x:v>
      </x:c>
      <x:c r="F15" s="19" t="n">
        <x:f>'Statements'!F31</x:f>
        <x:v>126425.60944772</x:v>
      </x:c>
      <x:c r="G15" s="19" t="n">
        <x:f>'Statements'!G31</x:f>
        <x:v>141911.75131158595</x:v>
      </x:c>
      <x:c r="H15" s="19" t="n">
        <x:f>'Statements'!H31</x:f>
        <x:v>161702.45582593585</x:v>
      </x:c>
      <x:c r="I15" s="19" t="n">
        <x:f>'Statements'!I31</x:f>
        <x:v>182116.22769314598</x:v>
      </x:c>
    </x:row>
    <x:row r="16" ht="21" customHeight="1">
      <x:c r="C16" s="1" t="str">
        <x:v>Borrowings and lease liabilities</x:v>
      </x:c>
      <x:c r="D16" s="19" t="n">
        <x:f>'Statements'!D44</x:f>
        <x:v>323.69111352</x:v>
      </x:c>
      <x:c r="E16" s="19" t="n">
        <x:f>'Statements'!E44</x:f>
        <x:v>425.85752796</x:v>
      </x:c>
      <x:c r="F16" s="19" t="n">
        <x:f>'Statements'!F44</x:f>
        <x:v>233.71117982</x:v>
      </x:c>
      <x:c r="G16" s="19" t="n">
        <x:f>'Statements'!G44</x:f>
        <x:v>220.22967798250002</x:v>
      </x:c>
      <x:c r="H16" s="19" t="n">
        <x:f>'Statements'!H44</x:f>
        <x:v>209.44447651250002</x:v>
      </x:c>
      <x:c r="I16" s="19" t="n">
        <x:f>'Statements'!I44</x:f>
        <x:v>200.81631533650003</x:v>
      </x:c>
    </x:row>
    <x:row r="17" ht="21" customHeight="1">
      <x:c r="C17" s="1" t="str">
        <x:v>Balance-sheet difference</x:v>
      </x:c>
      <x:c r="D17" s="19" t="n">
        <x:f>'Statements'!D55</x:f>
        <x:v>0</x:v>
      </x:c>
      <x:c r="E17" s="19" t="n">
        <x:f>'Statements'!E55</x:f>
        <x:v>0</x:v>
      </x:c>
      <x:c r="F17" s="19" t="n">
        <x:f>'Statements'!F55</x:f>
        <x:v>0</x:v>
      </x:c>
      <x:c r="G17" s="19" t="n">
        <x:f>'Statements'!G55</x:f>
        <x:v>5.820766091346741e-11</x:v>
      </x:c>
      <x:c r="H17" s="19" t="n">
        <x:f>'Statements'!H55</x:f>
        <x:v>-5.820766091346741e-11</x:v>
      </x:c>
      <x:c r="I17" s="19" t="n">
        <x:f>'Statements'!I55</x:f>
        <x:v>-5.820766091346741e-11</x:v>
      </x:c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39" t="str">
        <x:v>Public banker training model. Forecasts are educational scenarios, not company guidance or investment advice.</x:v>
      </x:c>
      <x:c r="D21" s="20"/>
      <x:c r="E21" s="20"/>
      <x:c r="F21" s="20"/>
      <x:c r="G21" s="20"/>
      <x:c r="H21" s="20"/>
      <x:c r="I21" s="20"/>
    </x:row>
    <x:row r="22" ht="21" customHeight="1">
      <x:c r="C22" s="39"/>
      <x:c r="D22" s="20"/>
      <x:c r="E22" s="20"/>
      <x:c r="F22" s="20"/>
      <x:c r="G22" s="20"/>
      <x:c r="H22" s="20"/>
      <x:c r="I22" s="20"/>
    </x:row>
    <x:row r="23" ht="21" customHeight="1">
      <x:c r="C23" s="39" t="str">
        <x:v>Sources retrieved 2026-09-06. Annual actuals 2023–2025; H1 2026 observed, unaudited/reviewed as disclosed.</x:v>
      </x:c>
      <x:c r="D23" s="20"/>
      <x:c r="E23" s="20"/>
      <x:c r="F23" s="20"/>
      <x:c r="G23" s="20"/>
      <x:c r="H23" s="20"/>
      <x:c r="I23" s="20"/>
    </x:row>
    <x:row r="24" ht="21" customHeight="1">
      <x:c r="C24" s="39"/>
      <x:c r="D24" s="20"/>
      <x:c r="E24" s="20"/>
      <x:c r="F24" s="20"/>
      <x:c r="G24" s="20"/>
      <x:c r="H24" s="20"/>
      <x:c r="I24" s="20"/>
    </x:row>
    <x:row r="25" ht="21" customHeight="1">
      <x:c r="C25" s="39" t="str">
        <x:v>Edit Assumptions G:I. For 2026, segment volume / price inputs apply to the remaining H2 business.</x:v>
      </x:c>
      <x:c r="D25" s="20"/>
      <x:c r="E25" s="20"/>
      <x:c r="F25" s="20"/>
      <x:c r="G25" s="20"/>
      <x:c r="H25" s="20"/>
      <x:c r="I25" s="20"/>
    </x:row>
    <x:row r="26" ht="21" customHeight="1">
      <x:c r="C26" s="39"/>
      <x:c r="D26" s="20"/>
      <x:c r="E26" s="20"/>
      <x:c r="F26" s="20"/>
      <x:c r="G26" s="20"/>
      <x:c r="H26" s="20"/>
      <x:c r="I26" s="20"/>
    </x:row>
    <x:row r="27" ht="21" customHeight="1">
      <x:c r="C27" s="39" t="str">
        <x:v>Historical balance sheets are fully mapped by named source line. Checks never feed cash, debt, equity or other balances.</x:v>
      </x:c>
      <x:c r="D27" s="20"/>
      <x:c r="E27" s="20"/>
      <x:c r="F27" s="20"/>
      <x:c r="G27" s="20"/>
      <x:c r="H27" s="20"/>
      <x:c r="I27" s="20"/>
    </x:row>
    <x:row r="28" ht="21" customHeight="1">
      <x:c r="C28" s="39"/>
      <x:c r="D28" s="20"/>
      <x:c r="E28" s="20"/>
      <x:c r="F28" s="20"/>
      <x:c r="G28" s="20"/>
      <x:c r="H28" s="20"/>
      <x:c r="I28" s="20"/>
    </x:row>
    <x:row r="29" ht="21" customHeight="1">
      <x:c r="C29" s="39" t="str">
        <x:v>H1 segment allocation is a LEAP where not extracted. TTI uses restated Professional / Consumer H1 data and a LEAP FY2025 allocation.</x:v>
      </x:c>
      <x:c r="D29" s="20"/>
      <x:c r="E29" s="20"/>
      <x:c r="F29" s="20"/>
      <x:c r="G29" s="20"/>
      <x:c r="H29" s="20"/>
      <x:c r="I29" s="20"/>
    </x:row>
    <x:row r="30" ht="21" customHeight="1">
      <x:c r="C30" s="39"/>
      <x:c r="D30" s="20"/>
      <x:c r="E30" s="20"/>
      <x:c r="F30" s="20"/>
      <x:c r="G30" s="20"/>
      <x:c r="H30" s="20"/>
      <x:c r="I30" s="20"/>
    </x:row>
    <x:row r="31" ht="21" customHeight="1">
      <x:c r="C31" s="39" t="str">
        <x:v>D&amp;A allocation, capex split, future margins, cash income classification and tax timing are explicit LEAPs.</x:v>
      </x:c>
      <x:c r="D31" s="20"/>
      <x:c r="E31" s="20"/>
      <x:c r="F31" s="20"/>
      <x:c r="G31" s="20"/>
      <x:c r="H31" s="20"/>
      <x:c r="I31" s="20"/>
    </x:row>
    <x:row r="32" ht="21" customHeight="1">
      <x:c r="C32" s="39"/>
      <x:c r="D32" s="20"/>
      <x:c r="E32" s="20"/>
      <x:c r="F32" s="20"/>
      <x:c r="G32" s="20"/>
      <x:c r="H32" s="20"/>
      <x:c r="I32" s="20"/>
    </x:row>
    <x:row r="33" ht="21" customHeight="1">
      <x:c r="C33" s="39" t="str">
        <x:v>Borrowings and leases are aggregated. New lease recognition has matching ROU and funding entries. No automatic cash sweep.</x:v>
      </x:c>
      <x:c r="D33" s="20"/>
      <x:c r="E33" s="20"/>
      <x:c r="F33" s="20"/>
      <x:c r="G33" s="20"/>
      <x:c r="H33" s="20"/>
      <x:c r="I33" s="20"/>
    </x:row>
    <x:row r="34" ht="21" customHeight="1">
      <x:c r="C34" s="39"/>
      <x:c r="D34" s="20"/>
      <x:c r="E34" s="20"/>
      <x:c r="F34" s="20"/>
      <x:c r="G34" s="20"/>
      <x:c r="H34" s="20"/>
      <x:c r="I34" s="20"/>
    </x:row>
    <x:row r="35" ht="21" customHeight="1">
      <x:c r="C35" s="39" t="str">
        <x:v>Cash is the cash-flow definition. Other monetary balances remain separate. Negative cash is a visible scenario warning.</x:v>
      </x:c>
      <x:c r="D35" s="20"/>
      <x:c r="E35" s="20"/>
      <x:c r="F35" s="20"/>
      <x:c r="G35" s="20"/>
      <x:c r="H35" s="20"/>
      <x:c r="I35" s="20"/>
    </x:row>
    <x:row r="36" ht="21" customHeight="1">
      <x:c r="C36" s="39"/>
      <x:c r="D36" s="20"/>
      <x:c r="E36" s="20"/>
      <x:c r="F36" s="20"/>
      <x:c r="G36" s="20"/>
      <x:c r="H36" s="20"/>
      <x:c r="I36" s="20"/>
    </x:row>
    <x:row r="37" ht="21" customHeight="1">
      <x:c r="C37" s="39" t="str">
        <x:v>Share repurchases reduce modeled retained earnings. Distribution caps are analytical constraints, not legal opinions.</x:v>
      </x:c>
      <x:c r="D37" s="20"/>
      <x:c r="E37" s="20"/>
      <x:c r="F37" s="20"/>
      <x:c r="G37" s="20"/>
      <x:c r="H37" s="20"/>
      <x:c r="I37" s="20"/>
    </x:row>
    <x:row r="38" ht="21" customHeight="1">
      <x:c r="C38" s="39"/>
      <x:c r="D38" s="20"/>
      <x:c r="E38" s="20"/>
      <x:c r="F38" s="20"/>
      <x:c r="G38" s="20"/>
      <x:c r="H38" s="20"/>
      <x:c r="I38" s="20"/>
    </x:row>
    <x:row r="39" ht="21" customHeight="1">
      <x:c r="C39" s="39" t="str">
        <x:v>Other asset/liability components default flat. FX cash is assumed zero. Forecast deferred tax and detailed FX hedging are not modeled.</x:v>
      </x:c>
      <x:c r="D39" s="20"/>
      <x:c r="E39" s="20"/>
      <x:c r="F39" s="20"/>
      <x:c r="G39" s="20"/>
      <x:c r="H39" s="20"/>
      <x:c r="I39" s="20"/>
    </x:row>
    <x:row r="40" ht="21" customHeight="1">
      <x:c r="C40" s="39"/>
      <x:c r="D40" s="20"/>
      <x:c r="E40" s="20"/>
      <x:c r="F40" s="20"/>
      <x:c r="G40" s="20"/>
      <x:c r="H40" s="20"/>
      <x:c r="I40" s="20"/>
    </x:row>
    <x:row r="41" ht="21" customHeight="1">
      <x:c r="C41" s="39" t="str">
        <x:v>Blue text: editable input. Green text: same-workbook link. Yellow fill: forecast input or LEAP.</x:v>
      </x:c>
      <x:c r="D41" s="20"/>
      <x:c r="E41" s="20"/>
      <x:c r="F41" s="20"/>
      <x:c r="G41" s="20"/>
      <x:c r="H41" s="20"/>
      <x:c r="I41" s="20"/>
    </x:row>
    <x:row r="42" ht="21" customHeight="1">
      <x:c r="C42" s="39"/>
      <x:c r="D42" s="20"/>
      <x:c r="E42" s="20"/>
      <x:c r="F42" s="20"/>
      <x:c r="G42" s="20"/>
      <x:c r="H42" s="20"/>
      <x:c r="I42" s="20"/>
    </x:row>
    <x:row r="43" ht="21" customHeight="1">
      <x:c r="C43" s="39" t="str">
        <x:v>Teaching model. Review source data, assumptions and limitations before project use.</x:v>
      </x:c>
      <x:c r="D43" s="20"/>
      <x:c r="E43" s="20"/>
      <x:c r="F43" s="20"/>
      <x:c r="G43" s="20"/>
      <x:c r="H43" s="20"/>
      <x:c r="I43" s="20"/>
    </x:row>
    <x:row r="44" ht="21" customHeight="1">
      <x:c r="C44" s="39"/>
      <x:c r="D44" s="20"/>
      <x:c r="E44" s="20"/>
      <x:c r="F44" s="20"/>
      <x:c r="G44" s="20"/>
      <x:c r="H44" s="20"/>
      <x:c r="I44" s="20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C21:I22"/>
    <x:mergeCell ref="C23:I24"/>
    <x:mergeCell ref="C25:I26"/>
    <x:mergeCell ref="C27:I28"/>
    <x:mergeCell ref="C29:I30"/>
    <x:mergeCell ref="C31:I32"/>
    <x:mergeCell ref="C33:I34"/>
    <x:mergeCell ref="C35:I36"/>
    <x:mergeCell ref="C37:I38"/>
    <x:mergeCell ref="C39:I40"/>
    <x:mergeCell ref="C41:I42"/>
    <x:mergeCell ref="C43:I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贵州茅台 Kweichow Moutai</x:v>
      </x:c>
      <x:c r="D2" s="4"/>
      <x:c r="E2" s="4"/>
      <x:c r="F2" s="4"/>
      <x:c r="G2" s="4"/>
      <x:c r="H2" s="4"/>
      <x:c r="I2" s="4"/>
    </x:row>
    <x:row r="3" ht="21" customHeight="1">
      <x:c r="C3" s="5" t="str">
        <x:v>Assumptions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v>45291</x:v>
      </x:c>
      <x:c r="E7" s="13" t="n">
        <x:v>45657</x:v>
      </x:c>
      <x:c r="F7" s="13" t="n">
        <x:v>46022</x:v>
      </x:c>
      <x:c r="G7" s="14" t="n">
        <x:v>46387</x:v>
      </x:c>
      <x:c r="H7" s="14" t="n">
        <x:v>46752</x:v>
      </x:c>
      <x:c r="I7" s="14" t="n">
        <x:v>47118</x:v>
      </x:c>
    </x:row>
    <x:row r="8" ht="21" customHeight="1">
      <x:c r="C8" s="12" t="str">
        <x:v>Profitability and source-derived proxies</x:v>
      </x:c>
      <x:c r="D8" s="25"/>
      <x:c r="E8" s="25"/>
      <x:c r="F8" s="25"/>
      <x:c r="G8" s="25"/>
      <x:c r="H8" s="25"/>
      <x:c r="I8" s="25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1" t="str">
        <x:v>Cash gross margin before modeled depreciation</x:v>
      </x:c>
      <x:c r="D10" s="2"/>
      <x:c r="E10" s="2"/>
      <x:c r="F10" s="26" t="n">
        <x:v>0.9225010958273486</x:v>
      </x:c>
      <x:c r="G10" s="23" t="n">
        <x:v>0.9225010958273486</x:v>
      </x:c>
      <x:c r="H10" s="23" t="n">
        <x:v>0.9225010958273486</x:v>
      </x:c>
      <x:c r="I10" s="23" t="n">
        <x:v>0.9225010958273486</x:v>
      </x:c>
    </x:row>
    <x:row r="11" ht="21" customHeight="1">
      <x:c r="C11" s="1" t="str">
        <x:v>Selling expense / revenue</x:v>
      </x:c>
      <x:c r="D11" s="2"/>
      <x:c r="E11" s="2"/>
      <x:c r="F11" s="2"/>
      <x:c r="G11" s="23" t="n">
        <x:v>0.04296127173097437</x:v>
      </x:c>
      <x:c r="H11" s="23" t="n">
        <x:v>0.04296127173097437</x:v>
      </x:c>
      <x:c r="I11" s="23" t="n">
        <x:v>0.04296127173097437</x:v>
      </x:c>
    </x:row>
    <x:row r="12" ht="21" customHeight="1">
      <x:c r="C12" s="1" t="str">
        <x:v>Cash administrative expense / revenue</x:v>
      </x:c>
      <x:c r="D12" s="2"/>
      <x:c r="E12" s="2"/>
      <x:c r="F12" s="2"/>
      <x:c r="G12" s="23" t="n">
        <x:v>0.04660194666730962</x:v>
      </x:c>
      <x:c r="H12" s="23" t="n">
        <x:v>0.04660194666730962</x:v>
      </x:c>
      <x:c r="I12" s="23" t="n">
        <x:v>0.04660194666730962</x:v>
      </x:c>
    </x:row>
    <x:row r="13" ht="21" customHeight="1">
      <x:c r="C13" s="1" t="str">
        <x:v>R&amp;D expense / revenue</x:v>
      </x:c>
      <x:c r="D13" s="2"/>
      <x:c r="E13" s="2"/>
      <x:c r="F13" s="2"/>
      <x:c r="G13" s="23" t="n">
        <x:v>0.0011260032169773193</x:v>
      </x:c>
      <x:c r="H13" s="23" t="n">
        <x:v>0.0011260032169773193</x:v>
      </x:c>
      <x:c r="I13" s="23" t="n">
        <x:v>0.0011260032169773193</x:v>
      </x:c>
    </x:row>
    <x:row r="14" ht="21" customHeight="1">
      <x:c r="C14" s="1" t="str">
        <x:v>Business taxes / revenue</x:v>
      </x:c>
      <x:c r="D14" s="2"/>
      <x:c r="E14" s="2"/>
      <x:c r="F14" s="2"/>
      <x:c r="G14" s="23" t="n">
        <x:v>0.16201454101560872</x:v>
      </x:c>
      <x:c r="H14" s="23" t="n">
        <x:v>0.16201454101560872</x:v>
      </x:c>
      <x:c r="I14" s="23" t="n">
        <x:v>0.16201454101560872</x:v>
      </x:c>
    </x:row>
    <x:row r="15" ht="21" customHeight="1">
      <x:c r="C15" s="1" t="str">
        <x:v>Other cash pretax income / revenue</x:v>
      </x:c>
      <x:c r="D15" s="2"/>
      <x:c r="E15" s="2"/>
      <x:c r="F15" s="2"/>
      <x:c r="G15" s="23" t="n">
        <x:v>0.018432436292082605</x:v>
      </x:c>
      <x:c r="H15" s="23" t="n">
        <x:v>0.018432436292082605</x:v>
      </x:c>
      <x:c r="I15" s="23" t="n">
        <x:v>0.018432436292082605</x:v>
      </x:c>
    </x:row>
    <x:row r="16" ht="21" customHeight="1">
      <x:c r="C16" s="1" t="str">
        <x:v>Opening cash yield (proxy includes historical FX)</x:v>
      </x:c>
      <x:c r="D16" s="2"/>
      <x:c r="E16" s="2"/>
      <x:c r="F16" s="2"/>
      <x:c r="G16" s="23" t="n">
        <x:v>0.004965433840125613</x:v>
      </x:c>
      <x:c r="H16" s="23" t="n">
        <x:v>0.004965433840125613</x:v>
      </x:c>
      <x:c r="I16" s="23" t="n">
        <x:v>0.004965433840125613</x:v>
      </x:c>
    </x:row>
    <x:row r="17" ht="21" customHeight="1">
      <x:c r="C17" s="1" t="str">
        <x:v>Borrowing and lease interest rate</x:v>
      </x:c>
      <x:c r="D17" s="2"/>
      <x:c r="E17" s="2"/>
      <x:c r="F17" s="2"/>
      <x:c r="G17" s="23" t="n">
        <x:v>0.06747549685842119</x:v>
      </x:c>
      <x:c r="H17" s="23" t="n">
        <x:v>0.06747549685842119</x:v>
      </x:c>
      <x:c r="I17" s="23" t="n">
        <x:v>0.06747549685842119</x:v>
      </x:c>
    </x:row>
    <x:row r="18" ht="21" customHeight="1">
      <x:c r="C18" s="1" t="str">
        <x:v>Effective tax rate (H1 2026 source basis)</x:v>
      </x:c>
      <x:c r="D18" s="2"/>
      <x:c r="E18" s="2"/>
      <x:c r="F18" s="2"/>
      <x:c r="G18" s="23" t="n">
        <x:v>0.2507403155354022</x:v>
      </x:c>
      <x:c r="H18" s="23" t="n">
        <x:v>0.2507403155354022</x:v>
      </x:c>
      <x:c r="I18" s="23" t="n">
        <x:v>0.2507403155354022</x:v>
      </x:c>
    </x:row>
    <x:row r="19" ht="21" customHeight="1">
      <x:c r="C19" s="1" t="str">
        <x:v>NCI share of consolidated net income</x:v>
      </x:c>
      <x:c r="D19" s="2"/>
      <x:c r="E19" s="2"/>
      <x:c r="F19" s="2"/>
      <x:c r="G19" s="23" t="n">
        <x:v>0.03505153377179282</x:v>
      </x:c>
      <x:c r="H19" s="23" t="n">
        <x:v>0.03505153377179282</x:v>
      </x:c>
      <x:c r="I19" s="23" t="n">
        <x:v>0.03505153377179282</x:v>
      </x:c>
    </x:row>
    <x:row r="20" ht="21" customHeight="1">
      <x:c r="C20" s="12" t="str">
        <x:v>Working capital</x:v>
      </x:c>
      <x:c r="D20" s="25"/>
      <x:c r="E20" s="25"/>
      <x:c r="F20" s="25"/>
      <x:c r="G20" s="25"/>
      <x:c r="H20" s="25"/>
      <x:c r="I20" s="25"/>
    </x:row>
    <x:row r="21" ht="21" customHeight="1">
      <x:c r="C21" s="1"/>
      <x:c r="D21" s="2"/>
      <x:c r="E21" s="2"/>
      <x:c r="F21" s="2"/>
      <x:c r="G21" s="2"/>
      <x:c r="H21" s="2"/>
      <x:c r="I21" s="2"/>
    </x:row>
    <x:row r="22" ht="21" customHeight="1">
      <x:c r="C22" s="1" t="str">
        <x:v>Ending receivable and contract-asset days</x:v>
      </x:c>
      <x:c r="D22" s="2"/>
      <x:c r="E22" s="2"/>
      <x:c r="F22" s="2"/>
      <x:c r="G22" s="22" t="n">
        <x:v>9.641074478520974</x:v>
      </x:c>
      <x:c r="H22" s="22" t="n">
        <x:v>9.641074478520974</x:v>
      </x:c>
      <x:c r="I22" s="22" t="n">
        <x:v>9.641074478520974</x:v>
      </x:c>
    </x:row>
    <x:row r="23" ht="21" customHeight="1">
      <x:c r="C23" s="1" t="str">
        <x:v>Ending inventory days</x:v>
      </x:c>
      <x:c r="D23" s="2"/>
      <x:c r="E23" s="2"/>
      <x:c r="F23" s="2"/>
      <x:c r="G23" s="22" t="n">
        <x:v>1505.546001868917</x:v>
      </x:c>
      <x:c r="H23" s="22" t="n">
        <x:v>1505.546001868917</x:v>
      </x:c>
      <x:c r="I23" s="22" t="n">
        <x:v>1505.546001868917</x:v>
      </x:c>
    </x:row>
    <x:row r="24" ht="21" customHeight="1">
      <x:c r="C24" s="1" t="str">
        <x:v>Ending trade and bills-payable days</x:v>
      </x:c>
      <x:c r="D24" s="2"/>
      <x:c r="E24" s="2"/>
      <x:c r="F24" s="2"/>
      <x:c r="G24" s="22" t="n">
        <x:v>98.21652841467773</x:v>
      </x:c>
      <x:c r="H24" s="22" t="n">
        <x:v>98.21652841467773</x:v>
      </x:c>
      <x:c r="I24" s="22" t="n">
        <x:v>98.21652841467773</x:v>
      </x:c>
    </x:row>
    <x:row r="25" ht="21" customHeight="1">
      <x:c r="C25" s="1" t="str">
        <x:v>Customer advances / revenue</x:v>
      </x:c>
      <x:c r="D25" s="2"/>
      <x:c r="E25" s="2"/>
      <x:c r="F25" s="2"/>
      <x:c r="G25" s="23" t="n">
        <x:v>0.04742258803956067</x:v>
      </x:c>
      <x:c r="H25" s="23" t="n">
        <x:v>0.04742258803956067</x:v>
      </x:c>
      <x:c r="I25" s="23" t="n">
        <x:v>0.04742258803956067</x:v>
      </x:c>
    </x:row>
    <x:row r="26" ht="21" customHeight="1">
      <x:c r="C26" s="1" t="str">
        <x:v>Finance-company deposit balance growth</x:v>
      </x:c>
      <x:c r="D26" s="2"/>
      <x:c r="E26" s="2"/>
      <x:c r="F26" s="2"/>
      <x:c r="G26" s="23" t="n">
        <x:v>0</x:v>
      </x:c>
      <x:c r="H26" s="23" t="n">
        <x:v>0</x:v>
      </x:c>
      <x:c r="I26" s="23" t="n">
        <x:v>0</x:v>
      </x:c>
    </x:row>
    <x:row r="27" ht="21" customHeight="1">
      <x:c r="C27" s="1" t="str">
        <x:v>Named other-asset balance growth</x:v>
      </x:c>
      <x:c r="D27" s="2"/>
      <x:c r="E27" s="2"/>
      <x:c r="F27" s="2"/>
      <x:c r="G27" s="23" t="n">
        <x:v>0</x:v>
      </x:c>
      <x:c r="H27" s="23" t="n">
        <x:v>0</x:v>
      </x:c>
      <x:c r="I27" s="23" t="n">
        <x:v>0</x:v>
      </x:c>
    </x:row>
    <x:row r="28" ht="21" customHeight="1">
      <x:c r="C28" s="1" t="str">
        <x:v>Named other-liability balance growth</x:v>
      </x:c>
      <x:c r="D28" s="2"/>
      <x:c r="E28" s="2"/>
      <x:c r="F28" s="2"/>
      <x:c r="G28" s="23" t="n">
        <x:v>0</x:v>
      </x:c>
      <x:c r="H28" s="23" t="n">
        <x:v>0</x:v>
      </x:c>
      <x:c r="I28" s="23" t="n">
        <x:v>0</x:v>
      </x:c>
    </x:row>
    <x:row r="29" ht="21" customHeight="1">
      <x:c r="C29" s="12" t="str">
        <x:v>Asset investment and depreciation</x:v>
      </x:c>
      <x:c r="D29" s="25"/>
      <x:c r="E29" s="25"/>
      <x:c r="F29" s="25"/>
      <x:c r="G29" s="25"/>
      <x:c r="H29" s="25"/>
      <x:c r="I29" s="25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 t="str">
        <x:v>Cash PPE / CIP capex / revenue</x:v>
      </x:c>
      <x:c r="D31" s="2"/>
      <x:c r="E31" s="2"/>
      <x:c r="F31" s="2"/>
      <x:c r="G31" s="23" t="n">
        <x:v>0.01667180205678054</x:v>
      </x:c>
      <x:c r="H31" s="23" t="n">
        <x:v>0.01667180205678054</x:v>
      </x:c>
      <x:c r="I31" s="23" t="n">
        <x:v>0.01667180205678054</x:v>
      </x:c>
    </x:row>
    <x:row r="32" ht="21" customHeight="1">
      <x:c r="C32" s="1" t="str">
        <x:v>Cash intangible / development capex / revenue</x:v>
      </x:c>
      <x:c r="D32" s="2"/>
      <x:c r="E32" s="2"/>
      <x:c r="F32" s="2"/>
      <x:c r="G32" s="23" t="n">
        <x:v>0.0018524224507533934</x:v>
      </x:c>
      <x:c r="H32" s="23" t="n">
        <x:v>0.0018524224507533934</x:v>
      </x:c>
      <x:c r="I32" s="23" t="n">
        <x:v>0.0018524224507533934</x:v>
      </x:c>
    </x:row>
    <x:row r="33" ht="21" customHeight="1">
      <x:c r="C33" s="1" t="str">
        <x:v>PPE blended depreciation rate</x:v>
      </x:c>
      <x:c r="D33" s="2"/>
      <x:c r="E33" s="2"/>
      <x:c r="F33" s="2"/>
      <x:c r="G33" s="23" t="n">
        <x:v>0.0662133979062416</x:v>
      </x:c>
      <x:c r="H33" s="23" t="n">
        <x:v>0.0662133979062416</x:v>
      </x:c>
      <x:c r="I33" s="23" t="n">
        <x:v>0.0662133979062416</x:v>
      </x:c>
    </x:row>
    <x:row r="34" ht="21" customHeight="1">
      <x:c r="C34" s="1" t="str">
        <x:v>Intangible blended amortization rate</x:v>
      </x:c>
      <x:c r="D34" s="2"/>
      <x:c r="E34" s="2"/>
      <x:c r="F34" s="2"/>
      <x:c r="G34" s="23" t="n">
        <x:v>0.0662133979062416</x:v>
      </x:c>
      <x:c r="H34" s="23" t="n">
        <x:v>0.0662133979062416</x:v>
      </x:c>
      <x:c r="I34" s="23" t="n">
        <x:v>0.0662133979062416</x:v>
      </x:c>
    </x:row>
    <x:row r="35" ht="21" customHeight="1">
      <x:c r="C35" s="1" t="str">
        <x:v>ROU blended depreciation rate</x:v>
      </x:c>
      <x:c r="D35" s="2"/>
      <x:c r="E35" s="2"/>
      <x:c r="F35" s="2"/>
      <x:c r="G35" s="23" t="n">
        <x:v>0.0662133979062416</x:v>
      </x:c>
      <x:c r="H35" s="23" t="n">
        <x:v>0.0662133979062416</x:v>
      </x:c>
      <x:c r="I35" s="23" t="n">
        <x:v>0.0662133979062416</x:v>
      </x:c>
    </x:row>
    <x:row r="36" ht="21" customHeight="1">
      <x:c r="C36" s="1" t="str">
        <x:v>New lease asset and liability</x:v>
      </x:c>
      <x:c r="D36" s="2"/>
      <x:c r="E36" s="2"/>
      <x:c r="F36" s="2"/>
      <x:c r="G36" s="22" t="n">
        <x:v>33.2607341265</x:v>
      </x:c>
      <x:c r="H36" s="22" t="n">
        <x:v>33.2607341265</x:v>
      </x:c>
      <x:c r="I36" s="22" t="n">
        <x:v>33.2607341265</x:v>
      </x:c>
    </x:row>
    <x:row r="37" ht="21" customHeight="1">
      <x:c r="C37" s="1" t="str">
        <x:v>Share of total D&amp;A in cost of revenue</x:v>
      </x:c>
      <x:c r="D37" s="2"/>
      <x:c r="E37" s="2"/>
      <x:c r="F37" s="2"/>
      <x:c r="G37" s="23" t="n">
        <x:v>0.8</x:v>
      </x:c>
      <x:c r="H37" s="23" t="n">
        <x:v>0.8</x:v>
      </x:c>
      <x:c r="I37" s="23" t="n">
        <x:v>0.8</x:v>
      </x:c>
    </x:row>
    <x:row r="38" ht="21" customHeight="1">
      <x:c r="C38" s="12" t="str">
        <x:v>Funding, distributions and tax</x:v>
      </x:c>
      <x:c r="D38" s="25"/>
      <x:c r="E38" s="25"/>
      <x:c r="F38" s="25"/>
      <x:c r="G38" s="25"/>
      <x:c r="H38" s="25"/>
      <x:c r="I38" s="25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 t="str">
        <x:v>New cash borrowing requested</x:v>
      </x:c>
      <x:c r="D40" s="2"/>
      <x:c r="E40" s="2"/>
      <x:c r="F40" s="2"/>
      <x:c r="G40" s="22" t="n">
        <x:v>0</x:v>
      </x:c>
      <x:c r="H40" s="22" t="n">
        <x:v>0</x:v>
      </x:c>
      <x:c r="I40" s="22" t="n">
        <x:v>0</x:v>
      </x:c>
    </x:row>
    <x:row r="41" ht="21" customHeight="1">
      <x:c r="C41" s="1" t="str">
        <x:v>Opening funding liabilities repayment fraction</x:v>
      </x:c>
      <x:c r="D41" s="2"/>
      <x:c r="E41" s="2"/>
      <x:c r="F41" s="2"/>
      <x:c r="G41" s="23" t="n">
        <x:v>0.2</x:v>
      </x:c>
      <x:c r="H41" s="23" t="n">
        <x:v>0.2</x:v>
      </x:c>
      <x:c r="I41" s="23" t="n">
        <x:v>0.2</x:v>
      </x:c>
    </x:row>
    <x:row r="42" ht="21" customHeight="1">
      <x:c r="C42" s="1" t="str">
        <x:v>Additional repayment requested</x:v>
      </x:c>
      <x:c r="D42" s="2"/>
      <x:c r="E42" s="2"/>
      <x:c r="F42" s="2"/>
      <x:c r="G42" s="22" t="n">
        <x:v>0</x:v>
      </x:c>
      <x:c r="H42" s="22" t="n">
        <x:v>0</x:v>
      </x:c>
      <x:c r="I42" s="22" t="n">
        <x:v>0</x:v>
      </x:c>
    </x:row>
    <x:row r="43" ht="21" customHeight="1">
      <x:c r="C43" s="1" t="str">
        <x:v>Parent and NCI dividend payout requested</x:v>
      </x:c>
      <x:c r="D43" s="2"/>
      <x:c r="E43" s="2"/>
      <x:c r="F43" s="2"/>
      <x:c r="G43" s="23" t="n">
        <x:v>0.75</x:v>
      </x:c>
      <x:c r="H43" s="23" t="n">
        <x:v>0.75</x:v>
      </x:c>
      <x:c r="I43" s="23" t="n">
        <x:v>0.75</x:v>
      </x:c>
    </x:row>
    <x:row r="44" ht="21" customHeight="1">
      <x:c r="C44" s="1" t="str">
        <x:v>Share repurchase requested</x:v>
      </x:c>
      <x:c r="D44" s="2"/>
      <x:c r="E44" s="2"/>
      <x:c r="F44" s="2"/>
      <x:c r="G44" s="22" t="n">
        <x:v>0</x:v>
      </x:c>
      <x:c r="H44" s="22" t="n">
        <x:v>0</x:v>
      </x:c>
      <x:c r="I44" s="22" t="n">
        <x:v>0</x:v>
      </x:c>
    </x:row>
    <x:row r="45" ht="21" customHeight="1">
      <x:c r="C45" s="1" t="str">
        <x:v>New equity cash proceeds</x:v>
      </x:c>
      <x:c r="D45" s="2"/>
      <x:c r="E45" s="2"/>
      <x:c r="F45" s="2"/>
      <x:c r="G45" s="22" t="n">
        <x:v>0</x:v>
      </x:c>
      <x:c r="H45" s="22" t="n">
        <x:v>0</x:v>
      </x:c>
      <x:c r="I45" s="22" t="n">
        <x:v>0</x:v>
      </x:c>
    </x:row>
    <x:row r="46" ht="21" customHeight="1">
      <x:c r="C46" s="1" t="str">
        <x:v>Non-cash share compensation expense / reserve</x:v>
      </x:c>
      <x:c r="D46" s="2"/>
      <x:c r="E46" s="2"/>
      <x:c r="F46" s="2"/>
      <x:c r="G46" s="22" t="n">
        <x:v>0</x:v>
      </x:c>
      <x:c r="H46" s="22" t="n">
        <x:v>0</x:v>
      </x:c>
      <x:c r="I46" s="22" t="n">
        <x:v>0</x:v>
      </x:c>
    </x:row>
    <x:row r="47" ht="21" customHeight="1">
      <x:c r="C47" s="1" t="str">
        <x:v>Current tax expense paid in current year</x:v>
      </x:c>
      <x:c r="D47" s="2"/>
      <x:c r="E47" s="2"/>
      <x:c r="F47" s="2"/>
      <x:c r="G47" s="23" t="n">
        <x:v>0.85</x:v>
      </x:c>
      <x:c r="H47" s="23" t="n">
        <x:v>0.85</x:v>
      </x:c>
      <x:c r="I47" s="23" t="n">
        <x:v>0.85</x:v>
      </x:c>
    </x:row>
    <x:row r="48" ht="21" customHeight="1">
      <x:c r="C48" s="1" t="str">
        <x:v>Opening taxes payable settlement fraction</x:v>
      </x:c>
      <x:c r="D48" s="2"/>
      <x:c r="E48" s="2"/>
      <x:c r="F48" s="2"/>
      <x:c r="G48" s="23" t="n">
        <x:v>1</x:v>
      </x:c>
      <x:c r="H48" s="23" t="n">
        <x:v>1</x:v>
      </x:c>
      <x:c r="I48" s="23" t="n">
        <x:v>1</x:v>
      </x:c>
    </x:row>
    <x:row r="49" ht="21" customHeight="1">
      <x:c r="C49" s="12" t="str">
        <x:v>Financial investment roll-forward</x:v>
      </x:c>
      <x:c r="D49" s="25"/>
      <x:c r="E49" s="25"/>
      <x:c r="F49" s="25"/>
      <x:c r="G49" s="25"/>
      <x:c r="H49" s="25"/>
      <x:c r="I49" s="25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 t="str">
        <x:v>Financial investments cash purchase requested</x:v>
      </x:c>
      <x:c r="D51" s="2"/>
      <x:c r="E51" s="2"/>
      <x:c r="F51" s="2"/>
      <x:c r="G51" s="22" t="n">
        <x:v>0</x:v>
      </x:c>
      <x:c r="H51" s="22" t="n">
        <x:v>0</x:v>
      </x:c>
      <x:c r="I51" s="22" t="n">
        <x:v>0</x:v>
      </x:c>
    </x:row>
    <x:row r="52" ht="21" customHeight="1">
      <x:c r="C52" s="1" t="str">
        <x:v>Financial investments redemption requested</x:v>
      </x:c>
      <x:c r="D52" s="2"/>
      <x:c r="E52" s="2"/>
      <x:c r="F52" s="2"/>
      <x:c r="G52" s="22" t="n">
        <x:v>0</x:v>
      </x:c>
      <x:c r="H52" s="22" t="n">
        <x:v>0</x:v>
      </x:c>
      <x:c r="I52" s="22" t="n">
        <x:v>0</x:v>
      </x:c>
    </x:row>
    <x:row r="53" ht="21" customHeight="1">
      <x:c r="C53" s="1" t="str">
        <x:v>Financial investments fair-value gain / (loss)</x:v>
      </x:c>
      <x:c r="D53" s="2"/>
      <x:c r="E53" s="2"/>
      <x:c r="F53" s="2"/>
      <x:c r="G53" s="22" t="n">
        <x:v>0</x:v>
      </x:c>
      <x:c r="H53" s="22" t="n">
        <x:v>0</x:v>
      </x:c>
      <x:c r="I53" s="22" t="n">
        <x:v>0</x:v>
      </x:c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 t="str">
        <x:v>Yellow / blue cells are editable forecasts, including LEAPs.</x:v>
      </x:c>
      <x:c r="D56" s="2"/>
      <x:c r="E56" s="2"/>
      <x:c r="F56" s="2"/>
      <x:c r="G56" s="2"/>
      <x:c r="H56" s="2"/>
      <x:c r="I56" s="2"/>
    </x:row>
    <x:row r="57" ht="21" customHeight="1">
      <x:c r="C57" s="1" t="str">
        <x:v>2026 segment growth applies to H2; 2027–2028 apply to full years.</x:v>
      </x:c>
      <x:c r="D57" s="2"/>
      <x:c r="E57" s="2"/>
      <x:c r="F57" s="2"/>
      <x:c r="G57" s="2"/>
      <x:c r="H57" s="2"/>
      <x:c r="I57" s="2"/>
    </x:row>
    <x:row r="58" ht="21" customHeight="1">
      <x:c r="C58" s="1" t="str">
        <x:v>D&amp;A split and capex allocation are LEAPs; source total is retained.</x:v>
      </x:c>
      <x:c r="D58" s="2"/>
      <x:c r="E58" s="2"/>
      <x:c r="F58" s="2"/>
      <x:c r="G58" s="2"/>
      <x:c r="H58" s="2"/>
      <x:c r="I58" s="2"/>
    </x:row>
    <x:row r="59" ht="21" customHeight="1">
      <x:c r="C59" s="1" t="str">
        <x:v>Funding combines borrowings and leases; repayment is capped.</x:v>
      </x:c>
      <x:c r="D59" s="2"/>
      <x:c r="E59" s="2"/>
      <x:c r="F59" s="2"/>
      <x:c r="G59" s="2"/>
      <x:c r="H59" s="2"/>
      <x:c r="I59" s="2"/>
    </x:row>
    <x:row r="60" ht="21" customHeight="1">
      <x:c r="C60" s="1" t="str">
        <x:v>Other pretax income is assumed cash; no earnings/BS calibration.</x:v>
      </x:c>
      <x:c r="D60" s="2"/>
      <x:c r="E60" s="2"/>
      <x:c r="F60" s="2"/>
      <x:c r="G60" s="2"/>
      <x:c r="H60" s="2"/>
      <x:c r="I60" s="2"/>
    </x:row>
    <x:row r="61" ht="21" customHeight="1">
      <x:c r="C61" s="1" t="str">
        <x:v>Taxes payable combine income and other taxes; settlement is a LEAP.</x:v>
      </x:c>
      <x:c r="D61" s="2"/>
      <x:c r="E61" s="2"/>
      <x:c r="F61" s="2"/>
      <x:c r="G61" s="2"/>
      <x:c r="H61" s="2"/>
      <x:c r="I61" s="2"/>
    </x:row>
    <x:row r="62" ht="21" customHeight="1">
      <x:c r="C62" s="1" t="str">
        <x:v>Share issue and SBC inputs are expected positive; invalid inputs flagged.</x:v>
      </x:c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 t="str">
        <x:v>茅台酒: Shipment growth</x:v>
      </x:c>
      <x:c r="D66" s="2"/>
      <x:c r="E66" s="2"/>
      <x:c r="F66" s="2"/>
      <x:c r="G66" s="23" t="n">
        <x:v>0.03</x:v>
      </x:c>
      <x:c r="H66" s="23" t="n">
        <x:v>0.03</x:v>
      </x:c>
      <x:c r="I66" s="23" t="n">
        <x:v>0.03</x:v>
      </x:c>
    </x:row>
    <x:row r="67" ht="21" customHeight="1">
      <x:c r="C67" s="1" t="str">
        <x:v>茅台酒: Net price and direct-channel mix</x:v>
      </x:c>
      <x:c r="D67" s="2"/>
      <x:c r="E67" s="2"/>
      <x:c r="F67" s="2"/>
      <x:c r="G67" s="23" t="n">
        <x:v>0</x:v>
      </x:c>
      <x:c r="H67" s="23" t="n">
        <x:v>0</x:v>
      </x:c>
      <x:c r="I67" s="23" t="n">
        <x:v>0</x:v>
      </x:c>
    </x:row>
    <x:row r="68" ht="21" customHeight="1">
      <x:c r="C68" s="1" t="str">
        <x:v>茅台酒: cash gross margin (LEAP)</x:v>
      </x:c>
      <x:c r="D68" s="2"/>
      <x:c r="E68" s="2"/>
      <x:c r="F68" s="26" t="n">
        <x:v>0.9459631634279133</x:v>
      </x:c>
      <x:c r="G68" s="30" t="n">
        <x:f>G10+($F68-$F$10)</x:f>
        <x:v>0.9459631634279133</x:v>
      </x:c>
      <x:c r="H68" s="30" t="n">
        <x:f>H10+($F68-$F$10)</x:f>
        <x:v>0.9459631634279133</x:v>
      </x:c>
      <x:c r="I68" s="30" t="n">
        <x:f>I10+($F68-$F$10)</x:f>
        <x:v>0.9459631634279133</x:v>
      </x:c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 t="str">
        <x:v>系列酒: Shipment growth</x:v>
      </x:c>
      <x:c r="D70" s="2"/>
      <x:c r="E70" s="2"/>
      <x:c r="F70" s="2"/>
      <x:c r="G70" s="23" t="n">
        <x:v>0.05</x:v>
      </x:c>
      <x:c r="H70" s="23" t="n">
        <x:v>0.05</x:v>
      </x:c>
      <x:c r="I70" s="23" t="n">
        <x:v>0.05</x:v>
      </x:c>
    </x:row>
    <x:row r="71" ht="21" customHeight="1">
      <x:c r="C71" s="1" t="str">
        <x:v>系列酒: Net price / premium product mix</x:v>
      </x:c>
      <x:c r="D71" s="2"/>
      <x:c r="E71" s="2"/>
      <x:c r="F71" s="2"/>
      <x:c r="G71" s="23" t="n">
        <x:v>0</x:v>
      </x:c>
      <x:c r="H71" s="23" t="n">
        <x:v>0</x:v>
      </x:c>
      <x:c r="I71" s="23" t="n">
        <x:v>0</x:v>
      </x:c>
    </x:row>
    <x:row r="72" ht="21" customHeight="1">
      <x:c r="C72" s="1" t="str">
        <x:v>系列酒: cash gross margin (LEAP)</x:v>
      </x:c>
      <x:c r="D72" s="2"/>
      <x:c r="E72" s="2"/>
      <x:c r="F72" s="26" t="n">
        <x:v>0.7718180787953144</x:v>
      </x:c>
      <x:c r="G72" s="30" t="n">
        <x:f>G10+($F72-$F$10)</x:f>
        <x:v>0.7718180787953144</x:v>
      </x:c>
      <x:c r="H72" s="30" t="n">
        <x:f>H10+($F72-$F$10)</x:f>
        <x:v>0.7718180787953144</x:v>
      </x:c>
      <x:c r="I72" s="30" t="n">
        <x:f>I10+($F72-$F$10)</x:f>
        <x:v>0.7718180787953144</x:v>
      </x:c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 t="str">
        <x:v>其他营业收入: Other activity growth</x:v>
      </x:c>
      <x:c r="D74" s="2"/>
      <x:c r="E74" s="2"/>
      <x:c r="F74" s="2"/>
      <x:c r="G74" s="23" t="n">
        <x:v>0</x:v>
      </x:c>
      <x:c r="H74" s="23" t="n">
        <x:v>0</x:v>
      </x:c>
      <x:c r="I74" s="23" t="n">
        <x:v>0</x:v>
      </x:c>
    </x:row>
    <x:row r="75" ht="21" customHeight="1">
      <x:c r="C75" s="1" t="str">
        <x:v>其他营业收入: Other yield</x:v>
      </x:c>
      <x:c r="D75" s="2"/>
      <x:c r="E75" s="2"/>
      <x:c r="F75" s="2"/>
      <x:c r="G75" s="23" t="n">
        <x:v>0</x:v>
      </x:c>
      <x:c r="H75" s="23" t="n">
        <x:v>0</x:v>
      </x:c>
      <x:c r="I75" s="23" t="n">
        <x:v>0</x:v>
      </x:c>
    </x:row>
    <x:row r="76" ht="21" customHeight="1">
      <x:c r="C76" s="1" t="str">
        <x:v>其他营业收入: cash gross margin (LEAP)</x:v>
      </x:c>
      <x:c r="D76" s="2"/>
      <x:c r="E76" s="2"/>
      <x:c r="F76" s="26" t="n">
        <x:v>-0.34919785538175707</x:v>
      </x:c>
      <x:c r="G76" s="30" t="n">
        <x:f>G10+($F76-$F$10)</x:f>
        <x:v>-0.34919785538175707</x:v>
      </x:c>
      <x:c r="H76" s="30" t="n">
        <x:f>H10+($F76-$F$10)</x:f>
        <x:v>-0.34919785538175707</x:v>
      </x:c>
      <x:c r="I76" s="30" t="n">
        <x:f>I10+($F76-$F$10)</x:f>
        <x:v>-0.34919785538175707</x:v>
      </x:c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贵州茅台 Kweichow Moutai</x:v>
      </x:c>
      <x:c r="D2" s="4"/>
      <x:c r="E2" s="4"/>
      <x:c r="F2" s="4"/>
      <x:c r="G2" s="4"/>
      <x:c r="H2" s="4"/>
      <x:c r="I2" s="4"/>
    </x:row>
    <x:row r="3" ht="21" customHeight="1">
      <x:c r="C3" s="5" t="str">
        <x:v>Operating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12" t="str">
        <x:v>茅台酒</x:v>
      </x:c>
      <x:c r="D10" s="25"/>
      <x:c r="E10" s="25"/>
      <x:c r="F10" s="25"/>
      <x:c r="G10" s="25"/>
      <x:c r="H10" s="25"/>
      <x:c r="I10" s="25"/>
    </x:row>
    <x:row r="11" ht="21" customHeight="1">
      <x:c r="C11" s="1" t="str">
        <x:v>Volume / activity growth</x:v>
      </x:c>
      <x:c r="D11" s="2"/>
      <x:c r="E11" s="2"/>
      <x:c r="F11" s="2"/>
      <x:c r="G11" s="31" t="n">
        <x:f>'Assumptions'!G66</x:f>
        <x:v>0.03</x:v>
      </x:c>
      <x:c r="H11" s="31" t="n">
        <x:f>'Assumptions'!H66</x:f>
        <x:v>0.03</x:v>
      </x:c>
      <x:c r="I11" s="31" t="n">
        <x:f>'Assumptions'!I66</x:f>
        <x:v>0.03</x:v>
      </x:c>
    </x:row>
    <x:row r="12" ht="21" customHeight="1">
      <x:c r="C12" s="1" t="str">
        <x:v>Segment revenue</x:v>
      </x:c>
      <x:c r="D12" s="2"/>
      <x:c r="E12" s="2"/>
      <x:c r="F12" s="2" t="n">
        <x:v>146499.90648049</x:v>
      </x:c>
      <x:c r="G12" s="19" t="n">
        <x:f>'Interim'!E16+($F12-'Interim'!D16)*(1+G11)*(1+G13)</x:f>
        <x:v>148729.80349621526</x:v>
      </x:c>
      <x:c r="H12" s="27" t="n">
        <x:f>G12*(1+H11)*(1+H13)</x:f>
        <x:v>153191.6976011017</x:v>
      </x:c>
      <x:c r="I12" s="27" t="n">
        <x:f>H12*(1+I11)*(1+I13)</x:f>
        <x:v>157787.44852913477</x:v>
      </x:c>
    </x:row>
    <x:row r="13" ht="21" customHeight="1">
      <x:c r="C13" s="1" t="str">
        <x:v>Net price / mix change</x:v>
      </x:c>
      <x:c r="D13" s="2"/>
      <x:c r="E13" s="2"/>
      <x:c r="F13" s="2"/>
      <x:c r="G13" s="31" t="n">
        <x:f>'Assumptions'!G67</x:f>
        <x:v>0</x:v>
      </x:c>
      <x:c r="H13" s="31" t="n">
        <x:f>'Assumptions'!H67</x:f>
        <x:v>0</x:v>
      </x:c>
      <x:c r="I13" s="31" t="n">
        <x:f>'Assumptions'!I67</x:f>
        <x:v>0</x:v>
      </x:c>
    </x:row>
    <x:row r="14" ht="21" customHeight="1">
      <x:c r="C14" s="1" t="str">
        <x:v>Cash gross margin before depreciation</x:v>
      </x:c>
      <x:c r="D14" s="2"/>
      <x:c r="E14" s="2"/>
      <x:c r="F14" s="2"/>
      <x:c r="G14" s="31" t="n">
        <x:f>'Assumptions'!G68</x:f>
        <x:v>0.9459631634279133</x:v>
      </x:c>
      <x:c r="H14" s="31" t="n">
        <x:f>'Assumptions'!H68</x:f>
        <x:v>0.9459631634279133</x:v>
      </x:c>
      <x:c r="I14" s="31" t="n">
        <x:f>'Assumptions'!I68</x:f>
        <x:v>0.9459631634279133</x:v>
      </x:c>
    </x:row>
    <x:row r="15" ht="21" customHeight="1">
      <x:c r="C15" s="1" t="str">
        <x:v>Cash cost of revenue</x:v>
      </x:c>
      <x:c r="D15" s="2"/>
      <x:c r="E15" s="2"/>
      <x:c r="F15" s="2"/>
      <x:c r="G15" s="27" t="n">
        <x:f>G12*(1-G14)</x:f>
        <x:v>8036.888084923551</x:v>
      </x:c>
      <x:c r="H15" s="27" t="n">
        <x:f>H12*(1-H14)</x:f>
        <x:v>8277.994727471258</x:v>
      </x:c>
      <x:c r="I15" s="27" t="n">
        <x:f>I12*(1-I14)</x:f>
        <x:v>8526.334569295395</x:v>
      </x:c>
    </x:row>
    <x:row r="16" ht="21" customHeight="1">
      <x:c r="C16" s="1" t="str">
        <x:v>SOURCE_FACT: moutai_FY2025 P010 L032</x:v>
      </x:c>
      <x:c r="D16" s="2"/>
      <x:c r="E16" s="2"/>
      <x:c r="F16" s="2"/>
      <x:c r="G16" s="2"/>
      <x:c r="H16" s="2"/>
      <x:c r="I16" s="2"/>
    </x:row>
    <x:row r="17" ht="21" customHeight="1">
      <x:c r="C17" s="1"/>
      <x:c r="D17" s="2"/>
      <x:c r="E17" s="2"/>
      <x:c r="F17" s="2"/>
      <x:c r="G17" s="2"/>
      <x:c r="H17" s="2"/>
      <x:c r="I17" s="2"/>
    </x:row>
    <x:row r="18" ht="21" customHeight="1">
      <x:c r="C18" s="12" t="str">
        <x:v>系列酒</x:v>
      </x:c>
      <x:c r="D18" s="25"/>
      <x:c r="E18" s="25"/>
      <x:c r="F18" s="25"/>
      <x:c r="G18" s="25"/>
      <x:c r="H18" s="25"/>
      <x:c r="I18" s="25"/>
    </x:row>
    <x:row r="19" ht="21" customHeight="1">
      <x:c r="C19" s="1" t="str">
        <x:v>Volume / activity growth</x:v>
      </x:c>
      <x:c r="D19" s="2"/>
      <x:c r="E19" s="2"/>
      <x:c r="F19" s="2"/>
      <x:c r="G19" s="31" t="n">
        <x:f>'Assumptions'!G70</x:f>
        <x:v>0.05</x:v>
      </x:c>
      <x:c r="H19" s="31" t="n">
        <x:f>'Assumptions'!H70</x:f>
        <x:v>0.05</x:v>
      </x:c>
      <x:c r="I19" s="31" t="n">
        <x:f>'Assumptions'!I70</x:f>
        <x:v>0.05</x:v>
      </x:c>
    </x:row>
    <x:row r="20" ht="21" customHeight="1">
      <x:c r="C20" s="1" t="str">
        <x:v>Segment revenue</x:v>
      </x:c>
      <x:c r="D20" s="2"/>
      <x:c r="E20" s="2"/>
      <x:c r="F20" s="2" t="n">
        <x:v>22274.67870716</x:v>
      </x:c>
      <x:c r="G20" s="19" t="n">
        <x:f>'Interim'!E17+($F20-'Interim'!D17)*(1+G19)*(1+G21)</x:f>
        <x:v>23939.878217479556</x:v>
      </x:c>
      <x:c r="H20" s="27" t="n">
        <x:f>G20*(1+H19)*(1+H21)</x:f>
        <x:v>25136.872128353534</x:v>
      </x:c>
      <x:c r="I20" s="27" t="n">
        <x:f>H20*(1+I19)*(1+I21)</x:f>
        <x:v>26393.715734771213</x:v>
      </x:c>
    </x:row>
    <x:row r="21" ht="21" customHeight="1">
      <x:c r="C21" s="1" t="str">
        <x:v>Net price / mix change</x:v>
      </x:c>
      <x:c r="D21" s="2"/>
      <x:c r="E21" s="2"/>
      <x:c r="F21" s="2"/>
      <x:c r="G21" s="31" t="n">
        <x:f>'Assumptions'!G71</x:f>
        <x:v>0</x:v>
      </x:c>
      <x:c r="H21" s="31" t="n">
        <x:f>'Assumptions'!H71</x:f>
        <x:v>0</x:v>
      </x:c>
      <x:c r="I21" s="31" t="n">
        <x:f>'Assumptions'!I71</x:f>
        <x:v>0</x:v>
      </x:c>
    </x:row>
    <x:row r="22" ht="21" customHeight="1">
      <x:c r="C22" s="1" t="str">
        <x:v>Cash gross margin before depreciation</x:v>
      </x:c>
      <x:c r="D22" s="2"/>
      <x:c r="E22" s="2"/>
      <x:c r="F22" s="2"/>
      <x:c r="G22" s="31" t="n">
        <x:f>'Assumptions'!G72</x:f>
        <x:v>0.7718180787953144</x:v>
      </x:c>
      <x:c r="H22" s="31" t="n">
        <x:f>'Assumptions'!H72</x:f>
        <x:v>0.7718180787953144</x:v>
      </x:c>
      <x:c r="I22" s="31" t="n">
        <x:f>'Assumptions'!I72</x:f>
        <x:v>0.7718180787953144</x:v>
      </x:c>
    </x:row>
    <x:row r="23" ht="21" customHeight="1">
      <x:c r="C23" s="1" t="str">
        <x:v>Cash cost of revenue</x:v>
      </x:c>
      <x:c r="D23" s="2"/>
      <x:c r="E23" s="2"/>
      <x:c r="F23" s="2"/>
      <x:c r="G23" s="27" t="n">
        <x:f>G20*(1-G22)</x:f>
        <x:v>5462.647405070689</x:v>
      </x:c>
      <x:c r="H23" s="27" t="n">
        <x:f>H20*(1-H22)</x:f>
        <x:v>5735.779775324224</x:v>
      </x:c>
      <x:c r="I23" s="27" t="n">
        <x:f>I20*(1-I22)</x:f>
        <x:v>6022.568764090435</x:v>
      </x:c>
    </x:row>
    <x:row r="24" ht="21" customHeight="1">
      <x:c r="C24" s="1" t="str">
        <x:v>SOURCE_FACT: moutai_FY2025 P010 L035</x:v>
      </x:c>
      <x:c r="D24" s="2"/>
      <x:c r="E24" s="2"/>
      <x:c r="F24" s="2"/>
      <x:c r="G24" s="2"/>
      <x:c r="H24" s="2"/>
      <x:c r="I24" s="2"/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2" t="str">
        <x:v>其他营业收入</x:v>
      </x:c>
      <x:c r="D26" s="25"/>
      <x:c r="E26" s="25"/>
      <x:c r="F26" s="25"/>
      <x:c r="G26" s="25"/>
      <x:c r="H26" s="25"/>
      <x:c r="I26" s="25"/>
    </x:row>
    <x:row r="27" ht="21" customHeight="1">
      <x:c r="C27" s="1" t="str">
        <x:v>Volume / activity growth</x:v>
      </x:c>
      <x:c r="D27" s="2"/>
      <x:c r="E27" s="2"/>
      <x:c r="F27" s="2"/>
      <x:c r="G27" s="31" t="n">
        <x:f>'Assumptions'!G74</x:f>
        <x:v>0</x:v>
      </x:c>
      <x:c r="H27" s="31" t="n">
        <x:f>'Assumptions'!H74</x:f>
        <x:v>0</x:v>
      </x:c>
      <x:c r="I27" s="31" t="n">
        <x:f>'Assumptions'!I74</x:f>
        <x:v>0</x:v>
      </x:c>
    </x:row>
    <x:row r="28" ht="21" customHeight="1">
      <x:c r="C28" s="1" t="str">
        <x:v>Segment revenue</x:v>
      </x:c>
      <x:c r="D28" s="2"/>
      <x:c r="E28" s="2"/>
      <x:c r="F28" s="2" t="n">
        <x:v>63.51732714002719</x:v>
      </x:c>
      <x:c r="G28" s="19" t="n">
        <x:f>'Interim'!E18+($F28-'Interim'!D18)*(1+G27)*(1+G29)</x:f>
        <x:v>74.52534995542209</x:v>
      </x:c>
      <x:c r="H28" s="27" t="n">
        <x:f>G28*(1+H27)*(1+H29)</x:f>
        <x:v>74.52534995542209</x:v>
      </x:c>
      <x:c r="I28" s="27" t="n">
        <x:f>H28*(1+I27)*(1+I29)</x:f>
        <x:v>74.52534995542209</x:v>
      </x:c>
    </x:row>
    <x:row r="29" ht="21" customHeight="1">
      <x:c r="C29" s="1" t="str">
        <x:v>Net price / mix change</x:v>
      </x:c>
      <x:c r="D29" s="2"/>
      <x:c r="E29" s="2"/>
      <x:c r="F29" s="2"/>
      <x:c r="G29" s="31" t="n">
        <x:f>'Assumptions'!G75</x:f>
        <x:v>0</x:v>
      </x:c>
      <x:c r="H29" s="31" t="n">
        <x:f>'Assumptions'!H75</x:f>
        <x:v>0</x:v>
      </x:c>
      <x:c r="I29" s="31" t="n">
        <x:f>'Assumptions'!I75</x:f>
        <x:v>0</x:v>
      </x:c>
    </x:row>
    <x:row r="30" ht="21" customHeight="1">
      <x:c r="C30" s="1" t="str">
        <x:v>Cash gross margin before depreciation</x:v>
      </x:c>
      <x:c r="D30" s="2"/>
      <x:c r="E30" s="2"/>
      <x:c r="F30" s="2"/>
      <x:c r="G30" s="31" t="n">
        <x:f>'Assumptions'!G76</x:f>
        <x:v>-0.34919785538175707</x:v>
      </x:c>
      <x:c r="H30" s="31" t="n">
        <x:f>'Assumptions'!H76</x:f>
        <x:v>-0.34919785538175707</x:v>
      </x:c>
      <x:c r="I30" s="31" t="n">
        <x:f>'Assumptions'!I76</x:f>
        <x:v>-0.34919785538175707</x:v>
      </x:c>
    </x:row>
    <x:row r="31" ht="21" customHeight="1">
      <x:c r="C31" s="1" t="str">
        <x:v>Cash cost of revenue</x:v>
      </x:c>
      <x:c r="D31" s="2"/>
      <x:c r="E31" s="2"/>
      <x:c r="F31" s="2"/>
      <x:c r="G31" s="27" t="n">
        <x:f>G28*(1-G30)</x:f>
        <x:v>100.54944233143041</x:v>
      </x:c>
      <x:c r="H31" s="27" t="n">
        <x:f>H28*(1-H30)</x:f>
        <x:v>100.54944233143041</x:v>
      </x:c>
      <x:c r="I31" s="27" t="n">
        <x:f>I28*(1-I30)</x:f>
        <x:v>100.54944233143041</x:v>
      </x:c>
    </x:row>
    <x:row r="32" ht="21" customHeight="1">
      <x:c r="C32" s="1" t="str">
        <x:v>MODEL_RESULT: moutai_FY2025 annual consolidated revenue less named reported product revenue</x:v>
      </x:c>
      <x:c r="D32" s="2"/>
      <x:c r="E32" s="2"/>
      <x:c r="F32" s="2"/>
      <x:c r="G32" s="2"/>
      <x:c r="H32" s="2"/>
      <x:c r="I32" s="2"/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/>
      <x:c r="D34" s="2"/>
      <x:c r="E34" s="2"/>
      <x:c r="F34" s="2"/>
      <x:c r="G34" s="2"/>
      <x:c r="H34" s="2"/>
      <x:c r="I34" s="2"/>
    </x:row>
    <x:row r="35" ht="21" customHeight="1">
      <x:c r="C35" s="1"/>
      <x:c r="D35" s="2"/>
      <x:c r="E35" s="2"/>
      <x:c r="F35" s="2"/>
      <x:c r="G35" s="2"/>
      <x:c r="H35" s="2"/>
      <x:c r="I35" s="2"/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34" t="str">
        <x:v>Total revenue</x:v>
      </x:c>
      <x:c r="D38" s="35"/>
      <x:c r="E38" s="35"/>
      <x:c r="F38" s="36" t="n">
        <x:f>F12+F20+F28</x:f>
        <x:v>168838.10251479002</x:v>
      </x:c>
      <x:c r="G38" s="36" t="n">
        <x:f>G12+G20+G28</x:f>
        <x:v>172744.20706365025</x:v>
      </x:c>
      <x:c r="H38" s="36" t="n">
        <x:f>H12+H20+H28</x:f>
        <x:v>178403.09507941068</x:v>
      </x:c>
      <x:c r="I38" s="36" t="n">
        <x:f>I12+I20+I28</x:f>
        <x:v>184255.6896138614</x:v>
      </x:c>
    </x:row>
    <x:row r="39" ht="21" customHeight="1">
      <x:c r="C39" s="1" t="str">
        <x:v>Total cash cost of revenue</x:v>
      </x:c>
      <x:c r="D39" s="2"/>
      <x:c r="E39" s="2"/>
      <x:c r="F39" s="2"/>
      <x:c r="G39" s="27" t="n">
        <x:f>G15+G23+G31</x:f>
        <x:v>13600.08493232567</x:v>
      </x:c>
      <x:c r="H39" s="27" t="n">
        <x:f>H15+H23+H31</x:f>
        <x:v>14114.323945126911</x:v>
      </x:c>
      <x:c r="I39" s="27" t="n">
        <x:f>I15+I23+I31</x:f>
        <x:v>14649.452775717262</x:v>
      </x:c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贵州茅台 Kweichow Moutai</x:v>
      </x:c>
      <x:c r="D2" s="4"/>
      <x:c r="E2" s="4"/>
      <x:c r="F2" s="4"/>
      <x:c r="G2" s="4"/>
      <x:c r="H2" s="4"/>
      <x:c r="I2" s="4"/>
    </x:row>
    <x:row r="3" ht="21" customHeight="1">
      <x:c r="C3" s="5" t="str">
        <x:v>Statements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2" t="str">
        <x:v>Income statement</x:v>
      </x:c>
      <x:c r="D8" s="25"/>
      <x:c r="E8" s="25"/>
      <x:c r="F8" s="25"/>
      <x:c r="G8" s="25"/>
      <x:c r="H8" s="25"/>
      <x:c r="I8" s="25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34" t="str">
        <x:v>Revenue</x:v>
      </x:c>
      <x:c r="D10" s="37" t="n">
        <x:f>'SourceFacts'!D9</x:f>
        <x:v>147693.60499414</x:v>
      </x:c>
      <x:c r="E10" s="37" t="n">
        <x:f>'SourceFacts'!E9</x:f>
        <x:v>170899.15227634</x:v>
      </x:c>
      <x:c r="F10" s="37" t="n">
        <x:f>'SourceFacts'!F9</x:f>
        <x:v>168838.10251479002</x:v>
      </x:c>
      <x:c r="G10" s="37" t="n">
        <x:f>'Operating'!G38</x:f>
        <x:v>172744.20706365025</x:v>
      </x:c>
      <x:c r="H10" s="37" t="n">
        <x:f>'Operating'!H38</x:f>
        <x:v>178403.09507941068</x:v>
      </x:c>
      <x:c r="I10" s="37" t="n">
        <x:f>'Operating'!I38</x:f>
        <x:v>184255.6896138614</x:v>
      </x:c>
    </x:row>
    <x:row r="11" ht="21" customHeight="1">
      <x:c r="C11" s="1" t="str">
        <x:v>Cost of revenue including D&amp;A</x:v>
      </x:c>
      <x:c r="D11" s="19" t="n">
        <x:f>'SourceFacts'!D10</x:f>
        <x:v>11867.27385178</x:v>
      </x:c>
      <x:c r="E11" s="19" t="n">
        <x:f>'SourceFacts'!E10</x:f>
        <x:v>13789.48236798</x:v>
      </x:c>
      <x:c r="F11" s="19" t="n">
        <x:f>'SourceFacts'!F10</x:f>
        <x:v>14892.27757091</x:v>
      </x:c>
      <x:c r="G11" s="19" t="n">
        <x:f>'Operating'!G39+G20*'Assumptions'!G37</x:f>
        <x:v>15493.227388816436</x:v>
      </x:c>
      <x:c r="H11" s="19" t="n">
        <x:f>'Operating'!H39+H20*'Assumptions'!H37</x:f>
        <x:v>16056.157000808234</x:v>
      </x:c>
      <x:c r="I11" s="19" t="n">
        <x:f>'Operating'!I39+I20*'Assumptions'!I37</x:f>
        <x:v>16642.40023264974</x:v>
      </x:c>
    </x:row>
    <x:row r="12" ht="21" customHeight="1">
      <x:c r="C12" s="34" t="str">
        <x:v>Gross profit</x:v>
      </x:c>
      <x:c r="D12" s="36" t="n">
        <x:f>D10-D11</x:f>
        <x:v>135826.33114236002</x:v>
      </x:c>
      <x:c r="E12" s="36" t="n">
        <x:f>E10-E11</x:f>
        <x:v>157109.66990836</x:v>
      </x:c>
      <x:c r="F12" s="36" t="n">
        <x:f>F10-F11</x:f>
        <x:v>153945.82494388003</x:v>
      </x:c>
      <x:c r="G12" s="36" t="n">
        <x:f>G10-G11</x:f>
        <x:v>157250.9796748338</x:v>
      </x:c>
      <x:c r="H12" s="36" t="n">
        <x:f>H10-H11</x:f>
        <x:v>162346.93807860243</x:v>
      </x:c>
      <x:c r="I12" s="36" t="n">
        <x:f>I10-I11</x:f>
        <x:v>167613.28938121168</x:v>
      </x:c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 t="str">
        <x:v>Selling expenses</x:v>
      </x:c>
      <x:c r="D14" s="19" t="n">
        <x:f>'SourceFacts'!D11</x:f>
        <x:v>4648.61358582</x:v>
      </x:c>
      <x:c r="E14" s="19" t="n">
        <x:f>'SourceFacts'!E11</x:f>
        <x:v>5639.3000594899995</x:v>
      </x:c>
      <x:c r="F14" s="19" t="n">
        <x:f>'SourceFacts'!F11</x:f>
        <x:v>7253.49960068</x:v>
      </x:c>
      <x:c r="G14" s="19" t="n">
        <x:f>G10*'Assumptions'!G11</x:f>
        <x:v>7421.31081961318</x:v>
      </x:c>
      <x:c r="H14" s="19" t="n">
        <x:f>H10*'Assumptions'!H11</x:f>
        <x:v>7664.423845353418</x:v>
      </x:c>
      <x:c r="I14" s="19" t="n">
        <x:f>I10*'Assumptions'!I11</x:f>
        <x:v>7915.858749479172</x:v>
      </x:c>
    </x:row>
    <x:row r="15" ht="21" customHeight="1">
      <x:c r="C15" s="1" t="str">
        <x:v>Administrative expenses incl D&amp;A and SBC</x:v>
      </x:c>
      <x:c r="D15" s="19" t="n">
        <x:f>'SourceFacts'!D12</x:f>
        <x:v>9729.38925231</x:v>
      </x:c>
      <x:c r="E15" s="19" t="n">
        <x:f>'SourceFacts'!E12</x:f>
        <x:v>9315.65006038</x:v>
      </x:c>
      <x:c r="F15" s="19" t="n">
        <x:f>'SourceFacts'!F12</x:f>
        <x:v>8320.06165966</x:v>
      </x:c>
      <x:c r="G15" s="19" t="n">
        <x:f>G10*'Assumptions'!G12+G20*(1-'Assumptions'!G37)+'FundingTaxEquity'!G60</x:f>
        <x:v>8523.50193878961</x:v>
      </x:c>
      <x:c r="H15" s="19" t="n">
        <x:f>H10*'Assumptions'!H12+H20*(1-'Assumptions'!H37)+'FundingTaxEquity'!H60</x:f>
        <x:v>8799.389786093994</x:v>
      </x:c>
      <x:c r="I15" s="19" t="n">
        <x:f>I10*'Assumptions'!I12+I20*(1-'Assumptions'!I37)+'FundingTaxEquity'!I60</x:f>
        <x:v>9084.910684766643</x:v>
      </x:c>
    </x:row>
    <x:row r="16" ht="21" customHeight="1">
      <x:c r="C16" s="1" t="str">
        <x:v>Research and development</x:v>
      </x:c>
      <x:c r="D16" s="19" t="n">
        <x:f>'SourceFacts'!D13</x:f>
        <x:v>157.37187301</x:v>
      </x:c>
      <x:c r="E16" s="19" t="n">
        <x:f>'SourceFacts'!E13</x:f>
        <x:v>218.37547287</x:v>
      </x:c>
      <x:c r="F16" s="19" t="n">
        <x:f>'SourceFacts'!F13</x:f>
        <x:v>190.11224658</x:v>
      </x:c>
      <x:c r="G16" s="19" t="n">
        <x:f>G10*'Assumptions'!G13</x:f>
        <x:v>194.51053286786635</x:v>
      </x:c>
      <x:c r="H16" s="19" t="n">
        <x:f>H10*'Assumptions'!H13</x:f>
        <x:v>200.882458978127</x:v>
      </x:c>
      <x:c r="I16" s="19" t="n">
        <x:f>I10*'Assumptions'!I13</x:f>
        <x:v>207.4724992515824</x:v>
      </x:c>
    </x:row>
    <x:row r="17" ht="21" customHeight="1">
      <x:c r="C17" s="1" t="str">
        <x:v>Business taxes and surcharges</x:v>
      </x:c>
      <x:c r="D17" s="19" t="n">
        <x:f>'SourceFacts'!D14</x:f>
        <x:v>22234.1758986</x:v>
      </x:c>
      <x:c r="E17" s="19" t="n">
        <x:f>'SourceFacts'!E14</x:f>
        <x:v>26926.16147499</x:v>
      </x:c>
      <x:c r="F17" s="19" t="n">
        <x:f>'SourceFacts'!F14</x:f>
        <x:v>27354.22768488</x:v>
      </x:c>
      <x:c r="G17" s="19" t="n">
        <x:f>G10*'Assumptions'!G14</x:f>
        <x:v>27987.073420522567</x:v>
      </x:c>
      <x:c r="H17" s="19" t="n">
        <x:f>H10*'Assumptions'!H14</x:f>
        <x:v>28903.895565054725</x:v>
      </x:c>
      <x:c r="I17" s="19" t="n">
        <x:f>I10*'Assumptions'!I14</x:f>
        <x:v>29852.10098230422</x:v>
      </x:c>
    </x:row>
    <x:row r="18" ht="21" customHeight="1">
      <x:c r="C18" s="1" t="str">
        <x:v>Other cash operating / pretax income</x:v>
      </x:c>
      <x:c r="D18" s="19" t="n">
        <x:f>'SourceFacts'!D17</x:f>
        <x:v>2816.269455709986</x:v>
      </x:c>
      <x:c r="E18" s="19" t="n">
        <x:f>'SourceFacts'!E17</x:f>
        <x:v>3158.1754904899976</x:v>
      </x:c>
      <x:c r="F18" s="19" t="n">
        <x:f>'SourceFacts'!F17</x:f>
        <x:v>3112.0975682799753</x:v>
      </x:c>
      <x:c r="G18" s="19" t="n">
        <x:f>G10*'Assumptions'!G15</x:f>
        <x:v>3184.096591527059</x:v>
      </x:c>
      <x:c r="H18" s="19" t="n">
        <x:f>H10*'Assumptions'!H15</x:f>
        <x:v>3288.4036843615927</x:v>
      </x:c>
      <x:c r="I18" s="19" t="n">
        <x:f>I10*'Assumptions'!I15</x:f>
        <x:v>3396.281260261247</x:v>
      </x:c>
    </x:row>
    <x:row r="19" ht="21" customHeight="1">
      <x:c r="C19" s="34" t="str">
        <x:v>Operating earnings before financing</x:v>
      </x:c>
      <x:c r="D19" s="36" t="n">
        <x:f>D23+D22</x:f>
        <x:v>101873.04998832999</x:v>
      </x:c>
      <x:c r="E19" s="36" t="n">
        <x:f>E23+E22</x:f>
        <x:v>118168.35833112</x:v>
      </x:c>
      <x:c r="F19" s="36" t="n">
        <x:f>F23+F22</x:f>
        <x:v>113940.02132036</x:v>
      </x:c>
      <x:c r="G19" s="36" t="n">
        <x:f>G12-SUM(G14:G17)+G18</x:f>
        <x:v>116308.67955456764</x:v>
      </x:c>
      <x:c r="H19" s="36" t="n">
        <x:f>H12-SUM(H14:H17)+H18</x:f>
        <x:v>120066.75010748375</x:v>
      </x:c>
      <x:c r="I19" s="36" t="n">
        <x:f>I12-SUM(I14:I17)+I18</x:f>
        <x:v>123949.22772567131</x:v>
      </x:c>
    </x:row>
    <x:row r="20" ht="21" customHeight="1">
      <x:c r="C20" s="1" t="str">
        <x:v>Depreciation and amortization</x:v>
      </x:c>
      <x:c r="D20" s="2"/>
      <x:c r="E20" s="19" t="n">
        <x:f>'SourceFacts'!E23</x:f>
        <x:v>2085.0196151200003</x:v>
      </x:c>
      <x:c r="F20" s="19" t="n">
        <x:f>'SourceFacts'!F23</x:f>
        <x:v>2259.38705428</x:v>
      </x:c>
      <x:c r="G20" s="19" t="n">
        <x:f>'FixedAssets'!G39</x:f>
        <x:v>2366.4280706134587</x:v>
      </x:c>
      <x:c r="H20" s="19" t="n">
        <x:f>'FixedAssets'!H39</x:f>
        <x:v>2427.291319601654</x:v>
      </x:c>
      <x:c r="I20" s="19" t="n">
        <x:f>'FixedAssets'!I39</x:f>
        <x:v>2491.184321165595</x:v>
      </x:c>
    </x:row>
    <x:row r="21" ht="21" customHeight="1">
      <x:c r="C21" s="34" t="str">
        <x:v>EBITDA proxy (see definition below)</x:v>
      </x:c>
      <x:c r="D21" s="35"/>
      <x:c r="E21" s="36" t="n">
        <x:f>E19+E20</x:f>
        <x:v>120253.37794624001</x:v>
      </x:c>
      <x:c r="F21" s="36" t="n">
        <x:f>F19+F20</x:f>
        <x:v>116199.40837464</x:v>
      </x:c>
      <x:c r="G21" s="36" t="n">
        <x:f>G19+G20</x:f>
        <x:v>118675.1076251811</x:v>
      </x:c>
      <x:c r="H21" s="36" t="n">
        <x:f>H19+H20</x:f>
        <x:v>122494.04142708541</x:v>
      </x:c>
      <x:c r="I21" s="36" t="n">
        <x:f>I19+I20</x:f>
        <x:v>126440.41204683691</x:v>
      </x:c>
    </x:row>
    <x:row r="22" ht="21" customHeight="1">
      <x:c r="C22" s="1" t="str">
        <x:v>Net finance expense less investment FV gain</x:v>
      </x:c>
      <x:c r="D22" s="19" t="n">
        <x:f>'SourceFacts'!D15</x:f>
        <x:v>-1789.50370148</x:v>
      </x:c>
      <x:c r="E22" s="19" t="n">
        <x:f>'SourceFacts'!E15</x:f>
        <x:v>-1470.2198633399998</x:v>
      </x:c>
      <x:c r="F22" s="19" t="n">
        <x:f>'SourceFacts'!F15</x:f>
        <x:v>-815.24028472</x:v>
      </x:c>
      <x:c r="G22" s="19" t="n">
        <x:f>'FundingTaxEquity'!G19-F31*'Assumptions'!G16-'FundingTaxEquity'!G29</x:f>
        <x:v>-612.4430569479325</x:v>
      </x:c>
      <x:c r="H22" s="19" t="n">
        <x:f>'FundingTaxEquity'!H19-G31*'Assumptions'!H16-'FundingTaxEquity'!H29</x:f>
        <x:v>-690.1571737431532</x:v>
      </x:c>
      <x:c r="I22" s="19" t="n">
        <x:f>'FundingTaxEquity'!I19-H31*'Assumptions'!I16-'FundingTaxEquity'!I29</x:f>
        <x:v>-789.0815708037487</x:v>
      </x:c>
    </x:row>
    <x:row r="23" ht="21" customHeight="1">
      <x:c r="C23" s="34" t="str">
        <x:v>Profit before tax</x:v>
      </x:c>
      <x:c r="D23" s="37" t="n">
        <x:f>'SourceFacts'!D18</x:f>
        <x:v>103662.55368981</x:v>
      </x:c>
      <x:c r="E23" s="37" t="n">
        <x:f>'SourceFacts'!E18</x:f>
        <x:v>119638.57819446</x:v>
      </x:c>
      <x:c r="F23" s="37" t="n">
        <x:f>'SourceFacts'!F18</x:f>
        <x:v>114755.26160508</x:v>
      </x:c>
      <x:c r="G23" s="36" t="n">
        <x:f>G19-G22</x:f>
        <x:v>116921.12261151557</x:v>
      </x:c>
      <x:c r="H23" s="36" t="n">
        <x:f>H19-H22</x:f>
        <x:v>120756.9072812269</x:v>
      </x:c>
      <x:c r="I23" s="36" t="n">
        <x:f>I19-I22</x:f>
        <x:v>124738.30929647507</x:v>
      </x:c>
    </x:row>
    <x:row r="24" ht="21" customHeight="1">
      <x:c r="C24" s="1" t="str">
        <x:v>Income tax expense</x:v>
      </x:c>
      <x:c r="D24" s="19" t="n">
        <x:f>'SourceFacts'!D19</x:f>
        <x:v>26141.07741201</x:v>
      </x:c>
      <x:c r="E24" s="19" t="n">
        <x:f>'SourceFacts'!E19</x:f>
        <x:v>30303.850168560002</x:v>
      </x:c>
      <x:c r="F24" s="19" t="n">
        <x:f>'SourceFacts'!F19</x:f>
        <x:v>29444.93677141</x:v>
      </x:c>
      <x:c r="G24" s="19" t="n">
        <x:f>MAX(0,G23)*'Assumptions'!G18</x:f>
        <x:v>29316.839176364865</x:v>
      </x:c>
      <x:c r="H24" s="19" t="n">
        <x:f>MAX(0,H23)*'Assumptions'!H18</x:f>
        <x:v>30278.62503477414</x:v>
      </x:c>
      <x:c r="I24" s="19" t="n">
        <x:f>MAX(0,I23)*'Assumptions'!I18</x:f>
        <x:v>31276.923032350755</x:v>
      </x:c>
    </x:row>
    <x:row r="25" ht="21" customHeight="1">
      <x:c r="C25" s="34" t="str">
        <x:v>Consolidated net income</x:v>
      </x:c>
      <x:c r="D25" s="37" t="n">
        <x:f>'SourceFacts'!D20</x:f>
        <x:v>77521.4762778</x:v>
      </x:c>
      <x:c r="E25" s="37" t="n">
        <x:f>'SourceFacts'!E20</x:f>
        <x:v>89334.7280259</x:v>
      </x:c>
      <x:c r="F25" s="37" t="n">
        <x:f>'SourceFacts'!F20</x:f>
        <x:v>85310.32483367</x:v>
      </x:c>
      <x:c r="G25" s="36" t="n">
        <x:f>G23-G24</x:f>
        <x:v>87604.2834351507</x:v>
      </x:c>
      <x:c r="H25" s="36" t="n">
        <x:f>H23-H24</x:f>
        <x:v>90478.28224645276</x:v>
      </x:c>
      <x:c r="I25" s="36" t="n">
        <x:f>I23-I24</x:f>
        <x:v>93461.38626412432</x:v>
      </x:c>
    </x:row>
    <x:row r="26" ht="21" customHeight="1">
      <x:c r="C26" s="1" t="str">
        <x:v>Net income attributable to parent</x:v>
      </x:c>
      <x:c r="D26" s="19" t="n">
        <x:f>'SourceFacts'!D21</x:f>
        <x:v>74734.07155075</x:v>
      </x:c>
      <x:c r="E26" s="19" t="n">
        <x:f>'SourceFacts'!E21</x:f>
        <x:v>86228.14642162</x:v>
      </x:c>
      <x:c r="F26" s="19" t="n">
        <x:f>'SourceFacts'!F21</x:f>
        <x:v>82320.06710167999</x:v>
      </x:c>
      <x:c r="G26" s="27" t="n">
        <x:f>G25-G27</x:f>
        <x:v>84533.6189357698</x:v>
      </x:c>
      <x:c r="H26" s="27" t="n">
        <x:f>H25-H27</x:f>
        <x:v>87306.87968067742</x:v>
      </x:c>
      <x:c r="I26" s="27" t="n">
        <x:f>I25-I27</x:f>
        <x:v>90185.42132712879</x:v>
      </x:c>
    </x:row>
    <x:row r="27" ht="21" customHeight="1">
      <x:c r="C27" s="1" t="str">
        <x:v>Net income attributable to NCI</x:v>
      </x:c>
      <x:c r="D27" s="19" t="n">
        <x:f>'SourceFacts'!D22</x:f>
        <x:v>2787.40472705</x:v>
      </x:c>
      <x:c r="E27" s="19" t="n">
        <x:f>'SourceFacts'!E22</x:f>
        <x:v>3106.58160428</x:v>
      </x:c>
      <x:c r="F27" s="19" t="n">
        <x:f>'SourceFacts'!F22</x:f>
        <x:v>2990.2577319899997</x:v>
      </x:c>
      <x:c r="G27" s="19" t="n">
        <x:f>G25*'Assumptions'!G19</x:f>
        <x:v>3070.6644993808954</x:v>
      </x:c>
      <x:c r="H27" s="19" t="n">
        <x:f>H25*'Assumptions'!H19</x:f>
        <x:v>3171.4025657753414</x:v>
      </x:c>
      <x:c r="I27" s="19" t="n">
        <x:f>I25*'Assumptions'!I19</x:f>
        <x:v>3275.9649369955273</x:v>
      </x:c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2" t="str">
        <x:v>Balance sheet</x:v>
      </x:c>
      <x:c r="D29" s="25"/>
      <x:c r="E29" s="25"/>
      <x:c r="F29" s="25"/>
      <x:c r="G29" s="25"/>
      <x:c r="H29" s="25"/>
      <x:c r="I29" s="25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 t="str">
        <x:v>Cash and cash equivalents</x:v>
      </x:c>
      <x:c r="D31" s="19" t="n">
        <x:f>'SourceFacts'!D29</x:f>
        <x:v>150360.18895247</x:v>
      </x:c>
      <x:c r="E31" s="19" t="n">
        <x:f>'SourceFacts'!E29</x:f>
        <x:v>169970.08925783</x:v>
      </x:c>
      <x:c r="F31" s="19" t="n">
        <x:f>'SourceFacts'!F29</x:f>
        <x:v>126425.60944772</x:v>
      </x:c>
      <x:c r="G31" s="27" t="n">
        <x:f>G81</x:f>
        <x:v>141911.75131158595</x:v>
      </x:c>
      <x:c r="H31" s="27" t="n">
        <x:f>H81</x:f>
        <x:v>161702.45582593585</x:v>
      </x:c>
      <x:c r="I31" s="27" t="n">
        <x:f>I81</x:f>
        <x:v>182116.22769314598</x:v>
      </x:c>
    </x:row>
    <x:row r="32" ht="21" customHeight="1">
      <x:c r="C32" s="1" t="str">
        <x:v>Monetary balances outside cash equivalents</x:v>
      </x:c>
      <x:c r="D32" s="19" t="n">
        <x:f>'SourceFacts'!D32</x:f>
        <x:v>24263.783886229998</x:v>
      </x:c>
      <x:c r="E32" s="19" t="n">
        <x:f>'SourceFacts'!E32</x:f>
        <x:v>16513.026997230016</x:v>
      </x:c>
      <x:c r="F32" s="19" t="n">
        <x:f>'SourceFacts'!F32</x:f>
        <x:v>24361.189558529994</x:v>
      </x:c>
      <x:c r="G32" s="27" t="n">
        <x:f>F32</x:f>
        <x:v>24361.189558529994</x:v>
      </x:c>
      <x:c r="H32" s="27" t="n">
        <x:f>G32</x:f>
        <x:v>24361.189558529994</x:v>
      </x:c>
      <x:c r="I32" s="27" t="n">
        <x:f>H32</x:f>
        <x:v>24361.189558529994</x:v>
      </x:c>
    </x:row>
    <x:row r="33" ht="21" customHeight="1">
      <x:c r="C33" s="1" t="str">
        <x:v>Receivables, bills and contract assets</x:v>
      </x:c>
      <x:c r="D33" s="19" t="n">
        <x:f>'SourceFacts'!D33</x:f>
        <x:v>74.30685041</x:v>
      </x:c>
      <x:c r="E33" s="19" t="n">
        <x:f>'SourceFacts'!E33</x:f>
        <x:v>2003.38216025</x:v>
      </x:c>
      <x:c r="F33" s="19" t="n">
        <x:f>'SourceFacts'!F33</x:f>
        <x:v>4459.67320865</x:v>
      </x:c>
      <x:c r="G33" s="19" t="n">
        <x:f>'WorkingCapital'!G11</x:f>
        <x:v>4562.848674064934</x:v>
      </x:c>
      <x:c r="H33" s="19" t="n">
        <x:f>'WorkingCapital'!H11</x:f>
        <x:v>4712.321991395224</x:v>
      </x:c>
      <x:c r="I33" s="19" t="n">
        <x:f>'WorkingCapital'!I11</x:f>
        <x:v>4866.911853858853</x:v>
      </x:c>
    </x:row>
    <x:row r="34" ht="21" customHeight="1">
      <x:c r="C34" s="1" t="str">
        <x:v>Inventory</x:v>
      </x:c>
      <x:c r="D34" s="19" t="n">
        <x:f>'SourceFacts'!D34</x:f>
        <x:v>46435.18506153</x:v>
      </x:c>
      <x:c r="E34" s="19" t="n">
        <x:f>'SourceFacts'!E34</x:f>
        <x:v>54343.28515747</x:v>
      </x:c>
      <x:c r="F34" s="19" t="n">
        <x:f>'SourceFacts'!F34</x:f>
        <x:v>61427.42179618</x:v>
      </x:c>
      <x:c r="G34" s="19" t="n">
        <x:f>'WorkingCapital'!G17</x:f>
        <x:v>63906.209729530376</x:v>
      </x:c>
      <x:c r="H34" s="19" t="n">
        <x:f>'WorkingCapital'!H17</x:f>
        <x:v>66228.17254231907</x:v>
      </x:c>
      <x:c r="I34" s="19" t="n">
        <x:f>'WorkingCapital'!I17</x:f>
        <x:v>68646.29899114562</x:v>
      </x:c>
    </x:row>
    <x:row r="35" ht="21" customHeight="1">
      <x:c r="C35" s="1" t="str">
        <x:v>PPE / construction / investment property</x:v>
      </x:c>
      <x:c r="D35" s="19" t="n">
        <x:f>'SourceFacts'!D35</x:f>
        <x:v>22050.88390175</x:v>
      </x:c>
      <x:c r="E35" s="19" t="n">
        <x:f>'SourceFacts'!E35</x:f>
        <x:v>24028.691852019998</x:v>
      </x:c>
      <x:c r="F35" s="19" t="n">
        <x:f>'SourceFacts'!F35</x:f>
        <x:v>24963.11637749</x:v>
      </x:c>
      <x:c r="G35" s="19" t="n">
        <x:f>'FixedAssets'!G14</x:f>
        <x:v>26094.834969528532</x:v>
      </x:c>
      <x:c r="H35" s="19" t="n">
        <x:f>'FixedAssets'!H14</x:f>
        <x:v>27242.839075175194</x:v>
      </x:c>
      <x:c r="I35" s="19" t="n">
        <x:f>'FixedAssets'!I14</x:f>
        <x:v>28409.172895984226</x:v>
      </x:c>
    </x:row>
    <x:row r="36" ht="21" customHeight="1">
      <x:c r="C36" s="1" t="str">
        <x:v>Intangibles and deferred costs</x:v>
      </x:c>
      <x:c r="D36" s="19" t="n">
        <x:f>'SourceFacts'!D36</x:f>
        <x:v>8950.34179947</x:v>
      </x:c>
      <x:c r="E36" s="19" t="n">
        <x:f>'SourceFacts'!E36</x:f>
        <x:v>9100.83465927</x:v>
      </x:c>
      <x:c r="F36" s="19" t="n">
        <x:f>'SourceFacts'!F36</x:f>
        <x:v>8937.95325149</x:v>
      </x:c>
      <x:c r="G36" s="19" t="n">
        <x:f>'FixedAssets'!G24</x:f>
        <x:v>8655.54225746183</x:v>
      </x:c>
      <x:c r="H36" s="19" t="n">
        <x:f>'FixedAssets'!H24</x:f>
        <x:v>8401.966260183306</x:v>
      </x:c>
      <x:c r="I36" s="19" t="n">
        <x:f>'FixedAssets'!I24</x:f>
        <x:v>8175.662943290674</x:v>
      </x:c>
    </x:row>
    <x:row r="37" ht="21" customHeight="1">
      <x:c r="C37" s="1" t="str">
        <x:v>Right-of-use assets</x:v>
      </x:c>
      <x:c r="D37" s="19" t="n">
        <x:f>'SourceFacts'!D37</x:f>
        <x:v>314.20548456</x:v>
      </x:c>
      <x:c r="E37" s="19" t="n">
        <x:f>'SourceFacts'!E37</x:f>
        <x:v>410.59417353</x:v>
      </x:c>
      <x:c r="F37" s="19" t="n">
        <x:f>'SourceFacts'!F37</x:f>
        <x:v>221.73822751</x:v>
      </x:c>
      <x:c r="G37" s="19" t="n">
        <x:f>'FixedAssets'!G34</x:f>
        <x:v>239.2157670356698</x:v>
      </x:c>
      <x:c r="H37" s="19" t="n">
        <x:f>'FixedAssets'!H34</x:f>
        <x:v>255.5360592823044</x:v>
      </x:c>
      <x:c r="I37" s="19" t="n">
        <x:f>'FixedAssets'!I34</x:f>
        <x:v>270.7757295244664</x:v>
      </x:c>
    </x:row>
    <x:row r="38" ht="21" customHeight="1">
      <x:c r="C38" s="1" t="str">
        <x:v>Financial investments / finance-company loans</x:v>
      </x:c>
      <x:c r="D38" s="19" t="n">
        <x:f>'SourceFacts'!D38</x:f>
        <x:v>15361.822107840002</x:v>
      </x:c>
      <x:c r="E38" s="19" t="n">
        <x:f>'SourceFacts'!E38</x:f>
        <x:v>16605.16568545</x:v>
      </x:c>
      <x:c r="F38" s="19" t="n">
        <x:f>'SourceFacts'!F38</x:f>
        <x:v>46166.25439342001</x:v>
      </x:c>
      <x:c r="G38" s="19" t="n">
        <x:f>'FundingTaxEquity'!G31</x:f>
        <x:v>46166.25439342001</x:v>
      </x:c>
      <x:c r="H38" s="19" t="n">
        <x:f>'FundingTaxEquity'!H31</x:f>
        <x:v>46166.25439342001</x:v>
      </x:c>
      <x:c r="I38" s="19" t="n">
        <x:f>'FundingTaxEquity'!I31</x:f>
        <x:v>46166.25439342001</x:v>
      </x:c>
    </x:row>
    <x:row r="39" ht="21" customHeight="1">
      <x:c r="C39" s="1" t="str">
        <x:v>Other assets (named in SourceBS)</x:v>
      </x:c>
      <x:c r="D39" s="19" t="n">
        <x:f>'SourceFacts'!D39</x:f>
        <x:v>4888.942047990001</x:v>
      </x:c>
      <x:c r="E39" s="19" t="n">
        <x:f>'SourceFacts'!E39</x:f>
        <x:v>5969.50997565</x:v>
      </x:c>
      <x:c r="F39" s="19" t="n">
        <x:f>'SourceFacts'!F39</x:f>
        <x:v>6871.88776045</x:v>
      </x:c>
      <x:c r="G39" s="19" t="n">
        <x:f>'WorkingCapital'!G41</x:f>
        <x:v>6871.88776045</x:v>
      </x:c>
      <x:c r="H39" s="19" t="n">
        <x:f>'WorkingCapital'!H41</x:f>
        <x:v>6871.88776045</x:v>
      </x:c>
      <x:c r="I39" s="19" t="n">
        <x:f>'WorkingCapital'!I41</x:f>
        <x:v>6871.88776045</x:v>
      </x:c>
    </x:row>
    <x:row r="40" ht="21" customHeight="1">
      <x:c r="C40" s="34" t="str">
        <x:v>Total assets</x:v>
      </x:c>
      <x:c r="D40" s="37" t="n">
        <x:f>'SourceFacts'!D40</x:f>
        <x:v>272699.66009225</x:v>
      </x:c>
      <x:c r="E40" s="37" t="n">
        <x:f>'SourceFacts'!E40</x:f>
        <x:v>298944.57991870004</x:v>
      </x:c>
      <x:c r="F40" s="37" t="n">
        <x:f>'SourceFacts'!F40</x:f>
        <x:v>303834.84402144</x:v>
      </x:c>
      <x:c r="G40" s="36" t="n">
        <x:f>SUM(G31:G39)</x:f>
        <x:v>322769.73442160734</x:v>
      </x:c>
      <x:c r="H40" s="36" t="n">
        <x:f>SUM(H31:H39)</x:f>
        <x:v>345942.62346669094</x:v>
      </x:c>
      <x:c r="I40" s="36" t="n">
        <x:f>SUM(I31:I39)</x:f>
        <x:v>369884.3818193498</x:v>
      </x:c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 t="str">
        <x:v>Trade and bills payables</x:v>
      </x:c>
      <x:c r="D42" s="19" t="n">
        <x:f>'SourceFacts'!D41</x:f>
        <x:v>3093.09110367</x:v>
      </x:c>
      <x:c r="E42" s="19" t="n">
        <x:f>'SourceFacts'!E41</x:f>
        <x:v>3514.96923031</x:v>
      </x:c>
      <x:c r="F42" s="19" t="n">
        <x:f>'SourceFacts'!F41</x:f>
        <x:v>4007.30904987</x:v>
      </x:c>
      <x:c r="G42" s="19" t="n">
        <x:f>'WorkingCapital'!G23</x:f>
        <x:v>4169.016460462336</x:v>
      </x:c>
      <x:c r="H42" s="19" t="n">
        <x:f>'WorkingCapital'!H23</x:f>
        <x:v>4320.493151507969</x:v>
      </x:c>
      <x:c r="I42" s="19" t="n">
        <x:f>'WorkingCapital'!I23</x:f>
        <x:v>4478.243220105431</x:v>
      </x:c>
    </x:row>
    <x:row r="43" ht="21" customHeight="1">
      <x:c r="C43" s="1" t="str">
        <x:v>Contract liabilities and customer advances</x:v>
      </x:c>
      <x:c r="D43" s="19" t="n">
        <x:f>'SourceFacts'!D42</x:f>
        <x:v>14125.755802290001</x:v>
      </x:c>
      <x:c r="E43" s="19" t="n">
        <x:f>'SourceFacts'!E42</x:f>
        <x:v>9592.45301466</x:v>
      </x:c>
      <x:c r="F43" s="19" t="n">
        <x:f>'SourceFacts'!F42</x:f>
        <x:v>8006.73978094</x:v>
      </x:c>
      <x:c r="G43" s="19" t="n">
        <x:f>'WorkingCapital'!G29</x:f>
        <x:v>8191.977367800052</x:v>
      </x:c>
      <x:c r="H43" s="19" t="n">
        <x:f>'WorkingCapital'!H29</x:f>
        <x:v>8460.336482933466</x:v>
      </x:c>
      <x:c r="I43" s="19" t="n">
        <x:f>'WorkingCapital'!I29</x:f>
        <x:v>8737.881662503307</x:v>
      </x:c>
    </x:row>
    <x:row r="44" ht="21" customHeight="1">
      <x:c r="C44" s="1" t="str">
        <x:v>Borrowings and lease liabilities</x:v>
      </x:c>
      <x:c r="D44" s="19" t="n">
        <x:f>'SourceFacts'!D43</x:f>
        <x:v>323.69111352</x:v>
      </x:c>
      <x:c r="E44" s="19" t="n">
        <x:f>'SourceFacts'!E43</x:f>
        <x:v>425.85752796</x:v>
      </x:c>
      <x:c r="F44" s="19" t="n">
        <x:f>'SourceFacts'!F43</x:f>
        <x:v>233.71117982</x:v>
      </x:c>
      <x:c r="G44" s="19" t="n">
        <x:f>'FundingTaxEquity'!G18</x:f>
        <x:v>220.22967798250002</x:v>
      </x:c>
      <x:c r="H44" s="19" t="n">
        <x:f>'FundingTaxEquity'!H18</x:f>
        <x:v>209.44447651250002</x:v>
      </x:c>
      <x:c r="I44" s="19" t="n">
        <x:f>'FundingTaxEquity'!I18</x:f>
        <x:v>200.81631533650003</x:v>
      </x:c>
    </x:row>
    <x:row r="45" ht="21" customHeight="1">
      <x:c r="C45" s="1" t="str">
        <x:v>Taxes payable</x:v>
      </x:c>
      <x:c r="D45" s="19" t="n">
        <x:f>'SourceFacts'!D44</x:f>
        <x:v>6949.66389387</x:v>
      </x:c>
      <x:c r="E45" s="19" t="n">
        <x:f>'SourceFacts'!E44</x:f>
        <x:v>7717.686541380001</x:v>
      </x:c>
      <x:c r="F45" s="19" t="n">
        <x:f>'SourceFacts'!F44</x:f>
        <x:v>7697.16983069</x:v>
      </x:c>
      <x:c r="G45" s="19" t="n">
        <x:f>'FundingTaxEquity'!G38</x:f>
        <x:v>4397.525876454725</x:v>
      </x:c>
      <x:c r="H45" s="19" t="n">
        <x:f>'FundingTaxEquity'!H38</x:f>
        <x:v>4541.793755216117</x:v>
      </x:c>
      <x:c r="I45" s="19" t="n">
        <x:f>'FundingTaxEquity'!I38</x:f>
        <x:v>4691.538454852609</x:v>
      </x:c>
    </x:row>
    <x:row r="46" ht="21" customHeight="1">
      <x:c r="C46" s="1" t="str">
        <x:v>Finance-company customer deposits</x:v>
      </x:c>
      <x:c r="D46" s="19" t="n">
        <x:f>'SourceFacts'!D45</x:f>
        <x:v>12034.49290995</x:v>
      </x:c>
      <x:c r="E46" s="19" t="n">
        <x:f>'SourceFacts'!E45</x:f>
        <x:v>23102.858820970003</x:v>
      </x:c>
      <x:c r="F46" s="19" t="n">
        <x:f>'SourceFacts'!F45</x:f>
        <x:v>18038.3837763</x:v>
      </x:c>
      <x:c r="G46" s="19" t="n">
        <x:f>'WorkingCapital'!G35</x:f>
        <x:v>18038.3837763</x:v>
      </x:c>
      <x:c r="H46" s="19" t="n">
        <x:f>'WorkingCapital'!H35</x:f>
        <x:v>18038.3837763</x:v>
      </x:c>
      <x:c r="I46" s="19" t="n">
        <x:f>'WorkingCapital'!I35</x:f>
        <x:v>18038.3837763</x:v>
      </x:c>
    </x:row>
    <x:row r="47" ht="21" customHeight="1">
      <x:c r="C47" s="1" t="str">
        <x:v>Other liabilities (named in SourceBS)</x:v>
      </x:c>
      <x:c r="D47" s="19" t="n">
        <x:f>'SourceFacts'!D46</x:f>
        <x:v>12516.495974129999</x:v>
      </x:c>
      <x:c r="E47" s="19" t="n">
        <x:f>'SourceFacts'!E46</x:f>
        <x:v>12579.43966282</x:v>
      </x:c>
      <x:c r="F47" s="19" t="n">
        <x:f>'SourceFacts'!F46</x:f>
        <x:v>11892.27649475</x:v>
      </x:c>
      <x:c r="G47" s="19" t="n">
        <x:f>'WorkingCapital'!G47</x:f>
        <x:v>11892.27649475</x:v>
      </x:c>
      <x:c r="H47" s="19" t="n">
        <x:f>'WorkingCapital'!H47</x:f>
        <x:v>11892.27649475</x:v>
      </x:c>
      <x:c r="I47" s="19" t="n">
        <x:f>'WorkingCapital'!I47</x:f>
        <x:v>11892.27649475</x:v>
      </x:c>
    </x:row>
    <x:row r="48" ht="21" customHeight="1">
      <x:c r="C48" s="34" t="str">
        <x:v>Total liabilities</x:v>
      </x:c>
      <x:c r="D48" s="37" t="n">
        <x:f>'SourceFacts'!D47</x:f>
        <x:v>49043.19079743</x:v>
      </x:c>
      <x:c r="E48" s="37" t="n">
        <x:f>'SourceFacts'!E47</x:f>
        <x:v>56933.2647981</x:v>
      </x:c>
      <x:c r="F48" s="37" t="n">
        <x:f>'SourceFacts'!F47</x:f>
        <x:v>49875.59011237</x:v>
      </x:c>
      <x:c r="G48" s="36" t="n">
        <x:f>SUM(G42:G47)</x:f>
        <x:v>46909.40965374961</x:v>
      </x:c>
      <x:c r="H48" s="36" t="n">
        <x:f>SUM(H42:H47)</x:f>
        <x:v>47462.72813722005</x:v>
      </x:c>
      <x:c r="I48" s="36" t="n">
        <x:f>SUM(I42:I47)</x:f>
        <x:v>48039.13992384785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 t="str">
        <x:v>Retained earnings</x:v>
      </x:c>
      <x:c r="D50" s="19" t="n">
        <x:f>'SourceFacts'!D48</x:f>
        <x:v>172983.17830009</x:v>
      </x:c>
      <x:c r="E50" s="19" t="n">
        <x:f>'SourceFacts'!E48</x:f>
        <x:v>182787.41520505</x:v>
      </x:c>
      <x:c r="F50" s="19" t="n">
        <x:f>'SourceFacts'!F48</x:f>
        <x:v>191905.14883221</x:v>
      </x:c>
      <x:c r="G50" s="19" t="n">
        <x:f>'FundingTaxEquity'!G48</x:f>
        <x:v>213038.5535661524</x:v>
      </x:c>
      <x:c r="H50" s="19" t="n">
        <x:f>'FundingTaxEquity'!H48</x:f>
        <x:v>234865.2734863218</x:v>
      </x:c>
      <x:c r="I50" s="19" t="n">
        <x:f>'FundingTaxEquity'!I48</x:f>
        <x:v>257411.62881810399</x:v>
      </x:c>
    </x:row>
    <x:row r="51" ht="21" customHeight="1">
      <x:c r="C51" s="1" t="str">
        <x:v>Share capital and other reserves</x:v>
      </x:c>
      <x:c r="D51" s="27" t="n">
        <x:f>D53-D50-D52</x:f>
        <x:v>42685.39330734002</x:v>
      </x:c>
      <x:c r="E51" s="27" t="n">
        <x:f>E53-E50-E52</x:f>
        <x:v>50318.56919442002</x:v>
      </x:c>
      <x:c r="F51" s="27" t="n">
        <x:f>F53-F50-F52</x:f>
        <x:v>52732.66219997003</x:v>
      </x:c>
      <x:c r="G51" s="19" t="n">
        <x:f>'FundingTaxEquity'!G61</x:f>
        <x:v>52732.66219997003</x:v>
      </x:c>
      <x:c r="H51" s="19" t="n">
        <x:f>'FundingTaxEquity'!H61</x:f>
        <x:v>52732.66219997003</x:v>
      </x:c>
      <x:c r="I51" s="19" t="n">
        <x:f>'FundingTaxEquity'!I61</x:f>
        <x:v>52732.66219997003</x:v>
      </x:c>
    </x:row>
    <x:row r="52" ht="21" customHeight="1">
      <x:c r="C52" s="1" t="str">
        <x:v>Non-controlling interests</x:v>
      </x:c>
      <x:c r="D52" s="19" t="n">
        <x:f>'SourceFacts'!D49</x:f>
        <x:v>7987.89768739</x:v>
      </x:c>
      <x:c r="E52" s="19" t="n">
        <x:f>'SourceFacts'!E49</x:f>
        <x:v>8905.33072113</x:v>
      </x:c>
      <x:c r="F52" s="19" t="n">
        <x:f>'SourceFacts'!F49</x:f>
        <x:v>9321.44287689</x:v>
      </x:c>
      <x:c r="G52" s="19" t="n">
        <x:f>'FundingTaxEquity'!G55</x:f>
        <x:v>10089.109001735224</x:v>
      </x:c>
      <x:c r="H52" s="19" t="n">
        <x:f>'FundingTaxEquity'!H55</x:f>
        <x:v>10881.959643179058</x:v>
      </x:c>
      <x:c r="I52" s="19" t="n">
        <x:f>'FundingTaxEquity'!I55</x:f>
        <x:v>11700.95087742794</x:v>
      </x:c>
    </x:row>
    <x:row r="53" ht="21" customHeight="1">
      <x:c r="C53" s="34" t="str">
        <x:v>Total equity</x:v>
      </x:c>
      <x:c r="D53" s="37" t="n">
        <x:f>'SourceFacts'!D50</x:f>
        <x:v>223656.46929482</x:v>
      </x:c>
      <x:c r="E53" s="37" t="n">
        <x:f>'SourceFacts'!E50</x:f>
        <x:v>242011.31512060002</x:v>
      </x:c>
      <x:c r="F53" s="37" t="n">
        <x:f>'SourceFacts'!F50</x:f>
        <x:v>253959.25390907002</x:v>
      </x:c>
      <x:c r="G53" s="36" t="n">
        <x:f>SUM(G50:G52)</x:f>
        <x:v>275860.3247678577</x:v>
      </x:c>
      <x:c r="H53" s="36" t="n">
        <x:f>SUM(H50:H52)</x:f>
        <x:v>298479.8953294709</x:v>
      </x:c>
      <x:c r="I53" s="36" t="n">
        <x:f>SUM(I50:I52)</x:f>
        <x:v>321845.24189550197</x:v>
      </x:c>
    </x:row>
    <x:row r="54" ht="21" customHeight="1">
      <x:c r="C54" s="34" t="str">
        <x:v>Liabilities and equity</x:v>
      </x:c>
      <x:c r="D54" s="36" t="n">
        <x:f>D48+D53</x:f>
        <x:v>272699.66009225</x:v>
      </x:c>
      <x:c r="E54" s="36" t="n">
        <x:f>E48+E53</x:f>
        <x:v>298944.57991870004</x:v>
      </x:c>
      <x:c r="F54" s="36" t="n">
        <x:f>F48+F53</x:f>
        <x:v>303834.84402144</x:v>
      </x:c>
      <x:c r="G54" s="36" t="n">
        <x:f>G48+G53</x:f>
        <x:v>322769.7344216073</x:v>
      </x:c>
      <x:c r="H54" s="36" t="n">
        <x:f>H48+H53</x:f>
        <x:v>345942.623466691</x:v>
      </x:c>
      <x:c r="I54" s="36" t="n">
        <x:f>I48+I53</x:f>
        <x:v>369884.38181934983</x:v>
      </x:c>
    </x:row>
    <x:row r="55" ht="21" customHeight="1">
      <x:c r="C55" s="34" t="str">
        <x:v>Balance sheet difference</x:v>
      </x:c>
      <x:c r="D55" s="36" t="n">
        <x:f>D40-D54</x:f>
        <x:v>0</x:v>
      </x:c>
      <x:c r="E55" s="36" t="n">
        <x:f>E40-E54</x:f>
        <x:v>0</x:v>
      </x:c>
      <x:c r="F55" s="36" t="n">
        <x:f>F40-F54</x:f>
        <x:v>0</x:v>
      </x:c>
      <x:c r="G55" s="36" t="n">
        <x:f>G40-G54</x:f>
        <x:v>5.820766091346741e-11</x:v>
      </x:c>
      <x:c r="H55" s="36" t="n">
        <x:f>H40-H54</x:f>
        <x:v>-5.820766091346741e-11</x:v>
      </x:c>
      <x:c r="I55" s="36" t="n">
        <x:f>I40-I54</x:f>
        <x:v>-5.820766091346741e-11</x:v>
      </x:c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2" t="str">
        <x:v>Cash flow statement</x:v>
      </x:c>
      <x:c r="D57" s="25"/>
      <x:c r="E57" s="25"/>
      <x:c r="F57" s="25"/>
      <x:c r="G57" s="25"/>
      <x:c r="H57" s="25"/>
      <x:c r="I57" s="25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 t="str">
        <x:v>Consolidated net income</x:v>
      </x:c>
      <x:c r="D59" s="19" t="n">
        <x:f>'SourceFacts'!D20</x:f>
        <x:v>77521.4762778</x:v>
      </x:c>
      <x:c r="E59" s="19" t="n">
        <x:f>'SourceFacts'!E20</x:f>
        <x:v>89334.7280259</x:v>
      </x:c>
      <x:c r="F59" s="19" t="n">
        <x:f>'SourceFacts'!F20</x:f>
        <x:v>85310.32483367</x:v>
      </x:c>
      <x:c r="G59" s="27" t="n">
        <x:f>G25</x:f>
        <x:v>87604.2834351507</x:v>
      </x:c>
      <x:c r="H59" s="27" t="n">
        <x:f>H25</x:f>
        <x:v>90478.28224645276</x:v>
      </x:c>
      <x:c r="I59" s="27" t="n">
        <x:f>I25</x:f>
        <x:v>93461.38626412432</x:v>
      </x:c>
    </x:row>
    <x:row r="60" ht="21" customHeight="1">
      <x:c r="C60" s="1" t="str">
        <x:v>Add depreciation and amortization</x:v>
      </x:c>
      <x:c r="D60" s="2"/>
      <x:c r="E60" s="19" t="n">
        <x:f>'SourceFacts'!E23</x:f>
        <x:v>2085.0196151200003</x:v>
      </x:c>
      <x:c r="F60" s="19" t="n">
        <x:f>'SourceFacts'!F23</x:f>
        <x:v>2259.38705428</x:v>
      </x:c>
      <x:c r="G60" s="27" t="n">
        <x:f>G20</x:f>
        <x:v>2366.4280706134587</x:v>
      </x:c>
      <x:c r="H60" s="27" t="n">
        <x:f>H20</x:f>
        <x:v>2427.291319601654</x:v>
      </x:c>
      <x:c r="I60" s="27" t="n">
        <x:f>I20</x:f>
        <x:v>2491.184321165595</x:v>
      </x:c>
    </x:row>
    <x:row r="61" ht="21" customHeight="1">
      <x:c r="C61" s="1" t="str">
        <x:v>Add non-cash share compensation</x:v>
      </x:c>
      <x:c r="D61" s="2"/>
      <x:c r="E61" s="2"/>
      <x:c r="F61" s="2"/>
      <x:c r="G61" s="19" t="n">
        <x:f>'FundingTaxEquity'!G60</x:f>
        <x:v>0</x:v>
      </x:c>
      <x:c r="H61" s="19" t="n">
        <x:f>'FundingTaxEquity'!H60</x:f>
        <x:v>0</x:v>
      </x:c>
      <x:c r="I61" s="19" t="n">
        <x:f>'FundingTaxEquity'!I60</x:f>
        <x:v>0</x:v>
      </x:c>
    </x:row>
    <x:row r="62" ht="21" customHeight="1">
      <x:c r="C62" s="1" t="str">
        <x:v>Reverse financial investment FV gain / loss</x:v>
      </x:c>
      <x:c r="D62" s="2"/>
      <x:c r="E62" s="2"/>
      <x:c r="F62" s="2"/>
      <x:c r="G62" s="19" t="n">
        <x:f>-'FundingTaxEquity'!G29</x:f>
        <x:v>0</x:v>
      </x:c>
      <x:c r="H62" s="19" t="n">
        <x:f>-'FundingTaxEquity'!H29</x:f>
        <x:v>0</x:v>
      </x:c>
      <x:c r="I62" s="19" t="n">
        <x:f>-'FundingTaxEquity'!I29</x:f>
        <x:v>0</x:v>
      </x:c>
    </x:row>
    <x:row r="63" ht="21" customHeight="1">
      <x:c r="C63" s="1" t="str">
        <x:v>Tax accrual less cash settlement</x:v>
      </x:c>
      <x:c r="D63" s="2"/>
      <x:c r="E63" s="2"/>
      <x:c r="F63" s="2"/>
      <x:c r="G63" s="19" t="n">
        <x:f>G24-'FundingTaxEquity'!G37</x:f>
        <x:v>-3299.643954235271</x:v>
      </x:c>
      <x:c r="H63" s="19" t="n">
        <x:f>H24-'FundingTaxEquity'!H37</x:f>
        <x:v>144.26787876139497</x:v>
      </x:c>
      <x:c r="I63" s="19" t="n">
        <x:f>I24-'FundingTaxEquity'!I37</x:f>
        <x:v>149.74469963649608</x:v>
      </x:c>
    </x:row>
    <x:row r="64" ht="21" customHeight="1">
      <x:c r="C64" s="1" t="str">
        <x:v>Change in operating assets and liabilities</x:v>
      </x:c>
      <x:c r="D64" s="2"/>
      <x:c r="E64" s="2"/>
      <x:c r="F64" s="2"/>
      <x:c r="G64" s="19" t="n">
        <x:f>-'WorkingCapital'!G12-'WorkingCapital'!G18+'WorkingCapital'!G24+'WorkingCapital'!G30+'WorkingCapital'!G36-'WorkingCapital'!G42+'WorkingCapital'!G48</x:f>
        <x:v>-2235.0184013129197</x:v>
      </x:c>
      <x:c r="H64" s="19" t="n">
        <x:f>-'WorkingCapital'!H12-'WorkingCapital'!H18+'WorkingCapital'!H24+'WorkingCapital'!H30+'WorkingCapital'!H36-'WorkingCapital'!H42+'WorkingCapital'!H48</x:f>
        <x:v>-2051.6003239399333</x:v>
      </x:c>
      <x:c r="I64" s="19" t="n">
        <x:f>-'WorkingCapital'!I12-'WorkingCapital'!I18+'WorkingCapital'!I24+'WorkingCapital'!I30+'WorkingCapital'!I36-'WorkingCapital'!I42+'WorkingCapital'!I48</x:f>
        <x:v>-2137.4210631228843</x:v>
      </x:c>
    </x:row>
    <x:row r="65" ht="21" customHeight="1">
      <x:c r="C65" s="34" t="str">
        <x:v>Net operating cash flow</x:v>
      </x:c>
      <x:c r="D65" s="37" t="n">
        <x:f>'SourceFacts'!D24</x:f>
        <x:v>66593.24772109</x:v>
      </x:c>
      <x:c r="E65" s="37" t="n">
        <x:f>'SourceFacts'!E24</x:f>
        <x:v>92463.69216842999</x:v>
      </x:c>
      <x:c r="F65" s="37" t="n">
        <x:f>'SourceFacts'!F24</x:f>
        <x:v>61522.20498935</x:v>
      </x:c>
      <x:c r="G65" s="36" t="n">
        <x:f>SUM(G59:G64)</x:f>
        <x:v>84436.04915021597</x:v>
      </x:c>
      <x:c r="H65" s="36" t="n">
        <x:f>SUM(H59:H64)</x:f>
        <x:v>90998.24112087589</x:v>
      </x:c>
      <x:c r="I65" s="36" t="n">
        <x:f>SUM(I59:I64)</x:f>
        <x:v>93964.89422180354</x:v>
      </x:c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 t="str">
        <x:v>Cash capex</x:v>
      </x:c>
      <x:c r="D67" s="19" t="n">
        <x:f>-'SourceFacts'!D30</x:f>
        <x:v>-2619.75588879</x:v>
      </x:c>
      <x:c r="E67" s="19" t="n">
        <x:f>-'SourceFacts'!E30</x:f>
        <x:v>-4678.712053560001</x:v>
      </x:c>
      <x:c r="F67" s="19" t="n">
        <x:f>-'SourceFacts'!F30</x:f>
        <x:v>-3127.5949164099998</x:v>
      </x:c>
      <x:c r="G67" s="19" t="n">
        <x:f>-'FixedAssets'!G40</x:f>
        <x:v>-3199.9524740229863</x:v>
      </x:c>
      <x:c r="H67" s="19" t="n">
        <x:f>-'FixedAssets'!H40</x:f>
        <x:v>-3304.778986089926</x:v>
      </x:c>
      <x:c r="I67" s="19" t="n">
        <x:f>-'FixedAssets'!I40</x:f>
        <x:v>-3413.1937611976578</x:v>
      </x:c>
    </x:row>
    <x:row r="68" ht="21" customHeight="1">
      <x:c r="C68" s="1" t="str">
        <x:v>Financial investments purchases / redemptions</x:v>
      </x:c>
      <x:c r="D68" s="2"/>
      <x:c r="E68" s="2"/>
      <x:c r="F68" s="2"/>
      <x:c r="G68" s="19" t="n">
        <x:f>-'FundingTaxEquity'!G24+'FundingTaxEquity'!G26</x:f>
        <x:v>0</x:v>
      </x:c>
      <x:c r="H68" s="19" t="n">
        <x:f>-'FundingTaxEquity'!H24+'FundingTaxEquity'!H26</x:f>
        <x:v>0</x:v>
      </x:c>
      <x:c r="I68" s="19" t="n">
        <x:f>-'FundingTaxEquity'!I24+'FundingTaxEquity'!I26</x:f>
        <x:v>0</x:v>
      </x:c>
    </x:row>
    <x:row r="69" ht="21" customHeight="1">
      <x:c r="C69" s="34" t="str">
        <x:v>Net investing cash flow</x:v>
      </x:c>
      <x:c r="D69" s="37" t="n">
        <x:f>'SourceFacts'!D25</x:f>
        <x:v>-9724.41401516</x:v>
      </x:c>
      <x:c r="E69" s="37" t="n">
        <x:f>'SourceFacts'!E25</x:f>
        <x:v>-1785.20263071</x:v>
      </x:c>
      <x:c r="F69" s="37" t="n">
        <x:f>'SourceFacts'!F25</x:f>
        <x:v>-31641.89894889</x:v>
      </x:c>
      <x:c r="G69" s="36" t="n">
        <x:f>SUM(G67:G68)</x:f>
        <x:v>-3199.9524740229863</x:v>
      </x:c>
      <x:c r="H69" s="36" t="n">
        <x:f>SUM(H67:H68)</x:f>
        <x:v>-3304.778986089926</x:v>
      </x:c>
      <x:c r="I69" s="36" t="n">
        <x:f>SUM(I67:I68)</x:f>
        <x:v>-3413.1937611976578</x:v>
      </x:c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 t="str">
        <x:v>New cash borrowing</x:v>
      </x:c>
      <x:c r="D71" s="2"/>
      <x:c r="E71" s="2"/>
      <x:c r="F71" s="2"/>
      <x:c r="G71" s="19" t="n">
        <x:f>'FundingTaxEquity'!G12</x:f>
        <x:v>0</x:v>
      </x:c>
      <x:c r="H71" s="19" t="n">
        <x:f>'FundingTaxEquity'!H12</x:f>
        <x:v>0</x:v>
      </x:c>
      <x:c r="I71" s="19" t="n">
        <x:f>'FundingTaxEquity'!I12</x:f>
        <x:v>0</x:v>
      </x:c>
    </x:row>
    <x:row r="72" ht="21" customHeight="1">
      <x:c r="C72" s="1" t="str">
        <x:v>Cash repayment of borrowings and leases</x:v>
      </x:c>
      <x:c r="D72" s="2"/>
      <x:c r="E72" s="2"/>
      <x:c r="F72" s="2"/>
      <x:c r="G72" s="19" t="n">
        <x:f>-'FundingTaxEquity'!G16</x:f>
        <x:v>-46.742235964</x:v>
      </x:c>
      <x:c r="H72" s="19" t="n">
        <x:f>-'FundingTaxEquity'!H16</x:f>
        <x:v>-44.04593559650001</x:v>
      </x:c>
      <x:c r="I72" s="19" t="n">
        <x:f>-'FundingTaxEquity'!I16</x:f>
        <x:v>-41.8888953025</x:v>
      </x:c>
    </x:row>
    <x:row r="73" ht="21" customHeight="1">
      <x:c r="C73" s="1" t="str">
        <x:v>New equity cash proceeds</x:v>
      </x:c>
      <x:c r="D73" s="2"/>
      <x:c r="E73" s="2"/>
      <x:c r="F73" s="2"/>
      <x:c r="G73" s="19" t="n">
        <x:f>'FundingTaxEquity'!G59</x:f>
        <x:v>0</x:v>
      </x:c>
      <x:c r="H73" s="19" t="n">
        <x:f>'FundingTaxEquity'!H59</x:f>
        <x:v>0</x:v>
      </x:c>
      <x:c r="I73" s="19" t="n">
        <x:f>'FundingTaxEquity'!I59</x:f>
        <x:v>0</x:v>
      </x:c>
    </x:row>
    <x:row r="74" ht="21" customHeight="1">
      <x:c r="C74" s="1" t="str">
        <x:v>Parent and NCI cash distributions</x:v>
      </x:c>
      <x:c r="D74" s="2"/>
      <x:c r="E74" s="2"/>
      <x:c r="F74" s="2"/>
      <x:c r="G74" s="19" t="n">
        <x:f>-'FundingTaxEquity'!G44-'FundingTaxEquity'!G54</x:f>
        <x:v>-65703.21257636302</x:v>
      </x:c>
      <x:c r="H74" s="19" t="n">
        <x:f>-'FundingTaxEquity'!H44-'FundingTaxEquity'!H54</x:f>
        <x:v>-67858.71168483957</x:v>
      </x:c>
      <x:c r="I74" s="19" t="n">
        <x:f>-'FundingTaxEquity'!I44-'FundingTaxEquity'!I54</x:f>
        <x:v>-70096.03969809324</x:v>
      </x:c>
    </x:row>
    <x:row r="75" ht="21" customHeight="1">
      <x:c r="C75" s="1" t="str">
        <x:v>Cash share repurchases</x:v>
      </x:c>
      <x:c r="D75" s="2"/>
      <x:c r="E75" s="2"/>
      <x:c r="F75" s="2"/>
      <x:c r="G75" s="19" t="n">
        <x:f>-'FundingTaxEquity'!G47</x:f>
        <x:v>0</x:v>
      </x:c>
      <x:c r="H75" s="19" t="n">
        <x:f>-'FundingTaxEquity'!H47</x:f>
        <x:v>0</x:v>
      </x:c>
      <x:c r="I75" s="19" t="n">
        <x:f>-'FundingTaxEquity'!I47</x:f>
        <x:v>0</x:v>
      </x:c>
    </x:row>
    <x:row r="76" ht="21" customHeight="1">
      <x:c r="C76" s="34" t="str">
        <x:v>Net financing cash flow</x:v>
      </x:c>
      <x:c r="D76" s="37" t="n">
        <x:f>'SourceFacts'!D26</x:f>
        <x:v>-58889.101991940006</x:v>
      </x:c>
      <x:c r="E76" s="37" t="n">
        <x:f>'SourceFacts'!E26</x:f>
        <x:v>-71067.50648481</x:v>
      </x:c>
      <x:c r="F76" s="37" t="n">
        <x:f>'SourceFacts'!F26</x:f>
        <x:v>-73427.08120886999</x:v>
      </x:c>
      <x:c r="G76" s="36" t="n">
        <x:f>SUM(G71:G75)</x:f>
        <x:v>-65749.95481232702</x:v>
      </x:c>
      <x:c r="H76" s="36" t="n">
        <x:f>SUM(H71:H75)</x:f>
        <x:v>-67902.75762043607</x:v>
      </x:c>
      <x:c r="I76" s="36" t="n">
        <x:f>SUM(I71:I75)</x:f>
        <x:v>-70137.92859339574</x:v>
      </x:c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 t="str">
        <x:v>Foreign exchange effect on cash</x:v>
      </x:c>
      <x:c r="D78" s="19" t="n">
        <x:f>'SourceFacts'!D27</x:f>
        <x:v>1.71825565</x:v>
      </x:c>
      <x:c r="E78" s="19" t="n">
        <x:f>'SourceFacts'!E27</x:f>
        <x:v>-1.0827475500000001</x:v>
      </x:c>
      <x:c r="F78" s="19" t="n">
        <x:f>'SourceFacts'!F27</x:f>
        <x:v>2.2953582999999997</x:v>
      </x:c>
      <x:c r="G78" s="2" t="n">
        <x:v>0</x:v>
      </x:c>
      <x:c r="H78" s="2" t="n">
        <x:v>0</x:v>
      </x:c>
      <x:c r="I78" s="2" t="n">
        <x:v>0</x:v>
      </x:c>
    </x:row>
    <x:row r="79" ht="21" customHeight="1">
      <x:c r="C79" s="34" t="str">
        <x:v>Net change in cash</x:v>
      </x:c>
      <x:c r="D79" s="36" t="n">
        <x:f>D65+D69+D76+D78</x:f>
        <x:v>-2018.5500303600104</x:v>
      </x:c>
      <x:c r="E79" s="36" t="n">
        <x:f>E65+E69+E76+E78</x:f>
        <x:v>19609.900305359984</x:v>
      </x:c>
      <x:c r="F79" s="36" t="n">
        <x:f>F65+F69+F76+F78</x:f>
        <x:v>-43544.479810109995</x:v>
      </x:c>
      <x:c r="G79" s="36" t="n">
        <x:f>G65+G69+G76+G78</x:f>
        <x:v>15486.141863865967</x:v>
      </x:c>
      <x:c r="H79" s="36" t="n">
        <x:f>H65+H69+H76+H78</x:f>
        <x:v>19790.704514349898</x:v>
      </x:c>
      <x:c r="I79" s="36" t="n">
        <x:f>I65+I69+I76+I78</x:f>
        <x:v>20413.771867210133</x:v>
      </x:c>
    </x:row>
    <x:row r="80" ht="21" customHeight="1">
      <x:c r="C80" s="1" t="str">
        <x:v>Opening cash</x:v>
      </x:c>
      <x:c r="D80" s="19" t="n">
        <x:f>'SourceFacts'!D28</x:f>
        <x:v>152378.73898283</x:v>
      </x:c>
      <x:c r="E80" s="19" t="n">
        <x:f>'SourceFacts'!E28</x:f>
        <x:v>150360.18895247</x:v>
      </x:c>
      <x:c r="F80" s="19" t="n">
        <x:f>'SourceFacts'!F28</x:f>
        <x:v>169970.08925783</x:v>
      </x:c>
      <x:c r="G80" s="27" t="n">
        <x:f>F31</x:f>
        <x:v>126425.60944772</x:v>
      </x:c>
      <x:c r="H80" s="27" t="n">
        <x:f>G31</x:f>
        <x:v>141911.75131158595</x:v>
      </x:c>
      <x:c r="I80" s="27" t="n">
        <x:f>H31</x:f>
        <x:v>161702.45582593585</x:v>
      </x:c>
    </x:row>
    <x:row r="81" ht="21" customHeight="1">
      <x:c r="C81" s="34" t="str">
        <x:v>Closing cash and cash equivalents</x:v>
      </x:c>
      <x:c r="D81" s="37" t="n">
        <x:f>'SourceFacts'!D29</x:f>
        <x:v>150360.18895247</x:v>
      </x:c>
      <x:c r="E81" s="37" t="n">
        <x:f>'SourceFacts'!E29</x:f>
        <x:v>169970.08925783</x:v>
      </x:c>
      <x:c r="F81" s="37" t="n">
        <x:f>'SourceFacts'!F29</x:f>
        <x:v>126425.60944772</x:v>
      </x:c>
      <x:c r="G81" s="36" t="n">
        <x:f>G80+G79</x:f>
        <x:v>141911.75131158595</x:v>
      </x:c>
      <x:c r="H81" s="36" t="n">
        <x:f>H80+H79</x:f>
        <x:v>161702.45582593585</x:v>
      </x:c>
      <x:c r="I81" s="36" t="n">
        <x:f>I80+I79</x:f>
        <x:v>182116.22769314598</x:v>
      </x:c>
    </x:row>
    <x:row r="82" ht="21" customHeight="1">
      <x:c r="C82" s="34" t="str">
        <x:v>Cash to balance sheet difference</x:v>
      </x:c>
      <x:c r="D82" s="36" t="n">
        <x:f>D81-D31</x:f>
        <x:v>0</x:v>
      </x:c>
      <x:c r="E82" s="36" t="n">
        <x:f>E81-E31</x:f>
        <x:v>0</x:v>
      </x:c>
      <x:c r="F82" s="36" t="n">
        <x:f>F81-F31</x:f>
        <x:v>0</x:v>
      </x:c>
      <x:c r="G82" s="36" t="n">
        <x:f>G81-G31</x:f>
        <x:v>0</x:v>
      </x:c>
      <x:c r="H82" s="36" t="n">
        <x:f>H81-H31</x:f>
        <x:v>0</x:v>
      </x:c>
      <x:c r="I82" s="36" t="n">
        <x:f>I81-I31</x:f>
        <x:v>0</x:v>
      </x:c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 t="str">
        <x:v>Gross margin</x:v>
      </x:c>
      <x:c r="D84" s="38" t="n">
        <x:f>D12/D10</x:f>
        <x:v>0.9196493724135798</x:v>
      </x:c>
      <x:c r="E84" s="38" t="n">
        <x:f>E12/E10</x:f>
        <x:v>0.9193121663606457</x:v>
      </x:c>
      <x:c r="F84" s="38" t="n">
        <x:f>F12/F10</x:f>
        <x:v>0.9117955168348006</x:v>
      </x:c>
      <x:c r="G84" s="38" t="n">
        <x:f>G12/G10</x:f>
        <x:v>0.9103111609229956</x:v>
      </x:c>
      <x:c r="H84" s="38" t="n">
        <x:f>H12/H10</x:f>
        <x:v>0.9100006813577907</x:v>
      </x:c>
      <x:c r="I84" s="38" t="n">
        <x:f>I12/I10</x:f>
        <x:v>0.9096776861136464</x:v>
      </x:c>
    </x:row>
    <x:row r="85" ht="21" customHeight="1">
      <x:c r="C85" s="1" t="str">
        <x:v>EBITDA proxy margin</x:v>
      </x:c>
      <x:c r="D85" s="26"/>
      <x:c r="E85" s="38" t="n">
        <x:f>E21/E10</x:f>
        <x:v>0.7036511085309134</x:v>
      </x:c>
      <x:c r="F85" s="38" t="n">
        <x:f>F21/F10</x:f>
        <x:v>0.6882297694885612</x:v>
      </x:c>
      <x:c r="G85" s="38" t="n">
        <x:f>G21/G10</x:f>
        <x:v>0.6869990585643977</x:v>
      </x:c>
      <x:c r="H85" s="38" t="n">
        <x:f>H21/H10</x:f>
        <x:v>0.6866138806199575</x:v>
      </x:c>
      <x:c r="I85" s="38" t="n">
        <x:f>I21/I10</x:f>
        <x:v>0.6862225655653507</x:v>
      </x:c>
    </x:row>
    <x:row r="86" ht="21" customHeight="1">
      <x:c r="C86" s="1" t="str">
        <x:v>Net debt / (cash)</x:v>
      </x:c>
      <x:c r="D86" s="27" t="n">
        <x:f>D44-D31</x:f>
        <x:v>-150036.49783895</x:v>
      </x:c>
      <x:c r="E86" s="27" t="n">
        <x:f>E44-E31</x:f>
        <x:v>-169544.23172987</x:v>
      </x:c>
      <x:c r="F86" s="27" t="n">
        <x:f>F44-F31</x:f>
        <x:v>-126191.89826789999</x:v>
      </x:c>
      <x:c r="G86" s="27" t="n">
        <x:f>G44-G31</x:f>
        <x:v>-141691.52163360344</x:v>
      </x:c>
      <x:c r="H86" s="27" t="n">
        <x:f>H44-H31</x:f>
        <x:v>-161493.01134942335</x:v>
      </x:c>
      <x:c r="I86" s="27" t="n">
        <x:f>I44-I31</x:f>
        <x:v>-181915.41137780948</x:v>
      </x:c>
    </x:row>
    <x:row r="87" ht="21" customHeight="1">
      <x:c r="C87" s="1" t="str">
        <x:v>Free cash flow before financing</x:v>
      </x:c>
      <x:c r="D87" s="27" t="n">
        <x:f>D65+D67</x:f>
        <x:v>63973.491832299995</x:v>
      </x:c>
      <x:c r="E87" s="27" t="n">
        <x:f>E65+E67</x:f>
        <x:v>87784.98011486999</x:v>
      </x:c>
      <x:c r="F87" s="27" t="n">
        <x:f>F65+F67</x:f>
        <x:v>58394.61007294</x:v>
      </x:c>
      <x:c r="G87" s="27" t="n">
        <x:f>G65+G67</x:f>
        <x:v>81236.09667619299</x:v>
      </x:c>
      <x:c r="H87" s="27" t="n">
        <x:f>H65+H67</x:f>
        <x:v>87693.46213478596</x:v>
      </x:c>
      <x:c r="I87" s="27" t="n">
        <x:f>I65+I67</x:f>
        <x:v>90551.70046060588</x:v>
      </x:c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 t="str">
        <x:v>Historical CFS totals are reported; detailed forecast bridges start in 2026E.</x:v>
      </x:c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39" t="str">
        <x:v>EBITDA proxy = PBT + net finance expense + D&amp;A. Includes other pretax items; not issuer-reported adjusted EBITDA. Financial investment FV gains are removed in forecasts.</x:v>
      </x:c>
      <x:c r="D92" s="20"/>
      <x:c r="E92" s="20"/>
      <x:c r="F92" s="20"/>
      <x:c r="G92" s="20"/>
      <x:c r="H92" s="20"/>
      <x:c r="I92" s="20"/>
    </x:row>
    <x:row r="93" ht="21" customHeight="1">
      <x:c r="C93" s="39"/>
      <x:c r="D93" s="20"/>
      <x:c r="E93" s="20"/>
      <x:c r="F93" s="20"/>
      <x:c r="G93" s="20"/>
      <x:c r="H93" s="20"/>
      <x:c r="I93" s="20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C92:I9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贵州茅台 Kweichow Moutai</x:v>
      </x:c>
      <x:c r="D2" s="4"/>
      <x:c r="E2" s="4"/>
      <x:c r="F2" s="4"/>
      <x:c r="G2" s="4"/>
      <x:c r="H2" s="4"/>
      <x:c r="I2" s="4"/>
    </x:row>
    <x:row r="3" ht="21" customHeight="1">
      <x:c r="C3" s="5" t="str">
        <x:v>WorkingCapital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Receivables / contract assets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</x:v>
      </x:c>
      <x:c r="D10" s="2"/>
      <x:c r="E10" s="2"/>
      <x:c r="F10" s="2"/>
      <x:c r="G10" s="19" t="n">
        <x:f>'SourceFacts'!F33</x:f>
        <x:v>4459.67320865</x:v>
      </x:c>
      <x:c r="H10" s="27" t="n">
        <x:f>G11</x:f>
        <x:v>4562.848674064934</x:v>
      </x:c>
      <x:c r="I10" s="27" t="n">
        <x:f>H11</x:f>
        <x:v>4712.321991395224</x:v>
      </x:c>
    </x:row>
    <x:row r="11" ht="21" customHeight="1">
      <x:c r="C11" s="1" t="str">
        <x:v>Closing</x:v>
      </x:c>
      <x:c r="D11" s="2"/>
      <x:c r="E11" s="2"/>
      <x:c r="F11" s="2"/>
      <x:c r="G11" s="19" t="n">
        <x:f>'Statements'!G10*'Assumptions'!G22/365</x:f>
        <x:v>4562.848674064934</x:v>
      </x:c>
      <x:c r="H11" s="19" t="n">
        <x:f>'Statements'!H10*'Assumptions'!H22/365</x:f>
        <x:v>4712.321991395224</x:v>
      </x:c>
      <x:c r="I11" s="19" t="n">
        <x:f>'Statements'!I10*'Assumptions'!I22/365</x:f>
        <x:v>4866.911853858853</x:v>
      </x:c>
    </x:row>
    <x:row r="12" ht="21" customHeight="1">
      <x:c r="C12" s="1" t="str">
        <x:v>Change in balance</x:v>
      </x:c>
      <x:c r="D12" s="2"/>
      <x:c r="E12" s="2"/>
      <x:c r="F12" s="2"/>
      <x:c r="G12" s="27" t="n">
        <x:f>G11-G10</x:f>
        <x:v>103.17546541493448</x:v>
      </x:c>
      <x:c r="H12" s="27" t="n">
        <x:f>H11-H10</x:f>
        <x:v>149.47331733029023</x:v>
      </x:c>
      <x:c r="I12" s="27" t="n">
        <x:f>I11-I10</x:f>
        <x:v>154.58986246362838</x:v>
      </x:c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/>
      <x:c r="D14" s="2"/>
      <x:c r="E14" s="2"/>
      <x:c r="F14" s="2"/>
      <x:c r="G14" s="2"/>
      <x:c r="H14" s="2"/>
      <x:c r="I14" s="2"/>
    </x:row>
    <x:row r="15" ht="21" customHeight="1">
      <x:c r="C15" s="12" t="str">
        <x:v>Inventory</x:v>
      </x:c>
      <x:c r="D15" s="25"/>
      <x:c r="E15" s="25"/>
      <x:c r="F15" s="25"/>
      <x:c r="G15" s="25"/>
      <x:c r="H15" s="25"/>
      <x:c r="I15" s="25"/>
    </x:row>
    <x:row r="16" ht="21" customHeight="1">
      <x:c r="C16" s="1" t="str">
        <x:v>Opening</x:v>
      </x:c>
      <x:c r="D16" s="2"/>
      <x:c r="E16" s="2"/>
      <x:c r="F16" s="2"/>
      <x:c r="G16" s="19" t="n">
        <x:f>'SourceFacts'!F34</x:f>
        <x:v>61427.42179618</x:v>
      </x:c>
      <x:c r="H16" s="27" t="n">
        <x:f>G17</x:f>
        <x:v>63906.209729530376</x:v>
      </x:c>
      <x:c r="I16" s="27" t="n">
        <x:f>H17</x:f>
        <x:v>66228.17254231907</x:v>
      </x:c>
    </x:row>
    <x:row r="17" ht="21" customHeight="1">
      <x:c r="C17" s="1" t="str">
        <x:v>Closing</x:v>
      </x:c>
      <x:c r="D17" s="2"/>
      <x:c r="E17" s="2"/>
      <x:c r="F17" s="2"/>
      <x:c r="G17" s="19" t="n">
        <x:f>'Statements'!G11*'Assumptions'!G23/365</x:f>
        <x:v>63906.209729530376</x:v>
      </x:c>
      <x:c r="H17" s="19" t="n">
        <x:f>'Statements'!H11*'Assumptions'!H23/365</x:f>
        <x:v>66228.17254231907</x:v>
      </x:c>
      <x:c r="I17" s="19" t="n">
        <x:f>'Statements'!I11*'Assumptions'!I23/365</x:f>
        <x:v>68646.29899114562</x:v>
      </x:c>
    </x:row>
    <x:row r="18" ht="21" customHeight="1">
      <x:c r="C18" s="1" t="str">
        <x:v>Change in balance</x:v>
      </x:c>
      <x:c r="D18" s="2"/>
      <x:c r="E18" s="2"/>
      <x:c r="F18" s="2"/>
      <x:c r="G18" s="27" t="n">
        <x:f>G17-G16</x:f>
        <x:v>2478.7879333503734</x:v>
      </x:c>
      <x:c r="H18" s="27" t="n">
        <x:f>H17-H16</x:f>
        <x:v>2321.96281278869</x:v>
      </x:c>
      <x:c r="I18" s="27" t="n">
        <x:f>I17-I16</x:f>
        <x:v>2418.1264488265588</x:v>
      </x:c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2" t="str">
        <x:v>Trade and bills payables</x:v>
      </x:c>
      <x:c r="D21" s="25"/>
      <x:c r="E21" s="25"/>
      <x:c r="F21" s="25"/>
      <x:c r="G21" s="25"/>
      <x:c r="H21" s="25"/>
      <x:c r="I21" s="25"/>
    </x:row>
    <x:row r="22" ht="21" customHeight="1">
      <x:c r="C22" s="1" t="str">
        <x:v>Opening</x:v>
      </x:c>
      <x:c r="D22" s="2"/>
      <x:c r="E22" s="2"/>
      <x:c r="F22" s="2"/>
      <x:c r="G22" s="19" t="n">
        <x:f>'SourceFacts'!F41</x:f>
        <x:v>4007.30904987</x:v>
      </x:c>
      <x:c r="H22" s="27" t="n">
        <x:f>G23</x:f>
        <x:v>4169.016460462336</x:v>
      </x:c>
      <x:c r="I22" s="27" t="n">
        <x:f>H23</x:f>
        <x:v>4320.493151507969</x:v>
      </x:c>
    </x:row>
    <x:row r="23" ht="21" customHeight="1">
      <x:c r="C23" s="1" t="str">
        <x:v>Closing</x:v>
      </x:c>
      <x:c r="D23" s="2"/>
      <x:c r="E23" s="2"/>
      <x:c r="F23" s="2"/>
      <x:c r="G23" s="19" t="n">
        <x:f>'Statements'!G11*'Assumptions'!G24/365</x:f>
        <x:v>4169.016460462336</x:v>
      </x:c>
      <x:c r="H23" s="19" t="n">
        <x:f>'Statements'!H11*'Assumptions'!H24/365</x:f>
        <x:v>4320.493151507969</x:v>
      </x:c>
      <x:c r="I23" s="19" t="n">
        <x:f>'Statements'!I11*'Assumptions'!I24/365</x:f>
        <x:v>4478.243220105431</x:v>
      </x:c>
    </x:row>
    <x:row r="24" ht="21" customHeight="1">
      <x:c r="C24" s="1" t="str">
        <x:v>Change in balance</x:v>
      </x:c>
      <x:c r="D24" s="2"/>
      <x:c r="E24" s="2"/>
      <x:c r="F24" s="2"/>
      <x:c r="G24" s="27" t="n">
        <x:f>G23-G22</x:f>
        <x:v>161.70741059233615</x:v>
      </x:c>
      <x:c r="H24" s="27" t="n">
        <x:f>H23-H22</x:f>
        <x:v>151.47669104563283</x:v>
      </x:c>
      <x:c r="I24" s="27" t="n">
        <x:f>I23-I22</x:f>
        <x:v>157.7500685974619</x:v>
      </x:c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2" t="str">
        <x:v>Customer advances</x:v>
      </x:c>
      <x:c r="D27" s="25"/>
      <x:c r="E27" s="25"/>
      <x:c r="F27" s="25"/>
      <x:c r="G27" s="25"/>
      <x:c r="H27" s="25"/>
      <x:c r="I27" s="25"/>
    </x:row>
    <x:row r="28" ht="21" customHeight="1">
      <x:c r="C28" s="1" t="str">
        <x:v>Opening</x:v>
      </x:c>
      <x:c r="D28" s="2"/>
      <x:c r="E28" s="2"/>
      <x:c r="F28" s="2"/>
      <x:c r="G28" s="19" t="n">
        <x:f>'SourceFacts'!F42</x:f>
        <x:v>8006.73978094</x:v>
      </x:c>
      <x:c r="H28" s="27" t="n">
        <x:f>G29</x:f>
        <x:v>8191.977367800052</x:v>
      </x:c>
      <x:c r="I28" s="27" t="n">
        <x:f>H29</x:f>
        <x:v>8460.336482933466</x:v>
      </x:c>
    </x:row>
    <x:row r="29" ht="21" customHeight="1">
      <x:c r="C29" s="1" t="str">
        <x:v>Closing</x:v>
      </x:c>
      <x:c r="D29" s="2"/>
      <x:c r="E29" s="2"/>
      <x:c r="F29" s="2"/>
      <x:c r="G29" s="19" t="n">
        <x:f>'Statements'!G10*'Assumptions'!G25</x:f>
        <x:v>8191.977367800052</x:v>
      </x:c>
      <x:c r="H29" s="19" t="n">
        <x:f>'Statements'!H10*'Assumptions'!H25</x:f>
        <x:v>8460.336482933466</x:v>
      </x:c>
      <x:c r="I29" s="19" t="n">
        <x:f>'Statements'!I10*'Assumptions'!I25</x:f>
        <x:v>8737.881662503307</x:v>
      </x:c>
    </x:row>
    <x:row r="30" ht="21" customHeight="1">
      <x:c r="C30" s="1" t="str">
        <x:v>Change in balance</x:v>
      </x:c>
      <x:c r="D30" s="2"/>
      <x:c r="E30" s="2"/>
      <x:c r="F30" s="2"/>
      <x:c r="G30" s="27" t="n">
        <x:f>G29-G28</x:f>
        <x:v>185.23758686005203</x:v>
      </x:c>
      <x:c r="H30" s="27" t="n">
        <x:f>H29-H28</x:f>
        <x:v>268.359115133414</x:v>
      </x:c>
      <x:c r="I30" s="27" t="n">
        <x:f>I29-I28</x:f>
        <x:v>277.5451795698409</x:v>
      </x:c>
    </x:row>
    <x:row r="31" ht="21" customHeight="1">
      <x:c r="C31" s="1"/>
      <x:c r="D31" s="2"/>
      <x:c r="E31" s="2"/>
      <x:c r="F31" s="2"/>
      <x:c r="G31" s="2"/>
      <x:c r="H31" s="2"/>
      <x:c r="I31" s="2"/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2" t="str">
        <x:v>Finance-company deposits</x:v>
      </x:c>
      <x:c r="D33" s="25"/>
      <x:c r="E33" s="25"/>
      <x:c r="F33" s="25"/>
      <x:c r="G33" s="25"/>
      <x:c r="H33" s="25"/>
      <x:c r="I33" s="25"/>
    </x:row>
    <x:row r="34" ht="21" customHeight="1">
      <x:c r="C34" s="1" t="str">
        <x:v>Opening</x:v>
      </x:c>
      <x:c r="D34" s="2"/>
      <x:c r="E34" s="2"/>
      <x:c r="F34" s="2"/>
      <x:c r="G34" s="19" t="n">
        <x:f>'SourceFacts'!F45</x:f>
        <x:v>18038.3837763</x:v>
      </x:c>
      <x:c r="H34" s="27" t="n">
        <x:f>G35</x:f>
        <x:v>18038.3837763</x:v>
      </x:c>
      <x:c r="I34" s="27" t="n">
        <x:f>H35</x:f>
        <x:v>18038.3837763</x:v>
      </x:c>
    </x:row>
    <x:row r="35" ht="21" customHeight="1">
      <x:c r="C35" s="1" t="str">
        <x:v>Closing</x:v>
      </x:c>
      <x:c r="D35" s="2"/>
      <x:c r="E35" s="2"/>
      <x:c r="F35" s="2"/>
      <x:c r="G35" s="19" t="n">
        <x:f>G34*(1+'Assumptions'!G26)</x:f>
        <x:v>18038.3837763</x:v>
      </x:c>
      <x:c r="H35" s="19" t="n">
        <x:f>H34*(1+'Assumptions'!H26)</x:f>
        <x:v>18038.3837763</x:v>
      </x:c>
      <x:c r="I35" s="19" t="n">
        <x:f>I34*(1+'Assumptions'!I26)</x:f>
        <x:v>18038.3837763</x:v>
      </x:c>
    </x:row>
    <x:row r="36" ht="21" customHeight="1">
      <x:c r="C36" s="1" t="str">
        <x:v>Change in balance</x:v>
      </x:c>
      <x:c r="D36" s="2"/>
      <x:c r="E36" s="2"/>
      <x:c r="F36" s="2"/>
      <x:c r="G36" s="27" t="n">
        <x:f>G35-G34</x:f>
        <x:v>0</x:v>
      </x:c>
      <x:c r="H36" s="27" t="n">
        <x:f>H35-H34</x:f>
        <x:v>0</x:v>
      </x:c>
      <x:c r="I36" s="27" t="n">
        <x:f>I35-I34</x:f>
        <x:v>0</x:v>
      </x:c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2" t="str">
        <x:v>Named other assets</x:v>
      </x:c>
      <x:c r="D39" s="25"/>
      <x:c r="E39" s="25"/>
      <x:c r="F39" s="25"/>
      <x:c r="G39" s="25"/>
      <x:c r="H39" s="25"/>
      <x:c r="I39" s="25"/>
    </x:row>
    <x:row r="40" ht="21" customHeight="1">
      <x:c r="C40" s="1" t="str">
        <x:v>Opening</x:v>
      </x:c>
      <x:c r="D40" s="2"/>
      <x:c r="E40" s="2"/>
      <x:c r="F40" s="2"/>
      <x:c r="G40" s="19" t="n">
        <x:f>'SourceFacts'!F39</x:f>
        <x:v>6871.88776045</x:v>
      </x:c>
      <x:c r="H40" s="27" t="n">
        <x:f>G41</x:f>
        <x:v>6871.88776045</x:v>
      </x:c>
      <x:c r="I40" s="27" t="n">
        <x:f>H41</x:f>
        <x:v>6871.88776045</x:v>
      </x:c>
    </x:row>
    <x:row r="41" ht="21" customHeight="1">
      <x:c r="C41" s="1" t="str">
        <x:v>Closing</x:v>
      </x:c>
      <x:c r="D41" s="2"/>
      <x:c r="E41" s="2"/>
      <x:c r="F41" s="2"/>
      <x:c r="G41" s="19" t="n">
        <x:f>G40*(1+'Assumptions'!G27)</x:f>
        <x:v>6871.88776045</x:v>
      </x:c>
      <x:c r="H41" s="19" t="n">
        <x:f>H40*(1+'Assumptions'!H27)</x:f>
        <x:v>6871.88776045</x:v>
      </x:c>
      <x:c r="I41" s="19" t="n">
        <x:f>I40*(1+'Assumptions'!I27)</x:f>
        <x:v>6871.88776045</x:v>
      </x:c>
    </x:row>
    <x:row r="42" ht="21" customHeight="1">
      <x:c r="C42" s="1" t="str">
        <x:v>Change in balance</x:v>
      </x:c>
      <x:c r="D42" s="2"/>
      <x:c r="E42" s="2"/>
      <x:c r="F42" s="2"/>
      <x:c r="G42" s="27" t="n">
        <x:f>G41-G40</x:f>
        <x:v>0</x:v>
      </x:c>
      <x:c r="H42" s="27" t="n">
        <x:f>H41-H40</x:f>
        <x:v>0</x:v>
      </x:c>
      <x:c r="I42" s="27" t="n">
        <x:f>I41-I40</x:f>
        <x:v>0</x:v>
      </x:c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2" t="str">
        <x:v>Named other liabilities</x:v>
      </x:c>
      <x:c r="D45" s="25"/>
      <x:c r="E45" s="25"/>
      <x:c r="F45" s="25"/>
      <x:c r="G45" s="25"/>
      <x:c r="H45" s="25"/>
      <x:c r="I45" s="25"/>
    </x:row>
    <x:row r="46" ht="21" customHeight="1">
      <x:c r="C46" s="1" t="str">
        <x:v>Opening</x:v>
      </x:c>
      <x:c r="D46" s="2"/>
      <x:c r="E46" s="2"/>
      <x:c r="F46" s="2"/>
      <x:c r="G46" s="19" t="n">
        <x:f>'SourceFacts'!F46</x:f>
        <x:v>11892.27649475</x:v>
      </x:c>
      <x:c r="H46" s="27" t="n">
        <x:f>G47</x:f>
        <x:v>11892.27649475</x:v>
      </x:c>
      <x:c r="I46" s="27" t="n">
        <x:f>H47</x:f>
        <x:v>11892.27649475</x:v>
      </x:c>
    </x:row>
    <x:row r="47" ht="21" customHeight="1">
      <x:c r="C47" s="1" t="str">
        <x:v>Closing</x:v>
      </x:c>
      <x:c r="D47" s="2"/>
      <x:c r="E47" s="2"/>
      <x:c r="F47" s="2"/>
      <x:c r="G47" s="19" t="n">
        <x:f>G46*(1+'Assumptions'!G28)</x:f>
        <x:v>11892.27649475</x:v>
      </x:c>
      <x:c r="H47" s="19" t="n">
        <x:f>H46*(1+'Assumptions'!H28)</x:f>
        <x:v>11892.27649475</x:v>
      </x:c>
      <x:c r="I47" s="19" t="n">
        <x:f>I46*(1+'Assumptions'!I28)</x:f>
        <x:v>11892.27649475</x:v>
      </x:c>
    </x:row>
    <x:row r="48" ht="21" customHeight="1">
      <x:c r="C48" s="1" t="str">
        <x:v>Change in balance</x:v>
      </x:c>
      <x:c r="D48" s="2"/>
      <x:c r="E48" s="2"/>
      <x:c r="F48" s="2"/>
      <x:c r="G48" s="27" t="n">
        <x:f>G47-G46</x:f>
        <x:v>0</x:v>
      </x:c>
      <x:c r="H48" s="27" t="n">
        <x:f>H47-H46</x:f>
        <x:v>0</x:v>
      </x:c>
      <x:c r="I48" s="27" t="n">
        <x:f>I47-I46</x:f>
        <x:v>0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贵州茅台 Kweichow Moutai</x:v>
      </x:c>
      <x:c r="D2" s="4"/>
      <x:c r="E2" s="4"/>
      <x:c r="F2" s="4"/>
      <x:c r="G2" s="4"/>
      <x:c r="H2" s="4"/>
      <x:c r="I2" s="4"/>
    </x:row>
    <x:row r="3" ht="21" customHeight="1">
      <x:c r="C3" s="5" t="str">
        <x:v>FixedAssets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PPE / CIP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 balance</x:v>
      </x:c>
      <x:c r="D10" s="2"/>
      <x:c r="E10" s="2"/>
      <x:c r="F10" s="2"/>
      <x:c r="G10" s="19" t="n">
        <x:f>'SourceFacts'!F35</x:f>
        <x:v>24963.11637749</x:v>
      </x:c>
      <x:c r="H10" s="27" t="n">
        <x:f>G14</x:f>
        <x:v>26094.834969528532</x:v>
      </x:c>
      <x:c r="I10" s="27" t="n">
        <x:f>H14</x:f>
        <x:v>27242.839075175194</x:v>
      </x:c>
    </x:row>
    <x:row r="11" ht="21" customHeight="1">
      <x:c r="C11" s="1" t="str">
        <x:v>Cash capex / non-cash lease additions</x:v>
      </x:c>
      <x:c r="D11" s="2"/>
      <x:c r="E11" s="2"/>
      <x:c r="F11" s="2"/>
      <x:c r="G11" s="19" t="n">
        <x:f>'Statements'!G10*MAX(0,'Assumptions'!G31)</x:f>
        <x:v>2879.957226620688</x:v>
      </x:c>
      <x:c r="H11" s="19" t="n">
        <x:f>'Statements'!H10*MAX(0,'Assumptions'!H31)</x:f>
        <x:v>2974.3010874809333</x:v>
      </x:c>
      <x:c r="I11" s="19" t="n">
        <x:f>'Statements'!I10*MAX(0,'Assumptions'!I31)</x:f>
        <x:v>3071.874385077892</x:v>
      </x:c>
    </x:row>
    <x:row r="12" ht="21" customHeight="1">
      <x:c r="C12" s="1" t="str">
        <x:v>Depreciation / amortization requested</x:v>
      </x:c>
      <x:c r="D12" s="2"/>
      <x:c r="E12" s="2"/>
      <x:c r="F12" s="2"/>
      <x:c r="G12" s="19" t="n">
        <x:f>(G10+G11*0.5)*'Assumptions'!G33</x:f>
        <x:v>1748.2386345821578</x:v>
      </x:c>
      <x:c r="H12" s="19" t="n">
        <x:f>(H10+H11*0.5)*'Assumptions'!H33</x:f>
        <x:v>1826.2969818342717</x:v>
      </x:c>
      <x:c r="I12" s="19" t="n">
        <x:f>(I10+I11*0.5)*'Assumptions'!I33</x:f>
        <x:v>1905.540564268859</x:v>
      </x:c>
    </x:row>
    <x:row r="13" ht="21" customHeight="1">
      <x:c r="C13" s="1" t="str">
        <x:v>Effective depreciation / amortization</x:v>
      </x:c>
      <x:c r="D13" s="2"/>
      <x:c r="E13" s="2"/>
      <x:c r="F13" s="2"/>
      <x:c r="G13" s="27" t="n">
        <x:f>MIN(MAX(0,G12),G10+G11)</x:f>
        <x:v>1748.2386345821578</x:v>
      </x:c>
      <x:c r="H13" s="27" t="n">
        <x:f>MIN(MAX(0,H12),H10+H11)</x:f>
        <x:v>1826.2969818342717</x:v>
      </x:c>
      <x:c r="I13" s="27" t="n">
        <x:f>MIN(MAX(0,I12),I10+I11)</x:f>
        <x:v>1905.540564268859</x:v>
      </x:c>
    </x:row>
    <x:row r="14" ht="21" customHeight="1">
      <x:c r="C14" s="1" t="str">
        <x:v>Closing balance</x:v>
      </x:c>
      <x:c r="D14" s="2"/>
      <x:c r="E14" s="2"/>
      <x:c r="F14" s="2"/>
      <x:c r="G14" s="27" t="n">
        <x:f>G10+G11-G13</x:f>
        <x:v>26094.834969528532</x:v>
      </x:c>
      <x:c r="H14" s="27" t="n">
        <x:f>H10+H11-H13</x:f>
        <x:v>27242.839075175194</x:v>
      </x:c>
      <x:c r="I14" s="27" t="n">
        <x:f>I10+I11-I13</x:f>
        <x:v>28409.172895984226</x:v>
      </x:c>
    </x:row>
    <x:row r="15" ht="21" customHeight="1">
      <x:c r="C15" s="1" t="str">
        <x:v>Depreciation request above available asset</x:v>
      </x:c>
      <x:c r="D15" s="2"/>
      <x:c r="E15" s="2"/>
      <x:c r="F15" s="2"/>
      <x:c r="G15" s="27" t="n">
        <x:f>MAX(0,G12-G13)</x:f>
        <x:v>0</x:v>
      </x:c>
      <x:c r="H15" s="27" t="n">
        <x:f>MAX(0,H12-H13)</x:f>
        <x:v>0</x:v>
      </x:c>
      <x:c r="I15" s="27" t="n">
        <x:f>MAX(0,I12-I13)</x:f>
        <x:v>0</x:v>
      </x:c>
    </x:row>
    <x:row r="16" ht="21" customHeight="1">
      <x:c r="C16" s="1"/>
      <x:c r="D16" s="2"/>
      <x:c r="E16" s="2"/>
      <x:c r="F16" s="2"/>
      <x:c r="G16" s="2"/>
      <x:c r="H16" s="2"/>
      <x:c r="I16" s="2"/>
    </x:row>
    <x:row r="17" ht="21" customHeight="1">
      <x:c r="C17" s="1"/>
      <x:c r="D17" s="2"/>
      <x:c r="E17" s="2"/>
      <x:c r="F17" s="2"/>
      <x:c r="G17" s="2"/>
      <x:c r="H17" s="2"/>
      <x:c r="I17" s="2"/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2" t="str">
        <x:v>Intangibles and capitalized development</x:v>
      </x:c>
      <x:c r="D19" s="25"/>
      <x:c r="E19" s="25"/>
      <x:c r="F19" s="25"/>
      <x:c r="G19" s="25"/>
      <x:c r="H19" s="25"/>
      <x:c r="I19" s="25"/>
    </x:row>
    <x:row r="20" ht="21" customHeight="1">
      <x:c r="C20" s="1" t="str">
        <x:v>Opening balance</x:v>
      </x:c>
      <x:c r="D20" s="2"/>
      <x:c r="E20" s="2"/>
      <x:c r="F20" s="2"/>
      <x:c r="G20" s="19" t="n">
        <x:f>'SourceFacts'!F36</x:f>
        <x:v>8937.95325149</x:v>
      </x:c>
      <x:c r="H20" s="27" t="n">
        <x:f>G24</x:f>
        <x:v>8655.54225746183</x:v>
      </x:c>
      <x:c r="I20" s="27" t="n">
        <x:f>H24</x:f>
        <x:v>8401.966260183306</x:v>
      </x:c>
    </x:row>
    <x:row r="21" ht="21" customHeight="1">
      <x:c r="C21" s="1" t="str">
        <x:v>Cash capex / non-cash lease additions</x:v>
      </x:c>
      <x:c r="D21" s="2"/>
      <x:c r="E21" s="2"/>
      <x:c r="F21" s="2"/>
      <x:c r="G21" s="19" t="n">
        <x:f>'Statements'!G10*MAX(0,'Assumptions'!G32)</x:f>
        <x:v>319.9952474022987</x:v>
      </x:c>
      <x:c r="H21" s="19" t="n">
        <x:f>'Statements'!H10*MAX(0,'Assumptions'!H32)</x:f>
        <x:v>330.4778986089926</x:v>
      </x:c>
      <x:c r="I21" s="19" t="n">
        <x:f>'Statements'!I10*MAX(0,'Assumptions'!I32)</x:f>
        <x:v>341.3193761197657</x:v>
      </x:c>
    </x:row>
    <x:row r="22" ht="21" customHeight="1">
      <x:c r="C22" s="1" t="str">
        <x:v>Depreciation / amortization requested</x:v>
      </x:c>
      <x:c r="D22" s="2"/>
      <x:c r="E22" s="2"/>
      <x:c r="F22" s="2"/>
      <x:c r="G22" s="19" t="n">
        <x:f>(G20+G21*0.5)*'Assumptions'!G34</x:f>
        <x:v>602.4062414304706</x:v>
      </x:c>
      <x:c r="H22" s="19" t="n">
        <x:f>(H20+H21*0.5)*'Assumptions'!H34</x:f>
        <x:v>584.0538958875167</x:v>
      </x:c>
      <x:c r="I22" s="19" t="n">
        <x:f>(I20+I21*0.5)*'Assumptions'!I34</x:f>
        <x:v>567.622693012398</x:v>
      </x:c>
    </x:row>
    <x:row r="23" ht="21" customHeight="1">
      <x:c r="C23" s="1" t="str">
        <x:v>Effective depreciation / amortization</x:v>
      </x:c>
      <x:c r="D23" s="2"/>
      <x:c r="E23" s="2"/>
      <x:c r="F23" s="2"/>
      <x:c r="G23" s="27" t="n">
        <x:f>MIN(MAX(0,G22),G20+G21)</x:f>
        <x:v>602.4062414304706</x:v>
      </x:c>
      <x:c r="H23" s="27" t="n">
        <x:f>MIN(MAX(0,H22),H20+H21)</x:f>
        <x:v>584.0538958875167</x:v>
      </x:c>
      <x:c r="I23" s="27" t="n">
        <x:f>MIN(MAX(0,I22),I20+I21)</x:f>
        <x:v>567.622693012398</x:v>
      </x:c>
    </x:row>
    <x:row r="24" ht="21" customHeight="1">
      <x:c r="C24" s="1" t="str">
        <x:v>Closing balance</x:v>
      </x:c>
      <x:c r="D24" s="2"/>
      <x:c r="E24" s="2"/>
      <x:c r="F24" s="2"/>
      <x:c r="G24" s="27" t="n">
        <x:f>G20+G21-G23</x:f>
        <x:v>8655.54225746183</x:v>
      </x:c>
      <x:c r="H24" s="27" t="n">
        <x:f>H20+H21-H23</x:f>
        <x:v>8401.966260183306</x:v>
      </x:c>
      <x:c r="I24" s="27" t="n">
        <x:f>I20+I21-I23</x:f>
        <x:v>8175.662943290674</x:v>
      </x:c>
    </x:row>
    <x:row r="25" ht="21" customHeight="1">
      <x:c r="C25" s="1" t="str">
        <x:v>Depreciation request above available asset</x:v>
      </x:c>
      <x:c r="D25" s="2"/>
      <x:c r="E25" s="2"/>
      <x:c r="F25" s="2"/>
      <x:c r="G25" s="27" t="n">
        <x:f>MAX(0,G22-G23)</x:f>
        <x:v>0</x:v>
      </x:c>
      <x:c r="H25" s="27" t="n">
        <x:f>MAX(0,H22-H23)</x:f>
        <x:v>0</x:v>
      </x:c>
      <x:c r="I25" s="27" t="n">
        <x:f>MAX(0,I22-I23)</x:f>
        <x:v>0</x:v>
      </x:c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2" t="str">
        <x:v>Right-of-use assets</x:v>
      </x:c>
      <x:c r="D29" s="25"/>
      <x:c r="E29" s="25"/>
      <x:c r="F29" s="25"/>
      <x:c r="G29" s="25"/>
      <x:c r="H29" s="25"/>
      <x:c r="I29" s="25"/>
    </x:row>
    <x:row r="30" ht="21" customHeight="1">
      <x:c r="C30" s="1" t="str">
        <x:v>Opening balance</x:v>
      </x:c>
      <x:c r="D30" s="2"/>
      <x:c r="E30" s="2"/>
      <x:c r="F30" s="2"/>
      <x:c r="G30" s="19" t="n">
        <x:f>'SourceFacts'!F37</x:f>
        <x:v>221.73822751</x:v>
      </x:c>
      <x:c r="H30" s="27" t="n">
        <x:f>G34</x:f>
        <x:v>239.2157670356698</x:v>
      </x:c>
      <x:c r="I30" s="27" t="n">
        <x:f>H34</x:f>
        <x:v>255.5360592823044</x:v>
      </x:c>
    </x:row>
    <x:row r="31" ht="21" customHeight="1">
      <x:c r="C31" s="1" t="str">
        <x:v>Cash capex / non-cash lease additions</x:v>
      </x:c>
      <x:c r="D31" s="2"/>
      <x:c r="E31" s="2"/>
      <x:c r="F31" s="2"/>
      <x:c r="G31" s="19" t="n">
        <x:f>MAX(0,'Assumptions'!G36)</x:f>
        <x:v>33.2607341265</x:v>
      </x:c>
      <x:c r="H31" s="19" t="n">
        <x:f>MAX(0,'Assumptions'!H36)</x:f>
        <x:v>33.2607341265</x:v>
      </x:c>
      <x:c r="I31" s="19" t="n">
        <x:f>MAX(0,'Assumptions'!I36)</x:f>
        <x:v>33.2607341265</x:v>
      </x:c>
    </x:row>
    <x:row r="32" ht="21" customHeight="1">
      <x:c r="C32" s="1" t="str">
        <x:v>Depreciation / amortization requested</x:v>
      </x:c>
      <x:c r="D32" s="2"/>
      <x:c r="E32" s="2"/>
      <x:c r="F32" s="2"/>
      <x:c r="G32" s="19" t="n">
        <x:f>(G30+G31*0.5)*'Assumptions'!G35</x:f>
        <x:v>15.783194600830184</x:v>
      </x:c>
      <x:c r="H32" s="19" t="n">
        <x:f>(H30+H31*0.5)*'Assumptions'!H35</x:f>
        <x:v>16.940441879865425</x:v>
      </x:c>
      <x:c r="I32" s="19" t="n">
        <x:f>(I30+I31*0.5)*'Assumptions'!I35</x:f>
        <x:v>18.02106388433799</x:v>
      </x:c>
    </x:row>
    <x:row r="33" ht="21" customHeight="1">
      <x:c r="C33" s="1" t="str">
        <x:v>Effective depreciation / amortization</x:v>
      </x:c>
      <x:c r="D33" s="2"/>
      <x:c r="E33" s="2"/>
      <x:c r="F33" s="2"/>
      <x:c r="G33" s="27" t="n">
        <x:f>MIN(MAX(0,G32),G30+G31)</x:f>
        <x:v>15.783194600830184</x:v>
      </x:c>
      <x:c r="H33" s="27" t="n">
        <x:f>MIN(MAX(0,H32),H30+H31)</x:f>
        <x:v>16.940441879865425</x:v>
      </x:c>
      <x:c r="I33" s="27" t="n">
        <x:f>MIN(MAX(0,I32),I30+I31)</x:f>
        <x:v>18.02106388433799</x:v>
      </x:c>
    </x:row>
    <x:row r="34" ht="21" customHeight="1">
      <x:c r="C34" s="1" t="str">
        <x:v>Closing balance</x:v>
      </x:c>
      <x:c r="D34" s="2"/>
      <x:c r="E34" s="2"/>
      <x:c r="F34" s="2"/>
      <x:c r="G34" s="27" t="n">
        <x:f>G30+G31-G33</x:f>
        <x:v>239.2157670356698</x:v>
      </x:c>
      <x:c r="H34" s="27" t="n">
        <x:f>H30+H31-H33</x:f>
        <x:v>255.5360592823044</x:v>
      </x:c>
      <x:c r="I34" s="27" t="n">
        <x:f>I30+I31-I33</x:f>
        <x:v>270.7757295244664</x:v>
      </x:c>
    </x:row>
    <x:row r="35" ht="21" customHeight="1">
      <x:c r="C35" s="1" t="str">
        <x:v>Depreciation request above available asset</x:v>
      </x:c>
      <x:c r="D35" s="2"/>
      <x:c r="E35" s="2"/>
      <x:c r="F35" s="2"/>
      <x:c r="G35" s="27" t="n">
        <x:f>MAX(0,G32-G33)</x:f>
        <x:v>0</x:v>
      </x:c>
      <x:c r="H35" s="27" t="n">
        <x:f>MAX(0,H32-H33)</x:f>
        <x:v>0</x:v>
      </x:c>
      <x:c r="I35" s="27" t="n">
        <x:f>MAX(0,I32-I33)</x:f>
        <x:v>0</x:v>
      </x:c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 t="str">
        <x:v>Total depreciation and amortization</x:v>
      </x:c>
      <x:c r="D39" s="2"/>
      <x:c r="E39" s="2"/>
      <x:c r="F39" s="2"/>
      <x:c r="G39" s="27" t="n">
        <x:f>G13+G23+G33</x:f>
        <x:v>2366.4280706134587</x:v>
      </x:c>
      <x:c r="H39" s="27" t="n">
        <x:f>H13+H23+H33</x:f>
        <x:v>2427.291319601654</x:v>
      </x:c>
      <x:c r="I39" s="27" t="n">
        <x:f>I13+I23+I33</x:f>
        <x:v>2491.184321165595</x:v>
      </x:c>
    </x:row>
    <x:row r="40" ht="21" customHeight="1">
      <x:c r="C40" s="1" t="str">
        <x:v>Total cash capex</x:v>
      </x:c>
      <x:c r="D40" s="2"/>
      <x:c r="E40" s="2"/>
      <x:c r="F40" s="2"/>
      <x:c r="G40" s="27" t="n">
        <x:f>G11+G21</x:f>
        <x:v>3199.9524740229863</x:v>
      </x:c>
      <x:c r="H40" s="27" t="n">
        <x:f>H11+H21</x:f>
        <x:v>3304.778986089926</x:v>
      </x:c>
      <x:c r="I40" s="27" t="n">
        <x:f>I11+I21</x:f>
        <x:v>3413.1937611976578</x:v>
      </x:c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贵州茅台 Kweichow Moutai</x:v>
      </x:c>
      <x:c r="D2" s="4"/>
      <x:c r="E2" s="4"/>
      <x:c r="F2" s="4"/>
      <x:c r="G2" s="4"/>
      <x:c r="H2" s="4"/>
      <x:c r="I2" s="4"/>
    </x:row>
    <x:row r="3" ht="21" customHeight="1">
      <x:c r="C3" s="5" t="str">
        <x:v>FundingTaxEquity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Debt and leases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 borrowings and lease liabilities</x:v>
      </x:c>
      <x:c r="D10" s="2"/>
      <x:c r="E10" s="2"/>
      <x:c r="F10" s="2"/>
      <x:c r="G10" s="19" t="n">
        <x:f>'SourceFacts'!F43</x:f>
        <x:v>233.71117982</x:v>
      </x:c>
      <x:c r="H10" s="27" t="n">
        <x:f>G18</x:f>
        <x:v>220.22967798250002</x:v>
      </x:c>
      <x:c r="I10" s="27" t="n">
        <x:f>H18</x:f>
        <x:v>209.44447651250002</x:v>
      </x:c>
    </x:row>
    <x:row r="11" ht="21" customHeight="1">
      <x:c r="C11" s="1" t="str">
        <x:v>Cash borrowing requested</x:v>
      </x:c>
      <x:c r="D11" s="2"/>
      <x:c r="E11" s="2"/>
      <x:c r="F11" s="2"/>
      <x:c r="G11" s="19" t="n">
        <x:f>'Assumptions'!G40</x:f>
        <x:v>0</x:v>
      </x:c>
      <x:c r="H11" s="19" t="n">
        <x:f>'Assumptions'!H40</x:f>
        <x:v>0</x:v>
      </x:c>
      <x:c r="I11" s="19" t="n">
        <x:f>'Assumptions'!I40</x:f>
        <x:v>0</x:v>
      </x:c>
    </x:row>
    <x:row r="12" ht="21" customHeight="1">
      <x:c r="C12" s="1" t="str">
        <x:v>Effective cash borrowing</x:v>
      </x:c>
      <x:c r="D12" s="2"/>
      <x:c r="E12" s="2"/>
      <x:c r="F12" s="2"/>
      <x:c r="G12" s="27" t="n">
        <x:f>MAX(0,G11)</x:f>
        <x:v>0</x:v>
      </x:c>
      <x:c r="H12" s="27" t="n">
        <x:f>MAX(0,H11)</x:f>
        <x:v>0</x:v>
      </x:c>
      <x:c r="I12" s="27" t="n">
        <x:f>MAX(0,I11)</x:f>
        <x:v>0</x:v>
      </x:c>
    </x:row>
    <x:row r="13" ht="21" customHeight="1">
      <x:c r="C13" s="1" t="str">
        <x:v>Invalid negative borrowing request</x:v>
      </x:c>
      <x:c r="D13" s="2"/>
      <x:c r="E13" s="2"/>
      <x:c r="F13" s="2"/>
      <x:c r="G13" s="27" t="n">
        <x:f>-MIN(0,G11)</x:f>
        <x:v>0</x:v>
      </x:c>
      <x:c r="H13" s="27" t="n">
        <x:f>-MIN(0,H11)</x:f>
        <x:v>0</x:v>
      </x:c>
      <x:c r="I13" s="27" t="n">
        <x:f>-MIN(0,I11)</x:f>
        <x:v>0</x:v>
      </x:c>
    </x:row>
    <x:row r="14" ht="21" customHeight="1">
      <x:c r="C14" s="1" t="str">
        <x:v>New non-cash lease liabilities</x:v>
      </x:c>
      <x:c r="D14" s="2"/>
      <x:c r="E14" s="2"/>
      <x:c r="F14" s="2"/>
      <x:c r="G14" s="19" t="n">
        <x:f>'FixedAssets'!G31</x:f>
        <x:v>33.2607341265</x:v>
      </x:c>
      <x:c r="H14" s="19" t="n">
        <x:f>'FixedAssets'!H31</x:f>
        <x:v>33.2607341265</x:v>
      </x:c>
      <x:c r="I14" s="19" t="n">
        <x:f>'FixedAssets'!I31</x:f>
        <x:v>33.2607341265</x:v>
      </x:c>
    </x:row>
    <x:row r="15" ht="21" customHeight="1">
      <x:c r="C15" s="1" t="str">
        <x:v>Repayment requested</x:v>
      </x:c>
      <x:c r="D15" s="2"/>
      <x:c r="E15" s="2"/>
      <x:c r="F15" s="2"/>
      <x:c r="G15" s="19" t="n">
        <x:f>G10*'Assumptions'!G41+'Assumptions'!G42</x:f>
        <x:v>46.742235964</x:v>
      </x:c>
      <x:c r="H15" s="19" t="n">
        <x:f>H10*'Assumptions'!H41+'Assumptions'!H42</x:f>
        <x:v>44.04593559650001</x:v>
      </x:c>
      <x:c r="I15" s="19" t="n">
        <x:f>I10*'Assumptions'!I41+'Assumptions'!I42</x:f>
        <x:v>41.8888953025</x:v>
      </x:c>
    </x:row>
    <x:row r="16" ht="21" customHeight="1">
      <x:c r="C16" s="1" t="str">
        <x:v>Effective repayment</x:v>
      </x:c>
      <x:c r="D16" s="2"/>
      <x:c r="E16" s="2"/>
      <x:c r="F16" s="2"/>
      <x:c r="G16" s="27" t="n">
        <x:f>MIN(MAX(0,G15),G10+G12+G14)</x:f>
        <x:v>46.742235964</x:v>
      </x:c>
      <x:c r="H16" s="27" t="n">
        <x:f>MIN(MAX(0,H15),H10+H12+H14)</x:f>
        <x:v>44.04593559650001</x:v>
      </x:c>
      <x:c r="I16" s="27" t="n">
        <x:f>MIN(MAX(0,I15),I10+I12+I14)</x:f>
        <x:v>41.8888953025</x:v>
      </x:c>
    </x:row>
    <x:row r="17" ht="21" customHeight="1">
      <x:c r="C17" s="1" t="str">
        <x:v>Repayment above available funding balance</x:v>
      </x:c>
      <x:c r="D17" s="2"/>
      <x:c r="E17" s="2"/>
      <x:c r="F17" s="2"/>
      <x:c r="G17" s="27" t="n">
        <x:f>MAX(0,G15-G16)</x:f>
        <x:v>0</x:v>
      </x:c>
      <x:c r="H17" s="27" t="n">
        <x:f>MAX(0,H15-H16)</x:f>
        <x:v>0</x:v>
      </x:c>
      <x:c r="I17" s="27" t="n">
        <x:f>MAX(0,I15-I16)</x:f>
        <x:v>0</x:v>
      </x:c>
    </x:row>
    <x:row r="18" ht="21" customHeight="1">
      <x:c r="C18" s="1" t="str">
        <x:v>Closing borrowings and lease liabilities</x:v>
      </x:c>
      <x:c r="D18" s="2"/>
      <x:c r="E18" s="2"/>
      <x:c r="F18" s="2"/>
      <x:c r="G18" s="27" t="n">
        <x:f>G10+G12+G14-G16</x:f>
        <x:v>220.22967798250002</x:v>
      </x:c>
      <x:c r="H18" s="27" t="n">
        <x:f>H10+H12+H14-H16</x:f>
        <x:v>209.44447651250002</x:v>
      </x:c>
      <x:c r="I18" s="27" t="n">
        <x:f>I10+I12+I14-I16</x:f>
        <x:v>200.81631533650003</x:v>
      </x:c>
    </x:row>
    <x:row r="19" ht="21" customHeight="1">
      <x:c r="C19" s="1" t="str">
        <x:v>Interest expense on time-weighted funding</x:v>
      </x:c>
      <x:c r="D19" s="2"/>
      <x:c r="E19" s="2"/>
      <x:c r="F19" s="2"/>
      <x:c r="G19" s="19" t="n">
        <x:f>(G10+(G12+G14-G16)*0.5)*'Assumptions'!G17</x:f>
        <x:v>15.314942462280806</x:v>
      </x:c>
      <x:c r="H19" s="19" t="n">
        <x:f>(H10+(H12+H14-H16)*0.5)*'Assumptions'!H17</x:f>
        <x:v>14.496238530886078</x:v>
      </x:c>
      <x:c r="I19" s="19" t="n">
        <x:f>(I10+(I12+I14-I16)*0.5)*'Assumptions'!I17</x:f>
        <x:v>13.841275385770297</x:v>
      </x:c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2" t="str">
        <x:v>Financial investments</x:v>
      </x:c>
      <x:c r="D21" s="25"/>
      <x:c r="E21" s="25"/>
      <x:c r="F21" s="25"/>
      <x:c r="G21" s="25"/>
      <x:c r="H21" s="25"/>
      <x:c r="I21" s="25"/>
    </x:row>
    <x:row r="22" ht="21" customHeight="1">
      <x:c r="C22" s="1" t="str">
        <x:v>Opening financial investments / loan assets</x:v>
      </x:c>
      <x:c r="D22" s="2"/>
      <x:c r="E22" s="2"/>
      <x:c r="F22" s="2"/>
      <x:c r="G22" s="19" t="n">
        <x:f>'SourceFacts'!F38</x:f>
        <x:v>46166.25439342001</x:v>
      </x:c>
      <x:c r="H22" s="27" t="n">
        <x:f>G31</x:f>
        <x:v>46166.25439342001</x:v>
      </x:c>
      <x:c r="I22" s="27" t="n">
        <x:f>H31</x:f>
        <x:v>46166.25439342001</x:v>
      </x:c>
    </x:row>
    <x:row r="23" ht="21" customHeight="1">
      <x:c r="C23" s="1" t="str">
        <x:v>Investment purchase requested</x:v>
      </x:c>
      <x:c r="D23" s="2"/>
      <x:c r="E23" s="2"/>
      <x:c r="F23" s="2"/>
      <x:c r="G23" s="19" t="n">
        <x:f>'Assumptions'!G51</x:f>
        <x:v>0</x:v>
      </x:c>
      <x:c r="H23" s="19" t="n">
        <x:f>'Assumptions'!H51</x:f>
        <x:v>0</x:v>
      </x:c>
      <x:c r="I23" s="19" t="n">
        <x:f>'Assumptions'!I51</x:f>
        <x:v>0</x:v>
      </x:c>
    </x:row>
    <x:row r="24" ht="21" customHeight="1">
      <x:c r="C24" s="1" t="str">
        <x:v>Effective investment purchases</x:v>
      </x:c>
      <x:c r="D24" s="2"/>
      <x:c r="E24" s="2"/>
      <x:c r="F24" s="2"/>
      <x:c r="G24" s="27" t="n">
        <x:f>MAX(0,G23)</x:f>
        <x:v>0</x:v>
      </x:c>
      <x:c r="H24" s="27" t="n">
        <x:f>MAX(0,H23)</x:f>
        <x:v>0</x:v>
      </x:c>
      <x:c r="I24" s="27" t="n">
        <x:f>MAX(0,I23)</x:f>
        <x:v>0</x:v>
      </x:c>
    </x:row>
    <x:row r="25" ht="21" customHeight="1">
      <x:c r="C25" s="1" t="str">
        <x:v>Redemption requested</x:v>
      </x:c>
      <x:c r="D25" s="2"/>
      <x:c r="E25" s="2"/>
      <x:c r="F25" s="2"/>
      <x:c r="G25" s="19" t="n">
        <x:f>'Assumptions'!G52</x:f>
        <x:v>0</x:v>
      </x:c>
      <x:c r="H25" s="19" t="n">
        <x:f>'Assumptions'!H52</x:f>
        <x:v>0</x:v>
      </x:c>
      <x:c r="I25" s="19" t="n">
        <x:f>'Assumptions'!I52</x:f>
        <x:v>0</x:v>
      </x:c>
    </x:row>
    <x:row r="26" ht="21" customHeight="1">
      <x:c r="C26" s="1" t="str">
        <x:v>Effective redemption</x:v>
      </x:c>
      <x:c r="D26" s="2"/>
      <x:c r="E26" s="2"/>
      <x:c r="F26" s="2"/>
      <x:c r="G26" s="27" t="n">
        <x:f>MIN(MAX(0,G25),G22+G24)</x:f>
        <x:v>0</x:v>
      </x:c>
      <x:c r="H26" s="27" t="n">
        <x:f>MIN(MAX(0,H25),H22+H24)</x:f>
        <x:v>0</x:v>
      </x:c>
      <x:c r="I26" s="27" t="n">
        <x:f>MIN(MAX(0,I25),I22+I24)</x:f>
        <x:v>0</x:v>
      </x:c>
    </x:row>
    <x:row r="27" ht="21" customHeight="1">
      <x:c r="C27" s="1" t="str">
        <x:v>Redemption above available investment</x:v>
      </x:c>
      <x:c r="D27" s="2"/>
      <x:c r="E27" s="2"/>
      <x:c r="F27" s="2"/>
      <x:c r="G27" s="27" t="n">
        <x:f>MAX(0,G25-G26)</x:f>
        <x:v>0</x:v>
      </x:c>
      <x:c r="H27" s="27" t="n">
        <x:f>MAX(0,H25-H26)</x:f>
        <x:v>0</x:v>
      </x:c>
      <x:c r="I27" s="27" t="n">
        <x:f>MAX(0,I25-I26)</x:f>
        <x:v>0</x:v>
      </x:c>
    </x:row>
    <x:row r="28" ht="21" customHeight="1">
      <x:c r="C28" s="1" t="str">
        <x:v>Fair-value change requested</x:v>
      </x:c>
      <x:c r="D28" s="2"/>
      <x:c r="E28" s="2"/>
      <x:c r="F28" s="2"/>
      <x:c r="G28" s="19" t="n">
        <x:f>'Assumptions'!G53</x:f>
        <x:v>0</x:v>
      </x:c>
      <x:c r="H28" s="19" t="n">
        <x:f>'Assumptions'!H53</x:f>
        <x:v>0</x:v>
      </x:c>
      <x:c r="I28" s="19" t="n">
        <x:f>'Assumptions'!I53</x:f>
        <x:v>0</x:v>
      </x:c>
    </x:row>
    <x:row r="29" ht="21" customHeight="1">
      <x:c r="C29" s="1" t="str">
        <x:v>Effective fair-value gain / (loss)</x:v>
      </x:c>
      <x:c r="D29" s="2"/>
      <x:c r="E29" s="2"/>
      <x:c r="F29" s="2"/>
      <x:c r="G29" s="27" t="n">
        <x:f>MAX(G28,-(G22+G24-G26))</x:f>
        <x:v>0</x:v>
      </x:c>
      <x:c r="H29" s="27" t="n">
        <x:f>MAX(H28,-(H22+H24-H26))</x:f>
        <x:v>0</x:v>
      </x:c>
      <x:c r="I29" s="27" t="n">
        <x:f>MAX(I28,-(I22+I24-I26))</x:f>
        <x:v>0</x:v>
      </x:c>
    </x:row>
    <x:row r="30" ht="21" customHeight="1">
      <x:c r="C30" s="1" t="str">
        <x:v>Fair-value loss above available investment</x:v>
      </x:c>
      <x:c r="D30" s="2"/>
      <x:c r="E30" s="2"/>
      <x:c r="F30" s="2"/>
      <x:c r="G30" s="27" t="n">
        <x:f>MAX(0,G29-G28)</x:f>
        <x:v>0</x:v>
      </x:c>
      <x:c r="H30" s="27" t="n">
        <x:f>MAX(0,H29-H28)</x:f>
        <x:v>0</x:v>
      </x:c>
      <x:c r="I30" s="27" t="n">
        <x:f>MAX(0,I29-I28)</x:f>
        <x:v>0</x:v>
      </x:c>
    </x:row>
    <x:row r="31" ht="21" customHeight="1">
      <x:c r="C31" s="1" t="str">
        <x:v>Closing financial investments / loan assets</x:v>
      </x:c>
      <x:c r="D31" s="2"/>
      <x:c r="E31" s="2"/>
      <x:c r="F31" s="2"/>
      <x:c r="G31" s="27" t="n">
        <x:f>G22+G24-G26+G29</x:f>
        <x:v>46166.25439342001</x:v>
      </x:c>
      <x:c r="H31" s="27" t="n">
        <x:f>H22+H24-H26+H29</x:f>
        <x:v>46166.25439342001</x:v>
      </x:c>
      <x:c r="I31" s="27" t="n">
        <x:f>I22+I24-I26+I29</x:f>
        <x:v>46166.25439342001</x:v>
      </x:c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2" t="str">
        <x:v>Tax settlement</x:v>
      </x:c>
      <x:c r="D33" s="25"/>
      <x:c r="E33" s="25"/>
      <x:c r="F33" s="25"/>
      <x:c r="G33" s="25"/>
      <x:c r="H33" s="25"/>
      <x:c r="I33" s="25"/>
    </x:row>
    <x:row r="34" ht="21" customHeight="1">
      <x:c r="C34" s="1" t="str">
        <x:v>Opening taxes payable</x:v>
      </x:c>
      <x:c r="D34" s="2"/>
      <x:c r="E34" s="2"/>
      <x:c r="F34" s="2"/>
      <x:c r="G34" s="19" t="n">
        <x:f>'SourceFacts'!F44</x:f>
        <x:v>7697.16983069</x:v>
      </x:c>
      <x:c r="H34" s="27" t="n">
        <x:f>G38</x:f>
        <x:v>4397.525876454725</x:v>
      </x:c>
      <x:c r="I34" s="27" t="n">
        <x:f>H38</x:f>
        <x:v>4541.793755216117</x:v>
      </x:c>
    </x:row>
    <x:row r="35" ht="21" customHeight="1">
      <x:c r="C35" s="1" t="str">
        <x:v>Current tax accrual</x:v>
      </x:c>
      <x:c r="D35" s="2"/>
      <x:c r="E35" s="2"/>
      <x:c r="F35" s="2"/>
      <x:c r="G35" s="19" t="n">
        <x:f>'Statements'!G24</x:f>
        <x:v>29316.839176364865</x:v>
      </x:c>
      <x:c r="H35" s="19" t="n">
        <x:f>'Statements'!H24</x:f>
        <x:v>30278.62503477414</x:v>
      </x:c>
      <x:c r="I35" s="19" t="n">
        <x:f>'Statements'!I24</x:f>
        <x:v>31276.923032350755</x:v>
      </x:c>
    </x:row>
    <x:row r="36" ht="21" customHeight="1">
      <x:c r="C36" s="1" t="str">
        <x:v>Cash tax payment requested</x:v>
      </x:c>
      <x:c r="D36" s="2"/>
      <x:c r="E36" s="2"/>
      <x:c r="F36" s="2"/>
      <x:c r="G36" s="19" t="n">
        <x:f>G35*'Assumptions'!G47+G34*'Assumptions'!G48</x:f>
        <x:v>32616.483130600136</x:v>
      </x:c>
      <x:c r="H36" s="19" t="n">
        <x:f>H35*'Assumptions'!H47+H34*'Assumptions'!H48</x:f>
        <x:v>30134.357156012746</x:v>
      </x:c>
      <x:c r="I36" s="19" t="n">
        <x:f>I35*'Assumptions'!I47+I34*'Assumptions'!I48</x:f>
        <x:v>31127.17833271426</x:v>
      </x:c>
    </x:row>
    <x:row r="37" ht="21" customHeight="1">
      <x:c r="C37" s="1" t="str">
        <x:v>Effective cash tax paid</x:v>
      </x:c>
      <x:c r="D37" s="2"/>
      <x:c r="E37" s="2"/>
      <x:c r="F37" s="2"/>
      <x:c r="G37" s="27" t="n">
        <x:f>MIN(MAX(0,G36),MAX(0,G34+G35))</x:f>
        <x:v>32616.483130600136</x:v>
      </x:c>
      <x:c r="H37" s="27" t="n">
        <x:f>MIN(MAX(0,H36),MAX(0,H34+H35))</x:f>
        <x:v>30134.357156012746</x:v>
      </x:c>
      <x:c r="I37" s="27" t="n">
        <x:f>MIN(MAX(0,I36),MAX(0,I34+I35))</x:f>
        <x:v>31127.17833271426</x:v>
      </x:c>
    </x:row>
    <x:row r="38" ht="21" customHeight="1">
      <x:c r="C38" s="1" t="str">
        <x:v>Closing taxes payable</x:v>
      </x:c>
      <x:c r="D38" s="2"/>
      <x:c r="E38" s="2"/>
      <x:c r="F38" s="2"/>
      <x:c r="G38" s="27" t="n">
        <x:f>G34+G35-G37</x:f>
        <x:v>4397.525876454725</x:v>
      </x:c>
      <x:c r="H38" s="27" t="n">
        <x:f>H34+H35-H37</x:f>
        <x:v>4541.793755216117</x:v>
      </x:c>
      <x:c r="I38" s="27" t="n">
        <x:f>I34+I35-I37</x:f>
        <x:v>4691.538454852609</x:v>
      </x:c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2" t="str">
        <x:v>Retained earnings and distributions</x:v>
      </x:c>
      <x:c r="D40" s="25"/>
      <x:c r="E40" s="25"/>
      <x:c r="F40" s="25"/>
      <x:c r="G40" s="25"/>
      <x:c r="H40" s="25"/>
      <x:c r="I40" s="25"/>
    </x:row>
    <x:row r="41" ht="21" customHeight="1">
      <x:c r="C41" s="1" t="str">
        <x:v>Opening retained earnings</x:v>
      </x:c>
      <x:c r="D41" s="2"/>
      <x:c r="E41" s="2"/>
      <x:c r="F41" s="2"/>
      <x:c r="G41" s="19" t="n">
        <x:f>'SourceFacts'!F48</x:f>
        <x:v>191905.14883221</x:v>
      </x:c>
      <x:c r="H41" s="27" t="n">
        <x:f>G48</x:f>
        <x:v>213038.5535661524</x:v>
      </x:c>
      <x:c r="I41" s="27" t="n">
        <x:f>H48</x:f>
        <x:v>234865.2734863218</x:v>
      </x:c>
    </x:row>
    <x:row r="42" ht="21" customHeight="1">
      <x:c r="C42" s="1" t="str">
        <x:v>Parent net income</x:v>
      </x:c>
      <x:c r="D42" s="2"/>
      <x:c r="E42" s="2"/>
      <x:c r="F42" s="2"/>
      <x:c r="G42" s="19" t="n">
        <x:f>'Statements'!G26</x:f>
        <x:v>84533.6189357698</x:v>
      </x:c>
      <x:c r="H42" s="19" t="n">
        <x:f>'Statements'!H26</x:f>
        <x:v>87306.87968067742</x:v>
      </x:c>
      <x:c r="I42" s="19" t="n">
        <x:f>'Statements'!I26</x:f>
        <x:v>90185.42132712879</x:v>
      </x:c>
    </x:row>
    <x:row r="43" ht="21" customHeight="1">
      <x:c r="C43" s="1" t="str">
        <x:v>Parent dividend requested</x:v>
      </x:c>
      <x:c r="D43" s="2"/>
      <x:c r="E43" s="2"/>
      <x:c r="F43" s="2"/>
      <x:c r="G43" s="19" t="n">
        <x:f>MAX(0,G42)*'Assumptions'!G43</x:f>
        <x:v>63400.21420182735</x:v>
      </x:c>
      <x:c r="H43" s="19" t="n">
        <x:f>MAX(0,H42)*'Assumptions'!H43</x:f>
        <x:v>65480.15976050806</x:v>
      </x:c>
      <x:c r="I43" s="19" t="n">
        <x:f>MAX(0,I42)*'Assumptions'!I43</x:f>
        <x:v>67639.0659953466</x:v>
      </x:c>
    </x:row>
    <x:row r="44" ht="21" customHeight="1">
      <x:c r="C44" s="1" t="str">
        <x:v>Effective parent dividend</x:v>
      </x:c>
      <x:c r="D44" s="2"/>
      <x:c r="E44" s="2"/>
      <x:c r="F44" s="2"/>
      <x:c r="G44" s="27" t="n">
        <x:f>MIN(MAX(0,G43),MAX(0,G41+G42))</x:f>
        <x:v>63400.21420182735</x:v>
      </x:c>
      <x:c r="H44" s="27" t="n">
        <x:f>MIN(MAX(0,H43),MAX(0,H41+H42))</x:f>
        <x:v>65480.15976050806</x:v>
      </x:c>
      <x:c r="I44" s="27" t="n">
        <x:f>MIN(MAX(0,I43),MAX(0,I41+I42))</x:f>
        <x:v>67639.0659953466</x:v>
      </x:c>
    </x:row>
    <x:row r="45" ht="21" customHeight="1">
      <x:c r="C45" s="1" t="str">
        <x:v>Parent dividend request above distributable balance</x:v>
      </x:c>
      <x:c r="D45" s="2"/>
      <x:c r="E45" s="2"/>
      <x:c r="F45" s="2"/>
      <x:c r="G45" s="27" t="n">
        <x:f>MAX(0,G43-G44)</x:f>
        <x:v>0</x:v>
      </x:c>
      <x:c r="H45" s="27" t="n">
        <x:f>MAX(0,H43-H44)</x:f>
        <x:v>0</x:v>
      </x:c>
      <x:c r="I45" s="27" t="n">
        <x:f>MAX(0,I43-I44)</x:f>
        <x:v>0</x:v>
      </x:c>
    </x:row>
    <x:row r="46" ht="21" customHeight="1">
      <x:c r="C46" s="1" t="str">
        <x:v>Share repurchase requested</x:v>
      </x:c>
      <x:c r="D46" s="2"/>
      <x:c r="E46" s="2"/>
      <x:c r="F46" s="2"/>
      <x:c r="G46" s="19" t="n">
        <x:f>'Assumptions'!G44</x:f>
        <x:v>0</x:v>
      </x:c>
      <x:c r="H46" s="19" t="n">
        <x:f>'Assumptions'!H44</x:f>
        <x:v>0</x:v>
      </x:c>
      <x:c r="I46" s="19" t="n">
        <x:f>'Assumptions'!I44</x:f>
        <x:v>0</x:v>
      </x:c>
    </x:row>
    <x:row r="47" ht="21" customHeight="1">
      <x:c r="C47" s="1" t="str">
        <x:v>Effective share repurchase</x:v>
      </x:c>
      <x:c r="D47" s="2"/>
      <x:c r="E47" s="2"/>
      <x:c r="F47" s="2"/>
      <x:c r="G47" s="27" t="n">
        <x:f>MIN(MAX(0,G46),MAX(0,G41+G42-G44))</x:f>
        <x:v>0</x:v>
      </x:c>
      <x:c r="H47" s="27" t="n">
        <x:f>MIN(MAX(0,H46),MAX(0,H41+H42-H44))</x:f>
        <x:v>0</x:v>
      </x:c>
      <x:c r="I47" s="27" t="n">
        <x:f>MIN(MAX(0,I46),MAX(0,I41+I42-I44))</x:f>
        <x:v>0</x:v>
      </x:c>
    </x:row>
    <x:row r="48" ht="21" customHeight="1">
      <x:c r="C48" s="1" t="str">
        <x:v>Closing retained earnings</x:v>
      </x:c>
      <x:c r="D48" s="2"/>
      <x:c r="E48" s="2"/>
      <x:c r="F48" s="2"/>
      <x:c r="G48" s="27" t="n">
        <x:f>G41+G42-G44-G47</x:f>
        <x:v>213038.5535661524</x:v>
      </x:c>
      <x:c r="H48" s="27" t="n">
        <x:f>H41+H42-H44-H47</x:f>
        <x:v>234865.2734863218</x:v>
      </x:c>
      <x:c r="I48" s="27" t="n">
        <x:f>I41+I42-I44-I47</x:f>
        <x:v>257411.62881810399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2" t="str">
        <x:v>Minority interests</x:v>
      </x:c>
      <x:c r="D50" s="25"/>
      <x:c r="E50" s="25"/>
      <x:c r="F50" s="25"/>
      <x:c r="G50" s="25"/>
      <x:c r="H50" s="25"/>
      <x:c r="I50" s="25"/>
    </x:row>
    <x:row r="51" ht="21" customHeight="1">
      <x:c r="C51" s="1" t="str">
        <x:v>Opening NCI equity</x:v>
      </x:c>
      <x:c r="D51" s="2"/>
      <x:c r="E51" s="2"/>
      <x:c r="F51" s="2"/>
      <x:c r="G51" s="19" t="n">
        <x:f>'SourceFacts'!F49</x:f>
        <x:v>9321.44287689</x:v>
      </x:c>
      <x:c r="H51" s="27" t="n">
        <x:f>G55</x:f>
        <x:v>10089.109001735224</x:v>
      </x:c>
      <x:c r="I51" s="27" t="n">
        <x:f>H55</x:f>
        <x:v>10881.959643179058</x:v>
      </x:c>
    </x:row>
    <x:row r="52" ht="21" customHeight="1">
      <x:c r="C52" s="1" t="str">
        <x:v>NCI net income</x:v>
      </x:c>
      <x:c r="D52" s="2"/>
      <x:c r="E52" s="2"/>
      <x:c r="F52" s="2"/>
      <x:c r="G52" s="19" t="n">
        <x:f>'Statements'!G27</x:f>
        <x:v>3070.6644993808954</x:v>
      </x:c>
      <x:c r="H52" s="19" t="n">
        <x:f>'Statements'!H27</x:f>
        <x:v>3171.4025657753414</x:v>
      </x:c>
      <x:c r="I52" s="19" t="n">
        <x:f>'Statements'!I27</x:f>
        <x:v>3275.9649369955273</x:v>
      </x:c>
    </x:row>
    <x:row r="53" ht="21" customHeight="1">
      <x:c r="C53" s="1" t="str">
        <x:v>NCI dividend requested</x:v>
      </x:c>
      <x:c r="D53" s="2"/>
      <x:c r="E53" s="2"/>
      <x:c r="F53" s="2"/>
      <x:c r="G53" s="19" t="n">
        <x:f>MAX(0,G52)*'Assumptions'!G43</x:f>
        <x:v>2302.9983745356717</x:v>
      </x:c>
      <x:c r="H53" s="19" t="n">
        <x:f>MAX(0,H52)*'Assumptions'!H43</x:f>
        <x:v>2378.551924331506</x:v>
      </x:c>
      <x:c r="I53" s="19" t="n">
        <x:f>MAX(0,I52)*'Assumptions'!I43</x:f>
        <x:v>2456.9737027466454</x:v>
      </x:c>
    </x:row>
    <x:row r="54" ht="21" customHeight="1">
      <x:c r="C54" s="1" t="str">
        <x:v>Effective NCI dividend</x:v>
      </x:c>
      <x:c r="D54" s="2"/>
      <x:c r="E54" s="2"/>
      <x:c r="F54" s="2"/>
      <x:c r="G54" s="27" t="n">
        <x:f>MIN(MAX(0,G53),MAX(0,G51+G52))</x:f>
        <x:v>2302.9983745356717</x:v>
      </x:c>
      <x:c r="H54" s="27" t="n">
        <x:f>MIN(MAX(0,H53),MAX(0,H51+H52))</x:f>
        <x:v>2378.551924331506</x:v>
      </x:c>
      <x:c r="I54" s="27" t="n">
        <x:f>MIN(MAX(0,I53),MAX(0,I51+I52))</x:f>
        <x:v>2456.9737027466454</x:v>
      </x:c>
    </x:row>
    <x:row r="55" ht="21" customHeight="1">
      <x:c r="C55" s="1" t="str">
        <x:v>Closing NCI equity</x:v>
      </x:c>
      <x:c r="D55" s="2"/>
      <x:c r="E55" s="2"/>
      <x:c r="F55" s="2"/>
      <x:c r="G55" s="27" t="n">
        <x:f>G51+G52-G54</x:f>
        <x:v>10089.109001735224</x:v>
      </x:c>
      <x:c r="H55" s="27" t="n">
        <x:f>H51+H52-H54</x:f>
        <x:v>10881.959643179058</x:v>
      </x:c>
      <x:c r="I55" s="27" t="n">
        <x:f>I51+I52-I54</x:f>
        <x:v>11700.95087742794</x:v>
      </x:c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2" t="str">
        <x:v>Share capital and reserves</x:v>
      </x:c>
      <x:c r="D57" s="25"/>
      <x:c r="E57" s="25"/>
      <x:c r="F57" s="25"/>
      <x:c r="G57" s="25"/>
      <x:c r="H57" s="25"/>
      <x:c r="I57" s="25"/>
    </x:row>
    <x:row r="58" ht="21" customHeight="1">
      <x:c r="C58" s="1" t="str">
        <x:v>Opening share capital and other reserves</x:v>
      </x:c>
      <x:c r="D58" s="2"/>
      <x:c r="E58" s="2"/>
      <x:c r="F58" s="2"/>
      <x:c r="G58" s="19" t="n">
        <x:f>'SourceFacts'!F50-'SourceFacts'!F48-'SourceFacts'!F49</x:f>
        <x:v>52732.66219997003</x:v>
      </x:c>
      <x:c r="H58" s="27" t="n">
        <x:f>G61</x:f>
        <x:v>52732.66219997003</x:v>
      </x:c>
      <x:c r="I58" s="27" t="n">
        <x:f>H61</x:f>
        <x:v>52732.66219997003</x:v>
      </x:c>
    </x:row>
    <x:row r="59" ht="21" customHeight="1">
      <x:c r="C59" s="1" t="str">
        <x:v>Effective cash share proceeds</x:v>
      </x:c>
      <x:c r="D59" s="2"/>
      <x:c r="E59" s="2"/>
      <x:c r="F59" s="2"/>
      <x:c r="G59" s="19" t="n">
        <x:f>MAX(0,'Assumptions'!G45)</x:f>
        <x:v>0</x:v>
      </x:c>
      <x:c r="H59" s="19" t="n">
        <x:f>MAX(0,'Assumptions'!H45)</x:f>
        <x:v>0</x:v>
      </x:c>
      <x:c r="I59" s="19" t="n">
        <x:f>MAX(0,'Assumptions'!I45)</x:f>
        <x:v>0</x:v>
      </x:c>
    </x:row>
    <x:row r="60" ht="21" customHeight="1">
      <x:c r="C60" s="1" t="str">
        <x:v>Share-based compensation reserve credit</x:v>
      </x:c>
      <x:c r="D60" s="2"/>
      <x:c r="E60" s="2"/>
      <x:c r="F60" s="2"/>
      <x:c r="G60" s="19" t="n">
        <x:f>MAX(0,'Assumptions'!G46)</x:f>
        <x:v>0</x:v>
      </x:c>
      <x:c r="H60" s="19" t="n">
        <x:f>MAX(0,'Assumptions'!H46)</x:f>
        <x:v>0</x:v>
      </x:c>
      <x:c r="I60" s="19" t="n">
        <x:f>MAX(0,'Assumptions'!I46)</x:f>
        <x:v>0</x:v>
      </x:c>
    </x:row>
    <x:row r="61" ht="21" customHeight="1">
      <x:c r="C61" s="1" t="str">
        <x:v>Closing share capital and other reserves</x:v>
      </x:c>
      <x:c r="D61" s="2"/>
      <x:c r="E61" s="2"/>
      <x:c r="F61" s="2"/>
      <x:c r="G61" s="27" t="n">
        <x:f>SUM(G58:G60)</x:f>
        <x:v>52732.66219997003</x:v>
      </x:c>
      <x:c r="H61" s="27" t="n">
        <x:f>SUM(H58:H60)</x:f>
        <x:v>52732.66219997003</x:v>
      </x:c>
      <x:c r="I61" s="27" t="n">
        <x:f>SUM(I58:I60)</x:f>
        <x:v>52732.66219997003</x:v>
      </x:c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 t="str">
        <x:v>Total closing equity</x:v>
      </x:c>
      <x:c r="D63" s="2"/>
      <x:c r="E63" s="2"/>
      <x:c r="F63" s="2"/>
      <x:c r="G63" s="27" t="n">
        <x:f>G48+G55+G61</x:f>
        <x:v>275860.3247678577</x:v>
      </x:c>
      <x:c r="H63" s="27" t="n">
        <x:f>H48+H55+H61</x:f>
        <x:v>298479.89532947086</x:v>
      </x:c>
      <x:c r="I63" s="27" t="n">
        <x:f>I48+I55+I61</x:f>
        <x:v>321845.24189550197</x:v>
      </x:c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贵州茅台 Kweichow Moutai</x:v>
      </x:c>
      <x:c r="D2" s="4"/>
      <x:c r="E2" s="4"/>
      <x:c r="F2" s="4"/>
      <x:c r="G2" s="4"/>
      <x:c r="H2" s="4"/>
      <x:c r="I2" s="4"/>
    </x:row>
    <x:row r="3" ht="21" customHeight="1">
      <x:c r="C3" s="5" t="str">
        <x:v>Interim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str">
        <x:v>H1 2025A</x:v>
      </x:c>
      <x:c r="E7" s="13" t="str">
        <x:v>H1 2026A</x:v>
      </x:c>
      <x:c r="F7" s="13"/>
      <x:c r="G7" s="14"/>
      <x:c r="H7" s="14"/>
      <x:c r="I7" s="14"/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2" t="n">
        <x:v>89389.35441684</x:v>
      </x:c>
      <x:c r="E9" s="2" t="n">
        <x:v>90703.26096448</x:v>
      </x:c>
      <x:c r="F9" s="2"/>
      <x:c r="G9" s="2"/>
      <x:c r="H9" s="2"/>
      <x:c r="I9" s="2"/>
    </x:row>
    <x:row r="10" ht="21" customHeight="1">
      <x:c r="C10" s="1" t="str">
        <x:v>Profit before tax</x:v>
      </x:c>
      <x:c r="D10" s="2" t="n">
        <x:v>62778.00076682</x:v>
      </x:c>
      <x:c r="E10" s="2" t="n">
        <x:v>61438.41917729</x:v>
      </x:c>
      <x:c r="F10" s="2"/>
      <x:c r="G10" s="2"/>
      <x:c r="H10" s="2"/>
      <x:c r="I10" s="2"/>
    </x:row>
    <x:row r="11" ht="21" customHeight="1">
      <x:c r="C11" s="1" t="str">
        <x:v>Consolidated net income</x:v>
      </x:c>
      <x:c r="D11" s="2" t="n">
        <x:v>46986.68144924</x:v>
      </x:c>
      <x:c r="E11" s="2" t="n">
        <x:v>46033.33056678</x:v>
      </x:c>
      <x:c r="F11" s="2"/>
      <x:c r="G11" s="2"/>
      <x:c r="H11" s="2"/>
      <x:c r="I11" s="2"/>
    </x:row>
    <x:row r="12" ht="21" customHeight="1">
      <x:c r="C12" s="1"/>
      <x:c r="D12" s="2"/>
      <x:c r="E12" s="2"/>
      <x:c r="F12" s="2"/>
      <x:c r="G12" s="2"/>
      <x:c r="H12" s="2"/>
      <x:c r="I12" s="2"/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 t="str">
        <x:v>Segment revenue allocation</x:v>
      </x:c>
      <x:c r="D14" s="2"/>
      <x:c r="E14" s="2"/>
      <x:c r="F14" s="2"/>
      <x:c r="G14" s="2"/>
      <x:c r="H14" s="2"/>
      <x:c r="I14" s="2"/>
    </x:row>
    <x:row r="15" ht="21" customHeight="1">
      <x:c r="C15" s="1"/>
      <x:c r="D15" s="2"/>
      <x:c r="E15" s="2"/>
      <x:c r="F15" s="2"/>
      <x:c r="G15" s="2"/>
      <x:c r="H15" s="2"/>
      <x:c r="I15" s="2"/>
    </x:row>
    <x:row r="16" ht="52" customHeight="1">
      <x:c r="C16" s="1" t="str">
        <x:v>茅台酒</x:v>
      </x:c>
      <x:c r="D16" s="19" t="n">
        <x:f>$D$9*'Operating'!$F$12/'SourceFacts'!F9</x:f>
        <x:v>77562.65835356258</x:v>
      </x:c>
      <x:c r="E16" s="2" t="n">
        <x:v>77724.43792548</x:v>
      </x:c>
      <x:c r="F16" s="20" t="str">
        <x:v>H1 2026 product revenue SOURCE_FACT; H1 2025 mix allocation LEAP from FY2025 mix</x:v>
      </x:c>
      <x:c r="G16" s="2"/>
      <x:c r="H16" s="2"/>
      <x:c r="I16" s="2"/>
    </x:row>
    <x:row r="17" ht="52" customHeight="1">
      <x:c r="C17" s="1" t="str">
        <x:v>系列酒</x:v>
      </x:c>
      <x:c r="D17" s="19" t="n">
        <x:f>$D$9*'Operating'!$F$20/'SourceFacts'!F9</x:f>
        <x:v>11793.067558912806</x:v>
      </x:c>
      <x:c r="E17" s="2" t="n">
        <x:v>12934.18651182</x:v>
      </x:c>
      <x:c r="F17" s="20" t="str">
        <x:v>H1 2026 product revenue SOURCE_FACT; H1 2025 mix allocation LEAP from FY2025 mix</x:v>
      </x:c>
      <x:c r="G17" s="2"/>
      <x:c r="H17" s="2"/>
      <x:c r="I17" s="2"/>
    </x:row>
    <x:row r="18" ht="52" customHeight="1">
      <x:c r="C18" s="1" t="str">
        <x:v>其他营业收入</x:v>
      </x:c>
      <x:c r="D18" s="19" t="n">
        <x:f>$D$9*'Operating'!$F$28/'SourceFacts'!F9</x:f>
        <x:v>33.62850436460511</x:v>
      </x:c>
      <x:c r="E18" s="2" t="n">
        <x:v>44.63652718</x:v>
      </x:c>
      <x:c r="F18" s="20" t="str">
        <x:v>H1 2026 product revenue SOURCE_FACT; H1 2025 mix allocation LEAP from FY2025 mix</x:v>
      </x:c>
      <x:c r="G18" s="2"/>
      <x:c r="H18" s="2"/>
      <x:c r="I18" s="2"/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"/>
      <x:c r="D21" s="2"/>
      <x:c r="E21" s="2"/>
      <x:c r="F21" s="2"/>
      <x:c r="G21" s="2"/>
      <x:c r="H21" s="2"/>
      <x:c r="I21" s="2"/>
    </x:row>
    <x:row r="22" ht="21" customHeight="1">
      <x:c r="C22" s="1"/>
      <x:c r="D22" s="2"/>
      <x:c r="E22" s="2"/>
      <x:c r="F22" s="2"/>
      <x:c r="G22" s="2"/>
      <x:c r="H22" s="2"/>
      <x:c r="I22" s="2"/>
    </x:row>
    <x:row r="23" ht="21" customHeight="1">
      <x:c r="C23" s="1"/>
      <x:c r="D23" s="2"/>
      <x:c r="E23" s="2"/>
      <x:c r="F23" s="2"/>
      <x:c r="G23" s="2"/>
      <x:c r="H23" s="2"/>
      <x:c r="I23" s="2"/>
    </x:row>
    <x:row r="24" ht="21" customHeight="1">
      <x:c r="C24" s="1"/>
      <x:c r="D24" s="2"/>
      <x:c r="E24" s="2"/>
      <x:c r="F24" s="2"/>
      <x:c r="G24" s="2"/>
      <x:c r="H24" s="2"/>
      <x:c r="I24" s="2"/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"/>
      <x:c r="D29" s="2"/>
      <x:c r="E29" s="2"/>
      <x:c r="F29" s="2"/>
      <x:c r="G29" s="2"/>
      <x:c r="H29" s="2"/>
      <x:c r="I29" s="2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/>
      <x:c r="D31" s="2"/>
      <x:c r="E31" s="2"/>
      <x:c r="F31" s="2"/>
      <x:c r="G31" s="2"/>
      <x:c r="H31" s="2"/>
      <x:c r="I31" s="2"/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/>
      <x:c r="D34" s="2"/>
      <x:c r="E34" s="2"/>
      <x:c r="F34" s="2"/>
      <x:c r="G34" s="2"/>
      <x:c r="H34" s="2"/>
      <x:c r="I34" s="2"/>
    </x:row>
    <x:row r="35" ht="21" customHeight="1">
      <x:c r="C35" s="1"/>
      <x:c r="D35" s="2"/>
      <x:c r="E35" s="2"/>
      <x:c r="F35" s="2"/>
      <x:c r="G35" s="2"/>
      <x:c r="H35" s="2"/>
      <x:c r="I35" s="2"/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F16:I16"/>
    <x:mergeCell ref="F17:I17"/>
    <x:mergeCell ref="F18:I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贵州茅台 Kweichow Moutai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SourceFacts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2" t="n">
        <x:v>147693.60499414</x:v>
      </x:c>
      <x:c r="E9" s="2" t="n">
        <x:v>170899.15227634</x:v>
      </x:c>
      <x:c r="F9" s="2" t="n">
        <x:v>168838.10251479002</x:v>
      </x:c>
      <x:c r="G9" s="2"/>
      <x:c r="H9" s="2"/>
      <x:c r="I9" s="2"/>
    </x:row>
    <x:row r="10" ht="21" customHeight="1">
      <x:c r="C10" s="1" t="str">
        <x:v>Cost of revenue</x:v>
      </x:c>
      <x:c r="D10" s="2" t="n">
        <x:v>11867.27385178</x:v>
      </x:c>
      <x:c r="E10" s="2" t="n">
        <x:v>13789.48236798</x:v>
      </x:c>
      <x:c r="F10" s="2" t="n">
        <x:v>14892.27757091</x:v>
      </x:c>
      <x:c r="G10" s="2"/>
      <x:c r="H10" s="2"/>
      <x:c r="I10" s="2"/>
    </x:row>
    <x:row r="11" ht="21" customHeight="1">
      <x:c r="C11" s="1" t="str">
        <x:v>Selling expenses</x:v>
      </x:c>
      <x:c r="D11" s="2" t="n">
        <x:v>4648.61358582</x:v>
      </x:c>
      <x:c r="E11" s="2" t="n">
        <x:v>5639.3000594899995</x:v>
      </x:c>
      <x:c r="F11" s="2" t="n">
        <x:v>7253.49960068</x:v>
      </x:c>
      <x:c r="G11" s="2"/>
      <x:c r="H11" s="2"/>
      <x:c r="I11" s="2"/>
    </x:row>
    <x:row r="12" ht="21" customHeight="1">
      <x:c r="C12" s="1" t="str">
        <x:v>Administrative expenses</x:v>
      </x:c>
      <x:c r="D12" s="2" t="n">
        <x:v>9729.38925231</x:v>
      </x:c>
      <x:c r="E12" s="2" t="n">
        <x:v>9315.65006038</x:v>
      </x:c>
      <x:c r="F12" s="2" t="n">
        <x:v>8320.06165966</x:v>
      </x:c>
      <x:c r="G12" s="2"/>
      <x:c r="H12" s="2"/>
      <x:c r="I12" s="2"/>
    </x:row>
    <x:row r="13" ht="21" customHeight="1">
      <x:c r="C13" s="1" t="str">
        <x:v>Research and development</x:v>
      </x:c>
      <x:c r="D13" s="2" t="n">
        <x:v>157.37187301</x:v>
      </x:c>
      <x:c r="E13" s="2" t="n">
        <x:v>218.37547287</x:v>
      </x:c>
      <x:c r="F13" s="2" t="n">
        <x:v>190.11224658</x:v>
      </x:c>
      <x:c r="G13" s="2"/>
      <x:c r="H13" s="2"/>
      <x:c r="I13" s="2"/>
    </x:row>
    <x:row r="14" ht="21" customHeight="1">
      <x:c r="C14" s="1" t="str">
        <x:v>Business taxes and surcharges</x:v>
      </x:c>
      <x:c r="D14" s="2" t="n">
        <x:v>22234.1758986</x:v>
      </x:c>
      <x:c r="E14" s="2" t="n">
        <x:v>26926.16147499</x:v>
      </x:c>
      <x:c r="F14" s="2" t="n">
        <x:v>27354.22768488</x:v>
      </x:c>
      <x:c r="G14" s="2"/>
      <x:c r="H14" s="2"/>
      <x:c r="I14" s="2"/>
    </x:row>
    <x:row r="15" ht="21" customHeight="1">
      <x:c r="C15" s="1" t="str">
        <x:v>Net finance expense</x:v>
      </x:c>
      <x:c r="D15" s="2" t="n">
        <x:v>-1789.50370148</x:v>
      </x:c>
      <x:c r="E15" s="2" t="n">
        <x:v>-1470.2198633399998</x:v>
      </x:c>
      <x:c r="F15" s="2" t="n">
        <x:v>-815.24028472</x:v>
      </x:c>
      <x:c r="G15" s="2"/>
      <x:c r="H15" s="2"/>
      <x:c r="I15" s="2"/>
    </x:row>
    <x:row r="16" ht="21" customHeight="1">
      <x:c r="C16" s="1" t="str">
        <x:v>Interest expense</x:v>
      </x:c>
      <x:c r="D16" s="2" t="n">
        <x:v>12.62462835</x:v>
      </x:c>
      <x:c r="E16" s="2" t="n">
        <x:v>14.47458409</x:v>
      </x:c>
      <x:c r="F16" s="2" t="n">
        <x:v>28.73494829</x:v>
      </x:c>
      <x:c r="G16" s="2"/>
      <x:c r="H16" s="2"/>
      <x:c r="I16" s="2"/>
    </x:row>
    <x:row r="17" ht="21" customHeight="1">
      <x:c r="C17" s="1" t="str">
        <x:v>Other pretax net income (source reconciliation)</x:v>
      </x:c>
      <x:c r="D17" s="19" t="n">
        <x:f>'SourceFacts'!D18-'SourceFacts'!D9+SUM(D10:D14)+'SourceFacts'!D15</x:f>
        <x:v>2816.269455709986</x:v>
      </x:c>
      <x:c r="E17" s="19" t="n">
        <x:f>'SourceFacts'!E18-'SourceFacts'!E9+SUM(E10:E14)+'SourceFacts'!E15</x:f>
        <x:v>3158.1754904899976</x:v>
      </x:c>
      <x:c r="F17" s="19" t="n">
        <x:f>'SourceFacts'!F18-'SourceFacts'!F9+SUM(F10:F14)+'SourceFacts'!F15</x:f>
        <x:v>3112.0975682799753</x:v>
      </x:c>
      <x:c r="G17" s="2"/>
      <x:c r="H17" s="2"/>
      <x:c r="I17" s="2"/>
    </x:row>
    <x:row r="18" ht="21" customHeight="1">
      <x:c r="C18" s="1" t="str">
        <x:v>Profit before tax</x:v>
      </x:c>
      <x:c r="D18" s="2" t="n">
        <x:v>103662.55368981</x:v>
      </x:c>
      <x:c r="E18" s="2" t="n">
        <x:v>119638.57819446</x:v>
      </x:c>
      <x:c r="F18" s="2" t="n">
        <x:v>114755.26160508</x:v>
      </x:c>
      <x:c r="G18" s="2"/>
      <x:c r="H18" s="2"/>
      <x:c r="I18" s="2"/>
    </x:row>
    <x:row r="19" ht="21" customHeight="1">
      <x:c r="C19" s="1" t="str">
        <x:v>Income tax expense</x:v>
      </x:c>
      <x:c r="D19" s="2" t="n">
        <x:v>26141.07741201</x:v>
      </x:c>
      <x:c r="E19" s="2" t="n">
        <x:v>30303.850168560002</x:v>
      </x:c>
      <x:c r="F19" s="2" t="n">
        <x:v>29444.93677141</x:v>
      </x:c>
      <x:c r="G19" s="2"/>
      <x:c r="H19" s="2"/>
      <x:c r="I19" s="2"/>
    </x:row>
    <x:row r="20" ht="21" customHeight="1">
      <x:c r="C20" s="1" t="str">
        <x:v>Consolidated net income</x:v>
      </x:c>
      <x:c r="D20" s="2" t="n">
        <x:v>77521.4762778</x:v>
      </x:c>
      <x:c r="E20" s="2" t="n">
        <x:v>89334.7280259</x:v>
      </x:c>
      <x:c r="F20" s="2" t="n">
        <x:v>85310.32483367</x:v>
      </x:c>
      <x:c r="G20" s="2"/>
      <x:c r="H20" s="2"/>
      <x:c r="I20" s="2"/>
    </x:row>
    <x:row r="21" ht="21" customHeight="1">
      <x:c r="C21" s="1" t="str">
        <x:v>Net income attributable to parent</x:v>
      </x:c>
      <x:c r="D21" s="2" t="n">
        <x:v>74734.07155075</x:v>
      </x:c>
      <x:c r="E21" s="2" t="n">
        <x:v>86228.14642162</x:v>
      </x:c>
      <x:c r="F21" s="2" t="n">
        <x:v>82320.06710167999</x:v>
      </x:c>
      <x:c r="G21" s="2"/>
      <x:c r="H21" s="2"/>
      <x:c r="I21" s="2"/>
    </x:row>
    <x:row r="22" ht="21" customHeight="1">
      <x:c r="C22" s="1" t="str">
        <x:v>Net income attributable to NCI</x:v>
      </x:c>
      <x:c r="D22" s="2" t="n">
        <x:v>2787.40472705</x:v>
      </x:c>
      <x:c r="E22" s="2" t="n">
        <x:v>3106.58160428</x:v>
      </x:c>
      <x:c r="F22" s="2" t="n">
        <x:v>2990.2577319899997</x:v>
      </x:c>
      <x:c r="G22" s="2"/>
      <x:c r="H22" s="2"/>
      <x:c r="I22" s="2"/>
    </x:row>
    <x:row r="23" ht="21" customHeight="1">
      <x:c r="C23" s="1" t="str">
        <x:v>Depreciation and amortization</x:v>
      </x:c>
      <x:c r="D23" s="2"/>
      <x:c r="E23" s="2" t="n">
        <x:v>2085.0196151200003</x:v>
      </x:c>
      <x:c r="F23" s="2" t="n">
        <x:v>2259.38705428</x:v>
      </x:c>
      <x:c r="G23" s="2"/>
      <x:c r="H23" s="2"/>
      <x:c r="I23" s="2"/>
    </x:row>
    <x:row r="24" ht="21" customHeight="1">
      <x:c r="C24" s="1" t="str">
        <x:v>Operating cash flow</x:v>
      </x:c>
      <x:c r="D24" s="2" t="n">
        <x:v>66593.24772109</x:v>
      </x:c>
      <x:c r="E24" s="2" t="n">
        <x:v>92463.69216842999</x:v>
      </x:c>
      <x:c r="F24" s="2" t="n">
        <x:v>61522.20498935</x:v>
      </x:c>
      <x:c r="G24" s="2"/>
      <x:c r="H24" s="2"/>
      <x:c r="I24" s="2"/>
    </x:row>
    <x:row r="25" ht="21" customHeight="1">
      <x:c r="C25" s="1" t="str">
        <x:v>Investing cash flow</x:v>
      </x:c>
      <x:c r="D25" s="2" t="n">
        <x:v>-9724.41401516</x:v>
      </x:c>
      <x:c r="E25" s="2" t="n">
        <x:v>-1785.20263071</x:v>
      </x:c>
      <x:c r="F25" s="2" t="n">
        <x:v>-31641.89894889</x:v>
      </x:c>
      <x:c r="G25" s="2"/>
      <x:c r="H25" s="2"/>
      <x:c r="I25" s="2"/>
    </x:row>
    <x:row r="26" ht="21" customHeight="1">
      <x:c r="C26" s="1" t="str">
        <x:v>Financing cash flow</x:v>
      </x:c>
      <x:c r="D26" s="2" t="n">
        <x:v>-58889.101991940006</x:v>
      </x:c>
      <x:c r="E26" s="2" t="n">
        <x:v>-71067.50648481</x:v>
      </x:c>
      <x:c r="F26" s="2" t="n">
        <x:v>-73427.08120886999</x:v>
      </x:c>
      <x:c r="G26" s="2"/>
      <x:c r="H26" s="2"/>
      <x:c r="I26" s="2"/>
    </x:row>
    <x:row r="27" ht="21" customHeight="1">
      <x:c r="C27" s="1" t="str">
        <x:v>Foreign exchange effect on cash</x:v>
      </x:c>
      <x:c r="D27" s="2" t="n">
        <x:v>1.71825565</x:v>
      </x:c>
      <x:c r="E27" s="2" t="n">
        <x:v>-1.0827475500000001</x:v>
      </x:c>
      <x:c r="F27" s="2" t="n">
        <x:v>2.2953582999999997</x:v>
      </x:c>
      <x:c r="G27" s="2"/>
      <x:c r="H27" s="2"/>
      <x:c r="I27" s="2"/>
    </x:row>
    <x:row r="28" ht="21" customHeight="1">
      <x:c r="C28" s="1" t="str">
        <x:v>Opening cash and cash equivalents</x:v>
      </x:c>
      <x:c r="D28" s="2" t="n">
        <x:v>152378.73898283</x:v>
      </x:c>
      <x:c r="E28" s="2" t="n">
        <x:v>150360.18895247</x:v>
      </x:c>
      <x:c r="F28" s="2" t="n">
        <x:v>169970.08925783</x:v>
      </x:c>
      <x:c r="G28" s="2"/>
      <x:c r="H28" s="2"/>
      <x:c r="I28" s="2"/>
    </x:row>
    <x:row r="29" ht="21" customHeight="1">
      <x:c r="C29" s="1" t="str">
        <x:v>Cash and cash equivalents</x:v>
      </x:c>
      <x:c r="D29" s="2" t="n">
        <x:v>150360.18895247</x:v>
      </x:c>
      <x:c r="E29" s="2" t="n">
        <x:v>169970.08925783</x:v>
      </x:c>
      <x:c r="F29" s="2" t="n">
        <x:v>126425.60944772</x:v>
      </x:c>
      <x:c r="G29" s="2"/>
      <x:c r="H29" s="2"/>
      <x:c r="I29" s="2"/>
    </x:row>
    <x:row r="30" ht="21" customHeight="1">
      <x:c r="C30" s="1" t="str">
        <x:v>Cash capex including intangible additions</x:v>
      </x:c>
      <x:c r="D30" s="2" t="n">
        <x:v>2619.75588879</x:v>
      </x:c>
      <x:c r="E30" s="2" t="n">
        <x:v>4678.712053560001</x:v>
      </x:c>
      <x:c r="F30" s="2" t="n">
        <x:v>3127.5949164099998</x:v>
      </x:c>
      <x:c r="G30" s="2"/>
      <x:c r="H30" s="2"/>
      <x:c r="I30" s="2"/>
    </x:row>
    <x:row r="31" ht="21" customHeight="1">
      <x:c r="C31" s="1" t="str">
        <x:v>Monetary funds and interbank placements</x:v>
      </x:c>
      <x:c r="D31" s="19" t="n">
        <x:f>SUMIF('SourceBS'!$D$9:$D$44,"bankPool",'SourceBS'!E$9:E$44)</x:f>
        <x:v>174623.9728387</x:v>
      </x:c>
      <x:c r="E31" s="19" t="n">
        <x:f>SUMIF('SourceBS'!$D$9:$D$44,"bankPool",'SourceBS'!F$9:F$44)</x:f>
        <x:v>186483.11625506</x:v>
      </x:c>
      <x:c r="F31" s="19" t="n">
        <x:f>SUMIF('SourceBS'!$D$9:$D$44,"bankPool",'SourceBS'!G$9:G$44)</x:f>
        <x:v>150786.79900625</x:v>
      </x:c>
      <x:c r="G31" s="2"/>
      <x:c r="H31" s="2"/>
      <x:c r="I31" s="2"/>
    </x:row>
    <x:row r="32" ht="21" customHeight="1">
      <x:c r="C32" s="1" t="str">
        <x:v>Monetary funds / placements outside cash equivalents</x:v>
      </x:c>
      <x:c r="D32" s="19" t="n">
        <x:f>'SourceFacts'!D31-'SourceFacts'!D29</x:f>
        <x:v>24263.783886229998</x:v>
      </x:c>
      <x:c r="E32" s="19" t="n">
        <x:f>'SourceFacts'!E31-'SourceFacts'!E29</x:f>
        <x:v>16513.026997230016</x:v>
      </x:c>
      <x:c r="F32" s="19" t="n">
        <x:f>'SourceFacts'!F31-'SourceFacts'!F29</x:f>
        <x:v>24361.189558529994</x:v>
      </x:c>
      <x:c r="G32" s="2"/>
      <x:c r="H32" s="2"/>
      <x:c r="I32" s="2"/>
    </x:row>
    <x:row r="33" ht="21" customHeight="1">
      <x:c r="C33" s="1" t="str">
        <x:v>Receivables, bills and contract assets</x:v>
      </x:c>
      <x:c r="D33" s="19" t="n">
        <x:f>SUMIF('SourceBS'!$D$9:$D$44,"ar",'SourceBS'!E$9:E$44)</x:f>
        <x:v>74.30685041</x:v>
      </x:c>
      <x:c r="E33" s="19" t="n">
        <x:f>SUMIF('SourceBS'!$D$9:$D$44,"ar",'SourceBS'!F$9:F$44)</x:f>
        <x:v>2003.38216025</x:v>
      </x:c>
      <x:c r="F33" s="19" t="n">
        <x:f>SUMIF('SourceBS'!$D$9:$D$44,"ar",'SourceBS'!G$9:G$44)</x:f>
        <x:v>4459.67320865</x:v>
      </x:c>
      <x:c r="G33" s="2"/>
      <x:c r="H33" s="2"/>
      <x:c r="I33" s="2"/>
    </x:row>
    <x:row r="34" ht="21" customHeight="1">
      <x:c r="C34" s="1" t="str">
        <x:v>Inventory</x:v>
      </x:c>
      <x:c r="D34" s="19" t="n">
        <x:f>SUMIF('SourceBS'!$D$9:$D$44,"inventory",'SourceBS'!E$9:E$44)</x:f>
        <x:v>46435.18506153</x:v>
      </x:c>
      <x:c r="E34" s="19" t="n">
        <x:f>SUMIF('SourceBS'!$D$9:$D$44,"inventory",'SourceBS'!F$9:F$44)</x:f>
        <x:v>54343.28515747</x:v>
      </x:c>
      <x:c r="F34" s="19" t="n">
        <x:f>SUMIF('SourceBS'!$D$9:$D$44,"inventory",'SourceBS'!G$9:G$44)</x:f>
        <x:v>61427.42179618</x:v>
      </x:c>
      <x:c r="G34" s="2"/>
      <x:c r="H34" s="2"/>
      <x:c r="I34" s="2"/>
    </x:row>
    <x:row r="35" ht="21" customHeight="1">
      <x:c r="C35" s="1" t="str">
        <x:v>PPE, construction in progress and investment property</x:v>
      </x:c>
      <x:c r="D35" s="19" t="n">
        <x:f>SUMIF('SourceBS'!$D$9:$D$44,"ppe",'SourceBS'!E$9:E$44)</x:f>
        <x:v>22050.88390175</x:v>
      </x:c>
      <x:c r="E35" s="19" t="n">
        <x:f>SUMIF('SourceBS'!$D$9:$D$44,"ppe",'SourceBS'!F$9:F$44)</x:f>
        <x:v>24028.691852019998</x:v>
      </x:c>
      <x:c r="F35" s="19" t="n">
        <x:f>SUMIF('SourceBS'!$D$9:$D$44,"ppe",'SourceBS'!G$9:G$44)</x:f>
        <x:v>24963.11637749</x:v>
      </x:c>
      <x:c r="G35" s="2"/>
      <x:c r="H35" s="2"/>
      <x:c r="I35" s="2"/>
    </x:row>
    <x:row r="36" ht="21" customHeight="1">
      <x:c r="C36" s="1" t="str">
        <x:v>Intangibles, development and deferred costs</x:v>
      </x:c>
      <x:c r="D36" s="19" t="n">
        <x:f>SUMIF('SourceBS'!$D$9:$D$44,"intang",'SourceBS'!E$9:E$44)</x:f>
        <x:v>8950.34179947</x:v>
      </x:c>
      <x:c r="E36" s="19" t="n">
        <x:f>SUMIF('SourceBS'!$D$9:$D$44,"intang",'SourceBS'!F$9:F$44)</x:f>
        <x:v>9100.83465927</x:v>
      </x:c>
      <x:c r="F36" s="19" t="n">
        <x:f>SUMIF('SourceBS'!$D$9:$D$44,"intang",'SourceBS'!G$9:G$44)</x:f>
        <x:v>8937.95325149</x:v>
      </x:c>
      <x:c r="G36" s="2"/>
      <x:c r="H36" s="2"/>
      <x:c r="I36" s="2"/>
    </x:row>
    <x:row r="37" ht="21" customHeight="1">
      <x:c r="C37" s="1" t="str">
        <x:v>Right-of-use assets</x:v>
      </x:c>
      <x:c r="D37" s="19" t="n">
        <x:f>SUMIF('SourceBS'!$D$9:$D$44,"rou",'SourceBS'!E$9:E$44)</x:f>
        <x:v>314.20548456</x:v>
      </x:c>
      <x:c r="E37" s="19" t="n">
        <x:f>SUMIF('SourceBS'!$D$9:$D$44,"rou",'SourceBS'!F$9:F$44)</x:f>
        <x:v>410.59417353</x:v>
      </x:c>
      <x:c r="F37" s="19" t="n">
        <x:f>SUMIF('SourceBS'!$D$9:$D$44,"rou",'SourceBS'!G$9:G$44)</x:f>
        <x:v>221.73822751</x:v>
      </x:c>
      <x:c r="G37" s="2"/>
      <x:c r="H37" s="2"/>
      <x:c r="I37" s="2"/>
    </x:row>
    <x:row r="38" ht="21" customHeight="1">
      <x:c r="C38" s="1" t="str">
        <x:v>Financial investments and finance-company loan assets</x:v>
      </x:c>
      <x:c r="D38" s="19" t="n">
        <x:f>SUMIF('SourceBS'!$D$9:$D$44,"investments",'SourceBS'!E$9:E$44)</x:f>
        <x:v>15361.822107840002</x:v>
      </x:c>
      <x:c r="E38" s="19" t="n">
        <x:f>SUMIF('SourceBS'!$D$9:$D$44,"investments",'SourceBS'!F$9:F$44)</x:f>
        <x:v>16605.16568545</x:v>
      </x:c>
      <x:c r="F38" s="19" t="n">
        <x:f>SUMIF('SourceBS'!$D$9:$D$44,"investments",'SourceBS'!G$9:G$44)</x:f>
        <x:v>46166.25439342001</x:v>
      </x:c>
      <x:c r="G38" s="2"/>
      <x:c r="H38" s="2"/>
      <x:c r="I38" s="2"/>
    </x:row>
    <x:row r="39" ht="21" customHeight="1">
      <x:c r="C39" s="1" t="str">
        <x:v>Other assets (named components in SourceBS)</x:v>
      </x:c>
      <x:c r="D39" s="19" t="n">
        <x:f>SUMIF('SourceBS'!$D$9:$D$44,"otherAssets",'SourceBS'!E$9:E$44)</x:f>
        <x:v>4888.942047990001</x:v>
      </x:c>
      <x:c r="E39" s="19" t="n">
        <x:f>SUMIF('SourceBS'!$D$9:$D$44,"otherAssets",'SourceBS'!F$9:F$44)</x:f>
        <x:v>5969.50997565</x:v>
      </x:c>
      <x:c r="F39" s="19" t="n">
        <x:f>SUMIF('SourceBS'!$D$9:$D$44,"otherAssets",'SourceBS'!G$9:G$44)</x:f>
        <x:v>6871.88776045</x:v>
      </x:c>
      <x:c r="G39" s="2"/>
      <x:c r="H39" s="2"/>
      <x:c r="I39" s="2"/>
    </x:row>
    <x:row r="40" ht="21" customHeight="1">
      <x:c r="C40" s="1" t="str">
        <x:v>Total assets</x:v>
      </x:c>
      <x:c r="D40" s="2" t="n">
        <x:v>272699.66009225</x:v>
      </x:c>
      <x:c r="E40" s="2" t="n">
        <x:v>298944.57991870004</x:v>
      </x:c>
      <x:c r="F40" s="2" t="n">
        <x:v>303834.84402144</x:v>
      </x:c>
      <x:c r="G40" s="2"/>
      <x:c r="H40" s="2"/>
      <x:c r="I40" s="2"/>
    </x:row>
    <x:row r="41" ht="21" customHeight="1">
      <x:c r="C41" s="1" t="str">
        <x:v>Trade and bills payables</x:v>
      </x:c>
      <x:c r="D41" s="19" t="n">
        <x:f>SUMIF('SourceBS'!$D$9:$D$44,"ap",'SourceBS'!E$9:E$44)</x:f>
        <x:v>3093.09110367</x:v>
      </x:c>
      <x:c r="E41" s="19" t="n">
        <x:f>SUMIF('SourceBS'!$D$9:$D$44,"ap",'SourceBS'!F$9:F$44)</x:f>
        <x:v>3514.96923031</x:v>
      </x:c>
      <x:c r="F41" s="19" t="n">
        <x:f>SUMIF('SourceBS'!$D$9:$D$44,"ap",'SourceBS'!G$9:G$44)</x:f>
        <x:v>4007.30904987</x:v>
      </x:c>
      <x:c r="G41" s="2"/>
      <x:c r="H41" s="2"/>
      <x:c r="I41" s="2"/>
    </x:row>
    <x:row r="42" ht="21" customHeight="1">
      <x:c r="C42" s="1" t="str">
        <x:v>Contract liabilities and customer advances</x:v>
      </x:c>
      <x:c r="D42" s="19" t="n">
        <x:f>SUMIF('SourceBS'!$D$9:$D$44,"contract",'SourceBS'!E$9:E$44)</x:f>
        <x:v>14125.755802290001</x:v>
      </x:c>
      <x:c r="E42" s="19" t="n">
        <x:f>SUMIF('SourceBS'!$D$9:$D$44,"contract",'SourceBS'!F$9:F$44)</x:f>
        <x:v>9592.45301466</x:v>
      </x:c>
      <x:c r="F42" s="19" t="n">
        <x:f>SUMIF('SourceBS'!$D$9:$D$44,"contract",'SourceBS'!G$9:G$44)</x:f>
        <x:v>8006.73978094</x:v>
      </x:c>
      <x:c r="G42" s="2"/>
      <x:c r="H42" s="2"/>
      <x:c r="I42" s="2"/>
    </x:row>
    <x:row r="43" ht="21" customHeight="1">
      <x:c r="C43" s="1" t="str">
        <x:v>Borrowings, current maturities and lease liabilities</x:v>
      </x:c>
      <x:c r="D43" s="19" t="n">
        <x:f>SUMIF('SourceBS'!$D$9:$D$44,"debt",'SourceBS'!E$9:E$44)</x:f>
        <x:v>323.69111352</x:v>
      </x:c>
      <x:c r="E43" s="19" t="n">
        <x:f>SUMIF('SourceBS'!$D$9:$D$44,"debt",'SourceBS'!F$9:F$44)</x:f>
        <x:v>425.85752796</x:v>
      </x:c>
      <x:c r="F43" s="19" t="n">
        <x:f>SUMIF('SourceBS'!$D$9:$D$44,"debt",'SourceBS'!G$9:G$44)</x:f>
        <x:v>233.71117982</x:v>
      </x:c>
      <x:c r="G43" s="2"/>
      <x:c r="H43" s="2"/>
      <x:c r="I43" s="2"/>
    </x:row>
    <x:row r="44" ht="21" customHeight="1">
      <x:c r="C44" s="1" t="str">
        <x:v>Taxes payable (income and other taxes)</x:v>
      </x:c>
      <x:c r="D44" s="19" t="n">
        <x:f>SUMIF('SourceBS'!$D$9:$D$44,"taxPayable",'SourceBS'!E$9:E$44)</x:f>
        <x:v>6949.66389387</x:v>
      </x:c>
      <x:c r="E44" s="19" t="n">
        <x:f>SUMIF('SourceBS'!$D$9:$D$44,"taxPayable",'SourceBS'!F$9:F$44)</x:f>
        <x:v>7717.686541380001</x:v>
      </x:c>
      <x:c r="F44" s="19" t="n">
        <x:f>SUMIF('SourceBS'!$D$9:$D$44,"taxPayable",'SourceBS'!G$9:G$44)</x:f>
        <x:v>7697.16983069</x:v>
      </x:c>
      <x:c r="G44" s="2"/>
      <x:c r="H44" s="2"/>
      <x:c r="I44" s="2"/>
    </x:row>
    <x:row r="45" ht="21" customHeight="1">
      <x:c r="C45" s="1" t="str">
        <x:v>Finance-company customer deposits</x:v>
      </x:c>
      <x:c r="D45" s="19" t="n">
        <x:f>SUMIF('SourceBS'!$D$9:$D$44,"deposits",'SourceBS'!E$9:E$44)</x:f>
        <x:v>12034.49290995</x:v>
      </x:c>
      <x:c r="E45" s="19" t="n">
        <x:f>SUMIF('SourceBS'!$D$9:$D$44,"deposits",'SourceBS'!F$9:F$44)</x:f>
        <x:v>23102.858820970003</x:v>
      </x:c>
      <x:c r="F45" s="19" t="n">
        <x:f>SUMIF('SourceBS'!$D$9:$D$44,"deposits",'SourceBS'!G$9:G$44)</x:f>
        <x:v>18038.3837763</x:v>
      </x:c>
      <x:c r="G45" s="2"/>
      <x:c r="H45" s="2"/>
      <x:c r="I45" s="2"/>
    </x:row>
    <x:row r="46" ht="21" customHeight="1">
      <x:c r="C46" s="1" t="str">
        <x:v>Other liabilities (named components in SourceBS)</x:v>
      </x:c>
      <x:c r="D46" s="19" t="n">
        <x:f>SUMIF('SourceBS'!$D$9:$D$44,"otherLiabilities",'SourceBS'!E$9:E$44)</x:f>
        <x:v>12516.495974129999</x:v>
      </x:c>
      <x:c r="E46" s="19" t="n">
        <x:f>SUMIF('SourceBS'!$D$9:$D$44,"otherLiabilities",'SourceBS'!F$9:F$44)</x:f>
        <x:v>12579.43966282</x:v>
      </x:c>
      <x:c r="F46" s="19" t="n">
        <x:f>SUMIF('SourceBS'!$D$9:$D$44,"otherLiabilities",'SourceBS'!G$9:G$44)</x:f>
        <x:v>11892.27649475</x:v>
      </x:c>
      <x:c r="G46" s="2"/>
      <x:c r="H46" s="2"/>
      <x:c r="I46" s="2"/>
    </x:row>
    <x:row r="47" ht="21" customHeight="1">
      <x:c r="C47" s="1" t="str">
        <x:v>Total liabilities</x:v>
      </x:c>
      <x:c r="D47" s="2" t="n">
        <x:v>49043.19079743</x:v>
      </x:c>
      <x:c r="E47" s="2" t="n">
        <x:v>56933.2647981</x:v>
      </x:c>
      <x:c r="F47" s="2" t="n">
        <x:v>49875.59011237</x:v>
      </x:c>
      <x:c r="G47" s="2"/>
      <x:c r="H47" s="2"/>
      <x:c r="I47" s="2"/>
    </x:row>
    <x:row r="48" ht="21" customHeight="1">
      <x:c r="C48" s="1" t="str">
        <x:v>Retained earnings / undistributed profits</x:v>
      </x:c>
      <x:c r="D48" s="2" t="n">
        <x:v>172983.17830009</x:v>
      </x:c>
      <x:c r="E48" s="2" t="n">
        <x:v>182787.41520505</x:v>
      </x:c>
      <x:c r="F48" s="2" t="n">
        <x:v>191905.14883221</x:v>
      </x:c>
      <x:c r="G48" s="2"/>
      <x:c r="H48" s="2"/>
      <x:c r="I48" s="2"/>
    </x:row>
    <x:row r="49" ht="21" customHeight="1">
      <x:c r="C49" s="1" t="str">
        <x:v>Non-controlling interests</x:v>
      </x:c>
      <x:c r="D49" s="2" t="n">
        <x:v>7987.89768739</x:v>
      </x:c>
      <x:c r="E49" s="2" t="n">
        <x:v>8905.33072113</x:v>
      </x:c>
      <x:c r="F49" s="2" t="n">
        <x:v>9321.44287689</x:v>
      </x:c>
      <x:c r="G49" s="2"/>
      <x:c r="H49" s="2"/>
      <x:c r="I49" s="2"/>
    </x:row>
    <x:row r="50" ht="21" customHeight="1">
      <x:c r="C50" s="1" t="str">
        <x:v>Total equity</x:v>
      </x:c>
      <x:c r="D50" s="2" t="n">
        <x:v>223656.46929482</x:v>
      </x:c>
      <x:c r="E50" s="2" t="n">
        <x:v>242011.31512060002</x:v>
      </x:c>
      <x:c r="F50" s="2" t="n">
        <x:v>253959.25390907002</x:v>
      </x:c>
      <x:c r="G50" s="2"/>
      <x:c r="H50" s="2"/>
      <x:c r="I50" s="2"/>
    </x:row>
    <x:row r="51" ht="21" customHeight="1">
      <x:c r="C51" s="1" t="str">
        <x:v>Source asset mapping difference</x:v>
      </x:c>
      <x:c r="D51" s="2" t="n">
        <x:v>0</x:v>
      </x:c>
      <x:c r="E51" s="2" t="n">
        <x:v>0</x:v>
      </x:c>
      <x:c r="F51" s="2" t="n">
        <x:v>0</x:v>
      </x:c>
      <x:c r="G51" s="2"/>
      <x:c r="H51" s="2"/>
      <x:c r="I51" s="2"/>
    </x:row>
    <x:row r="52" ht="21" customHeight="1">
      <x:c r="C52" s="1" t="str">
        <x:v>Source liability mapping difference</x:v>
      </x:c>
      <x:c r="D52" s="2" t="n">
        <x:v>0</x:v>
      </x:c>
      <x:c r="E52" s="2" t="n">
        <x:v>7.275957614183426e-12</x:v>
      </x:c>
      <x:c r="F52" s="2" t="n">
        <x:v>0</x:v>
      </x:c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 t="str">
        <x:v>2023 D&amp;A unavailable in this normalized view; annual PDF retained.</x:v>
      </x:c>
      <x:c r="D56" s="2"/>
      <x:c r="E56" s="2"/>
      <x:c r="F56" s="2"/>
      <x:c r="G56" s="2"/>
      <x:c r="H56" s="2"/>
      <x:c r="I56" s="2"/>
    </x:row>
    <x:row r="57" ht="21" customHeight="1">
      <x:c r="C57" s="1" t="str">
        <x:v>Other pretax income is a historical reconciliation, not a forecast plug.</x:v>
      </x:c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70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贵州茅台 Kweichow Moutai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SourceBS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 t="str">
        <x:v>Reported line</x:v>
      </x:c>
      <x:c r="D7" s="13" t="str">
        <x:v>Model group</x:v>
      </x:c>
      <x:c r="E7" s="13" t="str">
        <x:v>2023A</x:v>
      </x:c>
      <x:c r="F7" s="13" t="str">
        <x:v>2024A</x:v>
      </x:c>
      <x:c r="G7" s="14" t="str">
        <x:v>2025A</x:v>
      </x:c>
      <x:c r="H7" s="14" t="str">
        <x:v>Source page / line</x:v>
      </x:c>
      <x:c r="I7" s="14" t="str"/>
    </x:row>
    <x:row r="8" ht="21" customHeight="1">
      <x:c r="C8" s="1"/>
      <x:c r="D8" s="2"/>
      <x:c r="E8" s="2"/>
      <x:c r="F8" s="2"/>
      <x:c r="G8" s="2"/>
      <x:c r="H8" s="2"/>
      <x:c r="I8" s="2"/>
    </x:row>
    <x:row r="9" ht="42" customHeight="1">
      <x:c r="C9" s="1" t="str">
        <x:v>货币资金</x:v>
      </x:c>
      <x:c r="D9" s="2" t="str">
        <x:v>bankPool</x:v>
      </x:c>
      <x:c r="E9" s="2" t="n">
        <x:v>69070.13637611999</x:v>
      </x:c>
      <x:c r="F9" s="2" t="n">
        <x:v>59295.82295689</x:v>
      </x:c>
      <x:c r="G9" s="2" t="n">
        <x:v>51690.6109465</x:v>
      </x:c>
      <x:c r="H9" s="20" t="str">
        <x:v>2023: moutai_FY2024 P058 L044; 2024: moutai_FY2025 P056 L043; 2025: moutai_FY2025 P056 L043</x:v>
      </x:c>
      <x:c r="I9" s="2"/>
    </x:row>
    <x:row r="10" ht="42" customHeight="1">
      <x:c r="C10" s="1" t="str">
        <x:v>拆出资金</x:v>
      </x:c>
      <x:c r="D10" s="2" t="str">
        <x:v>bankPool</x:v>
      </x:c>
      <x:c r="E10" s="2" t="n">
        <x:v>105553.83646258</x:v>
      </x:c>
      <x:c r="F10" s="2" t="n">
        <x:v>127187.29329817</x:v>
      </x:c>
      <x:c r="G10" s="2" t="n">
        <x:v>99096.18805975</x:v>
      </x:c>
      <x:c r="H10" s="20" t="str">
        <x:v>2023: moutai_FY2024 P059 L004; 2024: moutai_FY2025 P056 L045; 2025: moutai_FY2025 P056 L045</x:v>
      </x:c>
      <x:c r="I10" s="2"/>
    </x:row>
    <x:row r="11" ht="42" customHeight="1">
      <x:c r="C11" s="1" t="str">
        <x:v>交易性金融资产</x:v>
      </x:c>
      <x:c r="D11" s="2" t="str">
        <x:v>investments</x:v>
      </x:c>
      <x:c r="E11" s="2" t="n">
        <x:v>400.71205993</x:v>
      </x:c>
      <x:c r="F11" s="2" t="n">
        <x:v>248.51328</x:v>
      </x:c>
      <x:c r="G11" s="2" t="n">
        <x:v>0</x:v>
      </x:c>
      <x:c r="H11" s="20" t="str">
        <x:v>2023: moutai_FY2024 P059 L005; 2024: moutai_FY2025 P056 L046; 2025: moutai_FY2025 P056 L046</x:v>
      </x:c>
      <x:c r="I11" s="2"/>
    </x:row>
    <x:row r="12" ht="42" customHeight="1">
      <x:c r="C12" s="1" t="str">
        <x:v>应收票据</x:v>
      </x:c>
      <x:c r="D12" s="2" t="str">
        <x:v>ar</x:v>
      </x:c>
      <x:c r="E12" s="2" t="n">
        <x:v>13.93344</x:v>
      </x:c>
      <x:c r="F12" s="2" t="n">
        <x:v>1984.4079675</x:v>
      </x:c>
      <x:c r="G12" s="2" t="n">
        <x:v>0</x:v>
      </x:c>
      <x:c r="H12" s="20" t="str">
        <x:v>2023: moutai_FY2024 P059 L007; 2024: moutai_FY2025 P057 L005; 2025: moutai_FY2025 P057 L005</x:v>
      </x:c>
      <x:c r="I12" s="2"/>
    </x:row>
    <x:row r="13" ht="42" customHeight="1">
      <x:c r="C13" s="1" t="str">
        <x:v>应收账款</x:v>
      </x:c>
      <x:c r="D13" s="2" t="str">
        <x:v>ar</x:v>
      </x:c>
      <x:c r="E13" s="2" t="n">
        <x:v>60.37341041</x:v>
      </x:c>
      <x:c r="F13" s="2" t="n">
        <x:v>18.97419275</x:v>
      </x:c>
      <x:c r="G13" s="2" t="n">
        <x:v>2.60904849</x:v>
      </x:c>
      <x:c r="H13" s="20" t="str">
        <x:v>2023: moutai_FY2024 P059 L008; 2024: moutai_FY2025 P057 L006; 2025: moutai_FY2025 P057 L006</x:v>
      </x:c>
      <x:c r="I13" s="2"/>
    </x:row>
    <x:row r="14" ht="42" customHeight="1">
      <x:c r="C14" s="1" t="str">
        <x:v>预付款项</x:v>
      </x:c>
      <x:c r="D14" s="2" t="str">
        <x:v>otherAssets</x:v>
      </x:c>
      <x:c r="E14" s="2" t="n">
        <x:v>34.58511179</x:v>
      </x:c>
      <x:c r="F14" s="2" t="n">
        <x:v>26.9750332</x:v>
      </x:c>
      <x:c r="G14" s="2" t="n">
        <x:v>6.63731431</x:v>
      </x:c>
      <x:c r="H14" s="20" t="str">
        <x:v>2023: moutai_FY2024 P059 L010; 2024: moutai_FY2025 P057 L008; 2025: moutai_FY2025 P057 L008</x:v>
      </x:c>
      <x:c r="I14" s="2"/>
    </x:row>
    <x:row r="15" ht="42" customHeight="1">
      <x:c r="C15" s="1" t="str">
        <x:v>其他应收款</x:v>
      </x:c>
      <x:c r="D15" s="2" t="str">
        <x:v>otherAssets</x:v>
      </x:c>
      <x:c r="E15" s="2" t="n">
        <x:v>27.502107300000002</x:v>
      </x:c>
      <x:c r="F15" s="2" t="n">
        <x:v>29.955673469999997</x:v>
      </x:c>
      <x:c r="G15" s="2" t="n">
        <x:v>36.281302939999996</x:v>
      </x:c>
      <x:c r="H15" s="20" t="str">
        <x:v>2023: moutai_FY2024 P059 L014; 2024: moutai_FY2025 P057 L012; 2025: moutai_FY2025 P057 L012</x:v>
      </x:c>
      <x:c r="I15" s="2"/>
    </x:row>
    <x:row r="16" ht="42" customHeight="1">
      <x:c r="C16" s="1" t="str">
        <x:v>买入返售金融资产</x:v>
      </x:c>
      <x:c r="D16" s="2" t="str">
        <x:v>investments</x:v>
      </x:c>
      <x:c r="E16" s="2" t="n">
        <x:v>3504.84988505</x:v>
      </x:c>
      <x:c r="F16" s="2" t="n">
        <x:v>7220.3106911</x:v>
      </x:c>
      <x:c r="G16" s="2" t="n">
        <x:v>8879.708146969999</x:v>
      </x:c>
      <x:c r="H16" s="20" t="str">
        <x:v>2023: moutai_FY2024 P059 L017; 2024: moutai_FY2025 P057 L015; 2025: moutai_FY2025 P057 L015</x:v>
      </x:c>
      <x:c r="I16" s="2"/>
    </x:row>
    <x:row r="17" ht="42" customHeight="1">
      <x:c r="C17" s="1" t="str">
        <x:v>存货</x:v>
      </x:c>
      <x:c r="D17" s="2" t="str">
        <x:v>inventory</x:v>
      </x:c>
      <x:c r="E17" s="2" t="n">
        <x:v>46435.18506153</x:v>
      </x:c>
      <x:c r="F17" s="2" t="n">
        <x:v>54343.28515747</x:v>
      </x:c>
      <x:c r="G17" s="2" t="n">
        <x:v>61427.42179618</x:v>
      </x:c>
      <x:c r="H17" s="20" t="str">
        <x:v>2023: moutai_FY2024 P059 L018; 2024: moutai_FY2025 P057 L016; 2025: moutai_FY2025 P057 L016</x:v>
      </x:c>
      <x:c r="I17" s="2"/>
    </x:row>
    <x:row r="18" ht="42" customHeight="1">
      <x:c r="C18" s="1" t="str">
        <x:v>一年内到期的非流动资产</x:v>
      </x:c>
      <x:c r="D18" s="2" t="str">
        <x:v>investments</x:v>
      </x:c>
      <x:c r="E18" s="2" t="n">
        <x:v>0</x:v>
      </x:c>
      <x:c r="F18" s="2" t="n">
        <x:v>1210.95980342</x:v>
      </x:c>
      <x:c r="G18" s="2" t="n">
        <x:v>26871.11461271</x:v>
      </x:c>
      <x:c r="H18" s="20" t="str">
        <x:v>2023: moutai_FY2024 P059 L022; 2024: moutai_FY2025 P057 L020; 2025: moutai_FY2025 P057 L020</x:v>
      </x:c>
      <x:c r="I18" s="2"/>
    </x:row>
    <x:row r="19" ht="42" customHeight="1">
      <x:c r="C19" s="1" t="str">
        <x:v>其他流动资产</x:v>
      </x:c>
      <x:c r="D19" s="2" t="str">
        <x:v>otherAssets</x:v>
      </x:c>
      <x:c r="E19" s="2" t="n">
        <x:v>71.40390656999999</x:v>
      </x:c>
      <x:c r="F19" s="2" t="n">
        <x:v>160.17658269</x:v>
      </x:c>
      <x:c r="G19" s="2" t="n">
        <x:v>51.02701056</x:v>
      </x:c>
      <x:c r="H19" s="20" t="str">
        <x:v>2023: moutai_FY2024 P059 L023; 2024: moutai_FY2025 P057 L021; 2025: moutai_FY2025 P057 L021</x:v>
      </x:c>
      <x:c r="I19" s="2"/>
    </x:row>
    <x:row r="20" ht="42" customHeight="1">
      <x:c r="C20" s="1" t="str">
        <x:v>发放贷款和垫款</x:v>
      </x:c>
      <x:c r="D20" s="2" t="str">
        <x:v>investments</x:v>
      </x:c>
      <x:c r="E20" s="2" t="n">
        <x:v>2130.81818927</x:v>
      </x:c>
      <x:c r="F20" s="2" t="n">
        <x:v>2381.2284754499997</x:v>
      </x:c>
      <x:c r="G20" s="2" t="n">
        <x:v>1553.53674478</x:v>
      </x:c>
      <x:c r="H20" s="20" t="str">
        <x:v>2023: moutai_FY2024 P059 L026; 2024: moutai_FY2025 P057 L024; 2025: moutai_FY2025 P057 L024</x:v>
      </x:c>
      <x:c r="I20" s="2"/>
    </x:row>
    <x:row r="21" ht="42" customHeight="1">
      <x:c r="C21" s="1" t="str">
        <x:v>债权投资</x:v>
      </x:c>
      <x:c r="D21" s="2" t="str">
        <x:v>investments</x:v>
      </x:c>
      <x:c r="E21" s="2" t="n">
        <x:v>5323.002071020001</x:v>
      </x:c>
      <x:c r="F21" s="2" t="n">
        <x:v>1515.1744399200002</x:v>
      </x:c>
      <x:c r="G21" s="2" t="n">
        <x:v>1113.03240566</x:v>
      </x:c>
      <x:c r="H21" s="20" t="str">
        <x:v>2023: moutai_FY2024 P059 L027; 2024: moutai_FY2025 P057 L025; 2025: moutai_FY2025 P057 L025</x:v>
      </x:c>
      <x:c r="I21" s="2"/>
    </x:row>
    <x:row r="22" ht="42" customHeight="1">
      <x:c r="C22" s="1" t="str">
        <x:v>其他非流动金融资产</x:v>
      </x:c>
      <x:c r="D22" s="2" t="str">
        <x:v>investments</x:v>
      </x:c>
      <x:c r="E22" s="2" t="n">
        <x:v>4002.43990257</x:v>
      </x:c>
      <x:c r="F22" s="2" t="n">
        <x:v>4028.97899556</x:v>
      </x:c>
      <x:c r="G22" s="2" t="n">
        <x:v>4105.14159322</x:v>
      </x:c>
      <x:c r="H22" s="20" t="str">
        <x:v>2023: moutai_FY2024 P059 L032; 2024: moutai_FY2025 P057 L030; 2025: moutai_FY2025 P057 L030</x:v>
      </x:c>
      <x:c r="I22" s="2"/>
    </x:row>
    <x:row r="23" ht="42" customHeight="1">
      <x:c r="C23" s="1" t="str">
        <x:v>投资性房地产</x:v>
      </x:c>
      <x:c r="D23" s="2" t="str">
        <x:v>ppe</x:v>
      </x:c>
      <x:c r="E23" s="2" t="n">
        <x:v>4.13854533</x:v>
      </x:c>
      <x:c r="F23" s="2" t="n">
        <x:v>7.62516783</x:v>
      </x:c>
      <x:c r="G23" s="2" t="n">
        <x:v>3.10804256</x:v>
      </x:c>
      <x:c r="H23" s="20" t="str">
        <x:v>2023: moutai_FY2024 P059 L033; 2024: moutai_FY2025 P057 L031; 2025: moutai_FY2025 P057 L031</x:v>
      </x:c>
      <x:c r="I23" s="2"/>
    </x:row>
    <x:row r="24" ht="42" customHeight="1">
      <x:c r="C24" s="1" t="str">
        <x:v>固定资产</x:v>
      </x:c>
      <x:c r="D24" s="2" t="str">
        <x:v>ppe</x:v>
      </x:c>
      <x:c r="E24" s="2" t="n">
        <x:v>19909.28065597</x:v>
      </x:c>
      <x:c r="F24" s="2" t="n">
        <x:v>21871.44674714</x:v>
      </x:c>
      <x:c r="G24" s="2" t="n">
        <x:v>22488.12230435</x:v>
      </x:c>
      <x:c r="H24" s="20" t="str">
        <x:v>2023: moutai_FY2024 P059 L034; 2024: moutai_FY2025 P057 L032; 2025: moutai_FY2025 P057 L032</x:v>
      </x:c>
      <x:c r="I24" s="2"/>
    </x:row>
    <x:row r="25" ht="42" customHeight="1">
      <x:c r="C25" s="1" t="str">
        <x:v>在建工程</x:v>
      </x:c>
      <x:c r="D25" s="2" t="str">
        <x:v>ppe</x:v>
      </x:c>
      <x:c r="E25" s="2" t="n">
        <x:v>2137.4647004500002</x:v>
      </x:c>
      <x:c r="F25" s="2" t="n">
        <x:v>2149.6199370500003</x:v>
      </x:c>
      <x:c r="G25" s="2" t="n">
        <x:v>2471.88603058</x:v>
      </x:c>
      <x:c r="H25" s="20" t="str">
        <x:v>2023: moutai_FY2024 P059 L035; 2024: moutai_FY2025 P057 L033; 2025: moutai_FY2025 P057 L033</x:v>
      </x:c>
      <x:c r="I25" s="2"/>
    </x:row>
    <x:row r="26" ht="42" customHeight="1">
      <x:c r="C26" s="1" t="str">
        <x:v>使用权资产</x:v>
      </x:c>
      <x:c r="D26" s="2" t="str">
        <x:v>rou</x:v>
      </x:c>
      <x:c r="E26" s="2" t="n">
        <x:v>314.20548456</x:v>
      </x:c>
      <x:c r="F26" s="2" t="n">
        <x:v>410.59417353</x:v>
      </x:c>
      <x:c r="G26" s="2" t="n">
        <x:v>221.73822751</x:v>
      </x:c>
      <x:c r="H26" s="20" t="str">
        <x:v>2023: moutai_FY2024 P059 L038; 2024: moutai_FY2025 P057 L036; 2025: moutai_FY2025 P057 L036</x:v>
      </x:c>
      <x:c r="I26" s="2"/>
    </x:row>
    <x:row r="27" ht="42" customHeight="1">
      <x:c r="C27" s="1" t="str">
        <x:v>无形资产</x:v>
      </x:c>
      <x:c r="D27" s="2" t="str">
        <x:v>intang</x:v>
      </x:c>
      <x:c r="E27" s="2" t="n">
        <x:v>8572.26731384</x:v>
      </x:c>
      <x:c r="F27" s="2" t="n">
        <x:v>8850.205831</x:v>
      </x:c>
      <x:c r="G27" s="2" t="n">
        <x:v>8685.61868856</x:v>
      </x:c>
      <x:c r="H27" s="20" t="str">
        <x:v>2023: moutai_FY2024 P059 L039; 2024: moutai_FY2025 P057 L037; 2025: moutai_FY2025 P057 L037</x:v>
      </x:c>
      <x:c r="I27" s="2"/>
    </x:row>
    <x:row r="28" ht="42" customHeight="1">
      <x:c r="C28" s="1" t="str">
        <x:v>开发支出</x:v>
      </x:c>
      <x:c r="D28" s="2" t="str">
        <x:v>intang</x:v>
      </x:c>
      <x:c r="E28" s="2" t="n">
        <x:v>218.01555549</x:v>
      </x:c>
      <x:c r="F28" s="2" t="n">
        <x:v>98.52287842</x:v>
      </x:c>
      <x:c r="G28" s="2" t="n">
        <x:v>117.00998285</x:v>
      </x:c>
      <x:c r="H28" s="20" t="str">
        <x:v>2023: moutai_FY2024 P059 L041; 2024: moutai_FY2025 P057 L039; 2025: moutai_FY2025 P057 L039</x:v>
      </x:c>
      <x:c r="I28" s="2"/>
    </x:row>
    <x:row r="29" ht="42" customHeight="1">
      <x:c r="C29" s="1" t="str">
        <x:v>长期待摊费用</x:v>
      </x:c>
      <x:c r="D29" s="2" t="str">
        <x:v>intang</x:v>
      </x:c>
      <x:c r="E29" s="2" t="n">
        <x:v>160.05893013999997</x:v>
      </x:c>
      <x:c r="F29" s="2" t="n">
        <x:v>152.10594985</x:v>
      </x:c>
      <x:c r="G29" s="2" t="n">
        <x:v>135.32458008</x:v>
      </x:c>
      <x:c r="H29" s="20" t="str">
        <x:v>2023: moutai_FY2024 P059 L044; 2024: moutai_FY2025 P057 L042; 2025: moutai_FY2025 P057 L042</x:v>
      </x:c>
      <x:c r="I29" s="2"/>
    </x:row>
    <x:row r="30" ht="42" customHeight="1">
      <x:c r="C30" s="1" t="str">
        <x:v>递延所得税资产</x:v>
      </x:c>
      <x:c r="D30" s="2" t="str">
        <x:v>otherAssets</x:v>
      </x:c>
      <x:c r="E30" s="2" t="n">
        <x:v>4645.887425100001</x:v>
      </x:c>
      <x:c r="F30" s="2" t="n">
        <x:v>5520.00686883</x:v>
      </x:c>
      <x:c r="G30" s="2" t="n">
        <x:v>6602.469151220001</x:v>
      </x:c>
      <x:c r="H30" s="20" t="str">
        <x:v>2023: moutai_FY2024 P059 L045; 2024: moutai_FY2025 P057 L043; 2025: moutai_FY2025 P057 L043</x:v>
      </x:c>
      <x:c r="I30" s="2"/>
    </x:row>
    <x:row r="31" ht="42" customHeight="1">
      <x:c r="C31" s="1" t="str">
        <x:v>其他非流动资产</x:v>
      </x:c>
      <x:c r="D31" s="2" t="str">
        <x:v>otherAssets</x:v>
      </x:c>
      <x:c r="E31" s="2" t="n">
        <x:v>109.56349723000001</x:v>
      </x:c>
      <x:c r="F31" s="2" t="n">
        <x:v>232.39581746000002</x:v>
      </x:c>
      <x:c r="G31" s="2" t="n">
        <x:v>175.47298142</x:v>
      </x:c>
      <x:c r="H31" s="20" t="str">
        <x:v>2023: moutai_FY2024 P059 L046; 2024: moutai_FY2025 P057 L044; 2025: moutai_FY2025 P057 L044</x:v>
      </x:c>
      <x:c r="I31" s="2"/>
    </x:row>
    <x:row r="32" ht="42" customHeight="1">
      <x:c r="C32" s="1" t="str">
        <x:v>应付账款</x:v>
      </x:c>
      <x:c r="D32" s="2" t="str">
        <x:v>ap</x:v>
      </x:c>
      <x:c r="E32" s="2" t="n">
        <x:v>3093.09110367</x:v>
      </x:c>
      <x:c r="F32" s="2" t="n">
        <x:v>3514.96923031</x:v>
      </x:c>
      <x:c r="G32" s="2" t="n">
        <x:v>4007.30904987</x:v>
      </x:c>
      <x:c r="H32" s="20" t="str">
        <x:v>2023: moutai_FY2024 P060 L008; 2024: moutai_FY2025 P058 L006; 2025: moutai_FY2025 P058 L006</x:v>
      </x:c>
      <x:c r="I32" s="2"/>
    </x:row>
    <x:row r="33" ht="42" customHeight="1">
      <x:c r="C33" s="1" t="str">
        <x:v>合同负债</x:v>
      </x:c>
      <x:c r="D33" s="2" t="str">
        <x:v>contract</x:v>
      </x:c>
      <x:c r="E33" s="2" t="n">
        <x:v>14125.755802290001</x:v>
      </x:c>
      <x:c r="F33" s="2" t="n">
        <x:v>9592.45301466</x:v>
      </x:c>
      <x:c r="G33" s="2" t="n">
        <x:v>8006.73978094</x:v>
      </x:c>
      <x:c r="H33" s="20" t="str">
        <x:v>2023: moutai_FY2024 P060 L010; 2024: moutai_FY2025 P058 L008; 2025: moutai_FY2025 P058 L008</x:v>
      </x:c>
      <x:c r="I33" s="2"/>
    </x:row>
    <x:row r="34" ht="42" customHeight="1">
      <x:c r="C34" s="1" t="str">
        <x:v>吸收存款及同业存放</x:v>
      </x:c>
      <x:c r="D34" s="2" t="str">
        <x:v>deposits</x:v>
      </x:c>
      <x:c r="E34" s="2" t="n">
        <x:v>12034.49290995</x:v>
      </x:c>
      <x:c r="F34" s="2" t="n">
        <x:v>23102.858820970003</x:v>
      </x:c>
      <x:c r="G34" s="2" t="n">
        <x:v>18038.3837763</x:v>
      </x:c>
      <x:c r="H34" s="20" t="str">
        <x:v>2023: moutai_FY2024 P060 L012; 2024: moutai_FY2025 P058 L010; 2025: moutai_FY2025 P058 L010</x:v>
      </x:c>
      <x:c r="I34" s="2"/>
    </x:row>
    <x:row r="35" ht="42" customHeight="1">
      <x:c r="C35" s="1" t="str">
        <x:v>应付职工薪酬</x:v>
      </x:c>
      <x:c r="D35" s="2" t="str">
        <x:v>otherLiabilities</x:v>
      </x:c>
      <x:c r="E35" s="2" t="n">
        <x:v>5401.921213770001</x:v>
      </x:c>
      <x:c r="F35" s="2" t="n">
        <x:v>5824.37139907</x:v>
      </x:c>
      <x:c r="G35" s="2" t="n">
        <x:v>5523.4471665</x:v>
      </x:c>
      <x:c r="H35" s="20" t="str">
        <x:v>2023: moutai_FY2024 P060 L015; 2024: moutai_FY2025 P058 L013; 2025: moutai_FY2025 P058 L013</x:v>
      </x:c>
      <x:c r="I35" s="2"/>
    </x:row>
    <x:row r="36" ht="42" customHeight="1">
      <x:c r="C36" s="1" t="str">
        <x:v>应交税费</x:v>
      </x:c>
      <x:c r="D36" s="2" t="str">
        <x:v>taxPayable</x:v>
      </x:c>
      <x:c r="E36" s="2" t="n">
        <x:v>6949.66389387</x:v>
      </x:c>
      <x:c r="F36" s="2" t="n">
        <x:v>7717.686541380001</x:v>
      </x:c>
      <x:c r="G36" s="2" t="n">
        <x:v>7697.16983069</x:v>
      </x:c>
      <x:c r="H36" s="20" t="str">
        <x:v>2023: moutai_FY2024 P060 L016; 2024: moutai_FY2025 P058 L014; 2025: moutai_FY2025 P058 L014</x:v>
      </x:c>
      <x:c r="I36" s="2"/>
    </x:row>
    <x:row r="37" ht="42" customHeight="1">
      <x:c r="C37" s="1" t="str">
        <x:v>其他应付款</x:v>
      </x:c>
      <x:c r="D37" s="2" t="str">
        <x:v>otherLiabilities</x:v>
      </x:c>
      <x:c r="E37" s="2" t="n">
        <x:v>5213.13368587</x:v>
      </x:c>
      <x:c r="F37" s="2" t="n">
        <x:v>5429.00670086</x:v>
      </x:c>
      <x:c r="G37" s="2" t="n">
        <x:v>5298.26126622</x:v>
      </x:c>
      <x:c r="H37" s="20" t="str">
        <x:v>2023: moutai_FY2024 P060 L017; 2024: moutai_FY2025 P058 L015; 2025: moutai_FY2025 P058 L015</x:v>
      </x:c>
      <x:c r="I37" s="2"/>
    </x:row>
    <x:row r="38" ht="42" customHeight="1">
      <x:c r="C38" s="1" t="str">
        <x:v>一年内到期的非流动负债</x:v>
      </x:c>
      <x:c r="D38" s="2" t="str">
        <x:v>debt</x:v>
      </x:c>
      <x:c r="E38" s="2" t="n">
        <x:v>57.05487948</x:v>
      </x:c>
      <x:c r="F38" s="2" t="n">
        <x:v>111.9511122</x:v>
      </x:c>
      <x:c r="G38" s="2" t="n">
        <x:v>44.20623705</x:v>
      </x:c>
      <x:c r="H38" s="20" t="str">
        <x:v>2023: moutai_FY2024 P060 L023; 2024: moutai_FY2025 P058 L021; 2025: moutai_FY2025 P058 L021</x:v>
      </x:c>
      <x:c r="I38" s="2"/>
    </x:row>
    <x:row r="39" ht="42" customHeight="1">
      <x:c r="C39" s="1" t="str">
        <x:v>其他流动负债</x:v>
      </x:c>
      <x:c r="D39" s="2" t="str">
        <x:v>otherLiabilities</x:v>
      </x:c>
      <x:c r="E39" s="2" t="n">
        <x:v>1822.4980123</x:v>
      </x:c>
      <x:c r="F39" s="2" t="n">
        <x:v>1222.69379951</x:v>
      </x:c>
      <x:c r="G39" s="2" t="n">
        <x:v>994.95971024</x:v>
      </x:c>
      <x:c r="H39" s="20" t="str">
        <x:v>2023: moutai_FY2024 P060 L024; 2024: moutai_FY2025 P058 L022; 2025: moutai_FY2025 P058 L022</x:v>
      </x:c>
      <x:c r="I39" s="2"/>
    </x:row>
    <x:row r="40" ht="42" customHeight="1">
      <x:c r="C40" s="1" t="str">
        <x:v>租赁负债</x:v>
      </x:c>
      <x:c r="D40" s="2" t="str">
        <x:v>debt</x:v>
      </x:c>
      <x:c r="E40" s="2" t="n">
        <x:v>266.63623404</x:v>
      </x:c>
      <x:c r="F40" s="2" t="n">
        <x:v>313.90641576</x:v>
      </x:c>
      <x:c r="G40" s="2" t="n">
        <x:v>189.50494277</x:v>
      </x:c>
      <x:c r="H40" s="20" t="str">
        <x:v>2023: moutai_FY2024 P060 L032; 2024: moutai_FY2025 P058 L030; 2025: moutai_FY2025 P058 L030</x:v>
      </x:c>
      <x:c r="I40" s="2"/>
    </x:row>
    <x:row r="41" ht="42" customHeight="1">
      <x:c r="C41" s="1" t="str">
        <x:v>递延所得税负债</x:v>
      </x:c>
      <x:c r="D41" s="2" t="str">
        <x:v>otherLiabilities</x:v>
      </x:c>
      <x:c r="E41" s="2" t="n">
        <x:v>78.94306218999999</x:v>
      </x:c>
      <x:c r="F41" s="2" t="n">
        <x:v>103.36776338</x:v>
      </x:c>
      <x:c r="G41" s="2" t="n">
        <x:v>75.60835179</x:v>
      </x:c>
      <x:c r="H41" s="20" t="str">
        <x:v>2023: moutai_FY2024 P060 L037; 2024: moutai_FY2025 P058 L035; 2025: moutai_FY2025 P058 L035</x:v>
      </x:c>
      <x:c r="I41" s="2"/>
    </x:row>
    <x:row r="42" ht="42" customHeight="1">
      <x:c r="C42" s="1" t="str">
        <x:v>应收款项融资</x:v>
      </x:c>
      <x:c r="D42" s="2" t="str">
        <x:v>ar</x:v>
      </x:c>
      <x:c r="E42" s="2" t="n">
        <x:v>0</x:v>
      </x:c>
      <x:c r="F42" s="2" t="n">
        <x:v>0</x:v>
      </x:c>
      <x:c r="G42" s="2" t="n">
        <x:v>4457.06416016</x:v>
      </x:c>
      <x:c r="H42" s="20" t="str">
        <x:v>2024: moutai_FY2025 P057 L007; 2025: moutai_FY2025 P057 L007</x:v>
      </x:c>
      <x:c r="I42" s="2"/>
    </x:row>
    <x:row r="43" ht="42" customHeight="1">
      <x:c r="C43" s="1" t="str">
        <x:v>其他债权投资</x:v>
      </x:c>
      <x:c r="D43" s="2" t="str">
        <x:v>investments</x:v>
      </x:c>
      <x:c r="E43" s="2" t="n">
        <x:v>0</x:v>
      </x:c>
      <x:c r="F43" s="2" t="n">
        <x:v>0</x:v>
      </x:c>
      <x:c r="G43" s="2" t="n">
        <x:v>3496.53901641</x:v>
      </x:c>
      <x:c r="H43" s="20" t="str">
        <x:v>2024: moutai_FY2025 P057 L026; 2025: moutai_FY2025 P057 L026</x:v>
      </x:c>
      <x:c r="I43" s="2"/>
    </x:row>
    <x:row r="44" ht="42" customHeight="1">
      <x:c r="C44" s="1" t="str">
        <x:v>长期股权投资</x:v>
      </x:c>
      <x:c r="D44" s="2" t="str">
        <x:v>investments</x:v>
      </x:c>
      <x:c r="E44" s="2" t="n">
        <x:v>0</x:v>
      </x:c>
      <x:c r="F44" s="2" t="n">
        <x:v>0</x:v>
      </x:c>
      <x:c r="G44" s="2" t="n">
        <x:v>147.18187367</x:v>
      </x:c>
      <x:c r="H44" s="20" t="str">
        <x:v>2024: moutai_FY2025 P057 L028; 2025: moutai_FY2025 P057 L028</x:v>
      </x:c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9" hidden="0" customWidth="1"/>
    <x:col min="9" max="9" width="78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贵州茅台 Kweichow Moutai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 t="str">
        <x:v>Source / field</x:v>
      </x:c>
      <x:c r="D7" s="13" t="str">
        <x:v>Period</x:v>
      </x:c>
      <x:c r="E7" s="13" t="str">
        <x:v>Value</x:v>
      </x:c>
      <x:c r="F7" s="13" t="str">
        <x:v>Units</x:v>
      </x:c>
      <x:c r="G7" s="14" t="str">
        <x:v>Evidence class</x:v>
      </x:c>
      <x:c r="H7" s="14" t="str">
        <x:v>Page / line</x:v>
      </x:c>
      <x:c r="I7" s="14" t="str">
        <x:v>Primary URL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9" customHeight="1">
      <x:c r="C9" s="42" t="str">
        <x:v>moutai_FY2024</x:v>
      </x:c>
      <x:c r="D9" s="43" t="str">
        <x:v>FY2024</x:v>
      </x:c>
      <x:c r="E9" s="43"/>
      <x:c r="F9" s="43" t="str">
        <x:v>RMB</x:v>
      </x:c>
      <x:c r="G9" s="43" t="str">
        <x:v>SOURCE_FACT</x:v>
      </x:c>
      <x:c r="H9" s="43" t="str">
        <x:v>143 PDF pages</x:v>
      </x:c>
      <x:c r="I9" s="43" t="str">
        <x:v>https://static.cninfo.com.cn/finalpage/2025-04-03/1222993920.PDF</x:v>
      </x:c>
    </x:row>
    <x:row r="10" ht="29" customHeight="1">
      <x:c r="C10" s="42" t="str">
        <x:v>PDF SHA-256</x:v>
      </x:c>
      <x:c r="D10" s="43" t="str">
        <x:v>5299f4940e2ce4e91084b73dc457d558b9d335fa76fbfee6227e4254eb7f4a30</x:v>
      </x:c>
      <x:c r="E10" s="43"/>
      <x:c r="F10" s="43"/>
      <x:c r="G10" s="43"/>
      <x:c r="H10" s="43"/>
      <x:c r="I10" s="43"/>
    </x:row>
    <x:row r="11" ht="29" customHeight="1">
      <x:c r="C11" s="42"/>
      <x:c r="D11" s="43"/>
      <x:c r="E11" s="43"/>
      <x:c r="F11" s="43"/>
      <x:c r="G11" s="43"/>
      <x:c r="H11" s="43"/>
      <x:c r="I11" s="43"/>
    </x:row>
    <x:row r="12" ht="29" customHeight="1">
      <x:c r="C12" s="42" t="str">
        <x:v>moutai_FY2025</x:v>
      </x:c>
      <x:c r="D12" s="43" t="str">
        <x:v>FY2025</x:v>
      </x:c>
      <x:c r="E12" s="43"/>
      <x:c r="F12" s="43" t="str">
        <x:v>RMB</x:v>
      </x:c>
      <x:c r="G12" s="43" t="str">
        <x:v>SOURCE_FACT</x:v>
      </x:c>
      <x:c r="H12" s="43" t="str">
        <x:v>143 PDF pages</x:v>
      </x:c>
      <x:c r="I12" s="43" t="str">
        <x:v>https://static.cninfo.com.cn/finalpage/2026-04-17/1225114741.PDF</x:v>
      </x:c>
    </x:row>
    <x:row r="13" ht="29" customHeight="1">
      <x:c r="C13" s="42" t="str">
        <x:v>PDF SHA-256</x:v>
      </x:c>
      <x:c r="D13" s="43" t="str">
        <x:v>474905deeaf0f875fc0a1b097a626c0c7852c427faadc5d7fc7816cbf45ea288</x:v>
      </x:c>
      <x:c r="E13" s="43"/>
      <x:c r="F13" s="43"/>
      <x:c r="G13" s="43"/>
      <x:c r="H13" s="43"/>
      <x:c r="I13" s="43"/>
    </x:row>
    <x:row r="14" ht="29" customHeight="1">
      <x:c r="C14" s="42"/>
      <x:c r="D14" s="43"/>
      <x:c r="E14" s="43"/>
      <x:c r="F14" s="43"/>
      <x:c r="G14" s="43"/>
      <x:c r="H14" s="43"/>
      <x:c r="I14" s="43"/>
    </x:row>
    <x:row r="15" ht="29" customHeight="1">
      <x:c r="C15" s="42" t="str">
        <x:v>moutai_H12026</x:v>
      </x:c>
      <x:c r="D15" s="43" t="str">
        <x:v>H12026</x:v>
      </x:c>
      <x:c r="E15" s="43"/>
      <x:c r="F15" s="43" t="str">
        <x:v>RMB</x:v>
      </x:c>
      <x:c r="G15" s="43" t="str">
        <x:v>SOURCE_FACT</x:v>
      </x:c>
      <x:c r="H15" s="43" t="str">
        <x:v>110 PDF pages</x:v>
      </x:c>
      <x:c r="I15" s="43" t="str">
        <x:v>https://static.cninfo.com.cn/finalpage/2026-08-15/1225475868.PDF</x:v>
      </x:c>
    </x:row>
    <x:row r="16" ht="29" customHeight="1">
      <x:c r="C16" s="42" t="str">
        <x:v>PDF SHA-256</x:v>
      </x:c>
      <x:c r="D16" s="43" t="str">
        <x:v>0e10aa26be46b1cf3cd03f06e834c7fb98d5dd0d661b96f8fddd4af7e846a4f6</x:v>
      </x:c>
      <x:c r="E16" s="43"/>
      <x:c r="F16" s="43"/>
      <x:c r="G16" s="43"/>
      <x:c r="H16" s="43"/>
      <x:c r="I16" s="43"/>
    </x:row>
    <x:row r="17" ht="29" customHeight="1">
      <x:c r="C17" s="42"/>
      <x:c r="D17" s="43"/>
      <x:c r="E17" s="43"/>
      <x:c r="F17" s="43"/>
      <x:c r="G17" s="43"/>
      <x:c r="H17" s="43"/>
      <x:c r="I17" s="43"/>
    </x:row>
    <x:row r="18" ht="29" customHeight="1">
      <x:c r="C18" s="42" t="str">
        <x:v>其中：营业收入</x:v>
      </x:c>
      <x:c r="D18" s="43" t="str">
        <x:v>FY2023</x:v>
      </x:c>
      <x:c r="E18" s="43" t="n">
        <x:v>147693.60499414</x:v>
      </x:c>
      <x:c r="F18" s="43" t="str">
        <x:v>RMB million</x:v>
      </x:c>
      <x:c r="G18" s="43" t="str">
        <x:v>SOURCE_FACT</x:v>
      </x:c>
      <x:c r="H18" s="43" t="str">
        <x:v>P063 L023</x:v>
      </x:c>
      <x:c r="I18" s="43" t="str">
        <x:v>https://static.cninfo.com.cn/finalpage/2025-04-03/1222993920.PDF</x:v>
      </x:c>
    </x:row>
    <x:row r="19" ht="29" customHeight="1">
      <x:c r="C19" s="42" t="str">
        <x:v>其中：营业成本</x:v>
      </x:c>
      <x:c r="D19" s="43" t="str">
        <x:v>FY2023</x:v>
      </x:c>
      <x:c r="E19" s="43" t="n">
        <x:v>11867.27385178</x:v>
      </x:c>
      <x:c r="F19" s="43" t="str">
        <x:v>RMB million</x:v>
      </x:c>
      <x:c r="G19" s="43" t="str">
        <x:v>SOURCE_FACT</x:v>
      </x:c>
      <x:c r="H19" s="43" t="str">
        <x:v>P063 L028</x:v>
      </x:c>
      <x:c r="I19" s="43" t="str">
        <x:v>https://static.cninfo.com.cn/finalpage/2025-04-03/1222993920.PDF</x:v>
      </x:c>
    </x:row>
    <x:row r="20" ht="29" customHeight="1">
      <x:c r="C20" s="42" t="str">
        <x:v>销售费用</x:v>
      </x:c>
      <x:c r="D20" s="43" t="str">
        <x:v>FY2023</x:v>
      </x:c>
      <x:c r="E20" s="43" t="n">
        <x:v>4648.61358582</x:v>
      </x:c>
      <x:c r="F20" s="43" t="str">
        <x:v>RMB million</x:v>
      </x:c>
      <x:c r="G20" s="43" t="str">
        <x:v>SOURCE_FACT</x:v>
      </x:c>
      <x:c r="H20" s="43" t="str">
        <x:v>P063 L037</x:v>
      </x:c>
      <x:c r="I20" s="43" t="str">
        <x:v>https://static.cninfo.com.cn/finalpage/2025-04-03/1222993920.PDF</x:v>
      </x:c>
    </x:row>
    <x:row r="21" ht="29" customHeight="1">
      <x:c r="C21" s="42" t="str">
        <x:v>管理费用</x:v>
      </x:c>
      <x:c r="D21" s="43" t="str">
        <x:v>FY2023</x:v>
      </x:c>
      <x:c r="E21" s="43" t="n">
        <x:v>9729.38925231</x:v>
      </x:c>
      <x:c r="F21" s="43" t="str">
        <x:v>RMB million</x:v>
      </x:c>
      <x:c r="G21" s="43" t="str">
        <x:v>SOURCE_FACT</x:v>
      </x:c>
      <x:c r="H21" s="43" t="str">
        <x:v>P063 L038</x:v>
      </x:c>
      <x:c r="I21" s="43" t="str">
        <x:v>https://static.cninfo.com.cn/finalpage/2025-04-03/1222993920.PDF</x:v>
      </x:c>
    </x:row>
    <x:row r="22" ht="29" customHeight="1">
      <x:c r="C22" s="42" t="str">
        <x:v>研发费用</x:v>
      </x:c>
      <x:c r="D22" s="43" t="str">
        <x:v>FY2023</x:v>
      </x:c>
      <x:c r="E22" s="43" t="n">
        <x:v>157.37187301</x:v>
      </x:c>
      <x:c r="F22" s="43" t="str">
        <x:v>RMB million</x:v>
      </x:c>
      <x:c r="G22" s="43" t="str">
        <x:v>SOURCE_FACT</x:v>
      </x:c>
      <x:c r="H22" s="43" t="str">
        <x:v>P063 L039</x:v>
      </x:c>
      <x:c r="I22" s="43" t="str">
        <x:v>https://static.cninfo.com.cn/finalpage/2025-04-03/1222993920.PDF</x:v>
      </x:c>
    </x:row>
    <x:row r="23" ht="29" customHeight="1">
      <x:c r="C23" s="42" t="str">
        <x:v>税金及附加</x:v>
      </x:c>
      <x:c r="D23" s="43" t="str">
        <x:v>FY2023</x:v>
      </x:c>
      <x:c r="E23" s="43" t="n">
        <x:v>22234.1758986</x:v>
      </x:c>
      <x:c r="F23" s="43" t="str">
        <x:v>RMB million</x:v>
      </x:c>
      <x:c r="G23" s="43" t="str">
        <x:v>SOURCE_FACT</x:v>
      </x:c>
      <x:c r="H23" s="43" t="str">
        <x:v>P063 L036</x:v>
      </x:c>
      <x:c r="I23" s="43" t="str">
        <x:v>https://static.cninfo.com.cn/finalpage/2025-04-03/1222993920.PDF</x:v>
      </x:c>
    </x:row>
    <x:row r="24" ht="29" customHeight="1">
      <x:c r="C24" s="42" t="str">
        <x:v>财务费用</x:v>
      </x:c>
      <x:c r="D24" s="43" t="str">
        <x:v>FY2023</x:v>
      </x:c>
      <x:c r="E24" s="43" t="n">
        <x:v>-1789.50370148</x:v>
      </x:c>
      <x:c r="F24" s="43" t="str">
        <x:v>RMB million</x:v>
      </x:c>
      <x:c r="G24" s="43" t="str">
        <x:v>SOURCE_FACT</x:v>
      </x:c>
      <x:c r="H24" s="43" t="str">
        <x:v>P063 L040</x:v>
      </x:c>
      <x:c r="I24" s="43" t="str">
        <x:v>https://static.cninfo.com.cn/finalpage/2025-04-03/1222993920.PDF</x:v>
      </x:c>
    </x:row>
    <x:row r="25" ht="29" customHeight="1">
      <x:c r="C25" s="42" t="str">
        <x:v>其中：利息费用</x:v>
      </x:c>
      <x:c r="D25" s="43" t="str">
        <x:v>FY2023</x:v>
      </x:c>
      <x:c r="E25" s="43" t="n">
        <x:v>12.62462835</x:v>
      </x:c>
      <x:c r="F25" s="43" t="str">
        <x:v>RMB million</x:v>
      </x:c>
      <x:c r="G25" s="43" t="str">
        <x:v>SOURCE_FACT</x:v>
      </x:c>
      <x:c r="H25" s="43" t="str">
        <x:v>P063 L041</x:v>
      </x:c>
      <x:c r="I25" s="43" t="str">
        <x:v>https://static.cninfo.com.cn/finalpage/2025-04-03/1222993920.PDF</x:v>
      </x:c>
    </x:row>
    <x:row r="26" ht="29" customHeight="1">
      <x:c r="C26" s="42" t="str">
        <x:v>四、利润总额（亏损总额以“－”号填</x:v>
      </x:c>
      <x:c r="D26" s="43" t="str">
        <x:v>FY2023</x:v>
      </x:c>
      <x:c r="E26" s="43" t="n">
        <x:v>103662.55368981</x:v>
      </x:c>
      <x:c r="F26" s="43" t="str">
        <x:v>RMB million</x:v>
      </x:c>
      <x:c r="G26" s="43" t="str">
        <x:v>SOURCE_FACT</x:v>
      </x:c>
      <x:c r="H26" s="43" t="str">
        <x:v>P064 L019</x:v>
      </x:c>
      <x:c r="I26" s="43" t="str">
        <x:v>https://static.cninfo.com.cn/finalpage/2025-04-03/1222993920.PDF</x:v>
      </x:c>
    </x:row>
    <x:row r="27" ht="29" customHeight="1">
      <x:c r="C27" s="42" t="str">
        <x:v>减：所得税费用</x:v>
      </x:c>
      <x:c r="D27" s="43" t="str">
        <x:v>FY2023</x:v>
      </x:c>
      <x:c r="E27" s="43" t="n">
        <x:v>26141.07741201</x:v>
      </x:c>
      <x:c r="F27" s="43" t="str">
        <x:v>RMB million</x:v>
      </x:c>
      <x:c r="G27" s="43" t="str">
        <x:v>SOURCE_FACT</x:v>
      </x:c>
      <x:c r="H27" s="43" t="str">
        <x:v>P064 L021</x:v>
      </x:c>
      <x:c r="I27" s="43" t="str">
        <x:v>https://static.cninfo.com.cn/finalpage/2025-04-03/1222993920.PDF</x:v>
      </x:c>
    </x:row>
    <x:row r="28" ht="29" customHeight="1">
      <x:c r="C28" s="42" t="str">
        <x:v>五、净利润（净亏损以“－”号填列）</x:v>
      </x:c>
      <x:c r="D28" s="43" t="str">
        <x:v>FY2023</x:v>
      </x:c>
      <x:c r="E28" s="43" t="n">
        <x:v>77521.4762778</x:v>
      </x:c>
      <x:c r="F28" s="43" t="str">
        <x:v>RMB million</x:v>
      </x:c>
      <x:c r="G28" s="43" t="str">
        <x:v>SOURCE_FACT</x:v>
      </x:c>
      <x:c r="H28" s="43" t="str">
        <x:v>P064 L022</x:v>
      </x:c>
      <x:c r="I28" s="43" t="str">
        <x:v>https://static.cninfo.com.cn/finalpage/2025-04-03/1222993920.PDF</x:v>
      </x:c>
    </x:row>
    <x:row r="29" ht="29" customHeight="1">
      <x:c r="C29" s="42" t="str">
        <x:v>1.归属于母公司股东的净利润（净</x:v>
      </x:c>
      <x:c r="D29" s="43" t="str">
        <x:v>FY2023</x:v>
      </x:c>
      <x:c r="E29" s="43" t="n">
        <x:v>74734.07155075</x:v>
      </x:c>
      <x:c r="F29" s="43" t="str">
        <x:v>RMB million</x:v>
      </x:c>
      <x:c r="G29" s="43" t="str">
        <x:v>SOURCE_FACT</x:v>
      </x:c>
      <x:c r="H29" s="43" t="str">
        <x:v>P064 L031</x:v>
      </x:c>
      <x:c r="I29" s="43" t="str">
        <x:v>https://static.cninfo.com.cn/finalpage/2025-04-03/1222993920.PDF</x:v>
      </x:c>
    </x:row>
    <x:row r="30" ht="29" customHeight="1">
      <x:c r="C30" s="42" t="str">
        <x:v>2.少数股东损益（净亏损以“-”</x:v>
      </x:c>
      <x:c r="D30" s="43" t="str">
        <x:v>FY2023</x:v>
      </x:c>
      <x:c r="E30" s="43" t="n">
        <x:v>2787.40472705</x:v>
      </x:c>
      <x:c r="F30" s="43" t="str">
        <x:v>RMB million</x:v>
      </x:c>
      <x:c r="G30" s="43" t="str">
        <x:v>SOURCE_FACT</x:v>
      </x:c>
      <x:c r="H30" s="43" t="str">
        <x:v>P064 L034</x:v>
      </x:c>
      <x:c r="I30" s="43" t="str">
        <x:v>https://static.cninfo.com.cn/finalpage/2025-04-03/1222993920.PDF</x:v>
      </x:c>
    </x:row>
    <x:row r="31" ht="29" customHeight="1">
      <x:c r="C31" s="42" t="str">
        <x:v>经营活动产生的现金流量净额</x:v>
      </x:c>
      <x:c r="D31" s="43" t="str">
        <x:v>FY2023</x:v>
      </x:c>
      <x:c r="E31" s="43" t="n">
        <x:v>66593.24772109</x:v>
      </x:c>
      <x:c r="F31" s="43" t="str">
        <x:v>RMB million</x:v>
      </x:c>
      <x:c r="G31" s="43" t="str">
        <x:v>SOURCE_FACT</x:v>
      </x:c>
      <x:c r="H31" s="43" t="str">
        <x:v>P067 L018</x:v>
      </x:c>
      <x:c r="I31" s="43" t="str">
        <x:v>https://static.cninfo.com.cn/finalpage/2025-04-03/1222993920.PDF</x:v>
      </x:c>
    </x:row>
    <x:row r="32" ht="29" customHeight="1">
      <x:c r="C32" s="42" t="str">
        <x:v>投资活动产生的现金流量净额</x:v>
      </x:c>
      <x:c r="D32" s="43" t="str">
        <x:v>FY2023</x:v>
      </x:c>
      <x:c r="E32" s="43" t="n">
        <x:v>-9724.41401516</x:v>
      </x:c>
      <x:c r="F32" s="43" t="str">
        <x:v>RMB million</x:v>
      </x:c>
      <x:c r="G32" s="43" t="str">
        <x:v>SOURCE_FACT</x:v>
      </x:c>
      <x:c r="H32" s="43" t="str">
        <x:v>P067 L038</x:v>
      </x:c>
      <x:c r="I32" s="43" t="str">
        <x:v>https://static.cninfo.com.cn/finalpage/2025-04-03/1222993920.PDF</x:v>
      </x:c>
    </x:row>
    <x:row r="33" ht="29" customHeight="1">
      <x:c r="C33" s="42" t="str">
        <x:v>筹资活动产生的现金流量净额</x:v>
      </x:c>
      <x:c r="D33" s="43" t="str">
        <x:v>FY2023</x:v>
      </x:c>
      <x:c r="E33" s="43" t="n">
        <x:v>-58889.101991940006</x:v>
      </x:c>
      <x:c r="F33" s="43" t="str">
        <x:v>RMB million</x:v>
      </x:c>
      <x:c r="G33" s="43" t="str">
        <x:v>SOURCE_FACT</x:v>
      </x:c>
      <x:c r="H33" s="43" t="str">
        <x:v>P067 L055</x:v>
      </x:c>
      <x:c r="I33" s="43" t="str">
        <x:v>https://static.cninfo.com.cn/finalpage/2025-04-03/1222993920.PDF</x:v>
      </x:c>
    </x:row>
    <x:row r="34" ht="29" customHeight="1">
      <x:c r="C34" s="42" t="str">
        <x:v>四、汇率变动对现金及现金等价物的影</x:v>
      </x:c>
      <x:c r="D34" s="43" t="str">
        <x:v>FY2023</x:v>
      </x:c>
      <x:c r="E34" s="43" t="n">
        <x:v>1.71825565</x:v>
      </x:c>
      <x:c r="F34" s="43" t="str">
        <x:v>RMB million</x:v>
      </x:c>
      <x:c r="G34" s="43" t="str">
        <x:v>SOURCE_FACT</x:v>
      </x:c>
      <x:c r="H34" s="43" t="str">
        <x:v>P068 L005</x:v>
      </x:c>
      <x:c r="I34" s="43" t="str">
        <x:v>https://static.cninfo.com.cn/finalpage/2025-04-03/1222993920.PDF</x:v>
      </x:c>
    </x:row>
    <x:row r="35" ht="29" customHeight="1">
      <x:c r="C35" s="42" t="str">
        <x:v>加：期初现金及现金等价物余额</x:v>
      </x:c>
      <x:c r="D35" s="43" t="str">
        <x:v>FY2023</x:v>
      </x:c>
      <x:c r="E35" s="43" t="n">
        <x:v>152378.73898283</x:v>
      </x:c>
      <x:c r="F35" s="43" t="str">
        <x:v>RMB million</x:v>
      </x:c>
      <x:c r="G35" s="43" t="str">
        <x:v>SOURCE_FACT</x:v>
      </x:c>
      <x:c r="H35" s="43" t="str">
        <x:v>P068 L008</x:v>
      </x:c>
      <x:c r="I35" s="43" t="str">
        <x:v>https://static.cninfo.com.cn/finalpage/2025-04-03/1222993920.PDF</x:v>
      </x:c>
    </x:row>
    <x:row r="36" ht="29" customHeight="1">
      <x:c r="C36" s="42" t="str">
        <x:v>六、期末现金及现金等价物余额</x:v>
      </x:c>
      <x:c r="D36" s="43" t="str">
        <x:v>FY2023</x:v>
      </x:c>
      <x:c r="E36" s="43" t="n">
        <x:v>150360.18895247</x:v>
      </x:c>
      <x:c r="F36" s="43" t="str">
        <x:v>RMB million</x:v>
      </x:c>
      <x:c r="G36" s="43" t="str">
        <x:v>SOURCE_FACT</x:v>
      </x:c>
      <x:c r="H36" s="43" t="str">
        <x:v>P068 L009</x:v>
      </x:c>
      <x:c r="I36" s="43" t="str">
        <x:v>https://static.cninfo.com.cn/finalpage/2025-04-03/1222993920.PDF</x:v>
      </x:c>
    </x:row>
    <x:row r="37" ht="29" customHeight="1">
      <x:c r="C37" s="42" t="str">
        <x:v>购建固定资产、无形资产和其他长期</x:v>
      </x:c>
      <x:c r="D37" s="43" t="str">
        <x:v>FY2023</x:v>
      </x:c>
      <x:c r="E37" s="43" t="n">
        <x:v>2619.75588879</x:v>
      </x:c>
      <x:c r="F37" s="43" t="str">
        <x:v>RMB million</x:v>
      </x:c>
      <x:c r="G37" s="43" t="str">
        <x:v>SOURCE_FACT</x:v>
      </x:c>
      <x:c r="H37" s="43" t="str">
        <x:v>P067 L030</x:v>
      </x:c>
      <x:c r="I37" s="43" t="str">
        <x:v>https://static.cninfo.com.cn/finalpage/2025-04-03/1222993920.PDF</x:v>
      </x:c>
    </x:row>
    <x:row r="38" ht="29" customHeight="1">
      <x:c r="C38" s="42" t="str">
        <x:v>资产总计</x:v>
      </x:c>
      <x:c r="D38" s="43" t="str">
        <x:v>FY2023</x:v>
      </x:c>
      <x:c r="E38" s="43" t="n">
        <x:v>272699.66009225</x:v>
      </x:c>
      <x:c r="F38" s="43" t="str">
        <x:v>RMB million</x:v>
      </x:c>
      <x:c r="G38" s="43" t="str">
        <x:v>SOURCE_FACT</x:v>
      </x:c>
      <x:c r="H38" s="43" t="str">
        <x:v>P059 L048</x:v>
      </x:c>
      <x:c r="I38" s="43" t="str">
        <x:v>https://static.cninfo.com.cn/finalpage/2025-04-03/1222993920.PDF</x:v>
      </x:c>
    </x:row>
    <x:row r="39" ht="29" customHeight="1">
      <x:c r="C39" s="42" t="str">
        <x:v>负债合计</x:v>
      </x:c>
      <x:c r="D39" s="43" t="str">
        <x:v>FY2023</x:v>
      </x:c>
      <x:c r="E39" s="43" t="n">
        <x:v>49043.19079743</x:v>
      </x:c>
      <x:c r="F39" s="43" t="str">
        <x:v>RMB million</x:v>
      </x:c>
      <x:c r="G39" s="43" t="str">
        <x:v>SOURCE_FACT</x:v>
      </x:c>
      <x:c r="H39" s="43" t="str">
        <x:v>P060 L040</x:v>
      </x:c>
      <x:c r="I39" s="43" t="str">
        <x:v>https://static.cninfo.com.cn/finalpage/2025-04-03/1222993920.PDF</x:v>
      </x:c>
    </x:row>
    <x:row r="40" ht="29" customHeight="1">
      <x:c r="C40" s="42" t="str">
        <x:v>所有者权益（或股东权</x:v>
      </x:c>
      <x:c r="D40" s="43" t="str">
        <x:v>FY2023</x:v>
      </x:c>
      <x:c r="E40" s="43" t="n">
        <x:v>223656.46929482</x:v>
      </x:c>
      <x:c r="F40" s="43" t="str">
        <x:v>RMB million</x:v>
      </x:c>
      <x:c r="G40" s="43" t="str">
        <x:v>SOURCE_FACT</x:v>
      </x:c>
      <x:c r="H40" s="43" t="str">
        <x:v>P061 L010</x:v>
      </x:c>
      <x:c r="I40" s="43" t="str">
        <x:v>https://static.cninfo.com.cn/finalpage/2025-04-03/1222993920.PDF</x:v>
      </x:c>
    </x:row>
    <x:row r="41" ht="29" customHeight="1">
      <x:c r="C41" s="42" t="str">
        <x:v>少数股东权益</x:v>
      </x:c>
      <x:c r="D41" s="43" t="str">
        <x:v>FY2023</x:v>
      </x:c>
      <x:c r="E41" s="43" t="n">
        <x:v>7987.89768739</x:v>
      </x:c>
      <x:c r="F41" s="43" t="str">
        <x:v>RMB million</x:v>
      </x:c>
      <x:c r="G41" s="43" t="str">
        <x:v>SOURCE_FACT</x:v>
      </x:c>
      <x:c r="H41" s="43" t="str">
        <x:v>P061 L008</x:v>
      </x:c>
      <x:c r="I41" s="43" t="str">
        <x:v>https://static.cninfo.com.cn/finalpage/2025-04-03/1222993920.PDF</x:v>
      </x:c>
    </x:row>
    <x:row r="42" ht="29" customHeight="1">
      <x:c r="C42" s="42" t="str">
        <x:v>未分配利润</x:v>
      </x:c>
      <x:c r="D42" s="43" t="str">
        <x:v>FY2023</x:v>
      </x:c>
      <x:c r="E42" s="43" t="n">
        <x:v>172983.17830009</x:v>
      </x:c>
      <x:c r="F42" s="43" t="str">
        <x:v>RMB million</x:v>
      </x:c>
      <x:c r="G42" s="43" t="str">
        <x:v>SOURCE_FACT</x:v>
      </x:c>
      <x:c r="H42" s="43" t="str">
        <x:v>P061 L004</x:v>
      </x:c>
      <x:c r="I42" s="43" t="str">
        <x:v>https://static.cninfo.com.cn/finalpage/2025-04-03/1222993920.PDF</x:v>
      </x:c>
    </x:row>
    <x:row r="43" ht="29" customHeight="1">
      <x:c r="C43" s="42" t="str">
        <x:v>其中：营业收入</x:v>
      </x:c>
      <x:c r="D43" s="43" t="str">
        <x:v>FY2024</x:v>
      </x:c>
      <x:c r="E43" s="43" t="n">
        <x:v>170899.15227634</x:v>
      </x:c>
      <x:c r="F43" s="43" t="str">
        <x:v>RMB million</x:v>
      </x:c>
      <x:c r="G43" s="43" t="str">
        <x:v>SOURCE_FACT</x:v>
      </x:c>
      <x:c r="H43" s="43" t="str">
        <x:v>P061 L021</x:v>
      </x:c>
      <x:c r="I43" s="43" t="str">
        <x:v>https://static.cninfo.com.cn/finalpage/2026-04-17/1225114741.PDF</x:v>
      </x:c>
    </x:row>
    <x:row r="44" ht="29" customHeight="1">
      <x:c r="C44" s="42" t="str">
        <x:v>其中：营业成本</x:v>
      </x:c>
      <x:c r="D44" s="43" t="str">
        <x:v>FY2024</x:v>
      </x:c>
      <x:c r="E44" s="43" t="n">
        <x:v>13789.48236798</x:v>
      </x:c>
      <x:c r="F44" s="43" t="str">
        <x:v>RMB million</x:v>
      </x:c>
      <x:c r="G44" s="43" t="str">
        <x:v>SOURCE_FACT</x:v>
      </x:c>
      <x:c r="H44" s="43" t="str">
        <x:v>P061 L026</x:v>
      </x:c>
      <x:c r="I44" s="43" t="str">
        <x:v>https://static.cninfo.com.cn/finalpage/2026-04-17/1225114741.PDF</x:v>
      </x:c>
    </x:row>
    <x:row r="45" ht="29" customHeight="1">
      <x:c r="C45" s="42" t="str">
        <x:v>销售费用</x:v>
      </x:c>
      <x:c r="D45" s="43" t="str">
        <x:v>FY2024</x:v>
      </x:c>
      <x:c r="E45" s="43" t="n">
        <x:v>5639.3000594899995</x:v>
      </x:c>
      <x:c r="F45" s="43" t="str">
        <x:v>RMB million</x:v>
      </x:c>
      <x:c r="G45" s="43" t="str">
        <x:v>SOURCE_FACT</x:v>
      </x:c>
      <x:c r="H45" s="43" t="str">
        <x:v>P061 L035</x:v>
      </x:c>
      <x:c r="I45" s="43" t="str">
        <x:v>https://static.cninfo.com.cn/finalpage/2026-04-17/1225114741.PDF</x:v>
      </x:c>
    </x:row>
    <x:row r="46" ht="29" customHeight="1">
      <x:c r="C46" s="42" t="str">
        <x:v>管理费用</x:v>
      </x:c>
      <x:c r="D46" s="43" t="str">
        <x:v>FY2024</x:v>
      </x:c>
      <x:c r="E46" s="43" t="n">
        <x:v>9315.65006038</x:v>
      </x:c>
      <x:c r="F46" s="43" t="str">
        <x:v>RMB million</x:v>
      </x:c>
      <x:c r="G46" s="43" t="str">
        <x:v>SOURCE_FACT</x:v>
      </x:c>
      <x:c r="H46" s="43" t="str">
        <x:v>P061 L036</x:v>
      </x:c>
      <x:c r="I46" s="43" t="str">
        <x:v>https://static.cninfo.com.cn/finalpage/2026-04-17/1225114741.PDF</x:v>
      </x:c>
    </x:row>
    <x:row r="47" ht="29" customHeight="1">
      <x:c r="C47" s="42" t="str">
        <x:v>研发费用</x:v>
      </x:c>
      <x:c r="D47" s="43" t="str">
        <x:v>FY2024</x:v>
      </x:c>
      <x:c r="E47" s="43" t="n">
        <x:v>218.37547287</x:v>
      </x:c>
      <x:c r="F47" s="43" t="str">
        <x:v>RMB million</x:v>
      </x:c>
      <x:c r="G47" s="43" t="str">
        <x:v>SOURCE_FACT</x:v>
      </x:c>
      <x:c r="H47" s="43" t="str">
        <x:v>P061 L037</x:v>
      </x:c>
      <x:c r="I47" s="43" t="str">
        <x:v>https://static.cninfo.com.cn/finalpage/2026-04-17/1225114741.PDF</x:v>
      </x:c>
    </x:row>
    <x:row r="48" ht="29" customHeight="1">
      <x:c r="C48" s="42" t="str">
        <x:v>税金及附加</x:v>
      </x:c>
      <x:c r="D48" s="43" t="str">
        <x:v>FY2024</x:v>
      </x:c>
      <x:c r="E48" s="43" t="n">
        <x:v>26926.16147499</x:v>
      </x:c>
      <x:c r="F48" s="43" t="str">
        <x:v>RMB million</x:v>
      </x:c>
      <x:c r="G48" s="43" t="str">
        <x:v>SOURCE_FACT</x:v>
      </x:c>
      <x:c r="H48" s="43" t="str">
        <x:v>P061 L034</x:v>
      </x:c>
      <x:c r="I48" s="43" t="str">
        <x:v>https://static.cninfo.com.cn/finalpage/2026-04-17/1225114741.PDF</x:v>
      </x:c>
    </x:row>
    <x:row r="49" ht="29" customHeight="1">
      <x:c r="C49" s="42" t="str">
        <x:v>财务费用</x:v>
      </x:c>
      <x:c r="D49" s="43" t="str">
        <x:v>FY2024</x:v>
      </x:c>
      <x:c r="E49" s="43" t="n">
        <x:v>-1470.2198633399998</x:v>
      </x:c>
      <x:c r="F49" s="43" t="str">
        <x:v>RMB million</x:v>
      </x:c>
      <x:c r="G49" s="43" t="str">
        <x:v>SOURCE_FACT</x:v>
      </x:c>
      <x:c r="H49" s="43" t="str">
        <x:v>P061 L038</x:v>
      </x:c>
      <x:c r="I49" s="43" t="str">
        <x:v>https://static.cninfo.com.cn/finalpage/2026-04-17/1225114741.PDF</x:v>
      </x:c>
    </x:row>
    <x:row r="50" ht="29" customHeight="1">
      <x:c r="C50" s="42" t="str">
        <x:v>其中：利息费用</x:v>
      </x:c>
      <x:c r="D50" s="43" t="str">
        <x:v>FY2024</x:v>
      </x:c>
      <x:c r="E50" s="43" t="n">
        <x:v>14.47458409</x:v>
      </x:c>
      <x:c r="F50" s="43" t="str">
        <x:v>RMB million</x:v>
      </x:c>
      <x:c r="G50" s="43" t="str">
        <x:v>SOURCE_FACT</x:v>
      </x:c>
      <x:c r="H50" s="43" t="str">
        <x:v>P061 L039</x:v>
      </x:c>
      <x:c r="I50" s="43" t="str">
        <x:v>https://static.cninfo.com.cn/finalpage/2026-04-17/1225114741.PDF</x:v>
      </x:c>
    </x:row>
    <x:row r="51" ht="29" customHeight="1">
      <x:c r="C51" s="42" t="str">
        <x:v>四、利润总额（亏损总额以“－”号</x:v>
      </x:c>
      <x:c r="D51" s="43" t="str">
        <x:v>FY2024</x:v>
      </x:c>
      <x:c r="E51" s="43" t="n">
        <x:v>119638.57819446</x:v>
      </x:c>
      <x:c r="F51" s="43" t="str">
        <x:v>RMB million</x:v>
      </x:c>
      <x:c r="G51" s="43" t="str">
        <x:v>SOURCE_FACT</x:v>
      </x:c>
      <x:c r="H51" s="43" t="str">
        <x:v>P062 L014</x:v>
      </x:c>
      <x:c r="I51" s="43" t="str">
        <x:v>https://static.cninfo.com.cn/finalpage/2026-04-17/1225114741.PDF</x:v>
      </x:c>
    </x:row>
    <x:row r="52" ht="29" customHeight="1">
      <x:c r="C52" s="42" t="str">
        <x:v>减：所得税费用</x:v>
      </x:c>
      <x:c r="D52" s="43" t="str">
        <x:v>FY2024</x:v>
      </x:c>
      <x:c r="E52" s="43" t="n">
        <x:v>30303.850168560002</x:v>
      </x:c>
      <x:c r="F52" s="43" t="str">
        <x:v>RMB million</x:v>
      </x:c>
      <x:c r="G52" s="43" t="str">
        <x:v>SOURCE_FACT</x:v>
      </x:c>
      <x:c r="H52" s="43" t="str">
        <x:v>P062 L016</x:v>
      </x:c>
      <x:c r="I52" s="43" t="str">
        <x:v>https://static.cninfo.com.cn/finalpage/2026-04-17/1225114741.PDF</x:v>
      </x:c>
    </x:row>
    <x:row r="53" ht="29" customHeight="1">
      <x:c r="C53" s="42" t="str">
        <x:v>五、净利润（净亏损以“－”号填列）</x:v>
      </x:c>
      <x:c r="D53" s="43" t="str">
        <x:v>FY2024</x:v>
      </x:c>
      <x:c r="E53" s="43" t="n">
        <x:v>89334.7280259</x:v>
      </x:c>
      <x:c r="F53" s="43" t="str">
        <x:v>RMB million</x:v>
      </x:c>
      <x:c r="G53" s="43" t="str">
        <x:v>SOURCE_FACT</x:v>
      </x:c>
      <x:c r="H53" s="43" t="str">
        <x:v>P062 L017</x:v>
      </x:c>
      <x:c r="I53" s="43" t="str">
        <x:v>https://static.cninfo.com.cn/finalpage/2026-04-17/1225114741.PDF</x:v>
      </x:c>
    </x:row>
    <x:row r="54" ht="29" customHeight="1">
      <x:c r="C54" s="42" t="str">
        <x:v>1.归属于母公司股东的净利润</x:v>
      </x:c>
      <x:c r="D54" s="43" t="str">
        <x:v>FY2024</x:v>
      </x:c>
      <x:c r="E54" s="43" t="n">
        <x:v>86228.14642162</x:v>
      </x:c>
      <x:c r="F54" s="43" t="str">
        <x:v>RMB million</x:v>
      </x:c>
      <x:c r="G54" s="43" t="str">
        <x:v>SOURCE_FACT</x:v>
      </x:c>
      <x:c r="H54" s="43" t="str">
        <x:v>P062 L026</x:v>
      </x:c>
      <x:c r="I54" s="43" t="str">
        <x:v>https://static.cninfo.com.cn/finalpage/2026-04-17/1225114741.PDF</x:v>
      </x:c>
    </x:row>
    <x:row r="55" ht="29" customHeight="1">
      <x:c r="C55" s="42" t="str">
        <x:v>2.少数股东损益（净亏损以“-”</x:v>
      </x:c>
      <x:c r="D55" s="43" t="str">
        <x:v>FY2024</x:v>
      </x:c>
      <x:c r="E55" s="43" t="n">
        <x:v>3106.58160428</x:v>
      </x:c>
      <x:c r="F55" s="43" t="str">
        <x:v>RMB million</x:v>
      </x:c>
      <x:c r="G55" s="43" t="str">
        <x:v>SOURCE_FACT</x:v>
      </x:c>
      <x:c r="H55" s="43" t="str">
        <x:v>P062 L029</x:v>
      </x:c>
      <x:c r="I55" s="43" t="str">
        <x:v>https://static.cninfo.com.cn/finalpage/2026-04-17/1225114741.PDF</x:v>
      </x:c>
    </x:row>
    <x:row r="56" ht="29" customHeight="1">
      <x:c r="C56" s="42" t="str">
        <x:v>经营活动产生的现金流</x:v>
      </x:c>
      <x:c r="D56" s="43" t="str">
        <x:v>FY2024</x:v>
      </x:c>
      <x:c r="E56" s="43" t="n">
        <x:v>92463.69216842999</x:v>
      </x:c>
      <x:c r="F56" s="43" t="str">
        <x:v>RMB million</x:v>
      </x:c>
      <x:c r="G56" s="43" t="str">
        <x:v>SOURCE_FACT</x:v>
      </x:c>
      <x:c r="H56" s="43" t="str">
        <x:v>P065 L036</x:v>
      </x:c>
      <x:c r="I56" s="43" t="str">
        <x:v>https://static.cninfo.com.cn/finalpage/2026-04-17/1225114741.PDF</x:v>
      </x:c>
    </x:row>
    <x:row r="57" ht="29" customHeight="1">
      <x:c r="C57" s="42" t="str">
        <x:v>投资活动产生的现金流</x:v>
      </x:c>
      <x:c r="D57" s="43" t="str">
        <x:v>FY2024</x:v>
      </x:c>
      <x:c r="E57" s="43" t="n">
        <x:v>-1785.20263071</x:v>
      </x:c>
      <x:c r="F57" s="43" t="str">
        <x:v>RMB million</x:v>
      </x:c>
      <x:c r="G57" s="43" t="str">
        <x:v>SOURCE_FACT</x:v>
      </x:c>
      <x:c r="H57" s="43" t="str">
        <x:v>P065 L062</x:v>
      </x:c>
      <x:c r="I57" s="43" t="str">
        <x:v>https://static.cninfo.com.cn/finalpage/2026-04-17/1225114741.PDF</x:v>
      </x:c>
    </x:row>
    <x:row r="58" ht="29" customHeight="1">
      <x:c r="C58" s="42" t="str">
        <x:v>筹资活动产生的现金流</x:v>
      </x:c>
      <x:c r="D58" s="43" t="str">
        <x:v>FY2024</x:v>
      </x:c>
      <x:c r="E58" s="43" t="n">
        <x:v>-71067.50648481</x:v>
      </x:c>
      <x:c r="F58" s="43" t="str">
        <x:v>RMB million</x:v>
      </x:c>
      <x:c r="G58" s="43" t="str">
        <x:v>SOURCE_FACT</x:v>
      </x:c>
      <x:c r="H58" s="43" t="str">
        <x:v>P066 L023</x:v>
      </x:c>
      <x:c r="I58" s="43" t="str">
        <x:v>https://static.cninfo.com.cn/finalpage/2026-04-17/1225114741.PDF</x:v>
      </x:c>
    </x:row>
    <x:row r="59" ht="29" customHeight="1">
      <x:c r="C59" s="42" t="str">
        <x:v>四、汇率变动对现金及现金等价</x:v>
      </x:c>
      <x:c r="D59" s="43" t="str">
        <x:v>FY2024</x:v>
      </x:c>
      <x:c r="E59" s="43" t="n">
        <x:v>-1.0827475500000001</x:v>
      </x:c>
      <x:c r="F59" s="43" t="str">
        <x:v>RMB million</x:v>
      </x:c>
      <x:c r="G59" s="43" t="str">
        <x:v>SOURCE_FACT</x:v>
      </x:c>
      <x:c r="H59" s="43" t="str">
        <x:v>P066 L026</x:v>
      </x:c>
      <x:c r="I59" s="43" t="str">
        <x:v>https://static.cninfo.com.cn/finalpage/2026-04-17/1225114741.PDF</x:v>
      </x:c>
    </x:row>
    <x:row r="60" ht="29" customHeight="1">
      <x:c r="C60" s="42" t="str">
        <x:v>加：期初现金及现金等价物余</x:v>
      </x:c>
      <x:c r="D60" s="43" t="str">
        <x:v>FY2024</x:v>
      </x:c>
      <x:c r="E60" s="43" t="n">
        <x:v>150360.18895247</x:v>
      </x:c>
      <x:c r="F60" s="43" t="str">
        <x:v>RMB million</x:v>
      </x:c>
      <x:c r="G60" s="43" t="str">
        <x:v>SOURCE_FACT</x:v>
      </x:c>
      <x:c r="H60" s="43" t="str">
        <x:v>P066 L030</x:v>
      </x:c>
      <x:c r="I60" s="43" t="str">
        <x:v>https://static.cninfo.com.cn/finalpage/2026-04-17/1225114741.PDF</x:v>
      </x:c>
    </x:row>
    <x:row r="61" ht="29" customHeight="1">
      <x:c r="C61" s="42" t="str">
        <x:v>六、期末现金及现金等价物余额</x:v>
      </x:c>
      <x:c r="D61" s="43" t="str">
        <x:v>FY2024</x:v>
      </x:c>
      <x:c r="E61" s="43" t="n">
        <x:v>169970.08925783</x:v>
      </x:c>
      <x:c r="F61" s="43" t="str">
        <x:v>RMB million</x:v>
      </x:c>
      <x:c r="G61" s="43" t="str">
        <x:v>SOURCE_FACT</x:v>
      </x:c>
      <x:c r="H61" s="43" t="str">
        <x:v>P066 L032</x:v>
      </x:c>
      <x:c r="I61" s="43" t="str">
        <x:v>https://static.cninfo.com.cn/finalpage/2026-04-17/1225114741.PDF</x:v>
      </x:c>
    </x:row>
    <x:row r="62" ht="29" customHeight="1">
      <x:c r="C62" s="42" t="str">
        <x:v>购建固定资产、无形资产和其</x:v>
      </x:c>
      <x:c r="D62" s="43" t="str">
        <x:v>FY2024</x:v>
      </x:c>
      <x:c r="E62" s="43" t="n">
        <x:v>4678.712053560001</x:v>
      </x:c>
      <x:c r="F62" s="43" t="str">
        <x:v>RMB million</x:v>
      </x:c>
      <x:c r="G62" s="43" t="str">
        <x:v>SOURCE_FACT</x:v>
      </x:c>
      <x:c r="H62" s="43" t="str">
        <x:v>P065 L051</x:v>
      </x:c>
      <x:c r="I62" s="43" t="str">
        <x:v>https://static.cninfo.com.cn/finalpage/2026-04-17/1225114741.PDF</x:v>
      </x:c>
    </x:row>
    <x:row r="63" ht="29" customHeight="1">
      <x:c r="C63" s="42" t="str">
        <x:v>资产总计</x:v>
      </x:c>
      <x:c r="D63" s="43" t="str">
        <x:v>FY2024</x:v>
      </x:c>
      <x:c r="E63" s="43" t="n">
        <x:v>298944.57991870004</x:v>
      </x:c>
      <x:c r="F63" s="43" t="str">
        <x:v>RMB million</x:v>
      </x:c>
      <x:c r="G63" s="43" t="str">
        <x:v>SOURCE_FACT</x:v>
      </x:c>
      <x:c r="H63" s="43" t="str">
        <x:v>P057 L046</x:v>
      </x:c>
      <x:c r="I63" s="43" t="str">
        <x:v>https://static.cninfo.com.cn/finalpage/2026-04-17/1225114741.PDF</x:v>
      </x:c>
    </x:row>
    <x:row r="64" ht="29" customHeight="1">
      <x:c r="C64" s="42" t="str">
        <x:v>负债合计</x:v>
      </x:c>
      <x:c r="D64" s="43" t="str">
        <x:v>FY2024</x:v>
      </x:c>
      <x:c r="E64" s="43" t="n">
        <x:v>56933.2647981</x:v>
      </x:c>
      <x:c r="F64" s="43" t="str">
        <x:v>RMB million</x:v>
      </x:c>
      <x:c r="G64" s="43" t="str">
        <x:v>SOURCE_FACT</x:v>
      </x:c>
      <x:c r="H64" s="43" t="str">
        <x:v>P058 L038</x:v>
      </x:c>
      <x:c r="I64" s="43" t="str">
        <x:v>https://static.cninfo.com.cn/finalpage/2026-04-17/1225114741.PDF</x:v>
      </x:c>
    </x:row>
    <x:row r="65" ht="29" customHeight="1">
      <x:c r="C65" s="42" t="str">
        <x:v>所有者权益（或股东权</x:v>
      </x:c>
      <x:c r="D65" s="43" t="str">
        <x:v>FY2024</x:v>
      </x:c>
      <x:c r="E65" s="43" t="n">
        <x:v>242011.31512060002</x:v>
      </x:c>
      <x:c r="F65" s="43" t="str">
        <x:v>RMB million</x:v>
      </x:c>
      <x:c r="G65" s="43" t="str">
        <x:v>SOURCE_FACT</x:v>
      </x:c>
      <x:c r="H65" s="43" t="str">
        <x:v>P059 L007</x:v>
      </x:c>
      <x:c r="I65" s="43" t="str">
        <x:v>https://static.cninfo.com.cn/finalpage/2026-04-17/1225114741.PDF</x:v>
      </x:c>
    </x:row>
    <x:row r="66" ht="29" customHeight="1">
      <x:c r="C66" s="42" t="str">
        <x:v>少数股东权益</x:v>
      </x:c>
      <x:c r="D66" s="43" t="str">
        <x:v>FY2024</x:v>
      </x:c>
      <x:c r="E66" s="43" t="n">
        <x:v>8905.33072113</x:v>
      </x:c>
      <x:c r="F66" s="43" t="str">
        <x:v>RMB million</x:v>
      </x:c>
      <x:c r="G66" s="43" t="str">
        <x:v>SOURCE_FACT</x:v>
      </x:c>
      <x:c r="H66" s="43" t="str">
        <x:v>P059 L005</x:v>
      </x:c>
      <x:c r="I66" s="43" t="str">
        <x:v>https://static.cninfo.com.cn/finalpage/2026-04-17/1225114741.PDF</x:v>
      </x:c>
    </x:row>
    <x:row r="67" ht="29" customHeight="1">
      <x:c r="C67" s="42" t="str">
        <x:v>未分配利润</x:v>
      </x:c>
      <x:c r="D67" s="43" t="str">
        <x:v>FY2024</x:v>
      </x:c>
      <x:c r="E67" s="43" t="n">
        <x:v>182787.41520505</x:v>
      </x:c>
      <x:c r="F67" s="43" t="str">
        <x:v>RMB million</x:v>
      </x:c>
      <x:c r="G67" s="43" t="str">
        <x:v>SOURCE_FACT</x:v>
      </x:c>
      <x:c r="H67" s="43" t="str">
        <x:v>P058 L050</x:v>
      </x:c>
      <x:c r="I67" s="43" t="str">
        <x:v>https://static.cninfo.com.cn/finalpage/2026-04-17/1225114741.PDF</x:v>
      </x:c>
    </x:row>
    <x:row r="68" ht="29" customHeight="1">
      <x:c r="C68" s="42" t="str">
        <x:v>其中：营业收入</x:v>
      </x:c>
      <x:c r="D68" s="43" t="str">
        <x:v>FY2025</x:v>
      </x:c>
      <x:c r="E68" s="43" t="n">
        <x:v>168838.10251479002</x:v>
      </x:c>
      <x:c r="F68" s="43" t="str">
        <x:v>RMB million</x:v>
      </x:c>
      <x:c r="G68" s="43" t="str">
        <x:v>SOURCE_FACT</x:v>
      </x:c>
      <x:c r="H68" s="43" t="str">
        <x:v>P061 L021</x:v>
      </x:c>
      <x:c r="I68" s="43" t="str">
        <x:v>https://static.cninfo.com.cn/finalpage/2026-04-17/1225114741.PDF</x:v>
      </x:c>
    </x:row>
    <x:row r="69" ht="29" customHeight="1">
      <x:c r="C69" s="42" t="str">
        <x:v>其中：营业成本</x:v>
      </x:c>
      <x:c r="D69" s="43" t="str">
        <x:v>FY2025</x:v>
      </x:c>
      <x:c r="E69" s="43" t="n">
        <x:v>14892.27757091</x:v>
      </x:c>
      <x:c r="F69" s="43" t="str">
        <x:v>RMB million</x:v>
      </x:c>
      <x:c r="G69" s="43" t="str">
        <x:v>SOURCE_FACT</x:v>
      </x:c>
      <x:c r="H69" s="43" t="str">
        <x:v>P061 L026</x:v>
      </x:c>
      <x:c r="I69" s="43" t="str">
        <x:v>https://static.cninfo.com.cn/finalpage/2026-04-17/1225114741.PDF</x:v>
      </x:c>
    </x:row>
    <x:row r="70" ht="29" customHeight="1">
      <x:c r="C70" s="42" t="str">
        <x:v>销售费用</x:v>
      </x:c>
      <x:c r="D70" s="43" t="str">
        <x:v>FY2025</x:v>
      </x:c>
      <x:c r="E70" s="43" t="n">
        <x:v>7253.49960068</x:v>
      </x:c>
      <x:c r="F70" s="43" t="str">
        <x:v>RMB million</x:v>
      </x:c>
      <x:c r="G70" s="43" t="str">
        <x:v>SOURCE_FACT</x:v>
      </x:c>
      <x:c r="H70" s="43" t="str">
        <x:v>P061 L035</x:v>
      </x:c>
      <x:c r="I70" s="43" t="str">
        <x:v>https://static.cninfo.com.cn/finalpage/2026-04-17/1225114741.PDF</x:v>
      </x:c>
    </x:row>
    <x:row r="71" ht="29" customHeight="1">
      <x:c r="C71" s="42" t="str">
        <x:v>管理费用</x:v>
      </x:c>
      <x:c r="D71" s="43" t="str">
        <x:v>FY2025</x:v>
      </x:c>
      <x:c r="E71" s="43" t="n">
        <x:v>8320.06165966</x:v>
      </x:c>
      <x:c r="F71" s="43" t="str">
        <x:v>RMB million</x:v>
      </x:c>
      <x:c r="G71" s="43" t="str">
        <x:v>SOURCE_FACT</x:v>
      </x:c>
      <x:c r="H71" s="43" t="str">
        <x:v>P061 L036</x:v>
      </x:c>
      <x:c r="I71" s="43" t="str">
        <x:v>https://static.cninfo.com.cn/finalpage/2026-04-17/1225114741.PDF</x:v>
      </x:c>
    </x:row>
    <x:row r="72" ht="29" customHeight="1">
      <x:c r="C72" s="42" t="str">
        <x:v>研发费用</x:v>
      </x:c>
      <x:c r="D72" s="43" t="str">
        <x:v>FY2025</x:v>
      </x:c>
      <x:c r="E72" s="43" t="n">
        <x:v>190.11224658</x:v>
      </x:c>
      <x:c r="F72" s="43" t="str">
        <x:v>RMB million</x:v>
      </x:c>
      <x:c r="G72" s="43" t="str">
        <x:v>SOURCE_FACT</x:v>
      </x:c>
      <x:c r="H72" s="43" t="str">
        <x:v>P061 L037</x:v>
      </x:c>
      <x:c r="I72" s="43" t="str">
        <x:v>https://static.cninfo.com.cn/finalpage/2026-04-17/1225114741.PDF</x:v>
      </x:c>
    </x:row>
    <x:row r="73" ht="29" customHeight="1">
      <x:c r="C73" s="42" t="str">
        <x:v>税金及附加</x:v>
      </x:c>
      <x:c r="D73" s="43" t="str">
        <x:v>FY2025</x:v>
      </x:c>
      <x:c r="E73" s="43" t="n">
        <x:v>27354.22768488</x:v>
      </x:c>
      <x:c r="F73" s="43" t="str">
        <x:v>RMB million</x:v>
      </x:c>
      <x:c r="G73" s="43" t="str">
        <x:v>SOURCE_FACT</x:v>
      </x:c>
      <x:c r="H73" s="43" t="str">
        <x:v>P061 L034</x:v>
      </x:c>
      <x:c r="I73" s="43" t="str">
        <x:v>https://static.cninfo.com.cn/finalpage/2026-04-17/1225114741.PDF</x:v>
      </x:c>
    </x:row>
    <x:row r="74" ht="29" customHeight="1">
      <x:c r="C74" s="42" t="str">
        <x:v>财务费用</x:v>
      </x:c>
      <x:c r="D74" s="43" t="str">
        <x:v>FY2025</x:v>
      </x:c>
      <x:c r="E74" s="43" t="n">
        <x:v>-815.24028472</x:v>
      </x:c>
      <x:c r="F74" s="43" t="str">
        <x:v>RMB million</x:v>
      </x:c>
      <x:c r="G74" s="43" t="str">
        <x:v>SOURCE_FACT</x:v>
      </x:c>
      <x:c r="H74" s="43" t="str">
        <x:v>P061 L038</x:v>
      </x:c>
      <x:c r="I74" s="43" t="str">
        <x:v>https://static.cninfo.com.cn/finalpage/2026-04-17/1225114741.PDF</x:v>
      </x:c>
    </x:row>
    <x:row r="75" ht="29" customHeight="1">
      <x:c r="C75" s="42" t="str">
        <x:v>其中：利息费用</x:v>
      </x:c>
      <x:c r="D75" s="43" t="str">
        <x:v>FY2025</x:v>
      </x:c>
      <x:c r="E75" s="43" t="n">
        <x:v>28.73494829</x:v>
      </x:c>
      <x:c r="F75" s="43" t="str">
        <x:v>RMB million</x:v>
      </x:c>
      <x:c r="G75" s="43" t="str">
        <x:v>SOURCE_FACT</x:v>
      </x:c>
      <x:c r="H75" s="43" t="str">
        <x:v>P061 L039</x:v>
      </x:c>
      <x:c r="I75" s="43" t="str">
        <x:v>https://static.cninfo.com.cn/finalpage/2026-04-17/1225114741.PDF</x:v>
      </x:c>
    </x:row>
    <x:row r="76" ht="29" customHeight="1">
      <x:c r="C76" s="42" t="str">
        <x:v>四、利润总额（亏损总额以“－”号</x:v>
      </x:c>
      <x:c r="D76" s="43" t="str">
        <x:v>FY2025</x:v>
      </x:c>
      <x:c r="E76" s="43" t="n">
        <x:v>114755.26160508</x:v>
      </x:c>
      <x:c r="F76" s="43" t="str">
        <x:v>RMB million</x:v>
      </x:c>
      <x:c r="G76" s="43" t="str">
        <x:v>SOURCE_FACT</x:v>
      </x:c>
      <x:c r="H76" s="43" t="str">
        <x:v>P062 L014</x:v>
      </x:c>
      <x:c r="I76" s="43" t="str">
        <x:v>https://static.cninfo.com.cn/finalpage/2026-04-17/1225114741.PDF</x:v>
      </x:c>
    </x:row>
    <x:row r="77" ht="29" customHeight="1">
      <x:c r="C77" s="42" t="str">
        <x:v>减：所得税费用</x:v>
      </x:c>
      <x:c r="D77" s="43" t="str">
        <x:v>FY2025</x:v>
      </x:c>
      <x:c r="E77" s="43" t="n">
        <x:v>29444.93677141</x:v>
      </x:c>
      <x:c r="F77" s="43" t="str">
        <x:v>RMB million</x:v>
      </x:c>
      <x:c r="G77" s="43" t="str">
        <x:v>SOURCE_FACT</x:v>
      </x:c>
      <x:c r="H77" s="43" t="str">
        <x:v>P062 L016</x:v>
      </x:c>
      <x:c r="I77" s="43" t="str">
        <x:v>https://static.cninfo.com.cn/finalpage/2026-04-17/1225114741.PDF</x:v>
      </x:c>
    </x:row>
    <x:row r="78" ht="29" customHeight="1">
      <x:c r="C78" s="42" t="str">
        <x:v>五、净利润（净亏损以“－”号填列）</x:v>
      </x:c>
      <x:c r="D78" s="43" t="str">
        <x:v>FY2025</x:v>
      </x:c>
      <x:c r="E78" s="43" t="n">
        <x:v>85310.32483367</x:v>
      </x:c>
      <x:c r="F78" s="43" t="str">
        <x:v>RMB million</x:v>
      </x:c>
      <x:c r="G78" s="43" t="str">
        <x:v>SOURCE_FACT</x:v>
      </x:c>
      <x:c r="H78" s="43" t="str">
        <x:v>P062 L017</x:v>
      </x:c>
      <x:c r="I78" s="43" t="str">
        <x:v>https://static.cninfo.com.cn/finalpage/2026-04-17/1225114741.PDF</x:v>
      </x:c>
    </x:row>
    <x:row r="79" ht="29" customHeight="1">
      <x:c r="C79" s="42" t="str">
        <x:v>1.归属于母公司股东的净利润</x:v>
      </x:c>
      <x:c r="D79" s="43" t="str">
        <x:v>FY2025</x:v>
      </x:c>
      <x:c r="E79" s="43" t="n">
        <x:v>82320.06710167999</x:v>
      </x:c>
      <x:c r="F79" s="43" t="str">
        <x:v>RMB million</x:v>
      </x:c>
      <x:c r="G79" s="43" t="str">
        <x:v>SOURCE_FACT</x:v>
      </x:c>
      <x:c r="H79" s="43" t="str">
        <x:v>P062 L026</x:v>
      </x:c>
      <x:c r="I79" s="43" t="str">
        <x:v>https://static.cninfo.com.cn/finalpage/2026-04-17/1225114741.PDF</x:v>
      </x:c>
    </x:row>
    <x:row r="80" ht="29" customHeight="1">
      <x:c r="C80" s="42" t="str">
        <x:v>2.少数股东损益（净亏损以“-”</x:v>
      </x:c>
      <x:c r="D80" s="43" t="str">
        <x:v>FY2025</x:v>
      </x:c>
      <x:c r="E80" s="43" t="n">
        <x:v>2990.2577319899997</x:v>
      </x:c>
      <x:c r="F80" s="43" t="str">
        <x:v>RMB million</x:v>
      </x:c>
      <x:c r="G80" s="43" t="str">
        <x:v>SOURCE_FACT</x:v>
      </x:c>
      <x:c r="H80" s="43" t="str">
        <x:v>P062 L029</x:v>
      </x:c>
      <x:c r="I80" s="43" t="str">
        <x:v>https://static.cninfo.com.cn/finalpage/2026-04-17/1225114741.PDF</x:v>
      </x:c>
    </x:row>
    <x:row r="81" ht="29" customHeight="1">
      <x:c r="C81" s="42" t="str">
        <x:v>经营活动产生的现金流</x:v>
      </x:c>
      <x:c r="D81" s="43" t="str">
        <x:v>FY2025</x:v>
      </x:c>
      <x:c r="E81" s="43" t="n">
        <x:v>61522.20498935</x:v>
      </x:c>
      <x:c r="F81" s="43" t="str">
        <x:v>RMB million</x:v>
      </x:c>
      <x:c r="G81" s="43" t="str">
        <x:v>SOURCE_FACT</x:v>
      </x:c>
      <x:c r="H81" s="43" t="str">
        <x:v>P065 L036</x:v>
      </x:c>
      <x:c r="I81" s="43" t="str">
        <x:v>https://static.cninfo.com.cn/finalpage/2026-04-17/1225114741.PDF</x:v>
      </x:c>
    </x:row>
    <x:row r="82" ht="29" customHeight="1">
      <x:c r="C82" s="42" t="str">
        <x:v>投资活动产生的现金流</x:v>
      </x:c>
      <x:c r="D82" s="43" t="str">
        <x:v>FY2025</x:v>
      </x:c>
      <x:c r="E82" s="43" t="n">
        <x:v>-31641.89894889</x:v>
      </x:c>
      <x:c r="F82" s="43" t="str">
        <x:v>RMB million</x:v>
      </x:c>
      <x:c r="G82" s="43" t="str">
        <x:v>SOURCE_FACT</x:v>
      </x:c>
      <x:c r="H82" s="43" t="str">
        <x:v>P065 L062</x:v>
      </x:c>
      <x:c r="I82" s="43" t="str">
        <x:v>https://static.cninfo.com.cn/finalpage/2026-04-17/1225114741.PDF</x:v>
      </x:c>
    </x:row>
    <x:row r="83" ht="29" customHeight="1">
      <x:c r="C83" s="42" t="str">
        <x:v>筹资活动产生的现金流</x:v>
      </x:c>
      <x:c r="D83" s="43" t="str">
        <x:v>FY2025</x:v>
      </x:c>
      <x:c r="E83" s="43" t="n">
        <x:v>-73427.08120886999</x:v>
      </x:c>
      <x:c r="F83" s="43" t="str">
        <x:v>RMB million</x:v>
      </x:c>
      <x:c r="G83" s="43" t="str">
        <x:v>SOURCE_FACT</x:v>
      </x:c>
      <x:c r="H83" s="43" t="str">
        <x:v>P066 L023</x:v>
      </x:c>
      <x:c r="I83" s="43" t="str">
        <x:v>https://static.cninfo.com.cn/finalpage/2026-04-17/1225114741.PDF</x:v>
      </x:c>
    </x:row>
    <x:row r="84" ht="29" customHeight="1">
      <x:c r="C84" s="42" t="str">
        <x:v>四、汇率变动对现金及现金等价</x:v>
      </x:c>
      <x:c r="D84" s="43" t="str">
        <x:v>FY2025</x:v>
      </x:c>
      <x:c r="E84" s="43" t="n">
        <x:v>2.2953582999999997</x:v>
      </x:c>
      <x:c r="F84" s="43" t="str">
        <x:v>RMB million</x:v>
      </x:c>
      <x:c r="G84" s="43" t="str">
        <x:v>SOURCE_FACT</x:v>
      </x:c>
      <x:c r="H84" s="43" t="str">
        <x:v>P066 L026</x:v>
      </x:c>
      <x:c r="I84" s="43" t="str">
        <x:v>https://static.cninfo.com.cn/finalpage/2026-04-17/1225114741.PDF</x:v>
      </x:c>
    </x:row>
    <x:row r="85" ht="29" customHeight="1">
      <x:c r="C85" s="42" t="str">
        <x:v>加：期初现金及现金等价物余</x:v>
      </x:c>
      <x:c r="D85" s="43" t="str">
        <x:v>FY2025</x:v>
      </x:c>
      <x:c r="E85" s="43" t="n">
        <x:v>169970.08925783</x:v>
      </x:c>
      <x:c r="F85" s="43" t="str">
        <x:v>RMB million</x:v>
      </x:c>
      <x:c r="G85" s="43" t="str">
        <x:v>SOURCE_FACT</x:v>
      </x:c>
      <x:c r="H85" s="43" t="str">
        <x:v>P066 L030</x:v>
      </x:c>
      <x:c r="I85" s="43" t="str">
        <x:v>https://static.cninfo.com.cn/finalpage/2026-04-17/1225114741.PDF</x:v>
      </x:c>
    </x:row>
    <x:row r="86" ht="29" customHeight="1">
      <x:c r="C86" s="42" t="str">
        <x:v>六、期末现金及现金等价物余额</x:v>
      </x:c>
      <x:c r="D86" s="43" t="str">
        <x:v>FY2025</x:v>
      </x:c>
      <x:c r="E86" s="43" t="n">
        <x:v>126425.60944772</x:v>
      </x:c>
      <x:c r="F86" s="43" t="str">
        <x:v>RMB million</x:v>
      </x:c>
      <x:c r="G86" s="43" t="str">
        <x:v>SOURCE_FACT</x:v>
      </x:c>
      <x:c r="H86" s="43" t="str">
        <x:v>P066 L032</x:v>
      </x:c>
      <x:c r="I86" s="43" t="str">
        <x:v>https://static.cninfo.com.cn/finalpage/2026-04-17/1225114741.PDF</x:v>
      </x:c>
    </x:row>
    <x:row r="87" ht="29" customHeight="1">
      <x:c r="C87" s="42" t="str">
        <x:v>购建固定资产、无形资产和其</x:v>
      </x:c>
      <x:c r="D87" s="43" t="str">
        <x:v>FY2025</x:v>
      </x:c>
      <x:c r="E87" s="43" t="n">
        <x:v>3127.5949164099998</x:v>
      </x:c>
      <x:c r="F87" s="43" t="str">
        <x:v>RMB million</x:v>
      </x:c>
      <x:c r="G87" s="43" t="str">
        <x:v>SOURCE_FACT</x:v>
      </x:c>
      <x:c r="H87" s="43" t="str">
        <x:v>P065 L051</x:v>
      </x:c>
      <x:c r="I87" s="43" t="str">
        <x:v>https://static.cninfo.com.cn/finalpage/2026-04-17/1225114741.PDF</x:v>
      </x:c>
    </x:row>
    <x:row r="88" ht="29" customHeight="1">
      <x:c r="C88" s="42" t="str">
        <x:v>资产总计</x:v>
      </x:c>
      <x:c r="D88" s="43" t="str">
        <x:v>FY2025</x:v>
      </x:c>
      <x:c r="E88" s="43" t="n">
        <x:v>303834.84402144</x:v>
      </x:c>
      <x:c r="F88" s="43" t="str">
        <x:v>RMB million</x:v>
      </x:c>
      <x:c r="G88" s="43" t="str">
        <x:v>SOURCE_FACT</x:v>
      </x:c>
      <x:c r="H88" s="43" t="str">
        <x:v>P057 L046</x:v>
      </x:c>
      <x:c r="I88" s="43" t="str">
        <x:v>https://static.cninfo.com.cn/finalpage/2026-04-17/1225114741.PDF</x:v>
      </x:c>
    </x:row>
    <x:row r="89" ht="29" customHeight="1">
      <x:c r="C89" s="42" t="str">
        <x:v>负债合计</x:v>
      </x:c>
      <x:c r="D89" s="43" t="str">
        <x:v>FY2025</x:v>
      </x:c>
      <x:c r="E89" s="43" t="n">
        <x:v>49875.59011237</x:v>
      </x:c>
      <x:c r="F89" s="43" t="str">
        <x:v>RMB million</x:v>
      </x:c>
      <x:c r="G89" s="43" t="str">
        <x:v>SOURCE_FACT</x:v>
      </x:c>
      <x:c r="H89" s="43" t="str">
        <x:v>P058 L038</x:v>
      </x:c>
      <x:c r="I89" s="43" t="str">
        <x:v>https://static.cninfo.com.cn/finalpage/2026-04-17/1225114741.PDF</x:v>
      </x:c>
    </x:row>
    <x:row r="90" ht="29" customHeight="1">
      <x:c r="C90" s="42" t="str">
        <x:v>所有者权益（或股东权</x:v>
      </x:c>
      <x:c r="D90" s="43" t="str">
        <x:v>FY2025</x:v>
      </x:c>
      <x:c r="E90" s="43" t="n">
        <x:v>253959.25390907002</x:v>
      </x:c>
      <x:c r="F90" s="43" t="str">
        <x:v>RMB million</x:v>
      </x:c>
      <x:c r="G90" s="43" t="str">
        <x:v>SOURCE_FACT</x:v>
      </x:c>
      <x:c r="H90" s="43" t="str">
        <x:v>P059 L007</x:v>
      </x:c>
      <x:c r="I90" s="43" t="str">
        <x:v>https://static.cninfo.com.cn/finalpage/2026-04-17/1225114741.PDF</x:v>
      </x:c>
    </x:row>
    <x:row r="91" ht="29" customHeight="1">
      <x:c r="C91" s="42" t="str">
        <x:v>少数股东权益</x:v>
      </x:c>
      <x:c r="D91" s="43" t="str">
        <x:v>FY2025</x:v>
      </x:c>
      <x:c r="E91" s="43" t="n">
        <x:v>9321.44287689</x:v>
      </x:c>
      <x:c r="F91" s="43" t="str">
        <x:v>RMB million</x:v>
      </x:c>
      <x:c r="G91" s="43" t="str">
        <x:v>SOURCE_FACT</x:v>
      </x:c>
      <x:c r="H91" s="43" t="str">
        <x:v>P059 L005</x:v>
      </x:c>
      <x:c r="I91" s="43" t="str">
        <x:v>https://static.cninfo.com.cn/finalpage/2026-04-17/1225114741.PDF</x:v>
      </x:c>
    </x:row>
    <x:row r="92" ht="29" customHeight="1">
      <x:c r="C92" s="42" t="str">
        <x:v>未分配利润</x:v>
      </x:c>
      <x:c r="D92" s="43" t="str">
        <x:v>FY2025</x:v>
      </x:c>
      <x:c r="E92" s="43" t="n">
        <x:v>191905.14883221</x:v>
      </x:c>
      <x:c r="F92" s="43" t="str">
        <x:v>RMB million</x:v>
      </x:c>
      <x:c r="G92" s="43" t="str">
        <x:v>SOURCE_FACT</x:v>
      </x:c>
      <x:c r="H92" s="43" t="str">
        <x:v>P058 L050</x:v>
      </x:c>
      <x:c r="I92" s="43" t="str">
        <x:v>https://static.cninfo.com.cn/finalpage/2026-04-17/1225114741.PDF</x:v>
      </x:c>
    </x:row>
    <x:row r="93" ht="29" customHeight="1">
      <x:c r="C93" s="42" t="str">
        <x:v>其中：营业收入</x:v>
      </x:c>
      <x:c r="D93" s="43" t="str">
        <x:v>H12025</x:v>
      </x:c>
      <x:c r="E93" s="43" t="n">
        <x:v>89389.35441684</x:v>
      </x:c>
      <x:c r="F93" s="43" t="str">
        <x:v>RMB million</x:v>
      </x:c>
      <x:c r="G93" s="43" t="str">
        <x:v>SOURCE_FACT</x:v>
      </x:c>
      <x:c r="H93" s="43" t="str">
        <x:v>P030 L020</x:v>
      </x:c>
      <x:c r="I93" s="43" t="str">
        <x:v>https://static.cninfo.com.cn/finalpage/2026-08-15/1225475868.PDF</x:v>
      </x:c>
    </x:row>
    <x:row r="94" ht="29" customHeight="1">
      <x:c r="C94" s="42" t="str">
        <x:v>四、利润总额（亏损总额以“-”号</x:v>
      </x:c>
      <x:c r="D94" s="43" t="str">
        <x:v>H12025</x:v>
      </x:c>
      <x:c r="E94" s="43" t="n">
        <x:v>62778.00076682</x:v>
      </x:c>
      <x:c r="F94" s="43" t="str">
        <x:v>RMB million</x:v>
      </x:c>
      <x:c r="G94" s="43" t="str">
        <x:v>SOURCE_FACT</x:v>
      </x:c>
      <x:c r="H94" s="43" t="str">
        <x:v>P031 L018</x:v>
      </x:c>
      <x:c r="I94" s="43" t="str">
        <x:v>https://static.cninfo.com.cn/finalpage/2026-08-15/1225475868.PDF</x:v>
      </x:c>
    </x:row>
    <x:row r="95" ht="29" customHeight="1">
      <x:c r="C95" s="42" t="str">
        <x:v>五、净利润（净亏损以“-”号填</x:v>
      </x:c>
      <x:c r="D95" s="43" t="str">
        <x:v>H12025</x:v>
      </x:c>
      <x:c r="E95" s="43" t="n">
        <x:v>46986.68144924</x:v>
      </x:c>
      <x:c r="F95" s="43" t="str">
        <x:v>RMB million</x:v>
      </x:c>
      <x:c r="G95" s="43" t="str">
        <x:v>SOURCE_FACT</x:v>
      </x:c>
      <x:c r="H95" s="43" t="str">
        <x:v>P031 L022</x:v>
      </x:c>
      <x:c r="I95" s="43" t="str">
        <x:v>https://static.cninfo.com.cn/finalpage/2026-08-15/1225475868.PDF</x:v>
      </x:c>
    </x:row>
    <x:row r="96" ht="29" customHeight="1">
      <x:c r="C96" s="42" t="str">
        <x:v>其中：营业收入</x:v>
      </x:c>
      <x:c r="D96" s="43" t="str">
        <x:v>H12026</x:v>
      </x:c>
      <x:c r="E96" s="43" t="n">
        <x:v>90703.26096448</x:v>
      </x:c>
      <x:c r="F96" s="43" t="str">
        <x:v>RMB million</x:v>
      </x:c>
      <x:c r="G96" s="43" t="str">
        <x:v>SOURCE_FACT</x:v>
      </x:c>
      <x:c r="H96" s="43" t="str">
        <x:v>P030 L020</x:v>
      </x:c>
      <x:c r="I96" s="43" t="str">
        <x:v>https://static.cninfo.com.cn/finalpage/2026-08-15/1225475868.PDF</x:v>
      </x:c>
    </x:row>
    <x:row r="97" ht="29" customHeight="1">
      <x:c r="C97" s="42" t="str">
        <x:v>四、利润总额（亏损总额以“-”号</x:v>
      </x:c>
      <x:c r="D97" s="43" t="str">
        <x:v>H12026</x:v>
      </x:c>
      <x:c r="E97" s="43" t="n">
        <x:v>61438.41917729</x:v>
      </x:c>
      <x:c r="F97" s="43" t="str">
        <x:v>RMB million</x:v>
      </x:c>
      <x:c r="G97" s="43" t="str">
        <x:v>SOURCE_FACT</x:v>
      </x:c>
      <x:c r="H97" s="43" t="str">
        <x:v>P031 L018</x:v>
      </x:c>
      <x:c r="I97" s="43" t="str">
        <x:v>https://static.cninfo.com.cn/finalpage/2026-08-15/1225475868.PDF</x:v>
      </x:c>
    </x:row>
    <x:row r="98" ht="29" customHeight="1">
      <x:c r="C98" s="42" t="str">
        <x:v>五、净利润（净亏损以“-”号填</x:v>
      </x:c>
      <x:c r="D98" s="43" t="str">
        <x:v>H12026</x:v>
      </x:c>
      <x:c r="E98" s="43" t="n">
        <x:v>46033.33056678</x:v>
      </x:c>
      <x:c r="F98" s="43" t="str">
        <x:v>RMB million</x:v>
      </x:c>
      <x:c r="G98" s="43" t="str">
        <x:v>SOURCE_FACT</x:v>
      </x:c>
      <x:c r="H98" s="43" t="str">
        <x:v>P031 L022</x:v>
      </x:c>
      <x:c r="I98" s="43" t="str">
        <x:v>https://static.cninfo.com.cn/finalpage/2026-08-15/1225475868.PDF</x:v>
      </x:c>
    </x:row>
    <x:row r="99" ht="29" customHeight="1">
      <x:c r="C99" s="42" t="str">
        <x:v>1,893,338,311.91    1,721,1</x:v>
      </x:c>
      <x:c r="D99" s="43" t="str">
        <x:v>FY2025</x:v>
      </x:c>
      <x:c r="E99" s="43" t="n">
        <x:v>1893.3383119100001</x:v>
      </x:c>
      <x:c r="F99" s="43" t="str">
        <x:v>RMB million</x:v>
      </x:c>
      <x:c r="G99" s="43" t="str">
        <x:v>SOURCE_FACT</x:v>
      </x:c>
      <x:c r="H99" s="43" t="str">
        <x:v>P115 L010</x:v>
      </x:c>
      <x:c r="I99" s="43" t="str">
        <x:v>https://static.cninfo.com.cn/finalpage/2026-04-17/1225114741.PDF</x:v>
      </x:c>
    </x:row>
    <x:row r="100" ht="29" customHeight="1">
      <x:c r="C100" s="42" t="str">
        <x:v>使用权资产摊销                   55,797,324.89        94,</x:v>
      </x:c>
      <x:c r="D100" s="43" t="str">
        <x:v>FY2025</x:v>
      </x:c>
      <x:c r="E100" s="43" t="n">
        <x:v>55.79732489</x:v>
      </x:c>
      <x:c r="F100" s="43" t="str">
        <x:v>RMB million</x:v>
      </x:c>
      <x:c r="G100" s="43" t="str">
        <x:v>SOURCE_FACT</x:v>
      </x:c>
      <x:c r="H100" s="43" t="str">
        <x:v>P115 L012</x:v>
      </x:c>
      <x:c r="I100" s="43" t="str">
        <x:v>https://static.cninfo.com.cn/finalpage/2026-04-17/1225114741.PDF</x:v>
      </x:c>
    </x:row>
    <x:row r="101" ht="29" customHeight="1">
      <x:c r="C101" s="42" t="str">
        <x:v>无形资产摊销                   289,613,682.99       249,</x:v>
      </x:c>
      <x:c r="D101" s="43" t="str">
        <x:v>FY2025</x:v>
      </x:c>
      <x:c r="E101" s="43" t="n">
        <x:v>289.61368299000003</x:v>
      </x:c>
      <x:c r="F101" s="43" t="str">
        <x:v>RMB million</x:v>
      </x:c>
      <x:c r="G101" s="43" t="str">
        <x:v>SOURCE_FACT</x:v>
      </x:c>
      <x:c r="H101" s="43" t="str">
        <x:v>P115 L013</x:v>
      </x:c>
      <x:c r="I101" s="43" t="str">
        <x:v>https://static.cninfo.com.cn/finalpage/2026-04-17/1225114741.PDF</x:v>
      </x:c>
    </x:row>
    <x:row r="102" ht="29" customHeight="1">
      <x:c r="C102" s="42" t="str">
        <x:v>长期待摊费用摊销                  20,637,734.49        20,</x:v>
      </x:c>
      <x:c r="D102" s="43" t="str">
        <x:v>FY2025</x:v>
      </x:c>
      <x:c r="E102" s="43" t="n">
        <x:v>20.63773449</x:v>
      </x:c>
      <x:c r="F102" s="43" t="str">
        <x:v>RMB million</x:v>
      </x:c>
      <x:c r="G102" s="43" t="str">
        <x:v>SOURCE_FACT</x:v>
      </x:c>
      <x:c r="H102" s="43" t="str">
        <x:v>P115 L014</x:v>
      </x:c>
      <x:c r="I102" s="43" t="str">
        <x:v>https://static.cninfo.com.cn/finalpage/2026-04-17/1225114741.PDF</x:v>
      </x:c>
    </x:row>
    <x:row r="103" ht="29" customHeight="1">
      <x:c r="C103" s="42" t="str">
        <x:v>1,893,338,311.91    1,721,1</x:v>
      </x:c>
      <x:c r="D103" s="43" t="str">
        <x:v>FY2025</x:v>
      </x:c>
      <x:c r="E103" s="43" t="n">
        <x:v>1721.16532714</x:v>
      </x:c>
      <x:c r="F103" s="43" t="str">
        <x:v>RMB million</x:v>
      </x:c>
      <x:c r="G103" s="43" t="str">
        <x:v>SOURCE_FACT</x:v>
      </x:c>
      <x:c r="H103" s="43" t="str">
        <x:v>P115 L010</x:v>
      </x:c>
      <x:c r="I103" s="43" t="str">
        <x:v>https://static.cninfo.com.cn/finalpage/2026-04-17/1225114741.PDF</x:v>
      </x:c>
    </x:row>
    <x:row r="104" ht="29" customHeight="1">
      <x:c r="C104" s="42" t="str">
        <x:v>使用权资产摊销                   55,797,324.89        94,</x:v>
      </x:c>
      <x:c r="D104" s="43" t="str">
        <x:v>FY2025</x:v>
      </x:c>
      <x:c r="E104" s="43" t="n">
        <x:v>94.49267829</x:v>
      </x:c>
      <x:c r="F104" s="43" t="str">
        <x:v>RMB million</x:v>
      </x:c>
      <x:c r="G104" s="43" t="str">
        <x:v>SOURCE_FACT</x:v>
      </x:c>
      <x:c r="H104" s="43" t="str">
        <x:v>P115 L012</x:v>
      </x:c>
      <x:c r="I104" s="43" t="str">
        <x:v>https://static.cninfo.com.cn/finalpage/2026-04-17/1225114741.PDF</x:v>
      </x:c>
    </x:row>
    <x:row r="105" ht="29" customHeight="1">
      <x:c r="C105" s="42" t="str">
        <x:v>无形资产摊销                   289,613,682.99       249,</x:v>
      </x:c>
      <x:c r="D105" s="43" t="str">
        <x:v>FY2025</x:v>
      </x:c>
      <x:c r="E105" s="43" t="n">
        <x:v>249.17005935</x:v>
      </x:c>
      <x:c r="F105" s="43" t="str">
        <x:v>RMB million</x:v>
      </x:c>
      <x:c r="G105" s="43" t="str">
        <x:v>SOURCE_FACT</x:v>
      </x:c>
      <x:c r="H105" s="43" t="str">
        <x:v>P115 L013</x:v>
      </x:c>
      <x:c r="I105" s="43" t="str">
        <x:v>https://static.cninfo.com.cn/finalpage/2026-04-17/1225114741.PDF</x:v>
      </x:c>
    </x:row>
    <x:row r="106" ht="29" customHeight="1">
      <x:c r="C106" s="42" t="str">
        <x:v>长期待摊费用摊销                  20,637,734.49        20,</x:v>
      </x:c>
      <x:c r="D106" s="43" t="str">
        <x:v>FY2025</x:v>
      </x:c>
      <x:c r="E106" s="43" t="n">
        <x:v>20.19155034</x:v>
      </x:c>
      <x:c r="F106" s="43" t="str">
        <x:v>RMB million</x:v>
      </x:c>
      <x:c r="G106" s="43" t="str">
        <x:v>SOURCE_FACT</x:v>
      </x:c>
      <x:c r="H106" s="43" t="str">
        <x:v>P115 L014</x:v>
      </x:c>
      <x:c r="I106" s="43" t="str">
        <x:v>https://static.cninfo.com.cn/finalpage/2026-04-17/1225114741.PDF</x:v>
      </x:c>
    </x:row>
    <x:row r="107" ht="29" customHeight="1">
      <x:c r="C107" s="42" t="str">
        <x:v>茅台酒     146,499,906,480.49    9,484,757,825.54</x:v>
      </x:c>
      <x:c r="D107" s="43" t="str">
        <x:v>FY2025</x:v>
      </x:c>
      <x:c r="E107" s="43" t="n">
        <x:v>146499.90648049</x:v>
      </x:c>
      <x:c r="F107" s="43" t="str">
        <x:v>RMB million</x:v>
      </x:c>
      <x:c r="G107" s="43" t="str">
        <x:v>SOURCE_FACT</x:v>
      </x:c>
      <x:c r="H107" s="43" t="str">
        <x:v>P010 L032</x:v>
      </x:c>
      <x:c r="I107" s="43" t="str">
        <x:v>https://static.cninfo.com.cn/finalpage/2026-04-17/1225114741.PDF</x:v>
      </x:c>
    </x:row>
    <x:row r="108" ht="29" customHeight="1">
      <x:c r="C108" s="42" t="str">
        <x:v>其他系列酒   22,274,678,707.16     5,321,142,314.05</x:v>
      </x:c>
      <x:c r="D108" s="43" t="str">
        <x:v>FY2025</x:v>
      </x:c>
      <x:c r="E108" s="43" t="n">
        <x:v>22274.67870716</x:v>
      </x:c>
      <x:c r="F108" s="43" t="str">
        <x:v>RMB million</x:v>
      </x:c>
      <x:c r="G108" s="43" t="str">
        <x:v>SOURCE_FACT</x:v>
      </x:c>
      <x:c r="H108" s="43" t="str">
        <x:v>P010 L035</x:v>
      </x:c>
      <x:c r="I108" s="43" t="str">
        <x:v>https://static.cninfo.com.cn/finalpage/2026-04-17/1225114741.PDF</x:v>
      </x:c>
    </x:row>
    <x:row r="109" ht="29" customHeight="1">
      <x:c r="C109" s="42" t="str">
        <x:v>茅台酒                 77,724,437,925.48        6,0</x:v>
      </x:c>
      <x:c r="D109" s="43" t="str">
        <x:v>H12026</x:v>
      </x:c>
      <x:c r="E109" s="43" t="n">
        <x:v>77724.43792548</x:v>
      </x:c>
      <x:c r="F109" s="43" t="str">
        <x:v>RMB million</x:v>
      </x:c>
      <x:c r="G109" s="43" t="str">
        <x:v>SOURCE_FACT</x:v>
      </x:c>
      <x:c r="H109" s="43" t="str">
        <x:v>P074 L012</x:v>
      </x:c>
      <x:c r="I109" s="43" t="str">
        <x:v>https://static.cninfo.com.cn/finalpage/2026-08-15/1225475868.PDF</x:v>
      </x:c>
    </x:row>
    <x:row r="110" ht="29" customHeight="1">
      <x:c r="C110" s="42" t="str">
        <x:v>其他系列酒               12,934,186,511.82        3,4</x:v>
      </x:c>
      <x:c r="D110" s="43" t="str">
        <x:v>H12026</x:v>
      </x:c>
      <x:c r="E110" s="43" t="n">
        <x:v>12934.18651182</x:v>
      </x:c>
      <x:c r="F110" s="43" t="str">
        <x:v>RMB million</x:v>
      </x:c>
      <x:c r="G110" s="43" t="str">
        <x:v>SOURCE_FACT</x:v>
      </x:c>
      <x:c r="H110" s="43" t="str">
        <x:v>P074 L013</x:v>
      </x:c>
      <x:c r="I110" s="43" t="str">
        <x:v>https://static.cninfo.com.cn/finalpage/2026-08-15/1225475868.PDF</x:v>
      </x:c>
    </x:row>
    <x:row r="111" ht="29" customHeight="1">
      <x:c r="C111" s="42" t="str">
        <x:v>其他业务                    44,636,527.18</x:v>
      </x:c>
      <x:c r="D111" s="43" t="str">
        <x:v>H12026</x:v>
      </x:c>
      <x:c r="E111" s="43" t="n">
        <x:v>44.63652718</x:v>
      </x:c>
      <x:c r="F111" s="43" t="str">
        <x:v>RMB million</x:v>
      </x:c>
      <x:c r="G111" s="43" t="str">
        <x:v>SOURCE_FACT</x:v>
      </x:c>
      <x:c r="H111" s="43" t="str">
        <x:v>P074 L014</x:v>
      </x:c>
      <x:c r="I111" s="43" t="str">
        <x:v>https://static.cninfo.com.cn/finalpage/2026-08-15/1225475868.PDF</x:v>
      </x:c>
    </x:row>
    <x:row r="112" ht="29" customHeight="1">
      <x:c r="C112" s="42" t="str">
        <x:v>茅台酒     146,499,906,480.49    9,484,757,825.54</x:v>
      </x:c>
      <x:c r="D112" s="43" t="str">
        <x:v>FY2025</x:v>
      </x:c>
      <x:c r="E112" s="43" t="n">
        <x:v>9484.75782554</x:v>
      </x:c>
      <x:c r="F112" s="43" t="str">
        <x:v>RMB million</x:v>
      </x:c>
      <x:c r="G112" s="43" t="str">
        <x:v>SOURCE_FACT</x:v>
      </x:c>
      <x:c r="H112" s="43" t="str">
        <x:v>P010 L032</x:v>
      </x:c>
      <x:c r="I112" s="43" t="str">
        <x:v>https://static.cninfo.com.cn/finalpage/2026-04-17/1225114741.PDF</x:v>
      </x:c>
    </x:row>
    <x:row r="113" ht="29" customHeight="1">
      <x:c r="C113" s="42" t="str">
        <x:v>其他系列酒   22,274,678,707.16     5,321,142,314.05</x:v>
      </x:c>
      <x:c r="D113" s="43" t="str">
        <x:v>FY2025</x:v>
      </x:c>
      <x:c r="E113" s="43" t="n">
        <x:v>5321.14231405</x:v>
      </x:c>
      <x:c r="F113" s="43" t="str">
        <x:v>RMB million</x:v>
      </x:c>
      <x:c r="G113" s="43" t="str">
        <x:v>SOURCE_FACT</x:v>
      </x:c>
      <x:c r="H113" s="43" t="str">
        <x:v>P010 L035</x:v>
      </x:c>
      <x:c r="I113" s="43" t="str">
        <x:v>https://static.cninfo.com.cn/finalpage/2026-04-17/1225114741.PDF</x:v>
      </x:c>
    </x:row>
    <x:row r="114" ht="29" customHeight="1">
      <x:c r="C114" s="42"/>
      <x:c r="D114" s="43"/>
      <x:c r="E114" s="43"/>
      <x:c r="F114" s="43"/>
      <x:c r="G114" s="43"/>
      <x:c r="H114" s="43"/>
      <x:c r="I114" s="43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D10:I10"/>
    <x:mergeCell ref="D13:I13"/>
    <x:mergeCell ref="D16:I1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贵州茅台 Kweichow Moutai</x:v>
      </x:c>
      <x:c r="D2" s="4"/>
      <x:c r="E2" s="4"/>
      <x:c r="F2" s="4"/>
      <x:c r="G2" s="4"/>
      <x:c r="H2" s="4"/>
      <x:c r="I2" s="4"/>
    </x:row>
    <x:row r="3" ht="21" customHeight="1">
      <x:c r="C3" s="5" t="str">
        <x:v>Checks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2" t="str">
        <x:v>Structural and source reconciliation</x:v>
      </x:c>
      <x:c r="D8" s="25"/>
      <x:c r="E8" s="25"/>
      <x:c r="F8" s="25"/>
      <x:c r="G8" s="25"/>
      <x:c r="H8" s="25"/>
      <x:c r="I8" s="25"/>
    </x:row>
    <x:row r="9" ht="21" customHeight="1">
      <x:c r="C9" s="1" t="str">
        <x:v>Balance-sheet difference</x:v>
      </x:c>
      <x:c r="D9" s="19" t="n">
        <x:f>'Statements'!D55</x:f>
        <x:v>0</x:v>
      </x:c>
      <x:c r="E9" s="19" t="n">
        <x:f>'Statements'!E55</x:f>
        <x:v>0</x:v>
      </x:c>
      <x:c r="F9" s="19" t="n">
        <x:f>'Statements'!F55</x:f>
        <x:v>0</x:v>
      </x:c>
      <x:c r="G9" s="19" t="n">
        <x:f>'Statements'!G55</x:f>
        <x:v>5.820766091346741e-11</x:v>
      </x:c>
      <x:c r="H9" s="19" t="n">
        <x:f>'Statements'!H55</x:f>
        <x:v>-5.820766091346741e-11</x:v>
      </x:c>
      <x:c r="I9" s="19" t="n">
        <x:f>'Statements'!I55</x:f>
        <x:v>-5.820766091346741e-11</x:v>
      </x:c>
    </x:row>
    <x:row r="10" ht="21" customHeight="1">
      <x:c r="C10" s="1" t="str">
        <x:v>Cash roll-forward difference</x:v>
      </x:c>
      <x:c r="D10" s="19" t="n">
        <x:f>'Statements'!D80+'Statements'!D79-'Statements'!D81</x:f>
        <x:v>0</x:v>
      </x:c>
      <x:c r="E10" s="19" t="n">
        <x:f>'Statements'!E80+'Statements'!E79-'Statements'!E81</x:f>
        <x:v>-2.9103830456733704e-11</x:v>
      </x:c>
      <x:c r="F10" s="19" t="n">
        <x:f>'Statements'!F80+'Statements'!F79-'Statements'!F81</x:f>
        <x:v>0</x:v>
      </x:c>
      <x:c r="G10" s="19" t="n">
        <x:f>'Statements'!G80+'Statements'!G79-'Statements'!G81</x:f>
        <x:v>0</x:v>
      </x:c>
      <x:c r="H10" s="19" t="n">
        <x:f>'Statements'!H80+'Statements'!H79-'Statements'!H81</x:f>
        <x:v>0</x:v>
      </x:c>
      <x:c r="I10" s="19" t="n">
        <x:f>'Statements'!I80+'Statements'!I79-'Statements'!I81</x:f>
        <x:v>0</x:v>
      </x:c>
    </x:row>
    <x:row r="11" ht="21" customHeight="1">
      <x:c r="C11" s="1" t="str">
        <x:v>Source asset aggregation difference</x:v>
      </x:c>
      <x:c r="D11" s="19" t="n">
        <x:f>SUM('SourceFacts'!D31,'SourceFacts'!D33:'SourceFacts'!D39)-'SourceFacts'!D40</x:f>
        <x:v>0</x:v>
      </x:c>
      <x:c r="E11" s="19" t="n">
        <x:f>SUM('SourceFacts'!E31,'SourceFacts'!E33:'SourceFacts'!E39)-'SourceFacts'!E40</x:f>
        <x:v>0</x:v>
      </x:c>
      <x:c r="F11" s="19" t="n">
        <x:f>SUM('SourceFacts'!F31,'SourceFacts'!F33:'SourceFacts'!F39)-'SourceFacts'!F40</x:f>
        <x:v>0</x:v>
      </x:c>
      <x:c r="G11" s="2"/>
      <x:c r="H11" s="2"/>
      <x:c r="I11" s="2"/>
    </x:row>
    <x:row r="12" ht="21" customHeight="1">
      <x:c r="C12" s="1" t="str">
        <x:v>Source liability aggregation difference</x:v>
      </x:c>
      <x:c r="D12" s="19" t="n">
        <x:f>SUM('SourceFacts'!D41:'SourceFacts'!D46)-'SourceFacts'!D47</x:f>
        <x:v>0</x:v>
      </x:c>
      <x:c r="E12" s="19" t="n">
        <x:f>SUM('SourceFacts'!E41:'SourceFacts'!E46)-'SourceFacts'!E47</x:f>
        <x:v>0</x:v>
      </x:c>
      <x:c r="F12" s="19" t="n">
        <x:f>SUM('SourceFacts'!F41:'SourceFacts'!F46)-'SourceFacts'!F47</x:f>
        <x:v>0</x:v>
      </x:c>
      <x:c r="G12" s="2"/>
      <x:c r="H12" s="2"/>
      <x:c r="I12" s="2"/>
    </x:row>
    <x:row r="13" ht="21" customHeight="1">
      <x:c r="C13" s="1" t="str">
        <x:v>Debt roll-forward difference</x:v>
      </x:c>
      <x:c r="D13" s="2"/>
      <x:c r="E13" s="2"/>
      <x:c r="F13" s="2"/>
      <x:c r="G13" s="19" t="n">
        <x:f>'FundingTaxEquity'!G10+'FundingTaxEquity'!G12+'FundingTaxEquity'!G14-'FundingTaxEquity'!G16-'FundingTaxEquity'!G18</x:f>
        <x:v>0</x:v>
      </x:c>
      <x:c r="H13" s="19" t="n">
        <x:f>'FundingTaxEquity'!H10+'FundingTaxEquity'!H12+'FundingTaxEquity'!H14-'FundingTaxEquity'!H16-'FundingTaxEquity'!H18</x:f>
        <x:v>0</x:v>
      </x:c>
      <x:c r="I13" s="19" t="n">
        <x:f>'FundingTaxEquity'!I10+'FundingTaxEquity'!I12+'FundingTaxEquity'!I14-'FundingTaxEquity'!I16-'FundingTaxEquity'!I18</x:f>
        <x:v>0</x:v>
      </x:c>
    </x:row>
    <x:row r="14" ht="21" customHeight="1">
      <x:c r="C14" s="1" t="str">
        <x:v>Tax roll-forward difference</x:v>
      </x:c>
      <x:c r="D14" s="2"/>
      <x:c r="E14" s="2"/>
      <x:c r="F14" s="2"/>
      <x:c r="G14" s="19" t="n">
        <x:f>'FundingTaxEquity'!G34+'FundingTaxEquity'!G35-'FundingTaxEquity'!G37-'FundingTaxEquity'!G38</x:f>
        <x:v>0</x:v>
      </x:c>
      <x:c r="H14" s="19" t="n">
        <x:f>'FundingTaxEquity'!H34+'FundingTaxEquity'!H35-'FundingTaxEquity'!H37-'FundingTaxEquity'!H38</x:f>
        <x:v>0</x:v>
      </x:c>
      <x:c r="I14" s="19" t="n">
        <x:f>'FundingTaxEquity'!I34+'FundingTaxEquity'!I35-'FundingTaxEquity'!I37-'FundingTaxEquity'!I38</x:f>
        <x:v>0</x:v>
      </x:c>
    </x:row>
    <x:row r="15" ht="21" customHeight="1">
      <x:c r="C15" s="1" t="str">
        <x:v>PPE roll-forward difference</x:v>
      </x:c>
      <x:c r="D15" s="2"/>
      <x:c r="E15" s="2"/>
      <x:c r="F15" s="2"/>
      <x:c r="G15" s="19" t="n">
        <x:f>'FixedAssets'!G10+'FixedAssets'!G11-'FixedAssets'!G13-'FixedAssets'!G14</x:f>
        <x:v>0</x:v>
      </x:c>
      <x:c r="H15" s="19" t="n">
        <x:f>'FixedAssets'!H10+'FixedAssets'!H11-'FixedAssets'!H13-'FixedAssets'!H14</x:f>
        <x:v>0</x:v>
      </x:c>
      <x:c r="I15" s="19" t="n">
        <x:f>'FixedAssets'!I10+'FixedAssets'!I11-'FixedAssets'!I13-'FixedAssets'!I14</x:f>
        <x:v>0</x:v>
      </x:c>
    </x:row>
    <x:row r="16" ht="21" customHeight="1">
      <x:c r="C16" s="1" t="str">
        <x:v>Intangible roll-forward difference</x:v>
      </x:c>
      <x:c r="D16" s="2"/>
      <x:c r="E16" s="2"/>
      <x:c r="F16" s="2"/>
      <x:c r="G16" s="19" t="n">
        <x:f>'FixedAssets'!G20+'FixedAssets'!G21-'FixedAssets'!G23-'FixedAssets'!G24</x:f>
        <x:v>0</x:v>
      </x:c>
      <x:c r="H16" s="19" t="n">
        <x:f>'FixedAssets'!H20+'FixedAssets'!H21-'FixedAssets'!H23-'FixedAssets'!H24</x:f>
        <x:v>0</x:v>
      </x:c>
      <x:c r="I16" s="19" t="n">
        <x:f>'FixedAssets'!I20+'FixedAssets'!I21-'FixedAssets'!I23-'FixedAssets'!I24</x:f>
        <x:v>0</x:v>
      </x:c>
    </x:row>
    <x:row r="17" ht="21" customHeight="1">
      <x:c r="C17" s="1" t="str">
        <x:v>ROU roll-forward difference</x:v>
      </x:c>
      <x:c r="D17" s="2"/>
      <x:c r="E17" s="2"/>
      <x:c r="F17" s="2"/>
      <x:c r="G17" s="19" t="n">
        <x:f>'FixedAssets'!G30+'FixedAssets'!G31-'FixedAssets'!G33-'FixedAssets'!G34</x:f>
        <x:v>0</x:v>
      </x:c>
      <x:c r="H17" s="19" t="n">
        <x:f>'FixedAssets'!H30+'FixedAssets'!H31-'FixedAssets'!H33-'FixedAssets'!H34</x:f>
        <x:v>0</x:v>
      </x:c>
      <x:c r="I17" s="19" t="n">
        <x:f>'FixedAssets'!I30+'FixedAssets'!I31-'FixedAssets'!I33-'FixedAssets'!I34</x:f>
        <x:v>0</x:v>
      </x:c>
    </x:row>
    <x:row r="18" ht="21" customHeight="1">
      <x:c r="C18" s="1" t="str">
        <x:v>Investment roll-forward difference</x:v>
      </x:c>
      <x:c r="D18" s="2"/>
      <x:c r="E18" s="2"/>
      <x:c r="F18" s="2"/>
      <x:c r="G18" s="19" t="n">
        <x:f>'FundingTaxEquity'!G22+'FundingTaxEquity'!G24-'FundingTaxEquity'!G26+'FundingTaxEquity'!G29-'FundingTaxEquity'!G31</x:f>
        <x:v>0</x:v>
      </x:c>
      <x:c r="H18" s="19" t="n">
        <x:f>'FundingTaxEquity'!H22+'FundingTaxEquity'!H24-'FundingTaxEquity'!H26+'FundingTaxEquity'!H29-'FundingTaxEquity'!H31</x:f>
        <x:v>0</x:v>
      </x:c>
      <x:c r="I18" s="19" t="n">
        <x:f>'FundingTaxEquity'!I22+'FundingTaxEquity'!I24-'FundingTaxEquity'!I26+'FundingTaxEquity'!I29-'FundingTaxEquity'!I31</x:f>
        <x:v>0</x:v>
      </x:c>
    </x:row>
    <x:row r="19" ht="21" customHeight="1">
      <x:c r="C19" s="1" t="str">
        <x:v>Retained earnings roll-forward difference</x:v>
      </x:c>
      <x:c r="D19" s="2"/>
      <x:c r="E19" s="2"/>
      <x:c r="F19" s="2"/>
      <x:c r="G19" s="19" t="n">
        <x:f>'FundingTaxEquity'!G41+'FundingTaxEquity'!G42-'FundingTaxEquity'!G44-'FundingTaxEquity'!G47-'FundingTaxEquity'!G48</x:f>
        <x:v>0</x:v>
      </x:c>
      <x:c r="H19" s="19" t="n">
        <x:f>'FundingTaxEquity'!H41+'FundingTaxEquity'!H42-'FundingTaxEquity'!H44-'FundingTaxEquity'!H47-'FundingTaxEquity'!H48</x:f>
        <x:v>0</x:v>
      </x:c>
      <x:c r="I19" s="19" t="n">
        <x:f>'FundingTaxEquity'!I41+'FundingTaxEquity'!I42-'FundingTaxEquity'!I44-'FundingTaxEquity'!I47-'FundingTaxEquity'!I48</x:f>
        <x:v>0</x:v>
      </x:c>
    </x:row>
    <x:row r="20" ht="21" customHeight="1">
      <x:c r="C20" s="1" t="str">
        <x:v>NCI roll-forward difference</x:v>
      </x:c>
      <x:c r="D20" s="2"/>
      <x:c r="E20" s="2"/>
      <x:c r="F20" s="2"/>
      <x:c r="G20" s="19" t="n">
        <x:f>'FundingTaxEquity'!G51+'FundingTaxEquity'!G52-'FundingTaxEquity'!G54-'FundingTaxEquity'!G55</x:f>
        <x:v>0</x:v>
      </x:c>
      <x:c r="H20" s="19" t="n">
        <x:f>'FundingTaxEquity'!H51+'FundingTaxEquity'!H52-'FundingTaxEquity'!H54-'FundingTaxEquity'!H55</x:f>
        <x:v>0</x:v>
      </x:c>
      <x:c r="I20" s="19" t="n">
        <x:f>'FundingTaxEquity'!I51+'FundingTaxEquity'!I52-'FundingTaxEquity'!I54-'FundingTaxEquity'!I55</x:f>
        <x:v>0</x:v>
      </x:c>
    </x:row>
    <x:row r="21" ht="21" customHeight="1">
      <x:c r="C21" s="1" t="str">
        <x:v>H1 segment total allocation difference</x:v>
      </x:c>
      <x:c r="D21" s="2"/>
      <x:c r="E21" s="2"/>
      <x:c r="F21" s="2"/>
      <x:c r="G21" s="19" t="n">
        <x:f>SUM('Interim'!E16:E18)-'Interim'!E9</x:f>
        <x:v>0</x:v>
      </x:c>
      <x:c r="H21" s="2"/>
      <x:c r="I21" s="2"/>
    </x:row>
    <x:row r="22" ht="21" customHeight="1">
      <x:c r="C22" s="1"/>
      <x:c r="D22" s="2"/>
      <x:c r="E22" s="2"/>
      <x:c r="F22" s="2"/>
      <x:c r="G22" s="2"/>
      <x:c r="H22" s="2"/>
      <x:c r="I22" s="2"/>
    </x:row>
    <x:row r="23" ht="21" customHeight="1">
      <x:c r="C23" s="12" t="str">
        <x:v>Scenario and invalid-input warnings</x:v>
      </x:c>
      <x:c r="D23" s="25"/>
      <x:c r="E23" s="25"/>
      <x:c r="F23" s="25"/>
      <x:c r="G23" s="25"/>
      <x:c r="H23" s="25"/>
      <x:c r="I23" s="25"/>
    </x:row>
    <x:row r="24" ht="21" customHeight="1">
      <x:c r="C24" s="1" t="str">
        <x:v>Cash deficit (scenario warning)</x:v>
      </x:c>
      <x:c r="D24" s="2"/>
      <x:c r="E24" s="2"/>
      <x:c r="F24" s="2"/>
      <x:c r="G24" s="19" t="n">
        <x:f>MAX(0,-'Statements'!G31)</x:f>
        <x:v>0</x:v>
      </x:c>
      <x:c r="H24" s="19" t="n">
        <x:f>MAX(0,-'Statements'!H31)</x:f>
        <x:v>0</x:v>
      </x:c>
      <x:c r="I24" s="19" t="n">
        <x:f>MAX(0,-'Statements'!I31)</x:f>
        <x:v>0</x:v>
      </x:c>
    </x:row>
    <x:row r="25" ht="21" customHeight="1">
      <x:c r="C25" s="1" t="str">
        <x:v>Invalid negative funding / equity requests</x:v>
      </x:c>
      <x:c r="D25" s="2"/>
      <x:c r="E25" s="2"/>
      <x:c r="F25" s="2"/>
      <x:c r="G25" s="19" t="n">
        <x:f>-MIN(0,'Assumptions'!G40)-MIN(0,'Assumptions'!G42)-MIN(0,'Assumptions'!G45)-MIN(0,'Assumptions'!G44)-MIN(0,'Assumptions'!G46)-MIN(0,'Assumptions'!G36)-MIN(0,'Assumptions'!G51)-MIN(0,'Assumptions'!G52)</x:f>
        <x:v>0</x:v>
      </x:c>
      <x:c r="H25" s="19" t="n">
        <x:f>-MIN(0,'Assumptions'!H40)-MIN(0,'Assumptions'!H42)-MIN(0,'Assumptions'!H45)-MIN(0,'Assumptions'!H44)-MIN(0,'Assumptions'!H46)-MIN(0,'Assumptions'!H36)-MIN(0,'Assumptions'!H51)-MIN(0,'Assumptions'!H52)</x:f>
        <x:v>0</x:v>
      </x:c>
      <x:c r="I25" s="19" t="n">
        <x:f>-MIN(0,'Assumptions'!I40)-MIN(0,'Assumptions'!I42)-MIN(0,'Assumptions'!I45)-MIN(0,'Assumptions'!I44)-MIN(0,'Assumptions'!I46)-MIN(0,'Assumptions'!I36)-MIN(0,'Assumptions'!I51)-MIN(0,'Assumptions'!I52)</x:f>
        <x:v>0</x:v>
      </x:c>
    </x:row>
    <x:row r="26" ht="21" customHeight="1">
      <x:c r="C26" s="1" t="str">
        <x:v>Capped debt repayment request</x:v>
      </x:c>
      <x:c r="D26" s="2"/>
      <x:c r="E26" s="2"/>
      <x:c r="F26" s="2"/>
      <x:c r="G26" s="19" t="n">
        <x:f>'FundingTaxEquity'!G17</x:f>
        <x:v>0</x:v>
      </x:c>
      <x:c r="H26" s="19" t="n">
        <x:f>'FundingTaxEquity'!H17</x:f>
        <x:v>0</x:v>
      </x:c>
      <x:c r="I26" s="19" t="n">
        <x:f>'FundingTaxEquity'!I17</x:f>
        <x:v>0</x:v>
      </x:c>
    </x:row>
    <x:row r="27" ht="21" customHeight="1">
      <x:c r="C27" s="1" t="str">
        <x:v>Capped investment redemption request</x:v>
      </x:c>
      <x:c r="D27" s="2"/>
      <x:c r="E27" s="2"/>
      <x:c r="F27" s="2"/>
      <x:c r="G27" s="19" t="n">
        <x:f>'FundingTaxEquity'!G27</x:f>
        <x:v>0</x:v>
      </x:c>
      <x:c r="H27" s="19" t="n">
        <x:f>'FundingTaxEquity'!H27</x:f>
        <x:v>0</x:v>
      </x:c>
      <x:c r="I27" s="19" t="n">
        <x:f>'FundingTaxEquity'!I27</x:f>
        <x:v>0</x:v>
      </x:c>
    </x:row>
    <x:row r="28" ht="21" customHeight="1">
      <x:c r="C28" s="1" t="str">
        <x:v>Capped investment loss request</x:v>
      </x:c>
      <x:c r="D28" s="2"/>
      <x:c r="E28" s="2"/>
      <x:c r="F28" s="2"/>
      <x:c r="G28" s="19" t="n">
        <x:f>'FundingTaxEquity'!G30</x:f>
        <x:v>0</x:v>
      </x:c>
      <x:c r="H28" s="19" t="n">
        <x:f>'FundingTaxEquity'!H30</x:f>
        <x:v>0</x:v>
      </x:c>
      <x:c r="I28" s="19" t="n">
        <x:f>'FundingTaxEquity'!I30</x:f>
        <x:v>0</x:v>
      </x:c>
    </x:row>
    <x:row r="29" ht="21" customHeight="1">
      <x:c r="C29" s="1" t="str">
        <x:v>Dividend request above retained earnings</x:v>
      </x:c>
      <x:c r="D29" s="2"/>
      <x:c r="E29" s="2"/>
      <x:c r="F29" s="2"/>
      <x:c r="G29" s="19" t="n">
        <x:f>'FundingTaxEquity'!G45</x:f>
        <x:v>0</x:v>
      </x:c>
      <x:c r="H29" s="19" t="n">
        <x:f>'FundingTaxEquity'!H45</x:f>
        <x:v>0</x:v>
      </x:c>
      <x:c r="I29" s="19" t="n">
        <x:f>'FundingTaxEquity'!I45</x:f>
        <x:v>0</x:v>
      </x:c>
    </x:row>
    <x:row r="30" ht="21" customHeight="1">
      <x:c r="C30" s="1" t="str">
        <x:v>FY2026 revenue below reported H1 (infeasible if revenue is nonnegative)</x:v>
      </x:c>
      <x:c r="D30" s="2"/>
      <x:c r="E30" s="2"/>
      <x:c r="F30" s="2"/>
      <x:c r="G30" s="19" t="n">
        <x:f>MAX(0,'Interim'!E9-'Statements'!G10)</x:f>
        <x:v>0</x:v>
      </x:c>
      <x:c r="H30" s="2"/>
      <x:c r="I30" s="2"/>
    </x:row>
    <x:row r="31" ht="21" customHeight="1">
      <x:c r="C31" s="1" t="str">
        <x:v>Negative working-capital days / margins outside range</x:v>
      </x:c>
      <x:c r="D31" s="2"/>
      <x:c r="E31" s="2"/>
      <x:c r="F31" s="2"/>
      <x:c r="G31" s="19" t="n">
        <x:f>-MIN(0,'Assumptions'!G22)-MIN(0,'Assumptions'!G23)-MIN(0,'Assumptions'!G24)-MIN(0,'Assumptions'!G10)+MAX(0,'Assumptions'!G10-1)</x:f>
        <x:v>0</x:v>
      </x:c>
      <x:c r="H31" s="19" t="n">
        <x:f>-MIN(0,'Assumptions'!H22)-MIN(0,'Assumptions'!H23)-MIN(0,'Assumptions'!H24)-MIN(0,'Assumptions'!H10)+MAX(0,'Assumptions'!H10-1)</x:f>
        <x:v>0</x:v>
      </x:c>
      <x:c r="I31" s="19" t="n">
        <x:f>-MIN(0,'Assumptions'!I22)-MIN(0,'Assumptions'!I23)-MIN(0,'Assumptions'!I24)-MIN(0,'Assumptions'!I10)+MAX(0,'Assumptions'!I10-1)</x:f>
        <x:v>0</x:v>
      </x:c>
    </x:row>
    <x:row r="32" ht="21" customHeight="1">
      <x:c r="C32" s="1" t="str">
        <x:v>Negative tax / interest / depreciation rate</x:v>
      </x:c>
      <x:c r="D32" s="2"/>
      <x:c r="E32" s="2"/>
      <x:c r="F32" s="2"/>
      <x:c r="G32" s="19" t="n">
        <x:f>-MIN(0,'Assumptions'!G18)-MIN(0,'Assumptions'!G17)-MIN(0,'Assumptions'!G33)-MIN(0,'Assumptions'!G34)-MIN(0,'Assumptions'!G35)</x:f>
        <x:v>0</x:v>
      </x:c>
      <x:c r="H32" s="19" t="n">
        <x:f>-MIN(0,'Assumptions'!H18)-MIN(0,'Assumptions'!H17)-MIN(0,'Assumptions'!H33)-MIN(0,'Assumptions'!H34)-MIN(0,'Assumptions'!H35)</x:f>
        <x:v>0</x:v>
      </x:c>
      <x:c r="I32" s="19" t="n">
        <x:f>-MIN(0,'Assumptions'!I18)-MIN(0,'Assumptions'!I17)-MIN(0,'Assumptions'!I33)-MIN(0,'Assumptions'!I34)-MIN(0,'Assumptions'!I35)</x:f>
        <x:v>0</x:v>
      </x:c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 t="str">
        <x:v>Invalid negative PPE / intangible capex rate</x:v>
      </x:c>
      <x:c r="D34" s="2"/>
      <x:c r="E34" s="2"/>
      <x:c r="F34" s="2"/>
      <x:c r="G34" s="19" t="n">
        <x:f>MAX(0,-'Assumptions'!G31)+MAX(0,-'Assumptions'!G32)</x:f>
        <x:v>0</x:v>
      </x:c>
      <x:c r="H34" s="19" t="n">
        <x:f>MAX(0,-'Assumptions'!H31)+MAX(0,-'Assumptions'!H32)</x:f>
        <x:v>0</x:v>
      </x:c>
      <x:c r="I34" s="19" t="n">
        <x:f>MAX(0,-'Assumptions'!I31)+MAX(0,-'Assumptions'!I32)</x:f>
        <x:v>0</x:v>
      </x:c>
    </x:row>
    <x:row r="35" ht="21" customHeight="1">
      <x:c r="C35" s="1" t="str">
        <x:v>Segment revenue below observed H1 / below zero</x:v>
      </x:c>
      <x:c r="D35" s="2"/>
      <x:c r="E35" s="2"/>
      <x:c r="F35" s="2"/>
      <x:c r="G35" s="19" t="n">
        <x:f>MAX(0,'Interim'!E16-'Operating'!G12)+MAX(0,'Interim'!E17-'Operating'!G20)+MAX(0,'Interim'!E18-'Operating'!G28)</x:f>
        <x:v>0</x:v>
      </x:c>
      <x:c r="H35" s="19" t="n">
        <x:f>MAX(0,0-'Operating'!H12)+MAX(0,0-'Operating'!H20)+MAX(0,0-'Operating'!H28)</x:f>
        <x:v>0</x:v>
      </x:c>
      <x:c r="I35" s="19" t="n">
        <x:f>MAX(0,0-'Operating'!I12)+MAX(0,0-'Operating'!I20)+MAX(0,0-'Operating'!I28)</x:f>
        <x:v>0</x:v>
      </x:c>
    </x:row>
    <x:row r="36" ht="21" customHeight="1">
      <x:c r="C36" s="1" t="str">
        <x:v>Segment volume or price change below -100%</x:v>
      </x:c>
      <x:c r="D36" s="2"/>
      <x:c r="E36" s="2"/>
      <x:c r="F36" s="2"/>
      <x:c r="G36" s="19" t="n">
        <x:f>MAX(0,-1-'Assumptions'!G66)+MAX(0,-1-'Assumptions'!G67)+MAX(0,-1-'Assumptions'!G70)+MAX(0,-1-'Assumptions'!G71)+MAX(0,-1-'Assumptions'!G74)+MAX(0,-1-'Assumptions'!G75)</x:f>
        <x:v>0</x:v>
      </x:c>
      <x:c r="H36" s="19" t="n">
        <x:f>MAX(0,-1-'Assumptions'!H66)+MAX(0,-1-'Assumptions'!H67)+MAX(0,-1-'Assumptions'!H70)+MAX(0,-1-'Assumptions'!H71)+MAX(0,-1-'Assumptions'!H74)+MAX(0,-1-'Assumptions'!H75)</x:f>
        <x:v>0</x:v>
      </x:c>
      <x:c r="I36" s="19" t="n">
        <x:f>MAX(0,-1-'Assumptions'!I66)+MAX(0,-1-'Assumptions'!I67)+MAX(0,-1-'Assumptions'!I70)+MAX(0,-1-'Assumptions'!I71)+MAX(0,-1-'Assumptions'!I74)+MAX(0,-1-'Assumptions'!I75)</x:f>
        <x:v>0</x:v>
      </x:c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conditionalFormatting sqref="D9:I21">
    <x:cfRule type="cellIs" dxfId="0" priority="1" operator="between">
      <x:formula>-0.000001</x:formula>
      <x:formula>0.000001</x:formula>
    </x:cfRule>
  </x:conditionalFormatting>
  <x:conditionalFormatting sqref="D24:I36">
    <x:cfRule type="cellIs" dxfId="1" priority="2" operator="greaterThan">
      <x:formula>0.000001</x:formula>
    </x:cfRule>
  </x:conditionalFormatting>
  <x:pageMargins left="0.7" right="0.7" top="0.75" bottom="0.75" header="0.3" footer="0.3"/>
</x:worksheet>
</file>