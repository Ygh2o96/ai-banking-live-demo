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d2793e919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608ad3f9ef4cdd"/>
    <x:sheet xmlns:r="http://schemas.openxmlformats.org/officeDocument/2006/relationships" name="Assumptions" sheetId="2" r:id="Rf2f8981057124f00"/>
    <x:sheet xmlns:r="http://schemas.openxmlformats.org/officeDocument/2006/relationships" name="Operating" sheetId="3" r:id="Rfa1493612037463c"/>
    <x:sheet xmlns:r="http://schemas.openxmlformats.org/officeDocument/2006/relationships" name="Statements" sheetId="4" r:id="R147dbd2ba9b44ed1"/>
    <x:sheet xmlns:r="http://schemas.openxmlformats.org/officeDocument/2006/relationships" name="WorkingCapital" sheetId="5" r:id="R4086298cfbc84986"/>
    <x:sheet xmlns:r="http://schemas.openxmlformats.org/officeDocument/2006/relationships" name="FixedAssets" sheetId="6" r:id="R7893026f125d4dd7"/>
    <x:sheet xmlns:r="http://schemas.openxmlformats.org/officeDocument/2006/relationships" name="FundingTaxEquity" sheetId="7" r:id="Rf1cef1a8c0a146ad"/>
    <x:sheet xmlns:r="http://schemas.openxmlformats.org/officeDocument/2006/relationships" name="Interim" sheetId="8" r:id="R2fd675e8fe094186"/>
    <x:sheet xmlns:r="http://schemas.openxmlformats.org/officeDocument/2006/relationships" name="SourceFacts" sheetId="9" r:id="R473e46a0b7c342db"/>
    <x:sheet xmlns:r="http://schemas.openxmlformats.org/officeDocument/2006/relationships" name="SourceBS" sheetId="10" r:id="R6aa537be38664ba9"/>
    <x:sheet xmlns:r="http://schemas.openxmlformats.org/officeDocument/2006/relationships" name="Sources" sheetId="11" r:id="Rf21c571cc0664ae1"/>
    <x:sheet xmlns:r="http://schemas.openxmlformats.org/officeDocument/2006/relationships" name="Checks" sheetId="12" r:id="Rcb8eb2b5c4cd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e5247068643b3" /><Relationship Type="http://schemas.openxmlformats.org/officeDocument/2006/relationships/theme" Target="/xl/theme/theme1.xml" Id="R6970497bf63d4e10" /><Relationship Type="http://schemas.openxmlformats.org/officeDocument/2006/relationships/sharedStrings" Target="/xl/sharedStrings.xml" Id="R150d8d7988254741" /><Relationship Type="http://schemas.openxmlformats.org/officeDocument/2006/relationships/worksheet" Target="/xl/worksheets/sheet1.xml" Id="R24608ad3f9ef4cdd" /><Relationship Type="http://schemas.openxmlformats.org/officeDocument/2006/relationships/worksheet" Target="/xl/worksheets/sheet2.xml" Id="Rf2f8981057124f00" /><Relationship Type="http://schemas.openxmlformats.org/officeDocument/2006/relationships/worksheet" Target="/xl/worksheets/sheet3.xml" Id="Rfa1493612037463c" /><Relationship Type="http://schemas.openxmlformats.org/officeDocument/2006/relationships/worksheet" Target="/xl/worksheets/sheet4.xml" Id="R147dbd2ba9b44ed1" /><Relationship Type="http://schemas.openxmlformats.org/officeDocument/2006/relationships/worksheet" Target="/xl/worksheets/sheet5.xml" Id="R4086298cfbc84986" /><Relationship Type="http://schemas.openxmlformats.org/officeDocument/2006/relationships/worksheet" Target="/xl/worksheets/sheet6.xml" Id="R7893026f125d4dd7" /><Relationship Type="http://schemas.openxmlformats.org/officeDocument/2006/relationships/worksheet" Target="/xl/worksheets/sheet7.xml" Id="Rf1cef1a8c0a146ad" /><Relationship Type="http://schemas.openxmlformats.org/officeDocument/2006/relationships/worksheet" Target="/xl/worksheets/sheet8.xml" Id="R2fd675e8fe094186" /><Relationship Type="http://schemas.openxmlformats.org/officeDocument/2006/relationships/worksheet" Target="/xl/worksheets/sheet9.xml" Id="R473e46a0b7c342db" /><Relationship Type="http://schemas.openxmlformats.org/officeDocument/2006/relationships/worksheet" Target="/xl/worksheets/sheet10.xml" Id="R6aa537be38664ba9" /><Relationship Type="http://schemas.openxmlformats.org/officeDocument/2006/relationships/worksheet" Target="/xl/worksheets/sheet11.xml" Id="Rf21c571cc0664ae1" /><Relationship Type="http://schemas.openxmlformats.org/officeDocument/2006/relationships/worksheet" Target="/xl/worksheets/sheet12.xml" Id="Rcb8eb2b5c4cd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89341.17761039999</x:v>
      </x:c>
      <x:c r="E9" s="19" t="n">
        <x:f>'Statements'!E10</x:f>
        <x:v>92495.52511830001</x:v>
      </x:c>
      <x:c r="F9" s="19" t="n">
        <x:f>'Statements'!F10</x:f>
        <x:v>92507.79606994</x:v>
      </x:c>
      <x:c r="G9" s="19" t="n">
        <x:f>'Statements'!G10</x:f>
        <x:v>100946.8232405066</x:v>
      </x:c>
      <x:c r="H9" s="19" t="n">
        <x:f>'Statements'!H10</x:f>
        <x:v>107784.07055727055</x:v>
      </x:c>
      <x:c r="I9" s="19" t="n">
        <x:f>'Statements'!I10</x:f>
        <x:v>115093.36849755578</x:v>
      </x:c>
    </x:row>
    <x:row r="10" ht="21" customHeight="1">
      <x:c r="C10" s="1" t="str">
        <x:v>Gross profit</x:v>
      </x:c>
      <x:c r="D10" s="19" t="n">
        <x:f>'Statements'!D12</x:f>
        <x:v>39608.40906282999</x:v>
      </x:c>
      <x:c r="E10" s="19" t="n">
        <x:f>'Statements'!E12</x:f>
        <x:v>40541.66720609001</x:v>
      </x:c>
      <x:c r="F10" s="19" t="n">
        <x:f>'Statements'!F12</x:f>
        <x:v>42440.35951958</x:v>
      </x:c>
      <x:c r="G10" s="19" t="n">
        <x:f>'Statements'!G12</x:f>
        <x:v>46327.367599523765</x:v>
      </x:c>
      <x:c r="H10" s="19" t="n">
        <x:f>'Statements'!H12</x:f>
        <x:v>49460.47807877829</x:v>
      </x:c>
      <x:c r="I10" s="19" t="n">
        <x:f>'Statements'!I12</x:f>
        <x:v>52811.415949929455</x:v>
      </x:c>
    </x:row>
    <x:row r="11" ht="21" customHeight="1">
      <x:c r="C11" s="1" t="str">
        <x:v>EBITDA proxy; definition in Statements</x:v>
      </x:c>
      <x:c r="D11" s="2"/>
      <x:c r="E11" s="19" t="n">
        <x:f>'Statements'!E21</x:f>
        <x:v>16212.60638017</x:v>
      </x:c>
      <x:c r="F11" s="19" t="n">
        <x:f>'Statements'!F21</x:f>
        <x:v>18542.21001707</x:v>
      </x:c>
      <x:c r="G11" s="19" t="n">
        <x:f>'Statements'!G21</x:f>
        <x:v>20233.91128160975</x:v>
      </x:c>
      <x:c r="H11" s="19" t="n">
        <x:f>'Statements'!H21</x:f>
        <x:v>21608.637443280983</x:v>
      </x:c>
      <x:c r="I11" s="19" t="n">
        <x:f>'Statements'!I21</x:f>
        <x:v>23078.58050006404</x:v>
      </x:c>
    </x:row>
    <x:row r="12" ht="21" customHeight="1">
      <x:c r="C12" s="1" t="str">
        <x:v>Consolidated net income</x:v>
      </x:c>
      <x:c r="D12" s="19" t="n">
        <x:f>'Statements'!D25</x:f>
        <x:v>15155.901763209999</x:v>
      </x:c>
      <x:c r="E12" s="19" t="n">
        <x:f>'Statements'!E25</x:f>
        <x:v>13141.02206051</x:v>
      </x:c>
      <x:c r="F12" s="19" t="n">
        <x:f>'Statements'!F25</x:f>
        <x:v>15433.65523983</x:v>
      </x:c>
      <x:c r="G12" s="19" t="n">
        <x:f>'Statements'!G25</x:f>
        <x:v>16430.218048899766</x:v>
      </x:c>
      <x:c r="H12" s="19" t="n">
        <x:f>'Statements'!H25</x:f>
        <x:v>17463.87306183311</x:v>
      </x:c>
      <x:c r="I12" s="19" t="n">
        <x:f>'Statements'!I25</x:f>
        <x:v>18609.69219031706</x:v>
      </x:c>
    </x:row>
    <x:row r="13" ht="21" customHeight="1">
      <x:c r="C13" s="1" t="str">
        <x:v>Operating cash flow</x:v>
      </x:c>
      <x:c r="D13" s="19" t="n">
        <x:f>'Statements'!D65</x:f>
        <x:v>16622.20972105</x:v>
      </x:c>
      <x:c r="E13" s="19" t="n">
        <x:f>'Statements'!E65</x:f>
        <x:v>13264.09202273</x:v>
      </x:c>
      <x:c r="F13" s="19" t="n">
        <x:f>'Statements'!F65</x:f>
        <x:v>25339.4110831</x:v>
      </x:c>
      <x:c r="G13" s="19" t="n">
        <x:f>'Statements'!G65</x:f>
        <x:v>14294.10696932297</x:v>
      </x:c>
      <x:c r="H13" s="19" t="n">
        <x:f>'Statements'!H65</x:f>
        <x:v>17511.617151472885</x:v>
      </x:c>
      <x:c r="I13" s="19" t="n">
        <x:f>'Statements'!I65</x:f>
        <x:v>18668.359494996515</x:v>
      </x:c>
    </x:row>
    <x:row r="14" ht="21" customHeight="1">
      <x:c r="C14" s="1" t="str">
        <x:v>Free cash flow before financing</x:v>
      </x:c>
      <x:c r="D14" s="19" t="n">
        <x:f>'Statements'!D87</x:f>
        <x:v>12574.393697</x:v>
      </x:c>
      <x:c r="E14" s="19" t="n">
        <x:f>'Statements'!E87</x:f>
        <x:v>8598.34981901</x:v>
      </x:c>
      <x:c r="F14" s="19" t="n">
        <x:f>'Statements'!F87</x:f>
        <x:v>21717.36441843</x:v>
      </x:c>
      <x:c r="G14" s="19" t="n">
        <x:f>'Statements'!G87</x:f>
        <x:v>10341.638961644207</x:v>
      </x:c>
      <x:c r="H14" s="19" t="n">
        <x:f>'Statements'!H87</x:f>
        <x:v>13291.443827147235</x:v>
      </x:c>
      <x:c r="I14" s="19" t="n">
        <x:f>'Statements'!I87</x:f>
        <x:v>14161.998202192259</x:v>
      </x:c>
    </x:row>
    <x:row r="15" ht="21" customHeight="1">
      <x:c r="C15" s="1" t="str">
        <x:v>Closing cash and cash equivalents</x:v>
      </x:c>
      <x:c r="D15" s="19" t="n">
        <x:f>'Statements'!D31</x:f>
        <x:v>49427.96735578</x:v>
      </x:c>
      <x:c r="E15" s="19" t="n">
        <x:f>'Statements'!E31</x:f>
        <x:v>36053.042380290004</x:v>
      </x:c>
      <x:c r="F15" s="19" t="n">
        <x:f>'Statements'!F31</x:f>
        <x:v>46204.33869443</x:v>
      </x:c>
      <x:c r="G15" s="19" t="n">
        <x:f>'Statements'!G31</x:f>
        <x:v>42596.295489979384</x:v>
      </x:c>
      <x:c r="H15" s="19" t="n">
        <x:f>'Statements'!H31</x:f>
        <x:v>41474.94474195968</x:v>
      </x:c>
      <x:c r="I15" s="19" t="n">
        <x:f>'Statements'!I31</x:f>
        <x:v>40614.48710312437</x:v>
      </x:c>
    </x:row>
    <x:row r="16" ht="21" customHeight="1">
      <x:c r="C16" s="1" t="str">
        <x:v>Borrowings and lease liabilities</x:v>
      </x:c>
      <x:c r="D16" s="19" t="n">
        <x:f>'Statements'!D44</x:f>
        <x:v>17217.74106816</x:v>
      </x:c>
      <x:c r="E16" s="19" t="n">
        <x:f>'Statements'!E44</x:f>
        <x:v>7293.54425121</x:v>
      </x:c>
      <x:c r="F16" s="19" t="n">
        <x:f>'Statements'!F44</x:f>
        <x:v>8135.093147099999</x:v>
      </x:c>
      <x:c r="G16" s="19" t="n">
        <x:f>'Statements'!G44</x:f>
        <x:v>6574.448893960499</x:v>
      </x:c>
      <x:c r="H16" s="19" t="n">
        <x:f>'Statements'!H44</x:f>
        <x:v>5325.933491448899</x:v>
      </x:c>
      <x:c r="I16" s="19" t="n">
        <x:f>'Statements'!I44</x:f>
        <x:v>4327.121169439619</x:v>
      </x:c>
    </x:row>
    <x:row r="17" ht="21" customHeight="1">
      <x:c r="C17" s="1" t="str">
        <x:v>Balance-sheet difference</x:v>
      </x:c>
      <x:c r="D17" s="19" t="n">
        <x:f>'Statements'!D55</x:f>
        <x:v>-2.9103830456733704e-11</x:v>
      </x:c>
      <x:c r="E17" s="19" t="n">
        <x:f>'Statements'!E55</x:f>
        <x:v>2.9103830456733704e-11</x:v>
      </x:c>
      <x:c r="F17" s="19" t="n">
        <x:f>'Statements'!F55</x:f>
        <x:v>2.9103830456733704e-11</x:v>
      </x:c>
      <x:c r="G17" s="19" t="n">
        <x:f>'Statements'!G55</x:f>
        <x:v>2.9103830456733704e-11</x:v>
      </x:c>
      <x:c r="H17" s="19" t="n">
        <x:f>'Statements'!H55</x:f>
        <x:v>2.9103830456733704e-11</x:v>
      </x:c>
      <x:c r="I17" s="19" t="n">
        <x:f>'Statements'!I55</x:f>
        <x:v>2.9103830456733704e-11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0.47654234248887123</x:v>
      </x:c>
      <x:c r="G10" s="23" t="n">
        <x:v>0.47654234248887123</x:v>
      </x:c>
      <x:c r="H10" s="23" t="n">
        <x:v>0.47654234248887123</x:v>
      </x:c>
      <x:c r="I10" s="23" t="n">
        <x:v>0.47654234248887123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0.1334794406772425</x:v>
      </x:c>
      <x:c r="H11" s="23" t="n">
        <x:v>0.1334794406772425</x:v>
      </x:c>
      <x:c r="I11" s="23" t="n">
        <x:v>0.1334794406772425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0.027928797163740228</x:v>
      </x:c>
      <x:c r="H12" s="23" t="n">
        <x:v>0.027928797163740228</x:v>
      </x:c>
      <x:c r="I12" s="23" t="n">
        <x:v>0.027928797163740228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0.12704469499970028</x:v>
      </x:c>
      <x:c r="H13" s="23" t="n">
        <x:v>0.12704469499970028</x:v>
      </x:c>
      <x:c r="I13" s="23" t="n">
        <x:v>0.12704469499970028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0.008296581611994487</x:v>
      </x:c>
      <x:c r="H14" s="23" t="n">
        <x:v>0.008296581611994487</x:v>
      </x:c>
      <x:c r="I14" s="23" t="n">
        <x:v>0.008296581611994487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0.020646603069172372</x:v>
      </x:c>
      <x:c r="H15" s="23" t="n">
        <x:v>0.020646603069172372</x:v>
      </x:c>
      <x:c r="I15" s="23" t="n">
        <x:v>0.020646603069172372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0.0201463003873172</x:v>
      </x:c>
      <x:c r="H16" s="23" t="n">
        <x:v>0.0201463003873172</x:v>
      </x:c>
      <x:c r="I16" s="23" t="n">
        <x:v>0.0201463003873172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0.02751804823789246</x:v>
      </x:c>
      <x:c r="H17" s="23" t="n">
        <x:v>0.02751804823789246</x:v>
      </x:c>
      <x:c r="I17" s="23" t="n">
        <x:v>0.02751804823789246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0.12323302839129735</x:v>
      </x:c>
      <x:c r="H18" s="23" t="n">
        <x:v>0.12323302839129735</x:v>
      </x:c>
      <x:c r="I18" s="23" t="n">
        <x:v>0.12323302839129735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0.08023266855244589</x:v>
      </x:c>
      <x:c r="H19" s="23" t="n">
        <x:v>0.08023266855244589</x:v>
      </x:c>
      <x:c r="I19" s="23" t="n">
        <x:v>0.08023266855244589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143.1003604358125</x:v>
      </x:c>
      <x:c r="H22" s="22" t="n">
        <x:v>143.1003604358125</x:v>
      </x:c>
      <x:c r="I22" s="22" t="n">
        <x:v>143.1003604358125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149.24572283516025</x:v>
      </x:c>
      <x:c r="H23" s="22" t="n">
        <x:v>149.24572283516025</x:v>
      </x:c>
      <x:c r="I23" s="22" t="n">
        <x:v>149.24572283516025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150.3795935882634</x:v>
      </x:c>
      <x:c r="H24" s="22" t="n">
        <x:v>150.3795935882634</x:v>
      </x:c>
      <x:c r="I24" s="22" t="n">
        <x:v>150.3795935882634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0.045406885165594504</x:v>
      </x:c>
      <x:c r="H25" s="23" t="n">
        <x:v>0.045406885165594504</x:v>
      </x:c>
      <x:c r="I25" s="23" t="n">
        <x:v>0.045406885165594504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0.03523856514469781</x:v>
      </x:c>
      <x:c r="H31" s="23" t="n">
        <x:v>0.03523856514469781</x:v>
      </x:c>
      <x:c r="I31" s="23" t="n">
        <x:v>0.03523856514469781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0.003915396127188646</x:v>
      </x:c>
      <x:c r="H32" s="23" t="n">
        <x:v>0.003915396127188646</x:v>
      </x:c>
      <x:c r="I32" s="23" t="n">
        <x:v>0.003915396127188646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0.08381341115273765</x:v>
      </x:c>
      <x:c r="H33" s="23" t="n">
        <x:v>0.08381341115273765</x:v>
      </x:c>
      <x:c r="I33" s="23" t="n">
        <x:v>0.08381341115273765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0.08381341115273765</x:v>
      </x:c>
      <x:c r="H34" s="23" t="n">
        <x:v>0.08381341115273765</x:v>
      </x:c>
      <x:c r="I34" s="23" t="n">
        <x:v>0.08381341115273765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0.08381341115273765</x:v>
      </x:c>
      <x:c r="H35" s="23" t="n">
        <x:v>0.08381341115273765</x:v>
      </x:c>
      <x:c r="I35" s="23" t="n">
        <x:v>0.08381341115273765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66.3743762805</x:v>
      </x:c>
      <x:c r="H36" s="22" t="n">
        <x:v>66.3743762805</x:v>
      </x:c>
      <x:c r="I36" s="22" t="n">
        <x:v>66.3743762805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0.75</x:v>
      </x:c>
      <x:c r="H43" s="23" t="n">
        <x:v>0.75</x:v>
      </x:c>
      <x:c r="I43" s="23" t="n">
        <x:v>0.75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境内: Project and device volume</x:v>
      </x:c>
      <x:c r="D66" s="2"/>
      <x:c r="E66" s="2"/>
      <x:c r="F66" s="2"/>
      <x:c r="G66" s="23" t="n">
        <x:v>0.05</x:v>
      </x:c>
      <x:c r="H66" s="23" t="n">
        <x:v>0.05</x:v>
      </x:c>
      <x:c r="I66" s="23" t="n">
        <x:v>0.05</x:v>
      </x:c>
    </x:row>
    <x:row r="67" ht="21" customHeight="1">
      <x:c r="C67" s="1" t="str">
        <x:v>境内: AI product / solution mix</x:v>
      </x:c>
      <x:c r="D67" s="2"/>
      <x:c r="E67" s="2"/>
      <x:c r="F67" s="2"/>
      <x:c r="G67" s="23" t="n">
        <x:v>0.01</x:v>
      </x:c>
      <x:c r="H67" s="23" t="n">
        <x:v>0.01</x:v>
      </x:c>
      <x:c r="I67" s="23" t="n">
        <x:v>0.01</x:v>
      </x:c>
    </x:row>
    <x:row r="68" ht="21" customHeight="1">
      <x:c r="C68" s="1" t="str">
        <x:v>境内: cash gross margin (LEAP)</x:v>
      </x:c>
      <x:c r="D68" s="2"/>
      <x:c r="E68" s="2"/>
      <x:c r="F68" s="26" t="n">
        <x:v>0.4731049525564018</x:v>
      </x:c>
      <x:c r="G68" s="30" t="n">
        <x:f>G10+($F68-$F$10)</x:f>
        <x:v>0.4731049525564018</x:v>
      </x:c>
      <x:c r="H68" s="30" t="n">
        <x:f>H10+($F68-$F$10)</x:f>
        <x:v>0.4731049525564018</x:v>
      </x:c>
      <x:c r="I68" s="30" t="n">
        <x:f>I10+($F68-$F$10)</x:f>
        <x:v>0.4731049525564018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境外: Overseas device volume</x:v>
      </x:c>
      <x:c r="D70" s="2"/>
      <x:c r="E70" s="2"/>
      <x:c r="F70" s="2"/>
      <x:c r="G70" s="23" t="n">
        <x:v>0.08</x:v>
      </x:c>
      <x:c r="H70" s="23" t="n">
        <x:v>0.08</x:v>
      </x:c>
      <x:c r="I70" s="23" t="n">
        <x:v>0.08</x:v>
      </x:c>
    </x:row>
    <x:row r="71" ht="21" customHeight="1">
      <x:c r="C71" s="1" t="str">
        <x:v>境外: Local price / reported currency effect</x:v>
      </x:c>
      <x:c r="D71" s="2"/>
      <x:c r="E71" s="2"/>
      <x:c r="F71" s="2"/>
      <x:c r="G71" s="23" t="n">
        <x:v>0</x:v>
      </x:c>
      <x:c r="H71" s="23" t="n">
        <x:v>0</x:v>
      </x:c>
      <x:c r="I71" s="23" t="n">
        <x:v>0</x:v>
      </x:c>
    </x:row>
    <x:row r="72" ht="21" customHeight="1">
      <x:c r="C72" s="1" t="str">
        <x:v>境外: cash gross margin (LEAP)</x:v>
      </x:c>
      <x:c r="D72" s="2"/>
      <x:c r="E72" s="2"/>
      <x:c r="F72" s="26" t="n">
        <x:v>0.4823794178765532</x:v>
      </x:c>
      <x:c r="G72" s="30" t="n">
        <x:f>G10+($F72-$F$10)</x:f>
        <x:v>0.4823794178765532</x:v>
      </x:c>
      <x:c r="H72" s="30" t="n">
        <x:f>H10+($F72-$F$10)</x:f>
        <x:v>0.4823794178765532</x:v>
      </x:c>
      <x:c r="I72" s="30" t="n">
        <x:f>I10+($F72-$F$10)</x:f>
        <x:v>0.4823794178765532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境内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0.05</x:v>
      </x:c>
      <x:c r="H11" s="31" t="n">
        <x:f>'Assumptions'!H66</x:f>
        <x:v>0.05</x:v>
      </x:c>
      <x:c r="I11" s="31" t="n">
        <x:f>'Assumptions'!I66</x:f>
        <x:v>0.05</x:v>
      </x:c>
    </x:row>
    <x:row r="12" ht="21" customHeight="1">
      <x:c r="C12" s="1" t="str">
        <x:v>Segment revenue</x:v>
      </x:c>
      <x:c r="D12" s="2"/>
      <x:c r="E12" s="2"/>
      <x:c r="F12" s="2" t="n">
        <x:v>58221.68297242</x:v>
      </x:c>
      <x:c r="G12" s="19" t="n">
        <x:f>'Interim'!E16+($F12-'Interim'!D16)*(1+G11)*(1+G13)</x:f>
        <x:v>63512.745768029796</x:v>
      </x:c>
      <x:c r="H12" s="27" t="n">
        <x:f>G12*(1+H11)*(1+H13)</x:f>
        <x:v>67355.2668869956</x:v>
      </x:c>
      <x:c r="I12" s="27" t="n">
        <x:f>H12*(1+I11)*(1+I13)</x:f>
        <x:v>71430.26053365883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0.01</x:v>
      </x:c>
      <x:c r="H13" s="31" t="n">
        <x:f>'Assumptions'!H67</x:f>
        <x:v>0.01</x:v>
      </x:c>
      <x:c r="I13" s="31" t="n">
        <x:f>'Assumptions'!I67</x:f>
        <x:v>0.01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0.4731049525564018</x:v>
      </x:c>
      <x:c r="H14" s="31" t="n">
        <x:f>'Assumptions'!H68</x:f>
        <x:v>0.4731049525564018</x:v>
      </x:c>
      <x:c r="I14" s="31" t="n">
        <x:f>'Assumptions'!I68</x:f>
        <x:v>0.4731049525564018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33464.55119471926</x:v>
      </x:c>
      <x:c r="H15" s="27" t="n">
        <x:f>H12*(1-H14)</x:f>
        <x:v>35489.15654199977</x:v>
      </x:c>
      <x:c r="I15" s="27" t="n">
        <x:f>I12*(1-I14)</x:f>
        <x:v>37636.25051279076</x:v>
      </x:c>
    </x:row>
    <x:row r="16" ht="21" customHeight="1">
      <x:c r="C16" s="1" t="str">
        <x:v>SOURCE_FACT: hikvision_FY2025 P088 L026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境外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0.08</x:v>
      </x:c>
      <x:c r="H19" s="31" t="n">
        <x:f>'Assumptions'!H70</x:f>
        <x:v>0.08</x:v>
      </x:c>
      <x:c r="I19" s="31" t="n">
        <x:f>'Assumptions'!I70</x:f>
        <x:v>0.08</x:v>
      </x:c>
    </x:row>
    <x:row r="20" ht="21" customHeight="1">
      <x:c r="C20" s="1" t="str">
        <x:v>Segment revenue</x:v>
      </x:c>
      <x:c r="D20" s="2"/>
      <x:c r="E20" s="2"/>
      <x:c r="F20" s="2" t="n">
        <x:v>34286.11309752</x:v>
      </x:c>
      <x:c r="G20" s="19" t="n">
        <x:f>'Interim'!E17+($F20-'Interim'!D17)*(1+G19)*(1+G21)</x:f>
        <x:v>37434.0774724768</x:v>
      </x:c>
      <x:c r="H20" s="27" t="n">
        <x:f>G20*(1+H19)*(1+H21)</x:f>
        <x:v>40428.803670274945</x:v>
      </x:c>
      <x:c r="I20" s="27" t="n">
        <x:f>H20*(1+I19)*(1+I21)</x:f>
        <x:v>43663.107963896946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0</x:v>
      </x:c>
      <x:c r="H21" s="31" t="n">
        <x:f>'Assumptions'!H71</x:f>
        <x:v>0</x:v>
      </x:c>
      <x:c r="I21" s="31" t="n">
        <x:f>'Assumptions'!I71</x:f>
        <x:v>0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0.4823794178765532</x:v>
      </x:c>
      <x:c r="H22" s="31" t="n">
        <x:f>'Assumptions'!H72</x:f>
        <x:v>0.4823794178765532</x:v>
      </x:c>
      <x:c r="I22" s="31" t="n">
        <x:f>'Assumptions'!I72</x:f>
        <x:v>0.4823794178765532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19376.648972557643</x:v>
      </x:c>
      <x:c r="H23" s="27" t="n">
        <x:f>H20*(1-H22)</x:f>
        <x:v>20926.780890362257</x:v>
      </x:c>
      <x:c r="I23" s="27" t="n">
        <x:f>I20*(1-I22)</x:f>
        <x:v>22600.92336159124</x:v>
      </x:c>
    </x:row>
    <x:row r="24" ht="21" customHeight="1">
      <x:c r="C24" s="1" t="str">
        <x:v>SOURCE_FACT: hikvision_FY2025 P088 L027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34" t="str">
        <x:v>Total revenue</x:v>
      </x:c>
      <x:c r="D30" s="35"/>
      <x:c r="E30" s="35"/>
      <x:c r="F30" s="36" t="n">
        <x:f>F12+F20</x:f>
        <x:v>92507.79606994</x:v>
      </x:c>
      <x:c r="G30" s="36" t="n">
        <x:f>G12+G20</x:f>
        <x:v>100946.8232405066</x:v>
      </x:c>
      <x:c r="H30" s="36" t="n">
        <x:f>H12+H20</x:f>
        <x:v>107784.07055727055</x:v>
      </x:c>
      <x:c r="I30" s="36" t="n">
        <x:f>I12+I20</x:f>
        <x:v>115093.36849755578</x:v>
      </x:c>
    </x:row>
    <x:row r="31" ht="21" customHeight="1">
      <x:c r="C31" s="1" t="str">
        <x:v>Total cash cost of revenue</x:v>
      </x:c>
      <x:c r="D31" s="2"/>
      <x:c r="E31" s="2"/>
      <x:c r="F31" s="2"/>
      <x:c r="G31" s="27" t="n">
        <x:f>G15+G23</x:f>
        <x:v>52841.2001672769</x:v>
      </x:c>
      <x:c r="H31" s="27" t="n">
        <x:f>H15+H23</x:f>
        <x:v>56415.93743236203</x:v>
      </x:c>
      <x:c r="I31" s="27" t="n">
        <x:f>I15+I23</x:f>
        <x:v>60237.173874382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89341.17761039999</x:v>
      </x:c>
      <x:c r="E10" s="37" t="n">
        <x:f>'SourceFacts'!E9</x:f>
        <x:v>92495.52511830001</x:v>
      </x:c>
      <x:c r="F10" s="37" t="n">
        <x:f>'SourceFacts'!F9</x:f>
        <x:v>92507.79606994</x:v>
      </x:c>
      <x:c r="G10" s="37" t="n">
        <x:f>'Operating'!G30</x:f>
        <x:v>100946.8232405066</x:v>
      </x:c>
      <x:c r="H10" s="37" t="n">
        <x:f>'Operating'!H30</x:f>
        <x:v>107784.07055727055</x:v>
      </x:c>
      <x:c r="I10" s="37" t="n">
        <x:f>'Operating'!I30</x:f>
        <x:v>115093.36849755578</x:v>
      </x:c>
    </x:row>
    <x:row r="11" ht="21" customHeight="1">
      <x:c r="C11" s="1" t="str">
        <x:v>Cost of revenue including D&amp;A</x:v>
      </x:c>
      <x:c r="D11" s="19" t="n">
        <x:f>'SourceFacts'!D10</x:f>
        <x:v>49732.76854757</x:v>
      </x:c>
      <x:c r="E11" s="19" t="n">
        <x:f>'SourceFacts'!E10</x:f>
        <x:v>51953.85791221</x:v>
      </x:c>
      <x:c r="F11" s="19" t="n">
        <x:f>'SourceFacts'!F10</x:f>
        <x:v>50067.43655036</x:v>
      </x:c>
      <x:c r="G11" s="19" t="n">
        <x:f>'Operating'!G31+G20*'Assumptions'!G37</x:f>
        <x:v>54619.45564098283</x:v>
      </x:c>
      <x:c r="H11" s="19" t="n">
        <x:f>'Operating'!H31+H20*'Assumptions'!H37</x:f>
        <x:v>58323.59247849226</x:v>
      </x:c>
      <x:c r="I11" s="19" t="n">
        <x:f>'Operating'!I31+I20*'Assumptions'!I37</x:f>
        <x:v>62281.95254762633</x:v>
      </x:c>
    </x:row>
    <x:row r="12" ht="21" customHeight="1">
      <x:c r="C12" s="34" t="str">
        <x:v>Gross profit</x:v>
      </x:c>
      <x:c r="D12" s="36" t="n">
        <x:f>D10-D11</x:f>
        <x:v>39608.40906282999</x:v>
      </x:c>
      <x:c r="E12" s="36" t="n">
        <x:f>E10-E11</x:f>
        <x:v>40541.66720609001</x:v>
      </x:c>
      <x:c r="F12" s="36" t="n">
        <x:f>F10-F11</x:f>
        <x:v>42440.35951958</x:v>
      </x:c>
      <x:c r="G12" s="36" t="n">
        <x:f>G10-G11</x:f>
        <x:v>46327.367599523765</x:v>
      </x:c>
      <x:c r="H12" s="36" t="n">
        <x:f>H10-H11</x:f>
        <x:v>49460.47807877829</x:v>
      </x:c>
      <x:c r="I12" s="36" t="n">
        <x:f>I10-I11</x:f>
        <x:v>52811.415949929455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10746.78807601</x:v>
      </x:c>
      <x:c r="E14" s="19" t="n">
        <x:f>'SourceFacts'!E11</x:f>
        <x:v>12051.218102620001</x:v>
      </x:c>
      <x:c r="F14" s="19" t="n">
        <x:f>'SourceFacts'!F11</x:f>
        <x:v>12347.888877700001</x:v>
      </x:c>
      <x:c r="G14" s="19" t="n">
        <x:f>G10*'Assumptions'!G11</x:f>
        <x:v>13474.325504287282</x:v>
      </x:c>
      <x:c r="H14" s="19" t="n">
        <x:f>H10*'Assumptions'!H11</x:f>
        <x:v>14386.957451900913</x:v>
      </x:c>
      <x:c r="I14" s="19" t="n">
        <x:f>I10*'Assumptions'!I11</x:f>
        <x:v>15362.598452713506</x:v>
      </x:c>
    </x:row>
    <x:row r="15" ht="21" customHeight="1">
      <x:c r="C15" s="1" t="str">
        <x:v>Administrative expenses incl D&amp;A and SBC</x:v>
      </x:c>
      <x:c r="D15" s="19" t="n">
        <x:f>'SourceFacts'!D12</x:f>
        <x:v>2770.78120345</x:v>
      </x:c>
      <x:c r="E15" s="19" t="n">
        <x:f>'SourceFacts'!E12</x:f>
        <x:v>3095.93964392</x:v>
      </x:c>
      <x:c r="F15" s="19" t="n">
        <x:f>'SourceFacts'!F12</x:f>
        <x:v>2994.51205202</x:v>
      </x:c>
      <x:c r="G15" s="19" t="n">
        <x:f>G10*'Assumptions'!G12+G20*(1-'Assumptions'!G37)+'FundingTaxEquity'!G60</x:f>
        <x:v>3263.887219034529</x:v>
      </x:c>
      <x:c r="H15" s="19" t="n">
        <x:f>H10*'Assumptions'!H12+H20*(1-'Assumptions'!H37)+'FundingTaxEquity'!H60</x:f>
        <x:v>3487.1932056088312</x:v>
      </x:c>
      <x:c r="I15" s="19" t="n">
        <x:f>I10*'Assumptions'!I12+I20*(1-'Assumptions'!I37)+'FundingTaxEquity'!I60</x:f>
        <x:v>3725.6140119709266</x:v>
      </x:c>
    </x:row>
    <x:row r="16" ht="21" customHeight="1">
      <x:c r="C16" s="1" t="str">
        <x:v>Research and development</x:v>
      </x:c>
      <x:c r="D16" s="19" t="n">
        <x:f>'SourceFacts'!D13</x:f>
        <x:v>11392.948404469998</x:v>
      </x:c>
      <x:c r="E16" s="19" t="n">
        <x:f>'SourceFacts'!E13</x:f>
        <x:v>11864.01339227</x:v>
      </x:c>
      <x:c r="F16" s="19" t="n">
        <x:f>'SourceFacts'!F13</x:f>
        <x:v>11752.624736799999</x:v>
      </x:c>
      <x:c r="G16" s="19" t="n">
        <x:f>G10*'Assumptions'!G13</x:f>
        <x:v>12824.758369778816</x:v>
      </x:c>
      <x:c r="H16" s="19" t="n">
        <x:f>H10*'Assumptions'!H13</x:f>
        <x:v>13693.394369774613</x:v>
      </x:c>
      <x:c r="I16" s="19" t="n">
        <x:f>I10*'Assumptions'!I13</x:f>
        <x:v>14622.001897260086</x:v>
      </x:c>
    </x:row>
    <x:row r="17" ht="21" customHeight="1">
      <x:c r="C17" s="1" t="str">
        <x:v>Business taxes and surcharges</x:v>
      </x:c>
      <x:c r="D17" s="19" t="n">
        <x:f>'SourceFacts'!D14</x:f>
        <x:v>704.64137869</x:v>
      </x:c>
      <x:c r="E17" s="19" t="n">
        <x:f>'SourceFacts'!E14</x:f>
        <x:v>692.28592736</x:v>
      </x:c>
      <x:c r="F17" s="19" t="n">
        <x:f>'SourceFacts'!F14</x:f>
        <x:v>767.4984798400001</x:v>
      </x:c>
      <x:c r="G17" s="19" t="n">
        <x:f>G10*'Assumptions'!G14</x:f>
        <x:v>837.5135574864447</x:v>
      </x:c>
      <x:c r="H17" s="19" t="n">
        <x:f>H10*'Assumptions'!H14</x:f>
        <x:v>894.2393378513672</x:v>
      </x:c>
      <x:c r="I17" s="19" t="n">
        <x:f>I10*'Assumptions'!I14</x:f>
        <x:v>954.8815247393269</x:v>
      </x:c>
    </x:row>
    <x:row r="18" ht="21" customHeight="1">
      <x:c r="C18" s="1" t="str">
        <x:v>Other cash operating / pretax income</x:v>
      </x:c>
      <x:c r="D18" s="19" t="n">
        <x:f>'SourceFacts'!D17</x:f>
        <x:v>1356.165348110006</x:v>
      </x:c>
      <x:c r="E18" s="19" t="n">
        <x:f>'SourceFacts'!E17</x:f>
        <x:v>1390.4660069200115</x:v>
      </x:c>
      <x:c r="F18" s="19" t="n">
        <x:f>'SourceFacts'!F17</x:f>
        <x:v>1909.9717462599915</x:v>
      </x:c>
      <x:c r="G18" s="19" t="n">
        <x:f>G10*'Assumptions'!G15</x:f>
        <x:v>2084.208990540644</x:v>
      </x:c>
      <x:c r="H18" s="19" t="n">
        <x:f>H10*'Assumptions'!H15</x:f>
        <x:v>2225.3749219756337</x:v>
      </x:c>
      <x:c r="I18" s="19" t="n">
        <x:f>I10*'Assumptions'!I15</x:f>
        <x:v>2376.287095263022</x:v>
      </x:c>
    </x:row>
    <x:row r="19" ht="21" customHeight="1">
      <x:c r="C19" s="34" t="str">
        <x:v>Operating earnings before financing</x:v>
      </x:c>
      <x:c r="D19" s="36" t="n">
        <x:f>D23+D22</x:f>
        <x:v>15349.41534832</x:v>
      </x:c>
      <x:c r="E19" s="36" t="n">
        <x:f>E23+E22</x:f>
        <x:v>14228.67614684</x:v>
      </x:c>
      <x:c r="F19" s="36" t="n">
        <x:f>F23+F22</x:f>
        <x:v>16487.80711948</x:v>
      </x:c>
      <x:c r="G19" s="36" t="n">
        <x:f>G12-SUM(G14:G17)+G18</x:f>
        <x:v>18011.091939477337</x:v>
      </x:c>
      <x:c r="H19" s="36" t="n">
        <x:f>H12-SUM(H14:H17)+H18</x:f>
        <x:v>19224.068635618198</x:v>
      </x:c>
      <x:c r="I19" s="36" t="n">
        <x:f>I12-SUM(I14:I17)+I18</x:f>
        <x:v>20522.60715850863</x:v>
      </x:c>
    </x:row>
    <x:row r="20" ht="21" customHeight="1">
      <x:c r="C20" s="1" t="str">
        <x:v>Depreciation and amortization</x:v>
      </x:c>
      <x:c r="D20" s="2"/>
      <x:c r="E20" s="19" t="n">
        <x:f>'SourceFacts'!E23</x:f>
        <x:v>1983.93023333</x:v>
      </x:c>
      <x:c r="F20" s="19" t="n">
        <x:f>'SourceFacts'!F23</x:f>
        <x:v>2054.40289759</x:v>
      </x:c>
      <x:c r="G20" s="19" t="n">
        <x:f>'FixedAssets'!G39</x:f>
        <x:v>2222.8193421324127</x:v>
      </x:c>
      <x:c r="H20" s="19" t="n">
        <x:f>'FixedAssets'!H39</x:f>
        <x:v>2384.5688076627866</x:v>
      </x:c>
      <x:c r="I20" s="19" t="n">
        <x:f>'FixedAssets'!I39</x:f>
        <x:v>2555.973341555409</x:v>
      </x:c>
    </x:row>
    <x:row r="21" ht="21" customHeight="1">
      <x:c r="C21" s="34" t="str">
        <x:v>EBITDA proxy (see definition below)</x:v>
      </x:c>
      <x:c r="D21" s="35"/>
      <x:c r="E21" s="36" t="n">
        <x:f>E19+E20</x:f>
        <x:v>16212.60638017</x:v>
      </x:c>
      <x:c r="F21" s="36" t="n">
        <x:f>F19+F20</x:f>
        <x:v>18542.21001707</x:v>
      </x:c>
      <x:c r="G21" s="36" t="n">
        <x:f>G19+G20</x:f>
        <x:v>20233.91128160975</x:v>
      </x:c>
      <x:c r="H21" s="36" t="n">
        <x:f>H19+H20</x:f>
        <x:v>21608.637443280983</x:v>
      </x:c>
      <x:c r="I21" s="36" t="n">
        <x:f>I19+I20</x:f>
        <x:v>23078.58050006404</x:v>
      </x:c>
    </x:row>
    <x:row r="22" ht="21" customHeight="1">
      <x:c r="C22" s="1" t="str">
        <x:v>Net finance expense less investment FV gain</x:v>
      </x:c>
      <x:c r="D22" s="19" t="n">
        <x:f>'SourceFacts'!D15</x:f>
        <x:v>-749.80028379</x:v>
      </x:c>
      <x:c r="E22" s="19" t="n">
        <x:f>'SourceFacts'!E15</x:f>
        <x:v>-114.81749316</x:v>
      </x:c>
      <x:c r="F22" s="19" t="n">
        <x:f>'SourceFacts'!F15</x:f>
        <x:v>-525.63131914</x:v>
      </x:c>
      <x:c r="G22" s="19" t="n">
        <x:f>'FundingTaxEquity'!G19-F31*'Assumptions'!G16-'FundingTaxEquity'!G29</x:f>
        <x:v>-728.4575428137254</x:v>
      </x:c>
      <x:c r="H22" s="19" t="n">
        <x:f>'FundingTaxEquity'!H19-G31*'Assumptions'!H16-'FundingTaxEquity'!H29</x:f>
        <x:v>-694.4201160625189</x:v>
      </x:c>
      <x:c r="I22" s="19" t="n">
        <x:f>'FundingTaxEquity'!I19-H31*'Assumptions'!I16-'FundingTaxEquity'!I29</x:f>
        <x:v>-702.7500834182305</x:v>
      </x:c>
    </x:row>
    <x:row r="23" ht="21" customHeight="1">
      <x:c r="C23" s="34" t="str">
        <x:v>Profit before tax</x:v>
      </x:c>
      <x:c r="D23" s="37" t="n">
        <x:f>'SourceFacts'!D18</x:f>
        <x:v>16099.215632110001</x:v>
      </x:c>
      <x:c r="E23" s="37" t="n">
        <x:f>'SourceFacts'!E18</x:f>
        <x:v>14343.49364</x:v>
      </x:c>
      <x:c r="F23" s="37" t="n">
        <x:f>'SourceFacts'!F18</x:f>
        <x:v>17013.43843862</x:v>
      </x:c>
      <x:c r="G23" s="36" t="n">
        <x:f>G19-G22</x:f>
        <x:v>18739.549482291062</x:v>
      </x:c>
      <x:c r="H23" s="36" t="n">
        <x:f>H19-H22</x:f>
        <x:v>19918.488751680718</x:v>
      </x:c>
      <x:c r="I23" s="36" t="n">
        <x:f>I19-I22</x:f>
        <x:v>21225.35724192686</x:v>
      </x:c>
    </x:row>
    <x:row r="24" ht="21" customHeight="1">
      <x:c r="C24" s="1" t="str">
        <x:v>Income tax expense</x:v>
      </x:c>
      <x:c r="D24" s="19" t="n">
        <x:f>'SourceFacts'!D19</x:f>
        <x:v>943.3138689</x:v>
      </x:c>
      <x:c r="E24" s="19" t="n">
        <x:f>'SourceFacts'!E19</x:f>
        <x:v>1202.47157949</x:v>
      </x:c>
      <x:c r="F24" s="19" t="n">
        <x:f>'SourceFacts'!F19</x:f>
        <x:v>1579.78319879</x:v>
      </x:c>
      <x:c r="G24" s="19" t="n">
        <x:f>MAX(0,G23)*'Assumptions'!G18</x:f>
        <x:v>2309.331433391296</x:v>
      </x:c>
      <x:c r="H24" s="19" t="n">
        <x:f>MAX(0,H23)*'Assumptions'!H18</x:f>
        <x:v>2454.615689847607</x:v>
      </x:c>
      <x:c r="I24" s="19" t="n">
        <x:f>MAX(0,I23)*'Assumptions'!I18</x:f>
        <x:v>2615.6650516098016</x:v>
      </x:c>
    </x:row>
    <x:row r="25" ht="21" customHeight="1">
      <x:c r="C25" s="34" t="str">
        <x:v>Consolidated net income</x:v>
      </x:c>
      <x:c r="D25" s="37" t="n">
        <x:f>'SourceFacts'!D20</x:f>
        <x:v>15155.901763209999</x:v>
      </x:c>
      <x:c r="E25" s="37" t="n">
        <x:f>'SourceFacts'!E20</x:f>
        <x:v>13141.02206051</x:v>
      </x:c>
      <x:c r="F25" s="37" t="n">
        <x:f>'SourceFacts'!F20</x:f>
        <x:v>15433.65523983</x:v>
      </x:c>
      <x:c r="G25" s="36" t="n">
        <x:f>G23-G24</x:f>
        <x:v>16430.218048899766</x:v>
      </x:c>
      <x:c r="H25" s="36" t="n">
        <x:f>H23-H24</x:f>
        <x:v>17463.87306183311</x:v>
      </x:c>
      <x:c r="I25" s="36" t="n">
        <x:f>I23-I24</x:f>
        <x:v>18609.69219031706</x:v>
      </x:c>
    </x:row>
    <x:row r="26" ht="21" customHeight="1">
      <x:c r="C26" s="1" t="str">
        <x:v>Net income attributable to parent</x:v>
      </x:c>
      <x:c r="D26" s="19" t="n">
        <x:f>'SourceFacts'!D21</x:f>
        <x:v>14107.72627626</x:v>
      </x:c>
      <x:c r="E26" s="19" t="n">
        <x:f>'SourceFacts'!E21</x:f>
        <x:v>11977.327023540001</x:v>
      </x:c>
      <x:c r="F26" s="19" t="n">
        <x:f>'SourceFacts'!F21</x:f>
        <x:v>14195.37189442</x:v>
      </x:c>
      <x:c r="G26" s="27" t="n">
        <x:f>G25-G27</x:f>
        <x:v>15111.977809937976</x:v>
      </x:c>
      <x:c r="H26" s="27" t="n">
        <x:f>H25-H27</x:f>
        <x:v>16062.699922821066</x:v>
      </x:c>
      <x:c r="I26" s="27" t="n">
        <x:f>I25-I27</x:f>
        <x:v>17116.586924948308</x:v>
      </x:c>
    </x:row>
    <x:row r="27" ht="21" customHeight="1">
      <x:c r="C27" s="1" t="str">
        <x:v>Net income attributable to NCI</x:v>
      </x:c>
      <x:c r="D27" s="19" t="n">
        <x:f>'SourceFacts'!D22</x:f>
        <x:v>1048.17548695</x:v>
      </x:c>
      <x:c r="E27" s="19" t="n">
        <x:f>'SourceFacts'!E22</x:f>
        <x:v>1163.69503697</x:v>
      </x:c>
      <x:c r="F27" s="19" t="n">
        <x:f>'SourceFacts'!F22</x:f>
        <x:v>1238.28334541</x:v>
      </x:c>
      <x:c r="G27" s="19" t="n">
        <x:f>G25*'Assumptions'!G19</x:f>
        <x:v>1318.2402389617891</x:v>
      </x:c>
      <x:c r="H27" s="19" t="n">
        <x:f>H25*'Assumptions'!H19</x:f>
        <x:v>1401.1731390120442</x:v>
      </x:c>
      <x:c r="I27" s="19" t="n">
        <x:f>I25*'Assumptions'!I19</x:f>
        <x:v>1493.1052653687493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49427.96735578</x:v>
      </x:c>
      <x:c r="E31" s="19" t="n">
        <x:f>'SourceFacts'!E29</x:f>
        <x:v>36053.042380290004</x:v>
      </x:c>
      <x:c r="F31" s="19" t="n">
        <x:f>'SourceFacts'!F29</x:f>
        <x:v>46204.33869443</x:v>
      </x:c>
      <x:c r="G31" s="27" t="n">
        <x:f>G81</x:f>
        <x:v>42596.295489979384</x:v>
      </x:c>
      <x:c r="H31" s="27" t="n">
        <x:f>H81</x:f>
        <x:v>41474.94474195968</x:v>
      </x:c>
      <x:c r="I31" s="27" t="n">
        <x:f>I81</x:f>
        <x:v>40614.48710312437</x:v>
      </x:c>
    </x:row>
    <x:row r="32" ht="21" customHeight="1">
      <x:c r="C32" s="1" t="str">
        <x:v>Monetary balances outside cash equivalents</x:v>
      </x:c>
      <x:c r="D32" s="19" t="n">
        <x:f>'SourceFacts'!D32</x:f>
        <x:v>210.1913067600035</x:v>
      </x:c>
      <x:c r="E32" s="19" t="n">
        <x:f>'SourceFacts'!E32</x:f>
        <x:v>218.4459567399972</x:v>
      </x:c>
      <x:c r="F32" s="19" t="n">
        <x:f>'SourceFacts'!F32</x:f>
        <x:v>303.98996401000477</x:v>
      </x:c>
      <x:c r="G32" s="27" t="n">
        <x:f>F32</x:f>
        <x:v>303.98996401000477</x:v>
      </x:c>
      <x:c r="H32" s="27" t="n">
        <x:f>G32</x:f>
        <x:v>303.98996401000477</x:v>
      </x:c>
      <x:c r="I32" s="27" t="n">
        <x:f>H32</x:f>
        <x:v>303.98996401000477</x:v>
      </x:c>
    </x:row>
    <x:row r="33" ht="21" customHeight="1">
      <x:c r="C33" s="1" t="str">
        <x:v>Receivables, bills and contract assets</x:v>
      </x:c>
      <x:c r="D33" s="19" t="n">
        <x:f>'SourceFacts'!D33</x:f>
        <x:v>41190.177135000005</x:v>
      </x:c>
      <x:c r="E33" s="19" t="n">
        <x:f>'SourceFacts'!E33</x:f>
        <x:v>43910.19590761999</x:v>
      </x:c>
      <x:c r="F33" s="19" t="n">
        <x:f>'SourceFacts'!F33</x:f>
        <x:v>36268.21633077</x:v>
      </x:c>
      <x:c r="G33" s="19" t="n">
        <x:f>'WorkingCapital'!G11</x:f>
        <x:v>39576.78572758013</x:v>
      </x:c>
      <x:c r="H33" s="19" t="n">
        <x:f>'WorkingCapital'!H11</x:f>
        <x:v>42257.36807119031</x:v>
      </x:c>
      <x:c r="I33" s="19" t="n">
        <x:f>'WorkingCapital'!I11</x:f>
        <x:v>45123.020591156215</x:v>
      </x:c>
    </x:row>
    <x:row r="34" ht="21" customHeight="1">
      <x:c r="C34" s="1" t="str">
        <x:v>Inventory</x:v>
      </x:c>
      <x:c r="D34" s="19" t="n">
        <x:f>'SourceFacts'!D34</x:f>
        <x:v>19211.44429682</x:v>
      </x:c>
      <x:c r="E34" s="19" t="n">
        <x:f>'SourceFacts'!E34</x:f>
        <x:v>19110.71195811</x:v>
      </x:c>
      <x:c r="F34" s="19" t="n">
        <x:f>'SourceFacts'!F34</x:f>
        <x:v>20472.193858799998</x:v>
      </x:c>
      <x:c r="G34" s="19" t="n">
        <x:f>'WorkingCapital'!G17</x:f>
        <x:v>22333.47983014097</x:v>
      </x:c>
      <x:c r="H34" s="19" t="n">
        <x:f>'WorkingCapital'!H17</x:f>
        <x:v>23848.073199440805</x:v>
      </x:c>
      <x:c r="I34" s="19" t="n">
        <x:f>'WorkingCapital'!I17</x:f>
        <x:v>25466.616513851077</x:v>
      </x:c>
    </x:row>
    <x:row r="35" ht="21" customHeight="1">
      <x:c r="C35" s="1" t="str">
        <x:v>PPE / construction / investment property</x:v>
      </x:c>
      <x:c r="D35" s="19" t="n">
        <x:f>'SourceFacts'!D35</x:f>
        <x:v>15815.96341663</x:v>
      </x:c>
      <x:c r="E35" s="19" t="n">
        <x:f>'SourceFacts'!E35</x:f>
        <x:v>19763.2256777</x:v>
      </x:c>
      <x:c r="F35" s="19" t="n">
        <x:f>'SourceFacts'!F35</x:f>
        <x:v>22091.02534762</x:v>
      </x:c>
      <x:c r="G35" s="19" t="n">
        <x:f>'FixedAssets'!G14</x:f>
        <x:v>23647.650942497232</x:v>
      </x:c>
      <x:c r="H35" s="19" t="n">
        <x:f>'FixedAssets'!H14</x:f>
        <x:v>25304.648438264987</x:v>
      </x:c>
      <x:c r="I35" s="19" t="n">
        <x:f>'FixedAssets'!I14</x:f>
        <x:v>27069.542617830568</x:v>
      </x:c>
    </x:row>
    <x:row r="36" ht="21" customHeight="1">
      <x:c r="C36" s="1" t="str">
        <x:v>Intangibles and deferred costs</x:v>
      </x:c>
      <x:c r="D36" s="19" t="n">
        <x:f>'SourceFacts'!D36</x:f>
        <x:v>1987.83808538</x:v>
      </x:c>
      <x:c r="E36" s="19" t="n">
        <x:f>'SourceFacts'!E36</x:f>
        <x:v>1991.1288949</x:v>
      </x:c>
      <x:c r="F36" s="19" t="n">
        <x:f>'SourceFacts'!F36</x:f>
        <x:v>1978.1037322799998</x:v>
      </x:c>
      <x:c r="G36" s="19" t="n">
        <x:f>'FixedAssets'!G24</x:f>
        <x:v>2190.9954203217467</x:v>
      </x:c>
      <x:c r="H36" s="19" t="n">
        <x:f>'FixedAssets'!H24</x:f>
        <x:v>2411.6925966587437</x:v>
      </x:c>
      <x:c r="I36" s="19" t="n">
        <x:f>'FixedAssets'!I24</x:f>
        <x:v>2641.311867169567</x:v>
      </x:c>
    </x:row>
    <x:row r="37" ht="21" customHeight="1">
      <x:c r="C37" s="1" t="str">
        <x:v>Right-of-use assets</x:v>
      </x:c>
      <x:c r="D37" s="19" t="n">
        <x:f>'SourceFacts'!D37</x:f>
        <x:v>521.06139666</x:v>
      </x:c>
      <x:c r="E37" s="19" t="n">
        <x:f>'SourceFacts'!E37</x:f>
        <x:v>530.13802379</x:v>
      </x:c>
      <x:c r="F37" s="19" t="n">
        <x:f>'SourceFacts'!F37</x:f>
        <x:v>442.49584187</x:v>
      </x:c>
      <x:c r="G37" s="19" t="n">
        <x:f>'FixedAssets'!G34</x:f>
        <x:v>469.0016007778709</x:v>
      </x:c>
      <x:c r="H37" s="19" t="n">
        <x:f>'FixedAssets'!H34</x:f>
        <x:v>493.2858216164811</x:v>
      </x:c>
      <x:c r="I37" s="19" t="n">
        <x:f>'FixedAssets'!I34</x:f>
        <x:v>515.534699069421</x:v>
      </x:c>
    </x:row>
    <x:row r="38" ht="21" customHeight="1">
      <x:c r="C38" s="1" t="str">
        <x:v>Financial investments / finance-company loans</x:v>
      </x:c>
      <x:c r="D38" s="19" t="n">
        <x:f>'SourceFacts'!D38</x:f>
        <x:v>2703.0482117399997</x:v>
      </x:c>
      <x:c r="E38" s="19" t="n">
        <x:f>'SourceFacts'!E38</x:f>
        <x:v>2920.3270453</x:v>
      </x:c>
      <x:c r="F38" s="19" t="n">
        <x:f>'SourceFacts'!F38</x:f>
        <x:v>2867.81135418</x:v>
      </x:c>
      <x:c r="G38" s="19" t="n">
        <x:f>'FundingTaxEquity'!G31</x:f>
        <x:v>2867.81135418</x:v>
      </x:c>
      <x:c r="H38" s="19" t="n">
        <x:f>'FundingTaxEquity'!H31</x:f>
        <x:v>2867.81135418</x:v>
      </x:c>
      <x:c r="I38" s="19" t="n">
        <x:f>'FundingTaxEquity'!I31</x:f>
        <x:v>2867.81135418</x:v>
      </x:c>
    </x:row>
    <x:row r="39" ht="21" customHeight="1">
      <x:c r="C39" s="1" t="str">
        <x:v>Other assets (named in SourceBS)</x:v>
      </x:c>
      <x:c r="D39" s="19" t="n">
        <x:f>'SourceFacts'!D39</x:f>
        <x:v>7790.431674779999</x:v>
      </x:c>
      <x:c r="E39" s="19" t="n">
        <x:f>'SourceFacts'!E39</x:f>
        <x:v>7518.98431169</x:v>
      </x:c>
      <x:c r="F39" s="19" t="n">
        <x:f>'SourceFacts'!F39</x:f>
        <x:v>7421.48021066</x:v>
      </x:c>
      <x:c r="G39" s="19" t="n">
        <x:f>'WorkingCapital'!G41</x:f>
        <x:v>7421.48021066</x:v>
      </x:c>
      <x:c r="H39" s="19" t="n">
        <x:f>'WorkingCapital'!H41</x:f>
        <x:v>7421.48021066</x:v>
      </x:c>
      <x:c r="I39" s="19" t="n">
        <x:f>'WorkingCapital'!I41</x:f>
        <x:v>7421.48021066</x:v>
      </x:c>
    </x:row>
    <x:row r="40" ht="21" customHeight="1">
      <x:c r="C40" s="34" t="str">
        <x:v>Total assets</x:v>
      </x:c>
      <x:c r="D40" s="37" t="n">
        <x:f>'SourceFacts'!D40</x:f>
        <x:v>138858.12287954998</x:v>
      </x:c>
      <x:c r="E40" s="37" t="n">
        <x:f>'SourceFacts'!E40</x:f>
        <x:v>132016.20015614</x:v>
      </x:c>
      <x:c r="F40" s="37" t="n">
        <x:f>'SourceFacts'!F40</x:f>
        <x:v>138049.65533462</x:v>
      </x:c>
      <x:c r="G40" s="36" t="n">
        <x:f>SUM(G31:G39)</x:f>
        <x:v>141407.49054014735</x:v>
      </x:c>
      <x:c r="H40" s="36" t="n">
        <x:f>SUM(H31:H39)</x:f>
        <x:v>146383.29439798102</x:v>
      </x:c>
      <x:c r="I40" s="36" t="n">
        <x:f>SUM(I31:I39)</x:f>
        <x:v>152023.79492105122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20327.17316767</x:v>
      </x:c>
      <x:c r="E42" s="19" t="n">
        <x:f>'SourceFacts'!E41</x:f>
        <x:v>21382.431854249997</x:v>
      </x:c>
      <x:c r="F42" s="19" t="n">
        <x:f>'SourceFacts'!F41</x:f>
        <x:v>20627.72811082</x:v>
      </x:c>
      <x:c r="G42" s="19" t="n">
        <x:f>'WorkingCapital'!G23</x:f>
        <x:v>22503.154907679942</x:v>
      </x:c>
      <x:c r="H42" s="19" t="n">
        <x:f>'WorkingCapital'!H23</x:f>
        <x:v>24029.25516033743</x:v>
      </x:c>
      <x:c r="I42" s="19" t="n">
        <x:f>'WorkingCapital'!I23</x:f>
        <x:v>25660.09510135768</x:v>
      </x:c>
    </x:row>
    <x:row r="43" ht="21" customHeight="1">
      <x:c r="C43" s="1" t="str">
        <x:v>Contract liabilities and customer advances</x:v>
      </x:c>
      <x:c r="D43" s="19" t="n">
        <x:f>'SourceFacts'!D42</x:f>
        <x:v>2977.9907754</x:v>
      </x:c>
      <x:c r="E43" s="19" t="n">
        <x:f>'SourceFacts'!E42</x:f>
        <x:v>3353.9430542399996</x:v>
      </x:c>
      <x:c r="F43" s="19" t="n">
        <x:f>'SourceFacts'!F42</x:f>
        <x:v>4200.49087307</x:v>
      </x:c>
      <x:c r="G43" s="19" t="n">
        <x:f>'WorkingCapital'!G29</x:f>
        <x:v>4583.680810713249</x:v>
      </x:c>
      <x:c r="H43" s="19" t="n">
        <x:f>'WorkingCapital'!H29</x:f>
        <x:v>4894.13891447432</x:v>
      </x:c>
      <x:c r="I43" s="19" t="n">
        <x:f>'WorkingCapital'!I29</x:f>
        <x:v>5226.031366689967</x:v>
      </x:c>
    </x:row>
    <x:row r="44" ht="21" customHeight="1">
      <x:c r="C44" s="1" t="str">
        <x:v>Borrowings and lease liabilities</x:v>
      </x:c>
      <x:c r="D44" s="19" t="n">
        <x:f>'SourceFacts'!D43</x:f>
        <x:v>17217.74106816</x:v>
      </x:c>
      <x:c r="E44" s="19" t="n">
        <x:f>'SourceFacts'!E43</x:f>
        <x:v>7293.54425121</x:v>
      </x:c>
      <x:c r="F44" s="19" t="n">
        <x:f>'SourceFacts'!F43</x:f>
        <x:v>8135.093147099999</x:v>
      </x:c>
      <x:c r="G44" s="19" t="n">
        <x:f>'FundingTaxEquity'!G18</x:f>
        <x:v>6574.448893960499</x:v>
      </x:c>
      <x:c r="H44" s="19" t="n">
        <x:f>'FundingTaxEquity'!H18</x:f>
        <x:v>5325.933491448899</x:v>
      </x:c>
      <x:c r="I44" s="19" t="n">
        <x:f>'FundingTaxEquity'!I18</x:f>
        <x:v>4327.121169439619</x:v>
      </x:c>
    </x:row>
    <x:row r="45" ht="21" customHeight="1">
      <x:c r="C45" s="1" t="str">
        <x:v>Taxes payable</x:v>
      </x:c>
      <x:c r="D45" s="19" t="n">
        <x:f>'SourceFacts'!D44</x:f>
        <x:v>1622.5501878599998</x:v>
      </x:c>
      <x:c r="E45" s="19" t="n">
        <x:f>'SourceFacts'!E44</x:f>
        <x:v>1535.93609602</x:v>
      </x:c>
      <x:c r="F45" s="19" t="n">
        <x:f>'SourceFacts'!F44</x:f>
        <x:v>1794.09150307</x:v>
      </x:c>
      <x:c r="G45" s="19" t="n">
        <x:f>'FundingTaxEquity'!G38</x:f>
        <x:v>346.39971500869433</x:v>
      </x:c>
      <x:c r="H45" s="19" t="n">
        <x:f>'FundingTaxEquity'!H38</x:f>
        <x:v>368.1923534771413</x:v>
      </x:c>
      <x:c r="I45" s="19" t="n">
        <x:f>'FundingTaxEquity'!I38</x:f>
        <x:v>392.3497577414705</x:v>
      </x:c>
    </x:row>
    <x:row r="46" ht="21" customHeight="1">
      <x:c r="C46" s="1" t="str">
        <x:v>Finance-company customer deposits</x:v>
      </x:c>
      <x:c r="D46" s="19" t="n">
        <x:f>'SourceFacts'!D45</x:f>
        <x:v>0</x:v>
      </x:c>
      <x:c r="E46" s="19" t="n">
        <x:f>'SourceFacts'!E45</x:f>
        <x:v>0</x:v>
      </x:c>
      <x:c r="F46" s="19" t="n">
        <x:f>'SourceFacts'!F45</x:f>
        <x:v>0</x:v>
      </x:c>
      <x:c r="G46" s="19" t="n">
        <x:f>'WorkingCapital'!G35</x:f>
        <x:v>0</x:v>
      </x:c>
      <x:c r="H46" s="19" t="n">
        <x:f>'WorkingCapital'!H35</x:f>
        <x:v>0</x:v>
      </x:c>
      <x:c r="I46" s="19" t="n">
        <x:f>'WorkingCapital'!I35</x:f>
        <x:v>0</x:v>
      </x:c>
    </x:row>
    <x:row r="47" ht="21" customHeight="1">
      <x:c r="C47" s="1" t="str">
        <x:v>Other liabilities (named in SourceBS)</x:v>
      </x:c>
      <x:c r="D47" s="19" t="n">
        <x:f>'SourceFacts'!D46</x:f>
        <x:v>14549.055802550003</x:v>
      </x:c>
      <x:c r="E47" s="19" t="n">
        <x:f>'SourceFacts'!E46</x:f>
        <x:v>10950.050152270001</x:v>
      </x:c>
      <x:c r="F47" s="19" t="n">
        <x:f>'SourceFacts'!F46</x:f>
        <x:v>12075.38834597</x:v>
      </x:c>
      <x:c r="G47" s="19" t="n">
        <x:f>'WorkingCapital'!G47</x:f>
        <x:v>12075.38834597</x:v>
      </x:c>
      <x:c r="H47" s="19" t="n">
        <x:f>'WorkingCapital'!H47</x:f>
        <x:v>12075.38834597</x:v>
      </x:c>
      <x:c r="I47" s="19" t="n">
        <x:f>'WorkingCapital'!I47</x:f>
        <x:v>12075.38834597</x:v>
      </x:c>
    </x:row>
    <x:row r="48" ht="21" customHeight="1">
      <x:c r="C48" s="34" t="str">
        <x:v>Total liabilities</x:v>
      </x:c>
      <x:c r="D48" s="37" t="n">
        <x:f>'SourceFacts'!D47</x:f>
        <x:v>56694.51100164</x:v>
      </x:c>
      <x:c r="E48" s="37" t="n">
        <x:f>'SourceFacts'!E47</x:f>
        <x:v>44515.905407989994</x:v>
      </x:c>
      <x:c r="F48" s="37" t="n">
        <x:f>'SourceFacts'!F47</x:f>
        <x:v>46832.79198003</x:v>
      </x:c>
      <x:c r="G48" s="36" t="n">
        <x:f>SUM(G42:G47)</x:f>
        <x:v>46083.07267333238</x:v>
      </x:c>
      <x:c r="H48" s="36" t="n">
        <x:f>SUM(H42:H47)</x:f>
        <x:v>46692.90826570779</x:v>
      </x:c>
      <x:c r="I48" s="36" t="n">
        <x:f>SUM(I42:I47)</x:f>
        <x:v>47680.98574119873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57136.62024401</x:v>
      </x:c>
      <x:c r="E50" s="19" t="n">
        <x:f>'SourceFacts'!E48</x:f>
        <x:v>60959.912942150004</x:v>
      </x:c>
      <x:c r="F50" s="19" t="n">
        <x:f>'SourceFacts'!F48</x:f>
        <x:v>65059.09472757</x:v>
      </x:c>
      <x:c r="G50" s="19" t="n">
        <x:f>'FundingTaxEquity'!G48</x:f>
        <x:v>68837.08918005449</x:v>
      </x:c>
      <x:c r="H50" s="19" t="n">
        <x:f>'FundingTaxEquity'!H48</x:f>
        <x:v>72852.76416075975</x:v>
      </x:c>
      <x:c r="I50" s="19" t="n">
        <x:f>'FundingTaxEquity'!I48</x:f>
        <x:v>77131.91089199683</x:v>
      </x:c>
    </x:row>
    <x:row r="51" ht="21" customHeight="1">
      <x:c r="C51" s="1" t="str">
        <x:v>Share capital and other reserves</x:v>
      </x:c>
      <x:c r="D51" s="27" t="n">
        <x:f>D53-D50-D52</x:f>
        <x:v>19217.645296130002</x:v>
      </x:c>
      <x:c r="E51" s="27" t="n">
        <x:f>E53-E50-E52</x:f>
        <x:v>19708.748120729982</x:v>
      </x:c>
      <x:c r="F51" s="27" t="n">
        <x:f>F53-F50-F52</x:f>
        <x:v>18289.091158049992</x:v>
      </x:c>
      <x:c r="G51" s="19" t="n">
        <x:f>'FundingTaxEquity'!G61</x:f>
        <x:v>18289.091158049992</x:v>
      </x:c>
      <x:c r="H51" s="19" t="n">
        <x:f>'FundingTaxEquity'!H61</x:f>
        <x:v>18289.091158049992</x:v>
      </x:c>
      <x:c r="I51" s="19" t="n">
        <x:f>'FundingTaxEquity'!I61</x:f>
        <x:v>18289.091158049992</x:v>
      </x:c>
    </x:row>
    <x:row r="52" ht="21" customHeight="1">
      <x:c r="C52" s="1" t="str">
        <x:v>Non-controlling interests</x:v>
      </x:c>
      <x:c r="D52" s="19" t="n">
        <x:f>'SourceFacts'!D49</x:f>
        <x:v>5809.346337770001</x:v>
      </x:c>
      <x:c r="E52" s="19" t="n">
        <x:f>'SourceFacts'!E49</x:f>
        <x:v>6831.633685270001</x:v>
      </x:c>
      <x:c r="F52" s="19" t="n">
        <x:f>'SourceFacts'!F49</x:f>
        <x:v>7868.6774689700005</x:v>
      </x:c>
      <x:c r="G52" s="19" t="n">
        <x:f>'FundingTaxEquity'!G55</x:f>
        <x:v>8198.237528710448</x:v>
      </x:c>
      <x:c r="H52" s="19" t="n">
        <x:f>'FundingTaxEquity'!H55</x:f>
        <x:v>8548.530813463458</x:v>
      </x:c>
      <x:c r="I52" s="19" t="n">
        <x:f>'FundingTaxEquity'!I55</x:f>
        <x:v>8921.807129805646</x:v>
      </x:c>
    </x:row>
    <x:row r="53" ht="21" customHeight="1">
      <x:c r="C53" s="34" t="str">
        <x:v>Total equity</x:v>
      </x:c>
      <x:c r="D53" s="37" t="n">
        <x:f>'SourceFacts'!D50</x:f>
        <x:v>82163.61187791</x:v>
      </x:c>
      <x:c r="E53" s="37" t="n">
        <x:f>'SourceFacts'!E50</x:f>
        <x:v>87500.29474814999</x:v>
      </x:c>
      <x:c r="F53" s="37" t="n">
        <x:f>'SourceFacts'!F50</x:f>
        <x:v>91216.86335459</x:v>
      </x:c>
      <x:c r="G53" s="36" t="n">
        <x:f>SUM(G50:G52)</x:f>
        <x:v>95324.41786681494</x:v>
      </x:c>
      <x:c r="H53" s="36" t="n">
        <x:f>SUM(H50:H52)</x:f>
        <x:v>99690.3861322732</x:v>
      </x:c>
      <x:c r="I53" s="36" t="n">
        <x:f>SUM(I50:I52)</x:f>
        <x:v>104342.80917985247</x:v>
      </x:c>
    </x:row>
    <x:row r="54" ht="21" customHeight="1">
      <x:c r="C54" s="34" t="str">
        <x:v>Liabilities and equity</x:v>
      </x:c>
      <x:c r="D54" s="36" t="n">
        <x:f>D48+D53</x:f>
        <x:v>138858.12287955</x:v>
      </x:c>
      <x:c r="E54" s="36" t="n">
        <x:f>E48+E53</x:f>
        <x:v>132016.20015613997</x:v>
      </x:c>
      <x:c r="F54" s="36" t="n">
        <x:f>F48+F53</x:f>
        <x:v>138049.65533461998</x:v>
      </x:c>
      <x:c r="G54" s="36" t="n">
        <x:f>G48+G53</x:f>
        <x:v>141407.49054014732</x:v>
      </x:c>
      <x:c r="H54" s="36" t="n">
        <x:f>H48+H53</x:f>
        <x:v>146383.294397981</x:v>
      </x:c>
      <x:c r="I54" s="36" t="n">
        <x:f>I48+I53</x:f>
        <x:v>152023.7949210512</x:v>
      </x:c>
    </x:row>
    <x:row r="55" ht="21" customHeight="1">
      <x:c r="C55" s="34" t="str">
        <x:v>Balance sheet difference</x:v>
      </x:c>
      <x:c r="D55" s="36" t="n">
        <x:f>D40-D54</x:f>
        <x:v>-2.9103830456733704e-11</x:v>
      </x:c>
      <x:c r="E55" s="36" t="n">
        <x:f>E40-E54</x:f>
        <x:v>2.9103830456733704e-11</x:v>
      </x:c>
      <x:c r="F55" s="36" t="n">
        <x:f>F40-F54</x:f>
        <x:v>2.9103830456733704e-11</x:v>
      </x:c>
      <x:c r="G55" s="36" t="n">
        <x:f>G40-G54</x:f>
        <x:v>2.9103830456733704e-11</x:v>
      </x:c>
      <x:c r="H55" s="36" t="n">
        <x:f>H40-H54</x:f>
        <x:v>2.9103830456733704e-11</x:v>
      </x:c>
      <x:c r="I55" s="36" t="n">
        <x:f>I40-I54</x:f>
        <x:v>2.9103830456733704e-11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15155.901763209999</x:v>
      </x:c>
      <x:c r="E59" s="19" t="n">
        <x:f>'SourceFacts'!E20</x:f>
        <x:v>13141.02206051</x:v>
      </x:c>
      <x:c r="F59" s="19" t="n">
        <x:f>'SourceFacts'!F20</x:f>
        <x:v>15433.65523983</x:v>
      </x:c>
      <x:c r="G59" s="27" t="n">
        <x:f>G25</x:f>
        <x:v>16430.218048899766</x:v>
      </x:c>
      <x:c r="H59" s="27" t="n">
        <x:f>H25</x:f>
        <x:v>17463.87306183311</x:v>
      </x:c>
      <x:c r="I59" s="27" t="n">
        <x:f>I25</x:f>
        <x:v>18609.69219031706</x:v>
      </x:c>
    </x:row>
    <x:row r="60" ht="21" customHeight="1">
      <x:c r="C60" s="1" t="str">
        <x:v>Add depreciation and amortization</x:v>
      </x:c>
      <x:c r="D60" s="2"/>
      <x:c r="E60" s="19" t="n">
        <x:f>'SourceFacts'!E23</x:f>
        <x:v>1983.93023333</x:v>
      </x:c>
      <x:c r="F60" s="19" t="n">
        <x:f>'SourceFacts'!F23</x:f>
        <x:v>2054.40289759</x:v>
      </x:c>
      <x:c r="G60" s="27" t="n">
        <x:f>G20</x:f>
        <x:v>2222.8193421324127</x:v>
      </x:c>
      <x:c r="H60" s="27" t="n">
        <x:f>H20</x:f>
        <x:v>2384.5688076627866</x:v>
      </x:c>
      <x:c r="I60" s="27" t="n">
        <x:f>I20</x:f>
        <x:v>2555.973341555409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-1447.6917880613055</x:v>
      </x:c>
      <x:c r="H63" s="19" t="n">
        <x:f>H24-'FundingTaxEquity'!H37</x:f>
        <x:v>21.792638468446967</x:v>
      </x:c>
      <x:c r="I63" s="19" t="n">
        <x:f>I24-'FundingTaxEquity'!I37</x:f>
        <x:v>24.157404264329216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-2911.2386336479058</x:v>
      </x:c>
      <x:c r="H64" s="19" t="n">
        <x:f>-'WorkingCapital'!H12-'WorkingCapital'!H18+'WorkingCapital'!H24+'WorkingCapital'!H30+'WorkingCapital'!H36-'WorkingCapital'!H42+'WorkingCapital'!H48</x:f>
        <x:v>-2358.617356491456</x:v>
      </x:c>
      <x:c r="I64" s="19" t="n">
        <x:f>-'WorkingCapital'!I12-'WorkingCapital'!I18+'WorkingCapital'!I24+'WorkingCapital'!I30+'WorkingCapital'!I36-'WorkingCapital'!I42+'WorkingCapital'!I48</x:f>
        <x:v>-2521.4634411402812</x:v>
      </x:c>
    </x:row>
    <x:row r="65" ht="21" customHeight="1">
      <x:c r="C65" s="34" t="str">
        <x:v>Net operating cash flow</x:v>
      </x:c>
      <x:c r="D65" s="37" t="n">
        <x:f>'SourceFacts'!D24</x:f>
        <x:v>16622.20972105</x:v>
      </x:c>
      <x:c r="E65" s="37" t="n">
        <x:f>'SourceFacts'!E24</x:f>
        <x:v>13264.09202273</x:v>
      </x:c>
      <x:c r="F65" s="37" t="n">
        <x:f>'SourceFacts'!F24</x:f>
        <x:v>25339.4110831</x:v>
      </x:c>
      <x:c r="G65" s="36" t="n">
        <x:f>SUM(G59:G64)</x:f>
        <x:v>14294.10696932297</x:v>
      </x:c>
      <x:c r="H65" s="36" t="n">
        <x:f>SUM(H59:H64)</x:f>
        <x:v>17511.617151472885</x:v>
      </x:c>
      <x:c r="I65" s="36" t="n">
        <x:f>SUM(I59:I64)</x:f>
        <x:v>18668.359494996515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-4047.81602405</x:v>
      </x:c>
      <x:c r="E67" s="19" t="n">
        <x:f>-'SourceFacts'!E30</x:f>
        <x:v>-4665.74220372</x:v>
      </x:c>
      <x:c r="F67" s="19" t="n">
        <x:f>-'SourceFacts'!F30</x:f>
        <x:v>-3622.04666467</x:v>
      </x:c>
      <x:c r="G67" s="19" t="n">
        <x:f>-'FixedAssets'!G40</x:f>
        <x:v>-3952.4680076787627</x:v>
      </x:c>
      <x:c r="H67" s="19" t="n">
        <x:f>-'FixedAssets'!H40</x:f>
        <x:v>-4220.1733243256485</x:v>
      </x:c>
      <x:c r="I67" s="19" t="n">
        <x:f>-'FixedAssets'!I40</x:f>
        <x:v>-4506.361292804256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-3987.2999900100003</x:v>
      </x:c>
      <x:c r="E69" s="37" t="n">
        <x:f>'SourceFacts'!E25</x:f>
        <x:v>-4547.540997100001</x:v>
      </x:c>
      <x:c r="F69" s="37" t="n">
        <x:f>'SourceFacts'!F25</x:f>
        <x:v>-3417.31581386</x:v>
      </x:c>
      <x:c r="G69" s="36" t="n">
        <x:f>SUM(G67:G68)</x:f>
        <x:v>-3952.4680076787627</x:v>
      </x:c>
      <x:c r="H69" s="36" t="n">
        <x:f>SUM(H67:H68)</x:f>
        <x:v>-4220.1733243256485</x:v>
      </x:c>
      <x:c r="I69" s="36" t="n">
        <x:f>SUM(I67:I68)</x:f>
        <x:v>-4506.361292804256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-1627.01862942</x:v>
      </x:c>
      <x:c r="H72" s="19" t="n">
        <x:f>-'FundingTaxEquity'!H16</x:f>
        <x:v>-1314.8897787920998</x:v>
      </x:c>
      <x:c r="I72" s="19" t="n">
        <x:f>-'FundingTaxEquity'!I16</x:f>
        <x:v>-1065.1866982897798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-12322.663536674823</x:v>
      </x:c>
      <x:c r="H74" s="19" t="n">
        <x:f>-'FundingTaxEquity'!H44-'FundingTaxEquity'!H54</x:f>
        <x:v>-13097.904796374834</x:v>
      </x:c>
      <x:c r="I74" s="19" t="n">
        <x:f>-'FundingTaxEquity'!I44-'FundingTaxEquity'!I54</x:f>
        <x:v>-13957.269142737792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-3145.43149812</x:v>
      </x:c>
      <x:c r="E76" s="37" t="n">
        <x:f>'SourceFacts'!E26</x:f>
        <x:v>-22078.98878563</x:v>
      </x:c>
      <x:c r="F76" s="37" t="n">
        <x:f>'SourceFacts'!F26</x:f>
        <x:v>-11762.551780920001</x:v>
      </x:c>
      <x:c r="G76" s="36" t="n">
        <x:f>SUM(G71:G75)</x:f>
        <x:v>-13949.682166094823</x:v>
      </x:c>
      <x:c r="H76" s="36" t="n">
        <x:f>SUM(H71:H75)</x:f>
        <x:v>-14412.794575166934</x:v>
      </x:c>
      <x:c r="I76" s="36" t="n">
        <x:f>SUM(I71:I75)</x:f>
        <x:v>-15022.455841027571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113.36501534</x:v>
      </x:c>
      <x:c r="E78" s="19" t="n">
        <x:f>'SourceFacts'!E27</x:f>
        <x:v>-12.48721549</x:v>
      </x:c>
      <x:c r="F78" s="19" t="n">
        <x:f>'SourceFacts'!F27</x:f>
        <x:v>-8.24717418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9602.843248259998</x:v>
      </x:c>
      <x:c r="E79" s="36" t="n">
        <x:f>E65+E69+E76+E78</x:f>
        <x:v>-13374.924975490003</x:v>
      </x:c>
      <x:c r="F79" s="36" t="n">
        <x:f>F65+F69+F76+F78</x:f>
        <x:v>10151.296314139998</x:v>
      </x:c>
      <x:c r="G79" s="36" t="n">
        <x:f>G65+G69+G76+G78</x:f>
        <x:v>-3608.043204450616</x:v>
      </x:c>
      <x:c r="H79" s="36" t="n">
        <x:f>H65+H69+H76+H78</x:f>
        <x:v>-1121.3507480196986</x:v>
      </x:c>
      <x:c r="I79" s="36" t="n">
        <x:f>I65+I69+I76+I78</x:f>
        <x:v>-860.4576388353125</x:v>
      </x:c>
    </x:row>
    <x:row r="80" ht="21" customHeight="1">
      <x:c r="C80" s="1" t="str">
        <x:v>Opening cash</x:v>
      </x:c>
      <x:c r="D80" s="19" t="n">
        <x:f>'SourceFacts'!D28</x:f>
        <x:v>39825.124107519994</x:v>
      </x:c>
      <x:c r="E80" s="19" t="n">
        <x:f>'SourceFacts'!E28</x:f>
        <x:v>49427.96735578</x:v>
      </x:c>
      <x:c r="F80" s="19" t="n">
        <x:f>'SourceFacts'!F28</x:f>
        <x:v>36053.042380290004</x:v>
      </x:c>
      <x:c r="G80" s="27" t="n">
        <x:f>F31</x:f>
        <x:v>46204.33869443</x:v>
      </x:c>
      <x:c r="H80" s="27" t="n">
        <x:f>G31</x:f>
        <x:v>42596.295489979384</x:v>
      </x:c>
      <x:c r="I80" s="27" t="n">
        <x:f>H31</x:f>
        <x:v>41474.94474195968</x:v>
      </x:c>
    </x:row>
    <x:row r="81" ht="21" customHeight="1">
      <x:c r="C81" s="34" t="str">
        <x:v>Closing cash and cash equivalents</x:v>
      </x:c>
      <x:c r="D81" s="37" t="n">
        <x:f>'SourceFacts'!D29</x:f>
        <x:v>49427.96735578</x:v>
      </x:c>
      <x:c r="E81" s="37" t="n">
        <x:f>'SourceFacts'!E29</x:f>
        <x:v>36053.042380290004</x:v>
      </x:c>
      <x:c r="F81" s="37" t="n">
        <x:f>'SourceFacts'!F29</x:f>
        <x:v>46204.33869443</x:v>
      </x:c>
      <x:c r="G81" s="36" t="n">
        <x:f>G80+G79</x:f>
        <x:v>42596.295489979384</x:v>
      </x:c>
      <x:c r="H81" s="36" t="n">
        <x:f>H80+H79</x:f>
        <x:v>41474.94474195968</x:v>
      </x:c>
      <x:c r="I81" s="36" t="n">
        <x:f>I80+I79</x:f>
        <x:v>40614.48710312437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0.4433387842228226</x:v>
      </x:c>
      <x:c r="E84" s="38" t="n">
        <x:f>E12/E10</x:f>
        <x:v>0.43830949826208343</x:v>
      </x:c>
      <x:c r="F84" s="38" t="n">
        <x:f>F12/F10</x:f>
        <x:v>0.4587760310222201</x:v>
      </x:c>
      <x:c r="G84" s="38" t="n">
        <x:f>G12/G10</x:f>
        <x:v>0.45892843491615826</x:v>
      </x:c>
      <x:c r="H84" s="38" t="n">
        <x:f>H12/H10</x:f>
        <x:v>0.4588848595442283</x:v>
      </x:c>
      <x:c r="I84" s="38" t="n">
        <x:f>I12/I10</x:f>
        <x:v>0.45885715779576824</x:v>
      </x:c>
    </x:row>
    <x:row r="85" ht="21" customHeight="1">
      <x:c r="C85" s="1" t="str">
        <x:v>EBITDA proxy margin</x:v>
      </x:c>
      <x:c r="D85" s="26"/>
      <x:c r="E85" s="38" t="n">
        <x:f>E21/E10</x:f>
        <x:v>0.1752798998593109</x:v>
      </x:c>
      <x:c r="F85" s="38" t="n">
        <x:f>F21/F10</x:f>
        <x:v>0.20043943110536613</x:v>
      </x:c>
      <x:c r="G85" s="38" t="n">
        <x:f>G21/G10</x:f>
        <x:v>0.2004412881166384</x:v>
      </x:c>
      <x:c r="H85" s="38" t="n">
        <x:f>H21/H10</x:f>
        <x:v>0.20048080696487833</x:v>
      </x:c>
      <x:c r="I85" s="38" t="n">
        <x:f>I21/I10</x:f>
        <x:v>0.20052050610156705</x:v>
      </x:c>
    </x:row>
    <x:row r="86" ht="21" customHeight="1">
      <x:c r="C86" s="1" t="str">
        <x:v>Net debt / (cash)</x:v>
      </x:c>
      <x:c r="D86" s="27" t="n">
        <x:f>D44-D31</x:f>
        <x:v>-32210.226287619997</x:v>
      </x:c>
      <x:c r="E86" s="27" t="n">
        <x:f>E44-E31</x:f>
        <x:v>-28759.498129080006</x:v>
      </x:c>
      <x:c r="F86" s="27" t="n">
        <x:f>F44-F31</x:f>
        <x:v>-38069.24554733</x:v>
      </x:c>
      <x:c r="G86" s="27" t="n">
        <x:f>G44-G31</x:f>
        <x:v>-36021.846596018884</x:v>
      </x:c>
      <x:c r="H86" s="27" t="n">
        <x:f>H44-H31</x:f>
        <x:v>-36149.01125051078</x:v>
      </x:c>
      <x:c r="I86" s="27" t="n">
        <x:f>I44-I31</x:f>
        <x:v>-36287.36593368475</x:v>
      </x:c>
    </x:row>
    <x:row r="87" ht="21" customHeight="1">
      <x:c r="C87" s="1" t="str">
        <x:v>Free cash flow before financing</x:v>
      </x:c>
      <x:c r="D87" s="27" t="n">
        <x:f>D65+D67</x:f>
        <x:v>12574.393697</x:v>
      </x:c>
      <x:c r="E87" s="27" t="n">
        <x:f>E65+E67</x:f>
        <x:v>8598.34981901</x:v>
      </x:c>
      <x:c r="F87" s="27" t="n">
        <x:f>F65+F67</x:f>
        <x:v>21717.36441843</x:v>
      </x:c>
      <x:c r="G87" s="27" t="n">
        <x:f>G65+G67</x:f>
        <x:v>10341.638961644207</x:v>
      </x:c>
      <x:c r="H87" s="27" t="n">
        <x:f>H65+H67</x:f>
        <x:v>13291.443827147235</x:v>
      </x:c>
      <x:c r="I87" s="27" t="n">
        <x:f>I65+I67</x:f>
        <x:v>14161.998202192259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36268.21633077</x:v>
      </x:c>
      <x:c r="H10" s="27" t="n">
        <x:f>G11</x:f>
        <x:v>39576.78572758013</x:v>
      </x:c>
      <x:c r="I10" s="27" t="n">
        <x:f>H11</x:f>
        <x:v>42257.36807119031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39576.78572758013</x:v>
      </x:c>
      <x:c r="H11" s="19" t="n">
        <x:f>'Statements'!H10*'Assumptions'!H22/365</x:f>
        <x:v>42257.36807119031</x:v>
      </x:c>
      <x:c r="I11" s="19" t="n">
        <x:f>'Statements'!I10*'Assumptions'!I22/365</x:f>
        <x:v>45123.020591156215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3308.569396810126</x:v>
      </x:c>
      <x:c r="H12" s="27" t="n">
        <x:f>H11-H10</x:f>
        <x:v>2680.582343610178</x:v>
      </x:c>
      <x:c r="I12" s="27" t="n">
        <x:f>I11-I10</x:f>
        <x:v>2865.652519965908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20472.193858799998</x:v>
      </x:c>
      <x:c r="H16" s="27" t="n">
        <x:f>G17</x:f>
        <x:v>22333.47983014097</x:v>
      </x:c>
      <x:c r="I16" s="27" t="n">
        <x:f>H17</x:f>
        <x:v>23848.073199440805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22333.47983014097</x:v>
      </x:c>
      <x:c r="H17" s="19" t="n">
        <x:f>'Statements'!H11*'Assumptions'!H23/365</x:f>
        <x:v>23848.073199440805</x:v>
      </x:c>
      <x:c r="I17" s="19" t="n">
        <x:f>'Statements'!I11*'Assumptions'!I23/365</x:f>
        <x:v>25466.616513851077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1861.2859713409707</x:v>
      </x:c>
      <x:c r="H18" s="27" t="n">
        <x:f>H17-H16</x:f>
        <x:v>1514.593369299837</x:v>
      </x:c>
      <x:c r="I18" s="27" t="n">
        <x:f>I17-I16</x:f>
        <x:v>1618.5433144102717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20627.72811082</x:v>
      </x:c>
      <x:c r="H22" s="27" t="n">
        <x:f>G23</x:f>
        <x:v>22503.154907679942</x:v>
      </x:c>
      <x:c r="I22" s="27" t="n">
        <x:f>H23</x:f>
        <x:v>24029.25516033743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22503.154907679942</x:v>
      </x:c>
      <x:c r="H23" s="19" t="n">
        <x:f>'Statements'!H11*'Assumptions'!H24/365</x:f>
        <x:v>24029.25516033743</x:v>
      </x:c>
      <x:c r="I23" s="19" t="n">
        <x:f>'Statements'!I11*'Assumptions'!I24/365</x:f>
        <x:v>25660.09510135768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1875.4267968599415</x:v>
      </x:c>
      <x:c r="H24" s="27" t="n">
        <x:f>H23-H22</x:f>
        <x:v>1526.1002526574885</x:v>
      </x:c>
      <x:c r="I24" s="27" t="n">
        <x:f>I23-I22</x:f>
        <x:v>1630.839941020251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4200.49087307</x:v>
      </x:c>
      <x:c r="H28" s="27" t="n">
        <x:f>G29</x:f>
        <x:v>4583.680810713249</x:v>
      </x:c>
      <x:c r="I28" s="27" t="n">
        <x:f>H29</x:f>
        <x:v>4894.13891447432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4583.680810713249</x:v>
      </x:c>
      <x:c r="H29" s="19" t="n">
        <x:f>'Statements'!H10*'Assumptions'!H25</x:f>
        <x:v>4894.13891447432</x:v>
      </x:c>
      <x:c r="I29" s="19" t="n">
        <x:f>'Statements'!I10*'Assumptions'!I25</x:f>
        <x:v>5226.031366689967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383.1899376432493</x:v>
      </x:c>
      <x:c r="H30" s="27" t="n">
        <x:f>H29-H28</x:f>
        <x:v>310.45810376107056</x:v>
      </x:c>
      <x:c r="I30" s="27" t="n">
        <x:f>I29-I28</x:f>
        <x:v>331.8924522156476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0</x:v>
      </x:c>
      <x:c r="H34" s="27" t="n">
        <x:f>G35</x:f>
        <x:v>0</x:v>
      </x:c>
      <x:c r="I34" s="27" t="n">
        <x:f>H35</x:f>
        <x:v>0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0</x:v>
      </x:c>
      <x:c r="H35" s="19" t="n">
        <x:f>H34*(1+'Assumptions'!H26)</x:f>
        <x:v>0</x:v>
      </x:c>
      <x:c r="I35" s="19" t="n">
        <x:f>I34*(1+'Assumptions'!I26)</x:f>
        <x:v>0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7421.48021066</x:v>
      </x:c>
      <x:c r="H40" s="27" t="n">
        <x:f>G41</x:f>
        <x:v>7421.48021066</x:v>
      </x:c>
      <x:c r="I40" s="27" t="n">
        <x:f>H41</x:f>
        <x:v>7421.48021066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7421.48021066</x:v>
      </x:c>
      <x:c r="H41" s="19" t="n">
        <x:f>H40*(1+'Assumptions'!H27)</x:f>
        <x:v>7421.48021066</x:v>
      </x:c>
      <x:c r="I41" s="19" t="n">
        <x:f>I40*(1+'Assumptions'!I27)</x:f>
        <x:v>7421.48021066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12075.38834597</x:v>
      </x:c>
      <x:c r="H46" s="27" t="n">
        <x:f>G47</x:f>
        <x:v>12075.38834597</x:v>
      </x:c>
      <x:c r="I46" s="27" t="n">
        <x:f>H47</x:f>
        <x:v>12075.38834597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12075.38834597</x:v>
      </x:c>
      <x:c r="H47" s="19" t="n">
        <x:f>H46*(1+'Assumptions'!H28)</x:f>
        <x:v>12075.38834597</x:v>
      </x:c>
      <x:c r="I47" s="19" t="n">
        <x:f>I46*(1+'Assumptions'!I28)</x:f>
        <x:v>12075.38834597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22091.02534762</x:v>
      </x:c>
      <x:c r="H10" s="27" t="n">
        <x:f>G14</x:f>
        <x:v>23647.650942497232</x:v>
      </x:c>
      <x:c r="I10" s="27" t="n">
        <x:f>H14</x:f>
        <x:v>25304.648438264987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3557.2212069108864</x:v>
      </x:c>
      <x:c r="H11" s="19" t="n">
        <x:f>'Statements'!H10*MAX(0,'Assumptions'!H31)</x:f>
        <x:v>3798.1559918930834</x:v>
      </x:c>
      <x:c r="I11" s="19" t="n">
        <x:f>'Statements'!I10*MAX(0,'Assumptions'!I31)</x:f>
        <x:v>4055.72516352383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2000.595612033654</x:v>
      </x:c>
      <x:c r="H12" s="19" t="n">
        <x:f>(H10+H11*0.5)*'Assumptions'!H33</x:f>
        <x:v>2141.1584961253293</x:v>
      </x:c>
      <x:c r="I12" s="19" t="n">
        <x:f>(I10+I11*0.5)*'Assumptions'!I33</x:f>
        <x:v>2290.830983958247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2000.595612033654</x:v>
      </x:c>
      <x:c r="H13" s="27" t="n">
        <x:f>MIN(MAX(0,H12),H10+H11)</x:f>
        <x:v>2141.1584961253293</x:v>
      </x:c>
      <x:c r="I13" s="27" t="n">
        <x:f>MIN(MAX(0,I12),I10+I11)</x:f>
        <x:v>2290.830983958247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23647.650942497232</x:v>
      </x:c>
      <x:c r="H14" s="27" t="n">
        <x:f>H10+H11-H13</x:f>
        <x:v>25304.648438264987</x:v>
      </x:c>
      <x:c r="I14" s="27" t="n">
        <x:f>I10+I11-I13</x:f>
        <x:v>27069.542617830568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1978.1037322799998</x:v>
      </x:c>
      <x:c r="H20" s="27" t="n">
        <x:f>G24</x:f>
        <x:v>2190.9954203217467</x:v>
      </x:c>
      <x:c r="I20" s="27" t="n">
        <x:f>H24</x:f>
        <x:v>2411.6925966587437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395.24680076787627</x:v>
      </x:c>
      <x:c r="H21" s="19" t="n">
        <x:f>'Statements'!H10*MAX(0,'Assumptions'!H32)</x:f>
        <x:v>422.01733243256484</x:v>
      </x:c>
      <x:c r="I21" s="19" t="n">
        <x:f>'Statements'!I10*MAX(0,'Assumptions'!I32)</x:f>
        <x:v>450.6361292804256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182.3551127261296</x:v>
      </x:c>
      <x:c r="H22" s="19" t="n">
        <x:f>(H20+H21*0.5)*'Assumptions'!H34</x:f>
        <x:v>201.32015609556785</x:v>
      </x:c>
      <x:c r="I22" s="19" t="n">
        <x:f>(I20+I21*0.5)*'Assumptions'!I34</x:f>
        <x:v>221.01685876960204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182.3551127261296</x:v>
      </x:c>
      <x:c r="H23" s="27" t="n">
        <x:f>MIN(MAX(0,H22),H20+H21)</x:f>
        <x:v>201.32015609556785</x:v>
      </x:c>
      <x:c r="I23" s="27" t="n">
        <x:f>MIN(MAX(0,I22),I20+I21)</x:f>
        <x:v>221.01685876960204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2190.9954203217467</x:v>
      </x:c>
      <x:c r="H24" s="27" t="n">
        <x:f>H20+H21-H23</x:f>
        <x:v>2411.6925966587437</x:v>
      </x:c>
      <x:c r="I24" s="27" t="n">
        <x:f>I20+I21-I23</x:f>
        <x:v>2641.311867169567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442.49584187</x:v>
      </x:c>
      <x:c r="H30" s="27" t="n">
        <x:f>G34</x:f>
        <x:v>469.0016007778709</x:v>
      </x:c>
      <x:c r="I30" s="27" t="n">
        <x:f>H34</x:f>
        <x:v>493.2858216164811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66.3743762805</x:v>
      </x:c>
      <x:c r="H31" s="19" t="n">
        <x:f>MAX(0,'Assumptions'!H36)</x:f>
        <x:v>66.3743762805</x:v>
      </x:c>
      <x:c r="I31" s="19" t="n">
        <x:f>MAX(0,'Assumptions'!I36)</x:f>
        <x:v>66.3743762805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39.868617372629124</x:v>
      </x:c>
      <x:c r="H32" s="19" t="n">
        <x:f>(H30+H31*0.5)*'Assumptions'!H35</x:f>
        <x:v>42.09015544188985</x:v>
      </x:c>
      <x:c r="I32" s="19" t="n">
        <x:f>(I30+I31*0.5)*'Assumptions'!I35</x:f>
        <x:v>44.125498827560165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39.868617372629124</x:v>
      </x:c>
      <x:c r="H33" s="27" t="n">
        <x:f>MIN(MAX(0,H32),H30+H31)</x:f>
        <x:v>42.09015544188985</x:v>
      </x:c>
      <x:c r="I33" s="27" t="n">
        <x:f>MIN(MAX(0,I32),I30+I31)</x:f>
        <x:v>44.125498827560165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469.0016007778709</x:v>
      </x:c>
      <x:c r="H34" s="27" t="n">
        <x:f>H30+H31-H33</x:f>
        <x:v>493.2858216164811</x:v>
      </x:c>
      <x:c r="I34" s="27" t="n">
        <x:f>I30+I31-I33</x:f>
        <x:v>515.534699069421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2222.8193421324127</x:v>
      </x:c>
      <x:c r="H39" s="27" t="n">
        <x:f>H13+H23+H33</x:f>
        <x:v>2384.5688076627866</x:v>
      </x:c>
      <x:c r="I39" s="27" t="n">
        <x:f>I13+I23+I33</x:f>
        <x:v>2555.973341555409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3952.4680076787627</x:v>
      </x:c>
      <x:c r="H40" s="27" t="n">
        <x:f>H11+H21</x:f>
        <x:v>4220.1733243256485</x:v>
      </x:c>
      <x:c r="I40" s="27" t="n">
        <x:f>I11+I21</x:f>
        <x:v>4506.361292804256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8135.093147099999</x:v>
      </x:c>
      <x:c r="H10" s="27" t="n">
        <x:f>G18</x:f>
        <x:v>6574.448893960499</x:v>
      </x:c>
      <x:c r="I10" s="27" t="n">
        <x:f>H18</x:f>
        <x:v>5325.933491448899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66.3743762805</x:v>
      </x:c>
      <x:c r="H14" s="19" t="n">
        <x:f>'FixedAssets'!H31</x:f>
        <x:v>66.3743762805</x:v>
      </x:c>
      <x:c r="I14" s="19" t="n">
        <x:f>'FixedAssets'!I31</x:f>
        <x:v>66.3743762805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1627.01862942</x:v>
      </x:c>
      <x:c r="H15" s="19" t="n">
        <x:f>H10*'Assumptions'!H41+'Assumptions'!H42</x:f>
        <x:v>1314.8897787920998</x:v>
      </x:c>
      <x:c r="I15" s="19" t="n">
        <x:f>I10*'Assumptions'!I41+'Assumptions'!I42</x:f>
        <x:v>1065.1866982897798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1627.01862942</x:v>
      </x:c>
      <x:c r="H16" s="27" t="n">
        <x:f>MIN(MAX(0,H15),H10+H12+H14)</x:f>
        <x:v>1314.8897787920998</x:v>
      </x:c>
      <x:c r="I16" s="27" t="n">
        <x:f>MIN(MAX(0,I15),I10+I12+I14)</x:f>
        <x:v>1065.1866982897798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6574.448893960499</x:v>
      </x:c>
      <x:c r="H18" s="27" t="n">
        <x:f>H10+H12+H14-H16</x:f>
        <x:v>5325.933491448899</x:v>
      </x:c>
      <x:c r="I18" s="27" t="n">
        <x:f>I10+I12+I14-I16</x:f>
        <x:v>4327.121169439619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202.38894372160496</x:v>
      </x:c>
      <x:c r="H19" s="19" t="n">
        <x:f>(H10+(H12+H14-H16)*0.5)*'Assumptions'!H17</x:f>
        <x:v>163.73764826553077</x:v>
      </x:c>
      <x:c r="I19" s="19" t="n">
        <x:f>(I10+(I12+I14-I16)*0.5)*'Assumptions'!I17</x:f>
        <x:v>132.81661190067143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2867.81135418</x:v>
      </x:c>
      <x:c r="H22" s="27" t="n">
        <x:f>G31</x:f>
        <x:v>2867.81135418</x:v>
      </x:c>
      <x:c r="I22" s="27" t="n">
        <x:f>H31</x:f>
        <x:v>2867.81135418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2867.81135418</x:v>
      </x:c>
      <x:c r="H31" s="27" t="n">
        <x:f>H22+H24-H26+H29</x:f>
        <x:v>2867.81135418</x:v>
      </x:c>
      <x:c r="I31" s="27" t="n">
        <x:f>I22+I24-I26+I29</x:f>
        <x:v>2867.81135418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1794.09150307</x:v>
      </x:c>
      <x:c r="H34" s="27" t="n">
        <x:f>G38</x:f>
        <x:v>346.39971500869433</x:v>
      </x:c>
      <x:c r="I34" s="27" t="n">
        <x:f>H38</x:f>
        <x:v>368.1923534771413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2309.331433391296</x:v>
      </x:c>
      <x:c r="H35" s="19" t="n">
        <x:f>'Statements'!H24</x:f>
        <x:v>2454.615689847607</x:v>
      </x:c>
      <x:c r="I35" s="19" t="n">
        <x:f>'Statements'!I24</x:f>
        <x:v>2615.6650516098016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3757.0232214526013</x:v>
      </x:c>
      <x:c r="H36" s="19" t="n">
        <x:f>H35*'Assumptions'!H47+H34*'Assumptions'!H48</x:f>
        <x:v>2432.82305137916</x:v>
      </x:c>
      <x:c r="I36" s="19" t="n">
        <x:f>I35*'Assumptions'!I47+I34*'Assumptions'!I48</x:f>
        <x:v>2591.5076473454724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3757.0232214526013</x:v>
      </x:c>
      <x:c r="H37" s="27" t="n">
        <x:f>MIN(MAX(0,H36),MAX(0,H34+H35))</x:f>
        <x:v>2432.82305137916</x:v>
      </x:c>
      <x:c r="I37" s="27" t="n">
        <x:f>MIN(MAX(0,I36),MAX(0,I34+I35))</x:f>
        <x:v>2591.5076473454724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346.39971500869433</x:v>
      </x:c>
      <x:c r="H38" s="27" t="n">
        <x:f>H34+H35-H37</x:f>
        <x:v>368.1923534771413</x:v>
      </x:c>
      <x:c r="I38" s="27" t="n">
        <x:f>I34+I35-I37</x:f>
        <x:v>392.3497577414705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65059.09472757</x:v>
      </x:c>
      <x:c r="H41" s="27" t="n">
        <x:f>G48</x:f>
        <x:v>68837.08918005449</x:v>
      </x:c>
      <x:c r="I41" s="27" t="n">
        <x:f>H48</x:f>
        <x:v>72852.76416075975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15111.977809937976</x:v>
      </x:c>
      <x:c r="H42" s="19" t="n">
        <x:f>'Statements'!H26</x:f>
        <x:v>16062.699922821066</x:v>
      </x:c>
      <x:c r="I42" s="19" t="n">
        <x:f>'Statements'!I26</x:f>
        <x:v>17116.586924948308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11333.983357453482</x:v>
      </x:c>
      <x:c r="H43" s="19" t="n">
        <x:f>MAX(0,H42)*'Assumptions'!H43</x:f>
        <x:v>12047.0249421158</x:v>
      </x:c>
      <x:c r="I43" s="19" t="n">
        <x:f>MAX(0,I42)*'Assumptions'!I43</x:f>
        <x:v>12837.44019371123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11333.983357453482</x:v>
      </x:c>
      <x:c r="H44" s="27" t="n">
        <x:f>MIN(MAX(0,H43),MAX(0,H41+H42))</x:f>
        <x:v>12047.0249421158</x:v>
      </x:c>
      <x:c r="I44" s="27" t="n">
        <x:f>MIN(MAX(0,I43),MAX(0,I41+I42))</x:f>
        <x:v>12837.44019371123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68837.08918005449</x:v>
      </x:c>
      <x:c r="H48" s="27" t="n">
        <x:f>H41+H42-H44-H47</x:f>
        <x:v>72852.76416075975</x:v>
      </x:c>
      <x:c r="I48" s="27" t="n">
        <x:f>I41+I42-I44-I47</x:f>
        <x:v>77131.91089199683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7868.6774689700005</x:v>
      </x:c>
      <x:c r="H51" s="27" t="n">
        <x:f>G55</x:f>
        <x:v>8198.237528710448</x:v>
      </x:c>
      <x:c r="I51" s="27" t="n">
        <x:f>H55</x:f>
        <x:v>8548.530813463458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1318.2402389617891</x:v>
      </x:c>
      <x:c r="H52" s="19" t="n">
        <x:f>'Statements'!H27</x:f>
        <x:v>1401.1731390120442</x:v>
      </x:c>
      <x:c r="I52" s="19" t="n">
        <x:f>'Statements'!I27</x:f>
        <x:v>1493.1052653687493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988.6801792213419</x:v>
      </x:c>
      <x:c r="H53" s="19" t="n">
        <x:f>MAX(0,H52)*'Assumptions'!H43</x:f>
        <x:v>1050.8798542590332</x:v>
      </x:c>
      <x:c r="I53" s="19" t="n">
        <x:f>MAX(0,I52)*'Assumptions'!I43</x:f>
        <x:v>1119.828949026562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988.6801792213419</x:v>
      </x:c>
      <x:c r="H54" s="27" t="n">
        <x:f>MIN(MAX(0,H53),MAX(0,H51+H52))</x:f>
        <x:v>1050.8798542590332</x:v>
      </x:c>
      <x:c r="I54" s="27" t="n">
        <x:f>MIN(MAX(0,I53),MAX(0,I51+I52))</x:f>
        <x:v>1119.828949026562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8198.237528710448</x:v>
      </x:c>
      <x:c r="H55" s="27" t="n">
        <x:f>H51+H52-H54</x:f>
        <x:v>8548.530813463458</x:v>
      </x:c>
      <x:c r="I55" s="27" t="n">
        <x:f>I51+I52-I54</x:f>
        <x:v>8921.807129805646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18289.091158049992</x:v>
      </x:c>
      <x:c r="H58" s="27" t="n">
        <x:f>G61</x:f>
        <x:v>18289.091158049992</x:v>
      </x:c>
      <x:c r="I58" s="27" t="n">
        <x:f>H61</x:f>
        <x:v>18289.091158049992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18289.091158049992</x:v>
      </x:c>
      <x:c r="H61" s="27" t="n">
        <x:f>SUM(H58:H60)</x:f>
        <x:v>18289.091158049992</x:v>
      </x:c>
      <x:c r="I61" s="27" t="n">
        <x:f>SUM(I58:I60)</x:f>
        <x:v>18289.091158049992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95324.41786681494</x:v>
      </x:c>
      <x:c r="H63" s="27" t="n">
        <x:f>H48+H55+H61</x:f>
        <x:v>99690.3861322732</x:v>
      </x:c>
      <x:c r="I63" s="27" t="n">
        <x:f>I48+I55+I61</x:f>
        <x:v>104342.80917985247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41818.04008844</x:v>
      </x:c>
      <x:c r="E9" s="2" t="n">
        <x:v>46822.53784707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7040.89060457</x:v>
      </x:c>
      <x:c r="E10" s="2" t="n">
        <x:v>10405.27397735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6281.4766308299995</x:v>
      </x:c>
      <x:c r="E11" s="2" t="n">
        <x:v>9123.00055388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境内</x:v>
      </x:c>
      <x:c r="D16" s="2" t="n">
        <x:v>26393.42314763</x:v>
      </x:c>
      <x:c r="E16" s="2" t="n">
        <x:v>29758.87622384</x:v>
      </x:c>
      <x:c r="F16" s="20" t="str">
        <x:v>H1 2025 and 2026 SOURCE_FACT: hikvision_H12026 P011 L050</x:v>
      </x:c>
      <x:c r="G16" s="2"/>
      <x:c r="H16" s="2"/>
      <x:c r="I16" s="2"/>
    </x:row>
    <x:row r="17" ht="52" customHeight="1">
      <x:c r="C17" s="1" t="str">
        <x:v>境外</x:v>
      </x:c>
      <x:c r="D17" s="2" t="n">
        <x:v>15424.61694081</x:v>
      </x:c>
      <x:c r="E17" s="2" t="n">
        <x:v>17063.66162323</x:v>
      </x:c>
      <x:c r="F17" s="20" t="str">
        <x:v>H1 2025 and 2026 SOURCE_FACT: hikvision_H12026 P011 L052</x:v>
      </x:c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89341.17761039999</x:v>
      </x:c>
      <x:c r="E9" s="2" t="n">
        <x:v>92495.52511830001</x:v>
      </x:c>
      <x:c r="F9" s="2" t="n">
        <x:v>92507.79606994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49732.76854757</x:v>
      </x:c>
      <x:c r="E10" s="2" t="n">
        <x:v>51953.85791221</x:v>
      </x:c>
      <x:c r="F10" s="2" t="n">
        <x:v>50067.43655036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10746.78807601</x:v>
      </x:c>
      <x:c r="E11" s="2" t="n">
        <x:v>12051.218102620001</x:v>
      </x:c>
      <x:c r="F11" s="2" t="n">
        <x:v>12347.888877700001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2770.78120345</x:v>
      </x:c>
      <x:c r="E12" s="2" t="n">
        <x:v>3095.93964392</x:v>
      </x:c>
      <x:c r="F12" s="2" t="n">
        <x:v>2994.51205202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11392.948404469998</x:v>
      </x:c>
      <x:c r="E13" s="2" t="n">
        <x:v>11864.01339227</x:v>
      </x:c>
      <x:c r="F13" s="2" t="n">
        <x:v>11752.624736799999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704.64137869</x:v>
      </x:c>
      <x:c r="E14" s="2" t="n">
        <x:v>692.28592736</x:v>
      </x:c>
      <x:c r="F14" s="2" t="n">
        <x:v>767.4984798400001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-749.80028379</x:v>
      </x:c>
      <x:c r="E15" s="2" t="n">
        <x:v>-114.81749316</x:v>
      </x:c>
      <x:c r="F15" s="2" t="n">
        <x:v>-525.63131914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457.60511958999996</x:v>
      </x:c>
      <x:c r="E16" s="2" t="n">
        <x:v>391.40418712999997</x:v>
      </x:c>
      <x:c r="F16" s="2" t="n">
        <x:v>200.70410253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1356.165348110006</x:v>
      </x:c>
      <x:c r="E17" s="19" t="n">
        <x:f>'SourceFacts'!E18-'SourceFacts'!E9+SUM(E10:E14)+'SourceFacts'!E15</x:f>
        <x:v>1390.4660069200115</x:v>
      </x:c>
      <x:c r="F17" s="19" t="n">
        <x:f>'SourceFacts'!F18-'SourceFacts'!F9+SUM(F10:F14)+'SourceFacts'!F15</x:f>
        <x:v>1909.9717462599915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16099.215632110001</x:v>
      </x:c>
      <x:c r="E18" s="2" t="n">
        <x:v>14343.49364</x:v>
      </x:c>
      <x:c r="F18" s="2" t="n">
        <x:v>17013.43843862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943.3138689</x:v>
      </x:c>
      <x:c r="E19" s="2" t="n">
        <x:v>1202.47157949</x:v>
      </x:c>
      <x:c r="F19" s="2" t="n">
        <x:v>1579.78319879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15155.901763209999</x:v>
      </x:c>
      <x:c r="E20" s="2" t="n">
        <x:v>13141.02206051</x:v>
      </x:c>
      <x:c r="F20" s="2" t="n">
        <x:v>15433.65523983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14107.72627626</x:v>
      </x:c>
      <x:c r="E21" s="2" t="n">
        <x:v>11977.327023540001</x:v>
      </x:c>
      <x:c r="F21" s="2" t="n">
        <x:v>14195.37189442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1048.17548695</x:v>
      </x:c>
      <x:c r="E22" s="2" t="n">
        <x:v>1163.69503697</x:v>
      </x:c>
      <x:c r="F22" s="2" t="n">
        <x:v>1238.28334541</x:v>
      </x:c>
      <x:c r="G22" s="2"/>
      <x:c r="H22" s="2"/>
      <x:c r="I22" s="2"/>
    </x:row>
    <x:row r="23" ht="21" customHeight="1">
      <x:c r="C23" s="1" t="str">
        <x:v>Depreciation and amortization</x:v>
      </x:c>
      <x:c r="D23" s="2"/>
      <x:c r="E23" s="2" t="n">
        <x:v>1983.93023333</x:v>
      </x:c>
      <x:c r="F23" s="2" t="n">
        <x:v>2054.40289759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16622.20972105</x:v>
      </x:c>
      <x:c r="E24" s="2" t="n">
        <x:v>13264.09202273</x:v>
      </x:c>
      <x:c r="F24" s="2" t="n">
        <x:v>25339.4110831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-3987.2999900100003</x:v>
      </x:c>
      <x:c r="E25" s="2" t="n">
        <x:v>-4547.540997100001</x:v>
      </x:c>
      <x:c r="F25" s="2" t="n">
        <x:v>-3417.31581386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-3145.43149812</x:v>
      </x:c>
      <x:c r="E26" s="2" t="n">
        <x:v>-22078.98878563</x:v>
      </x:c>
      <x:c r="F26" s="2" t="n">
        <x:v>-11762.551780920001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113.36501534</x:v>
      </x:c>
      <x:c r="E27" s="2" t="n">
        <x:v>-12.48721549</x:v>
      </x:c>
      <x:c r="F27" s="2" t="n">
        <x:v>-8.24717418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39825.124107519994</x:v>
      </x:c>
      <x:c r="E28" s="2" t="n">
        <x:v>49427.96735578</x:v>
      </x:c>
      <x:c r="F28" s="2" t="n">
        <x:v>36053.042380290004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49427.96735578</x:v>
      </x:c>
      <x:c r="E29" s="2" t="n">
        <x:v>36053.042380290004</x:v>
      </x:c>
      <x:c r="F29" s="2" t="n">
        <x:v>46204.33869443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4047.81602405</x:v>
      </x:c>
      <x:c r="E30" s="2" t="n">
        <x:v>4665.74220372</x:v>
      </x:c>
      <x:c r="F30" s="2" t="n">
        <x:v>3622.04666467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SUMIF('SourceBS'!$D$9:$D$47,"bankPool",'SourceBS'!E$9:E$47)</x:f>
        <x:v>49638.15866254</x:v>
      </x:c>
      <x:c r="E31" s="19" t="n">
        <x:f>SUMIF('SourceBS'!$D$9:$D$47,"bankPool",'SourceBS'!F$9:F$47)</x:f>
        <x:v>36271.48833703</x:v>
      </x:c>
      <x:c r="F31" s="19" t="n">
        <x:f>SUMIF('SourceBS'!$D$9:$D$47,"bankPool",'SourceBS'!G$9:G$47)</x:f>
        <x:v>46508.328658440005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210.1913067600035</x:v>
      </x:c>
      <x:c r="E32" s="19" t="n">
        <x:f>'SourceFacts'!E31-'SourceFacts'!E29</x:f>
        <x:v>218.4459567399972</x:v>
      </x:c>
      <x:c r="F32" s="19" t="n">
        <x:f>'SourceFacts'!F31-'SourceFacts'!F29</x:f>
        <x:v>303.98996401000477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SUMIF('SourceBS'!$D$9:$D$47,"ar",'SourceBS'!E$9:E$47)</x:f>
        <x:v>41190.177135000005</x:v>
      </x:c>
      <x:c r="E33" s="19" t="n">
        <x:f>SUMIF('SourceBS'!$D$9:$D$47,"ar",'SourceBS'!F$9:F$47)</x:f>
        <x:v>43910.19590761999</x:v>
      </x:c>
      <x:c r="F33" s="19" t="n">
        <x:f>SUMIF('SourceBS'!$D$9:$D$47,"ar",'SourceBS'!G$9:G$47)</x:f>
        <x:v>36268.21633077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SUMIF('SourceBS'!$D$9:$D$47,"inventory",'SourceBS'!E$9:E$47)</x:f>
        <x:v>19211.44429682</x:v>
      </x:c>
      <x:c r="E34" s="19" t="n">
        <x:f>SUMIF('SourceBS'!$D$9:$D$47,"inventory",'SourceBS'!F$9:F$47)</x:f>
        <x:v>19110.71195811</x:v>
      </x:c>
      <x:c r="F34" s="19" t="n">
        <x:f>SUMIF('SourceBS'!$D$9:$D$47,"inventory",'SourceBS'!G$9:G$47)</x:f>
        <x:v>20472.193858799998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SUMIF('SourceBS'!$D$9:$D$47,"ppe",'SourceBS'!E$9:E$47)</x:f>
        <x:v>15815.96341663</x:v>
      </x:c>
      <x:c r="E35" s="19" t="n">
        <x:f>SUMIF('SourceBS'!$D$9:$D$47,"ppe",'SourceBS'!F$9:F$47)</x:f>
        <x:v>19763.2256777</x:v>
      </x:c>
      <x:c r="F35" s="19" t="n">
        <x:f>SUMIF('SourceBS'!$D$9:$D$47,"ppe",'SourceBS'!G$9:G$47)</x:f>
        <x:v>22091.02534762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SUMIF('SourceBS'!$D$9:$D$47,"intang",'SourceBS'!E$9:E$47)</x:f>
        <x:v>1987.83808538</x:v>
      </x:c>
      <x:c r="E36" s="19" t="n">
        <x:f>SUMIF('SourceBS'!$D$9:$D$47,"intang",'SourceBS'!F$9:F$47)</x:f>
        <x:v>1991.1288949</x:v>
      </x:c>
      <x:c r="F36" s="19" t="n">
        <x:f>SUMIF('SourceBS'!$D$9:$D$47,"intang",'SourceBS'!G$9:G$47)</x:f>
        <x:v>1978.1037322799998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SUMIF('SourceBS'!$D$9:$D$47,"rou",'SourceBS'!E$9:E$47)</x:f>
        <x:v>521.06139666</x:v>
      </x:c>
      <x:c r="E37" s="19" t="n">
        <x:f>SUMIF('SourceBS'!$D$9:$D$47,"rou",'SourceBS'!F$9:F$47)</x:f>
        <x:v>530.13802379</x:v>
      </x:c>
      <x:c r="F37" s="19" t="n">
        <x:f>SUMIF('SourceBS'!$D$9:$D$47,"rou",'SourceBS'!G$9:G$47)</x:f>
        <x:v>442.49584187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SUMIF('SourceBS'!$D$9:$D$47,"investments",'SourceBS'!E$9:E$47)</x:f>
        <x:v>2703.0482117399997</x:v>
      </x:c>
      <x:c r="E38" s="19" t="n">
        <x:f>SUMIF('SourceBS'!$D$9:$D$47,"investments",'SourceBS'!F$9:F$47)</x:f>
        <x:v>2920.3270453</x:v>
      </x:c>
      <x:c r="F38" s="19" t="n">
        <x:f>SUMIF('SourceBS'!$D$9:$D$47,"investments",'SourceBS'!G$9:G$47)</x:f>
        <x:v>2867.81135418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SUMIF('SourceBS'!$D$9:$D$47,"otherAssets",'SourceBS'!E$9:E$47)</x:f>
        <x:v>7790.431674779999</x:v>
      </x:c>
      <x:c r="E39" s="19" t="n">
        <x:f>SUMIF('SourceBS'!$D$9:$D$47,"otherAssets",'SourceBS'!F$9:F$47)</x:f>
        <x:v>7518.98431169</x:v>
      </x:c>
      <x:c r="F39" s="19" t="n">
        <x:f>SUMIF('SourceBS'!$D$9:$D$47,"otherAssets",'SourceBS'!G$9:G$47)</x:f>
        <x:v>7421.48021066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138858.12287954998</x:v>
      </x:c>
      <x:c r="E40" s="2" t="n">
        <x:v>132016.20015614</x:v>
      </x:c>
      <x:c r="F40" s="2" t="n">
        <x:v>138049.65533462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SUMIF('SourceBS'!$D$9:$D$47,"ap",'SourceBS'!E$9:E$47)</x:f>
        <x:v>20327.17316767</x:v>
      </x:c>
      <x:c r="E41" s="19" t="n">
        <x:f>SUMIF('SourceBS'!$D$9:$D$47,"ap",'SourceBS'!F$9:F$47)</x:f>
        <x:v>21382.431854249997</x:v>
      </x:c>
      <x:c r="F41" s="19" t="n">
        <x:f>SUMIF('SourceBS'!$D$9:$D$47,"ap",'SourceBS'!G$9:G$47)</x:f>
        <x:v>20627.72811082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SUMIF('SourceBS'!$D$9:$D$47,"contract",'SourceBS'!E$9:E$47)</x:f>
        <x:v>2977.9907754</x:v>
      </x:c>
      <x:c r="E42" s="19" t="n">
        <x:f>SUMIF('SourceBS'!$D$9:$D$47,"contract",'SourceBS'!F$9:F$47)</x:f>
        <x:v>3353.9430542399996</x:v>
      </x:c>
      <x:c r="F42" s="19" t="n">
        <x:f>SUMIF('SourceBS'!$D$9:$D$47,"contract",'SourceBS'!G$9:G$47)</x:f>
        <x:v>4200.49087307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SUMIF('SourceBS'!$D$9:$D$47,"debt",'SourceBS'!E$9:E$47)</x:f>
        <x:v>17217.74106816</x:v>
      </x:c>
      <x:c r="E43" s="19" t="n">
        <x:f>SUMIF('SourceBS'!$D$9:$D$47,"debt",'SourceBS'!F$9:F$47)</x:f>
        <x:v>7293.54425121</x:v>
      </x:c>
      <x:c r="F43" s="19" t="n">
        <x:f>SUMIF('SourceBS'!$D$9:$D$47,"debt",'SourceBS'!G$9:G$47)</x:f>
        <x:v>8135.093147099999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SUMIF('SourceBS'!$D$9:$D$47,"taxPayable",'SourceBS'!E$9:E$47)</x:f>
        <x:v>1622.5501878599998</x:v>
      </x:c>
      <x:c r="E44" s="19" t="n">
        <x:f>SUMIF('SourceBS'!$D$9:$D$47,"taxPayable",'SourceBS'!F$9:F$47)</x:f>
        <x:v>1535.93609602</x:v>
      </x:c>
      <x:c r="F44" s="19" t="n">
        <x:f>SUMIF('SourceBS'!$D$9:$D$47,"taxPayable",'SourceBS'!G$9:G$47)</x:f>
        <x:v>1794.09150307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SUMIF('SourceBS'!$D$9:$D$47,"deposits",'SourceBS'!E$9:E$47)</x:f>
        <x:v>0</x:v>
      </x:c>
      <x:c r="E45" s="19" t="n">
        <x:f>SUMIF('SourceBS'!$D$9:$D$47,"deposits",'SourceBS'!F$9:F$47)</x:f>
        <x:v>0</x:v>
      </x:c>
      <x:c r="F45" s="19" t="n">
        <x:f>SUMIF('SourceBS'!$D$9:$D$47,"deposits",'SourceBS'!G$9:G$47)</x:f>
        <x:v>0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SUMIF('SourceBS'!$D$9:$D$47,"otherLiabilities",'SourceBS'!E$9:E$47)</x:f>
        <x:v>14549.055802550003</x:v>
      </x:c>
      <x:c r="E46" s="19" t="n">
        <x:f>SUMIF('SourceBS'!$D$9:$D$47,"otherLiabilities",'SourceBS'!F$9:F$47)</x:f>
        <x:v>10950.050152270001</x:v>
      </x:c>
      <x:c r="F46" s="19" t="n">
        <x:f>SUMIF('SourceBS'!$D$9:$D$47,"otherLiabilities",'SourceBS'!G$9:G$47)</x:f>
        <x:v>12075.38834597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56694.51100164</x:v>
      </x:c>
      <x:c r="E47" s="2" t="n">
        <x:v>44515.905407989994</x:v>
      </x:c>
      <x:c r="F47" s="2" t="n">
        <x:v>46832.79198003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57136.62024401</x:v>
      </x:c>
      <x:c r="E48" s="2" t="n">
        <x:v>60959.912942150004</x:v>
      </x:c>
      <x:c r="F48" s="2" t="n">
        <x:v>65059.09472757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5809.346337770001</x:v>
      </x:c>
      <x:c r="E49" s="2" t="n">
        <x:v>6831.633685270001</x:v>
      </x:c>
      <x:c r="F49" s="2" t="n">
        <x:v>7868.6774689700005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82163.61187791</x:v>
      </x:c>
      <x:c r="E50" s="2" t="n">
        <x:v>87500.29474814999</x:v>
      </x:c>
      <x:c r="F50" s="2" t="n">
        <x:v>91216.86335459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2.9103830456733704e-11</x:v>
      </x:c>
      <x:c r="E51" s="2" t="n">
        <x:v>0</x:v>
      </x:c>
      <x:c r="F51" s="2" t="n">
        <x:v>0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7.275957614183426e-12</x:v>
      </x:c>
      <x:c r="E52" s="2" t="n">
        <x:v>0</x:v>
      </x:c>
      <x:c r="F52" s="2" t="n">
        <x:v>0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货币资金</x:v>
      </x:c>
      <x:c r="D9" s="2" t="str">
        <x:v>bankPool</x:v>
      </x:c>
      <x:c r="E9" s="2" t="n">
        <x:v>49638.15866254</x:v>
      </x:c>
      <x:c r="F9" s="2" t="n">
        <x:v>36271.48833703</x:v>
      </x:c>
      <x:c r="G9" s="2" t="n">
        <x:v>46508.328658440005</x:v>
      </x:c>
      <x:c r="H9" s="20" t="str">
        <x:v>2023: hikvision_FY2024 P157 L010; 2024: hikvision_FY2025 P147 L012; 2025: hikvision_FY2025 P147 L012</x:v>
      </x:c>
      <x:c r="I9" s="2"/>
    </x:row>
    <x:row r="10" ht="42" customHeight="1">
      <x:c r="C10" s="1" t="str">
        <x:v>衍生金融资产</x:v>
      </x:c>
      <x:c r="D10" s="2" t="str">
        <x:v>investments</x:v>
      </x:c>
      <x:c r="E10" s="2" t="n">
        <x:v>0.03738</x:v>
      </x:c>
      <x:c r="F10" s="2" t="n">
        <x:v>26.77592393</x:v>
      </x:c>
      <x:c r="G10" s="2" t="n">
        <x:v>4.7922434</x:v>
      </x:c>
      <x:c r="H10" s="20" t="str">
        <x:v>2023: hikvision_FY2024 P157 L011; 2024: hikvision_FY2025 P147 L014; 2025: hikvision_FY2025 P147 L014</x:v>
      </x:c>
      <x:c r="I10" s="2"/>
    </x:row>
    <x:row r="11" ht="42" customHeight="1">
      <x:c r="C11" s="1" t="str">
        <x:v>应收票据</x:v>
      </x:c>
      <x:c r="D11" s="2" t="str">
        <x:v>ar</x:v>
      </x:c>
      <x:c r="E11" s="2" t="n">
        <x:v>2606.07137574</x:v>
      </x:c>
      <x:c r="F11" s="2" t="n">
        <x:v>2722.59614246</x:v>
      </x:c>
      <x:c r="G11" s="2" t="n">
        <x:v>3051.35656264</x:v>
      </x:c>
      <x:c r="H11" s="20" t="str">
        <x:v>2023: hikvision_FY2024 P157 L012; 2024: hikvision_FY2025 P147 L016; 2025: hikvision_FY2025 P147 L016</x:v>
      </x:c>
      <x:c r="I11" s="2"/>
    </x:row>
    <x:row r="12" ht="42" customHeight="1">
      <x:c r="C12" s="1" t="str">
        <x:v>应收账款</x:v>
      </x:c>
      <x:c r="D12" s="2" t="str">
        <x:v>ar</x:v>
      </x:c>
      <x:c r="E12" s="2" t="n">
        <x:v>35816.57351144</x:v>
      </x:c>
      <x:c r="F12" s="2" t="n">
        <x:v>37910.128735419996</x:v>
      </x:c>
      <x:c r="G12" s="2" t="n">
        <x:v>29812.37894577</x:v>
      </x:c>
      <x:c r="H12" s="20" t="str">
        <x:v>2023: hikvision_FY2024 P157 L013; 2024: hikvision_FY2025 P147 L018; 2025: hikvision_FY2025 P147 L018</x:v>
      </x:c>
      <x:c r="I12" s="2"/>
    </x:row>
    <x:row r="13" ht="42" customHeight="1">
      <x:c r="C13" s="1" t="str">
        <x:v>应收款项融资</x:v>
      </x:c>
      <x:c r="D13" s="2" t="str">
        <x:v>ar</x:v>
      </x:c>
      <x:c r="E13" s="2" t="n">
        <x:v>1594.2198326199998</x:v>
      </x:c>
      <x:c r="F13" s="2" t="n">
        <x:v>2291.6482440500004</x:v>
      </x:c>
      <x:c r="G13" s="2" t="n">
        <x:v>2430.03066265</x:v>
      </x:c>
      <x:c r="H13" s="20" t="str">
        <x:v>2023: hikvision_FY2024 P157 L014; 2024: hikvision_FY2025 P147 L020; 2025: hikvision_FY2025 P147 L020</x:v>
      </x:c>
      <x:c r="I13" s="2"/>
    </x:row>
    <x:row r="14" ht="42" customHeight="1">
      <x:c r="C14" s="1" t="str">
        <x:v>预付款项</x:v>
      </x:c>
      <x:c r="D14" s="2" t="str">
        <x:v>otherAssets</x:v>
      </x:c>
      <x:c r="E14" s="2" t="n">
        <x:v>508.15140592</x:v>
      </x:c>
      <x:c r="F14" s="2" t="n">
        <x:v>664.60259301</x:v>
      </x:c>
      <x:c r="G14" s="2" t="n">
        <x:v>856.74932834</x:v>
      </x:c>
      <x:c r="H14" s="20" t="str">
        <x:v>2023: hikvision_FY2024 P157 L015; 2024: hikvision_FY2025 P147 L022; 2025: hikvision_FY2025 P147 L022</x:v>
      </x:c>
      <x:c r="I14" s="2"/>
    </x:row>
    <x:row r="15" ht="42" customHeight="1">
      <x:c r="C15" s="1" t="str">
        <x:v>其他应收款</x:v>
      </x:c>
      <x:c r="D15" s="2" t="str">
        <x:v>otherAssets</x:v>
      </x:c>
      <x:c r="E15" s="2" t="n">
        <x:v>571.91203593</x:v>
      </x:c>
      <x:c r="F15" s="2" t="n">
        <x:v>531.3446065</x:v>
      </x:c>
      <x:c r="G15" s="2" t="n">
        <x:v>442.50278834</x:v>
      </x:c>
      <x:c r="H15" s="20" t="str">
        <x:v>2023: hikvision_FY2024 P157 L016; 2024: hikvision_FY2025 P147 L024; 2025: hikvision_FY2025 P147 L024</x:v>
      </x:c>
      <x:c r="I15" s="2"/>
    </x:row>
    <x:row r="16" ht="42" customHeight="1">
      <x:c r="C16" s="1" t="str">
        <x:v>存货</x:v>
      </x:c>
      <x:c r="D16" s="2" t="str">
        <x:v>inventory</x:v>
      </x:c>
      <x:c r="E16" s="2" t="n">
        <x:v>19211.44429682</x:v>
      </x:c>
      <x:c r="F16" s="2" t="n">
        <x:v>19110.71195811</x:v>
      </x:c>
      <x:c r="G16" s="2" t="n">
        <x:v>20472.193858799998</x:v>
      </x:c>
      <x:c r="H16" s="20" t="str">
        <x:v>2023: hikvision_FY2024 P157 L017; 2024: hikvision_FY2025 P147 L026; 2025: hikvision_FY2025 P147 L026</x:v>
      </x:c>
      <x:c r="I16" s="2"/>
    </x:row>
    <x:row r="17" ht="42" customHeight="1">
      <x:c r="C17" s="1" t="str">
        <x:v>合同资产</x:v>
      </x:c>
      <x:c r="D17" s="2" t="str">
        <x:v>ar</x:v>
      </x:c>
      <x:c r="E17" s="2" t="n">
        <x:v>1173.3124152</x:v>
      </x:c>
      <x:c r="F17" s="2" t="n">
        <x:v>985.82278569</x:v>
      </x:c>
      <x:c r="G17" s="2" t="n">
        <x:v>974.4501597100001</x:v>
      </x:c>
      <x:c r="H17" s="20" t="str">
        <x:v>2023: hikvision_FY2024 P157 L018; 2024: hikvision_FY2025 P147 L028; 2025: hikvision_FY2025 P147 L028</x:v>
      </x:c>
      <x:c r="I17" s="2"/>
    </x:row>
    <x:row r="18" ht="42" customHeight="1">
      <x:c r="C18" s="1" t="str">
        <x:v>一年内到期的非流动资产</x:v>
      </x:c>
      <x:c r="D18" s="2" t="str">
        <x:v>investments</x:v>
      </x:c>
      <x:c r="E18" s="2" t="n">
        <x:v>1079.72100623</x:v>
      </x:c>
      <x:c r="F18" s="2" t="n">
        <x:v>894.32764782</x:v>
      </x:c>
      <x:c r="G18" s="2" t="n">
        <x:v>603.98919429</x:v>
      </x:c>
      <x:c r="H18" s="20" t="str">
        <x:v>2023: hikvision_FY2024 P157 L019; 2024: hikvision_FY2025 P147 L030; 2025: hikvision_FY2025 P147 L030</x:v>
      </x:c>
      <x:c r="I18" s="2"/>
    </x:row>
    <x:row r="19" ht="42" customHeight="1">
      <x:c r="C19" s="1" t="str">
        <x:v>其他流动资产</x:v>
      </x:c>
      <x:c r="D19" s="2" t="str">
        <x:v>otherAssets</x:v>
      </x:c>
      <x:c r="E19" s="2" t="n">
        <x:v>961.59361675</x:v>
      </x:c>
      <x:c r="F19" s="2" t="n">
        <x:v>1071.0666531</x:v>
      </x:c>
      <x:c r="G19" s="2" t="n">
        <x:v>1251.68810054</x:v>
      </x:c>
      <x:c r="H19" s="20" t="str">
        <x:v>2023: hikvision_FY2024 P157 L020; 2024: hikvision_FY2025 P147 L032; 2025: hikvision_FY2025 P147 L032</x:v>
      </x:c>
      <x:c r="I19" s="2"/>
    </x:row>
    <x:row r="20" ht="42" customHeight="1">
      <x:c r="C20" s="1" t="str">
        <x:v>长期应收款</x:v>
      </x:c>
      <x:c r="D20" s="2" t="str">
        <x:v>otherAssets</x:v>
      </x:c>
      <x:c r="E20" s="2" t="n">
        <x:v>538.69861876</x:v>
      </x:c>
      <x:c r="F20" s="2" t="n">
        <x:v>380.45318808999997</x:v>
      </x:c>
      <x:c r="G20" s="2" t="n">
        <x:v>225.85777977</x:v>
      </x:c>
      <x:c r="H20" s="20" t="str">
        <x:v>2023: hikvision_FY2024 P157 L023; 2024: hikvision_FY2025 P147 L038; 2025: hikvision_FY2025 P147 L038</x:v>
      </x:c>
      <x:c r="I20" s="2"/>
    </x:row>
    <x:row r="21" ht="42" customHeight="1">
      <x:c r="C21" s="1" t="str">
        <x:v>长期股权投资</x:v>
      </x:c>
      <x:c r="D21" s="2" t="str">
        <x:v>investments</x:v>
      </x:c>
      <x:c r="E21" s="2" t="n">
        <x:v>1151.1048878499998</x:v>
      </x:c>
      <x:c r="F21" s="2" t="n">
        <x:v>1527.22339079</x:v>
      </x:c>
      <x:c r="G21" s="2" t="n">
        <x:v>1669.07460075</x:v>
      </x:c>
      <x:c r="H21" s="20" t="str">
        <x:v>2023: hikvision_FY2024 P157 L024; 2024: hikvision_FY2025 P147 L040; 2025: hikvision_FY2025 P147 L040</x:v>
      </x:c>
      <x:c r="I21" s="2"/>
    </x:row>
    <x:row r="22" ht="42" customHeight="1">
      <x:c r="C22" s="1" t="str">
        <x:v>其他非流动金融资产</x:v>
      </x:c>
      <x:c r="D22" s="2" t="str">
        <x:v>investments</x:v>
      </x:c>
      <x:c r="E22" s="2" t="n">
        <x:v>472.18493766</x:v>
      </x:c>
      <x:c r="F22" s="2" t="n">
        <x:v>472.00008276</x:v>
      </x:c>
      <x:c r="G22" s="2" t="n">
        <x:v>589.9553157400001</x:v>
      </x:c>
      <x:c r="H22" s="20" t="str">
        <x:v>2023: hikvision_FY2024 P157 L025; 2024: hikvision_FY2025 P147 L042; 2025: hikvision_FY2025 P147 L042</x:v>
      </x:c>
      <x:c r="I22" s="2"/>
    </x:row>
    <x:row r="23" ht="42" customHeight="1">
      <x:c r="C23" s="1" t="str">
        <x:v>固定资产</x:v>
      </x:c>
      <x:c r="D23" s="2" t="str">
        <x:v>ppe</x:v>
      </x:c>
      <x:c r="E23" s="2" t="n">
        <x:v>11508.31234217</x:v>
      </x:c>
      <x:c r="F23" s="2" t="n">
        <x:v>15063.75229649</x:v>
      </x:c>
      <x:c r="G23" s="2" t="n">
        <x:v>20176.91445195</x:v>
      </x:c>
      <x:c r="H23" s="20" t="str">
        <x:v>2023: hikvision_FY2024 P157 L026; 2024: hikvision_FY2025 P147 L044; 2025: hikvision_FY2025 P147 L044</x:v>
      </x:c>
      <x:c r="I23" s="2"/>
    </x:row>
    <x:row r="24" ht="42" customHeight="1">
      <x:c r="C24" s="1" t="str">
        <x:v>在建工程</x:v>
      </x:c>
      <x:c r="D24" s="2" t="str">
        <x:v>ppe</x:v>
      </x:c>
      <x:c r="E24" s="2" t="n">
        <x:v>4307.65107446</x:v>
      </x:c>
      <x:c r="F24" s="2" t="n">
        <x:v>4699.47338121</x:v>
      </x:c>
      <x:c r="G24" s="2" t="n">
        <x:v>1914.11089567</x:v>
      </x:c>
      <x:c r="H24" s="20" t="str">
        <x:v>2023: hikvision_FY2024 P157 L027; 2024: hikvision_FY2025 P147 L046; 2025: hikvision_FY2025 P147 L046</x:v>
      </x:c>
      <x:c r="I24" s="2"/>
    </x:row>
    <x:row r="25" ht="42" customHeight="1">
      <x:c r="C25" s="1" t="str">
        <x:v>使用权资产</x:v>
      </x:c>
      <x:c r="D25" s="2" t="str">
        <x:v>rou</x:v>
      </x:c>
      <x:c r="E25" s="2" t="n">
        <x:v>521.06139666</x:v>
      </x:c>
      <x:c r="F25" s="2" t="n">
        <x:v>530.13802379</x:v>
      </x:c>
      <x:c r="G25" s="2" t="n">
        <x:v>442.49584187</x:v>
      </x:c>
      <x:c r="H25" s="20" t="str">
        <x:v>2023: hikvision_FY2024 P157 L028; 2024: hikvision_FY2025 P147 L048; 2025: hikvision_FY2025 P147 L048</x:v>
      </x:c>
      <x:c r="I25" s="2"/>
    </x:row>
    <x:row r="26" ht="42" customHeight="1">
      <x:c r="C26" s="1" t="str">
        <x:v>无形资产</x:v>
      </x:c>
      <x:c r="D26" s="2" t="str">
        <x:v>intang</x:v>
      </x:c>
      <x:c r="E26" s="2" t="n">
        <x:v>1810.47655145</x:v>
      </x:c>
      <x:c r="F26" s="2" t="n">
        <x:v>1828.28713599</x:v>
      </x:c>
      <x:c r="G26" s="2" t="n">
        <x:v>1830.07420502</x:v>
      </x:c>
      <x:c r="H26" s="20" t="str">
        <x:v>2023: hikvision_FY2024 P157 L029; 2024: hikvision_FY2025 P147 L050; 2025: hikvision_FY2025 P147 L050</x:v>
      </x:c>
      <x:c r="I26" s="2"/>
    </x:row>
    <x:row r="27" ht="42" customHeight="1">
      <x:c r="C27" s="1" t="str">
        <x:v>商誉</x:v>
      </x:c>
      <x:c r="D27" s="2" t="str">
        <x:v>otherAssets</x:v>
      </x:c>
      <x:c r="E27" s="2" t="n">
        <x:v>311.35364088</x:v>
      </x:c>
      <x:c r="F27" s="2" t="n">
        <x:v>312.16512929000004</x:v>
      </x:c>
      <x:c r="G27" s="2" t="n">
        <x:v>311.18772701</x:v>
      </x:c>
      <x:c r="H27" s="20" t="str">
        <x:v>2023: hikvision_FY2024 P157 L030; 2024: hikvision_FY2025 P147 L052; 2025: hikvision_FY2025 P147 L052</x:v>
      </x:c>
      <x:c r="I27" s="2"/>
    </x:row>
    <x:row r="28" ht="42" customHeight="1">
      <x:c r="C28" s="1" t="str">
        <x:v>长期待摊费用</x:v>
      </x:c>
      <x:c r="D28" s="2" t="str">
        <x:v>intang</x:v>
      </x:c>
      <x:c r="E28" s="2" t="n">
        <x:v>177.36153393</x:v>
      </x:c>
      <x:c r="F28" s="2" t="n">
        <x:v>162.84175891</x:v>
      </x:c>
      <x:c r="G28" s="2" t="n">
        <x:v>148.02952725999998</x:v>
      </x:c>
      <x:c r="H28" s="20" t="str">
        <x:v>2023: hikvision_FY2024 P157 L031; 2024: hikvision_FY2025 P147 L054; 2025: hikvision_FY2025 P147 L054</x:v>
      </x:c>
      <x:c r="I28" s="2"/>
    </x:row>
    <x:row r="29" ht="42" customHeight="1">
      <x:c r="C29" s="1" t="str">
        <x:v>递延所得税资产</x:v>
      </x:c>
      <x:c r="D29" s="2" t="str">
        <x:v>otherAssets</x:v>
      </x:c>
      <x:c r="E29" s="2" t="n">
        <x:v>1978.37301215</x:v>
      </x:c>
      <x:c r="F29" s="2" t="n">
        <x:v>2206.19115706</x:v>
      </x:c>
      <x:c r="G29" s="2" t="n">
        <x:v>2435.62252184</x:v>
      </x:c>
      <x:c r="H29" s="20" t="str">
        <x:v>2023: hikvision_FY2024 P157 L032; 2024: hikvision_FY2025 P147 L056; 2025: hikvision_FY2025 P147 L056</x:v>
      </x:c>
      <x:c r="I29" s="2"/>
    </x:row>
    <x:row r="30" ht="42" customHeight="1">
      <x:c r="C30" s="1" t="str">
        <x:v>其他非流动资产</x:v>
      </x:c>
      <x:c r="D30" s="2" t="str">
        <x:v>otherAssets</x:v>
      </x:c>
      <x:c r="E30" s="2" t="n">
        <x:v>2920.3493443899997</x:v>
      </x:c>
      <x:c r="F30" s="2" t="n">
        <x:v>2353.1609846399997</x:v>
      </x:c>
      <x:c r="G30" s="2" t="n">
        <x:v>1897.87196482</x:v>
      </x:c>
      <x:c r="H30" s="20" t="str">
        <x:v>2023: hikvision_FY2024 P157 L033; 2024: hikvision_FY2025 P147 L058; 2025: hikvision_FY2025 P147 L058</x:v>
      </x:c>
      <x:c r="I30" s="2"/>
    </x:row>
    <x:row r="31" ht="42" customHeight="1">
      <x:c r="C31" s="1" t="str">
        <x:v>短期借款</x:v>
      </x:c>
      <x:c r="D31" s="2" t="str">
        <x:v>debt</x:v>
      </x:c>
      <x:c r="E31" s="2" t="n">
        <x:v>2118.9520260599998</x:v>
      </x:c>
      <x:c r="F31" s="2" t="n">
        <x:v>1031.89581262</x:v>
      </x:c>
      <x:c r="G31" s="2" t="n">
        <x:v>2685.86623694</x:v>
      </x:c>
      <x:c r="H31" s="20" t="str">
        <x:v>2023: hikvision_FY2024 P158 L008; 2024: hikvision_FY2025 P148 L008; 2025: hikvision_FY2025 P148 L008</x:v>
      </x:c>
      <x:c r="I31" s="2"/>
    </x:row>
    <x:row r="32" ht="42" customHeight="1">
      <x:c r="C32" s="1" t="str">
        <x:v>衍生金融负债</x:v>
      </x:c>
      <x:c r="D32" s="2" t="str">
        <x:v>otherLiabilities</x:v>
      </x:c>
      <x:c r="E32" s="2" t="n">
        <x:v>38.07975504</x:v>
      </x:c>
      <x:c r="F32" s="2" t="n">
        <x:v>1.87434164</x:v>
      </x:c>
      <x:c r="G32" s="2" t="n">
        <x:v>11.29940125</x:v>
      </x:c>
      <x:c r="H32" s="20" t="str">
        <x:v>2023: hikvision_FY2024 P158 L009; 2024: hikvision_FY2025 P148 L009; 2025: hikvision_FY2025 P148 L009</x:v>
      </x:c>
      <x:c r="I32" s="2"/>
    </x:row>
    <x:row r="33" ht="42" customHeight="1">
      <x:c r="C33" s="1" t="str">
        <x:v>应付票据</x:v>
      </x:c>
      <x:c r="D33" s="2" t="str">
        <x:v>ap</x:v>
      </x:c>
      <x:c r="E33" s="2" t="n">
        <x:v>1163.68727958</x:v>
      </x:c>
      <x:c r="F33" s="2" t="n">
        <x:v>1197.1287465599999</x:v>
      </x:c>
      <x:c r="G33" s="2" t="n">
        <x:v>783.77853495</x:v>
      </x:c>
      <x:c r="H33" s="20" t="str">
        <x:v>2023: hikvision_FY2024 P158 L010; 2024: hikvision_FY2025 P148 L010; 2025: hikvision_FY2025 P148 L010</x:v>
      </x:c>
      <x:c r="I33" s="2"/>
    </x:row>
    <x:row r="34" ht="42" customHeight="1">
      <x:c r="C34" s="1" t="str">
        <x:v>应付账款</x:v>
      </x:c>
      <x:c r="D34" s="2" t="str">
        <x:v>ap</x:v>
      </x:c>
      <x:c r="E34" s="2" t="n">
        <x:v>19163.48588809</x:v>
      </x:c>
      <x:c r="F34" s="2" t="n">
        <x:v>20185.303107689997</x:v>
      </x:c>
      <x:c r="G34" s="2" t="n">
        <x:v>19843.94957587</x:v>
      </x:c>
      <x:c r="H34" s="20" t="str">
        <x:v>2023: hikvision_FY2024 P158 L011; 2024: hikvision_FY2025 P148 L011; 2025: hikvision_FY2025 P148 L011</x:v>
      </x:c>
      <x:c r="I34" s="2"/>
    </x:row>
    <x:row r="35" ht="42" customHeight="1">
      <x:c r="C35" s="1" t="str">
        <x:v>合同负债</x:v>
      </x:c>
      <x:c r="D35" s="2" t="str">
        <x:v>contract</x:v>
      </x:c>
      <x:c r="E35" s="2" t="n">
        <x:v>2977.9907754</x:v>
      </x:c>
      <x:c r="F35" s="2" t="n">
        <x:v>3353.9430542399996</x:v>
      </x:c>
      <x:c r="G35" s="2" t="n">
        <x:v>4200.49087307</x:v>
      </x:c>
      <x:c r="H35" s="20" t="str">
        <x:v>2023: hikvision_FY2024 P158 L012; 2024: hikvision_FY2025 P148 L012; 2025: hikvision_FY2025 P148 L012</x:v>
      </x:c>
      <x:c r="I35" s="2"/>
    </x:row>
    <x:row r="36" ht="42" customHeight="1">
      <x:c r="C36" s="1" t="str">
        <x:v>应付职工薪酬</x:v>
      </x:c>
      <x:c r="D36" s="2" t="str">
        <x:v>otherLiabilities</x:v>
      </x:c>
      <x:c r="E36" s="2" t="n">
        <x:v>6120.47128078</x:v>
      </x:c>
      <x:c r="F36" s="2" t="n">
        <x:v>5666.4158341</x:v>
      </x:c>
      <x:c r="G36" s="2" t="n">
        <x:v>6937.5171423500005</x:v>
      </x:c>
      <x:c r="H36" s="20" t="str">
        <x:v>2023: hikvision_FY2024 P158 L013; 2024: hikvision_FY2025 P148 L013; 2025: hikvision_FY2025 P148 L013</x:v>
      </x:c>
      <x:c r="I36" s="2"/>
    </x:row>
    <x:row r="37" ht="42" customHeight="1">
      <x:c r="C37" s="1" t="str">
        <x:v>应交税费</x:v>
      </x:c>
      <x:c r="D37" s="2" t="str">
        <x:v>taxPayable</x:v>
      </x:c>
      <x:c r="E37" s="2" t="n">
        <x:v>1622.5501878599998</x:v>
      </x:c>
      <x:c r="F37" s="2" t="n">
        <x:v>1535.93609602</x:v>
      </x:c>
      <x:c r="G37" s="2" t="n">
        <x:v>1794.09150307</x:v>
      </x:c>
      <x:c r="H37" s="20" t="str">
        <x:v>2023: hikvision_FY2024 P158 L014; 2024: hikvision_FY2025 P148 L014; 2025: hikvision_FY2025 P148 L014</x:v>
      </x:c>
      <x:c r="I37" s="2"/>
    </x:row>
    <x:row r="38" ht="42" customHeight="1">
      <x:c r="C38" s="1" t="str">
        <x:v>其他应付款</x:v>
      </x:c>
      <x:c r="D38" s="2" t="str">
        <x:v>otherLiabilities</x:v>
      </x:c>
      <x:c r="E38" s="2" t="n">
        <x:v>3911.61284106</x:v>
      </x:c>
      <x:c r="F38" s="2" t="n">
        <x:v>3528.35904448</x:v>
      </x:c>
      <x:c r="G38" s="2" t="n">
        <x:v>3384.0200949299997</x:v>
      </x:c>
      <x:c r="H38" s="20" t="str">
        <x:v>2023: hikvision_FY2024 P158 L015; 2024: hikvision_FY2025 P148 L015; 2025: hikvision_FY2025 P148 L015</x:v>
      </x:c>
      <x:c r="I38" s="2"/>
    </x:row>
    <x:row r="39" ht="42" customHeight="1">
      <x:c r="C39" s="1" t="str">
        <x:v>一年内到期的非流动负债</x:v>
      </x:c>
      <x:c r="D39" s="2" t="str">
        <x:v>debt</x:v>
      </x:c>
      <x:c r="E39" s="2" t="n">
        <x:v>5814.66021496</x:v>
      </x:c>
      <x:c r="F39" s="2" t="n">
        <x:v>767.03068891</x:v>
      </x:c>
      <x:c r="G39" s="2" t="n">
        <x:v>3939.27112961</x:v>
      </x:c>
      <x:c r="H39" s="20" t="str">
        <x:v>2023: hikvision_FY2024 P158 L017; 2024: hikvision_FY2025 P148 L017; 2025: hikvision_FY2025 P148 L017</x:v>
      </x:c>
      <x:c r="I39" s="2"/>
    </x:row>
    <x:row r="40" ht="42" customHeight="1">
      <x:c r="C40" s="1" t="str">
        <x:v>其他流动负债</x:v>
      </x:c>
      <x:c r="D40" s="2" t="str">
        <x:v>otherLiabilities</x:v>
      </x:c>
      <x:c r="E40" s="2" t="n">
        <x:v>1481.2220441900001</x:v>
      </x:c>
      <x:c r="F40" s="2" t="n">
        <x:v>377.11727564999995</x:v>
      </x:c>
      <x:c r="G40" s="2" t="n">
        <x:v>415.4308824</x:v>
      </x:c>
      <x:c r="H40" s="20" t="str">
        <x:v>2023: hikvision_FY2024 P158 L018; 2024: hikvision_FY2025 P148 L018; 2025: hikvision_FY2025 P148 L018</x:v>
      </x:c>
      <x:c r="I40" s="2"/>
    </x:row>
    <x:row r="41" ht="42" customHeight="1">
      <x:c r="C41" s="1" t="str">
        <x:v>长期借款</x:v>
      </x:c>
      <x:c r="D41" s="2" t="str">
        <x:v>debt</x:v>
      </x:c>
      <x:c r="E41" s="2" t="n">
        <x:v>8940.12296101</x:v>
      </x:c>
      <x:c r="F41" s="2" t="n">
        <x:v>5119.185</x:v>
      </x:c>
      <x:c r="G41" s="2" t="n">
        <x:v>1210.56481439</x:v>
      </x:c>
      <x:c r="H41" s="20" t="str">
        <x:v>2023: hikvision_FY2024 P158 L021; 2024: hikvision_FY2025 P148 L021; 2025: hikvision_FY2025 P148 L021</x:v>
      </x:c>
      <x:c r="I41" s="2"/>
    </x:row>
    <x:row r="42" ht="42" customHeight="1">
      <x:c r="C42" s="1" t="str">
        <x:v>租赁负债</x:v>
      </x:c>
      <x:c r="D42" s="2" t="str">
        <x:v>debt</x:v>
      </x:c>
      <x:c r="E42" s="2" t="n">
        <x:v>344.00586613</x:v>
      </x:c>
      <x:c r="F42" s="2" t="n">
        <x:v>375.43274968000003</x:v>
      </x:c>
      <x:c r="G42" s="2" t="n">
        <x:v>299.39096616</x:v>
      </x:c>
      <x:c r="H42" s="20" t="str">
        <x:v>2023: hikvision_FY2024 P158 L022; 2024: hikvision_FY2025 P148 L022; 2025: hikvision_FY2025 P148 L022</x:v>
      </x:c>
      <x:c r="I42" s="2"/>
    </x:row>
    <x:row r="43" ht="42" customHeight="1">
      <x:c r="C43" s="1" t="str">
        <x:v>长期应付款</x:v>
      </x:c>
      <x:c r="D43" s="2" t="str">
        <x:v>otherLiabilities</x:v>
      </x:c>
      <x:c r="E43" s="2" t="n">
        <x:v>15.52616945</x:v>
      </x:c>
      <x:c r="F43" s="2" t="n">
        <x:v>9.7802208</x:v>
      </x:c>
      <x:c r="G43" s="2" t="n">
        <x:v>9.7495696</x:v>
      </x:c>
      <x:c r="H43" s="20" t="str">
        <x:v>2023: hikvision_FY2024 P158 L023; 2024: hikvision_FY2025 P148 L023; 2025: hikvision_FY2025 P148 L023</x:v>
      </x:c>
      <x:c r="I43" s="2"/>
    </x:row>
    <x:row r="44" ht="42" customHeight="1">
      <x:c r="C44" s="1" t="str">
        <x:v>预计负债</x:v>
      </x:c>
      <x:c r="D44" s="2" t="str">
        <x:v>otherLiabilities</x:v>
      </x:c>
      <x:c r="E44" s="2" t="n">
        <x:v>213.08403831</x:v>
      </x:c>
      <x:c r="F44" s="2" t="n">
        <x:v>305.25004971</x:v>
      </x:c>
      <x:c r="G44" s="2" t="n">
        <x:v>118.43537520999999</x:v>
      </x:c>
      <x:c r="H44" s="20" t="str">
        <x:v>2023: hikvision_FY2024 P158 L024; 2024: hikvision_FY2025 P148 L024; 2025: hikvision_FY2025 P148 L024</x:v>
      </x:c>
      <x:c r="I44" s="2"/>
    </x:row>
    <x:row r="45" ht="42" customHeight="1">
      <x:c r="C45" s="1" t="str">
        <x:v>递延收益</x:v>
      </x:c>
      <x:c r="D45" s="2" t="str">
        <x:v>otherLiabilities</x:v>
      </x:c>
      <x:c r="E45" s="2" t="n">
        <x:v>966.25959234</x:v>
      </x:c>
      <x:c r="F45" s="2" t="n">
        <x:v>874.51207353</x:v>
      </x:c>
      <x:c r="G45" s="2" t="n">
        <x:v>863.2636625299999</x:v>
      </x:c>
      <x:c r="H45" s="20" t="str">
        <x:v>2023: hikvision_FY2024 P158 L025; 2024: hikvision_FY2025 P148 L025; 2025: hikvision_FY2025 P148 L025</x:v>
      </x:c>
      <x:c r="I45" s="2"/>
    </x:row>
    <x:row r="46" ht="42" customHeight="1">
      <x:c r="C46" s="1" t="str">
        <x:v>递延所得税负债</x:v>
      </x:c>
      <x:c r="D46" s="2" t="str">
        <x:v>otherLiabilities</x:v>
      </x:c>
      <x:c r="E46" s="2" t="n">
        <x:v>129.86697818000002</x:v>
      </x:c>
      <x:c r="F46" s="2" t="n">
        <x:v>112.71136351999999</x:v>
      </x:c>
      <x:c r="G46" s="2" t="n">
        <x:v>114.5832089</x:v>
      </x:c>
      <x:c r="H46" s="20" t="str">
        <x:v>2023: hikvision_FY2024 P158 L026; 2024: hikvision_FY2025 P148 L026; 2025: hikvision_FY2025 P148 L026</x:v>
      </x:c>
      <x:c r="I46" s="2"/>
    </x:row>
    <x:row r="47" ht="42" customHeight="1">
      <x:c r="C47" s="1" t="str">
        <x:v>其他非流动负债</x:v>
      </x:c>
      <x:c r="D47" s="2" t="str">
        <x:v>otherLiabilities</x:v>
      </x:c>
      <x:c r="E47" s="2" t="n">
        <x:v>1672.9331032</x:v>
      </x:c>
      <x:c r="F47" s="2" t="n">
        <x:v>74.02994884</x:v>
      </x:c>
      <x:c r="G47" s="2" t="n">
        <x:v>221.08900880000002</x:v>
      </x:c>
      <x:c r="H47" s="20" t="str">
        <x:v>2023: hikvision_FY2024 P158 L027; 2024: hikvision_FY2025 P148 L027; 2025: hikvision_FY2025 P148 L027</x:v>
      </x:c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hikvision_FY2024</x:v>
      </x:c>
      <x:c r="D9" s="43" t="str">
        <x:v>FY2024</x:v>
      </x:c>
      <x:c r="E9" s="43"/>
      <x:c r="F9" s="43" t="str">
        <x:v>RMB</x:v>
      </x:c>
      <x:c r="G9" s="43" t="str">
        <x:v>SOURCE_FACT</x:v>
      </x:c>
      <x:c r="H9" s="43" t="str">
        <x:v>272 PDF pages</x:v>
      </x:c>
      <x:c r="I9" s="43" t="str">
        <x:v>https://static.cninfo.com.cn/finalpage/2025-04-19/1223153152.PDF</x:v>
      </x:c>
    </x:row>
    <x:row r="10" ht="29" customHeight="1">
      <x:c r="C10" s="42" t="str">
        <x:v>PDF SHA-256</x:v>
      </x:c>
      <x:c r="D10" s="43" t="str">
        <x:v>f1a8771d81d6ed723c4d1a7d552400cf408cca4752033f5bbd0f88ae2729757b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hikvision_FY2025</x:v>
      </x:c>
      <x:c r="D12" s="43" t="str">
        <x:v>FY2025</x:v>
      </x:c>
      <x:c r="E12" s="43"/>
      <x:c r="F12" s="43" t="str">
        <x:v>RMB</x:v>
      </x:c>
      <x:c r="G12" s="43" t="str">
        <x:v>SOURCE_FACT</x:v>
      </x:c>
      <x:c r="H12" s="43" t="str">
        <x:v>263 PDF pages</x:v>
      </x:c>
      <x:c r="I12" s="43" t="str">
        <x:v>https://static.cninfo.com.cn/finalpage/2026-04-18/1225123062.PDF</x:v>
      </x:c>
    </x:row>
    <x:row r="13" ht="29" customHeight="1">
      <x:c r="C13" s="42" t="str">
        <x:v>PDF SHA-256</x:v>
      </x:c>
      <x:c r="D13" s="43" t="str">
        <x:v>a805779efb81bea8158e119ad7c733c4669b8d492dc03c7613199970bfa4b8b2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hikvision_H12026</x:v>
      </x:c>
      <x:c r="D15" s="43" t="str">
        <x:v>H12026</x:v>
      </x:c>
      <x:c r="E15" s="43"/>
      <x:c r="F15" s="43" t="str">
        <x:v>RMB</x:v>
      </x:c>
      <x:c r="G15" s="43" t="str">
        <x:v>SOURCE_FACT</x:v>
      </x:c>
      <x:c r="H15" s="43" t="str">
        <x:v>139 PDF pages</x:v>
      </x:c>
      <x:c r="I15" s="43" t="str">
        <x:v>https://static.cninfo.com.cn/finalpage/2026-07-25/1225440236.PDF</x:v>
      </x:c>
    </x:row>
    <x:row r="16" ht="29" customHeight="1">
      <x:c r="C16" s="42" t="str">
        <x:v>PDF SHA-256</x:v>
      </x:c>
      <x:c r="D16" s="43" t="str">
        <x:v>45642c6bb43c573f04b61122cde1fa9d70eb9a18e66c044cb12f4933d68a3fe8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一、营业收入</x:v>
      </x:c>
      <x:c r="D18" s="43" t="str">
        <x:v>FY2023</x:v>
      </x:c>
      <x:c r="E18" s="43" t="n">
        <x:v>89341.17761039999</x:v>
      </x:c>
      <x:c r="F18" s="43" t="str">
        <x:v>RMB million</x:v>
      </x:c>
      <x:c r="G18" s="43" t="str">
        <x:v>SOURCE_FACT</x:v>
      </x:c>
      <x:c r="H18" s="43" t="str">
        <x:v>P161 L008</x:v>
      </x:c>
      <x:c r="I18" s="43" t="str">
        <x:v>https://static.cninfo.com.cn/finalpage/2025-04-19/1223153152.PDF</x:v>
      </x:c>
    </x:row>
    <x:row r="19" ht="29" customHeight="1">
      <x:c r="C19" s="42" t="str">
        <x:v>减：营业成本</x:v>
      </x:c>
      <x:c r="D19" s="43" t="str">
        <x:v>FY2023</x:v>
      </x:c>
      <x:c r="E19" s="43" t="n">
        <x:v>49732.76854757</x:v>
      </x:c>
      <x:c r="F19" s="43" t="str">
        <x:v>RMB million</x:v>
      </x:c>
      <x:c r="G19" s="43" t="str">
        <x:v>SOURCE_FACT</x:v>
      </x:c>
      <x:c r="H19" s="43" t="str">
        <x:v>P161 L009</x:v>
      </x:c>
      <x:c r="I19" s="43" t="str">
        <x:v>https://static.cninfo.com.cn/finalpage/2025-04-19/1223153152.PDF</x:v>
      </x:c>
    </x:row>
    <x:row r="20" ht="29" customHeight="1">
      <x:c r="C20" s="42" t="str">
        <x:v>销售费用</x:v>
      </x:c>
      <x:c r="D20" s="43" t="str">
        <x:v>FY2023</x:v>
      </x:c>
      <x:c r="E20" s="43" t="n">
        <x:v>10746.78807601</x:v>
      </x:c>
      <x:c r="F20" s="43" t="str">
        <x:v>RMB million</x:v>
      </x:c>
      <x:c r="G20" s="43" t="str">
        <x:v>SOURCE_FACT</x:v>
      </x:c>
      <x:c r="H20" s="43" t="str">
        <x:v>P161 L011</x:v>
      </x:c>
      <x:c r="I20" s="43" t="str">
        <x:v>https://static.cninfo.com.cn/finalpage/2025-04-19/1223153152.PDF</x:v>
      </x:c>
    </x:row>
    <x:row r="21" ht="29" customHeight="1">
      <x:c r="C21" s="42" t="str">
        <x:v>管理费用</x:v>
      </x:c>
      <x:c r="D21" s="43" t="str">
        <x:v>FY2023</x:v>
      </x:c>
      <x:c r="E21" s="43" t="n">
        <x:v>2770.78120345</x:v>
      </x:c>
      <x:c r="F21" s="43" t="str">
        <x:v>RMB million</x:v>
      </x:c>
      <x:c r="G21" s="43" t="str">
        <x:v>SOURCE_FACT</x:v>
      </x:c>
      <x:c r="H21" s="43" t="str">
        <x:v>P161 L012</x:v>
      </x:c>
      <x:c r="I21" s="43" t="str">
        <x:v>https://static.cninfo.com.cn/finalpage/2025-04-19/1223153152.PDF</x:v>
      </x:c>
    </x:row>
    <x:row r="22" ht="29" customHeight="1">
      <x:c r="C22" s="42" t="str">
        <x:v>研发费用</x:v>
      </x:c>
      <x:c r="D22" s="43" t="str">
        <x:v>FY2023</x:v>
      </x:c>
      <x:c r="E22" s="43" t="n">
        <x:v>11392.948404469998</x:v>
      </x:c>
      <x:c r="F22" s="43" t="str">
        <x:v>RMB million</x:v>
      </x:c>
      <x:c r="G22" s="43" t="str">
        <x:v>SOURCE_FACT</x:v>
      </x:c>
      <x:c r="H22" s="43" t="str">
        <x:v>P161 L013</x:v>
      </x:c>
      <x:c r="I22" s="43" t="str">
        <x:v>https://static.cninfo.com.cn/finalpage/2025-04-19/1223153152.PDF</x:v>
      </x:c>
    </x:row>
    <x:row r="23" ht="29" customHeight="1">
      <x:c r="C23" s="42" t="str">
        <x:v>税金及附加</x:v>
      </x:c>
      <x:c r="D23" s="43" t="str">
        <x:v>FY2023</x:v>
      </x:c>
      <x:c r="E23" s="43" t="n">
        <x:v>704.64137869</x:v>
      </x:c>
      <x:c r="F23" s="43" t="str">
        <x:v>RMB million</x:v>
      </x:c>
      <x:c r="G23" s="43" t="str">
        <x:v>SOURCE_FACT</x:v>
      </x:c>
      <x:c r="H23" s="43" t="str">
        <x:v>P161 L010</x:v>
      </x:c>
      <x:c r="I23" s="43" t="str">
        <x:v>https://static.cninfo.com.cn/finalpage/2025-04-19/1223153152.PDF</x:v>
      </x:c>
    </x:row>
    <x:row r="24" ht="29" customHeight="1">
      <x:c r="C24" s="42" t="str">
        <x:v>财务费用</x:v>
      </x:c>
      <x:c r="D24" s="43" t="str">
        <x:v>FY2023</x:v>
      </x:c>
      <x:c r="E24" s="43" t="n">
        <x:v>-749.80028379</x:v>
      </x:c>
      <x:c r="F24" s="43" t="str">
        <x:v>RMB million</x:v>
      </x:c>
      <x:c r="G24" s="43" t="str">
        <x:v>SOURCE_FACT</x:v>
      </x:c>
      <x:c r="H24" s="43" t="str">
        <x:v>P161 L014</x:v>
      </x:c>
      <x:c r="I24" s="43" t="str">
        <x:v>https://static.cninfo.com.cn/finalpage/2025-04-19/1223153152.PDF</x:v>
      </x:c>
    </x:row>
    <x:row r="25" ht="29" customHeight="1">
      <x:c r="C25" s="42" t="str">
        <x:v>其中：利息费用</x:v>
      </x:c>
      <x:c r="D25" s="43" t="str">
        <x:v>FY2023</x:v>
      </x:c>
      <x:c r="E25" s="43" t="n">
        <x:v>457.60511958999996</x:v>
      </x:c>
      <x:c r="F25" s="43" t="str">
        <x:v>RMB million</x:v>
      </x:c>
      <x:c r="G25" s="43" t="str">
        <x:v>SOURCE_FACT</x:v>
      </x:c>
      <x:c r="H25" s="43" t="str">
        <x:v>P161 L015</x:v>
      </x:c>
      <x:c r="I25" s="43" t="str">
        <x:v>https://static.cninfo.com.cn/finalpage/2025-04-19/1223153152.PDF</x:v>
      </x:c>
    </x:row>
    <x:row r="26" ht="29" customHeight="1">
      <x:c r="C26" s="42" t="str">
        <x:v>三、利润总额</x:v>
      </x:c>
      <x:c r="D26" s="43" t="str">
        <x:v>FY2023</x:v>
      </x:c>
      <x:c r="E26" s="43" t="n">
        <x:v>16099.215632110001</x:v>
      </x:c>
      <x:c r="F26" s="43" t="str">
        <x:v>RMB million</x:v>
      </x:c>
      <x:c r="G26" s="43" t="str">
        <x:v>SOURCE_FACT</x:v>
      </x:c>
      <x:c r="H26" s="43" t="str">
        <x:v>P161 L027</x:v>
      </x:c>
      <x:c r="I26" s="43" t="str">
        <x:v>https://static.cninfo.com.cn/finalpage/2025-04-19/1223153152.PDF</x:v>
      </x:c>
    </x:row>
    <x:row r="27" ht="29" customHeight="1">
      <x:c r="C27" s="42" t="str">
        <x:v>减：所得税费用</x:v>
      </x:c>
      <x:c r="D27" s="43" t="str">
        <x:v>FY2023</x:v>
      </x:c>
      <x:c r="E27" s="43" t="n">
        <x:v>943.3138689</x:v>
      </x:c>
      <x:c r="F27" s="43" t="str">
        <x:v>RMB million</x:v>
      </x:c>
      <x:c r="G27" s="43" t="str">
        <x:v>SOURCE_FACT</x:v>
      </x:c>
      <x:c r="H27" s="43" t="str">
        <x:v>P161 L028</x:v>
      </x:c>
      <x:c r="I27" s="43" t="str">
        <x:v>https://static.cninfo.com.cn/finalpage/2025-04-19/1223153152.PDF</x:v>
      </x:c>
    </x:row>
    <x:row r="28" ht="29" customHeight="1">
      <x:c r="C28" s="42" t="str">
        <x:v>四、净利润</x:v>
      </x:c>
      <x:c r="D28" s="43" t="str">
        <x:v>FY2023</x:v>
      </x:c>
      <x:c r="E28" s="43" t="n">
        <x:v>15155.901763209999</x:v>
      </x:c>
      <x:c r="F28" s="43" t="str">
        <x:v>RMB million</x:v>
      </x:c>
      <x:c r="G28" s="43" t="str">
        <x:v>SOURCE_FACT</x:v>
      </x:c>
      <x:c r="H28" s="43" t="str">
        <x:v>P161 L029</x:v>
      </x:c>
      <x:c r="I28" s="43" t="str">
        <x:v>https://static.cninfo.com.cn/finalpage/2025-04-19/1223153152.PDF</x:v>
      </x:c>
    </x:row>
    <x:row r="29" ht="29" customHeight="1">
      <x:c r="C29" s="42" t="str">
        <x:v>1.归属于母公司所有者的净利润</x:v>
      </x:c>
      <x:c r="D29" s="43" t="str">
        <x:v>FY2023</x:v>
      </x:c>
      <x:c r="E29" s="43" t="n">
        <x:v>14107.72627626</x:v>
      </x:c>
      <x:c r="F29" s="43" t="str">
        <x:v>RMB million</x:v>
      </x:c>
      <x:c r="G29" s="43" t="str">
        <x:v>SOURCE_FACT</x:v>
      </x:c>
      <x:c r="H29" s="43" t="str">
        <x:v>P161 L034</x:v>
      </x:c>
      <x:c r="I29" s="43" t="str">
        <x:v>https://static.cninfo.com.cn/finalpage/2025-04-19/1223153152.PDF</x:v>
      </x:c>
    </x:row>
    <x:row r="30" ht="29" customHeight="1">
      <x:c r="C30" s="42" t="str">
        <x:v>2.少数股东损益</x:v>
      </x:c>
      <x:c r="D30" s="43" t="str">
        <x:v>FY2023</x:v>
      </x:c>
      <x:c r="E30" s="43" t="n">
        <x:v>1048.17548695</x:v>
      </x:c>
      <x:c r="F30" s="43" t="str">
        <x:v>RMB million</x:v>
      </x:c>
      <x:c r="G30" s="43" t="str">
        <x:v>SOURCE_FACT</x:v>
      </x:c>
      <x:c r="H30" s="43" t="str">
        <x:v>P161 L035</x:v>
      </x:c>
      <x:c r="I30" s="43" t="str">
        <x:v>https://static.cninfo.com.cn/finalpage/2025-04-19/1223153152.PDF</x:v>
      </x:c>
    </x:row>
    <x:row r="31" ht="29" customHeight="1">
      <x:c r="C31" s="42" t="str">
        <x:v>经营活动产生的现金流量净额(五)</x:v>
      </x:c>
      <x:c r="D31" s="43" t="str">
        <x:v>FY2023</x:v>
      </x:c>
      <x:c r="E31" s="43" t="n">
        <x:v>16622.20972105</x:v>
      </x:c>
      <x:c r="F31" s="43" t="str">
        <x:v>RMB million</x:v>
      </x:c>
      <x:c r="G31" s="43" t="str">
        <x:v>SOURCE_FACT</x:v>
      </x:c>
      <x:c r="H31" s="43" t="str">
        <x:v>P163 L019</x:v>
      </x:c>
      <x:c r="I31" s="43" t="str">
        <x:v>https://static.cninfo.com.cn/finalpage/2025-04-19/1223153152.PDF</x:v>
      </x:c>
    </x:row>
    <x:row r="32" ht="29" customHeight="1">
      <x:c r="C32" s="42" t="str">
        <x:v>投资活动产生的现金流量净额</x:v>
      </x:c>
      <x:c r="D32" s="43" t="str">
        <x:v>FY2023</x:v>
      </x:c>
      <x:c r="E32" s="43" t="n">
        <x:v>-3987.2999900100003</x:v>
      </x:c>
      <x:c r="F32" s="43" t="str">
        <x:v>RMB million</x:v>
      </x:c>
      <x:c r="G32" s="43" t="str">
        <x:v>SOURCE_FACT</x:v>
      </x:c>
      <x:c r="H32" s="43" t="str">
        <x:v>P163 L030</x:v>
      </x:c>
      <x:c r="I32" s="43" t="str">
        <x:v>https://static.cninfo.com.cn/finalpage/2025-04-19/1223153152.PDF</x:v>
      </x:c>
    </x:row>
    <x:row r="33" ht="29" customHeight="1">
      <x:c r="C33" s="42" t="str">
        <x:v>筹资活动产生的现金流量净额</x:v>
      </x:c>
      <x:c r="D33" s="43" t="str">
        <x:v>FY2023</x:v>
      </x:c>
      <x:c r="E33" s="43" t="n">
        <x:v>-3145.43149812</x:v>
      </x:c>
      <x:c r="F33" s="43" t="str">
        <x:v>RMB million</x:v>
      </x:c>
      <x:c r="G33" s="43" t="str">
        <x:v>SOURCE_FACT</x:v>
      </x:c>
      <x:c r="H33" s="43" t="str">
        <x:v>P163 L042</x:v>
      </x:c>
      <x:c r="I33" s="43" t="str">
        <x:v>https://static.cninfo.com.cn/finalpage/2025-04-19/1223153152.PDF</x:v>
      </x:c>
    </x:row>
    <x:row r="34" ht="29" customHeight="1">
      <x:c r="C34" s="42" t="str">
        <x:v>四、汇率变动对现金及现金等价物的影响额</x:v>
      </x:c>
      <x:c r="D34" s="43" t="str">
        <x:v>FY2023</x:v>
      </x:c>
      <x:c r="E34" s="43" t="n">
        <x:v>113.36501534</x:v>
      </x:c>
      <x:c r="F34" s="43" t="str">
        <x:v>RMB million</x:v>
      </x:c>
      <x:c r="G34" s="43" t="str">
        <x:v>SOURCE_FACT</x:v>
      </x:c>
      <x:c r="H34" s="43" t="str">
        <x:v>P163 L043</x:v>
      </x:c>
      <x:c r="I34" s="43" t="str">
        <x:v>https://static.cninfo.com.cn/finalpage/2025-04-19/1223153152.PDF</x:v>
      </x:c>
    </x:row>
    <x:row r="35" ht="29" customHeight="1">
      <x:c r="C35" s="42" t="str">
        <x:v>加：年初现金及现金等价物余额(五)</x:v>
      </x:c>
      <x:c r="D35" s="43" t="str">
        <x:v>FY2023</x:v>
      </x:c>
      <x:c r="E35" s="43" t="n">
        <x:v>39825.124107519994</x:v>
      </x:c>
      <x:c r="F35" s="43" t="str">
        <x:v>RMB million</x:v>
      </x:c>
      <x:c r="G35" s="43" t="str">
        <x:v>SOURCE_FACT</x:v>
      </x:c>
      <x:c r="H35" s="43" t="str">
        <x:v>P163 L045</x:v>
      </x:c>
      <x:c r="I35" s="43" t="str">
        <x:v>https://static.cninfo.com.cn/finalpage/2025-04-19/1223153152.PDF</x:v>
      </x:c>
    </x:row>
    <x:row r="36" ht="29" customHeight="1">
      <x:c r="C36" s="42" t="str">
        <x:v>六、年末现金及现金等价物余额(五)</x:v>
      </x:c>
      <x:c r="D36" s="43" t="str">
        <x:v>FY2023</x:v>
      </x:c>
      <x:c r="E36" s="43" t="n">
        <x:v>49427.96735578</x:v>
      </x:c>
      <x:c r="F36" s="43" t="str">
        <x:v>RMB million</x:v>
      </x:c>
      <x:c r="G36" s="43" t="str">
        <x:v>SOURCE_FACT</x:v>
      </x:c>
      <x:c r="H36" s="43" t="str">
        <x:v>P163 L046</x:v>
      </x:c>
      <x:c r="I36" s="43" t="str">
        <x:v>https://static.cninfo.com.cn/finalpage/2025-04-19/1223153152.PDF</x:v>
      </x:c>
    </x:row>
    <x:row r="37" ht="29" customHeight="1">
      <x:c r="C37" s="42" t="str">
        <x:v>购建固定资产、无形资产和其他长期资产支付的现金(五)</x:v>
      </x:c>
      <x:c r="D37" s="43" t="str">
        <x:v>FY2023</x:v>
      </x:c>
      <x:c r="E37" s="43" t="n">
        <x:v>4047.81602405</x:v>
      </x:c>
      <x:c r="F37" s="43" t="str">
        <x:v>RMB million</x:v>
      </x:c>
      <x:c r="G37" s="43" t="str">
        <x:v>SOURCE_FACT</x:v>
      </x:c>
      <x:c r="H37" s="43" t="str">
        <x:v>P163 L026</x:v>
      </x:c>
      <x:c r="I37" s="43" t="str">
        <x:v>https://static.cninfo.com.cn/finalpage/2025-04-19/1223153152.PDF</x:v>
      </x:c>
    </x:row>
    <x:row r="38" ht="29" customHeight="1">
      <x:c r="C38" s="42" t="str">
        <x:v>资产总计</x:v>
      </x:c>
      <x:c r="D38" s="43" t="str">
        <x:v>FY2023</x:v>
      </x:c>
      <x:c r="E38" s="43" t="n">
        <x:v>138858.12287954998</x:v>
      </x:c>
      <x:c r="F38" s="43" t="str">
        <x:v>RMB million</x:v>
      </x:c>
      <x:c r="G38" s="43" t="str">
        <x:v>SOURCE_FACT</x:v>
      </x:c>
      <x:c r="H38" s="43" t="str">
        <x:v>P157 L035</x:v>
      </x:c>
      <x:c r="I38" s="43" t="str">
        <x:v>https://static.cninfo.com.cn/finalpage/2025-04-19/1223153152.PDF</x:v>
      </x:c>
    </x:row>
    <x:row r="39" ht="29" customHeight="1">
      <x:c r="C39" s="42" t="str">
        <x:v>负债合计</x:v>
      </x:c>
      <x:c r="D39" s="43" t="str">
        <x:v>FY2023</x:v>
      </x:c>
      <x:c r="E39" s="43" t="n">
        <x:v>56694.51100164</x:v>
      </x:c>
      <x:c r="F39" s="43" t="str">
        <x:v>RMB million</x:v>
      </x:c>
      <x:c r="G39" s="43" t="str">
        <x:v>SOURCE_FACT</x:v>
      </x:c>
      <x:c r="H39" s="43" t="str">
        <x:v>P158 L029</x:v>
      </x:c>
      <x:c r="I39" s="43" t="str">
        <x:v>https://static.cninfo.com.cn/finalpage/2025-04-19/1223153152.PDF</x:v>
      </x:c>
    </x:row>
    <x:row r="40" ht="29" customHeight="1">
      <x:c r="C40" s="42" t="str">
        <x:v>所有者权益合计</x:v>
      </x:c>
      <x:c r="D40" s="43" t="str">
        <x:v>FY2023</x:v>
      </x:c>
      <x:c r="E40" s="43" t="n">
        <x:v>82163.61187791</x:v>
      </x:c>
      <x:c r="F40" s="43" t="str">
        <x:v>RMB million</x:v>
      </x:c>
      <x:c r="G40" s="43" t="str">
        <x:v>SOURCE_FACT</x:v>
      </x:c>
      <x:c r="H40" s="43" t="str">
        <x:v>P158 L039</x:v>
      </x:c>
      <x:c r="I40" s="43" t="str">
        <x:v>https://static.cninfo.com.cn/finalpage/2025-04-19/1223153152.PDF</x:v>
      </x:c>
    </x:row>
    <x:row r="41" ht="29" customHeight="1">
      <x:c r="C41" s="42" t="str">
        <x:v>少数股东权益</x:v>
      </x:c>
      <x:c r="D41" s="43" t="str">
        <x:v>FY2023</x:v>
      </x:c>
      <x:c r="E41" s="43" t="n">
        <x:v>5809.346337770001</x:v>
      </x:c>
      <x:c r="F41" s="43" t="str">
        <x:v>RMB million</x:v>
      </x:c>
      <x:c r="G41" s="43" t="str">
        <x:v>SOURCE_FACT</x:v>
      </x:c>
      <x:c r="H41" s="43" t="str">
        <x:v>P158 L038</x:v>
      </x:c>
      <x:c r="I41" s="43" t="str">
        <x:v>https://static.cninfo.com.cn/finalpage/2025-04-19/1223153152.PDF</x:v>
      </x:c>
    </x:row>
    <x:row r="42" ht="29" customHeight="1">
      <x:c r="C42" s="42" t="str">
        <x:v>未分配利润</x:v>
      </x:c>
      <x:c r="D42" s="43" t="str">
        <x:v>FY2023</x:v>
      </x:c>
      <x:c r="E42" s="43" t="n">
        <x:v>57136.62024401</x:v>
      </x:c>
      <x:c r="F42" s="43" t="str">
        <x:v>RMB million</x:v>
      </x:c>
      <x:c r="G42" s="43" t="str">
        <x:v>SOURCE_FACT</x:v>
      </x:c>
      <x:c r="H42" s="43" t="str">
        <x:v>P158 L036</x:v>
      </x:c>
      <x:c r="I42" s="43" t="str">
        <x:v>https://static.cninfo.com.cn/finalpage/2025-04-19/1223153152.PDF</x:v>
      </x:c>
    </x:row>
    <x:row r="43" ht="29" customHeight="1">
      <x:c r="C43" s="42" t="str">
        <x:v>一、营业收入</x:v>
      </x:c>
      <x:c r="D43" s="43" t="str">
        <x:v>FY2024</x:v>
      </x:c>
      <x:c r="E43" s="43" t="n">
        <x:v>92495.52511830001</x:v>
      </x:c>
      <x:c r="F43" s="43" t="str">
        <x:v>RMB million</x:v>
      </x:c>
      <x:c r="G43" s="43" t="str">
        <x:v>SOURCE_FACT</x:v>
      </x:c>
      <x:c r="H43" s="43" t="str">
        <x:v>P151 L007</x:v>
      </x:c>
      <x:c r="I43" s="43" t="str">
        <x:v>https://static.cninfo.com.cn/finalpage/2026-04-18/1225123062.PDF</x:v>
      </x:c>
    </x:row>
    <x:row r="44" ht="29" customHeight="1">
      <x:c r="C44" s="42" t="str">
        <x:v>减：营业成本</x:v>
      </x:c>
      <x:c r="D44" s="43" t="str">
        <x:v>FY2024</x:v>
      </x:c>
      <x:c r="E44" s="43" t="n">
        <x:v>51953.85791221</x:v>
      </x:c>
      <x:c r="F44" s="43" t="str">
        <x:v>RMB million</x:v>
      </x:c>
      <x:c r="G44" s="43" t="str">
        <x:v>SOURCE_FACT</x:v>
      </x:c>
      <x:c r="H44" s="43" t="str">
        <x:v>P151 L008</x:v>
      </x:c>
      <x:c r="I44" s="43" t="str">
        <x:v>https://static.cninfo.com.cn/finalpage/2026-04-18/1225123062.PDF</x:v>
      </x:c>
    </x:row>
    <x:row r="45" ht="29" customHeight="1">
      <x:c r="C45" s="42" t="str">
        <x:v>销售费用</x:v>
      </x:c>
      <x:c r="D45" s="43" t="str">
        <x:v>FY2024</x:v>
      </x:c>
      <x:c r="E45" s="43" t="n">
        <x:v>12051.218102620001</x:v>
      </x:c>
      <x:c r="F45" s="43" t="str">
        <x:v>RMB million</x:v>
      </x:c>
      <x:c r="G45" s="43" t="str">
        <x:v>SOURCE_FACT</x:v>
      </x:c>
      <x:c r="H45" s="43" t="str">
        <x:v>P151 L010</x:v>
      </x:c>
      <x:c r="I45" s="43" t="str">
        <x:v>https://static.cninfo.com.cn/finalpage/2026-04-18/1225123062.PDF</x:v>
      </x:c>
    </x:row>
    <x:row r="46" ht="29" customHeight="1">
      <x:c r="C46" s="42" t="str">
        <x:v>管理费用</x:v>
      </x:c>
      <x:c r="D46" s="43" t="str">
        <x:v>FY2024</x:v>
      </x:c>
      <x:c r="E46" s="43" t="n">
        <x:v>3095.93964392</x:v>
      </x:c>
      <x:c r="F46" s="43" t="str">
        <x:v>RMB million</x:v>
      </x:c>
      <x:c r="G46" s="43" t="str">
        <x:v>SOURCE_FACT</x:v>
      </x:c>
      <x:c r="H46" s="43" t="str">
        <x:v>P151 L011</x:v>
      </x:c>
      <x:c r="I46" s="43" t="str">
        <x:v>https://static.cninfo.com.cn/finalpage/2026-04-18/1225123062.PDF</x:v>
      </x:c>
    </x:row>
    <x:row r="47" ht="29" customHeight="1">
      <x:c r="C47" s="42" t="str">
        <x:v>研发费用</x:v>
      </x:c>
      <x:c r="D47" s="43" t="str">
        <x:v>FY2024</x:v>
      </x:c>
      <x:c r="E47" s="43" t="n">
        <x:v>11864.01339227</x:v>
      </x:c>
      <x:c r="F47" s="43" t="str">
        <x:v>RMB million</x:v>
      </x:c>
      <x:c r="G47" s="43" t="str">
        <x:v>SOURCE_FACT</x:v>
      </x:c>
      <x:c r="H47" s="43" t="str">
        <x:v>P151 L012</x:v>
      </x:c>
      <x:c r="I47" s="43" t="str">
        <x:v>https://static.cninfo.com.cn/finalpage/2026-04-18/1225123062.PDF</x:v>
      </x:c>
    </x:row>
    <x:row r="48" ht="29" customHeight="1">
      <x:c r="C48" s="42" t="str">
        <x:v>税金及附加</x:v>
      </x:c>
      <x:c r="D48" s="43" t="str">
        <x:v>FY2024</x:v>
      </x:c>
      <x:c r="E48" s="43" t="n">
        <x:v>692.28592736</x:v>
      </x:c>
      <x:c r="F48" s="43" t="str">
        <x:v>RMB million</x:v>
      </x:c>
      <x:c r="G48" s="43" t="str">
        <x:v>SOURCE_FACT</x:v>
      </x:c>
      <x:c r="H48" s="43" t="str">
        <x:v>P151 L009</x:v>
      </x:c>
      <x:c r="I48" s="43" t="str">
        <x:v>https://static.cninfo.com.cn/finalpage/2026-04-18/1225123062.PDF</x:v>
      </x:c>
    </x:row>
    <x:row r="49" ht="29" customHeight="1">
      <x:c r="C49" s="42" t="str">
        <x:v>财务费用</x:v>
      </x:c>
      <x:c r="D49" s="43" t="str">
        <x:v>FY2024</x:v>
      </x:c>
      <x:c r="E49" s="43" t="n">
        <x:v>-114.81749316</x:v>
      </x:c>
      <x:c r="F49" s="43" t="str">
        <x:v>RMB million</x:v>
      </x:c>
      <x:c r="G49" s="43" t="str">
        <x:v>SOURCE_FACT</x:v>
      </x:c>
      <x:c r="H49" s="43" t="str">
        <x:v>P151 L013</x:v>
      </x:c>
      <x:c r="I49" s="43" t="str">
        <x:v>https://static.cninfo.com.cn/finalpage/2026-04-18/1225123062.PDF</x:v>
      </x:c>
    </x:row>
    <x:row r="50" ht="29" customHeight="1">
      <x:c r="C50" s="42" t="str">
        <x:v>其中：利息费用</x:v>
      </x:c>
      <x:c r="D50" s="43" t="str">
        <x:v>FY2024</x:v>
      </x:c>
      <x:c r="E50" s="43" t="n">
        <x:v>391.40418712999997</x:v>
      </x:c>
      <x:c r="F50" s="43" t="str">
        <x:v>RMB million</x:v>
      </x:c>
      <x:c r="G50" s="43" t="str">
        <x:v>SOURCE_FACT</x:v>
      </x:c>
      <x:c r="H50" s="43" t="str">
        <x:v>P151 L014</x:v>
      </x:c>
      <x:c r="I50" s="43" t="str">
        <x:v>https://static.cninfo.com.cn/finalpage/2026-04-18/1225123062.PDF</x:v>
      </x:c>
    </x:row>
    <x:row r="51" ht="29" customHeight="1">
      <x:c r="C51" s="42" t="str">
        <x:v>三、利润总额</x:v>
      </x:c>
      <x:c r="D51" s="43" t="str">
        <x:v>FY2024</x:v>
      </x:c>
      <x:c r="E51" s="43" t="n">
        <x:v>14343.49364</x:v>
      </x:c>
      <x:c r="F51" s="43" t="str">
        <x:v>RMB million</x:v>
      </x:c>
      <x:c r="G51" s="43" t="str">
        <x:v>SOURCE_FACT</x:v>
      </x:c>
      <x:c r="H51" s="43" t="str">
        <x:v>P151 L027</x:v>
      </x:c>
      <x:c r="I51" s="43" t="str">
        <x:v>https://static.cninfo.com.cn/finalpage/2026-04-18/1225123062.PDF</x:v>
      </x:c>
    </x:row>
    <x:row r="52" ht="29" customHeight="1">
      <x:c r="C52" s="42" t="str">
        <x:v>减：所得税费用</x:v>
      </x:c>
      <x:c r="D52" s="43" t="str">
        <x:v>FY2024</x:v>
      </x:c>
      <x:c r="E52" s="43" t="n">
        <x:v>1202.47157949</x:v>
      </x:c>
      <x:c r="F52" s="43" t="str">
        <x:v>RMB million</x:v>
      </x:c>
      <x:c r="G52" s="43" t="str">
        <x:v>SOURCE_FACT</x:v>
      </x:c>
      <x:c r="H52" s="43" t="str">
        <x:v>P151 L028</x:v>
      </x:c>
      <x:c r="I52" s="43" t="str">
        <x:v>https://static.cninfo.com.cn/finalpage/2026-04-18/1225123062.PDF</x:v>
      </x:c>
    </x:row>
    <x:row r="53" ht="29" customHeight="1">
      <x:c r="C53" s="42" t="str">
        <x:v>四、净利润</x:v>
      </x:c>
      <x:c r="D53" s="43" t="str">
        <x:v>FY2024</x:v>
      </x:c>
      <x:c r="E53" s="43" t="n">
        <x:v>13141.02206051</x:v>
      </x:c>
      <x:c r="F53" s="43" t="str">
        <x:v>RMB million</x:v>
      </x:c>
      <x:c r="G53" s="43" t="str">
        <x:v>SOURCE_FACT</x:v>
      </x:c>
      <x:c r="H53" s="43" t="str">
        <x:v>P151 L029</x:v>
      </x:c>
      <x:c r="I53" s="43" t="str">
        <x:v>https://static.cninfo.com.cn/finalpage/2026-04-18/1225123062.PDF</x:v>
      </x:c>
    </x:row>
    <x:row r="54" ht="29" customHeight="1">
      <x:c r="C54" s="42" t="str">
        <x:v>1.归属于母公司所有者的净利润</x:v>
      </x:c>
      <x:c r="D54" s="43" t="str">
        <x:v>FY2024</x:v>
      </x:c>
      <x:c r="E54" s="43" t="n">
        <x:v>11977.327023540001</x:v>
      </x:c>
      <x:c r="F54" s="43" t="str">
        <x:v>RMB million</x:v>
      </x:c>
      <x:c r="G54" s="43" t="str">
        <x:v>SOURCE_FACT</x:v>
      </x:c>
      <x:c r="H54" s="43" t="str">
        <x:v>P151 L034</x:v>
      </x:c>
      <x:c r="I54" s="43" t="str">
        <x:v>https://static.cninfo.com.cn/finalpage/2026-04-18/1225123062.PDF</x:v>
      </x:c>
    </x:row>
    <x:row r="55" ht="29" customHeight="1">
      <x:c r="C55" s="42" t="str">
        <x:v>2.少数股东损益</x:v>
      </x:c>
      <x:c r="D55" s="43" t="str">
        <x:v>FY2024</x:v>
      </x:c>
      <x:c r="E55" s="43" t="n">
        <x:v>1163.69503697</x:v>
      </x:c>
      <x:c r="F55" s="43" t="str">
        <x:v>RMB million</x:v>
      </x:c>
      <x:c r="G55" s="43" t="str">
        <x:v>SOURCE_FACT</x:v>
      </x:c>
      <x:c r="H55" s="43" t="str">
        <x:v>P151 L035</x:v>
      </x:c>
      <x:c r="I55" s="43" t="str">
        <x:v>https://static.cninfo.com.cn/finalpage/2026-04-18/1225123062.PDF</x:v>
      </x:c>
    </x:row>
    <x:row r="56" ht="29" customHeight="1">
      <x:c r="C56" s="42" t="str">
        <x:v>经营活动产生的现金流量净额(五)</x:v>
      </x:c>
      <x:c r="D56" s="43" t="str">
        <x:v>FY2024</x:v>
      </x:c>
      <x:c r="E56" s="43" t="n">
        <x:v>13264.09202273</x:v>
      </x:c>
      <x:c r="F56" s="43" t="str">
        <x:v>RMB million</x:v>
      </x:c>
      <x:c r="G56" s="43" t="str">
        <x:v>SOURCE_FACT</x:v>
      </x:c>
      <x:c r="H56" s="43" t="str">
        <x:v>P153 L019</x:v>
      </x:c>
      <x:c r="I56" s="43" t="str">
        <x:v>https://static.cninfo.com.cn/finalpage/2026-04-18/1225123062.PDF</x:v>
      </x:c>
    </x:row>
    <x:row r="57" ht="29" customHeight="1">
      <x:c r="C57" s="42" t="str">
        <x:v>投资活动产生的现金流量净额</x:v>
      </x:c>
      <x:c r="D57" s="43" t="str">
        <x:v>FY2024</x:v>
      </x:c>
      <x:c r="E57" s="43" t="n">
        <x:v>-4547.540997100001</x:v>
      </x:c>
      <x:c r="F57" s="43" t="str">
        <x:v>RMB million</x:v>
      </x:c>
      <x:c r="G57" s="43" t="str">
        <x:v>SOURCE_FACT</x:v>
      </x:c>
      <x:c r="H57" s="43" t="str">
        <x:v>P153 L031</x:v>
      </x:c>
      <x:c r="I57" s="43" t="str">
        <x:v>https://static.cninfo.com.cn/finalpage/2026-04-18/1225123062.PDF</x:v>
      </x:c>
    </x:row>
    <x:row r="58" ht="29" customHeight="1">
      <x:c r="C58" s="42" t="str">
        <x:v>筹资活动产生的现金流量净额</x:v>
      </x:c>
      <x:c r="D58" s="43" t="str">
        <x:v>FY2024</x:v>
      </x:c>
      <x:c r="E58" s="43" t="n">
        <x:v>-22078.98878563</x:v>
      </x:c>
      <x:c r="F58" s="43" t="str">
        <x:v>RMB million</x:v>
      </x:c>
      <x:c r="G58" s="43" t="str">
        <x:v>SOURCE_FACT</x:v>
      </x:c>
      <x:c r="H58" s="43" t="str">
        <x:v>P153 L043</x:v>
      </x:c>
      <x:c r="I58" s="43" t="str">
        <x:v>https://static.cninfo.com.cn/finalpage/2026-04-18/1225123062.PDF</x:v>
      </x:c>
    </x:row>
    <x:row r="59" ht="29" customHeight="1">
      <x:c r="C59" s="42" t="str">
        <x:v>四、汇率变动对现金及现金等价物的影响额</x:v>
      </x:c>
      <x:c r="D59" s="43" t="str">
        <x:v>FY2024</x:v>
      </x:c>
      <x:c r="E59" s="43" t="n">
        <x:v>-12.48721549</x:v>
      </x:c>
      <x:c r="F59" s="43" t="str">
        <x:v>RMB million</x:v>
      </x:c>
      <x:c r="G59" s="43" t="str">
        <x:v>SOURCE_FACT</x:v>
      </x:c>
      <x:c r="H59" s="43" t="str">
        <x:v>P153 L044</x:v>
      </x:c>
      <x:c r="I59" s="43" t="str">
        <x:v>https://static.cninfo.com.cn/finalpage/2026-04-18/1225123062.PDF</x:v>
      </x:c>
    </x:row>
    <x:row r="60" ht="29" customHeight="1">
      <x:c r="C60" s="42" t="str">
        <x:v>加：年初现金及现金等价物余额(五)</x:v>
      </x:c>
      <x:c r="D60" s="43" t="str">
        <x:v>FY2024</x:v>
      </x:c>
      <x:c r="E60" s="43" t="n">
        <x:v>49427.96735578</x:v>
      </x:c>
      <x:c r="F60" s="43" t="str">
        <x:v>RMB million</x:v>
      </x:c>
      <x:c r="G60" s="43" t="str">
        <x:v>SOURCE_FACT</x:v>
      </x:c>
      <x:c r="H60" s="43" t="str">
        <x:v>P153 L046</x:v>
      </x:c>
      <x:c r="I60" s="43" t="str">
        <x:v>https://static.cninfo.com.cn/finalpage/2026-04-18/1225123062.PDF</x:v>
      </x:c>
    </x:row>
    <x:row r="61" ht="29" customHeight="1">
      <x:c r="C61" s="42" t="str">
        <x:v>六、年末现金及现金等价物余额(五)</x:v>
      </x:c>
      <x:c r="D61" s="43" t="str">
        <x:v>FY2024</x:v>
      </x:c>
      <x:c r="E61" s="43" t="n">
        <x:v>36053.042380290004</x:v>
      </x:c>
      <x:c r="F61" s="43" t="str">
        <x:v>RMB million</x:v>
      </x:c>
      <x:c r="G61" s="43" t="str">
        <x:v>SOURCE_FACT</x:v>
      </x:c>
      <x:c r="H61" s="43" t="str">
        <x:v>P153 L047</x:v>
      </x:c>
      <x:c r="I61" s="43" t="str">
        <x:v>https://static.cninfo.com.cn/finalpage/2026-04-18/1225123062.PDF</x:v>
      </x:c>
    </x:row>
    <x:row r="62" ht="29" customHeight="1">
      <x:c r="C62" s="42" t="str">
        <x:v>购建固定资产、无形资产和其他长期资产支付的现金(五)</x:v>
      </x:c>
      <x:c r="D62" s="43" t="str">
        <x:v>FY2024</x:v>
      </x:c>
      <x:c r="E62" s="43" t="n">
        <x:v>4665.74220372</x:v>
      </x:c>
      <x:c r="F62" s="43" t="str">
        <x:v>RMB million</x:v>
      </x:c>
      <x:c r="G62" s="43" t="str">
        <x:v>SOURCE_FACT</x:v>
      </x:c>
      <x:c r="H62" s="43" t="str">
        <x:v>P153 L026</x:v>
      </x:c>
      <x:c r="I62" s="43" t="str">
        <x:v>https://static.cninfo.com.cn/finalpage/2026-04-18/1225123062.PDF</x:v>
      </x:c>
    </x:row>
    <x:row r="63" ht="29" customHeight="1">
      <x:c r="C63" s="42" t="str">
        <x:v>资产总计</x:v>
      </x:c>
      <x:c r="D63" s="43" t="str">
        <x:v>FY2024</x:v>
      </x:c>
      <x:c r="E63" s="43" t="n">
        <x:v>132016.20015614</x:v>
      </x:c>
      <x:c r="F63" s="43" t="str">
        <x:v>RMB million</x:v>
      </x:c>
      <x:c r="G63" s="43" t="str">
        <x:v>SOURCE_FACT</x:v>
      </x:c>
      <x:c r="H63" s="43" t="str">
        <x:v>P147 L062</x:v>
      </x:c>
      <x:c r="I63" s="43" t="str">
        <x:v>https://static.cninfo.com.cn/finalpage/2026-04-18/1225123062.PDF</x:v>
      </x:c>
    </x:row>
    <x:row r="64" ht="29" customHeight="1">
      <x:c r="C64" s="42" t="str">
        <x:v>负债合计</x:v>
      </x:c>
      <x:c r="D64" s="43" t="str">
        <x:v>FY2024</x:v>
      </x:c>
      <x:c r="E64" s="43" t="n">
        <x:v>44515.905407989994</x:v>
      </x:c>
      <x:c r="F64" s="43" t="str">
        <x:v>RMB million</x:v>
      </x:c>
      <x:c r="G64" s="43" t="str">
        <x:v>SOURCE_FACT</x:v>
      </x:c>
      <x:c r="H64" s="43" t="str">
        <x:v>P148 L029</x:v>
      </x:c>
      <x:c r="I64" s="43" t="str">
        <x:v>https://static.cninfo.com.cn/finalpage/2026-04-18/1225123062.PDF</x:v>
      </x:c>
    </x:row>
    <x:row r="65" ht="29" customHeight="1">
      <x:c r="C65" s="42" t="str">
        <x:v>所有者权益合计</x:v>
      </x:c>
      <x:c r="D65" s="43" t="str">
        <x:v>FY2024</x:v>
      </x:c>
      <x:c r="E65" s="43" t="n">
        <x:v>87500.29474814999</x:v>
      </x:c>
      <x:c r="F65" s="43" t="str">
        <x:v>RMB million</x:v>
      </x:c>
      <x:c r="G65" s="43" t="str">
        <x:v>SOURCE_FACT</x:v>
      </x:c>
      <x:c r="H65" s="43" t="str">
        <x:v>P148 L039</x:v>
      </x:c>
      <x:c r="I65" s="43" t="str">
        <x:v>https://static.cninfo.com.cn/finalpage/2026-04-18/1225123062.PDF</x:v>
      </x:c>
    </x:row>
    <x:row r="66" ht="29" customHeight="1">
      <x:c r="C66" s="42" t="str">
        <x:v>少数股东权益</x:v>
      </x:c>
      <x:c r="D66" s="43" t="str">
        <x:v>FY2024</x:v>
      </x:c>
      <x:c r="E66" s="43" t="n">
        <x:v>6831.633685270001</x:v>
      </x:c>
      <x:c r="F66" s="43" t="str">
        <x:v>RMB million</x:v>
      </x:c>
      <x:c r="G66" s="43" t="str">
        <x:v>SOURCE_FACT</x:v>
      </x:c>
      <x:c r="H66" s="43" t="str">
        <x:v>P148 L038</x:v>
      </x:c>
      <x:c r="I66" s="43" t="str">
        <x:v>https://static.cninfo.com.cn/finalpage/2026-04-18/1225123062.PDF</x:v>
      </x:c>
    </x:row>
    <x:row r="67" ht="29" customHeight="1">
      <x:c r="C67" s="42" t="str">
        <x:v>未分配利润</x:v>
      </x:c>
      <x:c r="D67" s="43" t="str">
        <x:v>FY2024</x:v>
      </x:c>
      <x:c r="E67" s="43" t="n">
        <x:v>60959.912942150004</x:v>
      </x:c>
      <x:c r="F67" s="43" t="str">
        <x:v>RMB million</x:v>
      </x:c>
      <x:c r="G67" s="43" t="str">
        <x:v>SOURCE_FACT</x:v>
      </x:c>
      <x:c r="H67" s="43" t="str">
        <x:v>P148 L036</x:v>
      </x:c>
      <x:c r="I67" s="43" t="str">
        <x:v>https://static.cninfo.com.cn/finalpage/2026-04-18/1225123062.PDF</x:v>
      </x:c>
    </x:row>
    <x:row r="68" ht="29" customHeight="1">
      <x:c r="C68" s="42" t="str">
        <x:v>一、营业收入</x:v>
      </x:c>
      <x:c r="D68" s="43" t="str">
        <x:v>FY2025</x:v>
      </x:c>
      <x:c r="E68" s="43" t="n">
        <x:v>92507.79606994</x:v>
      </x:c>
      <x:c r="F68" s="43" t="str">
        <x:v>RMB million</x:v>
      </x:c>
      <x:c r="G68" s="43" t="str">
        <x:v>SOURCE_FACT</x:v>
      </x:c>
      <x:c r="H68" s="43" t="str">
        <x:v>P151 L007</x:v>
      </x:c>
      <x:c r="I68" s="43" t="str">
        <x:v>https://static.cninfo.com.cn/finalpage/2026-04-18/1225123062.PDF</x:v>
      </x:c>
    </x:row>
    <x:row r="69" ht="29" customHeight="1">
      <x:c r="C69" s="42" t="str">
        <x:v>减：营业成本</x:v>
      </x:c>
      <x:c r="D69" s="43" t="str">
        <x:v>FY2025</x:v>
      </x:c>
      <x:c r="E69" s="43" t="n">
        <x:v>50067.43655036</x:v>
      </x:c>
      <x:c r="F69" s="43" t="str">
        <x:v>RMB million</x:v>
      </x:c>
      <x:c r="G69" s="43" t="str">
        <x:v>SOURCE_FACT</x:v>
      </x:c>
      <x:c r="H69" s="43" t="str">
        <x:v>P151 L008</x:v>
      </x:c>
      <x:c r="I69" s="43" t="str">
        <x:v>https://static.cninfo.com.cn/finalpage/2026-04-18/1225123062.PDF</x:v>
      </x:c>
    </x:row>
    <x:row r="70" ht="29" customHeight="1">
      <x:c r="C70" s="42" t="str">
        <x:v>销售费用</x:v>
      </x:c>
      <x:c r="D70" s="43" t="str">
        <x:v>FY2025</x:v>
      </x:c>
      <x:c r="E70" s="43" t="n">
        <x:v>12347.888877700001</x:v>
      </x:c>
      <x:c r="F70" s="43" t="str">
        <x:v>RMB million</x:v>
      </x:c>
      <x:c r="G70" s="43" t="str">
        <x:v>SOURCE_FACT</x:v>
      </x:c>
      <x:c r="H70" s="43" t="str">
        <x:v>P151 L010</x:v>
      </x:c>
      <x:c r="I70" s="43" t="str">
        <x:v>https://static.cninfo.com.cn/finalpage/2026-04-18/1225123062.PDF</x:v>
      </x:c>
    </x:row>
    <x:row r="71" ht="29" customHeight="1">
      <x:c r="C71" s="42" t="str">
        <x:v>管理费用</x:v>
      </x:c>
      <x:c r="D71" s="43" t="str">
        <x:v>FY2025</x:v>
      </x:c>
      <x:c r="E71" s="43" t="n">
        <x:v>2994.51205202</x:v>
      </x:c>
      <x:c r="F71" s="43" t="str">
        <x:v>RMB million</x:v>
      </x:c>
      <x:c r="G71" s="43" t="str">
        <x:v>SOURCE_FACT</x:v>
      </x:c>
      <x:c r="H71" s="43" t="str">
        <x:v>P151 L011</x:v>
      </x:c>
      <x:c r="I71" s="43" t="str">
        <x:v>https://static.cninfo.com.cn/finalpage/2026-04-18/1225123062.PDF</x:v>
      </x:c>
    </x:row>
    <x:row r="72" ht="29" customHeight="1">
      <x:c r="C72" s="42" t="str">
        <x:v>研发费用</x:v>
      </x:c>
      <x:c r="D72" s="43" t="str">
        <x:v>FY2025</x:v>
      </x:c>
      <x:c r="E72" s="43" t="n">
        <x:v>11752.624736799999</x:v>
      </x:c>
      <x:c r="F72" s="43" t="str">
        <x:v>RMB million</x:v>
      </x:c>
      <x:c r="G72" s="43" t="str">
        <x:v>SOURCE_FACT</x:v>
      </x:c>
      <x:c r="H72" s="43" t="str">
        <x:v>P151 L012</x:v>
      </x:c>
      <x:c r="I72" s="43" t="str">
        <x:v>https://static.cninfo.com.cn/finalpage/2026-04-18/1225123062.PDF</x:v>
      </x:c>
    </x:row>
    <x:row r="73" ht="29" customHeight="1">
      <x:c r="C73" s="42" t="str">
        <x:v>税金及附加</x:v>
      </x:c>
      <x:c r="D73" s="43" t="str">
        <x:v>FY2025</x:v>
      </x:c>
      <x:c r="E73" s="43" t="n">
        <x:v>767.4984798400001</x:v>
      </x:c>
      <x:c r="F73" s="43" t="str">
        <x:v>RMB million</x:v>
      </x:c>
      <x:c r="G73" s="43" t="str">
        <x:v>SOURCE_FACT</x:v>
      </x:c>
      <x:c r="H73" s="43" t="str">
        <x:v>P151 L009</x:v>
      </x:c>
      <x:c r="I73" s="43" t="str">
        <x:v>https://static.cninfo.com.cn/finalpage/2026-04-18/1225123062.PDF</x:v>
      </x:c>
    </x:row>
    <x:row r="74" ht="29" customHeight="1">
      <x:c r="C74" s="42" t="str">
        <x:v>财务费用</x:v>
      </x:c>
      <x:c r="D74" s="43" t="str">
        <x:v>FY2025</x:v>
      </x:c>
      <x:c r="E74" s="43" t="n">
        <x:v>-525.63131914</x:v>
      </x:c>
      <x:c r="F74" s="43" t="str">
        <x:v>RMB million</x:v>
      </x:c>
      <x:c r="G74" s="43" t="str">
        <x:v>SOURCE_FACT</x:v>
      </x:c>
      <x:c r="H74" s="43" t="str">
        <x:v>P151 L013</x:v>
      </x:c>
      <x:c r="I74" s="43" t="str">
        <x:v>https://static.cninfo.com.cn/finalpage/2026-04-18/1225123062.PDF</x:v>
      </x:c>
    </x:row>
    <x:row r="75" ht="29" customHeight="1">
      <x:c r="C75" s="42" t="str">
        <x:v>其中：利息费用</x:v>
      </x:c>
      <x:c r="D75" s="43" t="str">
        <x:v>FY2025</x:v>
      </x:c>
      <x:c r="E75" s="43" t="n">
        <x:v>200.70410253</x:v>
      </x:c>
      <x:c r="F75" s="43" t="str">
        <x:v>RMB million</x:v>
      </x:c>
      <x:c r="G75" s="43" t="str">
        <x:v>SOURCE_FACT</x:v>
      </x:c>
      <x:c r="H75" s="43" t="str">
        <x:v>P151 L014</x:v>
      </x:c>
      <x:c r="I75" s="43" t="str">
        <x:v>https://static.cninfo.com.cn/finalpage/2026-04-18/1225123062.PDF</x:v>
      </x:c>
    </x:row>
    <x:row r="76" ht="29" customHeight="1">
      <x:c r="C76" s="42" t="str">
        <x:v>三、利润总额</x:v>
      </x:c>
      <x:c r="D76" s="43" t="str">
        <x:v>FY2025</x:v>
      </x:c>
      <x:c r="E76" s="43" t="n">
        <x:v>17013.43843862</x:v>
      </x:c>
      <x:c r="F76" s="43" t="str">
        <x:v>RMB million</x:v>
      </x:c>
      <x:c r="G76" s="43" t="str">
        <x:v>SOURCE_FACT</x:v>
      </x:c>
      <x:c r="H76" s="43" t="str">
        <x:v>P151 L027</x:v>
      </x:c>
      <x:c r="I76" s="43" t="str">
        <x:v>https://static.cninfo.com.cn/finalpage/2026-04-18/1225123062.PDF</x:v>
      </x:c>
    </x:row>
    <x:row r="77" ht="29" customHeight="1">
      <x:c r="C77" s="42" t="str">
        <x:v>减：所得税费用</x:v>
      </x:c>
      <x:c r="D77" s="43" t="str">
        <x:v>FY2025</x:v>
      </x:c>
      <x:c r="E77" s="43" t="n">
        <x:v>1579.78319879</x:v>
      </x:c>
      <x:c r="F77" s="43" t="str">
        <x:v>RMB million</x:v>
      </x:c>
      <x:c r="G77" s="43" t="str">
        <x:v>SOURCE_FACT</x:v>
      </x:c>
      <x:c r="H77" s="43" t="str">
        <x:v>P151 L028</x:v>
      </x:c>
      <x:c r="I77" s="43" t="str">
        <x:v>https://static.cninfo.com.cn/finalpage/2026-04-18/1225123062.PDF</x:v>
      </x:c>
    </x:row>
    <x:row r="78" ht="29" customHeight="1">
      <x:c r="C78" s="42" t="str">
        <x:v>四、净利润</x:v>
      </x:c>
      <x:c r="D78" s="43" t="str">
        <x:v>FY2025</x:v>
      </x:c>
      <x:c r="E78" s="43" t="n">
        <x:v>15433.65523983</x:v>
      </x:c>
      <x:c r="F78" s="43" t="str">
        <x:v>RMB million</x:v>
      </x:c>
      <x:c r="G78" s="43" t="str">
        <x:v>SOURCE_FACT</x:v>
      </x:c>
      <x:c r="H78" s="43" t="str">
        <x:v>P151 L029</x:v>
      </x:c>
      <x:c r="I78" s="43" t="str">
        <x:v>https://static.cninfo.com.cn/finalpage/2026-04-18/1225123062.PDF</x:v>
      </x:c>
    </x:row>
    <x:row r="79" ht="29" customHeight="1">
      <x:c r="C79" s="42" t="str">
        <x:v>1.归属于母公司所有者的净利润</x:v>
      </x:c>
      <x:c r="D79" s="43" t="str">
        <x:v>FY2025</x:v>
      </x:c>
      <x:c r="E79" s="43" t="n">
        <x:v>14195.37189442</x:v>
      </x:c>
      <x:c r="F79" s="43" t="str">
        <x:v>RMB million</x:v>
      </x:c>
      <x:c r="G79" s="43" t="str">
        <x:v>SOURCE_FACT</x:v>
      </x:c>
      <x:c r="H79" s="43" t="str">
        <x:v>P151 L034</x:v>
      </x:c>
      <x:c r="I79" s="43" t="str">
        <x:v>https://static.cninfo.com.cn/finalpage/2026-04-18/1225123062.PDF</x:v>
      </x:c>
    </x:row>
    <x:row r="80" ht="29" customHeight="1">
      <x:c r="C80" s="42" t="str">
        <x:v>2.少数股东损益</x:v>
      </x:c>
      <x:c r="D80" s="43" t="str">
        <x:v>FY2025</x:v>
      </x:c>
      <x:c r="E80" s="43" t="n">
        <x:v>1238.28334541</x:v>
      </x:c>
      <x:c r="F80" s="43" t="str">
        <x:v>RMB million</x:v>
      </x:c>
      <x:c r="G80" s="43" t="str">
        <x:v>SOURCE_FACT</x:v>
      </x:c>
      <x:c r="H80" s="43" t="str">
        <x:v>P151 L035</x:v>
      </x:c>
      <x:c r="I80" s="43" t="str">
        <x:v>https://static.cninfo.com.cn/finalpage/2026-04-18/1225123062.PDF</x:v>
      </x:c>
    </x:row>
    <x:row r="81" ht="29" customHeight="1">
      <x:c r="C81" s="42" t="str">
        <x:v>经营活动产生的现金流量净额(五)</x:v>
      </x:c>
      <x:c r="D81" s="43" t="str">
        <x:v>FY2025</x:v>
      </x:c>
      <x:c r="E81" s="43" t="n">
        <x:v>25339.4110831</x:v>
      </x:c>
      <x:c r="F81" s="43" t="str">
        <x:v>RMB million</x:v>
      </x:c>
      <x:c r="G81" s="43" t="str">
        <x:v>SOURCE_FACT</x:v>
      </x:c>
      <x:c r="H81" s="43" t="str">
        <x:v>P153 L019</x:v>
      </x:c>
      <x:c r="I81" s="43" t="str">
        <x:v>https://static.cninfo.com.cn/finalpage/2026-04-18/1225123062.PDF</x:v>
      </x:c>
    </x:row>
    <x:row r="82" ht="29" customHeight="1">
      <x:c r="C82" s="42" t="str">
        <x:v>投资活动产生的现金流量净额</x:v>
      </x:c>
      <x:c r="D82" s="43" t="str">
        <x:v>FY2025</x:v>
      </x:c>
      <x:c r="E82" s="43" t="n">
        <x:v>-3417.31581386</x:v>
      </x:c>
      <x:c r="F82" s="43" t="str">
        <x:v>RMB million</x:v>
      </x:c>
      <x:c r="G82" s="43" t="str">
        <x:v>SOURCE_FACT</x:v>
      </x:c>
      <x:c r="H82" s="43" t="str">
        <x:v>P153 L031</x:v>
      </x:c>
      <x:c r="I82" s="43" t="str">
        <x:v>https://static.cninfo.com.cn/finalpage/2026-04-18/1225123062.PDF</x:v>
      </x:c>
    </x:row>
    <x:row r="83" ht="29" customHeight="1">
      <x:c r="C83" s="42" t="str">
        <x:v>筹资活动产生的现金流量净额</x:v>
      </x:c>
      <x:c r="D83" s="43" t="str">
        <x:v>FY2025</x:v>
      </x:c>
      <x:c r="E83" s="43" t="n">
        <x:v>-11762.551780920001</x:v>
      </x:c>
      <x:c r="F83" s="43" t="str">
        <x:v>RMB million</x:v>
      </x:c>
      <x:c r="G83" s="43" t="str">
        <x:v>SOURCE_FACT</x:v>
      </x:c>
      <x:c r="H83" s="43" t="str">
        <x:v>P153 L043</x:v>
      </x:c>
      <x:c r="I83" s="43" t="str">
        <x:v>https://static.cninfo.com.cn/finalpage/2026-04-18/1225123062.PDF</x:v>
      </x:c>
    </x:row>
    <x:row r="84" ht="29" customHeight="1">
      <x:c r="C84" s="42" t="str">
        <x:v>四、汇率变动对现金及现金等价物的影响额</x:v>
      </x:c>
      <x:c r="D84" s="43" t="str">
        <x:v>FY2025</x:v>
      </x:c>
      <x:c r="E84" s="43" t="n">
        <x:v>-8.24717418</x:v>
      </x:c>
      <x:c r="F84" s="43" t="str">
        <x:v>RMB million</x:v>
      </x:c>
      <x:c r="G84" s="43" t="str">
        <x:v>SOURCE_FACT</x:v>
      </x:c>
      <x:c r="H84" s="43" t="str">
        <x:v>P153 L044</x:v>
      </x:c>
      <x:c r="I84" s="43" t="str">
        <x:v>https://static.cninfo.com.cn/finalpage/2026-04-18/1225123062.PDF</x:v>
      </x:c>
    </x:row>
    <x:row r="85" ht="29" customHeight="1">
      <x:c r="C85" s="42" t="str">
        <x:v>加：年初现金及现金等价物余额(五)</x:v>
      </x:c>
      <x:c r="D85" s="43" t="str">
        <x:v>FY2025</x:v>
      </x:c>
      <x:c r="E85" s="43" t="n">
        <x:v>36053.042380290004</x:v>
      </x:c>
      <x:c r="F85" s="43" t="str">
        <x:v>RMB million</x:v>
      </x:c>
      <x:c r="G85" s="43" t="str">
        <x:v>SOURCE_FACT</x:v>
      </x:c>
      <x:c r="H85" s="43" t="str">
        <x:v>P153 L046</x:v>
      </x:c>
      <x:c r="I85" s="43" t="str">
        <x:v>https://static.cninfo.com.cn/finalpage/2026-04-18/1225123062.PDF</x:v>
      </x:c>
    </x:row>
    <x:row r="86" ht="29" customHeight="1">
      <x:c r="C86" s="42" t="str">
        <x:v>六、年末现金及现金等价物余额(五)</x:v>
      </x:c>
      <x:c r="D86" s="43" t="str">
        <x:v>FY2025</x:v>
      </x:c>
      <x:c r="E86" s="43" t="n">
        <x:v>46204.33869443</x:v>
      </x:c>
      <x:c r="F86" s="43" t="str">
        <x:v>RMB million</x:v>
      </x:c>
      <x:c r="G86" s="43" t="str">
        <x:v>SOURCE_FACT</x:v>
      </x:c>
      <x:c r="H86" s="43" t="str">
        <x:v>P153 L047</x:v>
      </x:c>
      <x:c r="I86" s="43" t="str">
        <x:v>https://static.cninfo.com.cn/finalpage/2026-04-18/1225123062.PDF</x:v>
      </x:c>
    </x:row>
    <x:row r="87" ht="29" customHeight="1">
      <x:c r="C87" s="42" t="str">
        <x:v>购建固定资产、无形资产和其他长期资产支付的现金(五)</x:v>
      </x:c>
      <x:c r="D87" s="43" t="str">
        <x:v>FY2025</x:v>
      </x:c>
      <x:c r="E87" s="43" t="n">
        <x:v>3622.04666467</x:v>
      </x:c>
      <x:c r="F87" s="43" t="str">
        <x:v>RMB million</x:v>
      </x:c>
      <x:c r="G87" s="43" t="str">
        <x:v>SOURCE_FACT</x:v>
      </x:c>
      <x:c r="H87" s="43" t="str">
        <x:v>P153 L026</x:v>
      </x:c>
      <x:c r="I87" s="43" t="str">
        <x:v>https://static.cninfo.com.cn/finalpage/2026-04-18/1225123062.PDF</x:v>
      </x:c>
    </x:row>
    <x:row r="88" ht="29" customHeight="1">
      <x:c r="C88" s="42" t="str">
        <x:v>资产总计</x:v>
      </x:c>
      <x:c r="D88" s="43" t="str">
        <x:v>FY2025</x:v>
      </x:c>
      <x:c r="E88" s="43" t="n">
        <x:v>138049.65533462</x:v>
      </x:c>
      <x:c r="F88" s="43" t="str">
        <x:v>RMB million</x:v>
      </x:c>
      <x:c r="G88" s="43" t="str">
        <x:v>SOURCE_FACT</x:v>
      </x:c>
      <x:c r="H88" s="43" t="str">
        <x:v>P147 L062</x:v>
      </x:c>
      <x:c r="I88" s="43" t="str">
        <x:v>https://static.cninfo.com.cn/finalpage/2026-04-18/1225123062.PDF</x:v>
      </x:c>
    </x:row>
    <x:row r="89" ht="29" customHeight="1">
      <x:c r="C89" s="42" t="str">
        <x:v>负债合计</x:v>
      </x:c>
      <x:c r="D89" s="43" t="str">
        <x:v>FY2025</x:v>
      </x:c>
      <x:c r="E89" s="43" t="n">
        <x:v>46832.79198003</x:v>
      </x:c>
      <x:c r="F89" s="43" t="str">
        <x:v>RMB million</x:v>
      </x:c>
      <x:c r="G89" s="43" t="str">
        <x:v>SOURCE_FACT</x:v>
      </x:c>
      <x:c r="H89" s="43" t="str">
        <x:v>P148 L029</x:v>
      </x:c>
      <x:c r="I89" s="43" t="str">
        <x:v>https://static.cninfo.com.cn/finalpage/2026-04-18/1225123062.PDF</x:v>
      </x:c>
    </x:row>
    <x:row r="90" ht="29" customHeight="1">
      <x:c r="C90" s="42" t="str">
        <x:v>所有者权益合计</x:v>
      </x:c>
      <x:c r="D90" s="43" t="str">
        <x:v>FY2025</x:v>
      </x:c>
      <x:c r="E90" s="43" t="n">
        <x:v>91216.86335459</x:v>
      </x:c>
      <x:c r="F90" s="43" t="str">
        <x:v>RMB million</x:v>
      </x:c>
      <x:c r="G90" s="43" t="str">
        <x:v>SOURCE_FACT</x:v>
      </x:c>
      <x:c r="H90" s="43" t="str">
        <x:v>P148 L039</x:v>
      </x:c>
      <x:c r="I90" s="43" t="str">
        <x:v>https://static.cninfo.com.cn/finalpage/2026-04-18/1225123062.PDF</x:v>
      </x:c>
    </x:row>
    <x:row r="91" ht="29" customHeight="1">
      <x:c r="C91" s="42" t="str">
        <x:v>少数股东权益</x:v>
      </x:c>
      <x:c r="D91" s="43" t="str">
        <x:v>FY2025</x:v>
      </x:c>
      <x:c r="E91" s="43" t="n">
        <x:v>7868.6774689700005</x:v>
      </x:c>
      <x:c r="F91" s="43" t="str">
        <x:v>RMB million</x:v>
      </x:c>
      <x:c r="G91" s="43" t="str">
        <x:v>SOURCE_FACT</x:v>
      </x:c>
      <x:c r="H91" s="43" t="str">
        <x:v>P148 L038</x:v>
      </x:c>
      <x:c r="I91" s="43" t="str">
        <x:v>https://static.cninfo.com.cn/finalpage/2026-04-18/1225123062.PDF</x:v>
      </x:c>
    </x:row>
    <x:row r="92" ht="29" customHeight="1">
      <x:c r="C92" s="42" t="str">
        <x:v>未分配利润</x:v>
      </x:c>
      <x:c r="D92" s="43" t="str">
        <x:v>FY2025</x:v>
      </x:c>
      <x:c r="E92" s="43" t="n">
        <x:v>65059.09472757</x:v>
      </x:c>
      <x:c r="F92" s="43" t="str">
        <x:v>RMB million</x:v>
      </x:c>
      <x:c r="G92" s="43" t="str">
        <x:v>SOURCE_FACT</x:v>
      </x:c>
      <x:c r="H92" s="43" t="str">
        <x:v>P148 L036</x:v>
      </x:c>
      <x:c r="I92" s="43" t="str">
        <x:v>https://static.cninfo.com.cn/finalpage/2026-04-18/1225123062.PDF</x:v>
      </x:c>
    </x:row>
    <x:row r="93" ht="29" customHeight="1">
      <x:c r="C93" s="42" t="str">
        <x:v>一、营业收入</x:v>
      </x:c>
      <x:c r="D93" s="43" t="str">
        <x:v>H12025</x:v>
      </x:c>
      <x:c r="E93" s="43" t="n">
        <x:v>41818.04008844</x:v>
      </x:c>
      <x:c r="F93" s="43" t="str">
        <x:v>RMB million</x:v>
      </x:c>
      <x:c r="G93" s="43" t="str">
        <x:v>SOURCE_FACT</x:v>
      </x:c>
      <x:c r="H93" s="43" t="str">
        <x:v>P040 L007</x:v>
      </x:c>
      <x:c r="I93" s="43" t="str">
        <x:v>https://static.cninfo.com.cn/finalpage/2026-07-25/1225440236.PDF</x:v>
      </x:c>
    </x:row>
    <x:row r="94" ht="29" customHeight="1">
      <x:c r="C94" s="42" t="str">
        <x:v>三、利润总额</x:v>
      </x:c>
      <x:c r="D94" s="43" t="str">
        <x:v>H12025</x:v>
      </x:c>
      <x:c r="E94" s="43" t="n">
        <x:v>7040.89060457</x:v>
      </x:c>
      <x:c r="F94" s="43" t="str">
        <x:v>RMB million</x:v>
      </x:c>
      <x:c r="G94" s="43" t="str">
        <x:v>SOURCE_FACT</x:v>
      </x:c>
      <x:c r="H94" s="43" t="str">
        <x:v>P040 L027</x:v>
      </x:c>
      <x:c r="I94" s="43" t="str">
        <x:v>https://static.cninfo.com.cn/finalpage/2026-07-25/1225440236.PDF</x:v>
      </x:c>
    </x:row>
    <x:row r="95" ht="29" customHeight="1">
      <x:c r="C95" s="42" t="str">
        <x:v>四、净利润</x:v>
      </x:c>
      <x:c r="D95" s="43" t="str">
        <x:v>H12025</x:v>
      </x:c>
      <x:c r="E95" s="43" t="n">
        <x:v>6281.4766308299995</x:v>
      </x:c>
      <x:c r="F95" s="43" t="str">
        <x:v>RMB million</x:v>
      </x:c>
      <x:c r="G95" s="43" t="str">
        <x:v>SOURCE_FACT</x:v>
      </x:c>
      <x:c r="H95" s="43" t="str">
        <x:v>P040 L029</x:v>
      </x:c>
      <x:c r="I95" s="43" t="str">
        <x:v>https://static.cninfo.com.cn/finalpage/2026-07-25/1225440236.PDF</x:v>
      </x:c>
    </x:row>
    <x:row r="96" ht="29" customHeight="1">
      <x:c r="C96" s="42" t="str">
        <x:v>一、营业收入</x:v>
      </x:c>
      <x:c r="D96" s="43" t="str">
        <x:v>H12026</x:v>
      </x:c>
      <x:c r="E96" s="43" t="n">
        <x:v>46822.53784707</x:v>
      </x:c>
      <x:c r="F96" s="43" t="str">
        <x:v>RMB million</x:v>
      </x:c>
      <x:c r="G96" s="43" t="str">
        <x:v>SOURCE_FACT</x:v>
      </x:c>
      <x:c r="H96" s="43" t="str">
        <x:v>P040 L007</x:v>
      </x:c>
      <x:c r="I96" s="43" t="str">
        <x:v>https://static.cninfo.com.cn/finalpage/2026-07-25/1225440236.PDF</x:v>
      </x:c>
    </x:row>
    <x:row r="97" ht="29" customHeight="1">
      <x:c r="C97" s="42" t="str">
        <x:v>三、利润总额</x:v>
      </x:c>
      <x:c r="D97" s="43" t="str">
        <x:v>H12026</x:v>
      </x:c>
      <x:c r="E97" s="43" t="n">
        <x:v>10405.27397735</x:v>
      </x:c>
      <x:c r="F97" s="43" t="str">
        <x:v>RMB million</x:v>
      </x:c>
      <x:c r="G97" s="43" t="str">
        <x:v>SOURCE_FACT</x:v>
      </x:c>
      <x:c r="H97" s="43" t="str">
        <x:v>P040 L027</x:v>
      </x:c>
      <x:c r="I97" s="43" t="str">
        <x:v>https://static.cninfo.com.cn/finalpage/2026-07-25/1225440236.PDF</x:v>
      </x:c>
    </x:row>
    <x:row r="98" ht="29" customHeight="1">
      <x:c r="C98" s="42" t="str">
        <x:v>四、净利润</x:v>
      </x:c>
      <x:c r="D98" s="43" t="str">
        <x:v>H12026</x:v>
      </x:c>
      <x:c r="E98" s="43" t="n">
        <x:v>9123.00055388</x:v>
      </x:c>
      <x:c r="F98" s="43" t="str">
        <x:v>RMB million</x:v>
      </x:c>
      <x:c r="G98" s="43" t="str">
        <x:v>SOURCE_FACT</x:v>
      </x:c>
      <x:c r="H98" s="43" t="str">
        <x:v>P040 L029</x:v>
      </x:c>
      <x:c r="I98" s="43" t="str">
        <x:v>https://static.cninfo.com.cn/finalpage/2026-07-25/1225440236.PDF</x:v>
      </x:c>
    </x:row>
    <x:row r="99" ht="29" customHeight="1">
      <x:c r="C99" s="42" t="str">
        <x:v>固定资产折旧                               1</x:v>
      </x:c>
      <x:c r="D99" s="43" t="str">
        <x:v>FY2025</x:v>
      </x:c>
      <x:c r="E99" s="43" t="n">
        <x:v>1646.02956021</x:v>
      </x:c>
      <x:c r="F99" s="43" t="str">
        <x:v>RMB million</x:v>
      </x:c>
      <x:c r="G99" s="43" t="str">
        <x:v>SOURCE_FACT</x:v>
      </x:c>
      <x:c r="H99" s="43" t="str">
        <x:v>P229 L015</x:v>
      </x:c>
      <x:c r="I99" s="43" t="str">
        <x:v>https://static.cninfo.com.cn/finalpage/2026-04-18/1225123062.PDF</x:v>
      </x:c>
    </x:row>
    <x:row r="100" ht="29" customHeight="1">
      <x:c r="C100" s="42" t="str">
        <x:v>使用权资产摊销</x:v>
      </x:c>
      <x:c r="D100" s="43" t="str">
        <x:v>FY2025</x:v>
      </x:c>
      <x:c r="E100" s="43" t="n">
        <x:v>204.88915291</x:v>
      </x:c>
      <x:c r="F100" s="43" t="str">
        <x:v>RMB million</x:v>
      </x:c>
      <x:c r="G100" s="43" t="str">
        <x:v>SOURCE_FACT</x:v>
      </x:c>
      <x:c r="H100" s="43" t="str">
        <x:v>P229 L016</x:v>
      </x:c>
      <x:c r="I100" s="43" t="str">
        <x:v>https://static.cninfo.com.cn/finalpage/2026-04-18/1225123062.PDF</x:v>
      </x:c>
    </x:row>
    <x:row r="101" ht="29" customHeight="1">
      <x:c r="C101" s="42" t="str">
        <x:v>无形资产摊销</x:v>
      </x:c>
      <x:c r="D101" s="43" t="str">
        <x:v>FY2025</x:v>
      </x:c>
      <x:c r="E101" s="43" t="n">
        <x:v>106.79429352</x:v>
      </x:c>
      <x:c r="F101" s="43" t="str">
        <x:v>RMB million</x:v>
      </x:c>
      <x:c r="G101" s="43" t="str">
        <x:v>SOURCE_FACT</x:v>
      </x:c>
      <x:c r="H101" s="43" t="str">
        <x:v>P229 L017</x:v>
      </x:c>
      <x:c r="I101" s="43" t="str">
        <x:v>https://static.cninfo.com.cn/finalpage/2026-04-18/1225123062.PDF</x:v>
      </x:c>
    </x:row>
    <x:row r="102" ht="29" customHeight="1">
      <x:c r="C102" s="42" t="str">
        <x:v>长期待摊费用摊销</x:v>
      </x:c>
      <x:c r="D102" s="43" t="str">
        <x:v>FY2025</x:v>
      </x:c>
      <x:c r="E102" s="43" t="n">
        <x:v>96.68989095</x:v>
      </x:c>
      <x:c r="F102" s="43" t="str">
        <x:v>RMB million</x:v>
      </x:c>
      <x:c r="G102" s="43" t="str">
        <x:v>SOURCE_FACT</x:v>
      </x:c>
      <x:c r="H102" s="43" t="str">
        <x:v>P229 L018</x:v>
      </x:c>
      <x:c r="I102" s="43" t="str">
        <x:v>https://static.cninfo.com.cn/finalpage/2026-04-18/1225123062.PDF</x:v>
      </x:c>
    </x:row>
    <x:row r="103" ht="29" customHeight="1">
      <x:c r="C103" s="42" t="str">
        <x:v>固定资产折旧                               1</x:v>
      </x:c>
      <x:c r="D103" s="43" t="str">
        <x:v>FY2025</x:v>
      </x:c>
      <x:c r="E103" s="43" t="n">
        <x:v>1491.73172501</x:v>
      </x:c>
      <x:c r="F103" s="43" t="str">
        <x:v>RMB million</x:v>
      </x:c>
      <x:c r="G103" s="43" t="str">
        <x:v>SOURCE_FACT</x:v>
      </x:c>
      <x:c r="H103" s="43" t="str">
        <x:v>P229 L015</x:v>
      </x:c>
      <x:c r="I103" s="43" t="str">
        <x:v>https://static.cninfo.com.cn/finalpage/2026-04-18/1225123062.PDF</x:v>
      </x:c>
    </x:row>
    <x:row r="104" ht="29" customHeight="1">
      <x:c r="C104" s="42" t="str">
        <x:v>使用权资产摊销</x:v>
      </x:c>
      <x:c r="D104" s="43" t="str">
        <x:v>FY2025</x:v>
      </x:c>
      <x:c r="E104" s="43" t="n">
        <x:v>295.08284833</x:v>
      </x:c>
      <x:c r="F104" s="43" t="str">
        <x:v>RMB million</x:v>
      </x:c>
      <x:c r="G104" s="43" t="str">
        <x:v>SOURCE_FACT</x:v>
      </x:c>
      <x:c r="H104" s="43" t="str">
        <x:v>P229 L016</x:v>
      </x:c>
      <x:c r="I104" s="43" t="str">
        <x:v>https://static.cninfo.com.cn/finalpage/2026-04-18/1225123062.PDF</x:v>
      </x:c>
    </x:row>
    <x:row r="105" ht="29" customHeight="1">
      <x:c r="C105" s="42" t="str">
        <x:v>无形资产摊销</x:v>
      </x:c>
      <x:c r="D105" s="43" t="str">
        <x:v>FY2025</x:v>
      </x:c>
      <x:c r="E105" s="43" t="n">
        <x:v>99.99989362000001</x:v>
      </x:c>
      <x:c r="F105" s="43" t="str">
        <x:v>RMB million</x:v>
      </x:c>
      <x:c r="G105" s="43" t="str">
        <x:v>SOURCE_FACT</x:v>
      </x:c>
      <x:c r="H105" s="43" t="str">
        <x:v>P229 L017</x:v>
      </x:c>
      <x:c r="I105" s="43" t="str">
        <x:v>https://static.cninfo.com.cn/finalpage/2026-04-18/1225123062.PDF</x:v>
      </x:c>
    </x:row>
    <x:row r="106" ht="29" customHeight="1">
      <x:c r="C106" s="42" t="str">
        <x:v>长期待摊费用摊销</x:v>
      </x:c>
      <x:c r="D106" s="43" t="str">
        <x:v>FY2025</x:v>
      </x:c>
      <x:c r="E106" s="43" t="n">
        <x:v>97.11576637</x:v>
      </x:c>
      <x:c r="F106" s="43" t="str">
        <x:v>RMB million</x:v>
      </x:c>
      <x:c r="G106" s="43" t="str">
        <x:v>SOURCE_FACT</x:v>
      </x:c>
      <x:c r="H106" s="43" t="str">
        <x:v>P229 L018</x:v>
      </x:c>
      <x:c r="I106" s="43" t="str">
        <x:v>https://static.cninfo.com.cn/finalpage/2026-04-18/1225123062.PDF</x:v>
      </x:c>
    </x:row>
    <x:row r="107" ht="29" customHeight="1">
      <x:c r="C107" s="42" t="str">
        <x:v>境内                  58,221,682,972.42</x:v>
      </x:c>
      <x:c r="D107" s="43" t="str">
        <x:v>FY2025</x:v>
      </x:c>
      <x:c r="E107" s="43" t="n">
        <x:v>58221.68297242</x:v>
      </x:c>
      <x:c r="F107" s="43" t="str">
        <x:v>RMB million</x:v>
      </x:c>
      <x:c r="G107" s="43" t="str">
        <x:v>SOURCE_FACT</x:v>
      </x:c>
      <x:c r="H107" s="43" t="str">
        <x:v>P088 L026</x:v>
      </x:c>
      <x:c r="I107" s="43" t="str">
        <x:v>https://static.cninfo.com.cn/finalpage/2026-04-18/1225123062.PDF</x:v>
      </x:c>
    </x:row>
    <x:row r="108" ht="29" customHeight="1">
      <x:c r="C108" s="42" t="str">
        <x:v>境外                  34,286,113,097.52</x:v>
      </x:c>
      <x:c r="D108" s="43" t="str">
        <x:v>FY2025</x:v>
      </x:c>
      <x:c r="E108" s="43" t="n">
        <x:v>34286.11309752</x:v>
      </x:c>
      <x:c r="F108" s="43" t="str">
        <x:v>RMB million</x:v>
      </x:c>
      <x:c r="G108" s="43" t="str">
        <x:v>SOURCE_FACT</x:v>
      </x:c>
      <x:c r="H108" s="43" t="str">
        <x:v>P088 L027</x:v>
      </x:c>
      <x:c r="I108" s="43" t="str">
        <x:v>https://static.cninfo.com.cn/finalpage/2026-04-18/1225123062.PDF</x:v>
      </x:c>
    </x:row>
    <x:row r="109" ht="29" customHeight="1">
      <x:c r="C109" s="42" t="str">
        <x:v>境内             29,758,876,223.84             63.56</x:v>
      </x:c>
      <x:c r="D109" s="43" t="str">
        <x:v>H12026</x:v>
      </x:c>
      <x:c r="E109" s="43" t="n">
        <x:v>29758.87622384</x:v>
      </x:c>
      <x:c r="F109" s="43" t="str">
        <x:v>RMB million</x:v>
      </x:c>
      <x:c r="G109" s="43" t="str">
        <x:v>SOURCE_FACT</x:v>
      </x:c>
      <x:c r="H109" s="43" t="str">
        <x:v>P011 L050</x:v>
      </x:c>
      <x:c r="I109" s="43" t="str">
        <x:v>https://static.cninfo.com.cn/finalpage/2026-07-25/1225440236.PDF</x:v>
      </x:c>
    </x:row>
    <x:row r="110" ht="29" customHeight="1">
      <x:c r="C110" s="42" t="str">
        <x:v>境内             29,758,876,223.84             63.56</x:v>
      </x:c>
      <x:c r="D110" s="43" t="str">
        <x:v>H12026</x:v>
      </x:c>
      <x:c r="E110" s="43" t="n">
        <x:v>26393.42314763</x:v>
      </x:c>
      <x:c r="F110" s="43" t="str">
        <x:v>RMB million</x:v>
      </x:c>
      <x:c r="G110" s="43" t="str">
        <x:v>SOURCE_FACT</x:v>
      </x:c>
      <x:c r="H110" s="43" t="str">
        <x:v>P011 L050</x:v>
      </x:c>
      <x:c r="I110" s="43" t="str">
        <x:v>https://static.cninfo.com.cn/finalpage/2026-07-25/1225440236.PDF</x:v>
      </x:c>
    </x:row>
    <x:row r="111" ht="29" customHeight="1">
      <x:c r="C111" s="42" t="str">
        <x:v>境外             17,063,661,623.23             36.44</x:v>
      </x:c>
      <x:c r="D111" s="43" t="str">
        <x:v>H12026</x:v>
      </x:c>
      <x:c r="E111" s="43" t="n">
        <x:v>17063.66162323</x:v>
      </x:c>
      <x:c r="F111" s="43" t="str">
        <x:v>RMB million</x:v>
      </x:c>
      <x:c r="G111" s="43" t="str">
        <x:v>SOURCE_FACT</x:v>
      </x:c>
      <x:c r="H111" s="43" t="str">
        <x:v>P011 L052</x:v>
      </x:c>
      <x:c r="I111" s="43" t="str">
        <x:v>https://static.cninfo.com.cn/finalpage/2026-07-25/1225440236.PDF</x:v>
      </x:c>
    </x:row>
    <x:row r="112" ht="29" customHeight="1">
      <x:c r="C112" s="42" t="str">
        <x:v>境外             17,063,661,623.23             36.44</x:v>
      </x:c>
      <x:c r="D112" s="43" t="str">
        <x:v>H12026</x:v>
      </x:c>
      <x:c r="E112" s="43" t="n">
        <x:v>15424.61694081</x:v>
      </x:c>
      <x:c r="F112" s="43" t="str">
        <x:v>RMB million</x:v>
      </x:c>
      <x:c r="G112" s="43" t="str">
        <x:v>SOURCE_FACT</x:v>
      </x:c>
      <x:c r="H112" s="43" t="str">
        <x:v>P011 L052</x:v>
      </x:c>
      <x:c r="I112" s="43" t="str">
        <x:v>https://static.cninfo.com.cn/finalpage/2026-07-25/1225440236.PDF</x:v>
      </x:c>
    </x:row>
    <x:row r="113" ht="29" customHeight="1">
      <x:c r="C113" s="42" t="str">
        <x:v>境内            58,221,682,972.42   31,711,100,965.8</x:v>
      </x:c>
      <x:c r="D113" s="43" t="str">
        <x:v>FY2025</x:v>
      </x:c>
      <x:c r="E113" s="43" t="n">
        <x:v>31711.1009658</x:v>
      </x:c>
      <x:c r="F113" s="43" t="str">
        <x:v>RMB million</x:v>
      </x:c>
      <x:c r="G113" s="43" t="str">
        <x:v>SOURCE_FACT</x:v>
      </x:c>
      <x:c r="H113" s="43" t="str">
        <x:v>P089 L027</x:v>
      </x:c>
      <x:c r="I113" s="43" t="str">
        <x:v>https://static.cninfo.com.cn/finalpage/2026-04-18/1225123062.PDF</x:v>
      </x:c>
    </x:row>
    <x:row r="114" ht="29" customHeight="1">
      <x:c r="C114" s="42" t="str">
        <x:v>境外            34,286,113,097.52   18,356,335,584.5</x:v>
      </x:c>
      <x:c r="D114" s="43" t="str">
        <x:v>FY2025</x:v>
      </x:c>
      <x:c r="E114" s="43" t="n">
        <x:v>18356.33558456</x:v>
      </x:c>
      <x:c r="F114" s="43" t="str">
        <x:v>RMB million</x:v>
      </x:c>
      <x:c r="G114" s="43" t="str">
        <x:v>SOURCE_FACT</x:v>
      </x:c>
      <x:c r="H114" s="43" t="str">
        <x:v>P089 L029</x:v>
      </x:c>
      <x:c r="I114" s="43" t="str">
        <x:v>https://static.cninfo.com.cn/finalpage/2026-04-18/1225123062.PDF</x:v>
      </x:c>
    </x:row>
    <x:row r="115" ht="29" customHeight="1">
      <x:c r="C115" s="42"/>
      <x:c r="D115" s="43"/>
      <x:c r="E115" s="43"/>
      <x:c r="F115" s="43"/>
      <x:c r="G115" s="43"/>
      <x:c r="H115" s="43"/>
      <x:c r="I115" s="43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海康威视 Hikvision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-2.9103830456733704e-11</x:v>
      </x:c>
      <x:c r="E9" s="19" t="n">
        <x:f>'Statements'!E55</x:f>
        <x:v>2.9103830456733704e-11</x:v>
      </x:c>
      <x:c r="F9" s="19" t="n">
        <x:f>'Statements'!F55</x:f>
        <x:v>2.9103830456733704e-11</x:v>
      </x:c>
      <x:c r="G9" s="19" t="n">
        <x:f>'Statements'!G55</x:f>
        <x:v>2.9103830456733704e-11</x:v>
      </x:c>
      <x:c r="H9" s="19" t="n">
        <x:f>'Statements'!H55</x:f>
        <x:v>2.9103830456733704e-11</x:v>
      </x:c>
      <x:c r="I9" s="19" t="n">
        <x:f>'Statements'!I55</x:f>
        <x:v>2.9103830456733704e-11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-7.275957614183426e-12</x:v>
      </x:c>
      <x:c r="E10" s="19" t="n">
        <x:f>'Statements'!E80+'Statements'!E79-'Statements'!E81</x:f>
        <x:v>-7.275957614183426e-12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2.9103830456733704e-11</x:v>
      </x:c>
      <x:c r="E11" s="19" t="n">
        <x:f>SUM('SourceFacts'!E31,'SourceFacts'!E33:'SourceFacts'!E39)-'SourceFacts'!E40</x:f>
        <x:v>0</x:v>
      </x:c>
      <x:c r="F11" s="19" t="n">
        <x:f>SUM('SourceFacts'!F31,'SourceFacts'!F33:'SourceFacts'!F39)-'SourceFacts'!F40</x:f>
        <x:v>-2.9103830456733704e-11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0</x:v>
      </x:c>
      <x:c r="E12" s="19" t="n">
        <x:f>SUM('SourceFacts'!E41:'SourceFacts'!E46)-'SourceFacts'!E47</x:f>
        <x:v>0</x:v>
      </x:c>
      <x:c r="F12" s="19" t="n">
        <x:f>SUM('SourceFacts'!F41:'SourceFacts'!F46)-'SourceFacts'!F47</x:f>
        <x:v>0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SUM('Interim'!E16:E17)-'Interim'!E9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</x:f>
        <x:v>0</x:v>
      </x:c>
      <x:c r="H35" s="19" t="n">
        <x:f>MAX(0,0-'Operating'!H12)+MAX(0,0-'Operating'!H20)</x:f>
        <x:v>0</x:v>
      </x:c>
      <x:c r="I35" s="19" t="n">
        <x:f>MAX(0,0-'Operating'!I12)+MAX(0,0-'Operating'!I20)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</x:f>
        <x:v>0</x:v>
      </x:c>
      <x:c r="H36" s="19" t="n">
        <x:f>MAX(0,-1-'Assumptions'!H66)+MAX(0,-1-'Assumptions'!H67)+MAX(0,-1-'Assumptions'!H70)+MAX(0,-1-'Assumptions'!H71)</x:f>
        <x:v>0</x:v>
      </x:c>
      <x:c r="I36" s="19" t="n">
        <x:f>MAX(0,-1-'Assumptions'!I66)+MAX(0,-1-'Assumptions'!I67)+MAX(0,-1-'Assumptions'!I70)+MAX(0,-1-'Assumptions'!I71)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