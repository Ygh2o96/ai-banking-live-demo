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c0d0eaa7b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f0f3a34327e4b4a"/>
    <x:sheet xmlns:r="http://schemas.openxmlformats.org/officeDocument/2006/relationships" name="Assumptions" sheetId="2" r:id="R7f9b750bcc3b4264"/>
    <x:sheet xmlns:r="http://schemas.openxmlformats.org/officeDocument/2006/relationships" name="Operating" sheetId="3" r:id="Rab339e01aa064557"/>
    <x:sheet xmlns:r="http://schemas.openxmlformats.org/officeDocument/2006/relationships" name="Statements" sheetId="4" r:id="Rf1b811c695f44e46"/>
    <x:sheet xmlns:r="http://schemas.openxmlformats.org/officeDocument/2006/relationships" name="WorkingCapital" sheetId="5" r:id="R0f21157596cf47ed"/>
    <x:sheet xmlns:r="http://schemas.openxmlformats.org/officeDocument/2006/relationships" name="FixedAssets" sheetId="6" r:id="R8d0ddf5014494f02"/>
    <x:sheet xmlns:r="http://schemas.openxmlformats.org/officeDocument/2006/relationships" name="FundingTaxEquity" sheetId="7" r:id="R6af1735f98d44f9d"/>
    <x:sheet xmlns:r="http://schemas.openxmlformats.org/officeDocument/2006/relationships" name="Interim" sheetId="8" r:id="R87907cf4cf044da5"/>
    <x:sheet xmlns:r="http://schemas.openxmlformats.org/officeDocument/2006/relationships" name="SourceFacts" sheetId="9" r:id="R27206a674f9a4934"/>
    <x:sheet xmlns:r="http://schemas.openxmlformats.org/officeDocument/2006/relationships" name="SourceBS" sheetId="10" r:id="Rdf01c7b6ad724ee2"/>
    <x:sheet xmlns:r="http://schemas.openxmlformats.org/officeDocument/2006/relationships" name="Sources" sheetId="11" r:id="R421525b0b46d4ada"/>
    <x:sheet xmlns:r="http://schemas.openxmlformats.org/officeDocument/2006/relationships" name="Checks" sheetId="12" r:id="R15472dbb25c2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d5b08313340c7" /><Relationship Type="http://schemas.openxmlformats.org/officeDocument/2006/relationships/theme" Target="/xl/theme/theme1.xml" Id="R6211a45d84c24f86" /><Relationship Type="http://schemas.openxmlformats.org/officeDocument/2006/relationships/sharedStrings" Target="/xl/sharedStrings.xml" Id="R1739f54fe2234cae" /><Relationship Type="http://schemas.openxmlformats.org/officeDocument/2006/relationships/worksheet" Target="/xl/worksheets/sheet1.xml" Id="R0f0f3a34327e4b4a" /><Relationship Type="http://schemas.openxmlformats.org/officeDocument/2006/relationships/worksheet" Target="/xl/worksheets/sheet2.xml" Id="R7f9b750bcc3b4264" /><Relationship Type="http://schemas.openxmlformats.org/officeDocument/2006/relationships/worksheet" Target="/xl/worksheets/sheet3.xml" Id="Rab339e01aa064557" /><Relationship Type="http://schemas.openxmlformats.org/officeDocument/2006/relationships/worksheet" Target="/xl/worksheets/sheet4.xml" Id="Rf1b811c695f44e46" /><Relationship Type="http://schemas.openxmlformats.org/officeDocument/2006/relationships/worksheet" Target="/xl/worksheets/sheet5.xml" Id="R0f21157596cf47ed" /><Relationship Type="http://schemas.openxmlformats.org/officeDocument/2006/relationships/worksheet" Target="/xl/worksheets/sheet6.xml" Id="R8d0ddf5014494f02" /><Relationship Type="http://schemas.openxmlformats.org/officeDocument/2006/relationships/worksheet" Target="/xl/worksheets/sheet7.xml" Id="R6af1735f98d44f9d" /><Relationship Type="http://schemas.openxmlformats.org/officeDocument/2006/relationships/worksheet" Target="/xl/worksheets/sheet8.xml" Id="R87907cf4cf044da5" /><Relationship Type="http://schemas.openxmlformats.org/officeDocument/2006/relationships/worksheet" Target="/xl/worksheets/sheet9.xml" Id="R27206a674f9a4934" /><Relationship Type="http://schemas.openxmlformats.org/officeDocument/2006/relationships/worksheet" Target="/xl/worksheets/sheet10.xml" Id="Rdf01c7b6ad724ee2" /><Relationship Type="http://schemas.openxmlformats.org/officeDocument/2006/relationships/worksheet" Target="/xl/worksheets/sheet11.xml" Id="R421525b0b46d4ada" /><Relationship Type="http://schemas.openxmlformats.org/officeDocument/2006/relationships/worksheet" Target="/xl/worksheets/sheet12.xml" Id="R15472dbb25c243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24557.80206659</x:v>
      </x:c>
      <x:c r="E9" s="19" t="n">
        <x:f>'Statements'!E10</x:f>
        <x:v>27947.16451593</x:v>
      </x:c>
      <x:c r="F9" s="19" t="n">
        <x:f>'Statements'!F10</x:f>
        <x:v>31011.74451027</x:v>
      </x:c>
      <x:c r="G9" s="19" t="n">
        <x:f>'Statements'!G10</x:f>
        <x:v>33326.2649099115</x:v>
      </x:c>
      <x:c r="H9" s="19" t="n">
        <x:f>'Statements'!H10</x:f>
        <x:v>37071.65402119667</x:v>
      </x:c>
      <x:c r="I9" s="19" t="n">
        <x:f>'Statements'!I10</x:f>
        <x:v>41259.561934049576</x:v>
      </x:c>
    </x:row>
    <x:row r="10" ht="21" customHeight="1">
      <x:c r="C10" s="1" t="str">
        <x:v>Gross profit</x:v>
      </x:c>
      <x:c r="D10" s="19" t="n">
        <x:f>'Statements'!D12</x:f>
        <x:v>6783.9431024700025</x:v>
      </x:c>
      <x:c r="E10" s="19" t="n">
        <x:f>'Statements'!E12</x:f>
        <x:v>7677.330961449999</x:v>
      </x:c>
      <x:c r="F10" s="19" t="n">
        <x:f>'Statements'!F12</x:f>
        <x:v>8924.247457860001</x:v>
      </x:c>
      <x:c r="G10" s="19" t="n">
        <x:f>'Statements'!G12</x:f>
        <x:v>9551.80496839606</x:v>
      </x:c>
      <x:c r="H10" s="19" t="n">
        <x:f>'Statements'!H12</x:f>
        <x:v>10603.838013899007</x:v>
      </x:c>
      <x:c r="I10" s="19" t="n">
        <x:f>'Statements'!I12</x:f>
        <x:v>11783.071368163353</x:v>
      </x:c>
    </x:row>
    <x:row r="11" ht="21" customHeight="1">
      <x:c r="C11" s="1" t="str">
        <x:v>EBITDA proxy; definition in Statements</x:v>
      </x:c>
      <x:c r="D11" s="2"/>
      <x:c r="E11" s="19" t="n">
        <x:f>'Statements'!E21</x:f>
        <x:v>4676.73772282</x:v>
      </x:c>
      <x:c r="F11" s="19" t="n">
        <x:f>'Statements'!F21</x:f>
        <x:v>6201.64141145</x:v>
      </x:c>
      <x:c r="G11" s="19" t="n">
        <x:f>'Statements'!G21</x:f>
        <x:v>6664.492688755894</x:v>
      </x:c>
      <x:c r="H11" s="19" t="n">
        <x:f>'Statements'!H21</x:f>
        <x:v>7413.485065074735</x:v>
      </x:c>
      <x:c r="I11" s="19" t="n">
        <x:f>'Statements'!I21</x:f>
        <x:v>8250.971106244939</x:v>
      </x:c>
    </x:row>
    <x:row r="12" ht="21" customHeight="1">
      <x:c r="C12" s="1" t="str">
        <x:v>Consolidated net income</x:v>
      </x:c>
      <x:c r="D12" s="19" t="n">
        <x:f>'Statements'!D25</x:f>
        <x:v>2933.7147389899997</x:v>
      </x:c>
      <x:c r="E12" s="19" t="n">
        <x:f>'Statements'!E25</x:f>
        <x:v>3111.72580234</x:v>
      </x:c>
      <x:c r="F12" s="19" t="n">
        <x:f>'Statements'!F25</x:f>
        <x:v>4106.68986743</x:v>
      </x:c>
      <x:c r="G12" s="19" t="n">
        <x:f>'Statements'!G25</x:f>
        <x:v>4556.852207949258</x:v>
      </x:c>
      <x:c r="H12" s="19" t="n">
        <x:f>'Statements'!H25</x:f>
        <x:v>5055.604622350462</x:v>
      </x:c>
      <x:c r="I12" s="19" t="n">
        <x:f>'Statements'!I25</x:f>
        <x:v>5613.289598854666</x:v>
      </x:c>
    </x:row>
    <x:row r="13" ht="21" customHeight="1">
      <x:c r="C13" s="1" t="str">
        <x:v>Operating cash flow</x:v>
      </x:c>
      <x:c r="D13" s="19" t="n">
        <x:f>'Statements'!D65</x:f>
        <x:v>3723.96435463</x:v>
      </x:c>
      <x:c r="E13" s="19" t="n">
        <x:f>'Statements'!E65</x:f>
        <x:v>4366.63094836</x:v>
      </x:c>
      <x:c r="F13" s="19" t="n">
        <x:f>'Statements'!F65</x:f>
        <x:v>5090.762717979999</x:v>
      </x:c>
      <x:c r="G13" s="19" t="n">
        <x:f>'Statements'!G65</x:f>
        <x:v>5270.171239080188</x:v>
      </x:c>
      <x:c r="H13" s="19" t="n">
        <x:f>'Statements'!H65</x:f>
        <x:v>5886.751282857526</x:v>
      </x:c>
      <x:c r="I13" s="19" t="n">
        <x:f>'Statements'!I65</x:f>
        <x:v>6557.162702526597</x:v>
      </x:c>
    </x:row>
    <x:row r="14" ht="21" customHeight="1">
      <x:c r="C14" s="1" t="str">
        <x:v>Free cash flow before financing</x:v>
      </x:c>
      <x:c r="D14" s="19" t="n">
        <x:f>'Statements'!D87</x:f>
        <x:v>978.5021268599999</x:v>
      </x:c>
      <x:c r="E14" s="19" t="n">
        <x:f>'Statements'!E87</x:f>
        <x:v>1076.4827608700002</x:v>
      </x:c>
      <x:c r="F14" s="19" t="n">
        <x:f>'Statements'!F87</x:f>
        <x:v>1938.3756124899996</x:v>
      </x:c>
      <x:c r="G14" s="19" t="n">
        <x:f>'Statements'!G87</x:f>
        <x:v>1882.5099051182242</x:v>
      </x:c>
      <x:c r="H14" s="19" t="n">
        <x:f>'Statements'!H87</x:f>
        <x:v>2118.3659191478014</x:v>
      </x:c>
      <x:c r="I14" s="19" t="n">
        <x:f>'Statements'!I87</x:f>
        <x:v>2363.0706553671544</x:v>
      </x:c>
    </x:row>
    <x:row r="15" ht="21" customHeight="1">
      <x:c r="C15" s="1" t="str">
        <x:v>Closing cash and cash equivalents</x:v>
      </x:c>
      <x:c r="D15" s="19" t="n">
        <x:f>'Statements'!D31</x:f>
        <x:v>3624.95549884</x:v>
      </x:c>
      <x:c r="E15" s="19" t="n">
        <x:f>'Statements'!E31</x:f>
        <x:v>3443.5024899</x:v>
      </x:c>
      <x:c r="F15" s="19" t="n">
        <x:f>'Statements'!F31</x:f>
        <x:v>12487.18933964</x:v>
      </x:c>
      <x:c r="G15" s="19" t="n">
        <x:f>'Statements'!G31</x:f>
        <x:v>11964.407328037983</x:v>
      </x:c>
      <x:c r="H15" s="19" t="n">
        <x:f>'Statements'!H31</x:f>
        <x:v>11655.462492056424</x:v>
      </x:c>
      <x:c r="I15" s="19" t="n">
        <x:f>'Statements'!I31</x:f>
        <x:v>11518.068255822785</x:v>
      </x:c>
    </x:row>
    <x:row r="16" ht="21" customHeight="1">
      <x:c r="C16" s="1" t="str">
        <x:v>Borrowings and lease liabilities</x:v>
      </x:c>
      <x:c r="D16" s="19" t="n">
        <x:f>'Statements'!D44</x:f>
        <x:v>3904.34022577</x:v>
      </x:c>
      <x:c r="E16" s="19" t="n">
        <x:f>'Statements'!E44</x:f>
        <x:v>4428.02520752</x:v>
      </x:c>
      <x:c r="F16" s="19" t="n">
        <x:f>'Statements'!F44</x:f>
        <x:v>4051.9682196900003</x:v>
      </x:c>
      <x:c r="G16" s="19" t="n">
        <x:f>'Statements'!G44</x:f>
        <x:v>3289.2456865335002</x:v>
      </x:c>
      <x:c r="H16" s="19" t="n">
        <x:f>'Statements'!H44</x:f>
        <x:v>2679.0676600083</x:v>
      </x:c>
      <x:c r="I16" s="19" t="n">
        <x:f>'Statements'!I44</x:f>
        <x:v>2190.92523878814</x:v>
      </x:c>
    </x:row>
    <x:row r="17" ht="21" customHeight="1">
      <x:c r="C17" s="1" t="str">
        <x:v>Balance-sheet difference</x:v>
      </x:c>
      <x:c r="D17" s="19" t="n">
        <x:f>'Statements'!D55</x:f>
        <x:v>-3.637978807091713e-12</x:v>
      </x:c>
      <x:c r="E17" s="19" t="n">
        <x:f>'Statements'!E55</x:f>
        <x:v>-7.275957614183426e-12</x:v>
      </x:c>
      <x:c r="F17" s="19" t="n">
        <x:f>'Statements'!F55</x:f>
        <x:v>-7.275957614183426e-12</x:v>
      </x:c>
      <x:c r="G17" s="19" t="n">
        <x:f>'Statements'!G55</x:f>
        <x:v>-7.275957614183426e-12</x:v>
      </x:c>
      <x:c r="H17" s="19" t="n">
        <x:f>'Statements'!H55</x:f>
        <x:v>-7.275957614183426e-12</x:v>
      </x:c>
      <x:c r="I17" s="19" t="n">
        <x:f>'Statements'!I55</x:f>
        <x:v>7.275957614183426e-12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0.3201876990651614</x:v>
      </x:c>
      <x:c r="G10" s="23" t="n">
        <x:v>0.3201876990651614</x:v>
      </x:c>
      <x:c r="H10" s="23" t="n">
        <x:v>0.3201876990651614</x:v>
      </x:c>
      <x:c r="I10" s="23" t="n">
        <x:v>0.3201876990651614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0.024233568401194627</x:v>
      </x:c>
      <x:c r="H11" s="23" t="n">
        <x:v>0.024233568401194627</x:v>
      </x:c>
      <x:c r="I11" s="23" t="n">
        <x:v>0.024233568401194627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0.0534633845790562</x:v>
      </x:c>
      <x:c r="H12" s="23" t="n">
        <x:v>0.0534633845790562</x:v>
      </x:c>
      <x:c r="I12" s="23" t="n">
        <x:v>0.0534633845790562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0.04430809507007759</x:v>
      </x:c>
      <x:c r="H13" s="23" t="n">
        <x:v>0.04430809507007759</x:v>
      </x:c>
      <x:c r="I13" s="23" t="n">
        <x:v>0.04430809507007759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0.005652410845573351</x:v>
      </x:c>
      <x:c r="H14" s="23" t="n">
        <x:v>0.005652410845573351</x:v>
      </x:c>
      <x:c r="I14" s="23" t="n">
        <x:v>0.005652410845573351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0.007446946196255318</x:v>
      </x:c>
      <x:c r="H15" s="23" t="n">
        <x:v>0.007446946196255318</x:v>
      </x:c>
      <x:c r="I15" s="23" t="n">
        <x:v>0.007446946196255318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0.012952901524196451</x:v>
      </x:c>
      <x:c r="H16" s="23" t="n">
        <x:v>0.012952901524196451</x:v>
      </x:c>
      <x:c r="I16" s="23" t="n">
        <x:v>0.012952901524196451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0.03293187060506167</x:v>
      </x:c>
      <x:c r="H17" s="23" t="n">
        <x:v>0.03293187060506167</x:v>
      </x:c>
      <x:c r="I17" s="23" t="n">
        <x:v>0.03293187060506167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0.14131651862488004</x:v>
      </x:c>
      <x:c r="H18" s="23" t="n">
        <x:v>0.14131651862488004</x:v>
      </x:c>
      <x:c r="I18" s="23" t="n">
        <x:v>0.14131651862488004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0.010665148025265766</x:v>
      </x:c>
      <x:c r="H19" s="23" t="n">
        <x:v>0.010665148025265766</x:v>
      </x:c>
      <x:c r="I19" s="23" t="n">
        <x:v>0.010665148025265766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129.38697403783735</x:v>
      </x:c>
      <x:c r="H22" s="22" t="n">
        <x:v>129.38697403783735</x:v>
      </x:c>
      <x:c r="I22" s="22" t="n">
        <x:v>129.38697403783735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93.19861632247016</x:v>
      </x:c>
      <x:c r="H23" s="22" t="n">
        <x:v>93.19861632247016</x:v>
      </x:c>
      <x:c r="I23" s="22" t="n">
        <x:v>93.19861632247016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168.3785791247568</x:v>
      </x:c>
      <x:c r="H24" s="22" t="n">
        <x:v>168.3785791247568</x:v>
      </x:c>
      <x:c r="I24" s="22" t="n">
        <x:v>168.3785791247568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0.0024560640071304668</x:v>
      </x:c>
      <x:c r="H25" s="23" t="n">
        <x:v>0.0024560640071304668</x:v>
      </x:c>
      <x:c r="I25" s="23" t="n">
        <x:v>0.0024560640071304668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0.09148625592479764</x:v>
      </x:c>
      <x:c r="H31" s="23" t="n">
        <x:v>0.09148625592479764</x:v>
      </x:c>
      <x:c r="I31" s="23" t="n">
        <x:v>0.09148625592479764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0.010165139547199739</x:v>
      </x:c>
      <x:c r="H32" s="23" t="n">
        <x:v>0.010165139547199739</x:v>
      </x:c>
      <x:c r="I32" s="23" t="n">
        <x:v>0.010165139547199739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0.08261460316470867</x:v>
      </x:c>
      <x:c r="H33" s="23" t="n">
        <x:v>0.08261460316470867</x:v>
      </x:c>
      <x:c r="I33" s="23" t="n">
        <x:v>0.08261460316470867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0.08261460316470867</x:v>
      </x:c>
      <x:c r="H34" s="23" t="n">
        <x:v>0.08261460316470867</x:v>
      </x:c>
      <x:c r="I34" s="23" t="n">
        <x:v>0.08261460316470867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0.08261460316470867</x:v>
      </x:c>
      <x:c r="H35" s="23" t="n">
        <x:v>0.08261460316470867</x:v>
      </x:c>
      <x:c r="I35" s="23" t="n">
        <x:v>0.08261460316470867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47.67111078149999</x:v>
      </x:c>
      <x:c r="H36" s="22" t="n">
        <x:v>47.67111078149999</x:v>
      </x:c>
      <x:c r="I36" s="22" t="n">
        <x:v>47.67111078149999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0.35</x:v>
      </x:c>
      <x:c r="H43" s="23" t="n">
        <x:v>0.35</x:v>
      </x:c>
      <x:c r="I43" s="23" t="n">
        <x:v>0.35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制冷空调零部件: HVAC component volume</x:v>
      </x:c>
      <x:c r="D66" s="2"/>
      <x:c r="E66" s="2"/>
      <x:c r="F66" s="2"/>
      <x:c r="G66" s="23" t="n">
        <x:v>0.08</x:v>
      </x:c>
      <x:c r="H66" s="23" t="n">
        <x:v>0.08</x:v>
      </x:c>
      <x:c r="I66" s="23" t="n">
        <x:v>0.08</x:v>
      </x:c>
    </x:row>
    <x:row r="67" ht="21" customHeight="1">
      <x:c r="C67" s="1" t="str">
        <x:v>制冷空调零部件: Content per system / price</x:v>
      </x:c>
      <x:c r="D67" s="2"/>
      <x:c r="E67" s="2"/>
      <x:c r="F67" s="2"/>
      <x:c r="G67" s="23" t="n">
        <x:v>0.01</x:v>
      </x:c>
      <x:c r="H67" s="23" t="n">
        <x:v>0.01</x:v>
      </x:c>
      <x:c r="I67" s="23" t="n">
        <x:v>0.01</x:v>
      </x:c>
    </x:row>
    <x:row r="68" ht="21" customHeight="1">
      <x:c r="C68" s="1" t="str">
        <x:v>制冷空调零部件: cash gross margin (LEAP)</x:v>
      </x:c>
      <x:c r="D68" s="2"/>
      <x:c r="E68" s="2"/>
      <x:c r="F68" s="26" t="n">
        <x:v>0.3201876990651614</x:v>
      </x:c>
      <x:c r="G68" s="30" t="n">
        <x:f>G10+($F68-$F$10)</x:f>
        <x:v>0.3201876990651614</x:v>
      </x:c>
      <x:c r="H68" s="30" t="n">
        <x:f>H10+($F68-$F$10)</x:f>
        <x:v>0.3201876990651614</x:v>
      </x:c>
      <x:c r="I68" s="30" t="n">
        <x:f>I10+($F68-$F$10)</x:f>
        <x:v>0.3201876990651614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汽车零部件: EV program volume</x:v>
      </x:c>
      <x:c r="D70" s="2"/>
      <x:c r="E70" s="2"/>
      <x:c r="F70" s="2"/>
      <x:c r="G70" s="23" t="n">
        <x:v>0.12</x:v>
      </x:c>
      <x:c r="H70" s="23" t="n">
        <x:v>0.12</x:v>
      </x:c>
      <x:c r="I70" s="23" t="n">
        <x:v>0.12</x:v>
      </x:c>
    </x:row>
    <x:row r="71" ht="21" customHeight="1">
      <x:c r="C71" s="1" t="str">
        <x:v>汽车零部件: Thermal-management content per vehicle</x:v>
      </x:c>
      <x:c r="D71" s="2"/>
      <x:c r="E71" s="2"/>
      <x:c r="F71" s="2"/>
      <x:c r="G71" s="23" t="n">
        <x:v>0.02</x:v>
      </x:c>
      <x:c r="H71" s="23" t="n">
        <x:v>0.02</x:v>
      </x:c>
      <x:c r="I71" s="23" t="n">
        <x:v>0.02</x:v>
      </x:c>
    </x:row>
    <x:row r="72" ht="21" customHeight="1">
      <x:c r="C72" s="1" t="str">
        <x:v>汽车零部件: cash gross margin (LEAP)</x:v>
      </x:c>
      <x:c r="D72" s="2"/>
      <x:c r="E72" s="2"/>
      <x:c r="F72" s="26" t="n">
        <x:v>0.3201876990651614</x:v>
      </x:c>
      <x:c r="G72" s="30" t="n">
        <x:f>G10+($F72-$F$10)</x:f>
        <x:v>0.3201876990651614</x:v>
      </x:c>
      <x:c r="H72" s="30" t="n">
        <x:f>H10+($F72-$F$10)</x:f>
        <x:v>0.3201876990651614</x:v>
      </x:c>
      <x:c r="I72" s="30" t="n">
        <x:f>I10+($F72-$F$10)</x:f>
        <x:v>0.3201876990651614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制冷空调零部件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0.08</x:v>
      </x:c>
      <x:c r="H11" s="31" t="n">
        <x:f>'Assumptions'!H66</x:f>
        <x:v>0.08</x:v>
      </x:c>
      <x:c r="I11" s="31" t="n">
        <x:f>'Assumptions'!I66</x:f>
        <x:v>0.08</x:v>
      </x:c>
    </x:row>
    <x:row r="12" ht="21" customHeight="1">
      <x:c r="C12" s="1" t="str">
        <x:v>Segment revenue</x:v>
      </x:c>
      <x:c r="D12" s="2"/>
      <x:c r="E12" s="2"/>
      <x:c r="F12" s="2" t="n">
        <x:v>18584.74371809</x:v>
      </x:c>
      <x:c r="G12" s="19" t="n">
        <x:f>'Interim'!E16+($F12-'Interim'!D16)*(1+G11)*(1+G13)</x:f>
        <x:v>19385.09712957814</x:v>
      </x:c>
      <x:c r="H12" s="27" t="n">
        <x:f>G12*(1+H11)*(1+H13)</x:f>
        <x:v>21145.263948943837</x:v>
      </x:c>
      <x:c r="I12" s="27" t="n">
        <x:f>H12*(1+I11)*(1+I13)</x:f>
        <x:v>23065.25391550794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0.01</x:v>
      </x:c>
      <x:c r="H13" s="31" t="n">
        <x:f>'Assumptions'!H67</x:f>
        <x:v>0.01</x:v>
      </x:c>
      <x:c r="I13" s="31" t="n">
        <x:f>'Assumptions'!I67</x:f>
        <x:v>0.01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0.3201876990651614</x:v>
      </x:c>
      <x:c r="H14" s="31" t="n">
        <x:f>'Assumptions'!H68</x:f>
        <x:v>0.3201876990651614</x:v>
      </x:c>
      <x:c r="I14" s="31" t="n">
        <x:f>'Assumptions'!I68</x:f>
        <x:v>0.3201876990651614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13178.227483503848</x:v>
      </x:c>
      <x:c r="H15" s="27" t="n">
        <x:f>H12*(1-H14)</x:f>
        <x:v>14374.810539006</x:v>
      </x:c>
      <x:c r="I15" s="27" t="n">
        <x:f>I12*(1-I14)</x:f>
        <x:v>15680.043335947747</x:v>
      </x:c>
    </x:row>
    <x:row r="16" ht="21" customHeight="1">
      <x:c r="C16" s="1" t="str">
        <x:v>SOURCE_FACT: sanhua_FY2025 P015 L021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汽车零部件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0.12</x:v>
      </x:c>
      <x:c r="H19" s="31" t="n">
        <x:f>'Assumptions'!H70</x:f>
        <x:v>0.12</x:v>
      </x:c>
      <x:c r="I19" s="31" t="n">
        <x:f>'Assumptions'!I70</x:f>
        <x:v>0.12</x:v>
      </x:c>
    </x:row>
    <x:row r="20" ht="21" customHeight="1">
      <x:c r="C20" s="1" t="str">
        <x:v>Segment revenue</x:v>
      </x:c>
      <x:c r="D20" s="2"/>
      <x:c r="E20" s="2"/>
      <x:c r="F20" s="2" t="n">
        <x:v>12427.00079218</x:v>
      </x:c>
      <x:c r="G20" s="19" t="n">
        <x:f>'Interim'!E17+($F20-'Interim'!D17)*(1+G19)*(1+G21)</x:f>
        <x:v>13941.167780333362</x:v>
      </x:c>
      <x:c r="H20" s="27" t="n">
        <x:f>G20*(1+H19)*(1+H21)</x:f>
        <x:v>15926.390072252834</x:v>
      </x:c>
      <x:c r="I20" s="27" t="n">
        <x:f>H20*(1+I19)*(1+I21)</x:f>
        <x:v>18194.30801854164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0.02</x:v>
      </x:c>
      <x:c r="H21" s="31" t="n">
        <x:f>'Assumptions'!H71</x:f>
        <x:v>0.02</x:v>
      </x:c>
      <x:c r="I21" s="31" t="n">
        <x:f>'Assumptions'!I71</x:f>
        <x:v>0.02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0.3201876990651614</x:v>
      </x:c>
      <x:c r="H22" s="31" t="n">
        <x:f>'Assumptions'!H72</x:f>
        <x:v>0.3201876990651614</x:v>
      </x:c>
      <x:c r="I22" s="31" t="n">
        <x:f>'Assumptions'!I72</x:f>
        <x:v>0.3201876990651614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9477.37734646706</x:v>
      </x:c>
      <x:c r="H23" s="27" t="n">
        <x:f>H20*(1-H22)</x:f>
        <x:v>10826.95588060397</x:v>
      </x:c>
      <x:c r="I23" s="27" t="n">
        <x:f>I20*(1-I22)</x:f>
        <x:v>12368.714398001975</x:v>
      </x:c>
    </x:row>
    <x:row r="24" ht="21" customHeight="1">
      <x:c r="C24" s="1" t="str">
        <x:v>SOURCE_FACT: sanhua_FY2025 P015 L023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34" t="str">
        <x:v>Total revenue</x:v>
      </x:c>
      <x:c r="D30" s="35"/>
      <x:c r="E30" s="35"/>
      <x:c r="F30" s="36" t="n">
        <x:f>F12+F20</x:f>
        <x:v>31011.74451027</x:v>
      </x:c>
      <x:c r="G30" s="36" t="n">
        <x:f>G12+G20</x:f>
        <x:v>33326.2649099115</x:v>
      </x:c>
      <x:c r="H30" s="36" t="n">
        <x:f>H12+H20</x:f>
        <x:v>37071.65402119667</x:v>
      </x:c>
      <x:c r="I30" s="36" t="n">
        <x:f>I12+I20</x:f>
        <x:v>41259.561934049576</x:v>
      </x:c>
    </x:row>
    <x:row r="31" ht="21" customHeight="1">
      <x:c r="C31" s="1" t="str">
        <x:v>Total cash cost of revenue</x:v>
      </x:c>
      <x:c r="D31" s="2"/>
      <x:c r="E31" s="2"/>
      <x:c r="F31" s="2"/>
      <x:c r="G31" s="27" t="n">
        <x:f>G15+G23</x:f>
        <x:v>22655.604829970907</x:v>
      </x:c>
      <x:c r="H31" s="27" t="n">
        <x:f>H15+H23</x:f>
        <x:v>25201.766419609972</x:v>
      </x:c>
      <x:c r="I31" s="27" t="n">
        <x:f>I15+I23</x:f>
        <x:v>28048.757733949722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24557.80206659</x:v>
      </x:c>
      <x:c r="E10" s="37" t="n">
        <x:f>'SourceFacts'!E9</x:f>
        <x:v>27947.16451593</x:v>
      </x:c>
      <x:c r="F10" s="37" t="n">
        <x:f>'SourceFacts'!F9</x:f>
        <x:v>31011.74451027</x:v>
      </x:c>
      <x:c r="G10" s="37" t="n">
        <x:f>'Operating'!G30</x:f>
        <x:v>33326.2649099115</x:v>
      </x:c>
      <x:c r="H10" s="37" t="n">
        <x:f>'Operating'!H30</x:f>
        <x:v>37071.65402119667</x:v>
      </x:c>
      <x:c r="I10" s="37" t="n">
        <x:f>'Operating'!I30</x:f>
        <x:v>41259.561934049576</x:v>
      </x:c>
    </x:row>
    <x:row r="11" ht="21" customHeight="1">
      <x:c r="C11" s="1" t="str">
        <x:v>Cost of revenue including D&amp;A</x:v>
      </x:c>
      <x:c r="D11" s="19" t="n">
        <x:f>'SourceFacts'!D10</x:f>
        <x:v>17773.858964119998</x:v>
      </x:c>
      <x:c r="E11" s="19" t="n">
        <x:f>'SourceFacts'!E10</x:f>
        <x:v>20269.83355448</x:v>
      </x:c>
      <x:c r="F11" s="19" t="n">
        <x:f>'SourceFacts'!F10</x:f>
        <x:v>22087.49705241</x:v>
      </x:c>
      <x:c r="G11" s="19" t="n">
        <x:f>'Operating'!G31+G20*'Assumptions'!G37</x:f>
        <x:v>23774.45994151544</x:v>
      </x:c>
      <x:c r="H11" s="19" t="n">
        <x:f>'Operating'!H31+H20*'Assumptions'!H37</x:f>
        <x:v>26467.816007297664</x:v>
      </x:c>
      <x:c r="I11" s="19" t="n">
        <x:f>'Operating'!I31+I20*'Assumptions'!I37</x:f>
        <x:v>29476.490565886223</x:v>
      </x:c>
    </x:row>
    <x:row r="12" ht="21" customHeight="1">
      <x:c r="C12" s="34" t="str">
        <x:v>Gross profit</x:v>
      </x:c>
      <x:c r="D12" s="36" t="n">
        <x:f>D10-D11</x:f>
        <x:v>6783.9431024700025</x:v>
      </x:c>
      <x:c r="E12" s="36" t="n">
        <x:f>E10-E11</x:f>
        <x:v>7677.330961449999</x:v>
      </x:c>
      <x:c r="F12" s="36" t="n">
        <x:f>F10-F11</x:f>
        <x:v>8924.247457860001</x:v>
      </x:c>
      <x:c r="G12" s="36" t="n">
        <x:f>G10-G11</x:f>
        <x:v>9551.80496839606</x:v>
      </x:c>
      <x:c r="H12" s="36" t="n">
        <x:f>H10-H11</x:f>
        <x:v>10603.838013899007</x:v>
      </x:c>
      <x:c r="I12" s="36" t="n">
        <x:f>I10-I11</x:f>
        <x:v>11783.071368163353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597.56563825</x:v>
      </x:c>
      <x:c r="E14" s="19" t="n">
        <x:f>'SourceFacts'!E11</x:f>
        <x:v>726.43723146</x:v>
      </x:c>
      <x:c r="F14" s="19" t="n">
        <x:f>'SourceFacts'!F11</x:f>
        <x:v>751.52523183</x:v>
      </x:c>
      <x:c r="G14" s="19" t="n">
        <x:f>G10*'Assumptions'!G11</x:f>
        <x:v>807.6143202506727</x:v>
      </x:c>
      <x:c r="H14" s="19" t="n">
        <x:f>H10*'Assumptions'!H11</x:f>
        <x:v>898.3784634680914</x:v>
      </x:c>
      <x:c r="I14" s="19" t="n">
        <x:f>I10*'Assumptions'!I11</x:f>
        <x:v>999.8664163321165</x:v>
      </x:c>
    </x:row>
    <x:row r="15" ht="21" customHeight="1">
      <x:c r="C15" s="1" t="str">
        <x:v>Administrative expenses incl D&amp;A and SBC</x:v>
      </x:c>
      <x:c r="D15" s="19" t="n">
        <x:f>'SourceFacts'!D12</x:f>
        <x:v>1476.33417235</x:v>
      </x:c>
      <x:c r="E15" s="19" t="n">
        <x:f>'SourceFacts'!E12</x:f>
        <x:v>1767.4543221600002</x:v>
      </x:c>
      <x:c r="F15" s="19" t="n">
        <x:f>'SourceFacts'!F12</x:f>
        <x:v>1909.3257384400001</x:v>
      </x:c>
      <x:c r="G15" s="19" t="n">
        <x:f>G10*'Assumptions'!G12+G20*(1-'Assumptions'!G37)+'FundingTaxEquity'!G60</x:f>
        <x:v>2061.4486953482374</x:v>
      </x:c>
      <x:c r="H15" s="19" t="n">
        <x:f>H10*'Assumptions'!H12+H20*(1-'Assumptions'!H37)+'FundingTaxEquity'!H60</x:f>
        <x:v>2298.4884928388756</x:v>
      </x:c>
      <x:c r="I15" s="19" t="n">
        <x:f>I10*'Assumptions'!I12+I20*(1-'Assumptions'!I37)+'FundingTaxEquity'!I60</x:f>
        <x:v>2562.8090352276054</x:v>
      </x:c>
    </x:row>
    <x:row r="16" ht="21" customHeight="1">
      <x:c r="C16" s="1" t="str">
        <x:v>Research and development</x:v>
      </x:c>
      <x:c r="D16" s="19" t="n">
        <x:f>'SourceFacts'!D13</x:f>
        <x:v>1096.8342244100002</x:v>
      </x:c>
      <x:c r="E16" s="19" t="n">
        <x:f>'SourceFacts'!E13</x:f>
        <x:v>1351.7987865</x:v>
      </x:c>
      <x:c r="F16" s="19" t="n">
        <x:f>'SourceFacts'!F13</x:f>
        <x:v>1374.07132405</x:v>
      </x:c>
      <x:c r="G16" s="19" t="n">
        <x:f>G10*'Assumptions'!G13</x:f>
        <x:v>1476.6233139589494</x:v>
      </x:c>
      <x:c r="H16" s="19" t="n">
        <x:f>H10*'Assumptions'!H13</x:f>
        <x:v>1642.5743707762063</x:v>
      </x:c>
      <x:c r="I16" s="19" t="n">
        <x:f>I10*'Assumptions'!I13</x:f>
        <x:v>1828.132592723623</x:v>
      </x:c>
    </x:row>
    <x:row r="17" ht="21" customHeight="1">
      <x:c r="C17" s="1" t="str">
        <x:v>Business taxes and surcharges</x:v>
      </x:c>
      <x:c r="D17" s="19" t="n">
        <x:f>'SourceFacts'!D14</x:f>
        <x:v>139.8160225</x:v>
      </x:c>
      <x:c r="E17" s="19" t="n">
        <x:f>'SourceFacts'!E14</x:f>
        <x:v>171.27664816</x:v>
      </x:c>
      <x:c r="F17" s="19" t="n">
        <x:f>'SourceFacts'!F14</x:f>
        <x:v>175.29112100999998</x:v>
      </x:c>
      <x:c r="G17" s="19" t="n">
        <x:f>G10*'Assumptions'!G14</x:f>
        <x:v>188.37374121923435</x:v>
      </x:c>
      <x:c r="H17" s="19" t="n">
        <x:f>H10*'Assumptions'!H14</x:f>
        <x:v>209.544219252755</x:v>
      </x:c>
      <x:c r="I17" s="19" t="n">
        <x:f>I10*'Assumptions'!I14</x:f>
        <x:v>233.21599535962721</x:v>
      </x:c>
    </x:row>
    <x:row r="18" ht="21" customHeight="1">
      <x:c r="C18" s="1" t="str">
        <x:v>Other cash operating / pretax income</x:v>
      </x:c>
      <x:c r="D18" s="19" t="n">
        <x:f>'SourceFacts'!D17</x:f>
        <x:v>7.11906772999582</x:v>
      </x:c>
      <x:c r="E18" s="19" t="n">
        <x:f>'SourceFacts'!E17</x:f>
        <x:v>-12.459947579998186</x:v>
      </x:c>
      <x:c r="F18" s="19" t="n">
        <x:f>'SourceFacts'!F17</x:f>
        <x:v>230.94279281999636</x:v>
      </x:c>
      <x:c r="G18" s="19" t="n">
        <x:f>G10*'Assumptions'!G15</x:f>
        <x:v>248.17890170626254</x:v>
      </x:c>
      <x:c r="H18" s="19" t="n">
        <x:f>H10*'Assumptions'!H15</x:f>
        <x:v>276.0706129020437</x:v>
      </x:c>
      <x:c r="I18" s="19" t="n">
        <x:f>I10*'Assumptions'!I15</x:f>
        <x:v>307.2577378039312</x:v>
      </x:c>
    </x:row>
    <x:row r="19" ht="21" customHeight="1">
      <x:c r="C19" s="34" t="str">
        <x:v>Operating earnings before financing</x:v>
      </x:c>
      <x:c r="D19" s="36" t="n">
        <x:f>D23+D22</x:f>
        <x:v>3480.5121126900003</x:v>
      </x:c>
      <x:c r="E19" s="36" t="n">
        <x:f>E23+E22</x:f>
        <x:v>3647.90402559</x:v>
      </x:c>
      <x:c r="F19" s="36" t="n">
        <x:f>F23+F22</x:f>
        <x:v>4944.97683535</x:v>
      </x:c>
      <x:c r="G19" s="36" t="n">
        <x:f>G12-SUM(G14:G17)+G18</x:f>
        <x:v>5265.923799325229</x:v>
      </x:c>
      <x:c r="H19" s="36" t="n">
        <x:f>H12-SUM(H14:H17)+H18</x:f>
        <x:v>5830.9230804651215</x:v>
      </x:c>
      <x:c r="I19" s="36" t="n">
        <x:f>I12-SUM(I14:I17)+I18</x:f>
        <x:v>6466.305066324312</x:v>
      </x:c>
    </x:row>
    <x:row r="20" ht="21" customHeight="1">
      <x:c r="C20" s="1" t="str">
        <x:v>Depreciation and amortization</x:v>
      </x:c>
      <x:c r="D20" s="2"/>
      <x:c r="E20" s="19" t="n">
        <x:f>'SourceFacts'!E23</x:f>
        <x:v>1028.8336972299999</x:v>
      </x:c>
      <x:c r="F20" s="19" t="n">
        <x:f>'SourceFacts'!F23</x:f>
        <x:v>1256.6645761000002</x:v>
      </x:c>
      <x:c r="G20" s="19" t="n">
        <x:f>'FixedAssets'!G39</x:f>
        <x:v>1398.568889430665</x:v>
      </x:c>
      <x:c r="H20" s="19" t="n">
        <x:f>'FixedAssets'!H39</x:f>
        <x:v>1582.561984609613</x:v>
      </x:c>
      <x:c r="I20" s="19" t="n">
        <x:f>'FixedAssets'!I39</x:f>
        <x:v>1784.666039920627</x:v>
      </x:c>
    </x:row>
    <x:row r="21" ht="21" customHeight="1">
      <x:c r="C21" s="34" t="str">
        <x:v>EBITDA proxy (see definition below)</x:v>
      </x:c>
      <x:c r="D21" s="35"/>
      <x:c r="E21" s="36" t="n">
        <x:f>E19+E20</x:f>
        <x:v>4676.73772282</x:v>
      </x:c>
      <x:c r="F21" s="36" t="n">
        <x:f>F19+F20</x:f>
        <x:v>6201.64141145</x:v>
      </x:c>
      <x:c r="G21" s="36" t="n">
        <x:f>G19+G20</x:f>
        <x:v>6664.492688755894</x:v>
      </x:c>
      <x:c r="H21" s="36" t="n">
        <x:f>H19+H20</x:f>
        <x:v>7413.485065074735</x:v>
      </x:c>
      <x:c r="I21" s="36" t="n">
        <x:f>I19+I20</x:f>
        <x:v>8250.971106244939</x:v>
      </x:c>
    </x:row>
    <x:row r="22" ht="21" customHeight="1">
      <x:c r="C22" s="1" t="str">
        <x:v>Net finance expense less investment FV gain</x:v>
      </x:c>
      <x:c r="D22" s="19" t="n">
        <x:f>'SourceFacts'!D15</x:f>
        <x:v>-72.75138029</x:v>
      </x:c>
      <x:c r="E22" s="19" t="n">
        <x:f>'SourceFacts'!E15</x:f>
        <x:v>-43.782383530000004</x:v>
      </x:c>
      <x:c r="F22" s="19" t="n">
        <x:f>'SourceFacts'!F15</x:f>
        <x:v>101.21980452</x:v>
      </x:c>
      <x:c r="G22" s="19" t="n">
        <x:f>'FundingTaxEquity'!G19-F31*'Assumptions'!G16-'FundingTaxEquity'!G29</x:f>
        <x:v>-40.86538060843681</x:v>
      </x:c>
      <x:c r="H22" s="19" t="n">
        <x:f>'FundingTaxEquity'!H19-G31*'Assumptions'!H16-'FundingTaxEquity'!H29</x:f>
        <x:v>-56.69992848606182</x:v>
      </x:c>
      <x:c r="I22" s="19" t="n">
        <x:f>'FundingTaxEquity'!I19-H31*'Assumptions'!I16-'FundingTaxEquity'!I29</x:f>
        <x:v>-70.78306988320544</x:v>
      </x:c>
    </x:row>
    <x:row r="23" ht="21" customHeight="1">
      <x:c r="C23" s="34" t="str">
        <x:v>Profit before tax</x:v>
      </x:c>
      <x:c r="D23" s="37" t="n">
        <x:f>'SourceFacts'!D18</x:f>
        <x:v>3553.26349298</x:v>
      </x:c>
      <x:c r="E23" s="37" t="n">
        <x:f>'SourceFacts'!E18</x:f>
        <x:v>3691.68640912</x:v>
      </x:c>
      <x:c r="F23" s="37" t="n">
        <x:f>'SourceFacts'!F18</x:f>
        <x:v>4843.75703083</x:v>
      </x:c>
      <x:c r="G23" s="36" t="n">
        <x:f>G19-G22</x:f>
        <x:v>5306.789179933666</x:v>
      </x:c>
      <x:c r="H23" s="36" t="n">
        <x:f>H19-H22</x:f>
        <x:v>5887.623008951184</x:v>
      </x:c>
      <x:c r="I23" s="36" t="n">
        <x:f>I19-I22</x:f>
        <x:v>6537.088136207518</x:v>
      </x:c>
    </x:row>
    <x:row r="24" ht="21" customHeight="1">
      <x:c r="C24" s="1" t="str">
        <x:v>Income tax expense</x:v>
      </x:c>
      <x:c r="D24" s="19" t="n">
        <x:f>'SourceFacts'!D19</x:f>
        <x:v>619.54875399</x:v>
      </x:c>
      <x:c r="E24" s="19" t="n">
        <x:f>'SourceFacts'!E19</x:f>
        <x:v>579.9606067799999</x:v>
      </x:c>
      <x:c r="F24" s="19" t="n">
        <x:f>'SourceFacts'!F19</x:f>
        <x:v>737.0671634</x:v>
      </x:c>
      <x:c r="G24" s="19" t="n">
        <x:f>MAX(0,G23)*'Assumptions'!G18</x:f>
        <x:v>749.9369719844077</x:v>
      </x:c>
      <x:c r="H24" s="19" t="n">
        <x:f>MAX(0,H23)*'Assumptions'!H18</x:f>
        <x:v>832.0183866007222</x:v>
      </x:c>
      <x:c r="I24" s="19" t="n">
        <x:f>MAX(0,I23)*'Assumptions'!I18</x:f>
        <x:v>923.798537352852</x:v>
      </x:c>
    </x:row>
    <x:row r="25" ht="21" customHeight="1">
      <x:c r="C25" s="34" t="str">
        <x:v>Consolidated net income</x:v>
      </x:c>
      <x:c r="D25" s="37" t="n">
        <x:f>'SourceFacts'!D20</x:f>
        <x:v>2933.7147389899997</x:v>
      </x:c>
      <x:c r="E25" s="37" t="n">
        <x:f>'SourceFacts'!E20</x:f>
        <x:v>3111.72580234</x:v>
      </x:c>
      <x:c r="F25" s="37" t="n">
        <x:f>'SourceFacts'!F20</x:f>
        <x:v>4106.68986743</x:v>
      </x:c>
      <x:c r="G25" s="36" t="n">
        <x:f>G23-G24</x:f>
        <x:v>4556.852207949258</x:v>
      </x:c>
      <x:c r="H25" s="36" t="n">
        <x:f>H23-H24</x:f>
        <x:v>5055.604622350462</x:v>
      </x:c>
      <x:c r="I25" s="36" t="n">
        <x:f>I23-I24</x:f>
        <x:v>5613.289598854666</x:v>
      </x:c>
    </x:row>
    <x:row r="26" ht="21" customHeight="1">
      <x:c r="C26" s="1" t="str">
        <x:v>Net income attributable to parent</x:v>
      </x:c>
      <x:c r="D26" s="19" t="n">
        <x:f>'SourceFacts'!D21</x:f>
        <x:v>2920.9929400100004</x:v>
      </x:c>
      <x:c r="E26" s="19" t="n">
        <x:f>'SourceFacts'!E21</x:f>
        <x:v>3099.16512806</x:v>
      </x:c>
      <x:c r="F26" s="19" t="n">
        <x:f>'SourceFacts'!F21</x:f>
        <x:v>4062.8914121</x:v>
      </x:c>
      <x:c r="G26" s="27" t="n">
        <x:f>G25-G27</x:f>
        <x:v>4508.252704622219</x:v>
      </x:c>
      <x:c r="H26" s="27" t="n">
        <x:f>H25-H27</x:f>
        <x:v>5001.685850695876</x:v>
      </x:c>
      <x:c r="I26" s="27" t="n">
        <x:f>I25-I27</x:f>
        <x:v>5553.4230343741965</x:v>
      </x:c>
    </x:row>
    <x:row r="27" ht="21" customHeight="1">
      <x:c r="C27" s="1" t="str">
        <x:v>Net income attributable to NCI</x:v>
      </x:c>
      <x:c r="D27" s="19" t="n">
        <x:f>'SourceFacts'!D22</x:f>
        <x:v>12.72179898</x:v>
      </x:c>
      <x:c r="E27" s="19" t="n">
        <x:f>'SourceFacts'!E22</x:f>
        <x:v>12.560674279999999</x:v>
      </x:c>
      <x:c r="F27" s="19" t="n">
        <x:f>'SourceFacts'!F22</x:f>
        <x:v>43.798455329999996</x:v>
      </x:c>
      <x:c r="G27" s="19" t="n">
        <x:f>G25*'Assumptions'!G19</x:f>
        <x:v>48.59950332703797</x:v>
      </x:c>
      <x:c r="H27" s="19" t="n">
        <x:f>H25*'Assumptions'!H19</x:f>
        <x:v>53.918771654585505</x:v>
      </x:c>
      <x:c r="I27" s="19" t="n">
        <x:f>I25*'Assumptions'!I19</x:f>
        <x:v>59.866564480469705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3624.95549884</x:v>
      </x:c>
      <x:c r="E31" s="19" t="n">
        <x:f>'SourceFacts'!E29</x:f>
        <x:v>3443.5024899</x:v>
      </x:c>
      <x:c r="F31" s="19" t="n">
        <x:f>'SourceFacts'!F29</x:f>
        <x:v>12487.18933964</x:v>
      </x:c>
      <x:c r="G31" s="27" t="n">
        <x:f>G81</x:f>
        <x:v>11964.407328037983</x:v>
      </x:c>
      <x:c r="H31" s="27" t="n">
        <x:f>H81</x:f>
        <x:v>11655.462492056424</x:v>
      </x:c>
      <x:c r="I31" s="27" t="n">
        <x:f>I81</x:f>
        <x:v>11518.068255822785</x:v>
      </x:c>
    </x:row>
    <x:row r="32" ht="21" customHeight="1">
      <x:c r="C32" s="1" t="str">
        <x:v>Monetary balances outside cash equivalents</x:v>
      </x:c>
      <x:c r="D32" s="19" t="n">
        <x:f>'SourceFacts'!D32</x:f>
        <x:v>2959.7291850900006</x:v>
      </x:c>
      <x:c r="E32" s="19" t="n">
        <x:f>'SourceFacts'!E32</x:f>
        <x:v>1805.06515631</x:v>
      </x:c>
      <x:c r="F32" s="19" t="n">
        <x:f>'SourceFacts'!F32</x:f>
        <x:v>2424.7957615600008</x:v>
      </x:c>
      <x:c r="G32" s="27" t="n">
        <x:f>F32</x:f>
        <x:v>2424.7957615600008</x:v>
      </x:c>
      <x:c r="H32" s="27" t="n">
        <x:f>G32</x:f>
        <x:v>2424.7957615600008</x:v>
      </x:c>
      <x:c r="I32" s="27" t="n">
        <x:f>H32</x:f>
        <x:v>2424.7957615600008</x:v>
      </x:c>
    </x:row>
    <x:row r="33" ht="21" customHeight="1">
      <x:c r="C33" s="1" t="str">
        <x:v>Receivables, bills and contract assets</x:v>
      </x:c>
      <x:c r="D33" s="19" t="n">
        <x:f>'SourceFacts'!D33</x:f>
        <x:v>8250.83089511</x:v>
      </x:c>
      <x:c r="E33" s="19" t="n">
        <x:f>'SourceFacts'!E33</x:f>
        <x:v>9628.33714603</x:v>
      </x:c>
      <x:c r="F33" s="19" t="n">
        <x:f>'SourceFacts'!F33</x:f>
        <x:v>10993.19392279</x:v>
      </x:c>
      <x:c r="G33" s="19" t="n">
        <x:f>'WorkingCapital'!G11</x:f>
        <x:v>11813.656363498108</x:v>
      </x:c>
      <x:c r="H33" s="19" t="n">
        <x:f>'WorkingCapital'!H11</x:f>
        <x:v>13141.340099671952</x:v>
      </x:c>
      <x:c r="I33" s="19" t="n">
        <x:f>'WorkingCapital'!I11</x:f>
        <x:v>14625.890051434013</x:v>
      </x:c>
    </x:row>
    <x:row r="34" ht="21" customHeight="1">
      <x:c r="C34" s="1" t="str">
        <x:v>Inventory</x:v>
      </x:c>
      <x:c r="D34" s="19" t="n">
        <x:f>'SourceFacts'!D34</x:f>
        <x:v>4600.72937819</x:v>
      </x:c>
      <x:c r="E34" s="19" t="n">
        <x:f>'SourceFacts'!E34</x:f>
        <x:v>5280.44182448</x:v>
      </x:c>
      <x:c r="F34" s="19" t="n">
        <x:f>'SourceFacts'!F34</x:f>
        <x:v>5639.79222825</x:v>
      </x:c>
      <x:c r="G34" s="19" t="n">
        <x:f>'WorkingCapital'!G17</x:f>
        <x:v>6070.539096885573</x:v>
      </x:c>
      <x:c r="H34" s="19" t="n">
        <x:f>'WorkingCapital'!H17</x:f>
        <x:v>6758.257065637998</x:v>
      </x:c>
      <x:c r="I34" s="19" t="n">
        <x:f>'WorkingCapital'!I17</x:f>
        <x:v>7526.48804050121</x:v>
      </x:c>
    </x:row>
    <x:row r="35" ht="21" customHeight="1">
      <x:c r="C35" s="1" t="str">
        <x:v>PPE / construction / investment property</x:v>
      </x:c>
      <x:c r="D35" s="19" t="n">
        <x:f>'SourceFacts'!D35</x:f>
        <x:v>9774.85634185</x:v>
      </x:c>
      <x:c r="E35" s="19" t="n">
        <x:f>'SourceFacts'!E35</x:f>
        <x:v>11973.49240563</x:v>
      </x:c>
      <x:c r="F35" s="19" t="n">
        <x:f>'SourceFacts'!F35</x:f>
        <x:v>13422.603157040001</x:v>
      </x:c>
      <x:c r="G35" s="19" t="n">
        <x:f>'FixedAssets'!G14</x:f>
        <x:v>15236.65369080678</x:v>
      </x:c>
      <x:c r="H35" s="19" t="n">
        <x:f>'FixedAssets'!H14</x:f>
        <x:v>17229.334772293878</x:v>
      </x:c>
      <x:c r="I35" s="19" t="n">
        <x:f>'FixedAssets'!I14</x:f>
        <x:v>19424.700997181848</x:v>
      </x:c>
    </x:row>
    <x:row r="36" ht="21" customHeight="1">
      <x:c r="C36" s="1" t="str">
        <x:v>Intangibles and deferred costs</x:v>
      </x:c>
      <x:c r="D36" s="19" t="n">
        <x:f>'SourceFacts'!D36</x:f>
        <x:v>961.96272891</x:v>
      </x:c>
      <x:c r="E36" s="19" t="n">
        <x:f>'SourceFacts'!E36</x:f>
        <x:v>1275.17572317</x:v>
      </x:c>
      <x:c r="F36" s="19" t="n">
        <x:f>'SourceFacts'!F36</x:f>
        <x:v>1470.75705172</x:v>
      </x:c>
      <x:c r="G36" s="19" t="n">
        <x:f>'FixedAssets'!G24</x:f>
        <x:v>1674.0236600985668</x:v>
      </x:c>
      <x:c r="H36" s="19" t="n">
        <x:f>'FixedAssets'!H24</x:f>
        <x:v>1896.9972130324345</x:v>
      </x:c>
      <x:c r="I36" s="19" t="n">
        <x:f>'FixedAssets'!I24</x:f>
        <x:v>2142.362083283529</x:v>
      </x:c>
    </x:row>
    <x:row r="37" ht="21" customHeight="1">
      <x:c r="C37" s="1" t="str">
        <x:v>Right-of-use assets</x:v>
      </x:c>
      <x:c r="D37" s="19" t="n">
        <x:f>'SourceFacts'!D37</x:f>
        <x:v>313.25474553</x:v>
      </x:c>
      <x:c r="E37" s="19" t="n">
        <x:f>'SourceFacts'!E37</x:f>
        <x:v>336.58488</x:v>
      </x:c>
      <x:c r="F37" s="19" t="n">
        <x:f>'SourceFacts'!F37</x:f>
        <x:v>317.80740520999996</x:v>
      </x:c>
      <x:c r="G37" s="19" t="n">
        <x:f>'FixedAssets'!G34</x:f>
        <x:v>337.2538183774528</x:v>
      </x:c>
      <x:c r="H37" s="19" t="n">
        <x:f>'FixedAssets'!H34</x:f>
        <x:v>355.0936738380995</x:v>
      </x:c>
      <x:c r="I37" s="19" t="n">
        <x:f>'FixedAssets'!I34</x:f>
        <x:v>371.45969671934915</x:v>
      </x:c>
    </x:row>
    <x:row r="38" ht="21" customHeight="1">
      <x:c r="C38" s="1" t="str">
        <x:v>Financial investments / finance-company loans</x:v>
      </x:c>
      <x:c r="D38" s="19" t="n">
        <x:f>'SourceFacts'!D38</x:f>
        <x:v>60.56054397</x:v>
      </x:c>
      <x:c r="E38" s="19" t="n">
        <x:f>'SourceFacts'!E38</x:f>
        <x:v>46.836995900000005</x:v>
      </x:c>
      <x:c r="F38" s="19" t="n">
        <x:f>'SourceFacts'!F38</x:f>
        <x:v>571.65441058</x:v>
      </x:c>
      <x:c r="G38" s="19" t="n">
        <x:f>'FundingTaxEquity'!G31</x:f>
        <x:v>571.65441058</x:v>
      </x:c>
      <x:c r="H38" s="19" t="n">
        <x:f>'FundingTaxEquity'!H31</x:f>
        <x:v>571.65441058</x:v>
      </x:c>
      <x:c r="I38" s="19" t="n">
        <x:f>'FundingTaxEquity'!I31</x:f>
        <x:v>571.65441058</x:v>
      </x:c>
    </x:row>
    <x:row r="39" ht="21" customHeight="1">
      <x:c r="C39" s="1" t="str">
        <x:v>Other assets (named in SourceBS)</x:v>
      </x:c>
      <x:c r="D39" s="19" t="n">
        <x:f>'SourceFacts'!D39</x:f>
        <x:v>1343.70545592</x:v>
      </x:c>
      <x:c r="E39" s="19" t="n">
        <x:f>'SourceFacts'!E39</x:f>
        <x:v>2565.3118047900007</x:v>
      </x:c>
      <x:c r="F39" s="19" t="n">
        <x:f>'SourceFacts'!F39</x:f>
        <x:v>2078.33732695</x:v>
      </x:c>
      <x:c r="G39" s="19" t="n">
        <x:f>'WorkingCapital'!G41</x:f>
        <x:v>2078.33732695</x:v>
      </x:c>
      <x:c r="H39" s="19" t="n">
        <x:f>'WorkingCapital'!H41</x:f>
        <x:v>2078.33732695</x:v>
      </x:c>
      <x:c r="I39" s="19" t="n">
        <x:f>'WorkingCapital'!I41</x:f>
        <x:v>2078.33732695</x:v>
      </x:c>
    </x:row>
    <x:row r="40" ht="21" customHeight="1">
      <x:c r="C40" s="34" t="str">
        <x:v>Total assets</x:v>
      </x:c>
      <x:c r="D40" s="37" t="n">
        <x:f>'SourceFacts'!D40</x:f>
        <x:v>31890.58477341</x:v>
      </x:c>
      <x:c r="E40" s="37" t="n">
        <x:f>'SourceFacts'!E40</x:f>
        <x:v>36354.74842621</x:v>
      </x:c>
      <x:c r="F40" s="37" t="n">
        <x:f>'SourceFacts'!F40</x:f>
        <x:v>49406.13060374</x:v>
      </x:c>
      <x:c r="G40" s="36" t="n">
        <x:f>SUM(G31:G39)</x:f>
        <x:v>52171.32145679446</x:v>
      </x:c>
      <x:c r="H40" s="36" t="n">
        <x:f>SUM(H31:H39)</x:f>
        <x:v>56111.27281562078</x:v>
      </x:c>
      <x:c r="I40" s="36" t="n">
        <x:f>SUM(I31:I39)</x:f>
        <x:v>60683.756624032736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7866.651954450001</x:v>
      </x:c>
      <x:c r="E42" s="19" t="n">
        <x:f>'SourceFacts'!E41</x:f>
        <x:v>9777.26195317</x:v>
      </x:c>
      <x:c r="F42" s="19" t="n">
        <x:f>'SourceFacts'!F41</x:f>
        <x:v>10189.20923317</x:v>
      </x:c>
      <x:c r="G42" s="19" t="n">
        <x:f>'WorkingCapital'!G23</x:f>
        <x:v>10967.424066878955</x:v>
      </x:c>
      <x:c r="H42" s="19" t="n">
        <x:f>'WorkingCapital'!H23</x:f>
        <x:v>12209.899320121302</x:v>
      </x:c>
      <x:c r="I42" s="19" t="n">
        <x:f>'WorkingCapital'!I23</x:f>
        <x:v>13597.834517995125</x:v>
      </x:c>
    </x:row>
    <x:row r="43" ht="21" customHeight="1">
      <x:c r="C43" s="1" t="str">
        <x:v>Contract liabilities and customer advances</x:v>
      </x:c>
      <x:c r="D43" s="19" t="n">
        <x:f>'SourceFacts'!D42</x:f>
        <x:v>51.78880203</x:v>
      </x:c>
      <x:c r="E43" s="19" t="n">
        <x:f>'SourceFacts'!E42</x:f>
        <x:v>49.46172283</x:v>
      </x:c>
      <x:c r="F43" s="19" t="n">
        <x:f>'SourceFacts'!F42</x:f>
        <x:v>76.16682949</x:v>
      </x:c>
      <x:c r="G43" s="19" t="n">
        <x:f>'WorkingCapital'!G29</x:f>
        <x:v>81.8514397373287</x:v>
      </x:c>
      <x:c r="H43" s="19" t="n">
        <x:f>'WorkingCapital'!H29</x:f>
        <x:v>91.05035512625457</x:v>
      </x:c>
      <x:c r="I43" s="19" t="n">
        <x:f>'WorkingCapital'!I29</x:f>
        <x:v>101.33612501618947</x:v>
      </x:c>
    </x:row>
    <x:row r="44" ht="21" customHeight="1">
      <x:c r="C44" s="1" t="str">
        <x:v>Borrowings and lease liabilities</x:v>
      </x:c>
      <x:c r="D44" s="19" t="n">
        <x:f>'SourceFacts'!D43</x:f>
        <x:v>3904.34022577</x:v>
      </x:c>
      <x:c r="E44" s="19" t="n">
        <x:f>'SourceFacts'!E43</x:f>
        <x:v>4428.02520752</x:v>
      </x:c>
      <x:c r="F44" s="19" t="n">
        <x:f>'SourceFacts'!F43</x:f>
        <x:v>4051.9682196900003</x:v>
      </x:c>
      <x:c r="G44" s="19" t="n">
        <x:f>'FundingTaxEquity'!G18</x:f>
        <x:v>3289.2456865335002</x:v>
      </x:c>
      <x:c r="H44" s="19" t="n">
        <x:f>'FundingTaxEquity'!H18</x:f>
        <x:v>2679.0676600083</x:v>
      </x:c>
      <x:c r="I44" s="19" t="n">
        <x:f>'FundingTaxEquity'!I18</x:f>
        <x:v>2190.92523878814</x:v>
      </x:c>
    </x:row>
    <x:row r="45" ht="21" customHeight="1">
      <x:c r="C45" s="1" t="str">
        <x:v>Taxes payable</x:v>
      </x:c>
      <x:c r="D45" s="19" t="n">
        <x:f>'SourceFacts'!D44</x:f>
        <x:v>382.39679119</x:v>
      </x:c>
      <x:c r="E45" s="19" t="n">
        <x:f>'SourceFacts'!E44</x:f>
        <x:v>309.87443392</x:v>
      </x:c>
      <x:c r="F45" s="19" t="n">
        <x:f>'SourceFacts'!F44</x:f>
        <x:v>330.43053870999995</x:v>
      </x:c>
      <x:c r="G45" s="19" t="n">
        <x:f>'FundingTaxEquity'!G38</x:f>
        <x:v>112.49054579766118</x:v>
      </x:c>
      <x:c r="H45" s="19" t="n">
        <x:f>'FundingTaxEquity'!H38</x:f>
        <x:v>124.80275799010838</x:v>
      </x:c>
      <x:c r="I45" s="19" t="n">
        <x:f>'FundingTaxEquity'!I38</x:f>
        <x:v>138.56978060292784</x:v>
      </x:c>
    </x:row>
    <x:row r="46" ht="21" customHeight="1">
      <x:c r="C46" s="1" t="str">
        <x:v>Finance-company customer deposits</x:v>
      </x:c>
      <x:c r="D46" s="19" t="n">
        <x:f>'SourceFacts'!D45</x:f>
        <x:v>0</x:v>
      </x:c>
      <x:c r="E46" s="19" t="n">
        <x:f>'SourceFacts'!E45</x:f>
        <x:v>0</x:v>
      </x:c>
      <x:c r="F46" s="19" t="n">
        <x:f>'SourceFacts'!F45</x:f>
        <x:v>0</x:v>
      </x:c>
      <x:c r="G46" s="19" t="n">
        <x:f>'WorkingCapital'!G35</x:f>
        <x:v>0</x:v>
      </x:c>
      <x:c r="H46" s="19" t="n">
        <x:f>'WorkingCapital'!H35</x:f>
        <x:v>0</x:v>
      </x:c>
      <x:c r="I46" s="19" t="n">
        <x:f>'WorkingCapital'!I35</x:f>
        <x:v>0</x:v>
      </x:c>
    </x:row>
    <x:row r="47" ht="21" customHeight="1">
      <x:c r="C47" s="1" t="str">
        <x:v>Other liabilities (named in SourceBS)</x:v>
      </x:c>
      <x:c r="D47" s="19" t="n">
        <x:f>'SourceFacts'!D46</x:f>
        <x:v>1621.69937561</x:v>
      </x:c>
      <x:c r="E47" s="19" t="n">
        <x:f>'SourceFacts'!E46</x:f>
        <x:v>2270.4815853399996</x:v>
      </x:c>
      <x:c r="F47" s="19" t="n">
        <x:f>'SourceFacts'!F46</x:f>
        <x:v>2718.1262801</x:v>
      </x:c>
      <x:c r="G47" s="19" t="n">
        <x:f>'WorkingCapital'!G47</x:f>
        <x:v>2718.1262801</x:v>
      </x:c>
      <x:c r="H47" s="19" t="n">
        <x:f>'WorkingCapital'!H47</x:f>
        <x:v>2718.1262801</x:v>
      </x:c>
      <x:c r="I47" s="19" t="n">
        <x:f>'WorkingCapital'!I47</x:f>
        <x:v>2718.1262801</x:v>
      </x:c>
    </x:row>
    <x:row r="48" ht="21" customHeight="1">
      <x:c r="C48" s="34" t="str">
        <x:v>Total liabilities</x:v>
      </x:c>
      <x:c r="D48" s="37" t="n">
        <x:f>'SourceFacts'!D47</x:f>
        <x:v>13826.877149049998</x:v>
      </x:c>
      <x:c r="E48" s="37" t="n">
        <x:f>'SourceFacts'!E47</x:f>
        <x:v>16835.10490278</x:v>
      </x:c>
      <x:c r="F48" s="37" t="n">
        <x:f>'SourceFacts'!F47</x:f>
        <x:v>17365.90110116</x:v>
      </x:c>
      <x:c r="G48" s="36" t="n">
        <x:f>SUM(G42:G47)</x:f>
        <x:v>17169.13801904745</x:v>
      </x:c>
      <x:c r="H48" s="36" t="n">
        <x:f>SUM(H42:H47)</x:f>
        <x:v>17822.946373345967</x:v>
      </x:c>
      <x:c r="I48" s="36" t="n">
        <x:f>SUM(I42:I47)</x:f>
        <x:v>18746.791942502383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10002.942167430001</x:v>
      </x:c>
      <x:c r="E50" s="19" t="n">
        <x:f>'SourceFacts'!E48</x:f>
        <x:v>11650.31163917</x:v>
      </x:c>
      <x:c r="F50" s="19" t="n">
        <x:f>'SourceFacts'!F48</x:f>
        <x:v>14139.00033999</x:v>
      </x:c>
      <x:c r="G50" s="19" t="n">
        <x:f>'FundingTaxEquity'!G48</x:f>
        <x:v>17069.36459799444</x:v>
      </x:c>
      <x:c r="H50" s="19" t="n">
        <x:f>'FundingTaxEquity'!H48</x:f>
        <x:v>20320.46040094676</x:v>
      </x:c>
      <x:c r="I50" s="19" t="n">
        <x:f>'FundingTaxEquity'!I48</x:f>
        <x:v>23930.185373289984</x:v>
      </x:c>
    </x:row>
    <x:row r="51" ht="21" customHeight="1">
      <x:c r="C51" s="1" t="str">
        <x:v>Share capital and other reserves</x:v>
      </x:c>
      <x:c r="D51" s="27" t="n">
        <x:f>D53-D50-D52</x:f>
        <x:v>7891.461817360001</x:v>
      </x:c>
      <x:c r="E51" s="27" t="n">
        <x:f>E53-E50-E52</x:f>
        <x:v>7647.4574673100005</x:v>
      </x:c>
      <x:c r="F51" s="27" t="n">
        <x:f>F53-F50-F52</x:f>
        <x:v>17609.926237970005</x:v>
      </x:c>
      <x:c r="G51" s="19" t="n">
        <x:f>'FundingTaxEquity'!G61</x:f>
        <x:v>17609.926237970005</x:v>
      </x:c>
      <x:c r="H51" s="19" t="n">
        <x:f>'FundingTaxEquity'!H61</x:f>
        <x:v>17609.926237970005</x:v>
      </x:c>
      <x:c r="I51" s="19" t="n">
        <x:f>'FundingTaxEquity'!I61</x:f>
        <x:v>17609.926237970005</x:v>
      </x:c>
    </x:row>
    <x:row r="52" ht="21" customHeight="1">
      <x:c r="C52" s="1" t="str">
        <x:v>Non-controlling interests</x:v>
      </x:c>
      <x:c r="D52" s="19" t="n">
        <x:f>'SourceFacts'!D49</x:f>
        <x:v>169.30363957</x:v>
      </x:c>
      <x:c r="E52" s="19" t="n">
        <x:f>'SourceFacts'!E49</x:f>
        <x:v>221.87441694999998</x:v>
      </x:c>
      <x:c r="F52" s="19" t="n">
        <x:f>'SourceFacts'!F49</x:f>
        <x:v>291.30292462</x:v>
      </x:c>
      <x:c r="G52" s="19" t="n">
        <x:f>'FundingTaxEquity'!G55</x:f>
        <x:v>322.8926017825747</x:v>
      </x:c>
      <x:c r="H52" s="19" t="n">
        <x:f>'FundingTaxEquity'!H55</x:f>
        <x:v>357.93980335805526</x:v>
      </x:c>
      <x:c r="I52" s="19" t="n">
        <x:f>'FundingTaxEquity'!I55</x:f>
        <x:v>396.8530702703606</x:v>
      </x:c>
    </x:row>
    <x:row r="53" ht="21" customHeight="1">
      <x:c r="C53" s="34" t="str">
        <x:v>Total equity</x:v>
      </x:c>
      <x:c r="D53" s="37" t="n">
        <x:f>'SourceFacts'!D50</x:f>
        <x:v>18063.707624360002</x:v>
      </x:c>
      <x:c r="E53" s="37" t="n">
        <x:f>'SourceFacts'!E50</x:f>
        <x:v>19519.64352343</x:v>
      </x:c>
      <x:c r="F53" s="37" t="n">
        <x:f>'SourceFacts'!F50</x:f>
        <x:v>32040.22950258</x:v>
      </x:c>
      <x:c r="G53" s="36" t="n">
        <x:f>SUM(G50:G52)</x:f>
        <x:v>35002.18343774702</x:v>
      </x:c>
      <x:c r="H53" s="36" t="n">
        <x:f>SUM(H50:H52)</x:f>
        <x:v>38288.326442274825</x:v>
      </x:c>
      <x:c r="I53" s="36" t="n">
        <x:f>SUM(I50:I52)</x:f>
        <x:v>41936.96468153034</x:v>
      </x:c>
    </x:row>
    <x:row r="54" ht="21" customHeight="1">
      <x:c r="C54" s="34" t="str">
        <x:v>Liabilities and equity</x:v>
      </x:c>
      <x:c r="D54" s="36" t="n">
        <x:f>D48+D53</x:f>
        <x:v>31890.584773410003</x:v>
      </x:c>
      <x:c r="E54" s="36" t="n">
        <x:f>E48+E53</x:f>
        <x:v>36354.748426210004</x:v>
      </x:c>
      <x:c r="F54" s="36" t="n">
        <x:f>F48+F53</x:f>
        <x:v>49406.130603740006</x:v>
      </x:c>
      <x:c r="G54" s="36" t="n">
        <x:f>G48+G53</x:f>
        <x:v>52171.32145679447</x:v>
      </x:c>
      <x:c r="H54" s="36" t="n">
        <x:f>H48+H53</x:f>
        <x:v>56111.27281562079</x:v>
      </x:c>
      <x:c r="I54" s="36" t="n">
        <x:f>I48+I53</x:f>
        <x:v>60683.75662403273</x:v>
      </x:c>
    </x:row>
    <x:row r="55" ht="21" customHeight="1">
      <x:c r="C55" s="34" t="str">
        <x:v>Balance sheet difference</x:v>
      </x:c>
      <x:c r="D55" s="36" t="n">
        <x:f>D40-D54</x:f>
        <x:v>-3.637978807091713e-12</x:v>
      </x:c>
      <x:c r="E55" s="36" t="n">
        <x:f>E40-E54</x:f>
        <x:v>-7.275957614183426e-12</x:v>
      </x:c>
      <x:c r="F55" s="36" t="n">
        <x:f>F40-F54</x:f>
        <x:v>-7.275957614183426e-12</x:v>
      </x:c>
      <x:c r="G55" s="36" t="n">
        <x:f>G40-G54</x:f>
        <x:v>-7.275957614183426e-12</x:v>
      </x:c>
      <x:c r="H55" s="36" t="n">
        <x:f>H40-H54</x:f>
        <x:v>-7.275957614183426e-12</x:v>
      </x:c>
      <x:c r="I55" s="36" t="n">
        <x:f>I40-I54</x:f>
        <x:v>7.275957614183426e-12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2933.7147389899997</x:v>
      </x:c>
      <x:c r="E59" s="19" t="n">
        <x:f>'SourceFacts'!E20</x:f>
        <x:v>3111.72580234</x:v>
      </x:c>
      <x:c r="F59" s="19" t="n">
        <x:f>'SourceFacts'!F20</x:f>
        <x:v>4106.68986743</x:v>
      </x:c>
      <x:c r="G59" s="27" t="n">
        <x:f>G25</x:f>
        <x:v>4556.852207949258</x:v>
      </x:c>
      <x:c r="H59" s="27" t="n">
        <x:f>H25</x:f>
        <x:v>5055.604622350462</x:v>
      </x:c>
      <x:c r="I59" s="27" t="n">
        <x:f>I25</x:f>
        <x:v>5613.289598854666</x:v>
      </x:c>
    </x:row>
    <x:row r="60" ht="21" customHeight="1">
      <x:c r="C60" s="1" t="str">
        <x:v>Add depreciation and amortization</x:v>
      </x:c>
      <x:c r="D60" s="2"/>
      <x:c r="E60" s="19" t="n">
        <x:f>'SourceFacts'!E23</x:f>
        <x:v>1028.8336972299999</x:v>
      </x:c>
      <x:c r="F60" s="19" t="n">
        <x:f>'SourceFacts'!F23</x:f>
        <x:v>1256.6645761000002</x:v>
      </x:c>
      <x:c r="G60" s="27" t="n">
        <x:f>G20</x:f>
        <x:v>1398.568889430665</x:v>
      </x:c>
      <x:c r="H60" s="27" t="n">
        <x:f>H20</x:f>
        <x:v>1582.561984609613</x:v>
      </x:c>
      <x:c r="I60" s="27" t="n">
        <x:f>I20</x:f>
        <x:v>1784.666039920627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-217.93999291233877</x:v>
      </x:c>
      <x:c r="H63" s="19" t="n">
        <x:f>H24-'FundingTaxEquity'!H37</x:f>
        <x:v>12.312212192447191</x:v>
      </x:c>
      <x:c r="I63" s="19" t="n">
        <x:f>I24-'FundingTaxEquity'!I37</x:f>
        <x:v>13.76702261281946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-467.30986538739717</x:v>
      </x:c>
      <x:c r="H64" s="19" t="n">
        <x:f>-'WorkingCapital'!H12-'WorkingCapital'!H18+'WorkingCapital'!H24+'WorkingCapital'!H30+'WorkingCapital'!H36-'WorkingCapital'!H42+'WorkingCapital'!H48</x:f>
        <x:v>-763.7275362949962</x:v>
      </x:c>
      <x:c r="I64" s="19" t="n">
        <x:f>-'WorkingCapital'!I12-'WorkingCapital'!I18+'WorkingCapital'!I24+'WorkingCapital'!I30+'WorkingCapital'!I36-'WorkingCapital'!I42+'WorkingCapital'!I48</x:f>
        <x:v>-854.5599588615153</x:v>
      </x:c>
    </x:row>
    <x:row r="65" ht="21" customHeight="1">
      <x:c r="C65" s="34" t="str">
        <x:v>Net operating cash flow</x:v>
      </x:c>
      <x:c r="D65" s="37" t="n">
        <x:f>'SourceFacts'!D24</x:f>
        <x:v>3723.96435463</x:v>
      </x:c>
      <x:c r="E65" s="37" t="n">
        <x:f>'SourceFacts'!E24</x:f>
        <x:v>4366.63094836</x:v>
      </x:c>
      <x:c r="F65" s="37" t="n">
        <x:f>'SourceFacts'!F24</x:f>
        <x:v>5090.762717979999</x:v>
      </x:c>
      <x:c r="G65" s="36" t="n">
        <x:f>SUM(G59:G64)</x:f>
        <x:v>5270.171239080188</x:v>
      </x:c>
      <x:c r="H65" s="36" t="n">
        <x:f>SUM(H59:H64)</x:f>
        <x:v>5886.751282857526</x:v>
      </x:c>
      <x:c r="I65" s="36" t="n">
        <x:f>SUM(I59:I64)</x:f>
        <x:v>6557.162702526597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-2745.46222777</x:v>
      </x:c>
      <x:c r="E67" s="19" t="n">
        <x:f>-'SourceFacts'!E30</x:f>
        <x:v>-3290.1481874899996</x:v>
      </x:c>
      <x:c r="F67" s="19" t="n">
        <x:f>-'SourceFacts'!F30</x:f>
        <x:v>-3152.3871054899996</x:v>
      </x:c>
      <x:c r="G67" s="19" t="n">
        <x:f>-'FixedAssets'!G40</x:f>
        <x:v>-3387.6613339619635</x:v>
      </x:c>
      <x:c r="H67" s="19" t="n">
        <x:f>-'FixedAssets'!H40</x:f>
        <x:v>-3768.385363709725</x:v>
      </x:c>
      <x:c r="I67" s="19" t="n">
        <x:f>-'FixedAssets'!I40</x:f>
        <x:v>-4194.092047159443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-1209.27975349</x:v>
      </x:c>
      <x:c r="E69" s="37" t="n">
        <x:f>'SourceFacts'!E25</x:f>
        <x:v>-3511.53708498</x:v>
      </x:c>
      <x:c r="F69" s="37" t="n">
        <x:f>'SourceFacts'!F25</x:f>
        <x:v>-3792.91770469</x:v>
      </x:c>
      <x:c r="G69" s="36" t="n">
        <x:f>SUM(G67:G68)</x:f>
        <x:v>-3387.6613339619635</x:v>
      </x:c>
      <x:c r="H69" s="36" t="n">
        <x:f>SUM(H67:H68)</x:f>
        <x:v>-3768.385363709725</x:v>
      </x:c>
      <x:c r="I69" s="36" t="n">
        <x:f>SUM(I67:I68)</x:f>
        <x:v>-4194.092047159443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-810.3936439380001</x:v>
      </x:c>
      <x:c r="H72" s="19" t="n">
        <x:f>-'FundingTaxEquity'!H16</x:f>
        <x:v>-657.8491373067001</x:v>
      </x:c>
      <x:c r="I72" s="19" t="n">
        <x:f>-'FundingTaxEquity'!I16</x:f>
        <x:v>-535.8135320016601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-1594.89827278224</x:v>
      </x:c>
      <x:c r="H74" s="19" t="n">
        <x:f>-'FundingTaxEquity'!H44-'FundingTaxEquity'!H54</x:f>
        <x:v>-1769.4616178226615</x:v>
      </x:c>
      <x:c r="I74" s="19" t="n">
        <x:f>-'FundingTaxEquity'!I44-'FundingTaxEquity'!I54</x:f>
        <x:v>-1964.651359599133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-1091.85028851</x:v>
      </x:c>
      <x:c r="E76" s="37" t="n">
        <x:f>'SourceFacts'!E26</x:f>
        <x:v>-955.2995419700001</x:v>
      </x:c>
      <x:c r="F76" s="37" t="n">
        <x:f>'SourceFacts'!F26</x:f>
        <x:v>7802.4611203800005</x:v>
      </x:c>
      <x:c r="G76" s="36" t="n">
        <x:f>SUM(G71:G75)</x:f>
        <x:v>-2405.29191672024</x:v>
      </x:c>
      <x:c r="H76" s="36" t="n">
        <x:f>SUM(H71:H75)</x:f>
        <x:v>-2427.3107551293615</x:v>
      </x:c>
      <x:c r="I76" s="36" t="n">
        <x:f>SUM(I71:I75)</x:f>
        <x:v>-2500.464891600793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151.79258443999998</x:v>
      </x:c>
      <x:c r="E78" s="19" t="n">
        <x:f>'SourceFacts'!E27</x:f>
        <x:v>-81.24733035</x:v>
      </x:c>
      <x:c r="F78" s="19" t="n">
        <x:f>'SourceFacts'!F27</x:f>
        <x:v>-56.61928393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1574.6268970699998</x:v>
      </x:c>
      <x:c r="E79" s="36" t="n">
        <x:f>E65+E69+E76+E78</x:f>
        <x:v>-181.4530089400004</x:v>
      </x:c>
      <x:c r="F79" s="36" t="n">
        <x:f>F65+F69+F76+F78</x:f>
        <x:v>9043.68684974</x:v>
      </x:c>
      <x:c r="G79" s="36" t="n">
        <x:f>G65+G69+G76+G78</x:f>
        <x:v>-522.7820116020157</x:v>
      </x:c>
      <x:c r="H79" s="36" t="n">
        <x:f>H65+H69+H76+H78</x:f>
        <x:v>-308.9448359815601</x:v>
      </x:c>
      <x:c r="I79" s="36" t="n">
        <x:f>I65+I69+I76+I78</x:f>
        <x:v>-137.39423623363882</x:v>
      </x:c>
    </x:row>
    <x:row r="80" ht="21" customHeight="1">
      <x:c r="C80" s="1" t="str">
        <x:v>Opening cash</x:v>
      </x:c>
      <x:c r="D80" s="19" t="n">
        <x:f>'SourceFacts'!D28</x:f>
        <x:v>2050.32860177</x:v>
      </x:c>
      <x:c r="E80" s="19" t="n">
        <x:f>'SourceFacts'!E28</x:f>
        <x:v>3624.95549884</x:v>
      </x:c>
      <x:c r="F80" s="19" t="n">
        <x:f>'SourceFacts'!F28</x:f>
        <x:v>3443.5024899</x:v>
      </x:c>
      <x:c r="G80" s="27" t="n">
        <x:f>F31</x:f>
        <x:v>12487.18933964</x:v>
      </x:c>
      <x:c r="H80" s="27" t="n">
        <x:f>G31</x:f>
        <x:v>11964.407328037983</x:v>
      </x:c>
      <x:c r="I80" s="27" t="n">
        <x:f>H31</x:f>
        <x:v>11655.462492056424</x:v>
      </x:c>
    </x:row>
    <x:row r="81" ht="21" customHeight="1">
      <x:c r="C81" s="34" t="str">
        <x:v>Closing cash and cash equivalents</x:v>
      </x:c>
      <x:c r="D81" s="37" t="n">
        <x:f>'SourceFacts'!D29</x:f>
        <x:v>3624.95549884</x:v>
      </x:c>
      <x:c r="E81" s="37" t="n">
        <x:f>'SourceFacts'!E29</x:f>
        <x:v>3443.5024899</x:v>
      </x:c>
      <x:c r="F81" s="37" t="n">
        <x:f>'SourceFacts'!F29</x:f>
        <x:v>12487.18933964</x:v>
      </x:c>
      <x:c r="G81" s="36" t="n">
        <x:f>G80+G79</x:f>
        <x:v>11964.407328037983</x:v>
      </x:c>
      <x:c r="H81" s="36" t="n">
        <x:f>H80+H79</x:f>
        <x:v>11655.462492056424</x:v>
      </x:c>
      <x:c r="I81" s="36" t="n">
        <x:f>I80+I79</x:f>
        <x:v>11518.068255822785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0.27624390342730676</x:v>
      </x:c>
      <x:c r="E84" s="38" t="n">
        <x:f>E12/E10</x:f>
        <x:v>0.2747087618521689</x:v>
      </x:c>
      <x:c r="F84" s="38" t="n">
        <x:f>F12/F10</x:f>
        <x:v>0.2877699271288851</x:v>
      </x:c>
      <x:c r="G84" s="38" t="n">
        <x:f>G12/G10</x:f>
        <x:v>0.286614926521672</x:v>
      </x:c>
      <x:c r="H84" s="38" t="n">
        <x:f>H12/H10</x:f>
        <x:v>0.2860362801140729</x:v>
      </x:c>
      <x:c r="I84" s="38" t="n">
        <x:f>I12/I10</x:f>
        <x:v>0.28558401533680217</x:v>
      </x:c>
    </x:row>
    <x:row r="85" ht="21" customHeight="1">
      <x:c r="C85" s="1" t="str">
        <x:v>EBITDA proxy margin</x:v>
      </x:c>
      <x:c r="D85" s="26"/>
      <x:c r="E85" s="38" t="n">
        <x:f>E21/E10</x:f>
        <x:v>0.16734211873817254</x:v>
      </x:c>
      <x:c r="F85" s="38" t="n">
        <x:f>F21/F10</x:f>
        <x:v>0.19997718636551498</x:v>
      </x:c>
      <x:c r="G85" s="38" t="n">
        <x:f>G21/G10</x:f>
        <x:v>0.19997718636551498</x:v>
      </x:c>
      <x:c r="H85" s="38" t="n">
        <x:f>H21/H10</x:f>
        <x:v>0.19997718636551484</x:v>
      </x:c>
      <x:c r="I85" s="38" t="n">
        <x:f>I21/I10</x:f>
        <x:v>0.19997718636551495</x:v>
      </x:c>
    </x:row>
    <x:row r="86" ht="21" customHeight="1">
      <x:c r="C86" s="1" t="str">
        <x:v>Net debt / (cash)</x:v>
      </x:c>
      <x:c r="D86" s="27" t="n">
        <x:f>D44-D31</x:f>
        <x:v>279.38472692999994</x:v>
      </x:c>
      <x:c r="E86" s="27" t="n">
        <x:f>E44-E31</x:f>
        <x:v>984.5227176199996</x:v>
      </x:c>
      <x:c r="F86" s="27" t="n">
        <x:f>F44-F31</x:f>
        <x:v>-8435.221119949998</x:v>
      </x:c>
      <x:c r="G86" s="27" t="n">
        <x:f>G44-G31</x:f>
        <x:v>-8675.161641504483</x:v>
      </x:c>
      <x:c r="H86" s="27" t="n">
        <x:f>H44-H31</x:f>
        <x:v>-8976.394832048123</x:v>
      </x:c>
      <x:c r="I86" s="27" t="n">
        <x:f>I44-I31</x:f>
        <x:v>-9327.143017034645</x:v>
      </x:c>
    </x:row>
    <x:row r="87" ht="21" customHeight="1">
      <x:c r="C87" s="1" t="str">
        <x:v>Free cash flow before financing</x:v>
      </x:c>
      <x:c r="D87" s="27" t="n">
        <x:f>D65+D67</x:f>
        <x:v>978.5021268599999</x:v>
      </x:c>
      <x:c r="E87" s="27" t="n">
        <x:f>E65+E67</x:f>
        <x:v>1076.4827608700002</x:v>
      </x:c>
      <x:c r="F87" s="27" t="n">
        <x:f>F65+F67</x:f>
        <x:v>1938.3756124899996</x:v>
      </x:c>
      <x:c r="G87" s="27" t="n">
        <x:f>G65+G67</x:f>
        <x:v>1882.5099051182242</x:v>
      </x:c>
      <x:c r="H87" s="27" t="n">
        <x:f>H65+H67</x:f>
        <x:v>2118.3659191478014</x:v>
      </x:c>
      <x:c r="I87" s="27" t="n">
        <x:f>I65+I67</x:f>
        <x:v>2363.0706553671544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10993.19392279</x:v>
      </x:c>
      <x:c r="H10" s="27" t="n">
        <x:f>G11</x:f>
        <x:v>11813.656363498108</x:v>
      </x:c>
      <x:c r="I10" s="27" t="n">
        <x:f>H11</x:f>
        <x:v>13141.340099671952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11813.656363498108</x:v>
      </x:c>
      <x:c r="H11" s="19" t="n">
        <x:f>'Statements'!H10*'Assumptions'!H22/365</x:f>
        <x:v>13141.340099671952</x:v>
      </x:c>
      <x:c r="I11" s="19" t="n">
        <x:f>'Statements'!I10*'Assumptions'!I22/365</x:f>
        <x:v>14625.890051434013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820.4624407081083</x:v>
      </x:c>
      <x:c r="H12" s="27" t="n">
        <x:f>H11-H10</x:f>
        <x:v>1327.6837361738435</x:v>
      </x:c>
      <x:c r="I12" s="27" t="n">
        <x:f>I11-I10</x:f>
        <x:v>1484.549951762061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5639.79222825</x:v>
      </x:c>
      <x:c r="H16" s="27" t="n">
        <x:f>G17</x:f>
        <x:v>6070.539096885573</x:v>
      </x:c>
      <x:c r="I16" s="27" t="n">
        <x:f>H17</x:f>
        <x:v>6758.257065637998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6070.539096885573</x:v>
      </x:c>
      <x:c r="H17" s="19" t="n">
        <x:f>'Statements'!H11*'Assumptions'!H23/365</x:f>
        <x:v>6758.257065637998</x:v>
      </x:c>
      <x:c r="I17" s="19" t="n">
        <x:f>'Statements'!I11*'Assumptions'!I23/365</x:f>
        <x:v>7526.48804050121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430.74686863557235</x:v>
      </x:c>
      <x:c r="H18" s="27" t="n">
        <x:f>H17-H16</x:f>
        <x:v>687.7179687524249</x:v>
      </x:c>
      <x:c r="I18" s="27" t="n">
        <x:f>I17-I16</x:f>
        <x:v>768.2309748632124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10189.20923317</x:v>
      </x:c>
      <x:c r="H22" s="27" t="n">
        <x:f>G23</x:f>
        <x:v>10967.424066878955</x:v>
      </x:c>
      <x:c r="I22" s="27" t="n">
        <x:f>H23</x:f>
        <x:v>12209.899320121302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10967.424066878955</x:v>
      </x:c>
      <x:c r="H23" s="19" t="n">
        <x:f>'Statements'!H11*'Assumptions'!H24/365</x:f>
        <x:v>12209.899320121302</x:v>
      </x:c>
      <x:c r="I23" s="19" t="n">
        <x:f>'Statements'!I11*'Assumptions'!I24/365</x:f>
        <x:v>13597.834517995125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778.2148337089548</x:v>
      </x:c>
      <x:c r="H24" s="27" t="n">
        <x:f>H23-H22</x:f>
        <x:v>1242.4752532423463</x:v>
      </x:c>
      <x:c r="I24" s="27" t="n">
        <x:f>I23-I22</x:f>
        <x:v>1387.9351978738232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76.16682949</x:v>
      </x:c>
      <x:c r="H28" s="27" t="n">
        <x:f>G29</x:f>
        <x:v>81.8514397373287</x:v>
      </x:c>
      <x:c r="I28" s="27" t="n">
        <x:f>H29</x:f>
        <x:v>91.05035512625457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81.8514397373287</x:v>
      </x:c>
      <x:c r="H29" s="19" t="n">
        <x:f>'Statements'!H10*'Assumptions'!H25</x:f>
        <x:v>91.05035512625457</x:v>
      </x:c>
      <x:c r="I29" s="19" t="n">
        <x:f>'Statements'!I10*'Assumptions'!I25</x:f>
        <x:v>101.33612501618947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5.684610247328706</x:v>
      </x:c>
      <x:c r="H30" s="27" t="n">
        <x:f>H29-H28</x:f>
        <x:v>9.198915388925869</x:v>
      </x:c>
      <x:c r="I30" s="27" t="n">
        <x:f>I29-I28</x:f>
        <x:v>10.285769889934897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0</x:v>
      </x:c>
      <x:c r="H34" s="27" t="n">
        <x:f>G35</x:f>
        <x:v>0</x:v>
      </x:c>
      <x:c r="I34" s="27" t="n">
        <x:f>H35</x:f>
        <x:v>0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0</x:v>
      </x:c>
      <x:c r="H35" s="19" t="n">
        <x:f>H34*(1+'Assumptions'!H26)</x:f>
        <x:v>0</x:v>
      </x:c>
      <x:c r="I35" s="19" t="n">
        <x:f>I34*(1+'Assumptions'!I26)</x:f>
        <x:v>0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2078.33732695</x:v>
      </x:c>
      <x:c r="H40" s="27" t="n">
        <x:f>G41</x:f>
        <x:v>2078.33732695</x:v>
      </x:c>
      <x:c r="I40" s="27" t="n">
        <x:f>H41</x:f>
        <x:v>2078.33732695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2078.33732695</x:v>
      </x:c>
      <x:c r="H41" s="19" t="n">
        <x:f>H40*(1+'Assumptions'!H27)</x:f>
        <x:v>2078.33732695</x:v>
      </x:c>
      <x:c r="I41" s="19" t="n">
        <x:f>I40*(1+'Assumptions'!I27)</x:f>
        <x:v>2078.33732695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2718.1262801</x:v>
      </x:c>
      <x:c r="H46" s="27" t="n">
        <x:f>G47</x:f>
        <x:v>2718.1262801</x:v>
      </x:c>
      <x:c r="I46" s="27" t="n">
        <x:f>H47</x:f>
        <x:v>2718.1262801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2718.1262801</x:v>
      </x:c>
      <x:c r="H47" s="19" t="n">
        <x:f>H46*(1+'Assumptions'!H28)</x:f>
        <x:v>2718.1262801</x:v>
      </x:c>
      <x:c r="I47" s="19" t="n">
        <x:f>I46*(1+'Assumptions'!I28)</x:f>
        <x:v>2718.1262801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13422.603157040001</x:v>
      </x:c>
      <x:c r="H10" s="27" t="n">
        <x:f>G14</x:f>
        <x:v>15236.65369080678</x:v>
      </x:c>
      <x:c r="I10" s="27" t="n">
        <x:f>H14</x:f>
        <x:v>17229.334772293878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3048.895200565767</x:v>
      </x:c>
      <x:c r="H11" s="19" t="n">
        <x:f>'Statements'!H10*MAX(0,'Assumptions'!H31)</x:f>
        <x:v>3391.5468273387523</x:v>
      </x:c>
      <x:c r="I11" s="19" t="n">
        <x:f>'Statements'!I10*MAX(0,'Assumptions'!I31)</x:f>
        <x:v>3774.6828424434984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1234.8446667989883</x:v>
      </x:c>
      <x:c r="H12" s="19" t="n">
        <x:f>(H10+H11*0.5)*'Assumptions'!H33</x:f>
        <x:v>1398.8657458516548</x:v>
      </x:c>
      <x:c r="I12" s="19" t="n">
        <x:f>(I10+I11*0.5)*'Assumptions'!I33</x:f>
        <x:v>1579.316617555527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1234.8446667989883</x:v>
      </x:c>
      <x:c r="H13" s="27" t="n">
        <x:f>MIN(MAX(0,H12),H10+H11)</x:f>
        <x:v>1398.8657458516548</x:v>
      </x:c>
      <x:c r="I13" s="27" t="n">
        <x:f>MIN(MAX(0,I12),I10+I11)</x:f>
        <x:v>1579.316617555527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15236.65369080678</x:v>
      </x:c>
      <x:c r="H14" s="27" t="n">
        <x:f>H10+H11-H13</x:f>
        <x:v>17229.334772293878</x:v>
      </x:c>
      <x:c r="I14" s="27" t="n">
        <x:f>I10+I11-I13</x:f>
        <x:v>19424.700997181848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1470.75705172</x:v>
      </x:c>
      <x:c r="H20" s="27" t="n">
        <x:f>G24</x:f>
        <x:v>1674.0236600985668</x:v>
      </x:c>
      <x:c r="I20" s="27" t="n">
        <x:f>H24</x:f>
        <x:v>1896.9972130324345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338.7661333961963</x:v>
      </x:c>
      <x:c r="H21" s="19" t="n">
        <x:f>'Statements'!H10*MAX(0,'Assumptions'!H32)</x:f>
        <x:v>376.8385363709725</x:v>
      </x:c>
      <x:c r="I21" s="19" t="n">
        <x:f>'Statements'!I10*MAX(0,'Assumptions'!I32)</x:f>
        <x:v>419.40920471594427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135.49952501762948</x:v>
      </x:c>
      <x:c r="H22" s="19" t="n">
        <x:f>(H20+H21*0.5)*'Assumptions'!H34</x:f>
        <x:v>153.86498343710502</x:v>
      </x:c>
      <x:c r="I22" s="19" t="n">
        <x:f>(I20+I21*0.5)*'Assumptions'!I34</x:f>
        <x:v>174.04433446484978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135.49952501762948</x:v>
      </x:c>
      <x:c r="H23" s="27" t="n">
        <x:f>MIN(MAX(0,H22),H20+H21)</x:f>
        <x:v>153.86498343710502</x:v>
      </x:c>
      <x:c r="I23" s="27" t="n">
        <x:f>MIN(MAX(0,I22),I20+I21)</x:f>
        <x:v>174.04433446484978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1674.0236600985668</x:v>
      </x:c>
      <x:c r="H24" s="27" t="n">
        <x:f>H20+H21-H23</x:f>
        <x:v>1896.9972130324345</x:v>
      </x:c>
      <x:c r="I24" s="27" t="n">
        <x:f>I20+I21-I23</x:f>
        <x:v>2142.362083283529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317.80740520999996</x:v>
      </x:c>
      <x:c r="H30" s="27" t="n">
        <x:f>G34</x:f>
        <x:v>337.2538183774528</x:v>
      </x:c>
      <x:c r="I30" s="27" t="n">
        <x:f>H34</x:f>
        <x:v>355.0936738380995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47.67111078149999</x:v>
      </x:c>
      <x:c r="H31" s="19" t="n">
        <x:f>MAX(0,'Assumptions'!H36)</x:f>
        <x:v>47.67111078149999</x:v>
      </x:c>
      <x:c r="I31" s="19" t="n">
        <x:f>MAX(0,'Assumptions'!I36)</x:f>
        <x:v>47.67111078149999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28.22469761404716</x:v>
      </x:c>
      <x:c r="H32" s="19" t="n">
        <x:f>(H30+H31*0.5)*'Assumptions'!H35</x:f>
        <x:v>29.831255320853238</x:v>
      </x:c>
      <x:c r="I32" s="19" t="n">
        <x:f>(I30+I31*0.5)*'Assumptions'!I35</x:f>
        <x:v>31.305087900250328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28.22469761404716</x:v>
      </x:c>
      <x:c r="H33" s="27" t="n">
        <x:f>MIN(MAX(0,H32),H30+H31)</x:f>
        <x:v>29.831255320853238</x:v>
      </x:c>
      <x:c r="I33" s="27" t="n">
        <x:f>MIN(MAX(0,I32),I30+I31)</x:f>
        <x:v>31.305087900250328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337.2538183774528</x:v>
      </x:c>
      <x:c r="H34" s="27" t="n">
        <x:f>H30+H31-H33</x:f>
        <x:v>355.0936738380995</x:v>
      </x:c>
      <x:c r="I34" s="27" t="n">
        <x:f>I30+I31-I33</x:f>
        <x:v>371.45969671934915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1398.568889430665</x:v>
      </x:c>
      <x:c r="H39" s="27" t="n">
        <x:f>H13+H23+H33</x:f>
        <x:v>1582.561984609613</x:v>
      </x:c>
      <x:c r="I39" s="27" t="n">
        <x:f>I13+I23+I33</x:f>
        <x:v>1784.666039920627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3387.6613339619635</x:v>
      </x:c>
      <x:c r="H40" s="27" t="n">
        <x:f>H11+H21</x:f>
        <x:v>3768.385363709725</x:v>
      </x:c>
      <x:c r="I40" s="27" t="n">
        <x:f>I11+I21</x:f>
        <x:v>4194.092047159443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4051.9682196900003</x:v>
      </x:c>
      <x:c r="H10" s="27" t="n">
        <x:f>G18</x:f>
        <x:v>3289.2456865335002</x:v>
      </x:c>
      <x:c r="I10" s="27" t="n">
        <x:f>H18</x:f>
        <x:v>2679.0676600083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47.67111078149999</x:v>
      </x:c>
      <x:c r="H14" s="19" t="n">
        <x:f>'FixedAssets'!H31</x:f>
        <x:v>47.67111078149999</x:v>
      </x:c>
      <x:c r="I14" s="19" t="n">
        <x:f>'FixedAssets'!I31</x:f>
        <x:v>47.67111078149999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810.3936439380001</x:v>
      </x:c>
      <x:c r="H15" s="19" t="n">
        <x:f>H10*'Assumptions'!H41+'Assumptions'!H42</x:f>
        <x:v>657.8491373067001</x:v>
      </x:c>
      <x:c r="I15" s="19" t="n">
        <x:f>I10*'Assumptions'!I41+'Assumptions'!I42</x:f>
        <x:v>535.8135320016601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810.3936439380001</x:v>
      </x:c>
      <x:c r="H16" s="27" t="n">
        <x:f>MIN(MAX(0,H15),H10+H12+H14)</x:f>
        <x:v>657.8491373067001</x:v>
      </x:c>
      <x:c r="I16" s="27" t="n">
        <x:f>MIN(MAX(0,I15),I10+I12+I14)</x:f>
        <x:v>535.8135320016601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3289.2456865335002</x:v>
      </x:c>
      <x:c r="H18" s="27" t="n">
        <x:f>H10+H12+H14-H16</x:f>
        <x:v>2679.0676600083</x:v>
      </x:c>
      <x:c r="I18" s="27" t="n">
        <x:f>I10+I12+I14-I16</x:f>
        <x:v>2190.92523878814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120.87995322191581</x:v>
      </x:c>
      <x:c r="H19" s="19" t="n">
        <x:f>(H10+(H12+H14-H16)*0.5)*'Assumptions'!H17</x:f>
        <x:v>98.27386142938857</x:v>
      </x:c>
      <x:c r="I19" s="19" t="n">
        <x:f>(I10+(I12+I14-I16)*0.5)*'Assumptions'!I17</x:f>
        <x:v>80.18898799536679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571.65441058</x:v>
      </x:c>
      <x:c r="H22" s="27" t="n">
        <x:f>G31</x:f>
        <x:v>571.65441058</x:v>
      </x:c>
      <x:c r="I22" s="27" t="n">
        <x:f>H31</x:f>
        <x:v>571.65441058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571.65441058</x:v>
      </x:c>
      <x:c r="H31" s="27" t="n">
        <x:f>H22+H24-H26+H29</x:f>
        <x:v>571.65441058</x:v>
      </x:c>
      <x:c r="I31" s="27" t="n">
        <x:f>I22+I24-I26+I29</x:f>
        <x:v>571.65441058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330.43053870999995</x:v>
      </x:c>
      <x:c r="H34" s="27" t="n">
        <x:f>G38</x:f>
        <x:v>112.49054579766118</x:v>
      </x:c>
      <x:c r="I34" s="27" t="n">
        <x:f>H38</x:f>
        <x:v>124.80275799010838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749.9369719844077</x:v>
      </x:c>
      <x:c r="H35" s="19" t="n">
        <x:f>'Statements'!H24</x:f>
        <x:v>832.0183866007222</x:v>
      </x:c>
      <x:c r="I35" s="19" t="n">
        <x:f>'Statements'!I24</x:f>
        <x:v>923.798537352852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967.8769648967465</x:v>
      </x:c>
      <x:c r="H36" s="19" t="n">
        <x:f>H35*'Assumptions'!H47+H34*'Assumptions'!H48</x:f>
        <x:v>819.706174408275</x:v>
      </x:c>
      <x:c r="I36" s="19" t="n">
        <x:f>I35*'Assumptions'!I47+I34*'Assumptions'!I48</x:f>
        <x:v>910.0315147400325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967.8769648967465</x:v>
      </x:c>
      <x:c r="H37" s="27" t="n">
        <x:f>MIN(MAX(0,H36),MAX(0,H34+H35))</x:f>
        <x:v>819.706174408275</x:v>
      </x:c>
      <x:c r="I37" s="27" t="n">
        <x:f>MIN(MAX(0,I36),MAX(0,I34+I35))</x:f>
        <x:v>910.0315147400325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112.49054579766118</x:v>
      </x:c>
      <x:c r="H38" s="27" t="n">
        <x:f>H34+H35-H37</x:f>
        <x:v>124.80275799010838</x:v>
      </x:c>
      <x:c r="I38" s="27" t="n">
        <x:f>I34+I35-I37</x:f>
        <x:v>138.56978060292784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14139.00033999</x:v>
      </x:c>
      <x:c r="H41" s="27" t="n">
        <x:f>G48</x:f>
        <x:v>17069.36459799444</x:v>
      </x:c>
      <x:c r="I41" s="27" t="n">
        <x:f>H48</x:f>
        <x:v>20320.46040094676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4508.252704622219</x:v>
      </x:c>
      <x:c r="H42" s="19" t="n">
        <x:f>'Statements'!H26</x:f>
        <x:v>5001.685850695876</x:v>
      </x:c>
      <x:c r="I42" s="19" t="n">
        <x:f>'Statements'!I26</x:f>
        <x:v>5553.4230343741965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1577.8884466177767</x:v>
      </x:c>
      <x:c r="H43" s="19" t="n">
        <x:f>MAX(0,H42)*'Assumptions'!H43</x:f>
        <x:v>1750.5900477435566</x:v>
      </x:c>
      <x:c r="I43" s="19" t="n">
        <x:f>MAX(0,I42)*'Assumptions'!I43</x:f>
        <x:v>1943.6980620309687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1577.8884466177767</x:v>
      </x:c>
      <x:c r="H44" s="27" t="n">
        <x:f>MIN(MAX(0,H43),MAX(0,H41+H42))</x:f>
        <x:v>1750.5900477435566</x:v>
      </x:c>
      <x:c r="I44" s="27" t="n">
        <x:f>MIN(MAX(0,I43),MAX(0,I41+I42))</x:f>
        <x:v>1943.6980620309687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17069.36459799444</x:v>
      </x:c>
      <x:c r="H48" s="27" t="n">
        <x:f>H41+H42-H44-H47</x:f>
        <x:v>20320.46040094676</x:v>
      </x:c>
      <x:c r="I48" s="27" t="n">
        <x:f>I41+I42-I44-I47</x:f>
        <x:v>23930.185373289984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291.30292462</x:v>
      </x:c>
      <x:c r="H51" s="27" t="n">
        <x:f>G55</x:f>
        <x:v>322.8926017825747</x:v>
      </x:c>
      <x:c r="I51" s="27" t="n">
        <x:f>H55</x:f>
        <x:v>357.93980335805526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48.59950332703797</x:v>
      </x:c>
      <x:c r="H52" s="19" t="n">
        <x:f>'Statements'!H27</x:f>
        <x:v>53.918771654585505</x:v>
      </x:c>
      <x:c r="I52" s="19" t="n">
        <x:f>'Statements'!I27</x:f>
        <x:v>59.866564480469705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17.009826164463288</x:v>
      </x:c>
      <x:c r="H53" s="19" t="n">
        <x:f>MAX(0,H52)*'Assumptions'!H43</x:f>
        <x:v>18.871570079104927</x:v>
      </x:c>
      <x:c r="I53" s="19" t="n">
        <x:f>MAX(0,I52)*'Assumptions'!I43</x:f>
        <x:v>20.953297568164395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17.009826164463288</x:v>
      </x:c>
      <x:c r="H54" s="27" t="n">
        <x:f>MIN(MAX(0,H53),MAX(0,H51+H52))</x:f>
        <x:v>18.871570079104927</x:v>
      </x:c>
      <x:c r="I54" s="27" t="n">
        <x:f>MIN(MAX(0,I53),MAX(0,I51+I52))</x:f>
        <x:v>20.953297568164395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322.8926017825747</x:v>
      </x:c>
      <x:c r="H55" s="27" t="n">
        <x:f>H51+H52-H54</x:f>
        <x:v>357.93980335805526</x:v>
      </x:c>
      <x:c r="I55" s="27" t="n">
        <x:f>I51+I52-I54</x:f>
        <x:v>396.8530702703606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17609.926237970005</x:v>
      </x:c>
      <x:c r="H58" s="27" t="n">
        <x:f>G61</x:f>
        <x:v>17609.926237970005</x:v>
      </x:c>
      <x:c r="I58" s="27" t="n">
        <x:f>H61</x:f>
        <x:v>17609.926237970005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17609.926237970005</x:v>
      </x:c>
      <x:c r="H61" s="27" t="n">
        <x:f>SUM(H58:H60)</x:f>
        <x:v>17609.926237970005</x:v>
      </x:c>
      <x:c r="I61" s="27" t="n">
        <x:f>SUM(I58:I60)</x:f>
        <x:v>17609.926237970005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35002.18343774702</x:v>
      </x:c>
      <x:c r="H63" s="27" t="n">
        <x:f>H48+H55+H61</x:f>
        <x:v>38288.32644227482</x:v>
      </x:c>
      <x:c r="I63" s="27" t="n">
        <x:f>I48+I55+I61</x:f>
        <x:v>41936.96468153035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16262.78744845</x:v>
      </x:c>
      <x:c r="E9" s="2" t="n">
        <x:v>16899.97256057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2536.48799605</x:v>
      </x:c>
      <x:c r="E10" s="2" t="n">
        <x:v>2423.74944729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2138.1112114400003</x:v>
      </x:c>
      <x:c r="E11" s="2" t="n">
        <x:v>2081.23361338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制冷空调零部件</x:v>
      </x:c>
      <x:c r="D16" s="2" t="n">
        <x:v>10388.693367670001</x:v>
      </x:c>
      <x:c r="E16" s="2" t="n">
        <x:v>10444.84540734</x:v>
      </x:c>
      <x:c r="F16" s="20" t="str">
        <x:v>H1 2025 and 2026 SOURCE_FACT: sanhua_H12026 P013 L052</x:v>
      </x:c>
      <x:c r="G16" s="2"/>
      <x:c r="H16" s="2"/>
      <x:c r="I16" s="2"/>
    </x:row>
    <x:row r="17" ht="52" customHeight="1">
      <x:c r="C17" s="1" t="str">
        <x:v>汽车零部件</x:v>
      </x:c>
      <x:c r="D17" s="2" t="n">
        <x:v>5874.09408078</x:v>
      </x:c>
      <x:c r="E17" s="2" t="n">
        <x:v>6455.12715323</x:v>
      </x:c>
      <x:c r="F17" s="20" t="str">
        <x:v>H1 2025 and 2026 SOURCE_FACT: sanhua_H12026 P013 L054</x:v>
      </x:c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24557.80206659</x:v>
      </x:c>
      <x:c r="E9" s="2" t="n">
        <x:v>27947.16451593</x:v>
      </x:c>
      <x:c r="F9" s="2" t="n">
        <x:v>31011.74451027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17773.858964119998</x:v>
      </x:c>
      <x:c r="E10" s="2" t="n">
        <x:v>20269.83355448</x:v>
      </x:c>
      <x:c r="F10" s="2" t="n">
        <x:v>22087.49705241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597.56563825</x:v>
      </x:c>
      <x:c r="E11" s="2" t="n">
        <x:v>726.43723146</x:v>
      </x:c>
      <x:c r="F11" s="2" t="n">
        <x:v>751.52523183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1476.33417235</x:v>
      </x:c>
      <x:c r="E12" s="2" t="n">
        <x:v>1767.4543221600002</x:v>
      </x:c>
      <x:c r="F12" s="2" t="n">
        <x:v>1909.3257384400001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1096.8342244100002</x:v>
      </x:c>
      <x:c r="E13" s="2" t="n">
        <x:v>1351.7987865</x:v>
      </x:c>
      <x:c r="F13" s="2" t="n">
        <x:v>1374.07132405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139.8160225</x:v>
      </x:c>
      <x:c r="E14" s="2" t="n">
        <x:v>171.27664816</x:v>
      </x:c>
      <x:c r="F14" s="2" t="n">
        <x:v>175.29112100999998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-72.75138029</x:v>
      </x:c>
      <x:c r="E15" s="2" t="n">
        <x:v>-43.782383530000004</x:v>
      </x:c>
      <x:c r="F15" s="2" t="n">
        <x:v>101.21980452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212.08165878</x:v>
      </x:c>
      <x:c r="E16" s="2" t="n">
        <x:v>161.56408094999998</x:v>
      </x:c>
      <x:c r="F16" s="2" t="n">
        <x:v>145.82315316999998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7.11906772999582</x:v>
      </x:c>
      <x:c r="E17" s="19" t="n">
        <x:f>'SourceFacts'!E18-'SourceFacts'!E9+SUM(E10:E14)+'SourceFacts'!E15</x:f>
        <x:v>-12.459947579998186</x:v>
      </x:c>
      <x:c r="F17" s="19" t="n">
        <x:f>'SourceFacts'!F18-'SourceFacts'!F9+SUM(F10:F14)+'SourceFacts'!F15</x:f>
        <x:v>230.94279281999636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3553.26349298</x:v>
      </x:c>
      <x:c r="E18" s="2" t="n">
        <x:v>3691.68640912</x:v>
      </x:c>
      <x:c r="F18" s="2" t="n">
        <x:v>4843.75703083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619.54875399</x:v>
      </x:c>
      <x:c r="E19" s="2" t="n">
        <x:v>579.9606067799999</x:v>
      </x:c>
      <x:c r="F19" s="2" t="n">
        <x:v>737.0671634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2933.7147389899997</x:v>
      </x:c>
      <x:c r="E20" s="2" t="n">
        <x:v>3111.72580234</x:v>
      </x:c>
      <x:c r="F20" s="2" t="n">
        <x:v>4106.68986743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2920.9929400100004</x:v>
      </x:c>
      <x:c r="E21" s="2" t="n">
        <x:v>3099.16512806</x:v>
      </x:c>
      <x:c r="F21" s="2" t="n">
        <x:v>4062.8914121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12.72179898</x:v>
      </x:c>
      <x:c r="E22" s="2" t="n">
        <x:v>12.560674279999999</x:v>
      </x:c>
      <x:c r="F22" s="2" t="n">
        <x:v>43.798455329999996</x:v>
      </x:c>
      <x:c r="G22" s="2"/>
      <x:c r="H22" s="2"/>
      <x:c r="I22" s="2"/>
    </x:row>
    <x:row r="23" ht="21" customHeight="1">
      <x:c r="C23" s="1" t="str">
        <x:v>Depreciation and amortization</x:v>
      </x:c>
      <x:c r="D23" s="2"/>
      <x:c r="E23" s="2" t="n">
        <x:v>1028.8336972299999</x:v>
      </x:c>
      <x:c r="F23" s="2" t="n">
        <x:v>1256.6645761000002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3723.96435463</x:v>
      </x:c>
      <x:c r="E24" s="2" t="n">
        <x:v>4366.63094836</x:v>
      </x:c>
      <x:c r="F24" s="2" t="n">
        <x:v>5090.762717979999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-1209.27975349</x:v>
      </x:c>
      <x:c r="E25" s="2" t="n">
        <x:v>-3511.53708498</x:v>
      </x:c>
      <x:c r="F25" s="2" t="n">
        <x:v>-3792.91770469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-1091.85028851</x:v>
      </x:c>
      <x:c r="E26" s="2" t="n">
        <x:v>-955.2995419700001</x:v>
      </x:c>
      <x:c r="F26" s="2" t="n">
        <x:v>7802.4611203800005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151.79258443999998</x:v>
      </x:c>
      <x:c r="E27" s="2" t="n">
        <x:v>-81.24733035</x:v>
      </x:c>
      <x:c r="F27" s="2" t="n">
        <x:v>-56.61928393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2050.32860177</x:v>
      </x:c>
      <x:c r="E28" s="2" t="n">
        <x:v>3624.95549884</x:v>
      </x:c>
      <x:c r="F28" s="2" t="n">
        <x:v>3443.5024899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3624.95549884</x:v>
      </x:c>
      <x:c r="E29" s="2" t="n">
        <x:v>3443.5024899</x:v>
      </x:c>
      <x:c r="F29" s="2" t="n">
        <x:v>12487.18933964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2745.46222777</x:v>
      </x:c>
      <x:c r="E30" s="2" t="n">
        <x:v>3290.1481874899996</x:v>
      </x:c>
      <x:c r="F30" s="2" t="n">
        <x:v>3152.3871054899996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SUMIF('SourceBS'!$D$9:$D$46,"bankPool",'SourceBS'!E$9:E$46)</x:f>
        <x:v>6584.684683930001</x:v>
      </x:c>
      <x:c r="E31" s="19" t="n">
        <x:f>SUMIF('SourceBS'!$D$9:$D$46,"bankPool",'SourceBS'!F$9:F$46)</x:f>
        <x:v>5248.56764621</x:v>
      </x:c>
      <x:c r="F31" s="19" t="n">
        <x:f>SUMIF('SourceBS'!$D$9:$D$46,"bankPool",'SourceBS'!G$9:G$46)</x:f>
        <x:v>14911.9851012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2959.7291850900006</x:v>
      </x:c>
      <x:c r="E32" s="19" t="n">
        <x:f>'SourceFacts'!E31-'SourceFacts'!E29</x:f>
        <x:v>1805.06515631</x:v>
      </x:c>
      <x:c r="F32" s="19" t="n">
        <x:f>'SourceFacts'!F31-'SourceFacts'!F29</x:f>
        <x:v>2424.7957615600008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SUMIF('SourceBS'!$D$9:$D$46,"ar",'SourceBS'!E$9:E$46)</x:f>
        <x:v>8250.83089511</x:v>
      </x:c>
      <x:c r="E33" s="19" t="n">
        <x:f>SUMIF('SourceBS'!$D$9:$D$46,"ar",'SourceBS'!F$9:F$46)</x:f>
        <x:v>9628.33714603</x:v>
      </x:c>
      <x:c r="F33" s="19" t="n">
        <x:f>SUMIF('SourceBS'!$D$9:$D$46,"ar",'SourceBS'!G$9:G$46)</x:f>
        <x:v>10993.19392279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SUMIF('SourceBS'!$D$9:$D$46,"inventory",'SourceBS'!E$9:E$46)</x:f>
        <x:v>4600.72937819</x:v>
      </x:c>
      <x:c r="E34" s="19" t="n">
        <x:f>SUMIF('SourceBS'!$D$9:$D$46,"inventory",'SourceBS'!F$9:F$46)</x:f>
        <x:v>5280.44182448</x:v>
      </x:c>
      <x:c r="F34" s="19" t="n">
        <x:f>SUMIF('SourceBS'!$D$9:$D$46,"inventory",'SourceBS'!G$9:G$46)</x:f>
        <x:v>5639.79222825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SUMIF('SourceBS'!$D$9:$D$46,"ppe",'SourceBS'!E$9:E$46)</x:f>
        <x:v>9774.85634185</x:v>
      </x:c>
      <x:c r="E35" s="19" t="n">
        <x:f>SUMIF('SourceBS'!$D$9:$D$46,"ppe",'SourceBS'!F$9:F$46)</x:f>
        <x:v>11973.49240563</x:v>
      </x:c>
      <x:c r="F35" s="19" t="n">
        <x:f>SUMIF('SourceBS'!$D$9:$D$46,"ppe",'SourceBS'!G$9:G$46)</x:f>
        <x:v>13422.603157040001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SUMIF('SourceBS'!$D$9:$D$46,"intang",'SourceBS'!E$9:E$46)</x:f>
        <x:v>961.96272891</x:v>
      </x:c>
      <x:c r="E36" s="19" t="n">
        <x:f>SUMIF('SourceBS'!$D$9:$D$46,"intang",'SourceBS'!F$9:F$46)</x:f>
        <x:v>1275.17572317</x:v>
      </x:c>
      <x:c r="F36" s="19" t="n">
        <x:f>SUMIF('SourceBS'!$D$9:$D$46,"intang",'SourceBS'!G$9:G$46)</x:f>
        <x:v>1470.75705172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SUMIF('SourceBS'!$D$9:$D$46,"rou",'SourceBS'!E$9:E$46)</x:f>
        <x:v>313.25474553</x:v>
      </x:c>
      <x:c r="E37" s="19" t="n">
        <x:f>SUMIF('SourceBS'!$D$9:$D$46,"rou",'SourceBS'!F$9:F$46)</x:f>
        <x:v>336.58488</x:v>
      </x:c>
      <x:c r="F37" s="19" t="n">
        <x:f>SUMIF('SourceBS'!$D$9:$D$46,"rou",'SourceBS'!G$9:G$46)</x:f>
        <x:v>317.80740520999996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SUMIF('SourceBS'!$D$9:$D$46,"investments",'SourceBS'!E$9:E$46)</x:f>
        <x:v>60.56054397</x:v>
      </x:c>
      <x:c r="E38" s="19" t="n">
        <x:f>SUMIF('SourceBS'!$D$9:$D$46,"investments",'SourceBS'!F$9:F$46)</x:f>
        <x:v>46.836995900000005</x:v>
      </x:c>
      <x:c r="F38" s="19" t="n">
        <x:f>SUMIF('SourceBS'!$D$9:$D$46,"investments",'SourceBS'!G$9:G$46)</x:f>
        <x:v>571.65441058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SUMIF('SourceBS'!$D$9:$D$46,"otherAssets",'SourceBS'!E$9:E$46)</x:f>
        <x:v>1343.70545592</x:v>
      </x:c>
      <x:c r="E39" s="19" t="n">
        <x:f>SUMIF('SourceBS'!$D$9:$D$46,"otherAssets",'SourceBS'!F$9:F$46)</x:f>
        <x:v>2565.3118047900007</x:v>
      </x:c>
      <x:c r="F39" s="19" t="n">
        <x:f>SUMIF('SourceBS'!$D$9:$D$46,"otherAssets",'SourceBS'!G$9:G$46)</x:f>
        <x:v>2078.33732695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31890.58477341</x:v>
      </x:c>
      <x:c r="E40" s="2" t="n">
        <x:v>36354.74842621</x:v>
      </x:c>
      <x:c r="F40" s="2" t="n">
        <x:v>49406.13060374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SUMIF('SourceBS'!$D$9:$D$46,"ap",'SourceBS'!E$9:E$46)</x:f>
        <x:v>7866.651954450001</x:v>
      </x:c>
      <x:c r="E41" s="19" t="n">
        <x:f>SUMIF('SourceBS'!$D$9:$D$46,"ap",'SourceBS'!F$9:F$46)</x:f>
        <x:v>9777.26195317</x:v>
      </x:c>
      <x:c r="F41" s="19" t="n">
        <x:f>SUMIF('SourceBS'!$D$9:$D$46,"ap",'SourceBS'!G$9:G$46)</x:f>
        <x:v>10189.20923317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SUMIF('SourceBS'!$D$9:$D$46,"contract",'SourceBS'!E$9:E$46)</x:f>
        <x:v>51.78880203</x:v>
      </x:c>
      <x:c r="E42" s="19" t="n">
        <x:f>SUMIF('SourceBS'!$D$9:$D$46,"contract",'SourceBS'!F$9:F$46)</x:f>
        <x:v>49.46172283</x:v>
      </x:c>
      <x:c r="F42" s="19" t="n">
        <x:f>SUMIF('SourceBS'!$D$9:$D$46,"contract",'SourceBS'!G$9:G$46)</x:f>
        <x:v>76.16682949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SUMIF('SourceBS'!$D$9:$D$46,"debt",'SourceBS'!E$9:E$46)</x:f>
        <x:v>3904.34022577</x:v>
      </x:c>
      <x:c r="E43" s="19" t="n">
        <x:f>SUMIF('SourceBS'!$D$9:$D$46,"debt",'SourceBS'!F$9:F$46)</x:f>
        <x:v>4428.02520752</x:v>
      </x:c>
      <x:c r="F43" s="19" t="n">
        <x:f>SUMIF('SourceBS'!$D$9:$D$46,"debt",'SourceBS'!G$9:G$46)</x:f>
        <x:v>4051.9682196900003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SUMIF('SourceBS'!$D$9:$D$46,"taxPayable",'SourceBS'!E$9:E$46)</x:f>
        <x:v>382.39679119</x:v>
      </x:c>
      <x:c r="E44" s="19" t="n">
        <x:f>SUMIF('SourceBS'!$D$9:$D$46,"taxPayable",'SourceBS'!F$9:F$46)</x:f>
        <x:v>309.87443392</x:v>
      </x:c>
      <x:c r="F44" s="19" t="n">
        <x:f>SUMIF('SourceBS'!$D$9:$D$46,"taxPayable",'SourceBS'!G$9:G$46)</x:f>
        <x:v>330.43053870999995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SUMIF('SourceBS'!$D$9:$D$46,"deposits",'SourceBS'!E$9:E$46)</x:f>
        <x:v>0</x:v>
      </x:c>
      <x:c r="E45" s="19" t="n">
        <x:f>SUMIF('SourceBS'!$D$9:$D$46,"deposits",'SourceBS'!F$9:F$46)</x:f>
        <x:v>0</x:v>
      </x:c>
      <x:c r="F45" s="19" t="n">
        <x:f>SUMIF('SourceBS'!$D$9:$D$46,"deposits",'SourceBS'!G$9:G$46)</x:f>
        <x:v>0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SUMIF('SourceBS'!$D$9:$D$46,"otherLiabilities",'SourceBS'!E$9:E$46)</x:f>
        <x:v>1621.69937561</x:v>
      </x:c>
      <x:c r="E46" s="19" t="n">
        <x:f>SUMIF('SourceBS'!$D$9:$D$46,"otherLiabilities",'SourceBS'!F$9:F$46)</x:f>
        <x:v>2270.4815853399996</x:v>
      </x:c>
      <x:c r="F46" s="19" t="n">
        <x:f>SUMIF('SourceBS'!$D$9:$D$46,"otherLiabilities",'SourceBS'!G$9:G$46)</x:f>
        <x:v>2718.1262801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13826.877149049998</x:v>
      </x:c>
      <x:c r="E47" s="2" t="n">
        <x:v>16835.10490278</x:v>
      </x:c>
      <x:c r="F47" s="2" t="n">
        <x:v>17365.90110116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10002.942167430001</x:v>
      </x:c>
      <x:c r="E48" s="2" t="n">
        <x:v>11650.31163917</x:v>
      </x:c>
      <x:c r="F48" s="2" t="n">
        <x:v>14139.00033999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169.30363957</x:v>
      </x:c>
      <x:c r="E49" s="2" t="n">
        <x:v>221.87441694999998</x:v>
      </x:c>
      <x:c r="F49" s="2" t="n">
        <x:v>291.30292462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18063.707624360002</x:v>
      </x:c>
      <x:c r="E50" s="2" t="n">
        <x:v>19519.64352343</x:v>
      </x:c>
      <x:c r="F50" s="2" t="n">
        <x:v>32040.22950258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3.637978807091713e-12</x:v>
      </x:c>
      <x:c r="E51" s="2" t="n">
        <x:v>7.275957614183426e-12</x:v>
      </x:c>
      <x:c r="F51" s="2" t="n">
        <x:v>0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1.8189894035458565e-12</x:v>
      </x:c>
      <x:c r="E52" s="2" t="n">
        <x:v>0</x:v>
      </x:c>
      <x:c r="F52" s="2" t="n">
        <x:v>0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货币资金</x:v>
      </x:c>
      <x:c r="D9" s="2" t="str">
        <x:v>bankPool</x:v>
      </x:c>
      <x:c r="E9" s="2" t="n">
        <x:v>6584.684683930001</x:v>
      </x:c>
      <x:c r="F9" s="2" t="n">
        <x:v>5248.56764621</x:v>
      </x:c>
      <x:c r="G9" s="2" t="n">
        <x:v>14911.9851012</x:v>
      </x:c>
      <x:c r="H9" s="20" t="str">
        <x:v>2023: sanhua_FY2024 P085 L052; 2024: sanhua_FY2025 P087 L047; 2025: sanhua_FY2025 P087 L047</x:v>
      </x:c>
      <x:c r="I9" s="2"/>
    </x:row>
    <x:row r="10" ht="42" customHeight="1">
      <x:c r="C10" s="1" t="str">
        <x:v>衍生金融资产</x:v>
      </x:c>
      <x:c r="D10" s="2" t="str">
        <x:v>investments</x:v>
      </x:c>
      <x:c r="E10" s="2" t="n">
        <x:v>22.63611268</x:v>
      </x:c>
      <x:c r="F10" s="2" t="n">
        <x:v>6.2372024800000005</x:v>
      </x:c>
      <x:c r="G10" s="2" t="n">
        <x:v>18.73281174</x:v>
      </x:c>
      <x:c r="H10" s="20" t="str">
        <x:v>2023: sanhua_FY2024 P085 L056; 2024: sanhua_FY2025 P087 L051; 2025: sanhua_FY2025 P087 L051</x:v>
      </x:c>
      <x:c r="I10" s="2"/>
    </x:row>
    <x:row r="11" ht="42" customHeight="1">
      <x:c r="C11" s="1" t="str">
        <x:v>应收票据</x:v>
      </x:c>
      <x:c r="D11" s="2" t="str">
        <x:v>ar</x:v>
      </x:c>
      <x:c r="E11" s="2" t="n">
        <x:v>2476.83941389</x:v>
      </x:c>
      <x:c r="F11" s="2" t="n">
        <x:v>2677.27028496</x:v>
      </x:c>
      <x:c r="G11" s="2" t="n">
        <x:v>3623.13774435</x:v>
      </x:c>
      <x:c r="H11" s="20" t="str">
        <x:v>2023: sanhua_FY2024 P086 L004; 2024: sanhua_FY2025 P087 L052; 2025: sanhua_FY2025 P087 L052</x:v>
      </x:c>
      <x:c r="I11" s="2"/>
    </x:row>
    <x:row r="12" ht="42" customHeight="1">
      <x:c r="C12" s="1" t="str">
        <x:v>应收账款</x:v>
      </x:c>
      <x:c r="D12" s="2" t="str">
        <x:v>ar</x:v>
      </x:c>
      <x:c r="E12" s="2" t="n">
        <x:v>5773.99148122</x:v>
      </x:c>
      <x:c r="F12" s="2" t="n">
        <x:v>6951.0668610699995</x:v>
      </x:c>
      <x:c r="G12" s="2" t="n">
        <x:v>7370.05617844</x:v>
      </x:c>
      <x:c r="H12" s="20" t="str">
        <x:v>2023: sanhua_FY2024 P086 L005; 2024: sanhua_FY2025 P087 L053; 2025: sanhua_FY2025 P087 L053</x:v>
      </x:c>
      <x:c r="I12" s="2"/>
    </x:row>
    <x:row r="13" ht="42" customHeight="1">
      <x:c r="C13" s="1" t="str">
        <x:v>预付款项</x:v>
      </x:c>
      <x:c r="D13" s="2" t="str">
        <x:v>otherAssets</x:v>
      </x:c>
      <x:c r="E13" s="2" t="n">
        <x:v>133.79262354</x:v>
      </x:c>
      <x:c r="F13" s="2" t="n">
        <x:v>158.98044821000002</x:v>
      </x:c>
      <x:c r="G13" s="2" t="n">
        <x:v>83.44593</x:v>
      </x:c>
      <x:c r="H13" s="20" t="str">
        <x:v>2023: sanhua_FY2024 P086 L007; 2024: sanhua_FY2025 P087 L055; 2025: sanhua_FY2025 P087 L055</x:v>
      </x:c>
      <x:c r="I13" s="2"/>
    </x:row>
    <x:row r="14" ht="42" customHeight="1">
      <x:c r="C14" s="1" t="str">
        <x:v>其他应收款</x:v>
      </x:c>
      <x:c r="D14" s="2" t="str">
        <x:v>otherAssets</x:v>
      </x:c>
      <x:c r="E14" s="2" t="n">
        <x:v>227.79289212</x:v>
      </x:c>
      <x:c r="F14" s="2" t="n">
        <x:v>258.05879663</x:v>
      </x:c>
      <x:c r="G14" s="2" t="n">
        <x:v>238.62976337999999</x:v>
      </x:c>
      <x:c r="H14" s="20" t="str">
        <x:v>2023: sanhua_FY2024 P086 L011; 2024: sanhua_FY2025 P088 L004; 2025: sanhua_FY2025 P088 L004</x:v>
      </x:c>
      <x:c r="I14" s="2"/>
    </x:row>
    <x:row r="15" ht="42" customHeight="1">
      <x:c r="C15" s="1" t="str">
        <x:v>存货</x:v>
      </x:c>
      <x:c r="D15" s="2" t="str">
        <x:v>inventory</x:v>
      </x:c>
      <x:c r="E15" s="2" t="n">
        <x:v>4600.72937819</x:v>
      </x:c>
      <x:c r="F15" s="2" t="n">
        <x:v>5280.44182448</x:v>
      </x:c>
      <x:c r="G15" s="2" t="n">
        <x:v>5639.79222825</x:v>
      </x:c>
      <x:c r="H15" s="20" t="str">
        <x:v>2023: sanhua_FY2024 P086 L015; 2024: sanhua_FY2025 P088 L008; 2025: sanhua_FY2025 P088 L008</x:v>
      </x:c>
      <x:c r="I15" s="2"/>
    </x:row>
    <x:row r="16" ht="42" customHeight="1">
      <x:c r="C16" s="1" t="str">
        <x:v>其他流动资产</x:v>
      </x:c>
      <x:c r="D16" s="2" t="str">
        <x:v>otherAssets</x:v>
      </x:c>
      <x:c r="E16" s="2" t="n">
        <x:v>251.07358456</x:v>
      </x:c>
      <x:c r="F16" s="2" t="n">
        <x:v>1720.53993175</x:v>
      </x:c>
      <x:c r="G16" s="2" t="n">
        <x:v>1328.40189079</x:v>
      </x:c>
      <x:c r="H16" s="20" t="str">
        <x:v>2023: sanhua_FY2024 P086 L020; 2024: sanhua_FY2025 P088 L013; 2025: sanhua_FY2025 P088 L013</x:v>
      </x:c>
      <x:c r="I16" s="2"/>
    </x:row>
    <x:row r="17" ht="42" customHeight="1">
      <x:c r="C17" s="1" t="str">
        <x:v>长期应收款</x:v>
      </x:c>
      <x:c r="D17" s="2" t="str">
        <x:v>otherAssets</x:v>
      </x:c>
      <x:c r="E17" s="2" t="n">
        <x:v>3.8058336</x:v>
      </x:c>
      <x:c r="F17" s="2" t="n">
        <x:v>3.91282274</x:v>
      </x:c>
      <x:c r="G17" s="2" t="n">
        <x:v>9.856827529999999</x:v>
      </x:c>
      <x:c r="H17" s="20" t="str">
        <x:v>2023: sanhua_FY2024 P086 L028; 2024: sanhua_FY2025 P088 L021; 2025: sanhua_FY2025 P088 L021</x:v>
      </x:c>
      <x:c r="I17" s="2"/>
    </x:row>
    <x:row r="18" ht="42" customHeight="1">
      <x:c r="C18" s="1" t="str">
        <x:v>长期股权投资</x:v>
      </x:c>
      <x:c r="D18" s="2" t="str">
        <x:v>investments</x:v>
      </x:c>
      <x:c r="E18" s="2" t="n">
        <x:v>37.92443129</x:v>
      </x:c>
      <x:c r="F18" s="2" t="n">
        <x:v>40.599793420000005</x:v>
      </x:c>
      <x:c r="G18" s="2" t="n">
        <x:v>44.58920967</x:v>
      </x:c>
      <x:c r="H18" s="20" t="str">
        <x:v>2023: sanhua_FY2024 P086 L029; 2024: sanhua_FY2025 P088 L022; 2025: sanhua_FY2025 P088 L022</x:v>
      </x:c>
      <x:c r="I18" s="2"/>
    </x:row>
    <x:row r="19" ht="42" customHeight="1">
      <x:c r="C19" s="1" t="str">
        <x:v>投资性房地产</x:v>
      </x:c>
      <x:c r="D19" s="2" t="str">
        <x:v>ppe</x:v>
      </x:c>
      <x:c r="E19" s="2" t="n">
        <x:v>8.16580531</x:v>
      </x:c>
      <x:c r="F19" s="2" t="n">
        <x:v>7.05315392</x:v>
      </x:c>
      <x:c r="G19" s="2" t="n">
        <x:v>6.90523871</x:v>
      </x:c>
      <x:c r="H19" s="20" t="str">
        <x:v>2023: sanhua_FY2024 P086 L032; 2024: sanhua_FY2025 P088 L025; 2025: sanhua_FY2025 P088 L025</x:v>
      </x:c>
      <x:c r="I19" s="2"/>
    </x:row>
    <x:row r="20" ht="42" customHeight="1">
      <x:c r="C20" s="1" t="str">
        <x:v>固定资产</x:v>
      </x:c>
      <x:c r="D20" s="2" t="str">
        <x:v>ppe</x:v>
      </x:c>
      <x:c r="E20" s="2" t="n">
        <x:v>7730.363778819999</x:v>
      </x:c>
      <x:c r="F20" s="2" t="n">
        <x:v>9794.45394992</x:v>
      </x:c>
      <x:c r="G20" s="2" t="n">
        <x:v>11673.23026742</x:v>
      </x:c>
      <x:c r="H20" s="20" t="str">
        <x:v>2023: sanhua_FY2024 P086 L033; 2024: sanhua_FY2025 P088 L026; 2025: sanhua_FY2025 P088 L026</x:v>
      </x:c>
      <x:c r="I20" s="2"/>
    </x:row>
    <x:row r="21" ht="42" customHeight="1">
      <x:c r="C21" s="1" t="str">
        <x:v>在建工程</x:v>
      </x:c>
      <x:c r="D21" s="2" t="str">
        <x:v>ppe</x:v>
      </x:c>
      <x:c r="E21" s="2" t="n">
        <x:v>2036.32675772</x:v>
      </x:c>
      <x:c r="F21" s="2" t="n">
        <x:v>2171.98530179</x:v>
      </x:c>
      <x:c r="G21" s="2" t="n">
        <x:v>1742.46765091</x:v>
      </x:c>
      <x:c r="H21" s="20" t="str">
        <x:v>2023: sanhua_FY2024 P086 L034; 2024: sanhua_FY2025 P088 L027; 2025: sanhua_FY2025 P088 L027</x:v>
      </x:c>
      <x:c r="I21" s="2"/>
    </x:row>
    <x:row r="22" ht="42" customHeight="1">
      <x:c r="C22" s="1" t="str">
        <x:v>使用权资产</x:v>
      </x:c>
      <x:c r="D22" s="2" t="str">
        <x:v>rou</x:v>
      </x:c>
      <x:c r="E22" s="2" t="n">
        <x:v>313.25474553</x:v>
      </x:c>
      <x:c r="F22" s="2" t="n">
        <x:v>336.58488</x:v>
      </x:c>
      <x:c r="G22" s="2" t="n">
        <x:v>317.80740520999996</x:v>
      </x:c>
      <x:c r="H22" s="20" t="str">
        <x:v>2023: sanhua_FY2024 P086 L037; 2024: sanhua_FY2025 P088 L030; 2025: sanhua_FY2025 P088 L030</x:v>
      </x:c>
      <x:c r="I22" s="2"/>
    </x:row>
    <x:row r="23" ht="42" customHeight="1">
      <x:c r="C23" s="1" t="str">
        <x:v>无形资产</x:v>
      </x:c>
      <x:c r="D23" s="2" t="str">
        <x:v>intang</x:v>
      </x:c>
      <x:c r="E23" s="2" t="n">
        <x:v>843.86629282</x:v>
      </x:c>
      <x:c r="F23" s="2" t="n">
        <x:v>1074.51128242</x:v>
      </x:c>
      <x:c r="G23" s="2" t="n">
        <x:v>1258.03346322</x:v>
      </x:c>
      <x:c r="H23" s="20" t="str">
        <x:v>2023: sanhua_FY2024 P086 L038; 2024: sanhua_FY2025 P088 L031; 2025: sanhua_FY2025 P088 L031</x:v>
      </x:c>
      <x:c r="I23" s="2"/>
    </x:row>
    <x:row r="24" ht="42" customHeight="1">
      <x:c r="C24" s="1" t="str">
        <x:v>商誉</x:v>
      </x:c>
      <x:c r="D24" s="2" t="str">
        <x:v>otherAssets</x:v>
      </x:c>
      <x:c r="E24" s="2" t="n">
        <x:v>6.78522804</x:v>
      </x:c>
      <x:c r="F24" s="2" t="n">
        <x:v>0</x:v>
      </x:c>
      <x:c r="G24" s="2" t="n">
        <x:v>0</x:v>
      </x:c>
      <x:c r="H24" s="20" t="str">
        <x:v>2023: sanhua_FY2024 P086 L042</x:v>
      </x:c>
      <x:c r="I24" s="2"/>
    </x:row>
    <x:row r="25" ht="42" customHeight="1">
      <x:c r="C25" s="1" t="str">
        <x:v>长期待摊费用</x:v>
      </x:c>
      <x:c r="D25" s="2" t="str">
        <x:v>intang</x:v>
      </x:c>
      <x:c r="E25" s="2" t="n">
        <x:v>118.09643609</x:v>
      </x:c>
      <x:c r="F25" s="2" t="n">
        <x:v>200.66444075</x:v>
      </x:c>
      <x:c r="G25" s="2" t="n">
        <x:v>212.7235885</x:v>
      </x:c>
      <x:c r="H25" s="20" t="str">
        <x:v>2023: sanhua_FY2024 P086 L043; 2024: sanhua_FY2025 P088 L036; 2025: sanhua_FY2025 P088 L036</x:v>
      </x:c>
      <x:c r="I25" s="2"/>
    </x:row>
    <x:row r="26" ht="42" customHeight="1">
      <x:c r="C26" s="1" t="str">
        <x:v>递延所得税资产</x:v>
      </x:c>
      <x:c r="D26" s="2" t="str">
        <x:v>otherAssets</x:v>
      </x:c>
      <x:c r="E26" s="2" t="n">
        <x:v>156.43215723</x:v>
      </x:c>
      <x:c r="F26" s="2" t="n">
        <x:v>112.69884153</x:v>
      </x:c>
      <x:c r="G26" s="2" t="n">
        <x:v>129.81862928</x:v>
      </x:c>
      <x:c r="H26" s="20" t="str">
        <x:v>2023: sanhua_FY2024 P086 L044; 2024: sanhua_FY2025 P088 L037; 2025: sanhua_FY2025 P088 L037</x:v>
      </x:c>
      <x:c r="I26" s="2"/>
    </x:row>
    <x:row r="27" ht="42" customHeight="1">
      <x:c r="C27" s="1" t="str">
        <x:v>其他非流动资产</x:v>
      </x:c>
      <x:c r="D27" s="2" t="str">
        <x:v>otherAssets</x:v>
      </x:c>
      <x:c r="E27" s="2" t="n">
        <x:v>564.02313683</x:v>
      </x:c>
      <x:c r="F27" s="2" t="n">
        <x:v>311.12096393</x:v>
      </x:c>
      <x:c r="G27" s="2" t="n">
        <x:v>288.18428597</x:v>
      </x:c>
      <x:c r="H27" s="20" t="str">
        <x:v>2023: sanhua_FY2024 P086 L045; 2024: sanhua_FY2025 P088 L038; 2025: sanhua_FY2025 P088 L038</x:v>
      </x:c>
      <x:c r="I27" s="2"/>
    </x:row>
    <x:row r="28" ht="42" customHeight="1">
      <x:c r="C28" s="1" t="str">
        <x:v>短期借款</x:v>
      </x:c>
      <x:c r="D28" s="2" t="str">
        <x:v>debt</x:v>
      </x:c>
      <x:c r="E28" s="2" t="n">
        <x:v>1212.15037885</x:v>
      </x:c>
      <x:c r="F28" s="2" t="n">
        <x:v>1553.34565116</x:v>
      </x:c>
      <x:c r="G28" s="2" t="n">
        <x:v>1391.7788292999999</x:v>
      </x:c>
      <x:c r="H28" s="20" t="str">
        <x:v>2023: sanhua_FY2024 P087 L006; 2024: sanhua_FY2025 P088 L044; 2025: sanhua_FY2025 P088 L044</x:v>
      </x:c>
      <x:c r="I28" s="2"/>
    </x:row>
    <x:row r="29" ht="42" customHeight="1">
      <x:c r="C29" s="1" t="str">
        <x:v>交易性金融负债</x:v>
      </x:c>
      <x:c r="D29" s="2" t="str">
        <x:v>otherLiabilities</x:v>
      </x:c>
      <x:c r="E29" s="2" t="n">
        <x:v>3.5</x:v>
      </x:c>
      <x:c r="F29" s="2" t="n">
        <x:v>0</x:v>
      </x:c>
      <x:c r="G29" s="2" t="n">
        <x:v>0</x:v>
      </x:c>
      <x:c r="H29" s="20" t="str">
        <x:v>2023: sanhua_FY2024 P087 L009</x:v>
      </x:c>
      <x:c r="I29" s="2"/>
    </x:row>
    <x:row r="30" ht="42" customHeight="1">
      <x:c r="C30" s="1" t="str">
        <x:v>衍生金融负债</x:v>
      </x:c>
      <x:c r="D30" s="2" t="str">
        <x:v>otherLiabilities</x:v>
      </x:c>
      <x:c r="E30" s="2" t="n">
        <x:v>10.719110019999999</x:v>
      </x:c>
      <x:c r="F30" s="2" t="n">
        <x:v>79.67811893000001</x:v>
      </x:c>
      <x:c r="G30" s="2" t="n">
        <x:v>16.3642691</x:v>
      </x:c>
      <x:c r="H30" s="20" t="str">
        <x:v>2023: sanhua_FY2024 P087 L010; 2024: sanhua_FY2025 P088 L048; 2025: sanhua_FY2025 P088 L048</x:v>
      </x:c>
      <x:c r="I30" s="2"/>
    </x:row>
    <x:row r="31" ht="42" customHeight="1">
      <x:c r="C31" s="1" t="str">
        <x:v>应付票据</x:v>
      </x:c>
      <x:c r="D31" s="2" t="str">
        <x:v>ap</x:v>
      </x:c>
      <x:c r="E31" s="2" t="n">
        <x:v>3416.71159464</x:v>
      </x:c>
      <x:c r="F31" s="2" t="n">
        <x:v>3791.8349443800003</x:v>
      </x:c>
      <x:c r="G31" s="2" t="n">
        <x:v>4294.30646803</x:v>
      </x:c>
      <x:c r="H31" s="20" t="str">
        <x:v>2023: sanhua_FY2024 P087 L011; 2024: sanhua_FY2025 P088 L049; 2025: sanhua_FY2025 P088 L049</x:v>
      </x:c>
      <x:c r="I31" s="2"/>
    </x:row>
    <x:row r="32" ht="42" customHeight="1">
      <x:c r="C32" s="1" t="str">
        <x:v>应付账款</x:v>
      </x:c>
      <x:c r="D32" s="2" t="str">
        <x:v>ap</x:v>
      </x:c>
      <x:c r="E32" s="2" t="n">
        <x:v>4449.940359810001</x:v>
      </x:c>
      <x:c r="F32" s="2" t="n">
        <x:v>5985.42700879</x:v>
      </x:c>
      <x:c r="G32" s="2" t="n">
        <x:v>5894.90276514</x:v>
      </x:c>
      <x:c r="H32" s="20" t="str">
        <x:v>2023: sanhua_FY2024 P087 L012; 2024: sanhua_FY2025 P089 L004; 2025: sanhua_FY2025 P089 L004</x:v>
      </x:c>
      <x:c r="I32" s="2"/>
    </x:row>
    <x:row r="33" ht="42" customHeight="1">
      <x:c r="C33" s="1" t="str">
        <x:v>合同负债</x:v>
      </x:c>
      <x:c r="D33" s="2" t="str">
        <x:v>contract</x:v>
      </x:c>
      <x:c r="E33" s="2" t="n">
        <x:v>51.78880203</x:v>
      </x:c>
      <x:c r="F33" s="2" t="n">
        <x:v>49.46172283</x:v>
      </x:c>
      <x:c r="G33" s="2" t="n">
        <x:v>76.16682949</x:v>
      </x:c>
      <x:c r="H33" s="20" t="str">
        <x:v>2023: sanhua_FY2024 P087 L014; 2024: sanhua_FY2025 P089 L006; 2025: sanhua_FY2025 P089 L006</x:v>
      </x:c>
      <x:c r="I33" s="2"/>
    </x:row>
    <x:row r="34" ht="42" customHeight="1">
      <x:c r="C34" s="1" t="str">
        <x:v>应付职工薪酬</x:v>
      </x:c>
      <x:c r="D34" s="2" t="str">
        <x:v>otherLiabilities</x:v>
      </x:c>
      <x:c r="E34" s="2" t="n">
        <x:v>598.80124634</x:v>
      </x:c>
      <x:c r="F34" s="2" t="n">
        <x:v>726.0014788899999</x:v>
      </x:c>
      <x:c r="G34" s="2" t="n">
        <x:v>845.31277546</x:v>
      </x:c>
      <x:c r="H34" s="20" t="str">
        <x:v>2023: sanhua_FY2024 P087 L019; 2024: sanhua_FY2025 P089 L011; 2025: sanhua_FY2025 P089 L011</x:v>
      </x:c>
      <x:c r="I34" s="2"/>
    </x:row>
    <x:row r="35" ht="42" customHeight="1">
      <x:c r="C35" s="1" t="str">
        <x:v>应交税费</x:v>
      </x:c>
      <x:c r="D35" s="2" t="str">
        <x:v>taxPayable</x:v>
      </x:c>
      <x:c r="E35" s="2" t="n">
        <x:v>382.39679119</x:v>
      </x:c>
      <x:c r="F35" s="2" t="n">
        <x:v>309.87443392</x:v>
      </x:c>
      <x:c r="G35" s="2" t="n">
        <x:v>330.43053870999995</x:v>
      </x:c>
      <x:c r="H35" s="20" t="str">
        <x:v>2023: sanhua_FY2024 P087 L020; 2024: sanhua_FY2025 P089 L012; 2025: sanhua_FY2025 P089 L012</x:v>
      </x:c>
      <x:c r="I35" s="2"/>
    </x:row>
    <x:row r="36" ht="42" customHeight="1">
      <x:c r="C36" s="1" t="str">
        <x:v>其他应付款</x:v>
      </x:c>
      <x:c r="D36" s="2" t="str">
        <x:v>otherLiabilities</x:v>
      </x:c>
      <x:c r="E36" s="2" t="n">
        <x:v>250.64266286</x:v>
      </x:c>
      <x:c r="F36" s="2" t="n">
        <x:v>545.4121603</x:v>
      </x:c>
      <x:c r="G36" s="2" t="n">
        <x:v>913.64144756</x:v>
      </x:c>
      <x:c r="H36" s="20" t="str">
        <x:v>2023: sanhua_FY2024 P087 L021; 2024: sanhua_FY2025 P089 L013; 2025: sanhua_FY2025 P089 L013</x:v>
      </x:c>
      <x:c r="I36" s="2"/>
    </x:row>
    <x:row r="37" ht="42" customHeight="1">
      <x:c r="C37" s="1" t="str">
        <x:v>一年内到期的非流动负债</x:v>
      </x:c>
      <x:c r="D37" s="2" t="str">
        <x:v>debt</x:v>
      </x:c>
      <x:c r="E37" s="2" t="n">
        <x:v>1440.0932539300002</x:v>
      </x:c>
      <x:c r="F37" s="2" t="n">
        <x:v>590.99395212</x:v>
      </x:c>
      <x:c r="G37" s="2" t="n">
        <x:v>1591.5641581300001</x:v>
      </x:c>
      <x:c r="H37" s="20" t="str">
        <x:v>2023: sanhua_FY2024 P087 L027; 2024: sanhua_FY2025 P089 L019; 2025: sanhua_FY2025 P089 L019</x:v>
      </x:c>
      <x:c r="I37" s="2"/>
    </x:row>
    <x:row r="38" ht="42" customHeight="1">
      <x:c r="C38" s="1" t="str">
        <x:v>其他流动负债</x:v>
      </x:c>
      <x:c r="D38" s="2" t="str">
        <x:v>otherLiabilities</x:v>
      </x:c>
      <x:c r="E38" s="2" t="n">
        <x:v>2.09998627</x:v>
      </x:c>
      <x:c r="F38" s="2" t="n">
        <x:v>1.27440283</x:v>
      </x:c>
      <x:c r="G38" s="2" t="n">
        <x:v>10.77119267</x:v>
      </x:c>
      <x:c r="H38" s="20" t="str">
        <x:v>2023: sanhua_FY2024 P087 L028; 2024: sanhua_FY2025 P089 L020; 2025: sanhua_FY2025 P089 L020</x:v>
      </x:c>
      <x:c r="I38" s="2"/>
    </x:row>
    <x:row r="39" ht="42" customHeight="1">
      <x:c r="C39" s="1" t="str">
        <x:v>长期借款</x:v>
      </x:c>
      <x:c r="D39" s="2" t="str">
        <x:v>debt</x:v>
      </x:c>
      <x:c r="E39" s="2" t="n">
        <x:v>1030.80111113</x:v>
      </x:c>
      <x:c r="F39" s="2" t="n">
        <x:v>2045.77259473</x:v>
      </x:c>
      <x:c r="G39" s="2" t="n">
        <x:v>862.69697222</x:v>
      </x:c>
      <x:c r="H39" s="20" t="str">
        <x:v>2023: sanhua_FY2024 P087 L034; 2024: sanhua_FY2025 P089 L026; 2025: sanhua_FY2025 P089 L026</x:v>
      </x:c>
      <x:c r="I39" s="2"/>
    </x:row>
    <x:row r="40" ht="42" customHeight="1">
      <x:c r="C40" s="1" t="str">
        <x:v>租赁负债</x:v>
      </x:c>
      <x:c r="D40" s="2" t="str">
        <x:v>debt</x:v>
      </x:c>
      <x:c r="E40" s="2" t="n">
        <x:v>221.29548186000002</x:v>
      </x:c>
      <x:c r="F40" s="2" t="n">
        <x:v>237.91300951</x:v>
      </x:c>
      <x:c r="G40" s="2" t="n">
        <x:v>205.92826004</x:v>
      </x:c>
      <x:c r="H40" s="20" t="str">
        <x:v>2023: sanhua_FY2024 P087 L038; 2024: sanhua_FY2025 P089 L030; 2025: sanhua_FY2025 P089 L030</x:v>
      </x:c>
      <x:c r="I40" s="2"/>
    </x:row>
    <x:row r="41" ht="42" customHeight="1">
      <x:c r="C41" s="1" t="str">
        <x:v>长期应付款</x:v>
      </x:c>
      <x:c r="D41" s="2" t="str">
        <x:v>otherLiabilities</x:v>
      </x:c>
      <x:c r="E41" s="2" t="n">
        <x:v>11.29078832</x:v>
      </x:c>
      <x:c r="F41" s="2" t="n">
        <x:v>0</x:v>
      </x:c>
      <x:c r="G41" s="2" t="n">
        <x:v>0</x:v>
      </x:c>
      <x:c r="H41" s="20" t="str">
        <x:v>2023: sanhua_FY2024 P087 L039</x:v>
      </x:c>
      <x:c r="I41" s="2"/>
    </x:row>
    <x:row r="42" ht="42" customHeight="1">
      <x:c r="C42" s="1" t="str">
        <x:v>长期应付职工薪酬</x:v>
      </x:c>
      <x:c r="D42" s="2" t="str">
        <x:v>otherLiabilities</x:v>
      </x:c>
      <x:c r="E42" s="2" t="n">
        <x:v>39.840362770000006</x:v>
      </x:c>
      <x:c r="F42" s="2" t="n">
        <x:v>33.943063560000006</x:v>
      </x:c>
      <x:c r="G42" s="2" t="n">
        <x:v>32.637380629999996</x:v>
      </x:c>
      <x:c r="H42" s="20" t="str">
        <x:v>2023: sanhua_FY2024 P087 L040; 2024: sanhua_FY2025 P089 L032; 2025: sanhua_FY2025 P089 L032</x:v>
      </x:c>
      <x:c r="I42" s="2"/>
    </x:row>
    <x:row r="43" ht="42" customHeight="1">
      <x:c r="C43" s="1" t="str">
        <x:v>递延收益</x:v>
      </x:c>
      <x:c r="D43" s="2" t="str">
        <x:v>otherLiabilities</x:v>
      </x:c>
      <x:c r="E43" s="2" t="n">
        <x:v>379.14004248000003</x:v>
      </x:c>
      <x:c r="F43" s="2" t="n">
        <x:v>607.7542788</x:v>
      </x:c>
      <x:c r="G43" s="2" t="n">
        <x:v>664.00586063</x:v>
      </x:c>
      <x:c r="H43" s="20" t="str">
        <x:v>2023: sanhua_FY2024 P087 L042; 2024: sanhua_FY2025 P089 L034; 2025: sanhua_FY2025 P089 L034</x:v>
      </x:c>
      <x:c r="I43" s="2"/>
    </x:row>
    <x:row r="44" ht="42" customHeight="1">
      <x:c r="C44" s="1" t="str">
        <x:v>递延所得税负债</x:v>
      </x:c>
      <x:c r="D44" s="2" t="str">
        <x:v>otherLiabilities</x:v>
      </x:c>
      <x:c r="E44" s="2" t="n">
        <x:v>307.51106930000003</x:v>
      </x:c>
      <x:c r="F44" s="2" t="n">
        <x:v>258.26397478</x:v>
      </x:c>
      <x:c r="G44" s="2" t="n">
        <x:v>217.23924680000002</x:v>
      </x:c>
      <x:c r="H44" s="20" t="str">
        <x:v>2023: sanhua_FY2024 P087 L043; 2024: sanhua_FY2025 P089 L035; 2025: sanhua_FY2025 P089 L035</x:v>
      </x:c>
      <x:c r="I44" s="2"/>
    </x:row>
    <x:row r="45" ht="42" customHeight="1">
      <x:c r="C45" s="1" t="str">
        <x:v>其他非流动负债</x:v>
      </x:c>
      <x:c r="D45" s="2" t="str">
        <x:v>otherLiabilities</x:v>
      </x:c>
      <x:c r="E45" s="2" t="n">
        <x:v>18.15410725</x:v>
      </x:c>
      <x:c r="F45" s="2" t="n">
        <x:v>18.15410725</x:v>
      </x:c>
      <x:c r="G45" s="2" t="n">
        <x:v>18.15410725</x:v>
      </x:c>
      <x:c r="H45" s="20" t="str">
        <x:v>2023: sanhua_FY2024 P087 L044; 2024: sanhua_FY2025 P089 L036; 2025: sanhua_FY2025 P089 L036</x:v>
      </x:c>
      <x:c r="I45" s="2"/>
    </x:row>
    <x:row r="46" ht="42" customHeight="1">
      <x:c r="C46" s="1" t="str">
        <x:v>交易性金融资产</x:v>
      </x:c>
      <x:c r="D46" s="2" t="str">
        <x:v>investments</x:v>
      </x:c>
      <x:c r="E46" s="2" t="n">
        <x:v>0</x:v>
      </x:c>
      <x:c r="F46" s="2" t="n">
        <x:v>0</x:v>
      </x:c>
      <x:c r="G46" s="2" t="n">
        <x:v>508.33238917</x:v>
      </x:c>
      <x:c r="H46" s="20" t="str">
        <x:v>2024: sanhua_FY2025 P087 L050; 2025: sanhua_FY2025 P087 L050</x:v>
      </x:c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sanhua_FY2024</x:v>
      </x:c>
      <x:c r="D9" s="43" t="str">
        <x:v>FY2024</x:v>
      </x:c>
      <x:c r="E9" s="43"/>
      <x:c r="F9" s="43" t="str">
        <x:v>RMB</x:v>
      </x:c>
      <x:c r="G9" s="43" t="str">
        <x:v>SOURCE_FACT</x:v>
      </x:c>
      <x:c r="H9" s="43" t="str">
        <x:v>188 PDF pages</x:v>
      </x:c>
      <x:c r="I9" s="43" t="str">
        <x:v>https://static.cninfo.com.cn/finalpage/2025-03-27/1222913178.PDF</x:v>
      </x:c>
    </x:row>
    <x:row r="10" ht="29" customHeight="1">
      <x:c r="C10" s="42" t="str">
        <x:v>PDF SHA-256</x:v>
      </x:c>
      <x:c r="D10" s="43" t="str">
        <x:v>4f5d1b40f0856c4bcb16a46b7149ef94a1e36e23e7699f180063ca7cc658d763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sanhua_FY2025</x:v>
      </x:c>
      <x:c r="D12" s="43" t="str">
        <x:v>FY2025</x:v>
      </x:c>
      <x:c r="E12" s="43"/>
      <x:c r="F12" s="43" t="str">
        <x:v>RMB</x:v>
      </x:c>
      <x:c r="G12" s="43" t="str">
        <x:v>SOURCE_FACT</x:v>
      </x:c>
      <x:c r="H12" s="43" t="str">
        <x:v>185 PDF pages</x:v>
      </x:c>
      <x:c r="I12" s="43" t="str">
        <x:v>https://static.cninfo.com.cn/finalpage/2026-03-24/1225026522.PDF</x:v>
      </x:c>
    </x:row>
    <x:row r="13" ht="29" customHeight="1">
      <x:c r="C13" s="42" t="str">
        <x:v>PDF SHA-256</x:v>
      </x:c>
      <x:c r="D13" s="43" t="str">
        <x:v>f2ff01b21bc3e5354feb77c23c05515a5016db7bc3e01011b7de0db0fa17b626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sanhua_H12026</x:v>
      </x:c>
      <x:c r="D15" s="43" t="str">
        <x:v>H12026</x:v>
      </x:c>
      <x:c r="E15" s="43"/>
      <x:c r="F15" s="43" t="str">
        <x:v>RMB</x:v>
      </x:c>
      <x:c r="G15" s="43" t="str">
        <x:v>SOURCE_FACT</x:v>
      </x:c>
      <x:c r="H15" s="43" t="str">
        <x:v>140 PDF pages</x:v>
      </x:c>
      <x:c r="I15" s="43" t="str">
        <x:v>https://static.cninfo.com.cn/finalpage/2026-08-27/1225514004.PDF</x:v>
      </x:c>
    </x:row>
    <x:row r="16" ht="29" customHeight="1">
      <x:c r="C16" s="42" t="str">
        <x:v>PDF SHA-256</x:v>
      </x:c>
      <x:c r="D16" s="43" t="str">
        <x:v>2ee90783405f45a177f6f3bf6e4d9955e49b5c87ab6cf604c8b1eaaed3561fc3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其中：营业收入</x:v>
      </x:c>
      <x:c r="D18" s="43" t="str">
        <x:v>FY2023</x:v>
      </x:c>
      <x:c r="E18" s="43" t="n">
        <x:v>24557.80206659</x:v>
      </x:c>
      <x:c r="F18" s="43" t="str">
        <x:v>RMB million</x:v>
      </x:c>
      <x:c r="G18" s="43" t="str">
        <x:v>SOURCE_FACT</x:v>
      </x:c>
      <x:c r="H18" s="43" t="str">
        <x:v>P090 L030</x:v>
      </x:c>
      <x:c r="I18" s="43" t="str">
        <x:v>https://static.cninfo.com.cn/finalpage/2025-03-27/1222913178.PDF</x:v>
      </x:c>
    </x:row>
    <x:row r="19" ht="29" customHeight="1">
      <x:c r="C19" s="42" t="str">
        <x:v>其中：营业成本</x:v>
      </x:c>
      <x:c r="D19" s="43" t="str">
        <x:v>FY2023</x:v>
      </x:c>
      <x:c r="E19" s="43" t="n">
        <x:v>17773.858964119998</x:v>
      </x:c>
      <x:c r="F19" s="43" t="str">
        <x:v>RMB million</x:v>
      </x:c>
      <x:c r="G19" s="43" t="str">
        <x:v>SOURCE_FACT</x:v>
      </x:c>
      <x:c r="H19" s="43" t="str">
        <x:v>P090 L035</x:v>
      </x:c>
      <x:c r="I19" s="43" t="str">
        <x:v>https://static.cninfo.com.cn/finalpage/2025-03-27/1222913178.PDF</x:v>
      </x:c>
    </x:row>
    <x:row r="20" ht="29" customHeight="1">
      <x:c r="C20" s="42" t="str">
        <x:v>销售费用</x:v>
      </x:c>
      <x:c r="D20" s="43" t="str">
        <x:v>FY2023</x:v>
      </x:c>
      <x:c r="E20" s="43" t="n">
        <x:v>597.56563825</x:v>
      </x:c>
      <x:c r="F20" s="43" t="str">
        <x:v>RMB million</x:v>
      </x:c>
      <x:c r="G20" s="43" t="str">
        <x:v>SOURCE_FACT</x:v>
      </x:c>
      <x:c r="H20" s="43" t="str">
        <x:v>P090 L045</x:v>
      </x:c>
      <x:c r="I20" s="43" t="str">
        <x:v>https://static.cninfo.com.cn/finalpage/2025-03-27/1222913178.PDF</x:v>
      </x:c>
    </x:row>
    <x:row r="21" ht="29" customHeight="1">
      <x:c r="C21" s="42" t="str">
        <x:v>管理费用</x:v>
      </x:c>
      <x:c r="D21" s="43" t="str">
        <x:v>FY2023</x:v>
      </x:c>
      <x:c r="E21" s="43" t="n">
        <x:v>1476.33417235</x:v>
      </x:c>
      <x:c r="F21" s="43" t="str">
        <x:v>RMB million</x:v>
      </x:c>
      <x:c r="G21" s="43" t="str">
        <x:v>SOURCE_FACT</x:v>
      </x:c>
      <x:c r="H21" s="43" t="str">
        <x:v>P090 L046</x:v>
      </x:c>
      <x:c r="I21" s="43" t="str">
        <x:v>https://static.cninfo.com.cn/finalpage/2025-03-27/1222913178.PDF</x:v>
      </x:c>
    </x:row>
    <x:row r="22" ht="29" customHeight="1">
      <x:c r="C22" s="42" t="str">
        <x:v>研发费用</x:v>
      </x:c>
      <x:c r="D22" s="43" t="str">
        <x:v>FY2023</x:v>
      </x:c>
      <x:c r="E22" s="43" t="n">
        <x:v>1096.8342244100002</x:v>
      </x:c>
      <x:c r="F22" s="43" t="str">
        <x:v>RMB million</x:v>
      </x:c>
      <x:c r="G22" s="43" t="str">
        <x:v>SOURCE_FACT</x:v>
      </x:c>
      <x:c r="H22" s="43" t="str">
        <x:v>P090 L047</x:v>
      </x:c>
      <x:c r="I22" s="43" t="str">
        <x:v>https://static.cninfo.com.cn/finalpage/2025-03-27/1222913178.PDF</x:v>
      </x:c>
    </x:row>
    <x:row r="23" ht="29" customHeight="1">
      <x:c r="C23" s="42" t="str">
        <x:v>税金及附加</x:v>
      </x:c>
      <x:c r="D23" s="43" t="str">
        <x:v>FY2023</x:v>
      </x:c>
      <x:c r="E23" s="43" t="n">
        <x:v>139.8160225</x:v>
      </x:c>
      <x:c r="F23" s="43" t="str">
        <x:v>RMB million</x:v>
      </x:c>
      <x:c r="G23" s="43" t="str">
        <x:v>SOURCE_FACT</x:v>
      </x:c>
      <x:c r="H23" s="43" t="str">
        <x:v>P090 L044</x:v>
      </x:c>
      <x:c r="I23" s="43" t="str">
        <x:v>https://static.cninfo.com.cn/finalpage/2025-03-27/1222913178.PDF</x:v>
      </x:c>
    </x:row>
    <x:row r="24" ht="29" customHeight="1">
      <x:c r="C24" s="42" t="str">
        <x:v>财务费用</x:v>
      </x:c>
      <x:c r="D24" s="43" t="str">
        <x:v>FY2023</x:v>
      </x:c>
      <x:c r="E24" s="43" t="n">
        <x:v>-72.75138029</x:v>
      </x:c>
      <x:c r="F24" s="43" t="str">
        <x:v>RMB million</x:v>
      </x:c>
      <x:c r="G24" s="43" t="str">
        <x:v>SOURCE_FACT</x:v>
      </x:c>
      <x:c r="H24" s="43" t="str">
        <x:v>P090 L048</x:v>
      </x:c>
      <x:c r="I24" s="43" t="str">
        <x:v>https://static.cninfo.com.cn/finalpage/2025-03-27/1222913178.PDF</x:v>
      </x:c>
    </x:row>
    <x:row r="25" ht="29" customHeight="1">
      <x:c r="C25" s="42" t="str">
        <x:v>其中：利息费用</x:v>
      </x:c>
      <x:c r="D25" s="43" t="str">
        <x:v>FY2023</x:v>
      </x:c>
      <x:c r="E25" s="43" t="n">
        <x:v>212.08165878</x:v>
      </x:c>
      <x:c r="F25" s="43" t="str">
        <x:v>RMB million</x:v>
      </x:c>
      <x:c r="G25" s="43" t="str">
        <x:v>SOURCE_FACT</x:v>
      </x:c>
      <x:c r="H25" s="43" t="str">
        <x:v>P090 L049</x:v>
      </x:c>
      <x:c r="I25" s="43" t="str">
        <x:v>https://static.cninfo.com.cn/finalpage/2025-03-27/1222913178.PDF</x:v>
      </x:c>
    </x:row>
    <x:row r="26" ht="29" customHeight="1">
      <x:c r="C26" s="42" t="str">
        <x:v>四、利润总额（亏损总额以“－”号填</x:v>
      </x:c>
      <x:c r="D26" s="43" t="str">
        <x:v>FY2023</x:v>
      </x:c>
      <x:c r="E26" s="43" t="n">
        <x:v>3553.26349298</x:v>
      </x:c>
      <x:c r="F26" s="43" t="str">
        <x:v>RMB million</x:v>
      </x:c>
      <x:c r="G26" s="43" t="str">
        <x:v>SOURCE_FACT</x:v>
      </x:c>
      <x:c r="H26" s="43" t="str">
        <x:v>P091 L033</x:v>
      </x:c>
      <x:c r="I26" s="43" t="str">
        <x:v>https://static.cninfo.com.cn/finalpage/2025-03-27/1222913178.PDF</x:v>
      </x:c>
    </x:row>
    <x:row r="27" ht="29" customHeight="1">
      <x:c r="C27" s="42" t="str">
        <x:v>减：所得税费用</x:v>
      </x:c>
      <x:c r="D27" s="43" t="str">
        <x:v>FY2023</x:v>
      </x:c>
      <x:c r="E27" s="43" t="n">
        <x:v>619.54875399</x:v>
      </x:c>
      <x:c r="F27" s="43" t="str">
        <x:v>RMB million</x:v>
      </x:c>
      <x:c r="G27" s="43" t="str">
        <x:v>SOURCE_FACT</x:v>
      </x:c>
      <x:c r="H27" s="43" t="str">
        <x:v>P091 L035</x:v>
      </x:c>
      <x:c r="I27" s="43" t="str">
        <x:v>https://static.cninfo.com.cn/finalpage/2025-03-27/1222913178.PDF</x:v>
      </x:c>
    </x:row>
    <x:row r="28" ht="29" customHeight="1">
      <x:c r="C28" s="42" t="str">
        <x:v>五、净利润（净亏损以“－”号填列）</x:v>
      </x:c>
      <x:c r="D28" s="43" t="str">
        <x:v>FY2023</x:v>
      </x:c>
      <x:c r="E28" s="43" t="n">
        <x:v>2933.7147389899997</x:v>
      </x:c>
      <x:c r="F28" s="43" t="str">
        <x:v>RMB million</x:v>
      </x:c>
      <x:c r="G28" s="43" t="str">
        <x:v>SOURCE_FACT</x:v>
      </x:c>
      <x:c r="H28" s="43" t="str">
        <x:v>P091 L036</x:v>
      </x:c>
      <x:c r="I28" s="43" t="str">
        <x:v>https://static.cninfo.com.cn/finalpage/2025-03-27/1222913178.PDF</x:v>
      </x:c>
    </x:row>
    <x:row r="29" ht="29" customHeight="1">
      <x:c r="C29" s="42" t="str">
        <x:v>1.归属于母公司股东的净利润</x:v>
      </x:c>
      <x:c r="D29" s="43" t="str">
        <x:v>FY2023</x:v>
      </x:c>
      <x:c r="E29" s="43" t="n">
        <x:v>2920.9929400100004</x:v>
      </x:c>
      <x:c r="F29" s="43" t="str">
        <x:v>RMB million</x:v>
      </x:c>
      <x:c r="G29" s="43" t="str">
        <x:v>SOURCE_FACT</x:v>
      </x:c>
      <x:c r="H29" s="43" t="str">
        <x:v>P091 L044</x:v>
      </x:c>
      <x:c r="I29" s="43" t="str">
        <x:v>https://static.cninfo.com.cn/finalpage/2025-03-27/1222913178.PDF</x:v>
      </x:c>
    </x:row>
    <x:row r="30" ht="29" customHeight="1">
      <x:c r="C30" s="42" t="str">
        <x:v>2.少数股东损益</x:v>
      </x:c>
      <x:c r="D30" s="43" t="str">
        <x:v>FY2023</x:v>
      </x:c>
      <x:c r="E30" s="43" t="n">
        <x:v>12.72179898</x:v>
      </x:c>
      <x:c r="F30" s="43" t="str">
        <x:v>RMB million</x:v>
      </x:c>
      <x:c r="G30" s="43" t="str">
        <x:v>SOURCE_FACT</x:v>
      </x:c>
      <x:c r="H30" s="43" t="str">
        <x:v>P091 L045</x:v>
      </x:c>
      <x:c r="I30" s="43" t="str">
        <x:v>https://static.cninfo.com.cn/finalpage/2025-03-27/1222913178.PDF</x:v>
      </x:c>
    </x:row>
    <x:row r="31" ht="29" customHeight="1">
      <x:c r="C31" s="42" t="str">
        <x:v>经营活动产生的现金流量净额</x:v>
      </x:c>
      <x:c r="D31" s="43" t="str">
        <x:v>FY2023</x:v>
      </x:c>
      <x:c r="E31" s="43" t="n">
        <x:v>3723.96435463</x:v>
      </x:c>
      <x:c r="F31" s="43" t="str">
        <x:v>RMB million</x:v>
      </x:c>
      <x:c r="G31" s="43" t="str">
        <x:v>SOURCE_FACT</x:v>
      </x:c>
      <x:c r="H31" s="43" t="str">
        <x:v>P094 L024</x:v>
      </x:c>
      <x:c r="I31" s="43" t="str">
        <x:v>https://static.cninfo.com.cn/finalpage/2025-03-27/1222913178.PDF</x:v>
      </x:c>
    </x:row>
    <x:row r="32" ht="29" customHeight="1">
      <x:c r="C32" s="42" t="str">
        <x:v>投资活动产生的现金流量净额</x:v>
      </x:c>
      <x:c r="D32" s="43" t="str">
        <x:v>FY2023</x:v>
      </x:c>
      <x:c r="E32" s="43" t="n">
        <x:v>-1209.27975349</x:v>
      </x:c>
      <x:c r="F32" s="43" t="str">
        <x:v>RMB million</x:v>
      </x:c>
      <x:c r="G32" s="43" t="str">
        <x:v>SOURCE_FACT</x:v>
      </x:c>
      <x:c r="H32" s="43" t="str">
        <x:v>P094 L045</x:v>
      </x:c>
      <x:c r="I32" s="43" t="str">
        <x:v>https://static.cninfo.com.cn/finalpage/2025-03-27/1222913178.PDF</x:v>
      </x:c>
    </x:row>
    <x:row r="33" ht="29" customHeight="1">
      <x:c r="C33" s="42" t="str">
        <x:v>筹资活动产生的现金流量净额</x:v>
      </x:c>
      <x:c r="D33" s="43" t="str">
        <x:v>FY2023</x:v>
      </x:c>
      <x:c r="E33" s="43" t="n">
        <x:v>-1091.85028851</x:v>
      </x:c>
      <x:c r="F33" s="43" t="str">
        <x:v>RMB million</x:v>
      </x:c>
      <x:c r="G33" s="43" t="str">
        <x:v>SOURCE_FACT</x:v>
      </x:c>
      <x:c r="H33" s="43" t="str">
        <x:v>P095 L006</x:v>
      </x:c>
      <x:c r="I33" s="43" t="str">
        <x:v>https://static.cninfo.com.cn/finalpage/2025-03-27/1222913178.PDF</x:v>
      </x:c>
    </x:row>
    <x:row r="34" ht="29" customHeight="1">
      <x:c r="C34" s="42" t="str">
        <x:v>四、汇率变动对现金及现金等价物的</x:v>
      </x:c>
      <x:c r="D34" s="43" t="str">
        <x:v>FY2023</x:v>
      </x:c>
      <x:c r="E34" s="43" t="n">
        <x:v>151.79258443999998</x:v>
      </x:c>
      <x:c r="F34" s="43" t="str">
        <x:v>RMB million</x:v>
      </x:c>
      <x:c r="G34" s="43" t="str">
        <x:v>SOURCE_FACT</x:v>
      </x:c>
      <x:c r="H34" s="43" t="str">
        <x:v>P095 L008</x:v>
      </x:c>
      <x:c r="I34" s="43" t="str">
        <x:v>https://static.cninfo.com.cn/finalpage/2025-03-27/1222913178.PDF</x:v>
      </x:c>
    </x:row>
    <x:row r="35" ht="29" customHeight="1">
      <x:c r="C35" s="42" t="str">
        <x:v>加：期初现金及现金等价物余额</x:v>
      </x:c>
      <x:c r="D35" s="43" t="str">
        <x:v>FY2023</x:v>
      </x:c>
      <x:c r="E35" s="43" t="n">
        <x:v>2050.32860177</x:v>
      </x:c>
      <x:c r="F35" s="43" t="str">
        <x:v>RMB million</x:v>
      </x:c>
      <x:c r="G35" s="43" t="str">
        <x:v>SOURCE_FACT</x:v>
      </x:c>
      <x:c r="H35" s="43" t="str">
        <x:v>P095 L011</x:v>
      </x:c>
      <x:c r="I35" s="43" t="str">
        <x:v>https://static.cninfo.com.cn/finalpage/2025-03-27/1222913178.PDF</x:v>
      </x:c>
    </x:row>
    <x:row r="36" ht="29" customHeight="1">
      <x:c r="C36" s="42" t="str">
        <x:v>六、期末现金及现金等价物余额</x:v>
      </x:c>
      <x:c r="D36" s="43" t="str">
        <x:v>FY2023</x:v>
      </x:c>
      <x:c r="E36" s="43" t="n">
        <x:v>3624.95549884</x:v>
      </x:c>
      <x:c r="F36" s="43" t="str">
        <x:v>RMB million</x:v>
      </x:c>
      <x:c r="G36" s="43" t="str">
        <x:v>SOURCE_FACT</x:v>
      </x:c>
      <x:c r="H36" s="43" t="str">
        <x:v>P095 L012</x:v>
      </x:c>
      <x:c r="I36" s="43" t="str">
        <x:v>https://static.cninfo.com.cn/finalpage/2025-03-27/1222913178.PDF</x:v>
      </x:c>
    </x:row>
    <x:row r="37" ht="29" customHeight="1">
      <x:c r="C37" s="42" t="str">
        <x:v>购建固定资产、无形资产和其他长</x:v>
      </x:c>
      <x:c r="D37" s="43" t="str">
        <x:v>FY2023</x:v>
      </x:c>
      <x:c r="E37" s="43" t="n">
        <x:v>2745.46222777</x:v>
      </x:c>
      <x:c r="F37" s="43" t="str">
        <x:v>RMB million</x:v>
      </x:c>
      <x:c r="G37" s="43" t="str">
        <x:v>SOURCE_FACT</x:v>
      </x:c>
      <x:c r="H37" s="43" t="str">
        <x:v>P094 L036</x:v>
      </x:c>
      <x:c r="I37" s="43" t="str">
        <x:v>https://static.cninfo.com.cn/finalpage/2025-03-27/1222913178.PDF</x:v>
      </x:c>
    </x:row>
    <x:row r="38" ht="29" customHeight="1">
      <x:c r="C38" s="42" t="str">
        <x:v>资产总计</x:v>
      </x:c>
      <x:c r="D38" s="43" t="str">
        <x:v>FY2023</x:v>
      </x:c>
      <x:c r="E38" s="43" t="n">
        <x:v>31890.58477341</x:v>
      </x:c>
      <x:c r="F38" s="43" t="str">
        <x:v>RMB million</x:v>
      </x:c>
      <x:c r="G38" s="43" t="str">
        <x:v>SOURCE_FACT</x:v>
      </x:c>
      <x:c r="H38" s="43" t="str">
        <x:v>P086 L047</x:v>
      </x:c>
      <x:c r="I38" s="43" t="str">
        <x:v>https://static.cninfo.com.cn/finalpage/2025-03-27/1222913178.PDF</x:v>
      </x:c>
    </x:row>
    <x:row r="39" ht="29" customHeight="1">
      <x:c r="C39" s="42" t="str">
        <x:v>负债合计</x:v>
      </x:c>
      <x:c r="D39" s="43" t="str">
        <x:v>FY2023</x:v>
      </x:c>
      <x:c r="E39" s="43" t="n">
        <x:v>13826.877149049998</x:v>
      </x:c>
      <x:c r="F39" s="43" t="str">
        <x:v>RMB million</x:v>
      </x:c>
      <x:c r="G39" s="43" t="str">
        <x:v>SOURCE_FACT</x:v>
      </x:c>
      <x:c r="H39" s="43" t="str">
        <x:v>P087 L046</x:v>
      </x:c>
      <x:c r="I39" s="43" t="str">
        <x:v>https://static.cninfo.com.cn/finalpage/2025-03-27/1222913178.PDF</x:v>
      </x:c>
    </x:row>
    <x:row r="40" ht="29" customHeight="1">
      <x:c r="C40" s="42" t="str">
        <x:v>所有者权益合计</x:v>
      </x:c>
      <x:c r="D40" s="43" t="str">
        <x:v>FY2023</x:v>
      </x:c>
      <x:c r="E40" s="43" t="n">
        <x:v>18063.707624360002</x:v>
      </x:c>
      <x:c r="F40" s="43" t="str">
        <x:v>RMB million</x:v>
      </x:c>
      <x:c r="G40" s="43" t="str">
        <x:v>SOURCE_FACT</x:v>
      </x:c>
      <x:c r="H40" s="43" t="str">
        <x:v>P088 L017</x:v>
      </x:c>
      <x:c r="I40" s="43" t="str">
        <x:v>https://static.cninfo.com.cn/finalpage/2025-03-27/1222913178.PDF</x:v>
      </x:c>
    </x:row>
    <x:row r="41" ht="29" customHeight="1">
      <x:c r="C41" s="42" t="str">
        <x:v>少数股东权益</x:v>
      </x:c>
      <x:c r="D41" s="43" t="str">
        <x:v>FY2023</x:v>
      </x:c>
      <x:c r="E41" s="43" t="n">
        <x:v>169.30363957</x:v>
      </x:c>
      <x:c r="F41" s="43" t="str">
        <x:v>RMB million</x:v>
      </x:c>
      <x:c r="G41" s="43" t="str">
        <x:v>SOURCE_FACT</x:v>
      </x:c>
      <x:c r="H41" s="43" t="str">
        <x:v>P088 L016</x:v>
      </x:c>
      <x:c r="I41" s="43" t="str">
        <x:v>https://static.cninfo.com.cn/finalpage/2025-03-27/1222913178.PDF</x:v>
      </x:c>
    </x:row>
    <x:row r="42" ht="29" customHeight="1">
      <x:c r="C42" s="42" t="str">
        <x:v>未分配利润</x:v>
      </x:c>
      <x:c r="D42" s="43" t="str">
        <x:v>FY2023</x:v>
      </x:c>
      <x:c r="E42" s="43" t="n">
        <x:v>10002.942167430001</x:v>
      </x:c>
      <x:c r="F42" s="43" t="str">
        <x:v>RMB million</x:v>
      </x:c>
      <x:c r="G42" s="43" t="str">
        <x:v>SOURCE_FACT</x:v>
      </x:c>
      <x:c r="H42" s="43" t="str">
        <x:v>P088 L014</x:v>
      </x:c>
      <x:c r="I42" s="43" t="str">
        <x:v>https://static.cninfo.com.cn/finalpage/2025-03-27/1222913178.PDF</x:v>
      </x:c>
    </x:row>
    <x:row r="43" ht="29" customHeight="1">
      <x:c r="C43" s="42" t="str">
        <x:v>其中：营业收入</x:v>
      </x:c>
      <x:c r="D43" s="43" t="str">
        <x:v>FY2024</x:v>
      </x:c>
      <x:c r="E43" s="43" t="n">
        <x:v>27947.16451593</x:v>
      </x:c>
      <x:c r="F43" s="43" t="str">
        <x:v>RMB million</x:v>
      </x:c>
      <x:c r="G43" s="43" t="str">
        <x:v>SOURCE_FACT</x:v>
      </x:c>
      <x:c r="H43" s="43" t="str">
        <x:v>P092 L021</x:v>
      </x:c>
      <x:c r="I43" s="43" t="str">
        <x:v>https://static.cninfo.com.cn/finalpage/2026-03-24/1225026522.PDF</x:v>
      </x:c>
    </x:row>
    <x:row r="44" ht="29" customHeight="1">
      <x:c r="C44" s="42" t="str">
        <x:v>其中：营业成本</x:v>
      </x:c>
      <x:c r="D44" s="43" t="str">
        <x:v>FY2024</x:v>
      </x:c>
      <x:c r="E44" s="43" t="n">
        <x:v>20269.83355448</x:v>
      </x:c>
      <x:c r="F44" s="43" t="str">
        <x:v>RMB million</x:v>
      </x:c>
      <x:c r="G44" s="43" t="str">
        <x:v>SOURCE_FACT</x:v>
      </x:c>
      <x:c r="H44" s="43" t="str">
        <x:v>P092 L026</x:v>
      </x:c>
      <x:c r="I44" s="43" t="str">
        <x:v>https://static.cninfo.com.cn/finalpage/2026-03-24/1225026522.PDF</x:v>
      </x:c>
    </x:row>
    <x:row r="45" ht="29" customHeight="1">
      <x:c r="C45" s="42" t="str">
        <x:v>销售费用</x:v>
      </x:c>
      <x:c r="D45" s="43" t="str">
        <x:v>FY2024</x:v>
      </x:c>
      <x:c r="E45" s="43" t="n">
        <x:v>726.43723146</x:v>
      </x:c>
      <x:c r="F45" s="43" t="str">
        <x:v>RMB million</x:v>
      </x:c>
      <x:c r="G45" s="43" t="str">
        <x:v>SOURCE_FACT</x:v>
      </x:c>
      <x:c r="H45" s="43" t="str">
        <x:v>P092 L036</x:v>
      </x:c>
      <x:c r="I45" s="43" t="str">
        <x:v>https://static.cninfo.com.cn/finalpage/2026-03-24/1225026522.PDF</x:v>
      </x:c>
    </x:row>
    <x:row r="46" ht="29" customHeight="1">
      <x:c r="C46" s="42" t="str">
        <x:v>管理费用</x:v>
      </x:c>
      <x:c r="D46" s="43" t="str">
        <x:v>FY2024</x:v>
      </x:c>
      <x:c r="E46" s="43" t="n">
        <x:v>1767.4543221600002</x:v>
      </x:c>
      <x:c r="F46" s="43" t="str">
        <x:v>RMB million</x:v>
      </x:c>
      <x:c r="G46" s="43" t="str">
        <x:v>SOURCE_FACT</x:v>
      </x:c>
      <x:c r="H46" s="43" t="str">
        <x:v>P092 L037</x:v>
      </x:c>
      <x:c r="I46" s="43" t="str">
        <x:v>https://static.cninfo.com.cn/finalpage/2026-03-24/1225026522.PDF</x:v>
      </x:c>
    </x:row>
    <x:row r="47" ht="29" customHeight="1">
      <x:c r="C47" s="42" t="str">
        <x:v>研发费用</x:v>
      </x:c>
      <x:c r="D47" s="43" t="str">
        <x:v>FY2024</x:v>
      </x:c>
      <x:c r="E47" s="43" t="n">
        <x:v>1351.7987865</x:v>
      </x:c>
      <x:c r="F47" s="43" t="str">
        <x:v>RMB million</x:v>
      </x:c>
      <x:c r="G47" s="43" t="str">
        <x:v>SOURCE_FACT</x:v>
      </x:c>
      <x:c r="H47" s="43" t="str">
        <x:v>P092 L038</x:v>
      </x:c>
      <x:c r="I47" s="43" t="str">
        <x:v>https://static.cninfo.com.cn/finalpage/2026-03-24/1225026522.PDF</x:v>
      </x:c>
    </x:row>
    <x:row r="48" ht="29" customHeight="1">
      <x:c r="C48" s="42" t="str">
        <x:v>税金及附加</x:v>
      </x:c>
      <x:c r="D48" s="43" t="str">
        <x:v>FY2024</x:v>
      </x:c>
      <x:c r="E48" s="43" t="n">
        <x:v>171.27664816</x:v>
      </x:c>
      <x:c r="F48" s="43" t="str">
        <x:v>RMB million</x:v>
      </x:c>
      <x:c r="G48" s="43" t="str">
        <x:v>SOURCE_FACT</x:v>
      </x:c>
      <x:c r="H48" s="43" t="str">
        <x:v>P092 L035</x:v>
      </x:c>
      <x:c r="I48" s="43" t="str">
        <x:v>https://static.cninfo.com.cn/finalpage/2026-03-24/1225026522.PDF</x:v>
      </x:c>
    </x:row>
    <x:row r="49" ht="29" customHeight="1">
      <x:c r="C49" s="42" t="str">
        <x:v>财务费用</x:v>
      </x:c>
      <x:c r="D49" s="43" t="str">
        <x:v>FY2024</x:v>
      </x:c>
      <x:c r="E49" s="43" t="n">
        <x:v>-43.782383530000004</x:v>
      </x:c>
      <x:c r="F49" s="43" t="str">
        <x:v>RMB million</x:v>
      </x:c>
      <x:c r="G49" s="43" t="str">
        <x:v>SOURCE_FACT</x:v>
      </x:c>
      <x:c r="H49" s="43" t="str">
        <x:v>P092 L039</x:v>
      </x:c>
      <x:c r="I49" s="43" t="str">
        <x:v>https://static.cninfo.com.cn/finalpage/2026-03-24/1225026522.PDF</x:v>
      </x:c>
    </x:row>
    <x:row r="50" ht="29" customHeight="1">
      <x:c r="C50" s="42" t="str">
        <x:v>其中：利息费用</x:v>
      </x:c>
      <x:c r="D50" s="43" t="str">
        <x:v>FY2024</x:v>
      </x:c>
      <x:c r="E50" s="43" t="n">
        <x:v>161.56408094999998</x:v>
      </x:c>
      <x:c r="F50" s="43" t="str">
        <x:v>RMB million</x:v>
      </x:c>
      <x:c r="G50" s="43" t="str">
        <x:v>SOURCE_FACT</x:v>
      </x:c>
      <x:c r="H50" s="43" t="str">
        <x:v>P092 L040</x:v>
      </x:c>
      <x:c r="I50" s="43" t="str">
        <x:v>https://static.cninfo.com.cn/finalpage/2026-03-24/1225026522.PDF</x:v>
      </x:c>
    </x:row>
    <x:row r="51" ht="29" customHeight="1">
      <x:c r="C51" s="42" t="str">
        <x:v>四、利润总额（亏损总额以“－”号填</x:v>
      </x:c>
      <x:c r="D51" s="43" t="str">
        <x:v>FY2024</x:v>
      </x:c>
      <x:c r="E51" s="43" t="n">
        <x:v>3691.68640912</x:v>
      </x:c>
      <x:c r="F51" s="43" t="str">
        <x:v>RMB million</x:v>
      </x:c>
      <x:c r="G51" s="43" t="str">
        <x:v>SOURCE_FACT</x:v>
      </x:c>
      <x:c r="H51" s="43" t="str">
        <x:v>P093 L021</x:v>
      </x:c>
      <x:c r="I51" s="43" t="str">
        <x:v>https://static.cninfo.com.cn/finalpage/2026-03-24/1225026522.PDF</x:v>
      </x:c>
    </x:row>
    <x:row r="52" ht="29" customHeight="1">
      <x:c r="C52" s="42" t="str">
        <x:v>减：所得税费用</x:v>
      </x:c>
      <x:c r="D52" s="43" t="str">
        <x:v>FY2024</x:v>
      </x:c>
      <x:c r="E52" s="43" t="n">
        <x:v>579.9606067799999</x:v>
      </x:c>
      <x:c r="F52" s="43" t="str">
        <x:v>RMB million</x:v>
      </x:c>
      <x:c r="G52" s="43" t="str">
        <x:v>SOURCE_FACT</x:v>
      </x:c>
      <x:c r="H52" s="43" t="str">
        <x:v>P093 L023</x:v>
      </x:c>
      <x:c r="I52" s="43" t="str">
        <x:v>https://static.cninfo.com.cn/finalpage/2026-03-24/1225026522.PDF</x:v>
      </x:c>
    </x:row>
    <x:row r="53" ht="29" customHeight="1">
      <x:c r="C53" s="42" t="str">
        <x:v>五、净利润（净亏损以“－”号填列）</x:v>
      </x:c>
      <x:c r="D53" s="43" t="str">
        <x:v>FY2024</x:v>
      </x:c>
      <x:c r="E53" s="43" t="n">
        <x:v>3111.72580234</x:v>
      </x:c>
      <x:c r="F53" s="43" t="str">
        <x:v>RMB million</x:v>
      </x:c>
      <x:c r="G53" s="43" t="str">
        <x:v>SOURCE_FACT</x:v>
      </x:c>
      <x:c r="H53" s="43" t="str">
        <x:v>P093 L024</x:v>
      </x:c>
      <x:c r="I53" s="43" t="str">
        <x:v>https://static.cninfo.com.cn/finalpage/2026-03-24/1225026522.PDF</x:v>
      </x:c>
    </x:row>
    <x:row r="54" ht="29" customHeight="1">
      <x:c r="C54" s="42" t="str">
        <x:v>1.归属于母公司股东的净利润</x:v>
      </x:c>
      <x:c r="D54" s="43" t="str">
        <x:v>FY2024</x:v>
      </x:c>
      <x:c r="E54" s="43" t="n">
        <x:v>3099.16512806</x:v>
      </x:c>
      <x:c r="F54" s="43" t="str">
        <x:v>RMB million</x:v>
      </x:c>
      <x:c r="G54" s="43" t="str">
        <x:v>SOURCE_FACT</x:v>
      </x:c>
      <x:c r="H54" s="43" t="str">
        <x:v>P093 L032</x:v>
      </x:c>
      <x:c r="I54" s="43" t="str">
        <x:v>https://static.cninfo.com.cn/finalpage/2026-03-24/1225026522.PDF</x:v>
      </x:c>
    </x:row>
    <x:row r="55" ht="29" customHeight="1">
      <x:c r="C55" s="42" t="str">
        <x:v>2.少数股东损益</x:v>
      </x:c>
      <x:c r="D55" s="43" t="str">
        <x:v>FY2024</x:v>
      </x:c>
      <x:c r="E55" s="43" t="n">
        <x:v>12.560674279999999</x:v>
      </x:c>
      <x:c r="F55" s="43" t="str">
        <x:v>RMB million</x:v>
      </x:c>
      <x:c r="G55" s="43" t="str">
        <x:v>SOURCE_FACT</x:v>
      </x:c>
      <x:c r="H55" s="43" t="str">
        <x:v>P093 L033</x:v>
      </x:c>
      <x:c r="I55" s="43" t="str">
        <x:v>https://static.cninfo.com.cn/finalpage/2026-03-24/1225026522.PDF</x:v>
      </x:c>
    </x:row>
    <x:row r="56" ht="29" customHeight="1">
      <x:c r="C56" s="42" t="str">
        <x:v>经营活动产生的现金流量净额</x:v>
      </x:c>
      <x:c r="D56" s="43" t="str">
        <x:v>FY2024</x:v>
      </x:c>
      <x:c r="E56" s="43" t="n">
        <x:v>4366.63094836</x:v>
      </x:c>
      <x:c r="F56" s="43" t="str">
        <x:v>RMB million</x:v>
      </x:c>
      <x:c r="G56" s="43" t="str">
        <x:v>SOURCE_FACT</x:v>
      </x:c>
      <x:c r="H56" s="43" t="str">
        <x:v>P096 L014</x:v>
      </x:c>
      <x:c r="I56" s="43" t="str">
        <x:v>https://static.cninfo.com.cn/finalpage/2026-03-24/1225026522.PDF</x:v>
      </x:c>
    </x:row>
    <x:row r="57" ht="29" customHeight="1">
      <x:c r="C57" s="42" t="str">
        <x:v>投资活动产生的现金流量净额</x:v>
      </x:c>
      <x:c r="D57" s="43" t="str">
        <x:v>FY2024</x:v>
      </x:c>
      <x:c r="E57" s="43" t="n">
        <x:v>-3511.53708498</x:v>
      </x:c>
      <x:c r="F57" s="43" t="str">
        <x:v>RMB million</x:v>
      </x:c>
      <x:c r="G57" s="43" t="str">
        <x:v>SOURCE_FACT</x:v>
      </x:c>
      <x:c r="H57" s="43" t="str">
        <x:v>P096 L035</x:v>
      </x:c>
      <x:c r="I57" s="43" t="str">
        <x:v>https://static.cninfo.com.cn/finalpage/2026-03-24/1225026522.PDF</x:v>
      </x:c>
    </x:row>
    <x:row r="58" ht="29" customHeight="1">
      <x:c r="C58" s="42" t="str">
        <x:v>筹资活动产生的现金流量净额</x:v>
      </x:c>
      <x:c r="D58" s="43" t="str">
        <x:v>FY2024</x:v>
      </x:c>
      <x:c r="E58" s="43" t="n">
        <x:v>-955.2995419700001</x:v>
      </x:c>
      <x:c r="F58" s="43" t="str">
        <x:v>RMB million</x:v>
      </x:c>
      <x:c r="G58" s="43" t="str">
        <x:v>SOURCE_FACT</x:v>
      </x:c>
      <x:c r="H58" s="43" t="str">
        <x:v>P096 L053</x:v>
      </x:c>
      <x:c r="I58" s="43" t="str">
        <x:v>https://static.cninfo.com.cn/finalpage/2026-03-24/1225026522.PDF</x:v>
      </x:c>
    </x:row>
    <x:row r="59" ht="29" customHeight="1">
      <x:c r="C59" s="42" t="str">
        <x:v>四、汇率变动对现金及现金等价物的</x:v>
      </x:c>
      <x:c r="D59" s="43" t="str">
        <x:v>FY2024</x:v>
      </x:c>
      <x:c r="E59" s="43" t="n">
        <x:v>-81.24733035</x:v>
      </x:c>
      <x:c r="F59" s="43" t="str">
        <x:v>RMB million</x:v>
      </x:c>
      <x:c r="G59" s="43" t="str">
        <x:v>SOURCE_FACT</x:v>
      </x:c>
      <x:c r="H59" s="43" t="str">
        <x:v>P096 L055</x:v>
      </x:c>
      <x:c r="I59" s="43" t="str">
        <x:v>https://static.cninfo.com.cn/finalpage/2026-03-24/1225026522.PDF</x:v>
      </x:c>
    </x:row>
    <x:row r="60" ht="29" customHeight="1">
      <x:c r="C60" s="42" t="str">
        <x:v>加：期初现金及现金等价物余额</x:v>
      </x:c>
      <x:c r="D60" s="43" t="str">
        <x:v>FY2024</x:v>
      </x:c>
      <x:c r="E60" s="43" t="n">
        <x:v>3624.95549884</x:v>
      </x:c>
      <x:c r="F60" s="43" t="str">
        <x:v>RMB million</x:v>
      </x:c>
      <x:c r="G60" s="43" t="str">
        <x:v>SOURCE_FACT</x:v>
      </x:c>
      <x:c r="H60" s="43" t="str">
        <x:v>P096 L058</x:v>
      </x:c>
      <x:c r="I60" s="43" t="str">
        <x:v>https://static.cninfo.com.cn/finalpage/2026-03-24/1225026522.PDF</x:v>
      </x:c>
    </x:row>
    <x:row r="61" ht="29" customHeight="1">
      <x:c r="C61" s="42" t="str">
        <x:v>六、期末现金及现金等价物余额</x:v>
      </x:c>
      <x:c r="D61" s="43" t="str">
        <x:v>FY2024</x:v>
      </x:c>
      <x:c r="E61" s="43" t="n">
        <x:v>3443.5024899</x:v>
      </x:c>
      <x:c r="F61" s="43" t="str">
        <x:v>RMB million</x:v>
      </x:c>
      <x:c r="G61" s="43" t="str">
        <x:v>SOURCE_FACT</x:v>
      </x:c>
      <x:c r="H61" s="43" t="str">
        <x:v>P096 L059</x:v>
      </x:c>
      <x:c r="I61" s="43" t="str">
        <x:v>https://static.cninfo.com.cn/finalpage/2026-03-24/1225026522.PDF</x:v>
      </x:c>
    </x:row>
    <x:row r="62" ht="29" customHeight="1">
      <x:c r="C62" s="42" t="str">
        <x:v>购建固定资产、无形资产和其他长</x:v>
      </x:c>
      <x:c r="D62" s="43" t="str">
        <x:v>FY2024</x:v>
      </x:c>
      <x:c r="E62" s="43" t="n">
        <x:v>3290.1481874899996</x:v>
      </x:c>
      <x:c r="F62" s="43" t="str">
        <x:v>RMB million</x:v>
      </x:c>
      <x:c r="G62" s="43" t="str">
        <x:v>SOURCE_FACT</x:v>
      </x:c>
      <x:c r="H62" s="43" t="str">
        <x:v>P096 L026</x:v>
      </x:c>
      <x:c r="I62" s="43" t="str">
        <x:v>https://static.cninfo.com.cn/finalpage/2026-03-24/1225026522.PDF</x:v>
      </x:c>
    </x:row>
    <x:row r="63" ht="29" customHeight="1">
      <x:c r="C63" s="42" t="str">
        <x:v>资产总计</x:v>
      </x:c>
      <x:c r="D63" s="43" t="str">
        <x:v>FY2024</x:v>
      </x:c>
      <x:c r="E63" s="43" t="n">
        <x:v>36354.74842621</x:v>
      </x:c>
      <x:c r="F63" s="43" t="str">
        <x:v>RMB million</x:v>
      </x:c>
      <x:c r="G63" s="43" t="str">
        <x:v>SOURCE_FACT</x:v>
      </x:c>
      <x:c r="H63" s="43" t="str">
        <x:v>P088 L040</x:v>
      </x:c>
      <x:c r="I63" s="43" t="str">
        <x:v>https://static.cninfo.com.cn/finalpage/2026-03-24/1225026522.PDF</x:v>
      </x:c>
    </x:row>
    <x:row r="64" ht="29" customHeight="1">
      <x:c r="C64" s="42" t="str">
        <x:v>负债合计</x:v>
      </x:c>
      <x:c r="D64" s="43" t="str">
        <x:v>FY2024</x:v>
      </x:c>
      <x:c r="E64" s="43" t="n">
        <x:v>16835.10490278</x:v>
      </x:c>
      <x:c r="F64" s="43" t="str">
        <x:v>RMB million</x:v>
      </x:c>
      <x:c r="G64" s="43" t="str">
        <x:v>SOURCE_FACT</x:v>
      </x:c>
      <x:c r="H64" s="43" t="str">
        <x:v>P089 L038</x:v>
      </x:c>
      <x:c r="I64" s="43" t="str">
        <x:v>https://static.cninfo.com.cn/finalpage/2026-03-24/1225026522.PDF</x:v>
      </x:c>
    </x:row>
    <x:row r="65" ht="29" customHeight="1">
      <x:c r="C65" s="42" t="str">
        <x:v>所有者权益合计</x:v>
      </x:c>
      <x:c r="D65" s="43" t="str">
        <x:v>FY2024</x:v>
      </x:c>
      <x:c r="E65" s="43" t="n">
        <x:v>19519.64352343</x:v>
      </x:c>
      <x:c r="F65" s="43" t="str">
        <x:v>RMB million</x:v>
      </x:c>
      <x:c r="G65" s="43" t="str">
        <x:v>SOURCE_FACT</x:v>
      </x:c>
      <x:c r="H65" s="43" t="str">
        <x:v>P090 L007</x:v>
      </x:c>
      <x:c r="I65" s="43" t="str">
        <x:v>https://static.cninfo.com.cn/finalpage/2026-03-24/1225026522.PDF</x:v>
      </x:c>
    </x:row>
    <x:row r="66" ht="29" customHeight="1">
      <x:c r="C66" s="42" t="str">
        <x:v>少数股东权益</x:v>
      </x:c>
      <x:c r="D66" s="43" t="str">
        <x:v>FY2024</x:v>
      </x:c>
      <x:c r="E66" s="43" t="n">
        <x:v>221.87441694999998</x:v>
      </x:c>
      <x:c r="F66" s="43" t="str">
        <x:v>RMB million</x:v>
      </x:c>
      <x:c r="G66" s="43" t="str">
        <x:v>SOURCE_FACT</x:v>
      </x:c>
      <x:c r="H66" s="43" t="str">
        <x:v>P090 L006</x:v>
      </x:c>
      <x:c r="I66" s="43" t="str">
        <x:v>https://static.cninfo.com.cn/finalpage/2026-03-24/1225026522.PDF</x:v>
      </x:c>
    </x:row>
    <x:row r="67" ht="29" customHeight="1">
      <x:c r="C67" s="42" t="str">
        <x:v>未分配利润</x:v>
      </x:c>
      <x:c r="D67" s="43" t="str">
        <x:v>FY2024</x:v>
      </x:c>
      <x:c r="E67" s="43" t="n">
        <x:v>11650.31163917</x:v>
      </x:c>
      <x:c r="F67" s="43" t="str">
        <x:v>RMB million</x:v>
      </x:c>
      <x:c r="G67" s="43" t="str">
        <x:v>SOURCE_FACT</x:v>
      </x:c>
      <x:c r="H67" s="43" t="str">
        <x:v>P090 L004</x:v>
      </x:c>
      <x:c r="I67" s="43" t="str">
        <x:v>https://static.cninfo.com.cn/finalpage/2026-03-24/1225026522.PDF</x:v>
      </x:c>
    </x:row>
    <x:row r="68" ht="29" customHeight="1">
      <x:c r="C68" s="42" t="str">
        <x:v>其中：营业收入</x:v>
      </x:c>
      <x:c r="D68" s="43" t="str">
        <x:v>FY2025</x:v>
      </x:c>
      <x:c r="E68" s="43" t="n">
        <x:v>31011.74451027</x:v>
      </x:c>
      <x:c r="F68" s="43" t="str">
        <x:v>RMB million</x:v>
      </x:c>
      <x:c r="G68" s="43" t="str">
        <x:v>SOURCE_FACT</x:v>
      </x:c>
      <x:c r="H68" s="43" t="str">
        <x:v>P092 L021</x:v>
      </x:c>
      <x:c r="I68" s="43" t="str">
        <x:v>https://static.cninfo.com.cn/finalpage/2026-03-24/1225026522.PDF</x:v>
      </x:c>
    </x:row>
    <x:row r="69" ht="29" customHeight="1">
      <x:c r="C69" s="42" t="str">
        <x:v>其中：营业成本</x:v>
      </x:c>
      <x:c r="D69" s="43" t="str">
        <x:v>FY2025</x:v>
      </x:c>
      <x:c r="E69" s="43" t="n">
        <x:v>22087.49705241</x:v>
      </x:c>
      <x:c r="F69" s="43" t="str">
        <x:v>RMB million</x:v>
      </x:c>
      <x:c r="G69" s="43" t="str">
        <x:v>SOURCE_FACT</x:v>
      </x:c>
      <x:c r="H69" s="43" t="str">
        <x:v>P092 L026</x:v>
      </x:c>
      <x:c r="I69" s="43" t="str">
        <x:v>https://static.cninfo.com.cn/finalpage/2026-03-24/1225026522.PDF</x:v>
      </x:c>
    </x:row>
    <x:row r="70" ht="29" customHeight="1">
      <x:c r="C70" s="42" t="str">
        <x:v>销售费用</x:v>
      </x:c>
      <x:c r="D70" s="43" t="str">
        <x:v>FY2025</x:v>
      </x:c>
      <x:c r="E70" s="43" t="n">
        <x:v>751.52523183</x:v>
      </x:c>
      <x:c r="F70" s="43" t="str">
        <x:v>RMB million</x:v>
      </x:c>
      <x:c r="G70" s="43" t="str">
        <x:v>SOURCE_FACT</x:v>
      </x:c>
      <x:c r="H70" s="43" t="str">
        <x:v>P092 L036</x:v>
      </x:c>
      <x:c r="I70" s="43" t="str">
        <x:v>https://static.cninfo.com.cn/finalpage/2026-03-24/1225026522.PDF</x:v>
      </x:c>
    </x:row>
    <x:row r="71" ht="29" customHeight="1">
      <x:c r="C71" s="42" t="str">
        <x:v>管理费用</x:v>
      </x:c>
      <x:c r="D71" s="43" t="str">
        <x:v>FY2025</x:v>
      </x:c>
      <x:c r="E71" s="43" t="n">
        <x:v>1909.3257384400001</x:v>
      </x:c>
      <x:c r="F71" s="43" t="str">
        <x:v>RMB million</x:v>
      </x:c>
      <x:c r="G71" s="43" t="str">
        <x:v>SOURCE_FACT</x:v>
      </x:c>
      <x:c r="H71" s="43" t="str">
        <x:v>P092 L037</x:v>
      </x:c>
      <x:c r="I71" s="43" t="str">
        <x:v>https://static.cninfo.com.cn/finalpage/2026-03-24/1225026522.PDF</x:v>
      </x:c>
    </x:row>
    <x:row r="72" ht="29" customHeight="1">
      <x:c r="C72" s="42" t="str">
        <x:v>研发费用</x:v>
      </x:c>
      <x:c r="D72" s="43" t="str">
        <x:v>FY2025</x:v>
      </x:c>
      <x:c r="E72" s="43" t="n">
        <x:v>1374.07132405</x:v>
      </x:c>
      <x:c r="F72" s="43" t="str">
        <x:v>RMB million</x:v>
      </x:c>
      <x:c r="G72" s="43" t="str">
        <x:v>SOURCE_FACT</x:v>
      </x:c>
      <x:c r="H72" s="43" t="str">
        <x:v>P092 L038</x:v>
      </x:c>
      <x:c r="I72" s="43" t="str">
        <x:v>https://static.cninfo.com.cn/finalpage/2026-03-24/1225026522.PDF</x:v>
      </x:c>
    </x:row>
    <x:row r="73" ht="29" customHeight="1">
      <x:c r="C73" s="42" t="str">
        <x:v>税金及附加</x:v>
      </x:c>
      <x:c r="D73" s="43" t="str">
        <x:v>FY2025</x:v>
      </x:c>
      <x:c r="E73" s="43" t="n">
        <x:v>175.29112100999998</x:v>
      </x:c>
      <x:c r="F73" s="43" t="str">
        <x:v>RMB million</x:v>
      </x:c>
      <x:c r="G73" s="43" t="str">
        <x:v>SOURCE_FACT</x:v>
      </x:c>
      <x:c r="H73" s="43" t="str">
        <x:v>P092 L035</x:v>
      </x:c>
      <x:c r="I73" s="43" t="str">
        <x:v>https://static.cninfo.com.cn/finalpage/2026-03-24/1225026522.PDF</x:v>
      </x:c>
    </x:row>
    <x:row r="74" ht="29" customHeight="1">
      <x:c r="C74" s="42" t="str">
        <x:v>财务费用</x:v>
      </x:c>
      <x:c r="D74" s="43" t="str">
        <x:v>FY2025</x:v>
      </x:c>
      <x:c r="E74" s="43" t="n">
        <x:v>101.21980452</x:v>
      </x:c>
      <x:c r="F74" s="43" t="str">
        <x:v>RMB million</x:v>
      </x:c>
      <x:c r="G74" s="43" t="str">
        <x:v>SOURCE_FACT</x:v>
      </x:c>
      <x:c r="H74" s="43" t="str">
        <x:v>P092 L039</x:v>
      </x:c>
      <x:c r="I74" s="43" t="str">
        <x:v>https://static.cninfo.com.cn/finalpage/2026-03-24/1225026522.PDF</x:v>
      </x:c>
    </x:row>
    <x:row r="75" ht="29" customHeight="1">
      <x:c r="C75" s="42" t="str">
        <x:v>其中：利息费用</x:v>
      </x:c>
      <x:c r="D75" s="43" t="str">
        <x:v>FY2025</x:v>
      </x:c>
      <x:c r="E75" s="43" t="n">
        <x:v>145.82315316999998</x:v>
      </x:c>
      <x:c r="F75" s="43" t="str">
        <x:v>RMB million</x:v>
      </x:c>
      <x:c r="G75" s="43" t="str">
        <x:v>SOURCE_FACT</x:v>
      </x:c>
      <x:c r="H75" s="43" t="str">
        <x:v>P092 L040</x:v>
      </x:c>
      <x:c r="I75" s="43" t="str">
        <x:v>https://static.cninfo.com.cn/finalpage/2026-03-24/1225026522.PDF</x:v>
      </x:c>
    </x:row>
    <x:row r="76" ht="29" customHeight="1">
      <x:c r="C76" s="42" t="str">
        <x:v>四、利润总额（亏损总额以“－”号填</x:v>
      </x:c>
      <x:c r="D76" s="43" t="str">
        <x:v>FY2025</x:v>
      </x:c>
      <x:c r="E76" s="43" t="n">
        <x:v>4843.75703083</x:v>
      </x:c>
      <x:c r="F76" s="43" t="str">
        <x:v>RMB million</x:v>
      </x:c>
      <x:c r="G76" s="43" t="str">
        <x:v>SOURCE_FACT</x:v>
      </x:c>
      <x:c r="H76" s="43" t="str">
        <x:v>P093 L021</x:v>
      </x:c>
      <x:c r="I76" s="43" t="str">
        <x:v>https://static.cninfo.com.cn/finalpage/2026-03-24/1225026522.PDF</x:v>
      </x:c>
    </x:row>
    <x:row r="77" ht="29" customHeight="1">
      <x:c r="C77" s="42" t="str">
        <x:v>减：所得税费用</x:v>
      </x:c>
      <x:c r="D77" s="43" t="str">
        <x:v>FY2025</x:v>
      </x:c>
      <x:c r="E77" s="43" t="n">
        <x:v>737.0671634</x:v>
      </x:c>
      <x:c r="F77" s="43" t="str">
        <x:v>RMB million</x:v>
      </x:c>
      <x:c r="G77" s="43" t="str">
        <x:v>SOURCE_FACT</x:v>
      </x:c>
      <x:c r="H77" s="43" t="str">
        <x:v>P093 L023</x:v>
      </x:c>
      <x:c r="I77" s="43" t="str">
        <x:v>https://static.cninfo.com.cn/finalpage/2026-03-24/1225026522.PDF</x:v>
      </x:c>
    </x:row>
    <x:row r="78" ht="29" customHeight="1">
      <x:c r="C78" s="42" t="str">
        <x:v>五、净利润（净亏损以“－”号填列）</x:v>
      </x:c>
      <x:c r="D78" s="43" t="str">
        <x:v>FY2025</x:v>
      </x:c>
      <x:c r="E78" s="43" t="n">
        <x:v>4106.68986743</x:v>
      </x:c>
      <x:c r="F78" s="43" t="str">
        <x:v>RMB million</x:v>
      </x:c>
      <x:c r="G78" s="43" t="str">
        <x:v>SOURCE_FACT</x:v>
      </x:c>
      <x:c r="H78" s="43" t="str">
        <x:v>P093 L024</x:v>
      </x:c>
      <x:c r="I78" s="43" t="str">
        <x:v>https://static.cninfo.com.cn/finalpage/2026-03-24/1225026522.PDF</x:v>
      </x:c>
    </x:row>
    <x:row r="79" ht="29" customHeight="1">
      <x:c r="C79" s="42" t="str">
        <x:v>1.归属于母公司股东的净利润</x:v>
      </x:c>
      <x:c r="D79" s="43" t="str">
        <x:v>FY2025</x:v>
      </x:c>
      <x:c r="E79" s="43" t="n">
        <x:v>4062.8914121</x:v>
      </x:c>
      <x:c r="F79" s="43" t="str">
        <x:v>RMB million</x:v>
      </x:c>
      <x:c r="G79" s="43" t="str">
        <x:v>SOURCE_FACT</x:v>
      </x:c>
      <x:c r="H79" s="43" t="str">
        <x:v>P093 L032</x:v>
      </x:c>
      <x:c r="I79" s="43" t="str">
        <x:v>https://static.cninfo.com.cn/finalpage/2026-03-24/1225026522.PDF</x:v>
      </x:c>
    </x:row>
    <x:row r="80" ht="29" customHeight="1">
      <x:c r="C80" s="42" t="str">
        <x:v>2.少数股东损益</x:v>
      </x:c>
      <x:c r="D80" s="43" t="str">
        <x:v>FY2025</x:v>
      </x:c>
      <x:c r="E80" s="43" t="n">
        <x:v>43.798455329999996</x:v>
      </x:c>
      <x:c r="F80" s="43" t="str">
        <x:v>RMB million</x:v>
      </x:c>
      <x:c r="G80" s="43" t="str">
        <x:v>SOURCE_FACT</x:v>
      </x:c>
      <x:c r="H80" s="43" t="str">
        <x:v>P093 L033</x:v>
      </x:c>
      <x:c r="I80" s="43" t="str">
        <x:v>https://static.cninfo.com.cn/finalpage/2026-03-24/1225026522.PDF</x:v>
      </x:c>
    </x:row>
    <x:row r="81" ht="29" customHeight="1">
      <x:c r="C81" s="42" t="str">
        <x:v>经营活动产生的现金流量净额</x:v>
      </x:c>
      <x:c r="D81" s="43" t="str">
        <x:v>FY2025</x:v>
      </x:c>
      <x:c r="E81" s="43" t="n">
        <x:v>5090.762717979999</x:v>
      </x:c>
      <x:c r="F81" s="43" t="str">
        <x:v>RMB million</x:v>
      </x:c>
      <x:c r="G81" s="43" t="str">
        <x:v>SOURCE_FACT</x:v>
      </x:c>
      <x:c r="H81" s="43" t="str">
        <x:v>P096 L014</x:v>
      </x:c>
      <x:c r="I81" s="43" t="str">
        <x:v>https://static.cninfo.com.cn/finalpage/2026-03-24/1225026522.PDF</x:v>
      </x:c>
    </x:row>
    <x:row r="82" ht="29" customHeight="1">
      <x:c r="C82" s="42" t="str">
        <x:v>投资活动产生的现金流量净额</x:v>
      </x:c>
      <x:c r="D82" s="43" t="str">
        <x:v>FY2025</x:v>
      </x:c>
      <x:c r="E82" s="43" t="n">
        <x:v>-3792.91770469</x:v>
      </x:c>
      <x:c r="F82" s="43" t="str">
        <x:v>RMB million</x:v>
      </x:c>
      <x:c r="G82" s="43" t="str">
        <x:v>SOURCE_FACT</x:v>
      </x:c>
      <x:c r="H82" s="43" t="str">
        <x:v>P096 L035</x:v>
      </x:c>
      <x:c r="I82" s="43" t="str">
        <x:v>https://static.cninfo.com.cn/finalpage/2026-03-24/1225026522.PDF</x:v>
      </x:c>
    </x:row>
    <x:row r="83" ht="29" customHeight="1">
      <x:c r="C83" s="42" t="str">
        <x:v>筹资活动产生的现金流量净额</x:v>
      </x:c>
      <x:c r="D83" s="43" t="str">
        <x:v>FY2025</x:v>
      </x:c>
      <x:c r="E83" s="43" t="n">
        <x:v>7802.4611203800005</x:v>
      </x:c>
      <x:c r="F83" s="43" t="str">
        <x:v>RMB million</x:v>
      </x:c>
      <x:c r="G83" s="43" t="str">
        <x:v>SOURCE_FACT</x:v>
      </x:c>
      <x:c r="H83" s="43" t="str">
        <x:v>P096 L053</x:v>
      </x:c>
      <x:c r="I83" s="43" t="str">
        <x:v>https://static.cninfo.com.cn/finalpage/2026-03-24/1225026522.PDF</x:v>
      </x:c>
    </x:row>
    <x:row r="84" ht="29" customHeight="1">
      <x:c r="C84" s="42" t="str">
        <x:v>四、汇率变动对现金及现金等价物的</x:v>
      </x:c>
      <x:c r="D84" s="43" t="str">
        <x:v>FY2025</x:v>
      </x:c>
      <x:c r="E84" s="43" t="n">
        <x:v>-56.61928393</x:v>
      </x:c>
      <x:c r="F84" s="43" t="str">
        <x:v>RMB million</x:v>
      </x:c>
      <x:c r="G84" s="43" t="str">
        <x:v>SOURCE_FACT</x:v>
      </x:c>
      <x:c r="H84" s="43" t="str">
        <x:v>P096 L055</x:v>
      </x:c>
      <x:c r="I84" s="43" t="str">
        <x:v>https://static.cninfo.com.cn/finalpage/2026-03-24/1225026522.PDF</x:v>
      </x:c>
    </x:row>
    <x:row r="85" ht="29" customHeight="1">
      <x:c r="C85" s="42" t="str">
        <x:v>加：期初现金及现金等价物余额</x:v>
      </x:c>
      <x:c r="D85" s="43" t="str">
        <x:v>FY2025</x:v>
      </x:c>
      <x:c r="E85" s="43" t="n">
        <x:v>3443.5024899</x:v>
      </x:c>
      <x:c r="F85" s="43" t="str">
        <x:v>RMB million</x:v>
      </x:c>
      <x:c r="G85" s="43" t="str">
        <x:v>SOURCE_FACT</x:v>
      </x:c>
      <x:c r="H85" s="43" t="str">
        <x:v>P096 L058</x:v>
      </x:c>
      <x:c r="I85" s="43" t="str">
        <x:v>https://static.cninfo.com.cn/finalpage/2026-03-24/1225026522.PDF</x:v>
      </x:c>
    </x:row>
    <x:row r="86" ht="29" customHeight="1">
      <x:c r="C86" s="42" t="str">
        <x:v>六、期末现金及现金等价物余额</x:v>
      </x:c>
      <x:c r="D86" s="43" t="str">
        <x:v>FY2025</x:v>
      </x:c>
      <x:c r="E86" s="43" t="n">
        <x:v>12487.18933964</x:v>
      </x:c>
      <x:c r="F86" s="43" t="str">
        <x:v>RMB million</x:v>
      </x:c>
      <x:c r="G86" s="43" t="str">
        <x:v>SOURCE_FACT</x:v>
      </x:c>
      <x:c r="H86" s="43" t="str">
        <x:v>P096 L059</x:v>
      </x:c>
      <x:c r="I86" s="43" t="str">
        <x:v>https://static.cninfo.com.cn/finalpage/2026-03-24/1225026522.PDF</x:v>
      </x:c>
    </x:row>
    <x:row r="87" ht="29" customHeight="1">
      <x:c r="C87" s="42" t="str">
        <x:v>购建固定资产、无形资产和其他长</x:v>
      </x:c>
      <x:c r="D87" s="43" t="str">
        <x:v>FY2025</x:v>
      </x:c>
      <x:c r="E87" s="43" t="n">
        <x:v>3152.3871054899996</x:v>
      </x:c>
      <x:c r="F87" s="43" t="str">
        <x:v>RMB million</x:v>
      </x:c>
      <x:c r="G87" s="43" t="str">
        <x:v>SOURCE_FACT</x:v>
      </x:c>
      <x:c r="H87" s="43" t="str">
        <x:v>P096 L026</x:v>
      </x:c>
      <x:c r="I87" s="43" t="str">
        <x:v>https://static.cninfo.com.cn/finalpage/2026-03-24/1225026522.PDF</x:v>
      </x:c>
    </x:row>
    <x:row r="88" ht="29" customHeight="1">
      <x:c r="C88" s="42" t="str">
        <x:v>资产总计</x:v>
      </x:c>
      <x:c r="D88" s="43" t="str">
        <x:v>FY2025</x:v>
      </x:c>
      <x:c r="E88" s="43" t="n">
        <x:v>49406.13060374</x:v>
      </x:c>
      <x:c r="F88" s="43" t="str">
        <x:v>RMB million</x:v>
      </x:c>
      <x:c r="G88" s="43" t="str">
        <x:v>SOURCE_FACT</x:v>
      </x:c>
      <x:c r="H88" s="43" t="str">
        <x:v>P088 L040</x:v>
      </x:c>
      <x:c r="I88" s="43" t="str">
        <x:v>https://static.cninfo.com.cn/finalpage/2026-03-24/1225026522.PDF</x:v>
      </x:c>
    </x:row>
    <x:row r="89" ht="29" customHeight="1">
      <x:c r="C89" s="42" t="str">
        <x:v>负债合计</x:v>
      </x:c>
      <x:c r="D89" s="43" t="str">
        <x:v>FY2025</x:v>
      </x:c>
      <x:c r="E89" s="43" t="n">
        <x:v>17365.90110116</x:v>
      </x:c>
      <x:c r="F89" s="43" t="str">
        <x:v>RMB million</x:v>
      </x:c>
      <x:c r="G89" s="43" t="str">
        <x:v>SOURCE_FACT</x:v>
      </x:c>
      <x:c r="H89" s="43" t="str">
        <x:v>P089 L038</x:v>
      </x:c>
      <x:c r="I89" s="43" t="str">
        <x:v>https://static.cninfo.com.cn/finalpage/2026-03-24/1225026522.PDF</x:v>
      </x:c>
    </x:row>
    <x:row r="90" ht="29" customHeight="1">
      <x:c r="C90" s="42" t="str">
        <x:v>所有者权益合计</x:v>
      </x:c>
      <x:c r="D90" s="43" t="str">
        <x:v>FY2025</x:v>
      </x:c>
      <x:c r="E90" s="43" t="n">
        <x:v>32040.22950258</x:v>
      </x:c>
      <x:c r="F90" s="43" t="str">
        <x:v>RMB million</x:v>
      </x:c>
      <x:c r="G90" s="43" t="str">
        <x:v>SOURCE_FACT</x:v>
      </x:c>
      <x:c r="H90" s="43" t="str">
        <x:v>P090 L007</x:v>
      </x:c>
      <x:c r="I90" s="43" t="str">
        <x:v>https://static.cninfo.com.cn/finalpage/2026-03-24/1225026522.PDF</x:v>
      </x:c>
    </x:row>
    <x:row r="91" ht="29" customHeight="1">
      <x:c r="C91" s="42" t="str">
        <x:v>少数股东权益</x:v>
      </x:c>
      <x:c r="D91" s="43" t="str">
        <x:v>FY2025</x:v>
      </x:c>
      <x:c r="E91" s="43" t="n">
        <x:v>291.30292462</x:v>
      </x:c>
      <x:c r="F91" s="43" t="str">
        <x:v>RMB million</x:v>
      </x:c>
      <x:c r="G91" s="43" t="str">
        <x:v>SOURCE_FACT</x:v>
      </x:c>
      <x:c r="H91" s="43" t="str">
        <x:v>P090 L006</x:v>
      </x:c>
      <x:c r="I91" s="43" t="str">
        <x:v>https://static.cninfo.com.cn/finalpage/2026-03-24/1225026522.PDF</x:v>
      </x:c>
    </x:row>
    <x:row r="92" ht="29" customHeight="1">
      <x:c r="C92" s="42" t="str">
        <x:v>未分配利润</x:v>
      </x:c>
      <x:c r="D92" s="43" t="str">
        <x:v>FY2025</x:v>
      </x:c>
      <x:c r="E92" s="43" t="n">
        <x:v>14139.00033999</x:v>
      </x:c>
      <x:c r="F92" s="43" t="str">
        <x:v>RMB million</x:v>
      </x:c>
      <x:c r="G92" s="43" t="str">
        <x:v>SOURCE_FACT</x:v>
      </x:c>
      <x:c r="H92" s="43" t="str">
        <x:v>P090 L004</x:v>
      </x:c>
      <x:c r="I92" s="43" t="str">
        <x:v>https://static.cninfo.com.cn/finalpage/2026-03-24/1225026522.PDF</x:v>
      </x:c>
    </x:row>
    <x:row r="93" ht="29" customHeight="1">
      <x:c r="C93" s="42" t="str">
        <x:v>其中：营业收入</x:v>
      </x:c>
      <x:c r="D93" s="43" t="str">
        <x:v>H12025</x:v>
      </x:c>
      <x:c r="E93" s="43" t="n">
        <x:v>16262.78744845</x:v>
      </x:c>
      <x:c r="F93" s="43" t="str">
        <x:v>RMB million</x:v>
      </x:c>
      <x:c r="G93" s="43" t="str">
        <x:v>SOURCE_FACT</x:v>
      </x:c>
      <x:c r="H93" s="43" t="str">
        <x:v>P056 L009</x:v>
      </x:c>
      <x:c r="I93" s="43" t="str">
        <x:v>https://static.cninfo.com.cn/finalpage/2026-08-27/1225514004.PDF</x:v>
      </x:c>
    </x:row>
    <x:row r="94" ht="29" customHeight="1">
      <x:c r="C94" s="42" t="str">
        <x:v>四、利润总额（亏损总额以“—”号填</x:v>
      </x:c>
      <x:c r="D94" s="43" t="str">
        <x:v>H12025</x:v>
      </x:c>
      <x:c r="E94" s="43" t="n">
        <x:v>2536.48799605</x:v>
      </x:c>
      <x:c r="F94" s="43" t="str">
        <x:v>RMB million</x:v>
      </x:c>
      <x:c r="G94" s="43" t="str">
        <x:v>SOURCE_FACT</x:v>
      </x:c>
      <x:c r="H94" s="43" t="str">
        <x:v>P057 L007</x:v>
      </x:c>
      <x:c r="I94" s="43" t="str">
        <x:v>https://static.cninfo.com.cn/finalpage/2026-08-27/1225514004.PDF</x:v>
      </x:c>
    </x:row>
    <x:row r="95" ht="29" customHeight="1">
      <x:c r="C95" s="42" t="str">
        <x:v>五、净利润（净亏损以“—”号填列）</x:v>
      </x:c>
      <x:c r="D95" s="43" t="str">
        <x:v>H12025</x:v>
      </x:c>
      <x:c r="E95" s="43" t="n">
        <x:v>2138.1112114400003</x:v>
      </x:c>
      <x:c r="F95" s="43" t="str">
        <x:v>RMB million</x:v>
      </x:c>
      <x:c r="G95" s="43" t="str">
        <x:v>SOURCE_FACT</x:v>
      </x:c>
      <x:c r="H95" s="43" t="str">
        <x:v>P057 L010</x:v>
      </x:c>
      <x:c r="I95" s="43" t="str">
        <x:v>https://static.cninfo.com.cn/finalpage/2026-08-27/1225514004.PDF</x:v>
      </x:c>
    </x:row>
    <x:row r="96" ht="29" customHeight="1">
      <x:c r="C96" s="42" t="str">
        <x:v>其中：营业收入</x:v>
      </x:c>
      <x:c r="D96" s="43" t="str">
        <x:v>H12026</x:v>
      </x:c>
      <x:c r="E96" s="43" t="n">
        <x:v>16899.97256057</x:v>
      </x:c>
      <x:c r="F96" s="43" t="str">
        <x:v>RMB million</x:v>
      </x:c>
      <x:c r="G96" s="43" t="str">
        <x:v>SOURCE_FACT</x:v>
      </x:c>
      <x:c r="H96" s="43" t="str">
        <x:v>P056 L009</x:v>
      </x:c>
      <x:c r="I96" s="43" t="str">
        <x:v>https://static.cninfo.com.cn/finalpage/2026-08-27/1225514004.PDF</x:v>
      </x:c>
    </x:row>
    <x:row r="97" ht="29" customHeight="1">
      <x:c r="C97" s="42" t="str">
        <x:v>四、利润总额（亏损总额以“—”号填</x:v>
      </x:c>
      <x:c r="D97" s="43" t="str">
        <x:v>H12026</x:v>
      </x:c>
      <x:c r="E97" s="43" t="n">
        <x:v>2423.74944729</x:v>
      </x:c>
      <x:c r="F97" s="43" t="str">
        <x:v>RMB million</x:v>
      </x:c>
      <x:c r="G97" s="43" t="str">
        <x:v>SOURCE_FACT</x:v>
      </x:c>
      <x:c r="H97" s="43" t="str">
        <x:v>P057 L007</x:v>
      </x:c>
      <x:c r="I97" s="43" t="str">
        <x:v>https://static.cninfo.com.cn/finalpage/2026-08-27/1225514004.PDF</x:v>
      </x:c>
    </x:row>
    <x:row r="98" ht="29" customHeight="1">
      <x:c r="C98" s="42" t="str">
        <x:v>五、净利润（净亏损以“—”号填列）</x:v>
      </x:c>
      <x:c r="D98" s="43" t="str">
        <x:v>H12026</x:v>
      </x:c>
      <x:c r="E98" s="43" t="n">
        <x:v>2081.23361338</x:v>
      </x:c>
      <x:c r="F98" s="43" t="str">
        <x:v>RMB million</x:v>
      </x:c>
      <x:c r="G98" s="43" t="str">
        <x:v>SOURCE_FACT</x:v>
      </x:c>
      <x:c r="H98" s="43" t="str">
        <x:v>P057 L010</x:v>
      </x:c>
      <x:c r="I98" s="43" t="str">
        <x:v>https://static.cninfo.com.cn/finalpage/2026-08-27/1225514004.PDF</x:v>
      </x:c>
    </x:row>
    <x:row r="99" ht="29" customHeight="1">
      <x:c r="C99" s="42" t="str">
        <x:v>1,055,049,845.85</x:v>
      </x:c>
      <x:c r="D99" s="43" t="str">
        <x:v>FY2025</x:v>
      </x:c>
      <x:c r="E99" s="43" t="n">
        <x:v>1055.04984585</x:v>
      </x:c>
      <x:c r="F99" s="43" t="str">
        <x:v>RMB million</x:v>
      </x:c>
      <x:c r="G99" s="43" t="str">
        <x:v>SOURCE_FACT</x:v>
      </x:c>
      <x:c r="H99" s="43" t="str">
        <x:v>P156 L011</x:v>
      </x:c>
      <x:c r="I99" s="43" t="str">
        <x:v>https://static.cninfo.com.cn/finalpage/2026-03-24/1225026522.PDF</x:v>
      </x:c>
    </x:row>
    <x:row r="100" ht="29" customHeight="1">
      <x:c r="C100" s="42" t="str">
        <x:v>使用权资产折旧                 104,286,014.93</x:v>
      </x:c>
      <x:c r="D100" s="43" t="str">
        <x:v>FY2025</x:v>
      </x:c>
      <x:c r="E100" s="43" t="n">
        <x:v>104.28601493000001</x:v>
      </x:c>
      <x:c r="F100" s="43" t="str">
        <x:v>RMB million</x:v>
      </x:c>
      <x:c r="G100" s="43" t="str">
        <x:v>SOURCE_FACT</x:v>
      </x:c>
      <x:c r="H100" s="43" t="str">
        <x:v>P156 L013</x:v>
      </x:c>
      <x:c r="I100" s="43" t="str">
        <x:v>https://static.cninfo.com.cn/finalpage/2026-03-24/1225026522.PDF</x:v>
      </x:c>
    </x:row>
    <x:row r="101" ht="29" customHeight="1">
      <x:c r="C101" s="42" t="str">
        <x:v>无形资产摊销                   35,466,344.64</x:v>
      </x:c>
      <x:c r="D101" s="43" t="str">
        <x:v>FY2025</x:v>
      </x:c>
      <x:c r="E101" s="43" t="n">
        <x:v>35.46634464</x:v>
      </x:c>
      <x:c r="F101" s="43" t="str">
        <x:v>RMB million</x:v>
      </x:c>
      <x:c r="G101" s="43" t="str">
        <x:v>SOURCE_FACT</x:v>
      </x:c>
      <x:c r="H101" s="43" t="str">
        <x:v>P156 L014</x:v>
      </x:c>
      <x:c r="I101" s="43" t="str">
        <x:v>https://static.cninfo.com.cn/finalpage/2026-03-24/1225026522.PDF</x:v>
      </x:c>
    </x:row>
    <x:row r="102" ht="29" customHeight="1">
      <x:c r="C102" s="42" t="str">
        <x:v>长期待摊费用摊销                 61,862,370.68</x:v>
      </x:c>
      <x:c r="D102" s="43" t="str">
        <x:v>FY2025</x:v>
      </x:c>
      <x:c r="E102" s="43" t="n">
        <x:v>61.86237068</x:v>
      </x:c>
      <x:c r="F102" s="43" t="str">
        <x:v>RMB million</x:v>
      </x:c>
      <x:c r="G102" s="43" t="str">
        <x:v>SOURCE_FACT</x:v>
      </x:c>
      <x:c r="H102" s="43" t="str">
        <x:v>P156 L015</x:v>
      </x:c>
      <x:c r="I102" s="43" t="str">
        <x:v>https://static.cninfo.com.cn/finalpage/2026-03-24/1225026522.PDF</x:v>
      </x:c>
    </x:row>
    <x:row r="103" ht="29" customHeight="1">
      <x:c r="C103" s="42" t="str">
        <x:v>1,055,049,845.85</x:v>
      </x:c>
      <x:c r="D103" s="43" t="str">
        <x:v>FY2025</x:v>
      </x:c>
      <x:c r="E103" s="43" t="n">
        <x:v>832.15917725</x:v>
      </x:c>
      <x:c r="F103" s="43" t="str">
        <x:v>RMB million</x:v>
      </x:c>
      <x:c r="G103" s="43" t="str">
        <x:v>SOURCE_FACT</x:v>
      </x:c>
      <x:c r="H103" s="43" t="str">
        <x:v>P156 L011</x:v>
      </x:c>
      <x:c r="I103" s="43" t="str">
        <x:v>https://static.cninfo.com.cn/finalpage/2026-03-24/1225026522.PDF</x:v>
      </x:c>
    </x:row>
    <x:row r="104" ht="29" customHeight="1">
      <x:c r="C104" s="42" t="str">
        <x:v>使用权资产折旧                 104,286,014.93</x:v>
      </x:c>
      <x:c r="D104" s="43" t="str">
        <x:v>FY2025</x:v>
      </x:c>
      <x:c r="E104" s="43" t="n">
        <x:v>117.16016053</x:v>
      </x:c>
      <x:c r="F104" s="43" t="str">
        <x:v>RMB million</x:v>
      </x:c>
      <x:c r="G104" s="43" t="str">
        <x:v>SOURCE_FACT</x:v>
      </x:c>
      <x:c r="H104" s="43" t="str">
        <x:v>P156 L013</x:v>
      </x:c>
      <x:c r="I104" s="43" t="str">
        <x:v>https://static.cninfo.com.cn/finalpage/2026-03-24/1225026522.PDF</x:v>
      </x:c>
    </x:row>
    <x:row r="105" ht="29" customHeight="1">
      <x:c r="C105" s="42" t="str">
        <x:v>无形资产摊销                   35,466,344.64</x:v>
      </x:c>
      <x:c r="D105" s="43" t="str">
        <x:v>FY2025</x:v>
      </x:c>
      <x:c r="E105" s="43" t="n">
        <x:v>46.184780329999995</x:v>
      </x:c>
      <x:c r="F105" s="43" t="str">
        <x:v>RMB million</x:v>
      </x:c>
      <x:c r="G105" s="43" t="str">
        <x:v>SOURCE_FACT</x:v>
      </x:c>
      <x:c r="H105" s="43" t="str">
        <x:v>P156 L014</x:v>
      </x:c>
      <x:c r="I105" s="43" t="str">
        <x:v>https://static.cninfo.com.cn/finalpage/2026-03-24/1225026522.PDF</x:v>
      </x:c>
    </x:row>
    <x:row r="106" ht="29" customHeight="1">
      <x:c r="C106" s="42" t="str">
        <x:v>长期待摊费用摊销                 61,862,370.68</x:v>
      </x:c>
      <x:c r="D106" s="43" t="str">
        <x:v>FY2025</x:v>
      </x:c>
      <x:c r="E106" s="43" t="n">
        <x:v>33.32957912</x:v>
      </x:c>
      <x:c r="F106" s="43" t="str">
        <x:v>RMB million</x:v>
      </x:c>
      <x:c r="G106" s="43" t="str">
        <x:v>SOURCE_FACT</x:v>
      </x:c>
      <x:c r="H106" s="43" t="str">
        <x:v>P156 L015</x:v>
      </x:c>
      <x:c r="I106" s="43" t="str">
        <x:v>https://static.cninfo.com.cn/finalpage/2026-03-24/1225026522.PDF</x:v>
      </x:c>
    </x:row>
    <x:row r="107" ht="29" customHeight="1">
      <x:c r="C107" s="42" t="str">
        <x:v>18,584,743,718.09                59.9</x:v>
      </x:c>
      <x:c r="D107" s="43" t="str">
        <x:v>FY2025</x:v>
      </x:c>
      <x:c r="E107" s="43" t="n">
        <x:v>18584.74371809</x:v>
      </x:c>
      <x:c r="F107" s="43" t="str">
        <x:v>RMB million</x:v>
      </x:c>
      <x:c r="G107" s="43" t="str">
        <x:v>SOURCE_FACT</x:v>
      </x:c>
      <x:c r="H107" s="43" t="str">
        <x:v>P015 L021</x:v>
      </x:c>
      <x:c r="I107" s="43" t="str">
        <x:v>https://static.cninfo.com.cn/finalpage/2026-03-24/1225026522.PDF</x:v>
      </x:c>
    </x:row>
    <x:row r="108" ht="29" customHeight="1">
      <x:c r="C108" s="42" t="str">
        <x:v>汽车零部件        12,427,000,792.18                40.0</x:v>
      </x:c>
      <x:c r="D108" s="43" t="str">
        <x:v>FY2025</x:v>
      </x:c>
      <x:c r="E108" s="43" t="n">
        <x:v>12427.00079218</x:v>
      </x:c>
      <x:c r="F108" s="43" t="str">
        <x:v>RMB million</x:v>
      </x:c>
      <x:c r="G108" s="43" t="str">
        <x:v>SOURCE_FACT</x:v>
      </x:c>
      <x:c r="H108" s="43" t="str">
        <x:v>P015 L023</x:v>
      </x:c>
      <x:c r="I108" s="43" t="str">
        <x:v>https://static.cninfo.com.cn/finalpage/2026-03-24/1225026522.PDF</x:v>
      </x:c>
    </x:row>
    <x:row r="109" ht="29" customHeight="1">
      <x:c r="C109" s="42" t="str">
        <x:v>10,444,845,407.34           61.80%</x:v>
      </x:c>
      <x:c r="D109" s="43" t="str">
        <x:v>H12026</x:v>
      </x:c>
      <x:c r="E109" s="43" t="n">
        <x:v>10444.84540734</x:v>
      </x:c>
      <x:c r="F109" s="43" t="str">
        <x:v>RMB million</x:v>
      </x:c>
      <x:c r="G109" s="43" t="str">
        <x:v>SOURCE_FACT</x:v>
      </x:c>
      <x:c r="H109" s="43" t="str">
        <x:v>P013 L052</x:v>
      </x:c>
      <x:c r="I109" s="43" t="str">
        <x:v>https://static.cninfo.com.cn/finalpage/2026-08-27/1225514004.PDF</x:v>
      </x:c>
    </x:row>
    <x:row r="110" ht="29" customHeight="1">
      <x:c r="C110" s="42" t="str">
        <x:v>10,444,845,407.34           61.80%</x:v>
      </x:c>
      <x:c r="D110" s="43" t="str">
        <x:v>H12026</x:v>
      </x:c>
      <x:c r="E110" s="43" t="n">
        <x:v>10388.693367670001</x:v>
      </x:c>
      <x:c r="F110" s="43" t="str">
        <x:v>RMB million</x:v>
      </x:c>
      <x:c r="G110" s="43" t="str">
        <x:v>SOURCE_FACT</x:v>
      </x:c>
      <x:c r="H110" s="43" t="str">
        <x:v>P013 L052</x:v>
      </x:c>
      <x:c r="I110" s="43" t="str">
        <x:v>https://static.cninfo.com.cn/finalpage/2026-08-27/1225514004.PDF</x:v>
      </x:c>
    </x:row>
    <x:row r="111" ht="29" customHeight="1">
      <x:c r="C111" s="42" t="str">
        <x:v>汽车零部件        6,455,127,153.23           38.20%</x:v>
      </x:c>
      <x:c r="D111" s="43" t="str">
        <x:v>H12026</x:v>
      </x:c>
      <x:c r="E111" s="43" t="n">
        <x:v>6455.12715323</x:v>
      </x:c>
      <x:c r="F111" s="43" t="str">
        <x:v>RMB million</x:v>
      </x:c>
      <x:c r="G111" s="43" t="str">
        <x:v>SOURCE_FACT</x:v>
      </x:c>
      <x:c r="H111" s="43" t="str">
        <x:v>P013 L054</x:v>
      </x:c>
      <x:c r="I111" s="43" t="str">
        <x:v>https://static.cninfo.com.cn/finalpage/2026-08-27/1225514004.PDF</x:v>
      </x:c>
    </x:row>
    <x:row r="112" ht="29" customHeight="1">
      <x:c r="C112" s="42" t="str">
        <x:v>汽车零部件        6,455,127,153.23           38.20%</x:v>
      </x:c>
      <x:c r="D112" s="43" t="str">
        <x:v>H12026</x:v>
      </x:c>
      <x:c r="E112" s="43" t="n">
        <x:v>5874.09408078</x:v>
      </x:c>
      <x:c r="F112" s="43" t="str">
        <x:v>RMB million</x:v>
      </x:c>
      <x:c r="G112" s="43" t="str">
        <x:v>SOURCE_FACT</x:v>
      </x:c>
      <x:c r="H112" s="43" t="str">
        <x:v>P013 L054</x:v>
      </x:c>
      <x:c r="I112" s="43" t="str">
        <x:v>https://static.cninfo.com.cn/finalpage/2026-08-27/1225514004.PDF</x:v>
      </x:c>
    </x:row>
    <x:row r="113" ht="29" customHeight="1">
      <x:c r="C113" s="42"/>
      <x:c r="D113" s="43"/>
      <x:c r="E113" s="43"/>
      <x:c r="F113" s="43"/>
      <x:c r="G113" s="43"/>
      <x:c r="H113" s="43"/>
      <x:c r="I113" s="43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三花智控 Sanhua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-3.637978807091713e-12</x:v>
      </x:c>
      <x:c r="E9" s="19" t="n">
        <x:f>'Statements'!E55</x:f>
        <x:v>-7.275957614183426e-12</x:v>
      </x:c>
      <x:c r="F9" s="19" t="n">
        <x:f>'Statements'!F55</x:f>
        <x:v>-7.275957614183426e-12</x:v>
      </x:c>
      <x:c r="G9" s="19" t="n">
        <x:f>'Statements'!G55</x:f>
        <x:v>-7.275957614183426e-12</x:v>
      </x:c>
      <x:c r="H9" s="19" t="n">
        <x:f>'Statements'!H55</x:f>
        <x:v>-7.275957614183426e-12</x:v>
      </x:c>
      <x:c r="I9" s="19" t="n">
        <x:f>'Statements'!I55</x:f>
        <x:v>7.275957614183426e-12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0</x:v>
      </x:c>
      <x:c r="E10" s="19" t="n">
        <x:f>'Statements'!E80+'Statements'!E79-'Statements'!E81</x:f>
        <x:v>-4.547473508864641e-13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7.275957614183426e-12</x:v>
      </x:c>
      <x:c r="E11" s="19" t="n">
        <x:f>SUM('SourceFacts'!E31,'SourceFacts'!E33:'SourceFacts'!E39)-'SourceFacts'!E40</x:f>
        <x:v>7.275957614183426e-12</x:v>
      </x:c>
      <x:c r="F11" s="19" t="n">
        <x:f>SUM('SourceFacts'!F31,'SourceFacts'!F33:'SourceFacts'!F39)-'SourceFacts'!F40</x:f>
        <x:v>0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1.8189894035458565e-12</x:v>
      </x:c>
      <x:c r="E12" s="19" t="n">
        <x:f>SUM('SourceFacts'!E41:'SourceFacts'!E46)-'SourceFacts'!E47</x:f>
        <x:v>-3.637978807091713e-12</x:v>
      </x:c>
      <x:c r="F12" s="19" t="n">
        <x:f>SUM('SourceFacts'!F41:'SourceFacts'!F46)-'SourceFacts'!F47</x:f>
        <x:v>0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SUM('Interim'!E16:E17)-'Interim'!E9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</x:f>
        <x:v>0</x:v>
      </x:c>
      <x:c r="H35" s="19" t="n">
        <x:f>MAX(0,0-'Operating'!H12)+MAX(0,0-'Operating'!H20)</x:f>
        <x:v>0</x:v>
      </x:c>
      <x:c r="I35" s="19" t="n">
        <x:f>MAX(0,0-'Operating'!I12)+MAX(0,0-'Operating'!I20)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</x:f>
        <x:v>0</x:v>
      </x:c>
      <x:c r="H36" s="19" t="n">
        <x:f>MAX(0,-1-'Assumptions'!H66)+MAX(0,-1-'Assumptions'!H67)+MAX(0,-1-'Assumptions'!H70)+MAX(0,-1-'Assumptions'!H71)</x:f>
        <x:v>0</x:v>
      </x:c>
      <x:c r="I36" s="19" t="n">
        <x:f>MAX(0,-1-'Assumptions'!I66)+MAX(0,-1-'Assumptions'!I67)+MAX(0,-1-'Assumptions'!I70)+MAX(0,-1-'Assumptions'!I71)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