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ca127b502e40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6ba62f69f1ad41d1"/>
    <x:sheet xmlns:r="http://schemas.openxmlformats.org/officeDocument/2006/relationships" name="Assumptions" sheetId="2" r:id="Re0e7236755a748e5"/>
    <x:sheet xmlns:r="http://schemas.openxmlformats.org/officeDocument/2006/relationships" name="Operating" sheetId="3" r:id="R8c2f7dd136f64102"/>
    <x:sheet xmlns:r="http://schemas.openxmlformats.org/officeDocument/2006/relationships" name="Statements" sheetId="4" r:id="R99c9996883184e1c"/>
    <x:sheet xmlns:r="http://schemas.openxmlformats.org/officeDocument/2006/relationships" name="WorkingCapital" sheetId="5" r:id="R90f535e722bb4424"/>
    <x:sheet xmlns:r="http://schemas.openxmlformats.org/officeDocument/2006/relationships" name="FixedAssets" sheetId="6" r:id="Rc6b84b5f40934980"/>
    <x:sheet xmlns:r="http://schemas.openxmlformats.org/officeDocument/2006/relationships" name="FundingTaxEquity" sheetId="7" r:id="Ref47dc84ff664f2c"/>
    <x:sheet xmlns:r="http://schemas.openxmlformats.org/officeDocument/2006/relationships" name="Interim" sheetId="8" r:id="R15c29e705c2d42b5"/>
    <x:sheet xmlns:r="http://schemas.openxmlformats.org/officeDocument/2006/relationships" name="SourceFacts" sheetId="9" r:id="R7ad9e5158e324711"/>
    <x:sheet xmlns:r="http://schemas.openxmlformats.org/officeDocument/2006/relationships" name="SourceBS" sheetId="10" r:id="Rce393b6dbf354ac7"/>
    <x:sheet xmlns:r="http://schemas.openxmlformats.org/officeDocument/2006/relationships" name="Sources" sheetId="11" r:id="R6acb34759315475f"/>
    <x:sheet xmlns:r="http://schemas.openxmlformats.org/officeDocument/2006/relationships" name="Checks" sheetId="12" r:id="R5e6156b01a6c4f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;(#,##0.0);&quot;-&quot;"/>
    <x:numFmt numFmtId="201" formatCode="yyyy&quot;A&quot;"/>
    <x:numFmt numFmtId="202" formatCode="yyyy&quot;E&quot;"/>
    <x:numFmt numFmtId="203" formatCode="0.0%;(0.0%);&quot;-&quot;"/>
  </x:numFmts>
  <x:fonts count="12">
    <x:font>
      <x:sz val="11"/>
      <x:name val="Carlito"/>
    </x:font>
    <x:font>
      <x:sz val="11"/>
      <x:color rgb="FF222222"/>
      <x:name val="Helvetica"/>
    </x:font>
    <x:font>
      <x:b/>
      <x:sz val="15"/>
      <x:color rgb="FF222222"/>
      <x:name val="Helvetica"/>
    </x:font>
    <x:font>
      <x:i/>
      <x:sz val="11"/>
      <x:color rgb="FF222222"/>
      <x:name val="Helvetica"/>
    </x:font>
    <x:font>
      <x:sz val="11"/>
      <x:color rgb="FF008000"/>
      <x:name val="Helvetica"/>
    </x:font>
    <x:font>
      <x:b/>
      <x:sz val="11"/>
      <x:color rgb="FFFFFFFF"/>
      <x:name val="Helvetica"/>
    </x:font>
    <x:font>
      <x:sz val="11"/>
      <x:color rgb="FF0000FF"/>
      <x:name val="Helvetica"/>
    </x:font>
    <x:font>
      <x:sz val="11"/>
      <x:color rgb="FF000000"/>
      <x:name val="Helvetica"/>
    </x:font>
    <x:font>
      <x:b/>
      <x:sz val="11"/>
      <x:color rgb="FF222222"/>
      <x:name val="Helvetica"/>
    </x:font>
    <x:font>
      <x:b/>
      <x:sz val="11"/>
      <x:color rgb="FF000000"/>
      <x:name val="Helvetica"/>
    </x:font>
    <x:font>
      <x:b/>
      <x:sz val="11"/>
      <x:color rgb="FF008000"/>
      <x:name val="Helvetica"/>
    </x:font>
    <x:font>
      <x:sz val="10"/>
      <x:color rgb="FF222222"/>
      <x:name val="Helvetica"/>
    </x:font>
  </x:fonts>
  <x:fills count="4">
    <x:fill>
      <x:patternFill patternType="none"/>
    </x:fill>
    <x:fill>
      <x:patternFill patternType="gray125"/>
    </x:fill>
    <x:fill>
      <x:patternFill patternType="solid">
        <x:fgColor rgb="FF203A50"/>
      </x:patternFill>
    </x:fill>
    <x:fill>
      <x:patternFill patternType="solid">
        <x:fgColor rgb="FFFFF4CC"/>
      </x:patternFill>
    </x:fill>
  </x:fills>
  <x:borders count="3">
    <x:border/>
    <x:border>
      <x:bottom style="thin">
        <x:color rgb="FF203A50"/>
      </x:bottom>
    </x:border>
    <x:border>
      <x:top style="thin">
        <x:color rgb="FF758696"/>
      </x:top>
    </x:border>
  </x:borders>
  <x:cellStyleXfs count="1">
    <x:xf numFmtId="0" fontId="0" fillId="0" borderId="0"/>
  </x:cellStyleXfs>
  <x:cellXfs count="44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201" fontId="4" fillId="0" borderId="0" xfId="0" applyNumberFormat="1" applyFont="1" applyFill="1" applyBorder="1"/>
    <x:xf numFmtId="202" fontId="4" fillId="0" borderId="0" xfId="0" applyNumberFormat="1" applyFont="1" applyFill="1" applyBorder="1"/>
    <x:xf numFmtId="0" fontId="1" fillId="2" borderId="0" xfId="0" applyNumberFormat="1" applyFont="1" applyFill="1" applyBorder="1"/>
    <x:xf numFmtId="201" fontId="4" fillId="2" borderId="0" xfId="0" applyNumberFormat="1" applyFont="1" applyFill="1" applyBorder="1"/>
    <x:xf numFmtId="202" fontId="4" fillId="2" borderId="0" xfId="0" applyNumberFormat="1" applyFont="1" applyFill="1" applyBorder="1"/>
    <x:xf numFmtId="0" fontId="5" fillId="2" borderId="0" xfId="0" applyNumberFormat="1" applyFont="1" applyFill="1" applyBorder="1"/>
    <x:xf numFmtId="201" fontId="5" fillId="2" borderId="0" xfId="0" applyNumberFormat="1" applyFont="1" applyFill="1" applyBorder="1"/>
    <x:xf numFmtId="202" fontId="5" fillId="2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1" fontId="1" fillId="2" borderId="0" xfId="0" applyNumberFormat="1" applyFont="1" applyFill="1" applyBorder="1"/>
    <x:xf numFmtId="202" fontId="1" fillId="2" borderId="0" xfId="0" applyNumberFormat="1" applyFont="1" applyFill="1" applyBorder="1"/>
    <x:xf numFmtId="200" fontId="4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0" fontId="6" fillId="0" borderId="0" xfId="0" applyNumberFormat="1" applyFont="1" applyFill="1" applyBorder="1"/>
    <x:xf numFmtId="200" fontId="6" fillId="3" borderId="0" xfId="0" applyNumberFormat="1" applyFont="1" applyFill="1" applyBorder="1"/>
    <x:xf numFmtId="203" fontId="6" fillId="3" borderId="0" xfId="0" applyNumberFormat="1" applyFont="1" applyFill="1" applyBorder="1"/>
    <x:xf numFmtId="200" fontId="1" fillId="2" borderId="0" xfId="0" applyNumberFormat="1" applyFont="1" applyFill="1" applyBorder="1"/>
    <x:xf numFmtId="200" fontId="5" fillId="2" borderId="0" xfId="0" applyNumberFormat="1" applyFont="1" applyFill="1" applyBorder="1"/>
    <x:xf numFmtId="203" fontId="1" fillId="0" borderId="0" xfId="0" applyNumberFormat="1" applyFont="1" applyFill="1" applyBorder="1"/>
    <x:xf numFmtId="200" fontId="7" fillId="0" borderId="0" xfId="0" applyNumberFormat="1" applyFont="1" applyFill="1" applyBorder="1"/>
    <x:xf numFmtId="200" fontId="1" fillId="3" borderId="0" xfId="0" applyNumberFormat="1" applyFont="1" applyFill="1" applyBorder="1"/>
    <x:xf numFmtId="200" fontId="7" fillId="3" borderId="0" xfId="0" applyNumberFormat="1" applyFont="1" applyFill="1" applyBorder="1"/>
    <x:xf numFmtId="203" fontId="7" fillId="3" borderId="0" xfId="0" applyNumberFormat="1" applyFont="1" applyFill="1" applyBorder="1"/>
    <x:xf numFmtId="203" fontId="4" fillId="0" borderId="0" xfId="0" applyNumberFormat="1" applyFont="1" applyFill="1" applyBorder="1"/>
    <x:xf numFmtId="0" fontId="8" fillId="0" borderId="0" xfId="0" applyNumberFormat="1" applyFont="1" applyFill="1" applyBorder="1"/>
    <x:xf numFmtId="200" fontId="8" fillId="0" borderId="0" xfId="0" applyNumberFormat="1" applyFont="1" applyFill="1" applyBorder="1"/>
    <x:xf numFmtId="0" fontId="8" fillId="0" borderId="2" xfId="0" applyNumberFormat="1" applyFont="1" applyFill="1" applyBorder="1"/>
    <x:xf numFmtId="200" fontId="8" fillId="0" borderId="2" xfId="0" applyNumberFormat="1" applyFont="1" applyFill="1" applyBorder="1"/>
    <x:xf numFmtId="200" fontId="9" fillId="0" borderId="2" xfId="0" applyNumberFormat="1" applyFont="1" applyFill="1" applyBorder="1"/>
    <x:xf numFmtId="200" fontId="10" fillId="0" borderId="2" xfId="0" applyNumberFormat="1" applyFont="1" applyFill="1" applyBorder="1"/>
    <x:xf numFmtId="203" fontId="7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1" fillId="0" borderId="0" xfId="0" applyNumberFormat="1" applyFont="1" applyFill="1" applyBorder="1"/>
    <x:xf numFmtId="200" fontId="11" fillId="0" borderId="0" xfId="0" applyNumberFormat="1" applyFont="1" applyFill="1" applyBorder="1"/>
    <x:xf numFmtId="0" fontId="11" fillId="0" borderId="0" xfId="0" applyNumberFormat="1" applyFont="1" applyFill="1" applyBorder="1" applyAlignment="1">
      <x:alignment wrapText="1"/>
    </x:xf>
    <x:xf numFmtId="200" fontId="11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color rgb="FF008000"/>
      </x:font>
    </x:dxf>
    <x:dxf>
      <x:fill>
        <x:patternFill patternType="solid">
          <x:bgColor rgb="FFFDE7D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a505c55526439f" /><Relationship Type="http://schemas.openxmlformats.org/officeDocument/2006/relationships/theme" Target="/xl/theme/theme1.xml" Id="R68627a648c74490f" /><Relationship Type="http://schemas.openxmlformats.org/officeDocument/2006/relationships/sharedStrings" Target="/xl/sharedStrings.xml" Id="Rd6388877178042ea" /><Relationship Type="http://schemas.openxmlformats.org/officeDocument/2006/relationships/worksheet" Target="/xl/worksheets/sheet1.xml" Id="R6ba62f69f1ad41d1" /><Relationship Type="http://schemas.openxmlformats.org/officeDocument/2006/relationships/worksheet" Target="/xl/worksheets/sheet2.xml" Id="Re0e7236755a748e5" /><Relationship Type="http://schemas.openxmlformats.org/officeDocument/2006/relationships/worksheet" Target="/xl/worksheets/sheet3.xml" Id="R8c2f7dd136f64102" /><Relationship Type="http://schemas.openxmlformats.org/officeDocument/2006/relationships/worksheet" Target="/xl/worksheets/sheet4.xml" Id="R99c9996883184e1c" /><Relationship Type="http://schemas.openxmlformats.org/officeDocument/2006/relationships/worksheet" Target="/xl/worksheets/sheet5.xml" Id="R90f535e722bb4424" /><Relationship Type="http://schemas.openxmlformats.org/officeDocument/2006/relationships/worksheet" Target="/xl/worksheets/sheet6.xml" Id="Rc6b84b5f40934980" /><Relationship Type="http://schemas.openxmlformats.org/officeDocument/2006/relationships/worksheet" Target="/xl/worksheets/sheet7.xml" Id="Ref47dc84ff664f2c" /><Relationship Type="http://schemas.openxmlformats.org/officeDocument/2006/relationships/worksheet" Target="/xl/worksheets/sheet8.xml" Id="R15c29e705c2d42b5" /><Relationship Type="http://schemas.openxmlformats.org/officeDocument/2006/relationships/worksheet" Target="/xl/worksheets/sheet9.xml" Id="R7ad9e5158e324711" /><Relationship Type="http://schemas.openxmlformats.org/officeDocument/2006/relationships/worksheet" Target="/xl/worksheets/sheet10.xml" Id="Rce393b6dbf354ac7" /><Relationship Type="http://schemas.openxmlformats.org/officeDocument/2006/relationships/worksheet" Target="/xl/worksheets/sheet11.xml" Id="R6acb34759315475f" /><Relationship Type="http://schemas.openxmlformats.org/officeDocument/2006/relationships/worksheet" Target="/xl/worksheets/sheet12.xml" Id="R5e6156b01a6c4f4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53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21" customHeight="1">
      <x:c r="C1" s="1"/>
      <x:c r="D1" s="1"/>
      <x:c r="E1" s="1"/>
      <x:c r="F1" s="1"/>
      <x:c r="G1" s="1"/>
      <x:c r="H1" s="1"/>
      <x:c r="I1" s="1"/>
    </x:row>
    <x:row r="2" ht="21" customHeight="1">
      <x:c r="C2" s="4" t="str">
        <x:v>创科实业 TTI</x:v>
      </x:c>
      <x:c r="D2" s="4"/>
      <x:c r="E2" s="4"/>
      <x:c r="F2" s="4"/>
      <x:c r="G2" s="4"/>
      <x:c r="H2" s="4"/>
      <x:c r="I2" s="4"/>
    </x:row>
    <x:row r="3" ht="21" customHeight="1">
      <x:c r="C3" s="5" t="str">
        <x:v>Overview · USD million · December year-end</x:v>
      </x:c>
      <x:c r="D3" s="5"/>
      <x:c r="E3" s="5"/>
      <x:c r="F3" s="5"/>
      <x:c r="G3" s="5"/>
      <x:c r="H3" s="5"/>
      <x:c r="I3" s="5"/>
    </x:row>
    <x:row r="4" ht="21" customHeight="1">
      <x:c r="C4" s="1"/>
      <x:c r="D4" s="1"/>
      <x:c r="E4" s="1"/>
      <x:c r="F4" s="1"/>
      <x:c r="G4" s="1"/>
      <x:c r="H4" s="1"/>
      <x:c r="I4" s="1"/>
    </x:row>
    <x:row r="5" ht="21" customHeight="1">
      <x:c r="C5" s="1"/>
      <x:c r="D5" s="1"/>
      <x:c r="E5" s="1"/>
      <x:c r="F5" s="1"/>
      <x:c r="G5" s="1"/>
      <x:c r="H5" s="1"/>
      <x:c r="I5" s="1"/>
    </x:row>
    <x:row r="6" ht="21" customHeight="1">
      <x:c r="C6" s="1"/>
      <x:c r="D6" s="1"/>
      <x:c r="E6" s="1"/>
      <x:c r="F6" s="1"/>
      <x:c r="G6" s="1"/>
      <x:c r="H6" s="1"/>
      <x:c r="I6" s="1"/>
    </x:row>
    <x:row r="7" ht="21" customHeight="1">
      <x:c r="C7" s="12"/>
      <x:c r="D7" s="13" t="n">
        <x:f>'Assumptions'!D7</x:f>
        <x:v>45291</x:v>
      </x:c>
      <x:c r="E7" s="13" t="n">
        <x:f>'Assumptions'!E7</x:f>
        <x:v>45657</x:v>
      </x:c>
      <x:c r="F7" s="13" t="n">
        <x:f>'Assumptions'!F7</x:f>
        <x:v>46022</x:v>
      </x:c>
      <x:c r="G7" s="14" t="n">
        <x:f>'Assumptions'!G7</x:f>
        <x:v>46387</x:v>
      </x:c>
      <x:c r="H7" s="14" t="n">
        <x:f>'Assumptions'!H7</x:f>
        <x:v>46752</x:v>
      </x:c>
      <x:c r="I7" s="14" t="n">
        <x:f>'Assumptions'!I7</x:f>
        <x:v>47118</x:v>
      </x:c>
    </x:row>
    <x:row r="8" ht="21" customHeight="1">
      <x:c r="C8" s="1"/>
      <x:c r="D8" s="2"/>
      <x:c r="E8" s="2"/>
      <x:c r="F8" s="2"/>
      <x:c r="G8" s="2"/>
      <x:c r="H8" s="2"/>
      <x:c r="I8" s="2"/>
    </x:row>
    <x:row r="9" ht="21" customHeight="1">
      <x:c r="C9" s="1" t="str">
        <x:v>Revenue</x:v>
      </x:c>
      <x:c r="D9" s="19" t="n">
        <x:f>'Statements'!D10</x:f>
        <x:v>13731.411</x:v>
      </x:c>
      <x:c r="E9" s="19" t="n">
        <x:f>'Statements'!E10</x:f>
        <x:v>14621.616</x:v>
      </x:c>
      <x:c r="F9" s="19" t="n">
        <x:f>'Statements'!F10</x:f>
        <x:v>15259.533</x:v>
      </x:c>
      <x:c r="G9" s="19" t="n">
        <x:f>'Statements'!G10</x:f>
        <x:v>16227.151292413659</x:v>
      </x:c>
      <x:c r="H9" s="19" t="n">
        <x:f>'Statements'!H10</x:f>
        <x:v>17362.06835802675</x:v>
      </x:c>
      <x:c r="I9" s="19" t="n">
        <x:f>'Statements'!I10</x:f>
        <x:v>18593.26572776275</x:v>
      </x:c>
    </x:row>
    <x:row r="10" ht="21" customHeight="1">
      <x:c r="C10" s="1" t="str">
        <x:v>Gross profit</x:v>
      </x:c>
      <x:c r="D10" s="19" t="n">
        <x:f>'Statements'!D12</x:f>
        <x:v>5419.636</x:v>
      </x:c>
      <x:c r="E10" s="19" t="n">
        <x:f>'Statements'!E12</x:f>
        <x:v>5895.5560000000005</x:v>
      </x:c>
      <x:c r="F10" s="19" t="n">
        <x:f>'Statements'!F12</x:f>
        <x:v>6291.937</x:v>
      </x:c>
      <x:c r="G10" s="19" t="n">
        <x:f>'Statements'!G12</x:f>
        <x:v>6674.348820145031</x:v>
      </x:c>
      <x:c r="H10" s="19" t="n">
        <x:f>'Statements'!H12</x:f>
        <x:v>7224.477183174136</x:v>
      </x:c>
      <x:c r="I10" s="19" t="n">
        <x:f>'Statements'!I12</x:f>
        <x:v>7804.920473346514</x:v>
      </x:c>
    </x:row>
    <x:row r="11" ht="21" customHeight="1">
      <x:c r="C11" s="1" t="str">
        <x:v>EBITDA proxy; definition in Statements</x:v>
      </x:c>
      <x:c r="D11" s="19" t="n">
        <x:f>'Statements'!D21</x:f>
        <x:v>1768.203</x:v>
      </x:c>
      <x:c r="E11" s="19" t="n">
        <x:f>'Statements'!E21</x:f>
        <x:v>2049.78</x:v>
      </x:c>
      <x:c r="F11" s="19" t="n">
        <x:f>'Statements'!F21</x:f>
        <x:v>2205.489</x:v>
      </x:c>
      <x:c r="G11" s="19" t="n">
        <x:f>'Statements'!G21</x:f>
        <x:v>2345.3406914060934</x:v>
      </x:c>
      <x:c r="H11" s="19" t="n">
        <x:f>'Statements'!H21</x:f>
        <x:v>2509.3723891075865</x:v>
      </x:c>
      <x:c r="I11" s="19" t="n">
        <x:f>'Statements'!I21</x:f>
        <x:v>2687.319660218811</x:v>
      </x:c>
    </x:row>
    <x:row r="12" ht="21" customHeight="1">
      <x:c r="C12" s="1" t="str">
        <x:v>Consolidated net income</x:v>
      </x:c>
      <x:c r="D12" s="19" t="n">
        <x:f>'Statements'!D25</x:f>
        <x:v>976.34</x:v>
      </x:c>
      <x:c r="E12" s="19" t="n">
        <x:f>'Statements'!E25</x:f>
        <x:v>1121.68</x:v>
      </x:c>
      <x:c r="F12" s="19" t="n">
        <x:f>'Statements'!F25</x:f>
        <x:v>1198.294</x:v>
      </x:c>
      <x:c r="G12" s="19" t="n">
        <x:f>'Statements'!G25</x:f>
        <x:v>1298.0103585115007</x:v>
      </x:c>
      <x:c r="H12" s="19" t="n">
        <x:f>'Statements'!H25</x:f>
        <x:v>1509.2847436072714</x:v>
      </x:c>
      <x:c r="I12" s="19" t="n">
        <x:f>'Statements'!I25</x:f>
        <x:v>1723.640539253483</x:v>
      </x:c>
    </x:row>
    <x:row r="13" ht="21" customHeight="1">
      <x:c r="C13" s="1" t="str">
        <x:v>Operating cash flow</x:v>
      </x:c>
      <x:c r="D13" s="19" t="n">
        <x:f>'Statements'!D65</x:f>
        <x:v>2103.875</x:v>
      </x:c>
      <x:c r="E13" s="19" t="n">
        <x:f>'Statements'!E65</x:f>
        <x:v>2267.646</x:v>
      </x:c>
      <x:c r="F13" s="19" t="n">
        <x:f>'Statements'!F65</x:f>
        <x:v>1979.181</x:v>
      </x:c>
      <x:c r="G13" s="19" t="n">
        <x:f>'Statements'!G65</x:f>
        <x:v>1972.8167176346524</x:v>
      </x:c>
      <x:c r="H13" s="19" t="n">
        <x:f>'Statements'!H65</x:f>
        <x:v>2242.972024796302</x:v>
      </x:c>
      <x:c r="I13" s="19" t="n">
        <x:f>'Statements'!I65</x:f>
        <x:v>2420.8152081681283</x:v>
      </x:c>
    </x:row>
    <x:row r="14" ht="21" customHeight="1">
      <x:c r="C14" s="1" t="str">
        <x:v>Free cash flow before financing</x:v>
      </x:c>
      <x:c r="D14" s="19" t="n">
        <x:f>'Statements'!D87</x:f>
        <x:v>1229.714</x:v>
      </x:c>
      <x:c r="E14" s="19" t="n">
        <x:f>'Statements'!E87</x:f>
        <x:v>1581.2380000000003</x:v>
      </x:c>
      <x:c r="F14" s="19" t="n">
        <x:f>'Statements'!F87</x:f>
        <x:v>1389.316</x:v>
      </x:c>
      <x:c r="G14" s="19" t="n">
        <x:f>'Statements'!G87</x:f>
        <x:v>1345.5479409886316</x:v>
      </x:c>
      <x:c r="H14" s="19" t="n">
        <x:f>'Statements'!H87</x:f>
        <x:v>1571.8324524379964</x:v>
      </x:c>
      <x:c r="I14" s="19" t="n">
        <x:f>'Statements'!I87</x:f>
        <x:v>1702.0830760310062</x:v>
      </x:c>
    </x:row>
    <x:row r="15" ht="21" customHeight="1">
      <x:c r="C15" s="1" t="str">
        <x:v>Closing cash and cash equivalents</x:v>
      </x:c>
      <x:c r="D15" s="19" t="n">
        <x:f>'Statements'!D31</x:f>
        <x:v>953.24</x:v>
      </x:c>
      <x:c r="E15" s="19" t="n">
        <x:f>'Statements'!E31</x:f>
        <x:v>1232.347</x:v>
      </x:c>
      <x:c r="F15" s="19" t="n">
        <x:f>'Statements'!F31</x:f>
        <x:v>1677.729</x:v>
      </x:c>
      <x:c r="G15" s="19" t="n">
        <x:f>'Statements'!G31</x:f>
        <x:v>2022.4851617328811</x:v>
      </x:c>
      <x:c r="H15" s="19" t="n">
        <x:f>'Statements'!H31</x:f>
        <x:v>2536.0745523672417</x:v>
      </x:c>
      <x:c r="I15" s="19" t="n">
        <x:f>'Statements'!I31</x:f>
        <x:v>3111.2853967715064</x:v>
      </x:c>
    </x:row>
    <x:row r="16" ht="21" customHeight="1">
      <x:c r="C16" s="1" t="str">
        <x:v>Borrowings and lease liabilities</x:v>
      </x:c>
      <x:c r="D16" s="19" t="n">
        <x:f>'Statements'!D44</x:f>
        <x:v>2841.7219999999998</x:v>
      </x:c>
      <x:c r="E16" s="19" t="n">
        <x:f>'Statements'!E44</x:f>
        <x:v>2110.185</x:v>
      </x:c>
      <x:c r="F16" s="19" t="n">
        <x:f>'Statements'!F44</x:f>
        <x:v>1758.9330000000002</x:v>
      </x:c>
      <x:c r="G16" s="19" t="n">
        <x:f>'Statements'!G44</x:f>
        <x:v>1518.0034500000002</x:v>
      </x:c>
      <x:c r="H16" s="19" t="n">
        <x:f>'Statements'!H44</x:f>
        <x:v>1325.2598100000002</x:v>
      </x:c>
      <x:c r="I16" s="19" t="n">
        <x:f>'Statements'!I44</x:f>
        <x:v>1171.0648980000003</x:v>
      </x:c>
    </x:row>
    <x:row r="17" ht="21" customHeight="1">
      <x:c r="C17" s="1" t="str">
        <x:v>Balance-sheet difference</x:v>
      </x:c>
      <x:c r="D17" s="19" t="n">
        <x:f>'Statements'!D55</x:f>
        <x:v>0</x:v>
      </x:c>
      <x:c r="E17" s="19" t="n">
        <x:f>'Statements'!E55</x:f>
        <x:v>0</x:v>
      </x:c>
      <x:c r="F17" s="19" t="n">
        <x:f>'Statements'!F55</x:f>
        <x:v>-1.8189894035458565e-12</x:v>
      </x:c>
      <x:c r="G17" s="19" t="n">
        <x:f>'Statements'!G55</x:f>
        <x:v>-1.8189894035458565e-12</x:v>
      </x:c>
      <x:c r="H17" s="19" t="n">
        <x:f>'Statements'!H55</x:f>
        <x:v>0</x:v>
      </x:c>
      <x:c r="I17" s="19" t="n">
        <x:f>'Statements'!I55</x:f>
        <x:v>0</x:v>
      </x:c>
    </x:row>
    <x:row r="18" ht="21" customHeight="1">
      <x:c r="C18" s="1"/>
      <x:c r="D18" s="2"/>
      <x:c r="E18" s="2"/>
      <x:c r="F18" s="2"/>
      <x:c r="G18" s="2"/>
      <x:c r="H18" s="2"/>
      <x:c r="I18" s="2"/>
    </x:row>
    <x:row r="19" ht="21" customHeight="1">
      <x:c r="C19" s="1"/>
      <x:c r="D19" s="2"/>
      <x:c r="E19" s="2"/>
      <x:c r="F19" s="2"/>
      <x:c r="G19" s="2"/>
      <x:c r="H19" s="2"/>
      <x:c r="I19" s="2"/>
    </x:row>
    <x:row r="20" ht="21" customHeight="1">
      <x:c r="C20" s="1"/>
      <x:c r="D20" s="2"/>
      <x:c r="E20" s="2"/>
      <x:c r="F20" s="2"/>
      <x:c r="G20" s="2"/>
      <x:c r="H20" s="2"/>
      <x:c r="I20" s="2"/>
    </x:row>
    <x:row r="21" ht="21" customHeight="1">
      <x:c r="C21" s="39" t="str">
        <x:v>Public banker training model. Forecasts are educational scenarios, not company guidance or investment advice.</x:v>
      </x:c>
      <x:c r="D21" s="20"/>
      <x:c r="E21" s="20"/>
      <x:c r="F21" s="20"/>
      <x:c r="G21" s="20"/>
      <x:c r="H21" s="20"/>
      <x:c r="I21" s="20"/>
    </x:row>
    <x:row r="22" ht="21" customHeight="1">
      <x:c r="C22" s="39"/>
      <x:c r="D22" s="20"/>
      <x:c r="E22" s="20"/>
      <x:c r="F22" s="20"/>
      <x:c r="G22" s="20"/>
      <x:c r="H22" s="20"/>
      <x:c r="I22" s="20"/>
    </x:row>
    <x:row r="23" ht="21" customHeight="1">
      <x:c r="C23" s="39" t="str">
        <x:v>Sources retrieved 2026-09-06. Annual actuals 2023–2025; H1 2026 observed, unaudited/reviewed as disclosed.</x:v>
      </x:c>
      <x:c r="D23" s="20"/>
      <x:c r="E23" s="20"/>
      <x:c r="F23" s="20"/>
      <x:c r="G23" s="20"/>
      <x:c r="H23" s="20"/>
      <x:c r="I23" s="20"/>
    </x:row>
    <x:row r="24" ht="21" customHeight="1">
      <x:c r="C24" s="39"/>
      <x:c r="D24" s="20"/>
      <x:c r="E24" s="20"/>
      <x:c r="F24" s="20"/>
      <x:c r="G24" s="20"/>
      <x:c r="H24" s="20"/>
      <x:c r="I24" s="20"/>
    </x:row>
    <x:row r="25" ht="21" customHeight="1">
      <x:c r="C25" s="39" t="str">
        <x:v>Edit Assumptions G:I. For 2026, segment volume / price inputs apply to the remaining H2 business.</x:v>
      </x:c>
      <x:c r="D25" s="20"/>
      <x:c r="E25" s="20"/>
      <x:c r="F25" s="20"/>
      <x:c r="G25" s="20"/>
      <x:c r="H25" s="20"/>
      <x:c r="I25" s="20"/>
    </x:row>
    <x:row r="26" ht="21" customHeight="1">
      <x:c r="C26" s="39"/>
      <x:c r="D26" s="20"/>
      <x:c r="E26" s="20"/>
      <x:c r="F26" s="20"/>
      <x:c r="G26" s="20"/>
      <x:c r="H26" s="20"/>
      <x:c r="I26" s="20"/>
    </x:row>
    <x:row r="27" ht="21" customHeight="1">
      <x:c r="C27" s="39" t="str">
        <x:v>Historical balance sheets are fully mapped by named source line. Checks never feed cash, debt, equity or other balances.</x:v>
      </x:c>
      <x:c r="D27" s="20"/>
      <x:c r="E27" s="20"/>
      <x:c r="F27" s="20"/>
      <x:c r="G27" s="20"/>
      <x:c r="H27" s="20"/>
      <x:c r="I27" s="20"/>
    </x:row>
    <x:row r="28" ht="21" customHeight="1">
      <x:c r="C28" s="39"/>
      <x:c r="D28" s="20"/>
      <x:c r="E28" s="20"/>
      <x:c r="F28" s="20"/>
      <x:c r="G28" s="20"/>
      <x:c r="H28" s="20"/>
      <x:c r="I28" s="20"/>
    </x:row>
    <x:row r="29" ht="21" customHeight="1">
      <x:c r="C29" s="39" t="str">
        <x:v>H1 segment allocation is a LEAP where not extracted. TTI uses restated Professional / Consumer H1 data and a LEAP FY2025 allocation.</x:v>
      </x:c>
      <x:c r="D29" s="20"/>
      <x:c r="E29" s="20"/>
      <x:c r="F29" s="20"/>
      <x:c r="G29" s="20"/>
      <x:c r="H29" s="20"/>
      <x:c r="I29" s="20"/>
    </x:row>
    <x:row r="30" ht="21" customHeight="1">
      <x:c r="C30" s="39"/>
      <x:c r="D30" s="20"/>
      <x:c r="E30" s="20"/>
      <x:c r="F30" s="20"/>
      <x:c r="G30" s="20"/>
      <x:c r="H30" s="20"/>
      <x:c r="I30" s="20"/>
    </x:row>
    <x:row r="31" ht="21" customHeight="1">
      <x:c r="C31" s="39" t="str">
        <x:v>D&amp;A allocation, capex split, future margins, cash income classification and tax timing are explicit LEAPs.</x:v>
      </x:c>
      <x:c r="D31" s="20"/>
      <x:c r="E31" s="20"/>
      <x:c r="F31" s="20"/>
      <x:c r="G31" s="20"/>
      <x:c r="H31" s="20"/>
      <x:c r="I31" s="20"/>
    </x:row>
    <x:row r="32" ht="21" customHeight="1">
      <x:c r="C32" s="39"/>
      <x:c r="D32" s="20"/>
      <x:c r="E32" s="20"/>
      <x:c r="F32" s="20"/>
      <x:c r="G32" s="20"/>
      <x:c r="H32" s="20"/>
      <x:c r="I32" s="20"/>
    </x:row>
    <x:row r="33" ht="21" customHeight="1">
      <x:c r="C33" s="39" t="str">
        <x:v>Borrowings and leases are aggregated. New lease recognition has matching ROU and funding entries. No automatic cash sweep.</x:v>
      </x:c>
      <x:c r="D33" s="20"/>
      <x:c r="E33" s="20"/>
      <x:c r="F33" s="20"/>
      <x:c r="G33" s="20"/>
      <x:c r="H33" s="20"/>
      <x:c r="I33" s="20"/>
    </x:row>
    <x:row r="34" ht="21" customHeight="1">
      <x:c r="C34" s="39"/>
      <x:c r="D34" s="20"/>
      <x:c r="E34" s="20"/>
      <x:c r="F34" s="20"/>
      <x:c r="G34" s="20"/>
      <x:c r="H34" s="20"/>
      <x:c r="I34" s="20"/>
    </x:row>
    <x:row r="35" ht="21" customHeight="1">
      <x:c r="C35" s="39" t="str">
        <x:v>Cash is the cash-flow definition. Other monetary balances remain separate. Negative cash is a visible scenario warning.</x:v>
      </x:c>
      <x:c r="D35" s="20"/>
      <x:c r="E35" s="20"/>
      <x:c r="F35" s="20"/>
      <x:c r="G35" s="20"/>
      <x:c r="H35" s="20"/>
      <x:c r="I35" s="20"/>
    </x:row>
    <x:row r="36" ht="21" customHeight="1">
      <x:c r="C36" s="39"/>
      <x:c r="D36" s="20"/>
      <x:c r="E36" s="20"/>
      <x:c r="F36" s="20"/>
      <x:c r="G36" s="20"/>
      <x:c r="H36" s="20"/>
      <x:c r="I36" s="20"/>
    </x:row>
    <x:row r="37" ht="21" customHeight="1">
      <x:c r="C37" s="39" t="str">
        <x:v>Share repurchases reduce modeled retained earnings. Distribution caps are analytical constraints, not legal opinions.</x:v>
      </x:c>
      <x:c r="D37" s="20"/>
      <x:c r="E37" s="20"/>
      <x:c r="F37" s="20"/>
      <x:c r="G37" s="20"/>
      <x:c r="H37" s="20"/>
      <x:c r="I37" s="20"/>
    </x:row>
    <x:row r="38" ht="21" customHeight="1">
      <x:c r="C38" s="39"/>
      <x:c r="D38" s="20"/>
      <x:c r="E38" s="20"/>
      <x:c r="F38" s="20"/>
      <x:c r="G38" s="20"/>
      <x:c r="H38" s="20"/>
      <x:c r="I38" s="20"/>
    </x:row>
    <x:row r="39" ht="21" customHeight="1">
      <x:c r="C39" s="39" t="str">
        <x:v>Other asset/liability components default flat. FX cash is assumed zero. Forecast deferred tax and detailed FX hedging are not modeled.</x:v>
      </x:c>
      <x:c r="D39" s="20"/>
      <x:c r="E39" s="20"/>
      <x:c r="F39" s="20"/>
      <x:c r="G39" s="20"/>
      <x:c r="H39" s="20"/>
      <x:c r="I39" s="20"/>
    </x:row>
    <x:row r="40" ht="21" customHeight="1">
      <x:c r="C40" s="39"/>
      <x:c r="D40" s="20"/>
      <x:c r="E40" s="20"/>
      <x:c r="F40" s="20"/>
      <x:c r="G40" s="20"/>
      <x:c r="H40" s="20"/>
      <x:c r="I40" s="20"/>
    </x:row>
    <x:row r="41" ht="21" customHeight="1">
      <x:c r="C41" s="39" t="str">
        <x:v>Blue text: editable input. Green text: same-workbook link. Yellow fill: forecast input or LEAP.</x:v>
      </x:c>
      <x:c r="D41" s="20"/>
      <x:c r="E41" s="20"/>
      <x:c r="F41" s="20"/>
      <x:c r="G41" s="20"/>
      <x:c r="H41" s="20"/>
      <x:c r="I41" s="20"/>
    </x:row>
    <x:row r="42" ht="21" customHeight="1">
      <x:c r="C42" s="39"/>
      <x:c r="D42" s="20"/>
      <x:c r="E42" s="20"/>
      <x:c r="F42" s="20"/>
      <x:c r="G42" s="20"/>
      <x:c r="H42" s="20"/>
      <x:c r="I42" s="20"/>
    </x:row>
    <x:row r="43" ht="21" customHeight="1">
      <x:c r="C43" s="39" t="str">
        <x:v>Teaching model. Review source data, assumptions and limitations before project use.</x:v>
      </x:c>
      <x:c r="D43" s="20"/>
      <x:c r="E43" s="20"/>
      <x:c r="F43" s="20"/>
      <x:c r="G43" s="20"/>
      <x:c r="H43" s="20"/>
      <x:c r="I43" s="20"/>
    </x:row>
    <x:row r="44" ht="21" customHeight="1">
      <x:c r="C44" s="39"/>
      <x:c r="D44" s="20"/>
      <x:c r="E44" s="20"/>
      <x:c r="F44" s="20"/>
      <x:c r="G44" s="20"/>
      <x:c r="H44" s="20"/>
      <x:c r="I44" s="20"/>
    </x:row>
    <x:row r="45" ht="21" customHeight="1">
      <x:c r="C45" s="1"/>
      <x:c r="D45" s="2"/>
      <x:c r="E45" s="2"/>
      <x:c r="F45" s="2"/>
      <x:c r="G45" s="2"/>
      <x:c r="H45" s="2"/>
      <x:c r="I45" s="2"/>
    </x:row>
    <x:row r="46" ht="21" customHeight="1">
      <x:c r="C46" s="1"/>
      <x:c r="D46" s="2"/>
      <x:c r="E46" s="2"/>
      <x:c r="F46" s="2"/>
      <x:c r="G46" s="2"/>
      <x:c r="H46" s="2"/>
      <x:c r="I46" s="2"/>
    </x:row>
    <x:row r="47" ht="21" customHeight="1">
      <x:c r="C47" s="1"/>
      <x:c r="D47" s="2"/>
      <x:c r="E47" s="2"/>
      <x:c r="F47" s="2"/>
      <x:c r="G47" s="2"/>
      <x:c r="H47" s="2"/>
      <x:c r="I47" s="2"/>
    </x:row>
    <x:row r="48" ht="21" customHeight="1">
      <x:c r="C48" s="1"/>
      <x:c r="D48" s="2"/>
      <x:c r="E48" s="2"/>
      <x:c r="F48" s="2"/>
      <x:c r="G48" s="2"/>
      <x:c r="H48" s="2"/>
      <x:c r="I48" s="2"/>
    </x:row>
    <x:row r="49" ht="21" customHeight="1">
      <x:c r="C49" s="1"/>
      <x:c r="D49" s="2"/>
      <x:c r="E49" s="2"/>
      <x:c r="F49" s="2"/>
      <x:c r="G49" s="2"/>
      <x:c r="H49" s="2"/>
      <x:c r="I49" s="2"/>
    </x:row>
    <x:row r="50" ht="21" customHeight="1">
      <x:c r="C50" s="1"/>
      <x:c r="D50" s="2"/>
      <x:c r="E50" s="2"/>
      <x:c r="F50" s="2"/>
      <x:c r="G50" s="2"/>
      <x:c r="H50" s="2"/>
      <x:c r="I50" s="2"/>
    </x:row>
    <x:row r="51" ht="21" customHeight="1">
      <x:c r="C51" s="1"/>
      <x:c r="D51" s="2"/>
      <x:c r="E51" s="2"/>
      <x:c r="F51" s="2"/>
      <x:c r="G51" s="2"/>
      <x:c r="H51" s="2"/>
      <x:c r="I51" s="2"/>
    </x:row>
    <x:row r="52" ht="21" customHeight="1">
      <x:c r="C52" s="1"/>
      <x:c r="D52" s="2"/>
      <x:c r="E52" s="2"/>
      <x:c r="F52" s="2"/>
      <x:c r="G52" s="2"/>
      <x:c r="H52" s="2"/>
      <x:c r="I52" s="2"/>
    </x:row>
    <x:row r="53" ht="21" customHeight="1">
      <x:c r="C53" s="1"/>
      <x:c r="D53" s="2"/>
      <x:c r="E53" s="2"/>
      <x:c r="F53" s="2"/>
      <x:c r="G53" s="2"/>
      <x:c r="H53" s="2"/>
      <x:c r="I53" s="2"/>
    </x:row>
    <x:row r="54" ht="21" customHeight="1">
      <x:c r="C54" s="1"/>
      <x:c r="D54" s="2"/>
      <x:c r="E54" s="2"/>
      <x:c r="F54" s="2"/>
      <x:c r="G54" s="2"/>
      <x:c r="H54" s="2"/>
      <x:c r="I54" s="2"/>
    </x:row>
    <x:row r="55" ht="21" customHeight="1">
      <x:c r="C55" s="1"/>
      <x:c r="D55" s="2"/>
      <x:c r="E55" s="2"/>
      <x:c r="F55" s="2"/>
      <x:c r="G55" s="2"/>
      <x:c r="H55" s="2"/>
      <x:c r="I55" s="2"/>
    </x:row>
    <x:row r="56" ht="21" customHeight="1">
      <x:c r="C56" s="1"/>
      <x:c r="D56" s="2"/>
      <x:c r="E56" s="2"/>
      <x:c r="F56" s="2"/>
      <x:c r="G56" s="2"/>
      <x:c r="H56" s="2"/>
      <x:c r="I56" s="2"/>
    </x:row>
    <x:row r="57" ht="21" customHeight="1">
      <x:c r="C57" s="1"/>
      <x:c r="D57" s="2"/>
      <x:c r="E57" s="2"/>
      <x:c r="F57" s="2"/>
      <x:c r="G57" s="2"/>
      <x:c r="H57" s="2"/>
      <x:c r="I57" s="2"/>
    </x:row>
    <x:row r="58" ht="21" customHeight="1">
      <x:c r="C58" s="1"/>
      <x:c r="D58" s="2"/>
      <x:c r="E58" s="2"/>
      <x:c r="F58" s="2"/>
      <x:c r="G58" s="2"/>
      <x:c r="H58" s="2"/>
      <x:c r="I58" s="2"/>
    </x:row>
    <x:row r="59" ht="21" customHeight="1">
      <x:c r="C59" s="1"/>
      <x:c r="D59" s="2"/>
      <x:c r="E59" s="2"/>
      <x:c r="F59" s="2"/>
      <x:c r="G59" s="2"/>
      <x:c r="H59" s="2"/>
      <x:c r="I59" s="2"/>
    </x:row>
    <x:row r="60" ht="21" customHeight="1">
      <x:c r="C60" s="1"/>
      <x:c r="D60" s="2"/>
      <x:c r="E60" s="2"/>
      <x:c r="F60" s="2"/>
      <x:c r="G60" s="2"/>
      <x:c r="H60" s="2"/>
      <x:c r="I60" s="2"/>
    </x:row>
    <x:row r="61" ht="21" customHeight="1">
      <x:c r="C61" s="1"/>
      <x:c r="D61" s="2"/>
      <x:c r="E61" s="2"/>
      <x:c r="F61" s="2"/>
      <x:c r="G61" s="2"/>
      <x:c r="H61" s="2"/>
      <x:c r="I61" s="2"/>
    </x:row>
    <x:row r="62" ht="21" customHeight="1">
      <x:c r="C62" s="1"/>
      <x:c r="D62" s="2"/>
      <x:c r="E62" s="2"/>
      <x:c r="F62" s="2"/>
      <x:c r="G62" s="2"/>
      <x:c r="H62" s="2"/>
      <x:c r="I62" s="2"/>
    </x:row>
    <x:row r="63" ht="21" customHeight="1">
      <x:c r="C63" s="1"/>
      <x:c r="D63" s="2"/>
      <x:c r="E63" s="2"/>
      <x:c r="F63" s="2"/>
      <x:c r="G63" s="2"/>
      <x:c r="H63" s="2"/>
      <x:c r="I63" s="2"/>
    </x:row>
    <x:row r="64" ht="21" customHeight="1">
      <x:c r="C64" s="1"/>
      <x:c r="D64" s="2"/>
      <x:c r="E64" s="2"/>
      <x:c r="F64" s="2"/>
      <x:c r="G64" s="2"/>
      <x:c r="H64" s="2"/>
      <x:c r="I64" s="2"/>
    </x:row>
    <x:row r="65" ht="21" customHeight="1">
      <x:c r="C65" s="1"/>
      <x:c r="D65" s="2"/>
      <x:c r="E65" s="2"/>
      <x:c r="F65" s="2"/>
      <x:c r="G65" s="2"/>
      <x:c r="H65" s="2"/>
      <x:c r="I65" s="2"/>
    </x:row>
    <x:row r="66" ht="21" customHeight="1">
      <x:c r="C66" s="1"/>
      <x:c r="D66" s="2"/>
      <x:c r="E66" s="2"/>
      <x:c r="F66" s="2"/>
      <x:c r="G66" s="2"/>
      <x:c r="H66" s="2"/>
      <x:c r="I66" s="2"/>
    </x:row>
    <x:row r="67" ht="21" customHeight="1">
      <x:c r="C67" s="1"/>
      <x:c r="D67" s="2"/>
      <x:c r="E67" s="2"/>
      <x:c r="F67" s="2"/>
      <x:c r="G67" s="2"/>
      <x:c r="H67" s="2"/>
      <x:c r="I67" s="2"/>
    </x:row>
    <x:row r="68" ht="21" customHeight="1">
      <x:c r="C68" s="1"/>
      <x:c r="D68" s="2"/>
      <x:c r="E68" s="2"/>
      <x:c r="F68" s="2"/>
      <x:c r="G68" s="2"/>
      <x:c r="H68" s="2"/>
      <x:c r="I68" s="2"/>
    </x:row>
    <x:row r="69" ht="21" customHeight="1">
      <x:c r="C69" s="1"/>
      <x:c r="D69" s="2"/>
      <x:c r="E69" s="2"/>
      <x:c r="F69" s="2"/>
      <x:c r="G69" s="2"/>
      <x:c r="H69" s="2"/>
      <x:c r="I69" s="2"/>
    </x:row>
    <x:row r="70" ht="21" customHeight="1">
      <x:c r="C70" s="1"/>
      <x:c r="D70" s="2"/>
      <x:c r="E70" s="2"/>
      <x:c r="F70" s="2"/>
      <x:c r="G70" s="2"/>
      <x:c r="H70" s="2"/>
      <x:c r="I70" s="2"/>
    </x:row>
    <x:row r="71" ht="21" customHeight="1">
      <x:c r="C71" s="1"/>
      <x:c r="D71" s="2"/>
      <x:c r="E71" s="2"/>
      <x:c r="F71" s="2"/>
      <x:c r="G71" s="2"/>
      <x:c r="H71" s="2"/>
      <x:c r="I71" s="2"/>
    </x:row>
    <x:row r="72" ht="21" customHeight="1">
      <x:c r="C72" s="1"/>
      <x:c r="D72" s="2"/>
      <x:c r="E72" s="2"/>
      <x:c r="F72" s="2"/>
      <x:c r="G72" s="2"/>
      <x:c r="H72" s="2"/>
      <x:c r="I72" s="2"/>
    </x:row>
    <x:row r="73" ht="21" customHeight="1">
      <x:c r="C73" s="1"/>
      <x:c r="D73" s="2"/>
      <x:c r="E73" s="2"/>
      <x:c r="F73" s="2"/>
      <x:c r="G73" s="2"/>
      <x:c r="H73" s="2"/>
      <x:c r="I73" s="2"/>
    </x:row>
    <x:row r="74" ht="21" customHeight="1">
      <x:c r="C74" s="1"/>
      <x:c r="D74" s="2"/>
      <x:c r="E74" s="2"/>
      <x:c r="F74" s="2"/>
      <x:c r="G74" s="2"/>
      <x:c r="H74" s="2"/>
      <x:c r="I74" s="2"/>
    </x:row>
    <x:row r="75" ht="21" customHeight="1">
      <x:c r="C75" s="1"/>
      <x:c r="D75" s="2"/>
      <x:c r="E75" s="2"/>
      <x:c r="F75" s="2"/>
      <x:c r="G75" s="2"/>
      <x:c r="H75" s="2"/>
      <x:c r="I75" s="2"/>
    </x:row>
    <x:row r="76" ht="21" customHeight="1">
      <x:c r="C76" s="1"/>
      <x:c r="D76" s="2"/>
      <x:c r="E76" s="2"/>
      <x:c r="F76" s="2"/>
      <x:c r="G76" s="2"/>
      <x:c r="H76" s="2"/>
      <x:c r="I76" s="2"/>
    </x:row>
    <x:row r="77" ht="21" customHeight="1">
      <x:c r="C77" s="1"/>
      <x:c r="D77" s="2"/>
      <x:c r="E77" s="2"/>
      <x:c r="F77" s="2"/>
      <x:c r="G77" s="2"/>
      <x:c r="H77" s="2"/>
      <x:c r="I77" s="2"/>
    </x:row>
    <x:row r="78" ht="21" customHeight="1">
      <x:c r="C78" s="1"/>
      <x:c r="D78" s="2"/>
      <x:c r="E78" s="2"/>
      <x:c r="F78" s="2"/>
      <x:c r="G78" s="2"/>
      <x:c r="H78" s="2"/>
      <x:c r="I78" s="2"/>
    </x:row>
    <x:row r="79" ht="21" customHeight="1">
      <x:c r="C79" s="1"/>
      <x:c r="D79" s="2"/>
      <x:c r="E79" s="2"/>
      <x:c r="F79" s="2"/>
      <x:c r="G79" s="2"/>
      <x:c r="H79" s="2"/>
      <x:c r="I79" s="2"/>
    </x:row>
    <x:row r="80" ht="21" customHeight="1">
      <x:c r="C80" s="1"/>
      <x:c r="D80" s="2"/>
      <x:c r="E80" s="2"/>
      <x:c r="F80" s="2"/>
      <x:c r="G80" s="2"/>
      <x:c r="H80" s="2"/>
      <x:c r="I80" s="2"/>
    </x:row>
    <x:row r="81" ht="21" customHeight="1">
      <x:c r="C81" s="1"/>
      <x:c r="D81" s="2"/>
      <x:c r="E81" s="2"/>
      <x:c r="F81" s="2"/>
      <x:c r="G81" s="2"/>
      <x:c r="H81" s="2"/>
      <x:c r="I81" s="2"/>
    </x:row>
    <x:row r="82" ht="21" customHeight="1">
      <x:c r="C82" s="1"/>
      <x:c r="D82" s="2"/>
      <x:c r="E82" s="2"/>
      <x:c r="F82" s="2"/>
      <x:c r="G82" s="2"/>
      <x:c r="H82" s="2"/>
      <x:c r="I82" s="2"/>
    </x:row>
    <x:row r="83" ht="21" customHeight="1">
      <x:c r="C83" s="1"/>
      <x:c r="D83" s="2"/>
      <x:c r="E83" s="2"/>
      <x:c r="F83" s="2"/>
      <x:c r="G83" s="2"/>
      <x:c r="H83" s="2"/>
      <x:c r="I83" s="2"/>
    </x:row>
    <x:row r="84" ht="21" customHeight="1">
      <x:c r="C84" s="1"/>
      <x:c r="D84" s="2"/>
      <x:c r="E84" s="2"/>
      <x:c r="F84" s="2"/>
      <x:c r="G84" s="2"/>
      <x:c r="H84" s="2"/>
      <x:c r="I84" s="2"/>
    </x:row>
    <x:row r="85" ht="21" customHeight="1">
      <x:c r="C85" s="1"/>
      <x:c r="D85" s="2"/>
      <x:c r="E85" s="2"/>
      <x:c r="F85" s="2"/>
      <x:c r="G85" s="2"/>
      <x:c r="H85" s="2"/>
      <x:c r="I85" s="2"/>
    </x:row>
    <x:row r="86" ht="21" customHeight="1">
      <x:c r="C86" s="1"/>
      <x:c r="D86" s="2"/>
      <x:c r="E86" s="2"/>
      <x:c r="F86" s="2"/>
      <x:c r="G86" s="2"/>
      <x:c r="H86" s="2"/>
      <x:c r="I86" s="2"/>
    </x:row>
    <x:row r="87" ht="21" customHeight="1">
      <x:c r="C87" s="1"/>
      <x:c r="D87" s="2"/>
      <x:c r="E87" s="2"/>
      <x:c r="F87" s="2"/>
      <x:c r="G87" s="2"/>
      <x:c r="H87" s="2"/>
      <x:c r="I87" s="2"/>
    </x:row>
    <x:row r="88" ht="21" customHeight="1">
      <x:c r="C88" s="1"/>
      <x:c r="D88" s="2"/>
      <x:c r="E88" s="2"/>
      <x:c r="F88" s="2"/>
      <x:c r="G88" s="2"/>
      <x:c r="H88" s="2"/>
      <x:c r="I88" s="2"/>
    </x:row>
    <x:row r="89" ht="21" customHeight="1">
      <x:c r="C89" s="1"/>
      <x:c r="D89" s="2"/>
      <x:c r="E89" s="2"/>
      <x:c r="F89" s="2"/>
      <x:c r="G89" s="2"/>
      <x:c r="H89" s="2"/>
      <x:c r="I89" s="2"/>
    </x:row>
    <x:row r="90" ht="21" customHeight="1">
      <x:c r="C90" s="1"/>
      <x:c r="D90" s="2"/>
      <x:c r="E90" s="2"/>
      <x:c r="F90" s="2"/>
      <x:c r="G90" s="2"/>
      <x:c r="H90" s="2"/>
      <x:c r="I90" s="2"/>
    </x:row>
    <x:row r="91" ht="21" customHeight="1">
      <x:c r="C91" s="1"/>
      <x:c r="D91" s="2"/>
      <x:c r="E91" s="2"/>
      <x:c r="F91" s="2"/>
      <x:c r="G91" s="2"/>
      <x:c r="H91" s="2"/>
      <x:c r="I91" s="2"/>
    </x:row>
    <x:row r="92" ht="21" customHeight="1">
      <x:c r="C92" s="1"/>
      <x:c r="D92" s="2"/>
      <x:c r="E92" s="2"/>
      <x:c r="F92" s="2"/>
      <x:c r="G92" s="2"/>
      <x:c r="H92" s="2"/>
      <x:c r="I92" s="2"/>
    </x:row>
    <x:row r="93" ht="21" customHeight="1">
      <x:c r="C93" s="1"/>
      <x:c r="D93" s="2"/>
      <x:c r="E93" s="2"/>
      <x:c r="F93" s="2"/>
      <x:c r="G93" s="2"/>
      <x:c r="H93" s="2"/>
      <x:c r="I93" s="2"/>
    </x:row>
    <x:row r="94" ht="21" customHeight="1">
      <x:c r="C94" s="1"/>
      <x:c r="D94" s="2"/>
      <x:c r="E94" s="2"/>
      <x:c r="F94" s="2"/>
      <x:c r="G94" s="2"/>
      <x:c r="H94" s="2"/>
      <x:c r="I94" s="2"/>
    </x:row>
    <x:row r="95" ht="21" customHeight="1">
      <x:c r="C95" s="1"/>
      <x:c r="D95" s="2"/>
      <x:c r="E95" s="2"/>
      <x:c r="F95" s="2"/>
      <x:c r="G95" s="2"/>
      <x:c r="H95" s="2"/>
      <x:c r="I95" s="2"/>
    </x:row>
    <x:row r="96" ht="21" customHeight="1">
      <x:c r="C96" s="1"/>
      <x:c r="D96" s="2"/>
      <x:c r="E96" s="2"/>
      <x:c r="F96" s="2"/>
      <x:c r="G96" s="2"/>
      <x:c r="H96" s="2"/>
      <x:c r="I96" s="2"/>
    </x:row>
    <x:row r="97" ht="21" customHeight="1">
      <x:c r="C97" s="1"/>
      <x:c r="D97" s="2"/>
      <x:c r="E97" s="2"/>
      <x:c r="F97" s="2"/>
      <x:c r="G97" s="2"/>
      <x:c r="H97" s="2"/>
      <x:c r="I97" s="2"/>
    </x:row>
    <x:row r="98" ht="21" customHeight="1">
      <x:c r="C98" s="1"/>
      <x:c r="D98" s="2"/>
      <x:c r="E98" s="2"/>
      <x:c r="F98" s="2"/>
      <x:c r="G98" s="2"/>
      <x:c r="H98" s="2"/>
      <x:c r="I98" s="2"/>
    </x:row>
    <x:row r="99" ht="21" customHeight="1">
      <x:c r="C99" s="1"/>
      <x:c r="D99" s="2"/>
      <x:c r="E99" s="2"/>
      <x:c r="F99" s="2"/>
      <x:c r="G99" s="2"/>
      <x:c r="H99" s="2"/>
      <x:c r="I99" s="2"/>
    </x:row>
    <x:row r="100" ht="21" customHeight="1">
      <x:c r="C100" s="1"/>
      <x:c r="D100" s="2"/>
      <x:c r="E100" s="2"/>
      <x:c r="F100" s="2"/>
      <x:c r="G100" s="2"/>
      <x:c r="H100" s="2"/>
      <x:c r="I100" s="2"/>
    </x:row>
    <x:row r="101" ht="21" customHeight="1">
      <x:c r="C101" s="1"/>
      <x:c r="D101" s="2"/>
      <x:c r="E101" s="2"/>
      <x:c r="F101" s="2"/>
      <x:c r="G101" s="2"/>
      <x:c r="H101" s="2"/>
      <x:c r="I101" s="2"/>
    </x:row>
    <x:row r="102" ht="21" customHeight="1">
      <x:c r="C102" s="1"/>
      <x:c r="D102" s="2"/>
      <x:c r="E102" s="2"/>
      <x:c r="F102" s="2"/>
      <x:c r="G102" s="2"/>
      <x:c r="H102" s="2"/>
      <x:c r="I102" s="2"/>
    </x:row>
    <x:row r="103" ht="21" customHeight="1">
      <x:c r="C103" s="1"/>
      <x:c r="D103" s="2"/>
      <x:c r="E103" s="2"/>
      <x:c r="F103" s="2"/>
      <x:c r="G103" s="2"/>
      <x:c r="H103" s="2"/>
      <x:c r="I103" s="2"/>
    </x:row>
    <x:row r="104" ht="21" customHeight="1">
      <x:c r="C104" s="1"/>
      <x:c r="D104" s="2"/>
      <x:c r="E104" s="2"/>
      <x:c r="F104" s="2"/>
      <x:c r="G104" s="2"/>
      <x:c r="H104" s="2"/>
      <x:c r="I104" s="2"/>
    </x:row>
    <x:row r="105" ht="21" customHeight="1">
      <x:c r="C105" s="1"/>
      <x:c r="D105" s="2"/>
      <x:c r="E105" s="2"/>
      <x:c r="F105" s="2"/>
      <x:c r="G105" s="2"/>
      <x:c r="H105" s="2"/>
      <x:c r="I105" s="2"/>
    </x:row>
    <x:row r="106" ht="21" customHeight="1">
      <x:c r="C106" s="1"/>
      <x:c r="D106" s="2"/>
      <x:c r="E106" s="2"/>
      <x:c r="F106" s="2"/>
      <x:c r="G106" s="2"/>
      <x:c r="H106" s="2"/>
      <x:c r="I106" s="2"/>
    </x:row>
    <x:row r="107" ht="21" customHeight="1">
      <x:c r="C107" s="1"/>
      <x:c r="D107" s="2"/>
      <x:c r="E107" s="2"/>
      <x:c r="F107" s="2"/>
      <x:c r="G107" s="2"/>
      <x:c r="H107" s="2"/>
      <x:c r="I107" s="2"/>
    </x:row>
    <x:row r="108" ht="21" customHeight="1">
      <x:c r="C108" s="1"/>
      <x:c r="D108" s="2"/>
      <x:c r="E108" s="2"/>
      <x:c r="F108" s="2"/>
      <x:c r="G108" s="2"/>
      <x:c r="H108" s="2"/>
      <x:c r="I108" s="2"/>
    </x:row>
    <x:row r="109" ht="21" customHeight="1">
      <x:c r="C109" s="1"/>
      <x:c r="D109" s="2"/>
      <x:c r="E109" s="2"/>
      <x:c r="F109" s="2"/>
      <x:c r="G109" s="2"/>
      <x:c r="H109" s="2"/>
      <x:c r="I109" s="2"/>
    </x:row>
    <x:row r="110" ht="21" customHeight="1">
      <x:c r="C110" s="1"/>
      <x:c r="D110" s="2"/>
      <x:c r="E110" s="2"/>
      <x:c r="F110" s="2"/>
      <x:c r="G110" s="2"/>
      <x:c r="H110" s="2"/>
      <x:c r="I110" s="2"/>
    </x:row>
    <x:row r="111" ht="21" customHeight="1">
      <x:c r="C111" s="1"/>
      <x:c r="D111" s="2"/>
      <x:c r="E111" s="2"/>
      <x:c r="F111" s="2"/>
      <x:c r="G111" s="2"/>
      <x:c r="H111" s="2"/>
      <x:c r="I111" s="2"/>
    </x:row>
    <x:row r="112" ht="21" customHeight="1">
      <x:c r="C112" s="1"/>
      <x:c r="D112" s="2"/>
      <x:c r="E112" s="2"/>
      <x:c r="F112" s="2"/>
      <x:c r="G112" s="2"/>
      <x:c r="H112" s="2"/>
      <x:c r="I112" s="2"/>
    </x:row>
    <x:row r="113" ht="21" customHeight="1">
      <x:c r="C113" s="1"/>
      <x:c r="D113" s="2"/>
      <x:c r="E113" s="2"/>
      <x:c r="F113" s="2"/>
      <x:c r="G113" s="2"/>
      <x:c r="H113" s="2"/>
      <x:c r="I113" s="2"/>
    </x:row>
    <x:row r="114" ht="21" customHeight="1">
      <x:c r="C114" s="1"/>
      <x:c r="D114" s="2"/>
      <x:c r="E114" s="2"/>
      <x:c r="F114" s="2"/>
      <x:c r="G114" s="2"/>
      <x:c r="H114" s="2"/>
      <x:c r="I114" s="2"/>
    </x:row>
    <x:row r="115" ht="21" customHeight="1">
      <x:c r="C115" s="1"/>
      <x:c r="D115" s="2"/>
      <x:c r="E115" s="2"/>
      <x:c r="F115" s="2"/>
      <x:c r="G115" s="2"/>
      <x:c r="H115" s="2"/>
      <x:c r="I115" s="2"/>
    </x:row>
    <x:row r="116" ht="21" customHeight="1">
      <x:c r="C116" s="1"/>
      <x:c r="D116" s="2"/>
      <x:c r="E116" s="2"/>
      <x:c r="F116" s="2"/>
      <x:c r="G116" s="2"/>
      <x:c r="H116" s="2"/>
      <x:c r="I116" s="2"/>
    </x:row>
    <x:row r="117" ht="21" customHeight="1">
      <x:c r="C117" s="1"/>
      <x:c r="D117" s="2"/>
      <x:c r="E117" s="2"/>
      <x:c r="F117" s="2"/>
      <x:c r="G117" s="2"/>
      <x:c r="H117" s="2"/>
      <x:c r="I117" s="2"/>
    </x:row>
    <x:row r="118" ht="21" customHeight="1">
      <x:c r="C118" s="1"/>
      <x:c r="D118" s="2"/>
      <x:c r="E118" s="2"/>
      <x:c r="F118" s="2"/>
      <x:c r="G118" s="2"/>
      <x:c r="H118" s="2"/>
      <x:c r="I118" s="2"/>
    </x:row>
    <x:row r="119" ht="21" customHeight="1">
      <x:c r="C119" s="1"/>
      <x:c r="D119" s="2"/>
      <x:c r="E119" s="2"/>
      <x:c r="F119" s="2"/>
      <x:c r="G119" s="2"/>
      <x:c r="H119" s="2"/>
      <x:c r="I119" s="2"/>
    </x:row>
    <x:row r="120" ht="21" customHeight="1">
      <x:c r="C120" s="1"/>
      <x:c r="D120" s="2"/>
      <x:c r="E120" s="2"/>
      <x:c r="F120" s="2"/>
      <x:c r="G120" s="2"/>
      <x:c r="H120" s="2"/>
      <x:c r="I120" s="2"/>
    </x:row>
    <x:row r="121" ht="21" customHeight="1">
      <x:c r="C121" s="1"/>
      <x:c r="D121" s="2"/>
      <x:c r="E121" s="2"/>
      <x:c r="F121" s="2"/>
      <x:c r="G121" s="2"/>
      <x:c r="H121" s="2"/>
      <x:c r="I121" s="2"/>
    </x:row>
    <x:row r="122" ht="21" customHeight="1">
      <x:c r="C122" s="1"/>
      <x:c r="D122" s="2"/>
      <x:c r="E122" s="2"/>
      <x:c r="F122" s="2"/>
      <x:c r="G122" s="2"/>
      <x:c r="H122" s="2"/>
      <x:c r="I122" s="2"/>
    </x:row>
    <x:row r="123" ht="21" customHeight="1">
      <x:c r="C123" s="1"/>
      <x:c r="D123" s="2"/>
      <x:c r="E123" s="2"/>
      <x:c r="F123" s="2"/>
      <x:c r="G123" s="2"/>
      <x:c r="H123" s="2"/>
      <x:c r="I123" s="2"/>
    </x:row>
    <x:row r="124" ht="21" customHeight="1">
      <x:c r="C124" s="1"/>
      <x:c r="D124" s="2"/>
      <x:c r="E124" s="2"/>
      <x:c r="F124" s="2"/>
      <x:c r="G124" s="2"/>
      <x:c r="H124" s="2"/>
      <x:c r="I124" s="2"/>
    </x:row>
    <x:row r="125" ht="21" customHeight="1">
      <x:c r="C125" s="1"/>
      <x:c r="D125" s="2"/>
      <x:c r="E125" s="2"/>
      <x:c r="F125" s="2"/>
      <x:c r="G125" s="2"/>
      <x:c r="H125" s="2"/>
      <x:c r="I125" s="2"/>
    </x:row>
    <x:row r="126" ht="21" customHeight="1">
      <x:c r="C126" s="1"/>
      <x:c r="D126" s="2"/>
      <x:c r="E126" s="2"/>
      <x:c r="F126" s="2"/>
      <x:c r="G126" s="2"/>
      <x:c r="H126" s="2"/>
      <x:c r="I126" s="2"/>
    </x:row>
    <x:row r="127" ht="21" customHeight="1">
      <x:c r="C127" s="1"/>
      <x:c r="D127" s="2"/>
      <x:c r="E127" s="2"/>
      <x:c r="F127" s="2"/>
      <x:c r="G127" s="2"/>
      <x:c r="H127" s="2"/>
      <x:c r="I127" s="2"/>
    </x:row>
    <x:row r="128" ht="21" customHeight="1">
      <x:c r="C128" s="1"/>
      <x:c r="D128" s="2"/>
      <x:c r="E128" s="2"/>
      <x:c r="F128" s="2"/>
      <x:c r="G128" s="2"/>
      <x:c r="H128" s="2"/>
      <x:c r="I128" s="2"/>
    </x:row>
    <x:row r="129" ht="21" customHeight="1">
      <x:c r="C129" s="1"/>
      <x:c r="D129" s="2"/>
      <x:c r="E129" s="2"/>
      <x:c r="F129" s="2"/>
      <x:c r="G129" s="2"/>
      <x:c r="H129" s="2"/>
      <x:c r="I129" s="2"/>
    </x:row>
    <x:row r="130" ht="21" customHeight="1">
      <x:c r="C130" s="1"/>
      <x:c r="D130" s="2"/>
      <x:c r="E130" s="2"/>
      <x:c r="F130" s="2"/>
      <x:c r="G130" s="2"/>
      <x:c r="H130" s="2"/>
      <x:c r="I130" s="2"/>
    </x:row>
    <x:row r="131" ht="21" customHeight="1">
      <x:c r="C131" s="1"/>
      <x:c r="D131" s="2"/>
      <x:c r="E131" s="2"/>
      <x:c r="F131" s="2"/>
      <x:c r="G131" s="2"/>
      <x:c r="H131" s="2"/>
      <x:c r="I131" s="2"/>
    </x:row>
    <x:row r="132" ht="21" customHeight="1">
      <x:c r="C132" s="1"/>
      <x:c r="D132" s="2"/>
      <x:c r="E132" s="2"/>
      <x:c r="F132" s="2"/>
      <x:c r="G132" s="2"/>
      <x:c r="H132" s="2"/>
      <x:c r="I132" s="2"/>
    </x:row>
    <x:row r="133" ht="21" customHeight="1">
      <x:c r="C133" s="1"/>
      <x:c r="D133" s="2"/>
      <x:c r="E133" s="2"/>
      <x:c r="F133" s="2"/>
      <x:c r="G133" s="2"/>
      <x:c r="H133" s="2"/>
      <x:c r="I133" s="2"/>
    </x:row>
    <x:row r="134" ht="21" customHeight="1">
      <x:c r="C134" s="1"/>
      <x:c r="D134" s="2"/>
      <x:c r="E134" s="2"/>
      <x:c r="F134" s="2"/>
      <x:c r="G134" s="2"/>
      <x:c r="H134" s="2"/>
      <x:c r="I134" s="2"/>
    </x:row>
    <x:row r="135" ht="21" customHeight="1">
      <x:c r="C135" s="1"/>
      <x:c r="D135" s="2"/>
      <x:c r="E135" s="2"/>
      <x:c r="F135" s="2"/>
      <x:c r="G135" s="2"/>
      <x:c r="H135" s="2"/>
      <x:c r="I135" s="2"/>
    </x:row>
    <x:row r="136" ht="21" customHeight="1">
      <x:c r="C136" s="1"/>
      <x:c r="D136" s="2"/>
      <x:c r="E136" s="2"/>
      <x:c r="F136" s="2"/>
      <x:c r="G136" s="2"/>
      <x:c r="H136" s="2"/>
      <x:c r="I136" s="2"/>
    </x:row>
    <x:row r="137" ht="21" customHeight="1">
      <x:c r="C137" s="1"/>
      <x:c r="D137" s="2"/>
      <x:c r="E137" s="2"/>
      <x:c r="F137" s="2"/>
      <x:c r="G137" s="2"/>
      <x:c r="H137" s="2"/>
      <x:c r="I137" s="2"/>
    </x:row>
    <x:row r="138" ht="21" customHeight="1">
      <x:c r="C138" s="1"/>
      <x:c r="D138" s="2"/>
      <x:c r="E138" s="2"/>
      <x:c r="F138" s="2"/>
      <x:c r="G138" s="2"/>
      <x:c r="H138" s="2"/>
      <x:c r="I138" s="2"/>
    </x:row>
    <x:row r="139" ht="21" customHeight="1">
      <x:c r="C139" s="1"/>
      <x:c r="D139" s="2"/>
      <x:c r="E139" s="2"/>
      <x:c r="F139" s="2"/>
      <x:c r="G139" s="2"/>
      <x:c r="H139" s="2"/>
      <x:c r="I139" s="2"/>
    </x:row>
    <x:row r="140" ht="21" customHeight="1">
      <x:c r="C140" s="1"/>
      <x:c r="D140" s="2"/>
      <x:c r="E140" s="2"/>
      <x:c r="F140" s="2"/>
      <x:c r="G140" s="2"/>
      <x:c r="H140" s="2"/>
      <x:c r="I140" s="2"/>
    </x:row>
    <x:row r="141" ht="21" customHeight="1">
      <x:c r="C141" s="1"/>
      <x:c r="D141" s="2"/>
      <x:c r="E141" s="2"/>
      <x:c r="F141" s="2"/>
      <x:c r="G141" s="2"/>
      <x:c r="H141" s="2"/>
      <x:c r="I141" s="2"/>
    </x:row>
    <x:row r="142" ht="21" customHeight="1">
      <x:c r="C142" s="1"/>
      <x:c r="D142" s="2"/>
      <x:c r="E142" s="2"/>
      <x:c r="F142" s="2"/>
      <x:c r="G142" s="2"/>
      <x:c r="H142" s="2"/>
      <x:c r="I142" s="2"/>
    </x:row>
    <x:row r="143" ht="21" customHeight="1">
      <x:c r="C143" s="1"/>
      <x:c r="D143" s="2"/>
      <x:c r="E143" s="2"/>
      <x:c r="F143" s="2"/>
      <x:c r="G143" s="2"/>
      <x:c r="H143" s="2"/>
      <x:c r="I143" s="2"/>
    </x:row>
    <x:row r="144" ht="21" customHeight="1">
      <x:c r="C144" s="1"/>
      <x:c r="D144" s="2"/>
      <x:c r="E144" s="2"/>
      <x:c r="F144" s="2"/>
      <x:c r="G144" s="2"/>
      <x:c r="H144" s="2"/>
      <x:c r="I144" s="2"/>
    </x:row>
    <x:row r="145" ht="21" customHeight="1">
      <x:c r="C145" s="1"/>
      <x:c r="D145" s="2"/>
      <x:c r="E145" s="2"/>
      <x:c r="F145" s="2"/>
      <x:c r="G145" s="2"/>
      <x:c r="H145" s="2"/>
      <x:c r="I145" s="2"/>
    </x:row>
    <x:row r="146" ht="21" customHeight="1">
      <x:c r="C146" s="1"/>
      <x:c r="D146" s="2"/>
      <x:c r="E146" s="2"/>
      <x:c r="F146" s="2"/>
      <x:c r="G146" s="2"/>
      <x:c r="H146" s="2"/>
      <x:c r="I146" s="2"/>
    </x:row>
    <x:row r="147" ht="21" customHeight="1">
      <x:c r="C147" s="1"/>
      <x:c r="D147" s="2"/>
      <x:c r="E147" s="2"/>
      <x:c r="F147" s="2"/>
      <x:c r="G147" s="2"/>
      <x:c r="H147" s="2"/>
      <x:c r="I147" s="2"/>
    </x:row>
    <x:row r="148" ht="21" customHeight="1">
      <x:c r="C148" s="1"/>
      <x:c r="D148" s="2"/>
      <x:c r="E148" s="2"/>
      <x:c r="F148" s="2"/>
      <x:c r="G148" s="2"/>
      <x:c r="H148" s="2"/>
      <x:c r="I148" s="2"/>
    </x:row>
    <x:row r="149" ht="21" customHeight="1">
      <x:c r="C149" s="1"/>
      <x:c r="D149" s="2"/>
      <x:c r="E149" s="2"/>
      <x:c r="F149" s="2"/>
      <x:c r="G149" s="2"/>
      <x:c r="H149" s="2"/>
      <x:c r="I149" s="2"/>
    </x:row>
    <x:row r="150" ht="21" customHeight="1">
      <x:c r="C150" s="1"/>
      <x:c r="D150" s="2"/>
      <x:c r="E150" s="2"/>
      <x:c r="F150" s="2"/>
      <x:c r="G150" s="2"/>
      <x:c r="H150" s="2"/>
      <x:c r="I150" s="2"/>
    </x:row>
    <x:row r="151" ht="21" customHeight="1">
      <x:c r="C151" s="1"/>
      <x:c r="D151" s="2"/>
      <x:c r="E151" s="2"/>
      <x:c r="F151" s="2"/>
      <x:c r="G151" s="2"/>
      <x:c r="H151" s="2"/>
      <x:c r="I151" s="2"/>
    </x:row>
    <x:row r="152" ht="21" customHeight="1">
      <x:c r="C152" s="1"/>
      <x:c r="D152" s="2"/>
      <x:c r="E152" s="2"/>
      <x:c r="F152" s="2"/>
      <x:c r="G152" s="2"/>
      <x:c r="H152" s="2"/>
      <x:c r="I152" s="2"/>
    </x:row>
    <x:row r="153" ht="21" customHeight="1">
      <x:c r="C153" s="1"/>
      <x:c r="D153" s="2"/>
      <x:c r="E153" s="2"/>
      <x:c r="F153" s="2"/>
      <x:c r="G153" s="2"/>
      <x:c r="H153" s="2"/>
      <x:c r="I153" s="2"/>
    </x:row>
    <x:row r="154" ht="21" customHeight="1">
      <x:c r="C154" s="1"/>
      <x:c r="D154" s="2"/>
      <x:c r="E154" s="2"/>
      <x:c r="F154" s="2"/>
      <x:c r="G154" s="2"/>
      <x:c r="H154" s="2"/>
      <x:c r="I154" s="2"/>
    </x:row>
    <x:row r="155" ht="21" customHeight="1">
      <x:c r="C155" s="1"/>
      <x:c r="D155" s="2"/>
      <x:c r="E155" s="2"/>
      <x:c r="F155" s="2"/>
      <x:c r="G155" s="2"/>
      <x:c r="H155" s="2"/>
      <x:c r="I155" s="2"/>
    </x:row>
    <x:row r="156" ht="21" customHeight="1">
      <x:c r="C156" s="1"/>
      <x:c r="D156" s="2"/>
      <x:c r="E156" s="2"/>
      <x:c r="F156" s="2"/>
      <x:c r="G156" s="2"/>
      <x:c r="H156" s="2"/>
      <x:c r="I156" s="2"/>
    </x:row>
    <x:row r="157" ht="21" customHeight="1">
      <x:c r="C157" s="1"/>
      <x:c r="D157" s="2"/>
      <x:c r="E157" s="2"/>
      <x:c r="F157" s="2"/>
      <x:c r="G157" s="2"/>
      <x:c r="H157" s="2"/>
      <x:c r="I157" s="2"/>
    </x:row>
    <x:row r="158" ht="21" customHeight="1">
      <x:c r="C158" s="1"/>
      <x:c r="D158" s="2"/>
      <x:c r="E158" s="2"/>
      <x:c r="F158" s="2"/>
      <x:c r="G158" s="2"/>
      <x:c r="H158" s="2"/>
      <x:c r="I158" s="2"/>
    </x:row>
    <x:row r="159" ht="21" customHeight="1">
      <x:c r="C159" s="1"/>
      <x:c r="D159" s="2"/>
      <x:c r="E159" s="2"/>
      <x:c r="F159" s="2"/>
      <x:c r="G159" s="2"/>
      <x:c r="H159" s="2"/>
      <x:c r="I159" s="2"/>
    </x:row>
    <x:row r="160" ht="21" customHeight="1">
      <x:c r="C160" s="1"/>
      <x:c r="D160" s="2"/>
      <x:c r="E160" s="2"/>
      <x:c r="F160" s="2"/>
      <x:c r="G160" s="2"/>
      <x:c r="H160" s="2"/>
      <x:c r="I160" s="2"/>
    </x:row>
  </x:sheetData>
  <x:mergeCells>
    <x:mergeCell ref="C21:I22"/>
    <x:mergeCell ref="C23:I24"/>
    <x:mergeCell ref="C25:I26"/>
    <x:mergeCell ref="C27:I28"/>
    <x:mergeCell ref="C29:I30"/>
    <x:mergeCell ref="C31:I32"/>
    <x:mergeCell ref="C33:I34"/>
    <x:mergeCell ref="C35:I36"/>
    <x:mergeCell ref="C37:I38"/>
    <x:mergeCell ref="C39:I40"/>
    <x:mergeCell ref="C41:I42"/>
    <x:mergeCell ref="C43:I4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53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21" customHeight="1">
      <x:c r="C1" s="1"/>
      <x:c r="D1" s="1"/>
      <x:c r="E1" s="1"/>
      <x:c r="F1" s="1"/>
      <x:c r="G1" s="1"/>
      <x:c r="H1" s="1"/>
      <x:c r="I1" s="1"/>
    </x:row>
    <x:row r="2" ht="21" customHeight="1">
      <x:c r="C2" s="4" t="str">
        <x:v>创科实业 TTI</x:v>
      </x:c>
      <x:c r="D2" s="4"/>
      <x:c r="E2" s="4"/>
      <x:c r="F2" s="4"/>
      <x:c r="G2" s="4"/>
      <x:c r="H2" s="4"/>
      <x:c r="I2" s="4"/>
    </x:row>
    <x:row r="3" ht="21" customHeight="1">
      <x:c r="C3" s="5" t="str">
        <x:v>Assumptions · USD million · December year-end</x:v>
      </x:c>
      <x:c r="D3" s="5"/>
      <x:c r="E3" s="5"/>
      <x:c r="F3" s="5"/>
      <x:c r="G3" s="5"/>
      <x:c r="H3" s="5"/>
      <x:c r="I3" s="5"/>
    </x:row>
    <x:row r="4" ht="21" customHeight="1">
      <x:c r="C4" s="1"/>
      <x:c r="D4" s="1"/>
      <x:c r="E4" s="1"/>
      <x:c r="F4" s="1"/>
      <x:c r="G4" s="1"/>
      <x:c r="H4" s="1"/>
      <x:c r="I4" s="1"/>
    </x:row>
    <x:row r="5" ht="21" customHeight="1">
      <x:c r="C5" s="1"/>
      <x:c r="D5" s="1"/>
      <x:c r="E5" s="1"/>
      <x:c r="F5" s="1"/>
      <x:c r="G5" s="1"/>
      <x:c r="H5" s="1"/>
      <x:c r="I5" s="1"/>
    </x:row>
    <x:row r="6" ht="21" customHeight="1">
      <x:c r="C6" s="1"/>
      <x:c r="D6" s="1"/>
      <x:c r="E6" s="1"/>
      <x:c r="F6" s="1"/>
      <x:c r="G6" s="1"/>
      <x:c r="H6" s="1"/>
      <x:c r="I6" s="1"/>
    </x:row>
    <x:row r="7" ht="21" customHeight="1">
      <x:c r="C7" s="12"/>
      <x:c r="D7" s="13" t="n">
        <x:v>45291</x:v>
      </x:c>
      <x:c r="E7" s="13" t="n">
        <x:v>45657</x:v>
      </x:c>
      <x:c r="F7" s="13" t="n">
        <x:v>46022</x:v>
      </x:c>
      <x:c r="G7" s="14" t="n">
        <x:v>46387</x:v>
      </x:c>
      <x:c r="H7" s="14" t="n">
        <x:v>46752</x:v>
      </x:c>
      <x:c r="I7" s="14" t="n">
        <x:v>47118</x:v>
      </x:c>
    </x:row>
    <x:row r="8" ht="21" customHeight="1">
      <x:c r="C8" s="12" t="str">
        <x:v>Profitability and source-derived proxies</x:v>
      </x:c>
      <x:c r="D8" s="25"/>
      <x:c r="E8" s="25"/>
      <x:c r="F8" s="25"/>
      <x:c r="G8" s="25"/>
      <x:c r="H8" s="25"/>
      <x:c r="I8" s="25"/>
    </x:row>
    <x:row r="9" ht="21" customHeight="1">
      <x:c r="C9" s="1"/>
      <x:c r="D9" s="2"/>
      <x:c r="E9" s="2"/>
      <x:c r="F9" s="2"/>
      <x:c r="G9" s="2"/>
      <x:c r="H9" s="2"/>
      <x:c r="I9" s="2"/>
    </x:row>
    <x:row r="10" ht="21" customHeight="1">
      <x:c r="C10" s="1" t="str">
        <x:v>Cash gross margin before modeled depreciation</x:v>
      </x:c>
      <x:c r="D10" s="2"/>
      <x:c r="E10" s="2"/>
      <x:c r="F10" s="26" t="n">
        <x:v>0.45790797136452344</x:v>
      </x:c>
      <x:c r="G10" s="23" t="n">
        <x:v>0.45790797136452344</x:v>
      </x:c>
      <x:c r="H10" s="23" t="n">
        <x:v>0.45790797136452344</x:v>
      </x:c>
      <x:c r="I10" s="23" t="n">
        <x:v>0.45790797136452344</x:v>
      </x:c>
    </x:row>
    <x:row r="11" ht="21" customHeight="1">
      <x:c r="C11" s="1" t="str">
        <x:v>Selling expense / revenue</x:v>
      </x:c>
      <x:c r="D11" s="2"/>
      <x:c r="E11" s="2"/>
      <x:c r="F11" s="2"/>
      <x:c r="G11" s="23" t="n">
        <x:v>0.17816868969712246</x:v>
      </x:c>
      <x:c r="H11" s="23" t="n">
        <x:v>0.17816868969712246</x:v>
      </x:c>
      <x:c r="I11" s="23" t="n">
        <x:v>0.17816868969712246</x:v>
      </x:c>
    </x:row>
    <x:row r="12" ht="21" customHeight="1">
      <x:c r="C12" s="1" t="str">
        <x:v>Cash administrative expense / revenue</x:v>
      </x:c>
      <x:c r="D12" s="2"/>
      <x:c r="E12" s="2"/>
      <x:c r="F12" s="2"/>
      <x:c r="G12" s="23" t="n">
        <x:v>0.08632359850068806</x:v>
      </x:c>
      <x:c r="H12" s="23" t="n">
        <x:v>0.08632359850068806</x:v>
      </x:c>
      <x:c r="I12" s="23" t="n">
        <x:v>0.08632359850068806</x:v>
      </x:c>
    </x:row>
    <x:row r="13" ht="21" customHeight="1">
      <x:c r="C13" s="1" t="str">
        <x:v>R&amp;D expense / revenue</x:v>
      </x:c>
      <x:c r="D13" s="2"/>
      <x:c r="E13" s="2"/>
      <x:c r="F13" s="2"/>
      <x:c r="G13" s="23" t="n">
        <x:v>0.04960721930350031</x:v>
      </x:c>
      <x:c r="H13" s="23" t="n">
        <x:v>0.04960721930350031</x:v>
      </x:c>
      <x:c r="I13" s="23" t="n">
        <x:v>0.04960721930350031</x:v>
      </x:c>
    </x:row>
    <x:row r="14" ht="21" customHeight="1">
      <x:c r="C14" s="1" t="str">
        <x:v>Business taxes / revenue</x:v>
      </x:c>
      <x:c r="D14" s="2"/>
      <x:c r="E14" s="2"/>
      <x:c r="F14" s="2"/>
      <x:c r="G14" s="23" t="n">
        <x:v>0</x:v>
      </x:c>
      <x:c r="H14" s="23" t="n">
        <x:v>0</x:v>
      </x:c>
      <x:c r="I14" s="23" t="n">
        <x:v>0</x:v>
      </x:c>
    </x:row>
    <x:row r="15" ht="21" customHeight="1">
      <x:c r="C15" s="1" t="str">
        <x:v>Other cash pretax income / revenue</x:v>
      </x:c>
      <x:c r="D15" s="2"/>
      <x:c r="E15" s="2"/>
      <x:c r="F15" s="2"/>
      <x:c r="G15" s="23" t="n">
        <x:v>0.0007234166340477197</x:v>
      </x:c>
      <x:c r="H15" s="23" t="n">
        <x:v>0.0007234166340477197</x:v>
      </x:c>
      <x:c r="I15" s="23" t="n">
        <x:v>0.0007234166340477197</x:v>
      </x:c>
    </x:row>
    <x:row r="16" ht="21" customHeight="1">
      <x:c r="C16" s="1" t="str">
        <x:v>Opening cash yield (proxy includes historical FX)</x:v>
      </x:c>
      <x:c r="D16" s="2"/>
      <x:c r="E16" s="2"/>
      <x:c r="F16" s="2"/>
      <x:c r="G16" s="23" t="n">
        <x:v>0.051147931548500544</x:v>
      </x:c>
      <x:c r="H16" s="23" t="n">
        <x:v>0.051147931548500544</x:v>
      </x:c>
      <x:c r="I16" s="23" t="n">
        <x:v>0.051147931548500544</x:v>
      </x:c>
    </x:row>
    <x:row r="17" ht="21" customHeight="1">
      <x:c r="C17" s="1" t="str">
        <x:v>Borrowing and lease interest rate</x:v>
      </x:c>
      <x:c r="D17" s="2"/>
      <x:c r="E17" s="2"/>
      <x:c r="F17" s="2"/>
      <x:c r="G17" s="23" t="n">
        <x:v>0.04579361525174333</x:v>
      </x:c>
      <x:c r="H17" s="23" t="n">
        <x:v>0.04579361525174333</x:v>
      </x:c>
      <x:c r="I17" s="23" t="n">
        <x:v>0.04579361525174333</x:v>
      </x:c>
    </x:row>
    <x:row r="18" ht="21" customHeight="1">
      <x:c r="C18" s="1" t="str">
        <x:v>Effective tax rate (H1 2026 source basis)</x:v>
      </x:c>
      <x:c r="D18" s="2"/>
      <x:c r="E18" s="2"/>
      <x:c r="F18" s="2"/>
      <x:c r="G18" s="23" t="n">
        <x:v>0.07999965114076957</x:v>
      </x:c>
      <x:c r="H18" s="23" t="n">
        <x:v>0.07999965114076957</x:v>
      </x:c>
      <x:c r="I18" s="23" t="n">
        <x:v>0.07999965114076957</x:v>
      </x:c>
    </x:row>
    <x:row r="19" ht="21" customHeight="1">
      <x:c r="C19" s="1" t="str">
        <x:v>NCI share of consolidated net income</x:v>
      </x:c>
      <x:c r="D19" s="2"/>
      <x:c r="E19" s="2"/>
      <x:c r="F19" s="2"/>
      <x:c r="G19" s="23" t="n">
        <x:v>0</x:v>
      </x:c>
      <x:c r="H19" s="23" t="n">
        <x:v>0</x:v>
      </x:c>
      <x:c r="I19" s="23" t="n">
        <x:v>0</x:v>
      </x:c>
    </x:row>
    <x:row r="20" ht="21" customHeight="1">
      <x:c r="C20" s="12" t="str">
        <x:v>Working capital</x:v>
      </x:c>
      <x:c r="D20" s="25"/>
      <x:c r="E20" s="25"/>
      <x:c r="F20" s="25"/>
      <x:c r="G20" s="25"/>
      <x:c r="H20" s="25"/>
      <x:c r="I20" s="25"/>
    </x:row>
    <x:row r="21" ht="21" customHeight="1">
      <x:c r="C21" s="1"/>
      <x:c r="D21" s="2"/>
      <x:c r="E21" s="2"/>
      <x:c r="F21" s="2"/>
      <x:c r="G21" s="2"/>
      <x:c r="H21" s="2"/>
      <x:c r="I21" s="2"/>
    </x:row>
    <x:row r="22" ht="21" customHeight="1">
      <x:c r="C22" s="1" t="str">
        <x:v>Ending receivable and contract-asset days</x:v>
      </x:c>
      <x:c r="D22" s="2"/>
      <x:c r="E22" s="2"/>
      <x:c r="F22" s="2"/>
      <x:c r="G22" s="22" t="n">
        <x:v>48.4946043237365</x:v>
      </x:c>
      <x:c r="H22" s="22" t="n">
        <x:v>48.4946043237365</x:v>
      </x:c>
      <x:c r="I22" s="22" t="n">
        <x:v>48.4946043237365</x:v>
      </x:c>
    </x:row>
    <x:row r="23" ht="21" customHeight="1">
      <x:c r="C23" s="1" t="str">
        <x:v>Ending inventory days</x:v>
      </x:c>
      <x:c r="D23" s="2"/>
      <x:c r="E23" s="2"/>
      <x:c r="F23" s="2"/>
      <x:c r="G23" s="22" t="n">
        <x:v>181.20335316176153</x:v>
      </x:c>
      <x:c r="H23" s="22" t="n">
        <x:v>181.20335316176153</x:v>
      </x:c>
      <x:c r="I23" s="22" t="n">
        <x:v>181.20335316176153</x:v>
      </x:c>
    </x:row>
    <x:row r="24" ht="21" customHeight="1">
      <x:c r="C24" s="1" t="str">
        <x:v>Ending trade and bills-payable days</x:v>
      </x:c>
      <x:c r="D24" s="2"/>
      <x:c r="E24" s="2"/>
      <x:c r="F24" s="2"/>
      <x:c r="G24" s="22" t="n">
        <x:v>164.13745054973487</x:v>
      </x:c>
      <x:c r="H24" s="22" t="n">
        <x:v>164.13745054973487</x:v>
      </x:c>
      <x:c r="I24" s="22" t="n">
        <x:v>164.13745054973487</x:v>
      </x:c>
    </x:row>
    <x:row r="25" ht="21" customHeight="1">
      <x:c r="C25" s="1" t="str">
        <x:v>Customer advances / revenue</x:v>
      </x:c>
      <x:c r="D25" s="2"/>
      <x:c r="E25" s="2"/>
      <x:c r="F25" s="2"/>
      <x:c r="G25" s="23" t="n">
        <x:v>0.0016483466433736865</x:v>
      </x:c>
      <x:c r="H25" s="23" t="n">
        <x:v>0.0016483466433736865</x:v>
      </x:c>
      <x:c r="I25" s="23" t="n">
        <x:v>0.0016483466433736865</x:v>
      </x:c>
    </x:row>
    <x:row r="26" ht="21" customHeight="1">
      <x:c r="C26" s="1" t="str">
        <x:v>Finance-company deposit balance growth</x:v>
      </x:c>
      <x:c r="D26" s="2"/>
      <x:c r="E26" s="2"/>
      <x:c r="F26" s="2"/>
      <x:c r="G26" s="23" t="n">
        <x:v>0</x:v>
      </x:c>
      <x:c r="H26" s="23" t="n">
        <x:v>0</x:v>
      </x:c>
      <x:c r="I26" s="23" t="n">
        <x:v>0</x:v>
      </x:c>
    </x:row>
    <x:row r="27" ht="21" customHeight="1">
      <x:c r="C27" s="1" t="str">
        <x:v>Named other-asset balance growth</x:v>
      </x:c>
      <x:c r="D27" s="2"/>
      <x:c r="E27" s="2"/>
      <x:c r="F27" s="2"/>
      <x:c r="G27" s="23" t="n">
        <x:v>0</x:v>
      </x:c>
      <x:c r="H27" s="23" t="n">
        <x:v>0</x:v>
      </x:c>
      <x:c r="I27" s="23" t="n">
        <x:v>0</x:v>
      </x:c>
    </x:row>
    <x:row r="28" ht="21" customHeight="1">
      <x:c r="C28" s="1" t="str">
        <x:v>Named other-liability balance growth</x:v>
      </x:c>
      <x:c r="D28" s="2"/>
      <x:c r="E28" s="2"/>
      <x:c r="F28" s="2"/>
      <x:c r="G28" s="23" t="n">
        <x:v>0</x:v>
      </x:c>
      <x:c r="H28" s="23" t="n">
        <x:v>0</x:v>
      </x:c>
      <x:c r="I28" s="23" t="n">
        <x:v>0</x:v>
      </x:c>
    </x:row>
    <x:row r="29" ht="21" customHeight="1">
      <x:c r="C29" s="12" t="str">
        <x:v>Asset investment and depreciation</x:v>
      </x:c>
      <x:c r="D29" s="25"/>
      <x:c r="E29" s="25"/>
      <x:c r="F29" s="25"/>
      <x:c r="G29" s="25"/>
      <x:c r="H29" s="25"/>
      <x:c r="I29" s="25"/>
    </x:row>
    <x:row r="30" ht="21" customHeight="1">
      <x:c r="C30" s="1"/>
      <x:c r="D30" s="2"/>
      <x:c r="E30" s="2"/>
      <x:c r="F30" s="2"/>
      <x:c r="G30" s="2"/>
      <x:c r="H30" s="2"/>
      <x:c r="I30" s="2"/>
    </x:row>
    <x:row r="31" ht="21" customHeight="1">
      <x:c r="C31" s="1" t="str">
        <x:v>Cash PPE / CIP capex / revenue</x:v>
      </x:c>
      <x:c r="D31" s="2"/>
      <x:c r="E31" s="2"/>
      <x:c r="F31" s="2"/>
      <x:c r="G31" s="23" t="n">
        <x:v>0.018941198921356244</x:v>
      </x:c>
      <x:c r="H31" s="23" t="n">
        <x:v>0.018941198921356244</x:v>
      </x:c>
      <x:c r="I31" s="23" t="n">
        <x:v>0.018941198921356244</x:v>
      </x:c>
    </x:row>
    <x:row r="32" ht="21" customHeight="1">
      <x:c r="C32" s="1" t="str">
        <x:v>Cash intangible / development capex / revenue</x:v>
      </x:c>
      <x:c r="D32" s="2"/>
      <x:c r="E32" s="2"/>
      <x:c r="F32" s="2"/>
      <x:c r="G32" s="23" t="n">
        <x:v>0.019714309081411602</x:v>
      </x:c>
      <x:c r="H32" s="23" t="n">
        <x:v>0.019714309081411602</x:v>
      </x:c>
      <x:c r="I32" s="23" t="n">
        <x:v>0.019714309081411602</x:v>
      </x:c>
    </x:row>
    <x:row r="33" ht="21" customHeight="1">
      <x:c r="C33" s="1" t="str">
        <x:v>PPE blended depreciation rate</x:v>
      </x:c>
      <x:c r="D33" s="2"/>
      <x:c r="E33" s="2"/>
      <x:c r="F33" s="2"/>
      <x:c r="G33" s="23" t="n">
        <x:v>0.2054809186970983</x:v>
      </x:c>
      <x:c r="H33" s="23" t="n">
        <x:v>0.2054809186970983</x:v>
      </x:c>
      <x:c r="I33" s="23" t="n">
        <x:v>0.2054809186970983</x:v>
      </x:c>
    </x:row>
    <x:row r="34" ht="21" customHeight="1">
      <x:c r="C34" s="1" t="str">
        <x:v>Intangible blended amortization rate</x:v>
      </x:c>
      <x:c r="D34" s="2"/>
      <x:c r="E34" s="2"/>
      <x:c r="F34" s="2"/>
      <x:c r="G34" s="23" t="n">
        <x:v>0.2054809186970983</x:v>
      </x:c>
      <x:c r="H34" s="23" t="n">
        <x:v>0.2054809186970983</x:v>
      </x:c>
      <x:c r="I34" s="23" t="n">
        <x:v>0.2054809186970983</x:v>
      </x:c>
    </x:row>
    <x:row r="35" ht="21" customHeight="1">
      <x:c r="C35" s="1" t="str">
        <x:v>ROU blended depreciation rate</x:v>
      </x:c>
      <x:c r="D35" s="2"/>
      <x:c r="E35" s="2"/>
      <x:c r="F35" s="2"/>
      <x:c r="G35" s="23" t="n">
        <x:v>0.2054809186970983</x:v>
      </x:c>
      <x:c r="H35" s="23" t="n">
        <x:v>0.2054809186970983</x:v>
      </x:c>
      <x:c r="I35" s="23" t="n">
        <x:v>0.2054809186970983</x:v>
      </x:c>
    </x:row>
    <x:row r="36" ht="21" customHeight="1">
      <x:c r="C36" s="1" t="str">
        <x:v>New lease asset and liability</x:v>
      </x:c>
      <x:c r="D36" s="2"/>
      <x:c r="E36" s="2"/>
      <x:c r="F36" s="2"/>
      <x:c r="G36" s="22" t="n">
        <x:v>110.85705</x:v>
      </x:c>
      <x:c r="H36" s="22" t="n">
        <x:v>110.85705</x:v>
      </x:c>
      <x:c r="I36" s="22" t="n">
        <x:v>110.85705</x:v>
      </x:c>
    </x:row>
    <x:row r="37" ht="21" customHeight="1">
      <x:c r="C37" s="1" t="str">
        <x:v>Share of total D&amp;A in cost of revenue</x:v>
      </x:c>
      <x:c r="D37" s="2"/>
      <x:c r="E37" s="2"/>
      <x:c r="F37" s="2"/>
      <x:c r="G37" s="23" t="n">
        <x:v>0.8</x:v>
      </x:c>
      <x:c r="H37" s="23" t="n">
        <x:v>0.8</x:v>
      </x:c>
      <x:c r="I37" s="23" t="n">
        <x:v>0.8</x:v>
      </x:c>
    </x:row>
    <x:row r="38" ht="21" customHeight="1">
      <x:c r="C38" s="12" t="str">
        <x:v>Funding, distributions and tax</x:v>
      </x:c>
      <x:c r="D38" s="25"/>
      <x:c r="E38" s="25"/>
      <x:c r="F38" s="25"/>
      <x:c r="G38" s="25"/>
      <x:c r="H38" s="25"/>
      <x:c r="I38" s="25"/>
    </x:row>
    <x:row r="39" ht="21" customHeight="1">
      <x:c r="C39" s="1"/>
      <x:c r="D39" s="2"/>
      <x:c r="E39" s="2"/>
      <x:c r="F39" s="2"/>
      <x:c r="G39" s="2"/>
      <x:c r="H39" s="2"/>
      <x:c r="I39" s="2"/>
    </x:row>
    <x:row r="40" ht="21" customHeight="1">
      <x:c r="C40" s="1" t="str">
        <x:v>New cash borrowing requested</x:v>
      </x:c>
      <x:c r="D40" s="2"/>
      <x:c r="E40" s="2"/>
      <x:c r="F40" s="2"/>
      <x:c r="G40" s="22" t="n">
        <x:v>0</x:v>
      </x:c>
      <x:c r="H40" s="22" t="n">
        <x:v>0</x:v>
      </x:c>
      <x:c r="I40" s="22" t="n">
        <x:v>0</x:v>
      </x:c>
    </x:row>
    <x:row r="41" ht="21" customHeight="1">
      <x:c r="C41" s="1" t="str">
        <x:v>Opening funding liabilities repayment fraction</x:v>
      </x:c>
      <x:c r="D41" s="2"/>
      <x:c r="E41" s="2"/>
      <x:c r="F41" s="2"/>
      <x:c r="G41" s="23" t="n">
        <x:v>0.2</x:v>
      </x:c>
      <x:c r="H41" s="23" t="n">
        <x:v>0.2</x:v>
      </x:c>
      <x:c r="I41" s="23" t="n">
        <x:v>0.2</x:v>
      </x:c>
    </x:row>
    <x:row r="42" ht="21" customHeight="1">
      <x:c r="C42" s="1" t="str">
        <x:v>Additional repayment requested</x:v>
      </x:c>
      <x:c r="D42" s="2"/>
      <x:c r="E42" s="2"/>
      <x:c r="F42" s="2"/>
      <x:c r="G42" s="22" t="n">
        <x:v>0</x:v>
      </x:c>
      <x:c r="H42" s="22" t="n">
        <x:v>0</x:v>
      </x:c>
      <x:c r="I42" s="22" t="n">
        <x:v>0</x:v>
      </x:c>
    </x:row>
    <x:row r="43" ht="21" customHeight="1">
      <x:c r="C43" s="1" t="str">
        <x:v>Parent and NCI dividend payout requested</x:v>
      </x:c>
      <x:c r="D43" s="2"/>
      <x:c r="E43" s="2"/>
      <x:c r="F43" s="2"/>
      <x:c r="G43" s="23" t="n">
        <x:v>0.5</x:v>
      </x:c>
      <x:c r="H43" s="23" t="n">
        <x:v>0.5</x:v>
      </x:c>
      <x:c r="I43" s="23" t="n">
        <x:v>0.5</x:v>
      </x:c>
    </x:row>
    <x:row r="44" ht="21" customHeight="1">
      <x:c r="C44" s="1" t="str">
        <x:v>Share repurchase requested</x:v>
      </x:c>
      <x:c r="D44" s="2"/>
      <x:c r="E44" s="2"/>
      <x:c r="F44" s="2"/>
      <x:c r="G44" s="22" t="n">
        <x:v>0</x:v>
      </x:c>
      <x:c r="H44" s="22" t="n">
        <x:v>0</x:v>
      </x:c>
      <x:c r="I44" s="22" t="n">
        <x:v>0</x:v>
      </x:c>
    </x:row>
    <x:row r="45" ht="21" customHeight="1">
      <x:c r="C45" s="1" t="str">
        <x:v>New equity cash proceeds</x:v>
      </x:c>
      <x:c r="D45" s="2"/>
      <x:c r="E45" s="2"/>
      <x:c r="F45" s="2"/>
      <x:c r="G45" s="22" t="n">
        <x:v>0</x:v>
      </x:c>
      <x:c r="H45" s="22" t="n">
        <x:v>0</x:v>
      </x:c>
      <x:c r="I45" s="22" t="n">
        <x:v>0</x:v>
      </x:c>
    </x:row>
    <x:row r="46" ht="21" customHeight="1">
      <x:c r="C46" s="1" t="str">
        <x:v>Non-cash share compensation expense / reserve</x:v>
      </x:c>
      <x:c r="D46" s="2"/>
      <x:c r="E46" s="2"/>
      <x:c r="F46" s="2"/>
      <x:c r="G46" s="22" t="n">
        <x:v>0</x:v>
      </x:c>
      <x:c r="H46" s="22" t="n">
        <x:v>0</x:v>
      </x:c>
      <x:c r="I46" s="22" t="n">
        <x:v>0</x:v>
      </x:c>
    </x:row>
    <x:row r="47" ht="21" customHeight="1">
      <x:c r="C47" s="1" t="str">
        <x:v>Current tax expense paid in current year</x:v>
      </x:c>
      <x:c r="D47" s="2"/>
      <x:c r="E47" s="2"/>
      <x:c r="F47" s="2"/>
      <x:c r="G47" s="23" t="n">
        <x:v>0.85</x:v>
      </x:c>
      <x:c r="H47" s="23" t="n">
        <x:v>0.85</x:v>
      </x:c>
      <x:c r="I47" s="23" t="n">
        <x:v>0.85</x:v>
      </x:c>
    </x:row>
    <x:row r="48" ht="21" customHeight="1">
      <x:c r="C48" s="1" t="str">
        <x:v>Opening taxes payable settlement fraction</x:v>
      </x:c>
      <x:c r="D48" s="2"/>
      <x:c r="E48" s="2"/>
      <x:c r="F48" s="2"/>
      <x:c r="G48" s="23" t="n">
        <x:v>1</x:v>
      </x:c>
      <x:c r="H48" s="23" t="n">
        <x:v>1</x:v>
      </x:c>
      <x:c r="I48" s="23" t="n">
        <x:v>1</x:v>
      </x:c>
    </x:row>
    <x:row r="49" ht="21" customHeight="1">
      <x:c r="C49" s="12" t="str">
        <x:v>Financial investment roll-forward</x:v>
      </x:c>
      <x:c r="D49" s="25"/>
      <x:c r="E49" s="25"/>
      <x:c r="F49" s="25"/>
      <x:c r="G49" s="25"/>
      <x:c r="H49" s="25"/>
      <x:c r="I49" s="25"/>
    </x:row>
    <x:row r="50" ht="21" customHeight="1">
      <x:c r="C50" s="1"/>
      <x:c r="D50" s="2"/>
      <x:c r="E50" s="2"/>
      <x:c r="F50" s="2"/>
      <x:c r="G50" s="2"/>
      <x:c r="H50" s="2"/>
      <x:c r="I50" s="2"/>
    </x:row>
    <x:row r="51" ht="21" customHeight="1">
      <x:c r="C51" s="1" t="str">
        <x:v>Financial investments cash purchase requested</x:v>
      </x:c>
      <x:c r="D51" s="2"/>
      <x:c r="E51" s="2"/>
      <x:c r="F51" s="2"/>
      <x:c r="G51" s="22" t="n">
        <x:v>0</x:v>
      </x:c>
      <x:c r="H51" s="22" t="n">
        <x:v>0</x:v>
      </x:c>
      <x:c r="I51" s="22" t="n">
        <x:v>0</x:v>
      </x:c>
    </x:row>
    <x:row r="52" ht="21" customHeight="1">
      <x:c r="C52" s="1" t="str">
        <x:v>Financial investments redemption requested</x:v>
      </x:c>
      <x:c r="D52" s="2"/>
      <x:c r="E52" s="2"/>
      <x:c r="F52" s="2"/>
      <x:c r="G52" s="22" t="n">
        <x:v>0</x:v>
      </x:c>
      <x:c r="H52" s="22" t="n">
        <x:v>0</x:v>
      </x:c>
      <x:c r="I52" s="22" t="n">
        <x:v>0</x:v>
      </x:c>
    </x:row>
    <x:row r="53" ht="21" customHeight="1">
      <x:c r="C53" s="1" t="str">
        <x:v>Financial investments fair-value gain / (loss)</x:v>
      </x:c>
      <x:c r="D53" s="2"/>
      <x:c r="E53" s="2"/>
      <x:c r="F53" s="2"/>
      <x:c r="G53" s="22" t="n">
        <x:v>0</x:v>
      </x:c>
      <x:c r="H53" s="22" t="n">
        <x:v>0</x:v>
      </x:c>
      <x:c r="I53" s="22" t="n">
        <x:v>0</x:v>
      </x:c>
    </x:row>
    <x:row r="54" ht="21" customHeight="1">
      <x:c r="C54" s="1"/>
      <x:c r="D54" s="2"/>
      <x:c r="E54" s="2"/>
      <x:c r="F54" s="2"/>
      <x:c r="G54" s="2"/>
      <x:c r="H54" s="2"/>
      <x:c r="I54" s="2"/>
    </x:row>
    <x:row r="55" ht="21" customHeight="1">
      <x:c r="C55" s="1"/>
      <x:c r="D55" s="2"/>
      <x:c r="E55" s="2"/>
      <x:c r="F55" s="2"/>
      <x:c r="G55" s="2"/>
      <x:c r="H55" s="2"/>
      <x:c r="I55" s="2"/>
    </x:row>
    <x:row r="56" ht="21" customHeight="1">
      <x:c r="C56" s="1" t="str">
        <x:v>Yellow / blue cells are editable forecasts, including LEAPs.</x:v>
      </x:c>
      <x:c r="D56" s="2"/>
      <x:c r="E56" s="2"/>
      <x:c r="F56" s="2"/>
      <x:c r="G56" s="2"/>
      <x:c r="H56" s="2"/>
      <x:c r="I56" s="2"/>
    </x:row>
    <x:row r="57" ht="21" customHeight="1">
      <x:c r="C57" s="1" t="str">
        <x:v>2026 segment growth applies to H2; 2027–2028 apply to full years.</x:v>
      </x:c>
      <x:c r="D57" s="2"/>
      <x:c r="E57" s="2"/>
      <x:c r="F57" s="2"/>
      <x:c r="G57" s="2"/>
      <x:c r="H57" s="2"/>
      <x:c r="I57" s="2"/>
    </x:row>
    <x:row r="58" ht="21" customHeight="1">
      <x:c r="C58" s="1" t="str">
        <x:v>D&amp;A split and capex allocation are LEAPs; source total is retained.</x:v>
      </x:c>
      <x:c r="D58" s="2"/>
      <x:c r="E58" s="2"/>
      <x:c r="F58" s="2"/>
      <x:c r="G58" s="2"/>
      <x:c r="H58" s="2"/>
      <x:c r="I58" s="2"/>
    </x:row>
    <x:row r="59" ht="21" customHeight="1">
      <x:c r="C59" s="1" t="str">
        <x:v>Funding combines borrowings and leases; repayment is capped.</x:v>
      </x:c>
      <x:c r="D59" s="2"/>
      <x:c r="E59" s="2"/>
      <x:c r="F59" s="2"/>
      <x:c r="G59" s="2"/>
      <x:c r="H59" s="2"/>
      <x:c r="I59" s="2"/>
    </x:row>
    <x:row r="60" ht="21" customHeight="1">
      <x:c r="C60" s="1" t="str">
        <x:v>Other pretax income is assumed cash; no earnings/BS calibration.</x:v>
      </x:c>
      <x:c r="D60" s="2"/>
      <x:c r="E60" s="2"/>
      <x:c r="F60" s="2"/>
      <x:c r="G60" s="2"/>
      <x:c r="H60" s="2"/>
      <x:c r="I60" s="2"/>
    </x:row>
    <x:row r="61" ht="21" customHeight="1">
      <x:c r="C61" s="1" t="str">
        <x:v>Taxes payable combine income and other taxes; settlement is a LEAP.</x:v>
      </x:c>
      <x:c r="D61" s="2"/>
      <x:c r="E61" s="2"/>
      <x:c r="F61" s="2"/>
      <x:c r="G61" s="2"/>
      <x:c r="H61" s="2"/>
      <x:c r="I61" s="2"/>
    </x:row>
    <x:row r="62" ht="21" customHeight="1">
      <x:c r="C62" s="1" t="str">
        <x:v>Share issue and SBC inputs are expected positive; invalid inputs flagged.</x:v>
      </x:c>
      <x:c r="D62" s="2"/>
      <x:c r="E62" s="2"/>
      <x:c r="F62" s="2"/>
      <x:c r="G62" s="2"/>
      <x:c r="H62" s="2"/>
      <x:c r="I62" s="2"/>
    </x:row>
    <x:row r="63" ht="21" customHeight="1">
      <x:c r="C63" s="1"/>
      <x:c r="D63" s="2"/>
      <x:c r="E63" s="2"/>
      <x:c r="F63" s="2"/>
      <x:c r="G63" s="2"/>
      <x:c r="H63" s="2"/>
      <x:c r="I63" s="2"/>
    </x:row>
    <x:row r="64" ht="21" customHeight="1">
      <x:c r="C64" s="1"/>
      <x:c r="D64" s="2"/>
      <x:c r="E64" s="2"/>
      <x:c r="F64" s="2"/>
      <x:c r="G64" s="2"/>
      <x:c r="H64" s="2"/>
      <x:c r="I64" s="2"/>
    </x:row>
    <x:row r="65" ht="21" customHeight="1">
      <x:c r="C65" s="1"/>
      <x:c r="D65" s="2"/>
      <x:c r="E65" s="2"/>
      <x:c r="F65" s="2"/>
      <x:c r="G65" s="2"/>
      <x:c r="H65" s="2"/>
      <x:c r="I65" s="2"/>
    </x:row>
    <x:row r="66" ht="21" customHeight="1">
      <x:c r="C66" s="1" t="str">
        <x:v>Professional: Professional trade / cordless adoption</x:v>
      </x:c>
      <x:c r="D66" s="2"/>
      <x:c r="E66" s="2"/>
      <x:c r="F66" s="2"/>
      <x:c r="G66" s="23" t="n">
        <x:v>0.08</x:v>
      </x:c>
      <x:c r="H66" s="23" t="n">
        <x:v>0.08</x:v>
      </x:c>
      <x:c r="I66" s="23" t="n">
        <x:v>0.08</x:v>
      </x:c>
    </x:row>
    <x:row r="67" ht="21" customHeight="1">
      <x:c r="C67" s="1" t="str">
        <x:v>Professional: Premium product mix / FX</x:v>
      </x:c>
      <x:c r="D67" s="2"/>
      <x:c r="E67" s="2"/>
      <x:c r="F67" s="2"/>
      <x:c r="G67" s="23" t="n">
        <x:v>0.01</x:v>
      </x:c>
      <x:c r="H67" s="23" t="n">
        <x:v>0.01</x:v>
      </x:c>
      <x:c r="I67" s="23" t="n">
        <x:v>0.01</x:v>
      </x:c>
    </x:row>
    <x:row r="68" ht="21" customHeight="1">
      <x:c r="C68" s="1" t="str">
        <x:v>Professional: cash gross margin (LEAP)</x:v>
      </x:c>
      <x:c r="D68" s="2"/>
      <x:c r="E68" s="2"/>
      <x:c r="F68" s="26" t="n">
        <x:v>0.45790797136452344</x:v>
      </x:c>
      <x:c r="G68" s="30" t="n">
        <x:f>G10+($F68-$F$10)</x:f>
        <x:v>0.45790797136452344</x:v>
      </x:c>
      <x:c r="H68" s="30" t="n">
        <x:f>H10+($F68-$F$10)</x:f>
        <x:v>0.45790797136452344</x:v>
      </x:c>
      <x:c r="I68" s="30" t="n">
        <x:f>I10+($F68-$F$10)</x:f>
        <x:v>0.45790797136452344</x:v>
      </x:c>
    </x:row>
    <x:row r="69" ht="21" customHeight="1">
      <x:c r="C69" s="1"/>
      <x:c r="D69" s="2"/>
      <x:c r="E69" s="2"/>
      <x:c r="F69" s="2"/>
      <x:c r="G69" s="2"/>
      <x:c r="H69" s="2"/>
      <x:c r="I69" s="2"/>
    </x:row>
    <x:row r="70" ht="21" customHeight="1">
      <x:c r="C70" s="1" t="str">
        <x:v>Consumer: RYOBI / consumer sell-through</x:v>
      </x:c>
      <x:c r="D70" s="2"/>
      <x:c r="E70" s="2"/>
      <x:c r="F70" s="2"/>
      <x:c r="G70" s="23" t="n">
        <x:v>0.02</x:v>
      </x:c>
      <x:c r="H70" s="23" t="n">
        <x:v>0.02</x:v>
      </x:c>
      <x:c r="I70" s="23" t="n">
        <x:v>0.02</x:v>
      </x:c>
    </x:row>
    <x:row r="71" ht="21" customHeight="1">
      <x:c r="C71" s="1" t="str">
        <x:v>Consumer: Exit of lower-margin products / FX</x:v>
      </x:c>
      <x:c r="D71" s="2"/>
      <x:c r="E71" s="2"/>
      <x:c r="F71" s="2"/>
      <x:c r="G71" s="23" t="n">
        <x:v>0</x:v>
      </x:c>
      <x:c r="H71" s="23" t="n">
        <x:v>0</x:v>
      </x:c>
      <x:c r="I71" s="23" t="n">
        <x:v>0</x:v>
      </x:c>
    </x:row>
    <x:row r="72" ht="21" customHeight="1">
      <x:c r="C72" s="1" t="str">
        <x:v>Consumer: cash gross margin (LEAP)</x:v>
      </x:c>
      <x:c r="D72" s="2"/>
      <x:c r="E72" s="2"/>
      <x:c r="F72" s="26" t="n">
        <x:v>0.45790797136452344</x:v>
      </x:c>
      <x:c r="G72" s="30" t="n">
        <x:f>G10+($F72-$F$10)</x:f>
        <x:v>0.45790797136452344</x:v>
      </x:c>
      <x:c r="H72" s="30" t="n">
        <x:f>H10+($F72-$F$10)</x:f>
        <x:v>0.45790797136452344</x:v>
      </x:c>
      <x:c r="I72" s="30" t="n">
        <x:f>I10+($F72-$F$10)</x:f>
        <x:v>0.45790797136452344</x:v>
      </x:c>
    </x:row>
    <x:row r="73" ht="21" customHeight="1">
      <x:c r="C73" s="1"/>
      <x:c r="D73" s="2"/>
      <x:c r="E73" s="2"/>
      <x:c r="F73" s="2"/>
      <x:c r="G73" s="2"/>
      <x:c r="H73" s="2"/>
      <x:c r="I73" s="2"/>
    </x:row>
    <x:row r="74" ht="21" customHeight="1">
      <x:c r="C74" s="1"/>
      <x:c r="D74" s="2"/>
      <x:c r="E74" s="2"/>
      <x:c r="F74" s="2"/>
      <x:c r="G74" s="2"/>
      <x:c r="H74" s="2"/>
      <x:c r="I74" s="2"/>
    </x:row>
    <x:row r="75" ht="21" customHeight="1">
      <x:c r="C75" s="1"/>
      <x:c r="D75" s="2"/>
      <x:c r="E75" s="2"/>
      <x:c r="F75" s="2"/>
      <x:c r="G75" s="2"/>
      <x:c r="H75" s="2"/>
      <x:c r="I75" s="2"/>
    </x:row>
    <x:row r="76" ht="21" customHeight="1">
      <x:c r="C76" s="1"/>
      <x:c r="D76" s="2"/>
      <x:c r="E76" s="2"/>
      <x:c r="F76" s="2"/>
      <x:c r="G76" s="2"/>
      <x:c r="H76" s="2"/>
      <x:c r="I76" s="2"/>
    </x:row>
    <x:row r="77" ht="21" customHeight="1">
      <x:c r="C77" s="1"/>
      <x:c r="D77" s="2"/>
      <x:c r="E77" s="2"/>
      <x:c r="F77" s="2"/>
      <x:c r="G77" s="2"/>
      <x:c r="H77" s="2"/>
      <x:c r="I77" s="2"/>
    </x:row>
    <x:row r="78" ht="21" customHeight="1">
      <x:c r="C78" s="1"/>
      <x:c r="D78" s="2"/>
      <x:c r="E78" s="2"/>
      <x:c r="F78" s="2"/>
      <x:c r="G78" s="2"/>
      <x:c r="H78" s="2"/>
      <x:c r="I78" s="2"/>
    </x:row>
    <x:row r="79" ht="21" customHeight="1">
      <x:c r="C79" s="1"/>
      <x:c r="D79" s="2"/>
      <x:c r="E79" s="2"/>
      <x:c r="F79" s="2"/>
      <x:c r="G79" s="2"/>
      <x:c r="H79" s="2"/>
      <x:c r="I79" s="2"/>
    </x:row>
    <x:row r="80" ht="21" customHeight="1">
      <x:c r="C80" s="1"/>
      <x:c r="D80" s="2"/>
      <x:c r="E80" s="2"/>
      <x:c r="F80" s="2"/>
      <x:c r="G80" s="2"/>
      <x:c r="H80" s="2"/>
      <x:c r="I80" s="2"/>
    </x:row>
    <x:row r="81" ht="21" customHeight="1">
      <x:c r="C81" s="1"/>
      <x:c r="D81" s="2"/>
      <x:c r="E81" s="2"/>
      <x:c r="F81" s="2"/>
      <x:c r="G81" s="2"/>
      <x:c r="H81" s="2"/>
      <x:c r="I81" s="2"/>
    </x:row>
    <x:row r="82" ht="21" customHeight="1">
      <x:c r="C82" s="1"/>
      <x:c r="D82" s="2"/>
      <x:c r="E82" s="2"/>
      <x:c r="F82" s="2"/>
      <x:c r="G82" s="2"/>
      <x:c r="H82" s="2"/>
      <x:c r="I82" s="2"/>
    </x:row>
    <x:row r="83" ht="21" customHeight="1">
      <x:c r="C83" s="1"/>
      <x:c r="D83" s="2"/>
      <x:c r="E83" s="2"/>
      <x:c r="F83" s="2"/>
      <x:c r="G83" s="2"/>
      <x:c r="H83" s="2"/>
      <x:c r="I83" s="2"/>
    </x:row>
    <x:row r="84" ht="21" customHeight="1">
      <x:c r="C84" s="1"/>
      <x:c r="D84" s="2"/>
      <x:c r="E84" s="2"/>
      <x:c r="F84" s="2"/>
      <x:c r="G84" s="2"/>
      <x:c r="H84" s="2"/>
      <x:c r="I84" s="2"/>
    </x:row>
    <x:row r="85" ht="21" customHeight="1">
      <x:c r="C85" s="1"/>
      <x:c r="D85" s="2"/>
      <x:c r="E85" s="2"/>
      <x:c r="F85" s="2"/>
      <x:c r="G85" s="2"/>
      <x:c r="H85" s="2"/>
      <x:c r="I85" s="2"/>
    </x:row>
    <x:row r="86" ht="21" customHeight="1">
      <x:c r="C86" s="1"/>
      <x:c r="D86" s="2"/>
      <x:c r="E86" s="2"/>
      <x:c r="F86" s="2"/>
      <x:c r="G86" s="2"/>
      <x:c r="H86" s="2"/>
      <x:c r="I86" s="2"/>
    </x:row>
    <x:row r="87" ht="21" customHeight="1">
      <x:c r="C87" s="1"/>
      <x:c r="D87" s="2"/>
      <x:c r="E87" s="2"/>
      <x:c r="F87" s="2"/>
      <x:c r="G87" s="2"/>
      <x:c r="H87" s="2"/>
      <x:c r="I87" s="2"/>
    </x:row>
    <x:row r="88" ht="21" customHeight="1">
      <x:c r="C88" s="1"/>
      <x:c r="D88" s="2"/>
      <x:c r="E88" s="2"/>
      <x:c r="F88" s="2"/>
      <x:c r="G88" s="2"/>
      <x:c r="H88" s="2"/>
      <x:c r="I88" s="2"/>
    </x:row>
    <x:row r="89" ht="21" customHeight="1">
      <x:c r="C89" s="1"/>
      <x:c r="D89" s="2"/>
      <x:c r="E89" s="2"/>
      <x:c r="F89" s="2"/>
      <x:c r="G89" s="2"/>
      <x:c r="H89" s="2"/>
      <x:c r="I89" s="2"/>
    </x:row>
    <x:row r="90" ht="21" customHeight="1">
      <x:c r="C90" s="1"/>
      <x:c r="D90" s="2"/>
      <x:c r="E90" s="2"/>
      <x:c r="F90" s="2"/>
      <x:c r="G90" s="2"/>
      <x:c r="H90" s="2"/>
      <x:c r="I90" s="2"/>
    </x:row>
    <x:row r="91" ht="21" customHeight="1">
      <x:c r="C91" s="1"/>
      <x:c r="D91" s="2"/>
      <x:c r="E91" s="2"/>
      <x:c r="F91" s="2"/>
      <x:c r="G91" s="2"/>
      <x:c r="H91" s="2"/>
      <x:c r="I91" s="2"/>
    </x:row>
    <x:row r="92" ht="21" customHeight="1">
      <x:c r="C92" s="1"/>
      <x:c r="D92" s="2"/>
      <x:c r="E92" s="2"/>
      <x:c r="F92" s="2"/>
      <x:c r="G92" s="2"/>
      <x:c r="H92" s="2"/>
      <x:c r="I92" s="2"/>
    </x:row>
    <x:row r="93" ht="21" customHeight="1">
      <x:c r="C93" s="1"/>
      <x:c r="D93" s="2"/>
      <x:c r="E93" s="2"/>
      <x:c r="F93" s="2"/>
      <x:c r="G93" s="2"/>
      <x:c r="H93" s="2"/>
      <x:c r="I93" s="2"/>
    </x:row>
    <x:row r="94" ht="21" customHeight="1">
      <x:c r="C94" s="1"/>
      <x:c r="D94" s="2"/>
      <x:c r="E94" s="2"/>
      <x:c r="F94" s="2"/>
      <x:c r="G94" s="2"/>
      <x:c r="H94" s="2"/>
      <x:c r="I94" s="2"/>
    </x:row>
    <x:row r="95" ht="21" customHeight="1">
      <x:c r="C95" s="1"/>
      <x:c r="D95" s="2"/>
      <x:c r="E95" s="2"/>
      <x:c r="F95" s="2"/>
      <x:c r="G95" s="2"/>
      <x:c r="H95" s="2"/>
      <x:c r="I95" s="2"/>
    </x:row>
    <x:row r="96" ht="21" customHeight="1">
      <x:c r="C96" s="1"/>
      <x:c r="D96" s="2"/>
      <x:c r="E96" s="2"/>
      <x:c r="F96" s="2"/>
      <x:c r="G96" s="2"/>
      <x:c r="H96" s="2"/>
      <x:c r="I96" s="2"/>
    </x:row>
    <x:row r="97" ht="21" customHeight="1">
      <x:c r="C97" s="1"/>
      <x:c r="D97" s="2"/>
      <x:c r="E97" s="2"/>
      <x:c r="F97" s="2"/>
      <x:c r="G97" s="2"/>
      <x:c r="H97" s="2"/>
      <x:c r="I97" s="2"/>
    </x:row>
    <x:row r="98" ht="21" customHeight="1">
      <x:c r="C98" s="1"/>
      <x:c r="D98" s="2"/>
      <x:c r="E98" s="2"/>
      <x:c r="F98" s="2"/>
      <x:c r="G98" s="2"/>
      <x:c r="H98" s="2"/>
      <x:c r="I98" s="2"/>
    </x:row>
    <x:row r="99" ht="21" customHeight="1">
      <x:c r="C99" s="1"/>
      <x:c r="D99" s="2"/>
      <x:c r="E99" s="2"/>
      <x:c r="F99" s="2"/>
      <x:c r="G99" s="2"/>
      <x:c r="H99" s="2"/>
      <x:c r="I99" s="2"/>
    </x:row>
    <x:row r="100" ht="21" customHeight="1">
      <x:c r="C100" s="1"/>
      <x:c r="D100" s="2"/>
      <x:c r="E100" s="2"/>
      <x:c r="F100" s="2"/>
      <x:c r="G100" s="2"/>
      <x:c r="H100" s="2"/>
      <x:c r="I100" s="2"/>
    </x:row>
    <x:row r="101" ht="21" customHeight="1">
      <x:c r="C101" s="1"/>
      <x:c r="D101" s="2"/>
      <x:c r="E101" s="2"/>
      <x:c r="F101" s="2"/>
      <x:c r="G101" s="2"/>
      <x:c r="H101" s="2"/>
      <x:c r="I101" s="2"/>
    </x:row>
    <x:row r="102" ht="21" customHeight="1">
      <x:c r="C102" s="1"/>
      <x:c r="D102" s="2"/>
      <x:c r="E102" s="2"/>
      <x:c r="F102" s="2"/>
      <x:c r="G102" s="2"/>
      <x:c r="H102" s="2"/>
      <x:c r="I102" s="2"/>
    </x:row>
    <x:row r="103" ht="21" customHeight="1">
      <x:c r="C103" s="1"/>
      <x:c r="D103" s="2"/>
      <x:c r="E103" s="2"/>
      <x:c r="F103" s="2"/>
      <x:c r="G103" s="2"/>
      <x:c r="H103" s="2"/>
      <x:c r="I103" s="2"/>
    </x:row>
    <x:row r="104" ht="21" customHeight="1">
      <x:c r="C104" s="1"/>
      <x:c r="D104" s="2"/>
      <x:c r="E104" s="2"/>
      <x:c r="F104" s="2"/>
      <x:c r="G104" s="2"/>
      <x:c r="H104" s="2"/>
      <x:c r="I104" s="2"/>
    </x:row>
    <x:row r="105" ht="21" customHeight="1">
      <x:c r="C105" s="1"/>
      <x:c r="D105" s="2"/>
      <x:c r="E105" s="2"/>
      <x:c r="F105" s="2"/>
      <x:c r="G105" s="2"/>
      <x:c r="H105" s="2"/>
      <x:c r="I105" s="2"/>
    </x:row>
    <x:row r="106" ht="21" customHeight="1">
      <x:c r="C106" s="1"/>
      <x:c r="D106" s="2"/>
      <x:c r="E106" s="2"/>
      <x:c r="F106" s="2"/>
      <x:c r="G106" s="2"/>
      <x:c r="H106" s="2"/>
      <x:c r="I106" s="2"/>
    </x:row>
    <x:row r="107" ht="21" customHeight="1">
      <x:c r="C107" s="1"/>
      <x:c r="D107" s="2"/>
      <x:c r="E107" s="2"/>
      <x:c r="F107" s="2"/>
      <x:c r="G107" s="2"/>
      <x:c r="H107" s="2"/>
      <x:c r="I107" s="2"/>
    </x:row>
    <x:row r="108" ht="21" customHeight="1">
      <x:c r="C108" s="1"/>
      <x:c r="D108" s="2"/>
      <x:c r="E108" s="2"/>
      <x:c r="F108" s="2"/>
      <x:c r="G108" s="2"/>
      <x:c r="H108" s="2"/>
      <x:c r="I108" s="2"/>
    </x:row>
    <x:row r="109" ht="21" customHeight="1">
      <x:c r="C109" s="1"/>
      <x:c r="D109" s="2"/>
      <x:c r="E109" s="2"/>
      <x:c r="F109" s="2"/>
      <x:c r="G109" s="2"/>
      <x:c r="H109" s="2"/>
      <x:c r="I109" s="2"/>
    </x:row>
    <x:row r="110" ht="21" customHeight="1">
      <x:c r="C110" s="1"/>
      <x:c r="D110" s="2"/>
      <x:c r="E110" s="2"/>
      <x:c r="F110" s="2"/>
      <x:c r="G110" s="2"/>
      <x:c r="H110" s="2"/>
      <x:c r="I110" s="2"/>
    </x:row>
    <x:row r="111" ht="21" customHeight="1">
      <x:c r="C111" s="1"/>
      <x:c r="D111" s="2"/>
      <x:c r="E111" s="2"/>
      <x:c r="F111" s="2"/>
      <x:c r="G111" s="2"/>
      <x:c r="H111" s="2"/>
      <x:c r="I111" s="2"/>
    </x:row>
    <x:row r="112" ht="21" customHeight="1">
      <x:c r="C112" s="1"/>
      <x:c r="D112" s="2"/>
      <x:c r="E112" s="2"/>
      <x:c r="F112" s="2"/>
      <x:c r="G112" s="2"/>
      <x:c r="H112" s="2"/>
      <x:c r="I112" s="2"/>
    </x:row>
    <x:row r="113" ht="21" customHeight="1">
      <x:c r="C113" s="1"/>
      <x:c r="D113" s="2"/>
      <x:c r="E113" s="2"/>
      <x:c r="F113" s="2"/>
      <x:c r="G113" s="2"/>
      <x:c r="H113" s="2"/>
      <x:c r="I113" s="2"/>
    </x:row>
    <x:row r="114" ht="21" customHeight="1">
      <x:c r="C114" s="1"/>
      <x:c r="D114" s="2"/>
      <x:c r="E114" s="2"/>
      <x:c r="F114" s="2"/>
      <x:c r="G114" s="2"/>
      <x:c r="H114" s="2"/>
      <x:c r="I114" s="2"/>
    </x:row>
    <x:row r="115" ht="21" customHeight="1">
      <x:c r="C115" s="1"/>
      <x:c r="D115" s="2"/>
      <x:c r="E115" s="2"/>
      <x:c r="F115" s="2"/>
      <x:c r="G115" s="2"/>
      <x:c r="H115" s="2"/>
      <x:c r="I115" s="2"/>
    </x:row>
    <x:row r="116" ht="21" customHeight="1">
      <x:c r="C116" s="1"/>
      <x:c r="D116" s="2"/>
      <x:c r="E116" s="2"/>
      <x:c r="F116" s="2"/>
      <x:c r="G116" s="2"/>
      <x:c r="H116" s="2"/>
      <x:c r="I116" s="2"/>
    </x:row>
    <x:row r="117" ht="21" customHeight="1">
      <x:c r="C117" s="1"/>
      <x:c r="D117" s="2"/>
      <x:c r="E117" s="2"/>
      <x:c r="F117" s="2"/>
      <x:c r="G117" s="2"/>
      <x:c r="H117" s="2"/>
      <x:c r="I117" s="2"/>
    </x:row>
    <x:row r="118" ht="21" customHeight="1">
      <x:c r="C118" s="1"/>
      <x:c r="D118" s="2"/>
      <x:c r="E118" s="2"/>
      <x:c r="F118" s="2"/>
      <x:c r="G118" s="2"/>
      <x:c r="H118" s="2"/>
      <x:c r="I118" s="2"/>
    </x:row>
    <x:row r="119" ht="21" customHeight="1">
      <x:c r="C119" s="1"/>
      <x:c r="D119" s="2"/>
      <x:c r="E119" s="2"/>
      <x:c r="F119" s="2"/>
      <x:c r="G119" s="2"/>
      <x:c r="H119" s="2"/>
      <x:c r="I119" s="2"/>
    </x:row>
    <x:row r="120" ht="21" customHeight="1">
      <x:c r="C120" s="1"/>
      <x:c r="D120" s="2"/>
      <x:c r="E120" s="2"/>
      <x:c r="F120" s="2"/>
      <x:c r="G120" s="2"/>
      <x:c r="H120" s="2"/>
      <x:c r="I120" s="2"/>
    </x:row>
    <x:row r="121" ht="21" customHeight="1">
      <x:c r="C121" s="1"/>
      <x:c r="D121" s="2"/>
      <x:c r="E121" s="2"/>
      <x:c r="F121" s="2"/>
      <x:c r="G121" s="2"/>
      <x:c r="H121" s="2"/>
      <x:c r="I121" s="2"/>
    </x:row>
    <x:row r="122" ht="21" customHeight="1">
      <x:c r="C122" s="1"/>
      <x:c r="D122" s="2"/>
      <x:c r="E122" s="2"/>
      <x:c r="F122" s="2"/>
      <x:c r="G122" s="2"/>
      <x:c r="H122" s="2"/>
      <x:c r="I122" s="2"/>
    </x:row>
    <x:row r="123" ht="21" customHeight="1">
      <x:c r="C123" s="1"/>
      <x:c r="D123" s="2"/>
      <x:c r="E123" s="2"/>
      <x:c r="F123" s="2"/>
      <x:c r="G123" s="2"/>
      <x:c r="H123" s="2"/>
      <x:c r="I123" s="2"/>
    </x:row>
    <x:row r="124" ht="21" customHeight="1">
      <x:c r="C124" s="1"/>
      <x:c r="D124" s="2"/>
      <x:c r="E124" s="2"/>
      <x:c r="F124" s="2"/>
      <x:c r="G124" s="2"/>
      <x:c r="H124" s="2"/>
      <x:c r="I124" s="2"/>
    </x:row>
    <x:row r="125" ht="21" customHeight="1">
      <x:c r="C125" s="1"/>
      <x:c r="D125" s="2"/>
      <x:c r="E125" s="2"/>
      <x:c r="F125" s="2"/>
      <x:c r="G125" s="2"/>
      <x:c r="H125" s="2"/>
      <x:c r="I125" s="2"/>
    </x:row>
    <x:row r="126" ht="21" customHeight="1">
      <x:c r="C126" s="1"/>
      <x:c r="D126" s="2"/>
      <x:c r="E126" s="2"/>
      <x:c r="F126" s="2"/>
      <x:c r="G126" s="2"/>
      <x:c r="H126" s="2"/>
      <x:c r="I126" s="2"/>
    </x:row>
    <x:row r="127" ht="21" customHeight="1">
      <x:c r="C127" s="1"/>
      <x:c r="D127" s="2"/>
      <x:c r="E127" s="2"/>
      <x:c r="F127" s="2"/>
      <x:c r="G127" s="2"/>
      <x:c r="H127" s="2"/>
      <x:c r="I127" s="2"/>
    </x:row>
    <x:row r="128" ht="21" customHeight="1">
      <x:c r="C128" s="1"/>
      <x:c r="D128" s="2"/>
      <x:c r="E128" s="2"/>
      <x:c r="F128" s="2"/>
      <x:c r="G128" s="2"/>
      <x:c r="H128" s="2"/>
      <x:c r="I128" s="2"/>
    </x:row>
    <x:row r="129" ht="21" customHeight="1">
      <x:c r="C129" s="1"/>
      <x:c r="D129" s="2"/>
      <x:c r="E129" s="2"/>
      <x:c r="F129" s="2"/>
      <x:c r="G129" s="2"/>
      <x:c r="H129" s="2"/>
      <x:c r="I129" s="2"/>
    </x:row>
    <x:row r="130" ht="21" customHeight="1">
      <x:c r="C130" s="1"/>
      <x:c r="D130" s="2"/>
      <x:c r="E130" s="2"/>
      <x:c r="F130" s="2"/>
      <x:c r="G130" s="2"/>
      <x:c r="H130" s="2"/>
      <x:c r="I130" s="2"/>
    </x:row>
    <x:row r="131" ht="21" customHeight="1">
      <x:c r="C131" s="1"/>
      <x:c r="D131" s="2"/>
      <x:c r="E131" s="2"/>
      <x:c r="F131" s="2"/>
      <x:c r="G131" s="2"/>
      <x:c r="H131" s="2"/>
      <x:c r="I131" s="2"/>
    </x:row>
    <x:row r="132" ht="21" customHeight="1">
      <x:c r="C132" s="1"/>
      <x:c r="D132" s="2"/>
      <x:c r="E132" s="2"/>
      <x:c r="F132" s="2"/>
      <x:c r="G132" s="2"/>
      <x:c r="H132" s="2"/>
      <x:c r="I132" s="2"/>
    </x:row>
    <x:row r="133" ht="21" customHeight="1">
      <x:c r="C133" s="1"/>
      <x:c r="D133" s="2"/>
      <x:c r="E133" s="2"/>
      <x:c r="F133" s="2"/>
      <x:c r="G133" s="2"/>
      <x:c r="H133" s="2"/>
      <x:c r="I133" s="2"/>
    </x:row>
    <x:row r="134" ht="21" customHeight="1">
      <x:c r="C134" s="1"/>
      <x:c r="D134" s="2"/>
      <x:c r="E134" s="2"/>
      <x:c r="F134" s="2"/>
      <x:c r="G134" s="2"/>
      <x:c r="H134" s="2"/>
      <x:c r="I134" s="2"/>
    </x:row>
    <x:row r="135" ht="21" customHeight="1">
      <x:c r="C135" s="1"/>
      <x:c r="D135" s="2"/>
      <x:c r="E135" s="2"/>
      <x:c r="F135" s="2"/>
      <x:c r="G135" s="2"/>
      <x:c r="H135" s="2"/>
      <x:c r="I135" s="2"/>
    </x:row>
    <x:row r="136" ht="21" customHeight="1">
      <x:c r="C136" s="1"/>
      <x:c r="D136" s="2"/>
      <x:c r="E136" s="2"/>
      <x:c r="F136" s="2"/>
      <x:c r="G136" s="2"/>
      <x:c r="H136" s="2"/>
      <x:c r="I136" s="2"/>
    </x:row>
    <x:row r="137" ht="21" customHeight="1">
      <x:c r="C137" s="1"/>
      <x:c r="D137" s="2"/>
      <x:c r="E137" s="2"/>
      <x:c r="F137" s="2"/>
      <x:c r="G137" s="2"/>
      <x:c r="H137" s="2"/>
      <x:c r="I137" s="2"/>
    </x:row>
    <x:row r="138" ht="21" customHeight="1">
      <x:c r="C138" s="1"/>
      <x:c r="D138" s="2"/>
      <x:c r="E138" s="2"/>
      <x:c r="F138" s="2"/>
      <x:c r="G138" s="2"/>
      <x:c r="H138" s="2"/>
      <x:c r="I138" s="2"/>
    </x:row>
    <x:row r="139" ht="21" customHeight="1">
      <x:c r="C139" s="1"/>
      <x:c r="D139" s="2"/>
      <x:c r="E139" s="2"/>
      <x:c r="F139" s="2"/>
      <x:c r="G139" s="2"/>
      <x:c r="H139" s="2"/>
      <x:c r="I139" s="2"/>
    </x:row>
    <x:row r="140" ht="21" customHeight="1">
      <x:c r="C140" s="1"/>
      <x:c r="D140" s="2"/>
      <x:c r="E140" s="2"/>
      <x:c r="F140" s="2"/>
      <x:c r="G140" s="2"/>
      <x:c r="H140" s="2"/>
      <x:c r="I140" s="2"/>
    </x:row>
    <x:row r="141" ht="21" customHeight="1">
      <x:c r="C141" s="1"/>
      <x:c r="D141" s="2"/>
      <x:c r="E141" s="2"/>
      <x:c r="F141" s="2"/>
      <x:c r="G141" s="2"/>
      <x:c r="H141" s="2"/>
      <x:c r="I141" s="2"/>
    </x:row>
    <x:row r="142" ht="21" customHeight="1">
      <x:c r="C142" s="1"/>
      <x:c r="D142" s="2"/>
      <x:c r="E142" s="2"/>
      <x:c r="F142" s="2"/>
      <x:c r="G142" s="2"/>
      <x:c r="H142" s="2"/>
      <x:c r="I142" s="2"/>
    </x:row>
    <x:row r="143" ht="21" customHeight="1">
      <x:c r="C143" s="1"/>
      <x:c r="D143" s="2"/>
      <x:c r="E143" s="2"/>
      <x:c r="F143" s="2"/>
      <x:c r="G143" s="2"/>
      <x:c r="H143" s="2"/>
      <x:c r="I143" s="2"/>
    </x:row>
    <x:row r="144" ht="21" customHeight="1">
      <x:c r="C144" s="1"/>
      <x:c r="D144" s="2"/>
      <x:c r="E144" s="2"/>
      <x:c r="F144" s="2"/>
      <x:c r="G144" s="2"/>
      <x:c r="H144" s="2"/>
      <x:c r="I144" s="2"/>
    </x:row>
    <x:row r="145" ht="21" customHeight="1">
      <x:c r="C145" s="1"/>
      <x:c r="D145" s="2"/>
      <x:c r="E145" s="2"/>
      <x:c r="F145" s="2"/>
      <x:c r="G145" s="2"/>
      <x:c r="H145" s="2"/>
      <x:c r="I145" s="2"/>
    </x:row>
    <x:row r="146" ht="21" customHeight="1">
      <x:c r="C146" s="1"/>
      <x:c r="D146" s="2"/>
      <x:c r="E146" s="2"/>
      <x:c r="F146" s="2"/>
      <x:c r="G146" s="2"/>
      <x:c r="H146" s="2"/>
      <x:c r="I146" s="2"/>
    </x:row>
    <x:row r="147" ht="21" customHeight="1">
      <x:c r="C147" s="1"/>
      <x:c r="D147" s="2"/>
      <x:c r="E147" s="2"/>
      <x:c r="F147" s="2"/>
      <x:c r="G147" s="2"/>
      <x:c r="H147" s="2"/>
      <x:c r="I147" s="2"/>
    </x:row>
    <x:row r="148" ht="21" customHeight="1">
      <x:c r="C148" s="1"/>
      <x:c r="D148" s="2"/>
      <x:c r="E148" s="2"/>
      <x:c r="F148" s="2"/>
      <x:c r="G148" s="2"/>
      <x:c r="H148" s="2"/>
      <x:c r="I148" s="2"/>
    </x:row>
    <x:row r="149" ht="21" customHeight="1">
      <x:c r="C149" s="1"/>
      <x:c r="D149" s="2"/>
      <x:c r="E149" s="2"/>
      <x:c r="F149" s="2"/>
      <x:c r="G149" s="2"/>
      <x:c r="H149" s="2"/>
      <x:c r="I149" s="2"/>
    </x:row>
    <x:row r="150" ht="21" customHeight="1">
      <x:c r="C150" s="1"/>
      <x:c r="D150" s="2"/>
      <x:c r="E150" s="2"/>
      <x:c r="F150" s="2"/>
      <x:c r="G150" s="2"/>
      <x:c r="H150" s="2"/>
      <x:c r="I150" s="2"/>
    </x:row>
    <x:row r="151" ht="21" customHeight="1">
      <x:c r="C151" s="1"/>
      <x:c r="D151" s="2"/>
      <x:c r="E151" s="2"/>
      <x:c r="F151" s="2"/>
      <x:c r="G151" s="2"/>
      <x:c r="H151" s="2"/>
      <x:c r="I151" s="2"/>
    </x:row>
    <x:row r="152" ht="21" customHeight="1">
      <x:c r="C152" s="1"/>
      <x:c r="D152" s="2"/>
      <x:c r="E152" s="2"/>
      <x:c r="F152" s="2"/>
      <x:c r="G152" s="2"/>
      <x:c r="H152" s="2"/>
      <x:c r="I152" s="2"/>
    </x:row>
    <x:row r="153" ht="21" customHeight="1">
      <x:c r="C153" s="1"/>
      <x:c r="D153" s="2"/>
      <x:c r="E153" s="2"/>
      <x:c r="F153" s="2"/>
      <x:c r="G153" s="2"/>
      <x:c r="H153" s="2"/>
      <x:c r="I153" s="2"/>
    </x:row>
    <x:row r="154" ht="21" customHeight="1">
      <x:c r="C154" s="1"/>
      <x:c r="D154" s="2"/>
      <x:c r="E154" s="2"/>
      <x:c r="F154" s="2"/>
      <x:c r="G154" s="2"/>
      <x:c r="H154" s="2"/>
      <x:c r="I154" s="2"/>
    </x:row>
    <x:row r="155" ht="21" customHeight="1">
      <x:c r="C155" s="1"/>
      <x:c r="D155" s="2"/>
      <x:c r="E155" s="2"/>
      <x:c r="F155" s="2"/>
      <x:c r="G155" s="2"/>
      <x:c r="H155" s="2"/>
      <x:c r="I155" s="2"/>
    </x:row>
    <x:row r="156" ht="21" customHeight="1">
      <x:c r="C156" s="1"/>
      <x:c r="D156" s="2"/>
      <x:c r="E156" s="2"/>
      <x:c r="F156" s="2"/>
      <x:c r="G156" s="2"/>
      <x:c r="H156" s="2"/>
      <x:c r="I156" s="2"/>
    </x:row>
    <x:row r="157" ht="21" customHeight="1">
      <x:c r="C157" s="1"/>
      <x:c r="D157" s="2"/>
      <x:c r="E157" s="2"/>
      <x:c r="F157" s="2"/>
      <x:c r="G157" s="2"/>
      <x:c r="H157" s="2"/>
      <x:c r="I157" s="2"/>
    </x:row>
    <x:row r="158" ht="21" customHeight="1">
      <x:c r="C158" s="1"/>
      <x:c r="D158" s="2"/>
      <x:c r="E158" s="2"/>
      <x:c r="F158" s="2"/>
      <x:c r="G158" s="2"/>
      <x:c r="H158" s="2"/>
      <x:c r="I158" s="2"/>
    </x:row>
    <x:row r="159" ht="21" customHeight="1">
      <x:c r="C159" s="1"/>
      <x:c r="D159" s="2"/>
      <x:c r="E159" s="2"/>
      <x:c r="F159" s="2"/>
      <x:c r="G159" s="2"/>
      <x:c r="H159" s="2"/>
      <x:c r="I159" s="2"/>
    </x:row>
    <x:row r="160" ht="21" customHeight="1">
      <x:c r="C160" s="1"/>
      <x:c r="D160" s="2"/>
      <x:c r="E160" s="2"/>
      <x:c r="F160" s="2"/>
      <x:c r="G160" s="2"/>
      <x:c r="H160" s="2"/>
      <x:c r="I160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53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21" customHeight="1">
      <x:c r="C1" s="1"/>
      <x:c r="D1" s="1"/>
      <x:c r="E1" s="1"/>
      <x:c r="F1" s="1"/>
      <x:c r="G1" s="1"/>
      <x:c r="H1" s="1"/>
      <x:c r="I1" s="1"/>
    </x:row>
    <x:row r="2" ht="21" customHeight="1">
      <x:c r="C2" s="4" t="str">
        <x:v>创科实业 TTI</x:v>
      </x:c>
      <x:c r="D2" s="4"/>
      <x:c r="E2" s="4"/>
      <x:c r="F2" s="4"/>
      <x:c r="G2" s="4"/>
      <x:c r="H2" s="4"/>
      <x:c r="I2" s="4"/>
    </x:row>
    <x:row r="3" ht="21" customHeight="1">
      <x:c r="C3" s="5" t="str">
        <x:v>Operating · USD million · December year-end</x:v>
      </x:c>
      <x:c r="D3" s="5"/>
      <x:c r="E3" s="5"/>
      <x:c r="F3" s="5"/>
      <x:c r="G3" s="5"/>
      <x:c r="H3" s="5"/>
      <x:c r="I3" s="5"/>
    </x:row>
    <x:row r="4" ht="21" customHeight="1">
      <x:c r="C4" s="1"/>
      <x:c r="D4" s="1"/>
      <x:c r="E4" s="1"/>
      <x:c r="F4" s="1"/>
      <x:c r="G4" s="1"/>
      <x:c r="H4" s="1"/>
      <x:c r="I4" s="1"/>
    </x:row>
    <x:row r="5" ht="21" customHeight="1">
      <x:c r="C5" s="1"/>
      <x:c r="D5" s="1"/>
      <x:c r="E5" s="1"/>
      <x:c r="F5" s="1"/>
      <x:c r="G5" s="1"/>
      <x:c r="H5" s="1"/>
      <x:c r="I5" s="1"/>
    </x:row>
    <x:row r="6" ht="21" customHeight="1">
      <x:c r="C6" s="1"/>
      <x:c r="D6" s="1"/>
      <x:c r="E6" s="1"/>
      <x:c r="F6" s="1"/>
      <x:c r="G6" s="1"/>
      <x:c r="H6" s="1"/>
      <x:c r="I6" s="1"/>
    </x:row>
    <x:row r="7" ht="21" customHeight="1">
      <x:c r="C7" s="12"/>
      <x:c r="D7" s="13" t="n">
        <x:f>'Assumptions'!D7</x:f>
        <x:v>45291</x:v>
      </x:c>
      <x:c r="E7" s="13" t="n">
        <x:f>'Assumptions'!E7</x:f>
        <x:v>45657</x:v>
      </x:c>
      <x:c r="F7" s="13" t="n">
        <x:f>'Assumptions'!F7</x:f>
        <x:v>46022</x:v>
      </x:c>
      <x:c r="G7" s="14" t="n">
        <x:f>'Assumptions'!G7</x:f>
        <x:v>46387</x:v>
      </x:c>
      <x:c r="H7" s="14" t="n">
        <x:f>'Assumptions'!H7</x:f>
        <x:v>46752</x:v>
      </x:c>
      <x:c r="I7" s="14" t="n">
        <x:f>'Assumptions'!I7</x:f>
        <x:v>47118</x:v>
      </x:c>
    </x:row>
    <x:row r="8" ht="21" customHeight="1">
      <x:c r="C8" s="1"/>
      <x:c r="D8" s="2"/>
      <x:c r="E8" s="2"/>
      <x:c r="F8" s="2"/>
      <x:c r="G8" s="2"/>
      <x:c r="H8" s="2"/>
      <x:c r="I8" s="2"/>
    </x:row>
    <x:row r="9" ht="21" customHeight="1">
      <x:c r="C9" s="1"/>
      <x:c r="D9" s="2"/>
      <x:c r="E9" s="2"/>
      <x:c r="F9" s="2"/>
      <x:c r="G9" s="2"/>
      <x:c r="H9" s="2"/>
      <x:c r="I9" s="2"/>
    </x:row>
    <x:row r="10" ht="21" customHeight="1">
      <x:c r="C10" s="12" t="str">
        <x:v>Professional</x:v>
      </x:c>
      <x:c r="D10" s="25"/>
      <x:c r="E10" s="25"/>
      <x:c r="F10" s="25"/>
      <x:c r="G10" s="25"/>
      <x:c r="H10" s="25"/>
      <x:c r="I10" s="25"/>
    </x:row>
    <x:row r="11" ht="21" customHeight="1">
      <x:c r="C11" s="1" t="str">
        <x:v>Volume / activity growth</x:v>
      </x:c>
      <x:c r="D11" s="2"/>
      <x:c r="E11" s="2"/>
      <x:c r="F11" s="2"/>
      <x:c r="G11" s="31" t="n">
        <x:f>'Assumptions'!G66</x:f>
        <x:v>0.08</x:v>
      </x:c>
      <x:c r="H11" s="31" t="n">
        <x:f>'Assumptions'!H66</x:f>
        <x:v>0.08</x:v>
      </x:c>
      <x:c r="I11" s="31" t="n">
        <x:f>'Assumptions'!I66</x:f>
        <x:v>0.08</x:v>
      </x:c>
    </x:row>
    <x:row r="12" ht="21" customHeight="1">
      <x:c r="C12" s="1" t="str">
        <x:v>Segment revenue</x:v>
      </x:c>
      <x:c r="D12" s="2"/>
      <x:c r="E12" s="2"/>
      <x:c r="F12" s="2" t="n">
        <x:v>10464.31111883699</x:v>
      </x:c>
      <x:c r="G12" s="19" t="n">
        <x:f>'Interim'!E16+($F12-'Interim'!D16)*(1+G11)*(1+G13)</x:f>
        <x:v>11445.961013627388</x:v>
      </x:c>
      <x:c r="H12" s="27" t="n">
        <x:f>G12*(1+H11)*(1+H13)</x:f>
        <x:v>12485.254273664756</x:v>
      </x:c>
      <x:c r="I12" s="27" t="n">
        <x:f>H12*(1+I11)*(1+I13)</x:f>
        <x:v>13618.915361713516</x:v>
      </x:c>
    </x:row>
    <x:row r="13" ht="21" customHeight="1">
      <x:c r="C13" s="1" t="str">
        <x:v>Net price / mix change</x:v>
      </x:c>
      <x:c r="D13" s="2"/>
      <x:c r="E13" s="2"/>
      <x:c r="F13" s="2"/>
      <x:c r="G13" s="31" t="n">
        <x:f>'Assumptions'!G67</x:f>
        <x:v>0.01</x:v>
      </x:c>
      <x:c r="H13" s="31" t="n">
        <x:f>'Assumptions'!H67</x:f>
        <x:v>0.01</x:v>
      </x:c>
      <x:c r="I13" s="31" t="n">
        <x:f>'Assumptions'!I67</x:f>
        <x:v>0.01</x:v>
      </x:c>
    </x:row>
    <x:row r="14" ht="21" customHeight="1">
      <x:c r="C14" s="1" t="str">
        <x:v>Cash gross margin before depreciation</x:v>
      </x:c>
      <x:c r="D14" s="2"/>
      <x:c r="E14" s="2"/>
      <x:c r="F14" s="2"/>
      <x:c r="G14" s="31" t="n">
        <x:f>'Assumptions'!G68</x:f>
        <x:v>0.45790797136452344</x:v>
      </x:c>
      <x:c r="H14" s="31" t="n">
        <x:f>'Assumptions'!H68</x:f>
        <x:v>0.45790797136452344</x:v>
      </x:c>
      <x:c r="I14" s="31" t="n">
        <x:f>'Assumptions'!I68</x:f>
        <x:v>0.45790797136452344</x:v>
      </x:c>
    </x:row>
    <x:row r="15" ht="21" customHeight="1">
      <x:c r="C15" s="1" t="str">
        <x:v>Cash cost of revenue</x:v>
      </x:c>
      <x:c r="D15" s="2"/>
      <x:c r="E15" s="2"/>
      <x:c r="F15" s="2"/>
      <x:c r="G15" s="27" t="n">
        <x:f>G12*(1-G14)</x:f>
        <x:v>6204.764225559847</x:v>
      </x:c>
      <x:c r="H15" s="27" t="n">
        <x:f>H12*(1-H14)</x:f>
        <x:v>6768.1568172406805</x:v>
      </x:c>
      <x:c r="I15" s="27" t="n">
        <x:f>I12*(1-I14)</x:f>
        <x:v>7382.705456246135</x:v>
      </x:c>
    </x:row>
    <x:row r="16" ht="21" customHeight="1">
      <x:c r="C16" s="1" t="str">
        <x:v>CALIBRATED_LEAP: tti_H12026 P011 L016 and L028; FY2025 mix allocation is LEAP</x:v>
      </x:c>
      <x:c r="D16" s="2"/>
      <x:c r="E16" s="2"/>
      <x:c r="F16" s="2"/>
      <x:c r="G16" s="2"/>
      <x:c r="H16" s="2"/>
      <x:c r="I16" s="2"/>
    </x:row>
    <x:row r="17" ht="21" customHeight="1">
      <x:c r="C17" s="1"/>
      <x:c r="D17" s="2"/>
      <x:c r="E17" s="2"/>
      <x:c r="F17" s="2"/>
      <x:c r="G17" s="2"/>
      <x:c r="H17" s="2"/>
      <x:c r="I17" s="2"/>
    </x:row>
    <x:row r="18" ht="21" customHeight="1">
      <x:c r="C18" s="12" t="str">
        <x:v>Consumer</x:v>
      </x:c>
      <x:c r="D18" s="25"/>
      <x:c r="E18" s="25"/>
      <x:c r="F18" s="25"/>
      <x:c r="G18" s="25"/>
      <x:c r="H18" s="25"/>
      <x:c r="I18" s="25"/>
    </x:row>
    <x:row r="19" ht="21" customHeight="1">
      <x:c r="C19" s="1" t="str">
        <x:v>Volume / activity growth</x:v>
      </x:c>
      <x:c r="D19" s="2"/>
      <x:c r="E19" s="2"/>
      <x:c r="F19" s="2"/>
      <x:c r="G19" s="31" t="n">
        <x:f>'Assumptions'!G70</x:f>
        <x:v>0.02</x:v>
      </x:c>
      <x:c r="H19" s="31" t="n">
        <x:f>'Assumptions'!H70</x:f>
        <x:v>0.02</x:v>
      </x:c>
      <x:c r="I19" s="31" t="n">
        <x:f>'Assumptions'!I70</x:f>
        <x:v>0.02</x:v>
      </x:c>
    </x:row>
    <x:row r="20" ht="21" customHeight="1">
      <x:c r="C20" s="1" t="str">
        <x:v>Segment revenue</x:v>
      </x:c>
      <x:c r="D20" s="2"/>
      <x:c r="E20" s="2"/>
      <x:c r="F20" s="2" t="n">
        <x:v>4795.221881163011</x:v>
      </x:c>
      <x:c r="G20" s="19" t="n">
        <x:f>'Interim'!E17+($F20-'Interim'!D17)*(1+G19)*(1+G21)</x:f>
        <x:v>4781.190278786271</x:v>
      </x:c>
      <x:c r="H20" s="27" t="n">
        <x:f>G20*(1+H19)*(1+H21)</x:f>
        <x:v>4876.814084361997</x:v>
      </x:c>
      <x:c r="I20" s="27" t="n">
        <x:f>H20*(1+I19)*(1+I21)</x:f>
        <x:v>4974.350366049237</x:v>
      </x:c>
    </x:row>
    <x:row r="21" ht="21" customHeight="1">
      <x:c r="C21" s="1" t="str">
        <x:v>Net price / mix change</x:v>
      </x:c>
      <x:c r="D21" s="2"/>
      <x:c r="E21" s="2"/>
      <x:c r="F21" s="2"/>
      <x:c r="G21" s="31" t="n">
        <x:f>'Assumptions'!G71</x:f>
        <x:v>0</x:v>
      </x:c>
      <x:c r="H21" s="31" t="n">
        <x:f>'Assumptions'!H71</x:f>
        <x:v>0</x:v>
      </x:c>
      <x:c r="I21" s="31" t="n">
        <x:f>'Assumptions'!I71</x:f>
        <x:v>0</x:v>
      </x:c>
    </x:row>
    <x:row r="22" ht="21" customHeight="1">
      <x:c r="C22" s="1" t="str">
        <x:v>Cash gross margin before depreciation</x:v>
      </x:c>
      <x:c r="D22" s="2"/>
      <x:c r="E22" s="2"/>
      <x:c r="F22" s="2"/>
      <x:c r="G22" s="31" t="n">
        <x:f>'Assumptions'!G72</x:f>
        <x:v>0.45790797136452344</x:v>
      </x:c>
      <x:c r="H22" s="31" t="n">
        <x:f>'Assumptions'!H72</x:f>
        <x:v>0.45790797136452344</x:v>
      </x:c>
      <x:c r="I22" s="31" t="n">
        <x:f>'Assumptions'!I72</x:f>
        <x:v>0.45790797136452344</x:v>
      </x:c>
    </x:row>
    <x:row r="23" ht="21" customHeight="1">
      <x:c r="C23" s="1" t="str">
        <x:v>Cash cost of revenue</x:v>
      </x:c>
      <x:c r="D23" s="2"/>
      <x:c r="E23" s="2"/>
      <x:c r="F23" s="2"/>
      <x:c r="G23" s="27" t="n">
        <x:f>G20*(1-G22)</x:f>
        <x:v>2591.8451375194695</x:v>
      </x:c>
      <x:c r="H23" s="27" t="n">
        <x:f>H20*(1-H22)</x:f>
        <x:v>2643.682040269859</x:v>
      </x:c>
      <x:c r="I23" s="27" t="n">
        <x:f>I20*(1-I22)</x:f>
        <x:v>2696.5556810752564</x:v>
      </x:c>
    </x:row>
    <x:row r="24" ht="21" customHeight="1">
      <x:c r="C24" s="1" t="str">
        <x:v>CALIBRATED_LEAP: tti_H12026 P011 L016 and L028; FY2025 mix allocation is LEAP</x:v>
      </x:c>
      <x:c r="D24" s="2"/>
      <x:c r="E24" s="2"/>
      <x:c r="F24" s="2"/>
      <x:c r="G24" s="2"/>
      <x:c r="H24" s="2"/>
      <x:c r="I24" s="2"/>
    </x:row>
    <x:row r="25" ht="21" customHeight="1">
      <x:c r="C25" s="1"/>
      <x:c r="D25" s="2"/>
      <x:c r="E25" s="2"/>
      <x:c r="F25" s="2"/>
      <x:c r="G25" s="2"/>
      <x:c r="H25" s="2"/>
      <x:c r="I25" s="2"/>
    </x:row>
    <x:row r="26" ht="21" customHeight="1">
      <x:c r="C26" s="1"/>
      <x:c r="D26" s="2"/>
      <x:c r="E26" s="2"/>
      <x:c r="F26" s="2"/>
      <x:c r="G26" s="2"/>
      <x:c r="H26" s="2"/>
      <x:c r="I26" s="2"/>
    </x:row>
    <x:row r="27" ht="21" customHeight="1">
      <x:c r="C27" s="1"/>
      <x:c r="D27" s="2"/>
      <x:c r="E27" s="2"/>
      <x:c r="F27" s="2"/>
      <x:c r="G27" s="2"/>
      <x:c r="H27" s="2"/>
      <x:c r="I27" s="2"/>
    </x:row>
    <x:row r="28" ht="21" customHeight="1">
      <x:c r="C28" s="1"/>
      <x:c r="D28" s="2"/>
      <x:c r="E28" s="2"/>
      <x:c r="F28" s="2"/>
      <x:c r="G28" s="2"/>
      <x:c r="H28" s="2"/>
      <x:c r="I28" s="2"/>
    </x:row>
    <x:row r="29" ht="21" customHeight="1">
      <x:c r="C29" s="1"/>
      <x:c r="D29" s="2"/>
      <x:c r="E29" s="2"/>
      <x:c r="F29" s="2"/>
      <x:c r="G29" s="2"/>
      <x:c r="H29" s="2"/>
      <x:c r="I29" s="2"/>
    </x:row>
    <x:row r="30" ht="21" customHeight="1">
      <x:c r="C30" s="34" t="str">
        <x:v>Total revenue</x:v>
      </x:c>
      <x:c r="D30" s="35"/>
      <x:c r="E30" s="35"/>
      <x:c r="F30" s="36" t="n">
        <x:f>F12+F20</x:f>
        <x:v>15259.533</x:v>
      </x:c>
      <x:c r="G30" s="36" t="n">
        <x:f>G12+G20</x:f>
        <x:v>16227.151292413659</x:v>
      </x:c>
      <x:c r="H30" s="36" t="n">
        <x:f>H12+H20</x:f>
        <x:v>17362.06835802675</x:v>
      </x:c>
      <x:c r="I30" s="36" t="n">
        <x:f>I12+I20</x:f>
        <x:v>18593.26572776275</x:v>
      </x:c>
    </x:row>
    <x:row r="31" ht="21" customHeight="1">
      <x:c r="C31" s="1" t="str">
        <x:v>Total cash cost of revenue</x:v>
      </x:c>
      <x:c r="D31" s="2"/>
      <x:c r="E31" s="2"/>
      <x:c r="F31" s="2"/>
      <x:c r="G31" s="27" t="n">
        <x:f>G15+G23</x:f>
        <x:v>8796.609363079317</x:v>
      </x:c>
      <x:c r="H31" s="27" t="n">
        <x:f>H15+H23</x:f>
        <x:v>9411.83885751054</x:v>
      </x:c>
      <x:c r="I31" s="27" t="n">
        <x:f>I15+I23</x:f>
        <x:v>10079.261137321391</x:v>
      </x:c>
    </x:row>
    <x:row r="32" ht="21" customHeight="1">
      <x:c r="C32" s="1"/>
      <x:c r="D32" s="2"/>
      <x:c r="E32" s="2"/>
      <x:c r="F32" s="2"/>
      <x:c r="G32" s="2"/>
      <x:c r="H32" s="2"/>
      <x:c r="I32" s="2"/>
    </x:row>
    <x:row r="33" ht="21" customHeight="1">
      <x:c r="C33" s="1"/>
      <x:c r="D33" s="2"/>
      <x:c r="E33" s="2"/>
      <x:c r="F33" s="2"/>
      <x:c r="G33" s="2"/>
      <x:c r="H33" s="2"/>
      <x:c r="I33" s="2"/>
    </x:row>
    <x:row r="34" ht="21" customHeight="1">
      <x:c r="C34" s="1"/>
      <x:c r="D34" s="2"/>
      <x:c r="E34" s="2"/>
      <x:c r="F34" s="2"/>
      <x:c r="G34" s="2"/>
      <x:c r="H34" s="2"/>
      <x:c r="I34" s="2"/>
    </x:row>
    <x:row r="35" ht="21" customHeight="1">
      <x:c r="C35" s="1"/>
      <x:c r="D35" s="2"/>
      <x:c r="E35" s="2"/>
      <x:c r="F35" s="2"/>
      <x:c r="G35" s="2"/>
      <x:c r="H35" s="2"/>
      <x:c r="I35" s="2"/>
    </x:row>
    <x:row r="36" ht="21" customHeight="1">
      <x:c r="C36" s="1"/>
      <x:c r="D36" s="2"/>
      <x:c r="E36" s="2"/>
      <x:c r="F36" s="2"/>
      <x:c r="G36" s="2"/>
      <x:c r="H36" s="2"/>
      <x:c r="I36" s="2"/>
    </x:row>
    <x:row r="37" ht="21" customHeight="1">
      <x:c r="C37" s="1"/>
      <x:c r="D37" s="2"/>
      <x:c r="E37" s="2"/>
      <x:c r="F37" s="2"/>
      <x:c r="G37" s="2"/>
      <x:c r="H37" s="2"/>
      <x:c r="I37" s="2"/>
    </x:row>
    <x:row r="38" ht="21" customHeight="1">
      <x:c r="C38" s="1"/>
      <x:c r="D38" s="2"/>
      <x:c r="E38" s="2"/>
      <x:c r="F38" s="2"/>
      <x:c r="G38" s="2"/>
      <x:c r="H38" s="2"/>
      <x:c r="I38" s="2"/>
    </x:row>
    <x:row r="39" ht="21" customHeight="1">
      <x:c r="C39" s="1"/>
      <x:c r="D39" s="2"/>
      <x:c r="E39" s="2"/>
      <x:c r="F39" s="2"/>
      <x:c r="G39" s="2"/>
      <x:c r="H39" s="2"/>
      <x:c r="I39" s="2"/>
    </x:row>
    <x:row r="40" ht="21" customHeight="1">
      <x:c r="C40" s="1"/>
      <x:c r="D40" s="2"/>
      <x:c r="E40" s="2"/>
      <x:c r="F40" s="2"/>
      <x:c r="G40" s="2"/>
      <x:c r="H40" s="2"/>
      <x:c r="I40" s="2"/>
    </x:row>
    <x:row r="41" ht="21" customHeight="1">
      <x:c r="C41" s="1"/>
      <x:c r="D41" s="2"/>
      <x:c r="E41" s="2"/>
      <x:c r="F41" s="2"/>
      <x:c r="G41" s="2"/>
      <x:c r="H41" s="2"/>
      <x:c r="I41" s="2"/>
    </x:row>
    <x:row r="42" ht="21" customHeight="1">
      <x:c r="C42" s="1"/>
      <x:c r="D42" s="2"/>
      <x:c r="E42" s="2"/>
      <x:c r="F42" s="2"/>
      <x:c r="G42" s="2"/>
      <x:c r="H42" s="2"/>
      <x:c r="I42" s="2"/>
    </x:row>
    <x:row r="43" ht="21" customHeight="1">
      <x:c r="C43" s="1"/>
      <x:c r="D43" s="2"/>
      <x:c r="E43" s="2"/>
      <x:c r="F43" s="2"/>
      <x:c r="G43" s="2"/>
      <x:c r="H43" s="2"/>
      <x:c r="I43" s="2"/>
    </x:row>
    <x:row r="44" ht="21" customHeight="1">
      <x:c r="C44" s="1"/>
      <x:c r="D44" s="2"/>
      <x:c r="E44" s="2"/>
      <x:c r="F44" s="2"/>
      <x:c r="G44" s="2"/>
      <x:c r="H44" s="2"/>
      <x:c r="I44" s="2"/>
    </x:row>
    <x:row r="45" ht="21" customHeight="1">
      <x:c r="C45" s="1"/>
      <x:c r="D45" s="2"/>
      <x:c r="E45" s="2"/>
      <x:c r="F45" s="2"/>
      <x:c r="G45" s="2"/>
      <x:c r="H45" s="2"/>
      <x:c r="I45" s="2"/>
    </x:row>
    <x:row r="46" ht="21" customHeight="1">
      <x:c r="C46" s="1"/>
      <x:c r="D46" s="2"/>
      <x:c r="E46" s="2"/>
      <x:c r="F46" s="2"/>
      <x:c r="G46" s="2"/>
      <x:c r="H46" s="2"/>
      <x:c r="I46" s="2"/>
    </x:row>
    <x:row r="47" ht="21" customHeight="1">
      <x:c r="C47" s="1"/>
      <x:c r="D47" s="2"/>
      <x:c r="E47" s="2"/>
      <x:c r="F47" s="2"/>
      <x:c r="G47" s="2"/>
      <x:c r="H47" s="2"/>
      <x:c r="I47" s="2"/>
    </x:row>
    <x:row r="48" ht="21" customHeight="1">
      <x:c r="C48" s="1"/>
      <x:c r="D48" s="2"/>
      <x:c r="E48" s="2"/>
      <x:c r="F48" s="2"/>
      <x:c r="G48" s="2"/>
      <x:c r="H48" s="2"/>
      <x:c r="I48" s="2"/>
    </x:row>
    <x:row r="49" ht="21" customHeight="1">
      <x:c r="C49" s="1"/>
      <x:c r="D49" s="2"/>
      <x:c r="E49" s="2"/>
      <x:c r="F49" s="2"/>
      <x:c r="G49" s="2"/>
      <x:c r="H49" s="2"/>
      <x:c r="I49" s="2"/>
    </x:row>
    <x:row r="50" ht="21" customHeight="1">
      <x:c r="C50" s="1"/>
      <x:c r="D50" s="2"/>
      <x:c r="E50" s="2"/>
      <x:c r="F50" s="2"/>
      <x:c r="G50" s="2"/>
      <x:c r="H50" s="2"/>
      <x:c r="I50" s="2"/>
    </x:row>
    <x:row r="51" ht="21" customHeight="1">
      <x:c r="C51" s="1"/>
      <x:c r="D51" s="2"/>
      <x:c r="E51" s="2"/>
      <x:c r="F51" s="2"/>
      <x:c r="G51" s="2"/>
      <x:c r="H51" s="2"/>
      <x:c r="I51" s="2"/>
    </x:row>
    <x:row r="52" ht="21" customHeight="1">
      <x:c r="C52" s="1"/>
      <x:c r="D52" s="2"/>
      <x:c r="E52" s="2"/>
      <x:c r="F52" s="2"/>
      <x:c r="G52" s="2"/>
      <x:c r="H52" s="2"/>
      <x:c r="I52" s="2"/>
    </x:row>
    <x:row r="53" ht="21" customHeight="1">
      <x:c r="C53" s="1"/>
      <x:c r="D53" s="2"/>
      <x:c r="E53" s="2"/>
      <x:c r="F53" s="2"/>
      <x:c r="G53" s="2"/>
      <x:c r="H53" s="2"/>
      <x:c r="I53" s="2"/>
    </x:row>
    <x:row r="54" ht="21" customHeight="1">
      <x:c r="C54" s="1"/>
      <x:c r="D54" s="2"/>
      <x:c r="E54" s="2"/>
      <x:c r="F54" s="2"/>
      <x:c r="G54" s="2"/>
      <x:c r="H54" s="2"/>
      <x:c r="I54" s="2"/>
    </x:row>
    <x:row r="55" ht="21" customHeight="1">
      <x:c r="C55" s="1"/>
      <x:c r="D55" s="2"/>
      <x:c r="E55" s="2"/>
      <x:c r="F55" s="2"/>
      <x:c r="G55" s="2"/>
      <x:c r="H55" s="2"/>
      <x:c r="I55" s="2"/>
    </x:row>
    <x:row r="56" ht="21" customHeight="1">
      <x:c r="C56" s="1"/>
      <x:c r="D56" s="2"/>
      <x:c r="E56" s="2"/>
      <x:c r="F56" s="2"/>
      <x:c r="G56" s="2"/>
      <x:c r="H56" s="2"/>
      <x:c r="I56" s="2"/>
    </x:row>
    <x:row r="57" ht="21" customHeight="1">
      <x:c r="C57" s="1"/>
      <x:c r="D57" s="2"/>
      <x:c r="E57" s="2"/>
      <x:c r="F57" s="2"/>
      <x:c r="G57" s="2"/>
      <x:c r="H57" s="2"/>
      <x:c r="I57" s="2"/>
    </x:row>
    <x:row r="58" ht="21" customHeight="1">
      <x:c r="C58" s="1"/>
      <x:c r="D58" s="2"/>
      <x:c r="E58" s="2"/>
      <x:c r="F58" s="2"/>
      <x:c r="G58" s="2"/>
      <x:c r="H58" s="2"/>
      <x:c r="I58" s="2"/>
    </x:row>
    <x:row r="59" ht="21" customHeight="1">
      <x:c r="C59" s="1"/>
      <x:c r="D59" s="2"/>
      <x:c r="E59" s="2"/>
      <x:c r="F59" s="2"/>
      <x:c r="G59" s="2"/>
      <x:c r="H59" s="2"/>
      <x:c r="I59" s="2"/>
    </x:row>
    <x:row r="60" ht="21" customHeight="1">
      <x:c r="C60" s="1"/>
      <x:c r="D60" s="2"/>
      <x:c r="E60" s="2"/>
      <x:c r="F60" s="2"/>
      <x:c r="G60" s="2"/>
      <x:c r="H60" s="2"/>
      <x:c r="I60" s="2"/>
    </x:row>
    <x:row r="61" ht="21" customHeight="1">
      <x:c r="C61" s="1"/>
      <x:c r="D61" s="2"/>
      <x:c r="E61" s="2"/>
      <x:c r="F61" s="2"/>
      <x:c r="G61" s="2"/>
      <x:c r="H61" s="2"/>
      <x:c r="I61" s="2"/>
    </x:row>
    <x:row r="62" ht="21" customHeight="1">
      <x:c r="C62" s="1"/>
      <x:c r="D62" s="2"/>
      <x:c r="E62" s="2"/>
      <x:c r="F62" s="2"/>
      <x:c r="G62" s="2"/>
      <x:c r="H62" s="2"/>
      <x:c r="I62" s="2"/>
    </x:row>
    <x:row r="63" ht="21" customHeight="1">
      <x:c r="C63" s="1"/>
      <x:c r="D63" s="2"/>
      <x:c r="E63" s="2"/>
      <x:c r="F63" s="2"/>
      <x:c r="G63" s="2"/>
      <x:c r="H63" s="2"/>
      <x:c r="I63" s="2"/>
    </x:row>
    <x:row r="64" ht="21" customHeight="1">
      <x:c r="C64" s="1"/>
      <x:c r="D64" s="2"/>
      <x:c r="E64" s="2"/>
      <x:c r="F64" s="2"/>
      <x:c r="G64" s="2"/>
      <x:c r="H64" s="2"/>
      <x:c r="I64" s="2"/>
    </x:row>
    <x:row r="65" ht="21" customHeight="1">
      <x:c r="C65" s="1"/>
      <x:c r="D65" s="2"/>
      <x:c r="E65" s="2"/>
      <x:c r="F65" s="2"/>
      <x:c r="G65" s="2"/>
      <x:c r="H65" s="2"/>
      <x:c r="I65" s="2"/>
    </x:row>
    <x:row r="66" ht="21" customHeight="1">
      <x:c r="C66" s="1"/>
      <x:c r="D66" s="2"/>
      <x:c r="E66" s="2"/>
      <x:c r="F66" s="2"/>
      <x:c r="G66" s="2"/>
      <x:c r="H66" s="2"/>
      <x:c r="I66" s="2"/>
    </x:row>
    <x:row r="67" ht="21" customHeight="1">
      <x:c r="C67" s="1"/>
      <x:c r="D67" s="2"/>
      <x:c r="E67" s="2"/>
      <x:c r="F67" s="2"/>
      <x:c r="G67" s="2"/>
      <x:c r="H67" s="2"/>
      <x:c r="I67" s="2"/>
    </x:row>
    <x:row r="68" ht="21" customHeight="1">
      <x:c r="C68" s="1"/>
      <x:c r="D68" s="2"/>
      <x:c r="E68" s="2"/>
      <x:c r="F68" s="2"/>
      <x:c r="G68" s="2"/>
      <x:c r="H68" s="2"/>
      <x:c r="I68" s="2"/>
    </x:row>
    <x:row r="69" ht="21" customHeight="1">
      <x:c r="C69" s="1"/>
      <x:c r="D69" s="2"/>
      <x:c r="E69" s="2"/>
      <x:c r="F69" s="2"/>
      <x:c r="G69" s="2"/>
      <x:c r="H69" s="2"/>
      <x:c r="I69" s="2"/>
    </x:row>
    <x:row r="70" ht="21" customHeight="1">
      <x:c r="C70" s="1"/>
      <x:c r="D70" s="2"/>
      <x:c r="E70" s="2"/>
      <x:c r="F70" s="2"/>
      <x:c r="G70" s="2"/>
      <x:c r="H70" s="2"/>
      <x:c r="I70" s="2"/>
    </x:row>
    <x:row r="71" ht="21" customHeight="1">
      <x:c r="C71" s="1"/>
      <x:c r="D71" s="2"/>
      <x:c r="E71" s="2"/>
      <x:c r="F71" s="2"/>
      <x:c r="G71" s="2"/>
      <x:c r="H71" s="2"/>
      <x:c r="I71" s="2"/>
    </x:row>
    <x:row r="72" ht="21" customHeight="1">
      <x:c r="C72" s="1"/>
      <x:c r="D72" s="2"/>
      <x:c r="E72" s="2"/>
      <x:c r="F72" s="2"/>
      <x:c r="G72" s="2"/>
      <x:c r="H72" s="2"/>
      <x:c r="I72" s="2"/>
    </x:row>
    <x:row r="73" ht="21" customHeight="1">
      <x:c r="C73" s="1"/>
      <x:c r="D73" s="2"/>
      <x:c r="E73" s="2"/>
      <x:c r="F73" s="2"/>
      <x:c r="G73" s="2"/>
      <x:c r="H73" s="2"/>
      <x:c r="I73" s="2"/>
    </x:row>
    <x:row r="74" ht="21" customHeight="1">
      <x:c r="C74" s="1"/>
      <x:c r="D74" s="2"/>
      <x:c r="E74" s="2"/>
      <x:c r="F74" s="2"/>
      <x:c r="G74" s="2"/>
      <x:c r="H74" s="2"/>
      <x:c r="I74" s="2"/>
    </x:row>
    <x:row r="75" ht="21" customHeight="1">
      <x:c r="C75" s="1"/>
      <x:c r="D75" s="2"/>
      <x:c r="E75" s="2"/>
      <x:c r="F75" s="2"/>
      <x:c r="G75" s="2"/>
      <x:c r="H75" s="2"/>
      <x:c r="I75" s="2"/>
    </x:row>
    <x:row r="76" ht="21" customHeight="1">
      <x:c r="C76" s="1"/>
      <x:c r="D76" s="2"/>
      <x:c r="E76" s="2"/>
      <x:c r="F76" s="2"/>
      <x:c r="G76" s="2"/>
      <x:c r="H76" s="2"/>
      <x:c r="I76" s="2"/>
    </x:row>
    <x:row r="77" ht="21" customHeight="1">
      <x:c r="C77" s="1"/>
      <x:c r="D77" s="2"/>
      <x:c r="E77" s="2"/>
      <x:c r="F77" s="2"/>
      <x:c r="G77" s="2"/>
      <x:c r="H77" s="2"/>
      <x:c r="I77" s="2"/>
    </x:row>
    <x:row r="78" ht="21" customHeight="1">
      <x:c r="C78" s="1"/>
      <x:c r="D78" s="2"/>
      <x:c r="E78" s="2"/>
      <x:c r="F78" s="2"/>
      <x:c r="G78" s="2"/>
      <x:c r="H78" s="2"/>
      <x:c r="I78" s="2"/>
    </x:row>
    <x:row r="79" ht="21" customHeight="1">
      <x:c r="C79" s="1"/>
      <x:c r="D79" s="2"/>
      <x:c r="E79" s="2"/>
      <x:c r="F79" s="2"/>
      <x:c r="G79" s="2"/>
      <x:c r="H79" s="2"/>
      <x:c r="I79" s="2"/>
    </x:row>
    <x:row r="80" ht="21" customHeight="1">
      <x:c r="C80" s="1"/>
      <x:c r="D80" s="2"/>
      <x:c r="E80" s="2"/>
      <x:c r="F80" s="2"/>
      <x:c r="G80" s="2"/>
      <x:c r="H80" s="2"/>
      <x:c r="I80" s="2"/>
    </x:row>
    <x:row r="81" ht="21" customHeight="1">
      <x:c r="C81" s="1"/>
      <x:c r="D81" s="2"/>
      <x:c r="E81" s="2"/>
      <x:c r="F81" s="2"/>
      <x:c r="G81" s="2"/>
      <x:c r="H81" s="2"/>
      <x:c r="I81" s="2"/>
    </x:row>
    <x:row r="82" ht="21" customHeight="1">
      <x:c r="C82" s="1"/>
      <x:c r="D82" s="2"/>
      <x:c r="E82" s="2"/>
      <x:c r="F82" s="2"/>
      <x:c r="G82" s="2"/>
      <x:c r="H82" s="2"/>
      <x:c r="I82" s="2"/>
    </x:row>
    <x:row r="83" ht="21" customHeight="1">
      <x:c r="C83" s="1"/>
      <x:c r="D83" s="2"/>
      <x:c r="E83" s="2"/>
      <x:c r="F83" s="2"/>
      <x:c r="G83" s="2"/>
      <x:c r="H83" s="2"/>
      <x:c r="I83" s="2"/>
    </x:row>
    <x:row r="84" ht="21" customHeight="1">
      <x:c r="C84" s="1"/>
      <x:c r="D84" s="2"/>
      <x:c r="E84" s="2"/>
      <x:c r="F84" s="2"/>
      <x:c r="G84" s="2"/>
      <x:c r="H84" s="2"/>
      <x:c r="I84" s="2"/>
    </x:row>
    <x:row r="85" ht="21" customHeight="1">
      <x:c r="C85" s="1"/>
      <x:c r="D85" s="2"/>
      <x:c r="E85" s="2"/>
      <x:c r="F85" s="2"/>
      <x:c r="G85" s="2"/>
      <x:c r="H85" s="2"/>
      <x:c r="I85" s="2"/>
    </x:row>
    <x:row r="86" ht="21" customHeight="1">
      <x:c r="C86" s="1"/>
      <x:c r="D86" s="2"/>
      <x:c r="E86" s="2"/>
      <x:c r="F86" s="2"/>
      <x:c r="G86" s="2"/>
      <x:c r="H86" s="2"/>
      <x:c r="I86" s="2"/>
    </x:row>
    <x:row r="87" ht="21" customHeight="1">
      <x:c r="C87" s="1"/>
      <x:c r="D87" s="2"/>
      <x:c r="E87" s="2"/>
      <x:c r="F87" s="2"/>
      <x:c r="G87" s="2"/>
      <x:c r="H87" s="2"/>
      <x:c r="I87" s="2"/>
    </x:row>
    <x:row r="88" ht="21" customHeight="1">
      <x:c r="C88" s="1"/>
      <x:c r="D88" s="2"/>
      <x:c r="E88" s="2"/>
      <x:c r="F88" s="2"/>
      <x:c r="G88" s="2"/>
      <x:c r="H88" s="2"/>
      <x:c r="I88" s="2"/>
    </x:row>
    <x:row r="89" ht="21" customHeight="1">
      <x:c r="C89" s="1"/>
      <x:c r="D89" s="2"/>
      <x:c r="E89" s="2"/>
      <x:c r="F89" s="2"/>
      <x:c r="G89" s="2"/>
      <x:c r="H89" s="2"/>
      <x:c r="I89" s="2"/>
    </x:row>
    <x:row r="90" ht="21" customHeight="1">
      <x:c r="C90" s="1"/>
      <x:c r="D90" s="2"/>
      <x:c r="E90" s="2"/>
      <x:c r="F90" s="2"/>
      <x:c r="G90" s="2"/>
      <x:c r="H90" s="2"/>
      <x:c r="I90" s="2"/>
    </x:row>
    <x:row r="91" ht="21" customHeight="1">
      <x:c r="C91" s="1"/>
      <x:c r="D91" s="2"/>
      <x:c r="E91" s="2"/>
      <x:c r="F91" s="2"/>
      <x:c r="G91" s="2"/>
      <x:c r="H91" s="2"/>
      <x:c r="I91" s="2"/>
    </x:row>
    <x:row r="92" ht="21" customHeight="1">
      <x:c r="C92" s="1"/>
      <x:c r="D92" s="2"/>
      <x:c r="E92" s="2"/>
      <x:c r="F92" s="2"/>
      <x:c r="G92" s="2"/>
      <x:c r="H92" s="2"/>
      <x:c r="I92" s="2"/>
    </x:row>
    <x:row r="93" ht="21" customHeight="1">
      <x:c r="C93" s="1"/>
      <x:c r="D93" s="2"/>
      <x:c r="E93" s="2"/>
      <x:c r="F93" s="2"/>
      <x:c r="G93" s="2"/>
      <x:c r="H93" s="2"/>
      <x:c r="I93" s="2"/>
    </x:row>
    <x:row r="94" ht="21" customHeight="1">
      <x:c r="C94" s="1"/>
      <x:c r="D94" s="2"/>
      <x:c r="E94" s="2"/>
      <x:c r="F94" s="2"/>
      <x:c r="G94" s="2"/>
      <x:c r="H94" s="2"/>
      <x:c r="I94" s="2"/>
    </x:row>
    <x:row r="95" ht="21" customHeight="1">
      <x:c r="C95" s="1"/>
      <x:c r="D95" s="2"/>
      <x:c r="E95" s="2"/>
      <x:c r="F95" s="2"/>
      <x:c r="G95" s="2"/>
      <x:c r="H95" s="2"/>
      <x:c r="I95" s="2"/>
    </x:row>
    <x:row r="96" ht="21" customHeight="1">
      <x:c r="C96" s="1"/>
      <x:c r="D96" s="2"/>
      <x:c r="E96" s="2"/>
      <x:c r="F96" s="2"/>
      <x:c r="G96" s="2"/>
      <x:c r="H96" s="2"/>
      <x:c r="I96" s="2"/>
    </x:row>
    <x:row r="97" ht="21" customHeight="1">
      <x:c r="C97" s="1"/>
      <x:c r="D97" s="2"/>
      <x:c r="E97" s="2"/>
      <x:c r="F97" s="2"/>
      <x:c r="G97" s="2"/>
      <x:c r="H97" s="2"/>
      <x:c r="I97" s="2"/>
    </x:row>
    <x:row r="98" ht="21" customHeight="1">
      <x:c r="C98" s="1"/>
      <x:c r="D98" s="2"/>
      <x:c r="E98" s="2"/>
      <x:c r="F98" s="2"/>
      <x:c r="G98" s="2"/>
      <x:c r="H98" s="2"/>
      <x:c r="I98" s="2"/>
    </x:row>
    <x:row r="99" ht="21" customHeight="1">
      <x:c r="C99" s="1"/>
      <x:c r="D99" s="2"/>
      <x:c r="E99" s="2"/>
      <x:c r="F99" s="2"/>
      <x:c r="G99" s="2"/>
      <x:c r="H99" s="2"/>
      <x:c r="I99" s="2"/>
    </x:row>
    <x:row r="100" ht="21" customHeight="1">
      <x:c r="C100" s="1"/>
      <x:c r="D100" s="2"/>
      <x:c r="E100" s="2"/>
      <x:c r="F100" s="2"/>
      <x:c r="G100" s="2"/>
      <x:c r="H100" s="2"/>
      <x:c r="I100" s="2"/>
    </x:row>
    <x:row r="101" ht="21" customHeight="1">
      <x:c r="C101" s="1"/>
      <x:c r="D101" s="2"/>
      <x:c r="E101" s="2"/>
      <x:c r="F101" s="2"/>
      <x:c r="G101" s="2"/>
      <x:c r="H101" s="2"/>
      <x:c r="I101" s="2"/>
    </x:row>
    <x:row r="102" ht="21" customHeight="1">
      <x:c r="C102" s="1"/>
      <x:c r="D102" s="2"/>
      <x:c r="E102" s="2"/>
      <x:c r="F102" s="2"/>
      <x:c r="G102" s="2"/>
      <x:c r="H102" s="2"/>
      <x:c r="I102" s="2"/>
    </x:row>
    <x:row r="103" ht="21" customHeight="1">
      <x:c r="C103" s="1"/>
      <x:c r="D103" s="2"/>
      <x:c r="E103" s="2"/>
      <x:c r="F103" s="2"/>
      <x:c r="G103" s="2"/>
      <x:c r="H103" s="2"/>
      <x:c r="I103" s="2"/>
    </x:row>
    <x:row r="104" ht="21" customHeight="1">
      <x:c r="C104" s="1"/>
      <x:c r="D104" s="2"/>
      <x:c r="E104" s="2"/>
      <x:c r="F104" s="2"/>
      <x:c r="G104" s="2"/>
      <x:c r="H104" s="2"/>
      <x:c r="I104" s="2"/>
    </x:row>
    <x:row r="105" ht="21" customHeight="1">
      <x:c r="C105" s="1"/>
      <x:c r="D105" s="2"/>
      <x:c r="E105" s="2"/>
      <x:c r="F105" s="2"/>
      <x:c r="G105" s="2"/>
      <x:c r="H105" s="2"/>
      <x:c r="I105" s="2"/>
    </x:row>
    <x:row r="106" ht="21" customHeight="1">
      <x:c r="C106" s="1"/>
      <x:c r="D106" s="2"/>
      <x:c r="E106" s="2"/>
      <x:c r="F106" s="2"/>
      <x:c r="G106" s="2"/>
      <x:c r="H106" s="2"/>
      <x:c r="I106" s="2"/>
    </x:row>
    <x:row r="107" ht="21" customHeight="1">
      <x:c r="C107" s="1"/>
      <x:c r="D107" s="2"/>
      <x:c r="E107" s="2"/>
      <x:c r="F107" s="2"/>
      <x:c r="G107" s="2"/>
      <x:c r="H107" s="2"/>
      <x:c r="I107" s="2"/>
    </x:row>
    <x:row r="108" ht="21" customHeight="1">
      <x:c r="C108" s="1"/>
      <x:c r="D108" s="2"/>
      <x:c r="E108" s="2"/>
      <x:c r="F108" s="2"/>
      <x:c r="G108" s="2"/>
      <x:c r="H108" s="2"/>
      <x:c r="I108" s="2"/>
    </x:row>
    <x:row r="109" ht="21" customHeight="1">
      <x:c r="C109" s="1"/>
      <x:c r="D109" s="2"/>
      <x:c r="E109" s="2"/>
      <x:c r="F109" s="2"/>
      <x:c r="G109" s="2"/>
      <x:c r="H109" s="2"/>
      <x:c r="I109" s="2"/>
    </x:row>
    <x:row r="110" ht="21" customHeight="1">
      <x:c r="C110" s="1"/>
      <x:c r="D110" s="2"/>
      <x:c r="E110" s="2"/>
      <x:c r="F110" s="2"/>
      <x:c r="G110" s="2"/>
      <x:c r="H110" s="2"/>
      <x:c r="I110" s="2"/>
    </x:row>
    <x:row r="111" ht="21" customHeight="1">
      <x:c r="C111" s="1"/>
      <x:c r="D111" s="2"/>
      <x:c r="E111" s="2"/>
      <x:c r="F111" s="2"/>
      <x:c r="G111" s="2"/>
      <x:c r="H111" s="2"/>
      <x:c r="I111" s="2"/>
    </x:row>
    <x:row r="112" ht="21" customHeight="1">
      <x:c r="C112" s="1"/>
      <x:c r="D112" s="2"/>
      <x:c r="E112" s="2"/>
      <x:c r="F112" s="2"/>
      <x:c r="G112" s="2"/>
      <x:c r="H112" s="2"/>
      <x:c r="I112" s="2"/>
    </x:row>
    <x:row r="113" ht="21" customHeight="1">
      <x:c r="C113" s="1"/>
      <x:c r="D113" s="2"/>
      <x:c r="E113" s="2"/>
      <x:c r="F113" s="2"/>
      <x:c r="G113" s="2"/>
      <x:c r="H113" s="2"/>
      <x:c r="I113" s="2"/>
    </x:row>
    <x:row r="114" ht="21" customHeight="1">
      <x:c r="C114" s="1"/>
      <x:c r="D114" s="2"/>
      <x:c r="E114" s="2"/>
      <x:c r="F114" s="2"/>
      <x:c r="G114" s="2"/>
      <x:c r="H114" s="2"/>
      <x:c r="I114" s="2"/>
    </x:row>
    <x:row r="115" ht="21" customHeight="1">
      <x:c r="C115" s="1"/>
      <x:c r="D115" s="2"/>
      <x:c r="E115" s="2"/>
      <x:c r="F115" s="2"/>
      <x:c r="G115" s="2"/>
      <x:c r="H115" s="2"/>
      <x:c r="I115" s="2"/>
    </x:row>
    <x:row r="116" ht="21" customHeight="1">
      <x:c r="C116" s="1"/>
      <x:c r="D116" s="2"/>
      <x:c r="E116" s="2"/>
      <x:c r="F116" s="2"/>
      <x:c r="G116" s="2"/>
      <x:c r="H116" s="2"/>
      <x:c r="I116" s="2"/>
    </x:row>
    <x:row r="117" ht="21" customHeight="1">
      <x:c r="C117" s="1"/>
      <x:c r="D117" s="2"/>
      <x:c r="E117" s="2"/>
      <x:c r="F117" s="2"/>
      <x:c r="G117" s="2"/>
      <x:c r="H117" s="2"/>
      <x:c r="I117" s="2"/>
    </x:row>
    <x:row r="118" ht="21" customHeight="1">
      <x:c r="C118" s="1"/>
      <x:c r="D118" s="2"/>
      <x:c r="E118" s="2"/>
      <x:c r="F118" s="2"/>
      <x:c r="G118" s="2"/>
      <x:c r="H118" s="2"/>
      <x:c r="I118" s="2"/>
    </x:row>
    <x:row r="119" ht="21" customHeight="1">
      <x:c r="C119" s="1"/>
      <x:c r="D119" s="2"/>
      <x:c r="E119" s="2"/>
      <x:c r="F119" s="2"/>
      <x:c r="G119" s="2"/>
      <x:c r="H119" s="2"/>
      <x:c r="I119" s="2"/>
    </x:row>
    <x:row r="120" ht="21" customHeight="1">
      <x:c r="C120" s="1"/>
      <x:c r="D120" s="2"/>
      <x:c r="E120" s="2"/>
      <x:c r="F120" s="2"/>
      <x:c r="G120" s="2"/>
      <x:c r="H120" s="2"/>
      <x:c r="I120" s="2"/>
    </x:row>
    <x:row r="121" ht="21" customHeight="1">
      <x:c r="C121" s="1"/>
      <x:c r="D121" s="2"/>
      <x:c r="E121" s="2"/>
      <x:c r="F121" s="2"/>
      <x:c r="G121" s="2"/>
      <x:c r="H121" s="2"/>
      <x:c r="I121" s="2"/>
    </x:row>
    <x:row r="122" ht="21" customHeight="1">
      <x:c r="C122" s="1"/>
      <x:c r="D122" s="2"/>
      <x:c r="E122" s="2"/>
      <x:c r="F122" s="2"/>
      <x:c r="G122" s="2"/>
      <x:c r="H122" s="2"/>
      <x:c r="I122" s="2"/>
    </x:row>
    <x:row r="123" ht="21" customHeight="1">
      <x:c r="C123" s="1"/>
      <x:c r="D123" s="2"/>
      <x:c r="E123" s="2"/>
      <x:c r="F123" s="2"/>
      <x:c r="G123" s="2"/>
      <x:c r="H123" s="2"/>
      <x:c r="I123" s="2"/>
    </x:row>
    <x:row r="124" ht="21" customHeight="1">
      <x:c r="C124" s="1"/>
      <x:c r="D124" s="2"/>
      <x:c r="E124" s="2"/>
      <x:c r="F124" s="2"/>
      <x:c r="G124" s="2"/>
      <x:c r="H124" s="2"/>
      <x:c r="I124" s="2"/>
    </x:row>
    <x:row r="125" ht="21" customHeight="1">
      <x:c r="C125" s="1"/>
      <x:c r="D125" s="2"/>
      <x:c r="E125" s="2"/>
      <x:c r="F125" s="2"/>
      <x:c r="G125" s="2"/>
      <x:c r="H125" s="2"/>
      <x:c r="I125" s="2"/>
    </x:row>
    <x:row r="126" ht="21" customHeight="1">
      <x:c r="C126" s="1"/>
      <x:c r="D126" s="2"/>
      <x:c r="E126" s="2"/>
      <x:c r="F126" s="2"/>
      <x:c r="G126" s="2"/>
      <x:c r="H126" s="2"/>
      <x:c r="I126" s="2"/>
    </x:row>
    <x:row r="127" ht="21" customHeight="1">
      <x:c r="C127" s="1"/>
      <x:c r="D127" s="2"/>
      <x:c r="E127" s="2"/>
      <x:c r="F127" s="2"/>
      <x:c r="G127" s="2"/>
      <x:c r="H127" s="2"/>
      <x:c r="I127" s="2"/>
    </x:row>
    <x:row r="128" ht="21" customHeight="1">
      <x:c r="C128" s="1"/>
      <x:c r="D128" s="2"/>
      <x:c r="E128" s="2"/>
      <x:c r="F128" s="2"/>
      <x:c r="G128" s="2"/>
      <x:c r="H128" s="2"/>
      <x:c r="I128" s="2"/>
    </x:row>
    <x:row r="129" ht="21" customHeight="1">
      <x:c r="C129" s="1"/>
      <x:c r="D129" s="2"/>
      <x:c r="E129" s="2"/>
      <x:c r="F129" s="2"/>
      <x:c r="G129" s="2"/>
      <x:c r="H129" s="2"/>
      <x:c r="I129" s="2"/>
    </x:row>
    <x:row r="130" ht="21" customHeight="1">
      <x:c r="C130" s="1"/>
      <x:c r="D130" s="2"/>
      <x:c r="E130" s="2"/>
      <x:c r="F130" s="2"/>
      <x:c r="G130" s="2"/>
      <x:c r="H130" s="2"/>
      <x:c r="I130" s="2"/>
    </x:row>
    <x:row r="131" ht="21" customHeight="1">
      <x:c r="C131" s="1"/>
      <x:c r="D131" s="2"/>
      <x:c r="E131" s="2"/>
      <x:c r="F131" s="2"/>
      <x:c r="G131" s="2"/>
      <x:c r="H131" s="2"/>
      <x:c r="I131" s="2"/>
    </x:row>
    <x:row r="132" ht="21" customHeight="1">
      <x:c r="C132" s="1"/>
      <x:c r="D132" s="2"/>
      <x:c r="E132" s="2"/>
      <x:c r="F132" s="2"/>
      <x:c r="G132" s="2"/>
      <x:c r="H132" s="2"/>
      <x:c r="I132" s="2"/>
    </x:row>
    <x:row r="133" ht="21" customHeight="1">
      <x:c r="C133" s="1"/>
      <x:c r="D133" s="2"/>
      <x:c r="E133" s="2"/>
      <x:c r="F133" s="2"/>
      <x:c r="G133" s="2"/>
      <x:c r="H133" s="2"/>
      <x:c r="I133" s="2"/>
    </x:row>
    <x:row r="134" ht="21" customHeight="1">
      <x:c r="C134" s="1"/>
      <x:c r="D134" s="2"/>
      <x:c r="E134" s="2"/>
      <x:c r="F134" s="2"/>
      <x:c r="G134" s="2"/>
      <x:c r="H134" s="2"/>
      <x:c r="I134" s="2"/>
    </x:row>
    <x:row r="135" ht="21" customHeight="1">
      <x:c r="C135" s="1"/>
      <x:c r="D135" s="2"/>
      <x:c r="E135" s="2"/>
      <x:c r="F135" s="2"/>
      <x:c r="G135" s="2"/>
      <x:c r="H135" s="2"/>
      <x:c r="I135" s="2"/>
    </x:row>
    <x:row r="136" ht="21" customHeight="1">
      <x:c r="C136" s="1"/>
      <x:c r="D136" s="2"/>
      <x:c r="E136" s="2"/>
      <x:c r="F136" s="2"/>
      <x:c r="G136" s="2"/>
      <x:c r="H136" s="2"/>
      <x:c r="I136" s="2"/>
    </x:row>
    <x:row r="137" ht="21" customHeight="1">
      <x:c r="C137" s="1"/>
      <x:c r="D137" s="2"/>
      <x:c r="E137" s="2"/>
      <x:c r="F137" s="2"/>
      <x:c r="G137" s="2"/>
      <x:c r="H137" s="2"/>
      <x:c r="I137" s="2"/>
    </x:row>
    <x:row r="138" ht="21" customHeight="1">
      <x:c r="C138" s="1"/>
      <x:c r="D138" s="2"/>
      <x:c r="E138" s="2"/>
      <x:c r="F138" s="2"/>
      <x:c r="G138" s="2"/>
      <x:c r="H138" s="2"/>
      <x:c r="I138" s="2"/>
    </x:row>
    <x:row r="139" ht="21" customHeight="1">
      <x:c r="C139" s="1"/>
      <x:c r="D139" s="2"/>
      <x:c r="E139" s="2"/>
      <x:c r="F139" s="2"/>
      <x:c r="G139" s="2"/>
      <x:c r="H139" s="2"/>
      <x:c r="I139" s="2"/>
    </x:row>
    <x:row r="140" ht="21" customHeight="1">
      <x:c r="C140" s="1"/>
      <x:c r="D140" s="2"/>
      <x:c r="E140" s="2"/>
      <x:c r="F140" s="2"/>
      <x:c r="G140" s="2"/>
      <x:c r="H140" s="2"/>
      <x:c r="I140" s="2"/>
    </x:row>
    <x:row r="141" ht="21" customHeight="1">
      <x:c r="C141" s="1"/>
      <x:c r="D141" s="2"/>
      <x:c r="E141" s="2"/>
      <x:c r="F141" s="2"/>
      <x:c r="G141" s="2"/>
      <x:c r="H141" s="2"/>
      <x:c r="I141" s="2"/>
    </x:row>
    <x:row r="142" ht="21" customHeight="1">
      <x:c r="C142" s="1"/>
      <x:c r="D142" s="2"/>
      <x:c r="E142" s="2"/>
      <x:c r="F142" s="2"/>
      <x:c r="G142" s="2"/>
      <x:c r="H142" s="2"/>
      <x:c r="I142" s="2"/>
    </x:row>
    <x:row r="143" ht="21" customHeight="1">
      <x:c r="C143" s="1"/>
      <x:c r="D143" s="2"/>
      <x:c r="E143" s="2"/>
      <x:c r="F143" s="2"/>
      <x:c r="G143" s="2"/>
      <x:c r="H143" s="2"/>
      <x:c r="I143" s="2"/>
    </x:row>
    <x:row r="144" ht="21" customHeight="1">
      <x:c r="C144" s="1"/>
      <x:c r="D144" s="2"/>
      <x:c r="E144" s="2"/>
      <x:c r="F144" s="2"/>
      <x:c r="G144" s="2"/>
      <x:c r="H144" s="2"/>
      <x:c r="I144" s="2"/>
    </x:row>
    <x:row r="145" ht="21" customHeight="1">
      <x:c r="C145" s="1"/>
      <x:c r="D145" s="2"/>
      <x:c r="E145" s="2"/>
      <x:c r="F145" s="2"/>
      <x:c r="G145" s="2"/>
      <x:c r="H145" s="2"/>
      <x:c r="I145" s="2"/>
    </x:row>
    <x:row r="146" ht="21" customHeight="1">
      <x:c r="C146" s="1"/>
      <x:c r="D146" s="2"/>
      <x:c r="E146" s="2"/>
      <x:c r="F146" s="2"/>
      <x:c r="G146" s="2"/>
      <x:c r="H146" s="2"/>
      <x:c r="I146" s="2"/>
    </x:row>
    <x:row r="147" ht="21" customHeight="1">
      <x:c r="C147" s="1"/>
      <x:c r="D147" s="2"/>
      <x:c r="E147" s="2"/>
      <x:c r="F147" s="2"/>
      <x:c r="G147" s="2"/>
      <x:c r="H147" s="2"/>
      <x:c r="I147" s="2"/>
    </x:row>
    <x:row r="148" ht="21" customHeight="1">
      <x:c r="C148" s="1"/>
      <x:c r="D148" s="2"/>
      <x:c r="E148" s="2"/>
      <x:c r="F148" s="2"/>
      <x:c r="G148" s="2"/>
      <x:c r="H148" s="2"/>
      <x:c r="I148" s="2"/>
    </x:row>
    <x:row r="149" ht="21" customHeight="1">
      <x:c r="C149" s="1"/>
      <x:c r="D149" s="2"/>
      <x:c r="E149" s="2"/>
      <x:c r="F149" s="2"/>
      <x:c r="G149" s="2"/>
      <x:c r="H149" s="2"/>
      <x:c r="I149" s="2"/>
    </x:row>
    <x:row r="150" ht="21" customHeight="1">
      <x:c r="C150" s="1"/>
      <x:c r="D150" s="2"/>
      <x:c r="E150" s="2"/>
      <x:c r="F150" s="2"/>
      <x:c r="G150" s="2"/>
      <x:c r="H150" s="2"/>
      <x:c r="I150" s="2"/>
    </x:row>
    <x:row r="151" ht="21" customHeight="1">
      <x:c r="C151" s="1"/>
      <x:c r="D151" s="2"/>
      <x:c r="E151" s="2"/>
      <x:c r="F151" s="2"/>
      <x:c r="G151" s="2"/>
      <x:c r="H151" s="2"/>
      <x:c r="I151" s="2"/>
    </x:row>
    <x:row r="152" ht="21" customHeight="1">
      <x:c r="C152" s="1"/>
      <x:c r="D152" s="2"/>
      <x:c r="E152" s="2"/>
      <x:c r="F152" s="2"/>
      <x:c r="G152" s="2"/>
      <x:c r="H152" s="2"/>
      <x:c r="I152" s="2"/>
    </x:row>
    <x:row r="153" ht="21" customHeight="1">
      <x:c r="C153" s="1"/>
      <x:c r="D153" s="2"/>
      <x:c r="E153" s="2"/>
      <x:c r="F153" s="2"/>
      <x:c r="G153" s="2"/>
      <x:c r="H153" s="2"/>
      <x:c r="I153" s="2"/>
    </x:row>
    <x:row r="154" ht="21" customHeight="1">
      <x:c r="C154" s="1"/>
      <x:c r="D154" s="2"/>
      <x:c r="E154" s="2"/>
      <x:c r="F154" s="2"/>
      <x:c r="G154" s="2"/>
      <x:c r="H154" s="2"/>
      <x:c r="I154" s="2"/>
    </x:row>
    <x:row r="155" ht="21" customHeight="1">
      <x:c r="C155" s="1"/>
      <x:c r="D155" s="2"/>
      <x:c r="E155" s="2"/>
      <x:c r="F155" s="2"/>
      <x:c r="G155" s="2"/>
      <x:c r="H155" s="2"/>
      <x:c r="I155" s="2"/>
    </x:row>
    <x:row r="156" ht="21" customHeight="1">
      <x:c r="C156" s="1"/>
      <x:c r="D156" s="2"/>
      <x:c r="E156" s="2"/>
      <x:c r="F156" s="2"/>
      <x:c r="G156" s="2"/>
      <x:c r="H156" s="2"/>
      <x:c r="I156" s="2"/>
    </x:row>
    <x:row r="157" ht="21" customHeight="1">
      <x:c r="C157" s="1"/>
      <x:c r="D157" s="2"/>
      <x:c r="E157" s="2"/>
      <x:c r="F157" s="2"/>
      <x:c r="G157" s="2"/>
      <x:c r="H157" s="2"/>
      <x:c r="I157" s="2"/>
    </x:row>
    <x:row r="158" ht="21" customHeight="1">
      <x:c r="C158" s="1"/>
      <x:c r="D158" s="2"/>
      <x:c r="E158" s="2"/>
      <x:c r="F158" s="2"/>
      <x:c r="G158" s="2"/>
      <x:c r="H158" s="2"/>
      <x:c r="I158" s="2"/>
    </x:row>
    <x:row r="159" ht="21" customHeight="1">
      <x:c r="C159" s="1"/>
      <x:c r="D159" s="2"/>
      <x:c r="E159" s="2"/>
      <x:c r="F159" s="2"/>
      <x:c r="G159" s="2"/>
      <x:c r="H159" s="2"/>
      <x:c r="I159" s="2"/>
    </x:row>
    <x:row r="160" ht="21" customHeight="1">
      <x:c r="C160" s="1"/>
      <x:c r="D160" s="2"/>
      <x:c r="E160" s="2"/>
      <x:c r="F160" s="2"/>
      <x:c r="G160" s="2"/>
      <x:c r="H160" s="2"/>
      <x:c r="I160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53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21" customHeight="1">
      <x:c r="C1" s="1"/>
      <x:c r="D1" s="1"/>
      <x:c r="E1" s="1"/>
      <x:c r="F1" s="1"/>
      <x:c r="G1" s="1"/>
      <x:c r="H1" s="1"/>
      <x:c r="I1" s="1"/>
    </x:row>
    <x:row r="2" ht="21" customHeight="1">
      <x:c r="C2" s="4" t="str">
        <x:v>创科实业 TTI</x:v>
      </x:c>
      <x:c r="D2" s="4"/>
      <x:c r="E2" s="4"/>
      <x:c r="F2" s="4"/>
      <x:c r="G2" s="4"/>
      <x:c r="H2" s="4"/>
      <x:c r="I2" s="4"/>
    </x:row>
    <x:row r="3" ht="21" customHeight="1">
      <x:c r="C3" s="5" t="str">
        <x:v>Statements · USD million · December year-end</x:v>
      </x:c>
      <x:c r="D3" s="5"/>
      <x:c r="E3" s="5"/>
      <x:c r="F3" s="5"/>
      <x:c r="G3" s="5"/>
      <x:c r="H3" s="5"/>
      <x:c r="I3" s="5"/>
    </x:row>
    <x:row r="4" ht="21" customHeight="1">
      <x:c r="C4" s="1"/>
      <x:c r="D4" s="1"/>
      <x:c r="E4" s="1"/>
      <x:c r="F4" s="1"/>
      <x:c r="G4" s="1"/>
      <x:c r="H4" s="1"/>
      <x:c r="I4" s="1"/>
    </x:row>
    <x:row r="5" ht="21" customHeight="1">
      <x:c r="C5" s="1"/>
      <x:c r="D5" s="1"/>
      <x:c r="E5" s="1"/>
      <x:c r="F5" s="1"/>
      <x:c r="G5" s="1"/>
      <x:c r="H5" s="1"/>
      <x:c r="I5" s="1"/>
    </x:row>
    <x:row r="6" ht="21" customHeight="1">
      <x:c r="C6" s="1"/>
      <x:c r="D6" s="1"/>
      <x:c r="E6" s="1"/>
      <x:c r="F6" s="1"/>
      <x:c r="G6" s="1"/>
      <x:c r="H6" s="1"/>
      <x:c r="I6" s="1"/>
    </x:row>
    <x:row r="7" ht="21" customHeight="1">
      <x:c r="C7" s="12"/>
      <x:c r="D7" s="13" t="n">
        <x:f>'Assumptions'!D7</x:f>
        <x:v>45291</x:v>
      </x:c>
      <x:c r="E7" s="13" t="n">
        <x:f>'Assumptions'!E7</x:f>
        <x:v>45657</x:v>
      </x:c>
      <x:c r="F7" s="13" t="n">
        <x:f>'Assumptions'!F7</x:f>
        <x:v>46022</x:v>
      </x:c>
      <x:c r="G7" s="14" t="n">
        <x:f>'Assumptions'!G7</x:f>
        <x:v>46387</x:v>
      </x:c>
      <x:c r="H7" s="14" t="n">
        <x:f>'Assumptions'!H7</x:f>
        <x:v>46752</x:v>
      </x:c>
      <x:c r="I7" s="14" t="n">
        <x:f>'Assumptions'!I7</x:f>
        <x:v>47118</x:v>
      </x:c>
    </x:row>
    <x:row r="8" ht="21" customHeight="1">
      <x:c r="C8" s="12" t="str">
        <x:v>Income statement</x:v>
      </x:c>
      <x:c r="D8" s="25"/>
      <x:c r="E8" s="25"/>
      <x:c r="F8" s="25"/>
      <x:c r="G8" s="25"/>
      <x:c r="H8" s="25"/>
      <x:c r="I8" s="25"/>
    </x:row>
    <x:row r="9" ht="21" customHeight="1">
      <x:c r="C9" s="1"/>
      <x:c r="D9" s="2"/>
      <x:c r="E9" s="2"/>
      <x:c r="F9" s="2"/>
      <x:c r="G9" s="2"/>
      <x:c r="H9" s="2"/>
      <x:c r="I9" s="2"/>
    </x:row>
    <x:row r="10" ht="21" customHeight="1">
      <x:c r="C10" s="34" t="str">
        <x:v>Revenue</x:v>
      </x:c>
      <x:c r="D10" s="37" t="n">
        <x:f>'SourceFacts'!D9</x:f>
        <x:v>13731.411</x:v>
      </x:c>
      <x:c r="E10" s="37" t="n">
        <x:f>'SourceFacts'!E9</x:f>
        <x:v>14621.616</x:v>
      </x:c>
      <x:c r="F10" s="37" t="n">
        <x:f>'SourceFacts'!F9</x:f>
        <x:v>15259.533</x:v>
      </x:c>
      <x:c r="G10" s="37" t="n">
        <x:f>'Operating'!G30</x:f>
        <x:v>16227.151292413659</x:v>
      </x:c>
      <x:c r="H10" s="37" t="n">
        <x:f>'Operating'!H30</x:f>
        <x:v>17362.06835802675</x:v>
      </x:c>
      <x:c r="I10" s="37" t="n">
        <x:f>'Operating'!I30</x:f>
        <x:v>18593.26572776275</x:v>
      </x:c>
    </x:row>
    <x:row r="11" ht="21" customHeight="1">
      <x:c r="C11" s="1" t="str">
        <x:v>Cost of revenue including D&amp;A</x:v>
      </x:c>
      <x:c r="D11" s="19" t="n">
        <x:f>'SourceFacts'!D10</x:f>
        <x:v>8311.775</x:v>
      </x:c>
      <x:c r="E11" s="19" t="n">
        <x:f>'SourceFacts'!E10</x:f>
        <x:v>8726.06</x:v>
      </x:c>
      <x:c r="F11" s="19" t="n">
        <x:f>'SourceFacts'!F10</x:f>
        <x:v>8967.596</x:v>
      </x:c>
      <x:c r="G11" s="19" t="n">
        <x:f>'Operating'!G31+G20*'Assumptions'!G37</x:f>
        <x:v>9552.802472268628</x:v>
      </x:c>
      <x:c r="H11" s="19" t="n">
        <x:f>'Operating'!H31+H20*'Assumptions'!H37</x:f>
        <x:v>10137.591174852614</x:v>
      </x:c>
      <x:c r="I11" s="19" t="n">
        <x:f>'Operating'!I31+I20*'Assumptions'!I37</x:f>
        <x:v>10788.345254416237</x:v>
      </x:c>
    </x:row>
    <x:row r="12" ht="21" customHeight="1">
      <x:c r="C12" s="34" t="str">
        <x:v>Gross profit</x:v>
      </x:c>
      <x:c r="D12" s="36" t="n">
        <x:f>D10-D11</x:f>
        <x:v>5419.636</x:v>
      </x:c>
      <x:c r="E12" s="36" t="n">
        <x:f>E10-E11</x:f>
        <x:v>5895.5560000000005</x:v>
      </x:c>
      <x:c r="F12" s="36" t="n">
        <x:f>F10-F11</x:f>
        <x:v>6291.937</x:v>
      </x:c>
      <x:c r="G12" s="36" t="n">
        <x:f>G10-G11</x:f>
        <x:v>6674.348820145031</x:v>
      </x:c>
      <x:c r="H12" s="36" t="n">
        <x:f>H10-H11</x:f>
        <x:v>7224.477183174136</x:v>
      </x:c>
      <x:c r="I12" s="36" t="n">
        <x:f>I10-I11</x:f>
        <x:v>7804.920473346514</x:v>
      </x:c>
    </x:row>
    <x:row r="13" ht="21" customHeight="1">
      <x:c r="C13" s="1"/>
      <x:c r="D13" s="2"/>
      <x:c r="E13" s="2"/>
      <x:c r="F13" s="2"/>
      <x:c r="G13" s="2"/>
      <x:c r="H13" s="2"/>
      <x:c r="I13" s="2"/>
    </x:row>
    <x:row r="14" ht="21" customHeight="1">
      <x:c r="C14" s="1" t="str">
        <x:v>Selling expenses</x:v>
      </x:c>
      <x:c r="D14" s="19" t="n">
        <x:f>'SourceFacts'!D11</x:f>
        <x:v>2347.219</x:v>
      </x:c>
      <x:c r="E14" s="19" t="n">
        <x:f>'SourceFacts'!E11</x:f>
        <x:v>2503.697</x:v>
      </x:c>
      <x:c r="F14" s="19" t="n">
        <x:f>'SourceFacts'!F11</x:f>
        <x:v>2718.771</x:v>
      </x:c>
      <x:c r="G14" s="19" t="n">
        <x:f>G10*'Assumptions'!G11</x:f>
        <x:v>2891.170283286309</x:v>
      </x:c>
      <x:c r="H14" s="19" t="n">
        <x:f>H10*'Assumptions'!H11</x:f>
        <x:v>3093.3769697814964</x:v>
      </x:c>
      <x:c r="I14" s="19" t="n">
        <x:f>I10*'Assumptions'!I11</x:f>
        <x:v>3312.7377919059036</x:v>
      </x:c>
    </x:row>
    <x:row r="15" ht="21" customHeight="1">
      <x:c r="C15" s="1" t="str">
        <x:v>Administrative expenses incl D&amp;A and SBC</x:v>
      </x:c>
      <x:c r="D15" s="19" t="n">
        <x:f>'SourceFacts'!D12</x:f>
        <x:v>1406.21</x:v>
      </x:c>
      <x:c r="E15" s="19" t="n">
        <x:f>'SourceFacts'!E12</x:f>
        <x:v>1489.877</x:v>
      </x:c>
      <x:c r="F15" s="19" t="n">
        <x:f>'SourceFacts'!F12</x:f>
        <x:v>1491.139</x:v>
      </x:c>
      <x:c r="G15" s="19" t="n">
        <x:f>G10*'Assumptions'!G12+G20*(1-'Assumptions'!G37)+'FundingTaxEquity'!G60</x:f>
        <x:v>1589.834370273566</x:v>
      </x:c>
      <x:c r="H15" s="19" t="n">
        <x:f>H10*'Assumptions'!H12+H20*(1-'Assumptions'!H37)+'FundingTaxEquity'!H60</x:f>
        <x:v>1680.1942974153199</x:v>
      </x:c>
      <x:c r="I15" s="19" t="n">
        <x:f>I10*'Assumptions'!I12+I20*(1-'Assumptions'!I37)+'FundingTaxEquity'!I60</x:f>
        <x:v>1782.3086347737067</x:v>
      </x:c>
    </x:row>
    <x:row r="16" ht="21" customHeight="1">
      <x:c r="C16" s="1" t="str">
        <x:v>Research and development</x:v>
      </x:c>
      <x:c r="D16" s="19" t="n">
        <x:f>'SourceFacts'!D13</x:f>
        <x:v>548.338</x:v>
      </x:c>
      <x:c r="E16" s="19" t="n">
        <x:f>'SourceFacts'!E13</x:f>
        <x:v>648.103</x:v>
      </x:c>
      <x:c r="F16" s="19" t="n">
        <x:f>'SourceFacts'!F13</x:f>
        <x:v>756.983</x:v>
      </x:c>
      <x:c r="G16" s="19" t="n">
        <x:f>G10*'Assumptions'!G13</x:f>
        <x:v>804.9838528338429</x:v>
      </x:c>
      <x:c r="H16" s="19" t="n">
        <x:f>H10*'Assumptions'!H13</x:f>
        <x:v>861.2839325989966</x:v>
      </x:c>
      <x:c r="I16" s="19" t="n">
        <x:f>I10*'Assumptions'!I13</x:f>
        <x:v>922.3602105253831</x:v>
      </x:c>
    </x:row>
    <x:row r="17" ht="21" customHeight="1">
      <x:c r="C17" s="1" t="str">
        <x:v>Business taxes and surcharges</x:v>
      </x:c>
      <x:c r="D17" s="19" t="n">
        <x:f>'SourceFacts'!D14</x:f>
        <x:v>0</x:v>
      </x:c>
      <x:c r="E17" s="19" t="n">
        <x:f>'SourceFacts'!E14</x:f>
        <x:v>0</x:v>
      </x:c>
      <x:c r="F17" s="19" t="n">
        <x:f>'SourceFacts'!F14</x:f>
        <x:v>0</x:v>
      </x:c>
      <x:c r="G17" s="19" t="n">
        <x:f>G10*'Assumptions'!G14</x:f>
        <x:v>0</x:v>
      </x:c>
      <x:c r="H17" s="19" t="n">
        <x:f>H10*'Assumptions'!H14</x:f>
        <x:v>0</x:v>
      </x:c>
      <x:c r="I17" s="19" t="n">
        <x:f>I10*'Assumptions'!I14</x:f>
        <x:v>0</x:v>
      </x:c>
    </x:row>
    <x:row r="18" ht="21" customHeight="1">
      <x:c r="C18" s="1" t="str">
        <x:v>Other cash operating / pretax income</x:v>
      </x:c>
      <x:c r="D18" s="19" t="n">
        <x:f>'SourceFacts'!D17</x:f>
        <x:v>16.846999999997564</x:v>
      </x:c>
      <x:c r="E18" s="19" t="n">
        <x:f>'SourceFacts'!E17</x:f>
        <x:v>16.384999999999422</x:v>
      </x:c>
      <x:c r="F18" s="19" t="n">
        <x:f>'SourceFacts'!F17</x:f>
        <x:v>11.039000000000101</x:v>
      </x:c>
      <x:c r="G18" s="19" t="n">
        <x:f>G10*'Assumptions'!G15</x:f>
        <x:v>11.738991168140993</x:v>
      </x:c>
      <x:c r="H18" s="19" t="n">
        <x:f>H10*'Assumptions'!H15</x:f>
        <x:v>12.56000905167013</x:v>
      </x:c>
      <x:c r="I18" s="19" t="n">
        <x:f>I10*'Assumptions'!I15</x:f>
        <x:v>13.450677708732954</x:v>
      </x:c>
    </x:row>
    <x:row r="19" ht="21" customHeight="1">
      <x:c r="C19" s="34" t="str">
        <x:v>Operating earnings before financing</x:v>
      </x:c>
      <x:c r="D19" s="36" t="n">
        <x:f>D23+D22</x:f>
        <x:v>1134.716</x:v>
      </x:c>
      <x:c r="E19" s="36" t="n">
        <x:f>E23+E22</x:f>
        <x:v>1270.2640000000001</x:v>
      </x:c>
      <x:c r="F19" s="36" t="n">
        <x:f>F23+F22</x:f>
        <x:v>1336.083</x:v>
      </x:c>
      <x:c r="G19" s="36" t="n">
        <x:f>G12-SUM(G14:G17)+G18</x:f>
        <x:v>1400.0993049194537</x:v>
      </x:c>
      <x:c r="H19" s="36" t="n">
        <x:f>H12-SUM(H14:H17)+H18</x:f>
        <x:v>1602.1819924299944</x:v>
      </x:c>
      <x:c r="I19" s="36" t="n">
        <x:f>I12-SUM(I14:I17)+I18</x:f>
        <x:v>1800.964513850254</x:v>
      </x:c>
    </x:row>
    <x:row r="20" ht="21" customHeight="1">
      <x:c r="C20" s="1" t="str">
        <x:v>Depreciation and amortization</x:v>
      </x:c>
      <x:c r="D20" s="19" t="n">
        <x:f>'SourceFacts'!D23</x:f>
        <x:v>633.487</x:v>
      </x:c>
      <x:c r="E20" s="19" t="n">
        <x:f>'SourceFacts'!E23</x:f>
        <x:v>779.5160000000001</x:v>
      </x:c>
      <x:c r="F20" s="19" t="n">
        <x:f>'SourceFacts'!F23</x:f>
        <x:v>869.406</x:v>
      </x:c>
      <x:c r="G20" s="19" t="n">
        <x:f>'FixedAssets'!G39</x:f>
        <x:v>945.2413864866397</x:v>
      </x:c>
      <x:c r="H20" s="19" t="n">
        <x:f>'FixedAssets'!H39</x:f>
        <x:v>907.190396677592</x:v>
      </x:c>
      <x:c r="I20" s="19" t="n">
        <x:f>'FixedAssets'!I39</x:f>
        <x:v>886.3551463685568</x:v>
      </x:c>
    </x:row>
    <x:row r="21" ht="21" customHeight="1">
      <x:c r="C21" s="34" t="str">
        <x:v>EBITDA proxy (see definition below)</x:v>
      </x:c>
      <x:c r="D21" s="36" t="n">
        <x:f>D19+D20</x:f>
        <x:v>1768.203</x:v>
      </x:c>
      <x:c r="E21" s="36" t="n">
        <x:f>E19+E20</x:f>
        <x:v>2049.78</x:v>
      </x:c>
      <x:c r="F21" s="36" t="n">
        <x:f>F19+F20</x:f>
        <x:v>2205.489</x:v>
      </x:c>
      <x:c r="G21" s="36" t="n">
        <x:f>G19+G20</x:f>
        <x:v>2345.3406914060934</x:v>
      </x:c>
      <x:c r="H21" s="36" t="n">
        <x:f>H19+H20</x:f>
        <x:v>2509.3723891075865</x:v>
      </x:c>
      <x:c r="I21" s="36" t="n">
        <x:f>I19+I20</x:f>
        <x:v>2687.319660218811</x:v>
      </x:c>
    </x:row>
    <x:row r="22" ht="21" customHeight="1">
      <x:c r="C22" s="1" t="str">
        <x:v>Net finance expense less investment FV gain</x:v>
      </x:c>
      <x:c r="D22" s="19" t="n">
        <x:f>'SourceFacts'!D15</x:f>
        <x:v>79.1</x:v>
      </x:c>
      <x:c r="E22" s="19" t="n">
        <x:f>'SourceFacts'!E15</x:f>
        <x:v>53.870000000000005</x:v>
      </x:c>
      <x:c r="F22" s="19" t="n">
        <x:f>'SourceFacts'!F15</x:f>
        <x:v>33.601</x:v>
      </x:c>
      <x:c r="G22" s="19" t="n">
        <x:f>'FundingTaxEquity'!G19-F31*'Assumptions'!G16-'FundingTaxEquity'!G29</x:f>
        <x:v>-10.780984551077452</x:v>
      </x:c>
      <x:c r="H22" s="19" t="n">
        <x:f>'FundingTaxEquity'!H19-G31*'Assumptions'!H16-'FundingTaxEquity'!H29</x:f>
        <x:v>-38.34428071624272</x:v>
      </x:c>
      <x:c r="I22" s="19" t="n">
        <x:f>'FundingTaxEquity'!I19-H31*'Assumptions'!I16-'FundingTaxEquity'!I29</x:f>
        <x:v>-72.55710099558758</x:v>
      </x:c>
    </x:row>
    <x:row r="23" ht="21" customHeight="1">
      <x:c r="C23" s="34" t="str">
        <x:v>Profit before tax</x:v>
      </x:c>
      <x:c r="D23" s="37" t="n">
        <x:f>'SourceFacts'!D18</x:f>
        <x:v>1055.616</x:v>
      </x:c>
      <x:c r="E23" s="37" t="n">
        <x:f>'SourceFacts'!E18</x:f>
        <x:v>1216.394</x:v>
      </x:c>
      <x:c r="F23" s="37" t="n">
        <x:f>'SourceFacts'!F18</x:f>
        <x:v>1302.482</x:v>
      </x:c>
      <x:c r="G23" s="36" t="n">
        <x:f>G19-G22</x:f>
        <x:v>1410.8802894705311</x:v>
      </x:c>
      <x:c r="H23" s="36" t="n">
        <x:f>H19-H22</x:f>
        <x:v>1640.5262731462371</x:v>
      </x:c>
      <x:c r="I23" s="36" t="n">
        <x:f>I19-I22</x:f>
        <x:v>1873.5216148458417</x:v>
      </x:c>
    </x:row>
    <x:row r="24" ht="21" customHeight="1">
      <x:c r="C24" s="1" t="str">
        <x:v>Income tax expense</x:v>
      </x:c>
      <x:c r="D24" s="19" t="n">
        <x:f>'SourceFacts'!D19</x:f>
        <x:v>79.276</x:v>
      </x:c>
      <x:c r="E24" s="19" t="n">
        <x:f>'SourceFacts'!E19</x:f>
        <x:v>94.714</x:v>
      </x:c>
      <x:c r="F24" s="19" t="n">
        <x:f>'SourceFacts'!F19</x:f>
        <x:v>104.188</x:v>
      </x:c>
      <x:c r="G24" s="19" t="n">
        <x:f>MAX(0,G23)*'Assumptions'!G18</x:f>
        <x:v>112.86993095903047</x:v>
      </x:c>
      <x:c r="H24" s="19" t="n">
        <x:f>MAX(0,H23)*'Assumptions'!H18</x:f>
        <x:v>131.2415295389658</x:v>
      </x:c>
      <x:c r="I24" s="19" t="n">
        <x:f>MAX(0,I23)*'Assumptions'!I18</x:f>
        <x:v>149.88107559235857</x:v>
      </x:c>
    </x:row>
    <x:row r="25" ht="21" customHeight="1">
      <x:c r="C25" s="34" t="str">
        <x:v>Consolidated net income</x:v>
      </x:c>
      <x:c r="D25" s="37" t="n">
        <x:f>'SourceFacts'!D20</x:f>
        <x:v>976.34</x:v>
      </x:c>
      <x:c r="E25" s="37" t="n">
        <x:f>'SourceFacts'!E20</x:f>
        <x:v>1121.68</x:v>
      </x:c>
      <x:c r="F25" s="37" t="n">
        <x:f>'SourceFacts'!F20</x:f>
        <x:v>1198.294</x:v>
      </x:c>
      <x:c r="G25" s="36" t="n">
        <x:f>G23-G24</x:f>
        <x:v>1298.0103585115007</x:v>
      </x:c>
      <x:c r="H25" s="36" t="n">
        <x:f>H23-H24</x:f>
        <x:v>1509.2847436072714</x:v>
      </x:c>
      <x:c r="I25" s="36" t="n">
        <x:f>I23-I24</x:f>
        <x:v>1723.640539253483</x:v>
      </x:c>
    </x:row>
    <x:row r="26" ht="21" customHeight="1">
      <x:c r="C26" s="1" t="str">
        <x:v>Net income attributable to parent</x:v>
      </x:c>
      <x:c r="D26" s="19" t="n">
        <x:f>'SourceFacts'!D21</x:f>
        <x:v>976.34</x:v>
      </x:c>
      <x:c r="E26" s="19" t="n">
        <x:f>'SourceFacts'!E21</x:f>
        <x:v>1121.68</x:v>
      </x:c>
      <x:c r="F26" s="19" t="n">
        <x:f>'SourceFacts'!F21</x:f>
        <x:v>1198.294</x:v>
      </x:c>
      <x:c r="G26" s="27" t="n">
        <x:f>G25-G27</x:f>
        <x:v>1298.0103585115007</x:v>
      </x:c>
      <x:c r="H26" s="27" t="n">
        <x:f>H25-H27</x:f>
        <x:v>1509.2847436072714</x:v>
      </x:c>
      <x:c r="I26" s="27" t="n">
        <x:f>I25-I27</x:f>
        <x:v>1723.640539253483</x:v>
      </x:c>
    </x:row>
    <x:row r="27" ht="21" customHeight="1">
      <x:c r="C27" s="1" t="str">
        <x:v>Net income attributable to NCI</x:v>
      </x:c>
      <x:c r="D27" s="19" t="n">
        <x:f>'SourceFacts'!D22</x:f>
        <x:v>0</x:v>
      </x:c>
      <x:c r="E27" s="19" t="n">
        <x:f>'SourceFacts'!E22</x:f>
        <x:v>0</x:v>
      </x:c>
      <x:c r="F27" s="19" t="n">
        <x:f>'SourceFacts'!F22</x:f>
        <x:v>0</x:v>
      </x:c>
      <x:c r="G27" s="19" t="n">
        <x:f>G25*'Assumptions'!G19</x:f>
        <x:v>0</x:v>
      </x:c>
      <x:c r="H27" s="19" t="n">
        <x:f>H25*'Assumptions'!H19</x:f>
        <x:v>0</x:v>
      </x:c>
      <x:c r="I27" s="19" t="n">
        <x:f>I25*'Assumptions'!I19</x:f>
        <x:v>0</x:v>
      </x:c>
    </x:row>
    <x:row r="28" ht="21" customHeight="1">
      <x:c r="C28" s="1"/>
      <x:c r="D28" s="2"/>
      <x:c r="E28" s="2"/>
      <x:c r="F28" s="2"/>
      <x:c r="G28" s="2"/>
      <x:c r="H28" s="2"/>
      <x:c r="I28" s="2"/>
    </x:row>
    <x:row r="29" ht="21" customHeight="1">
      <x:c r="C29" s="12" t="str">
        <x:v>Balance sheet</x:v>
      </x:c>
      <x:c r="D29" s="25"/>
      <x:c r="E29" s="25"/>
      <x:c r="F29" s="25"/>
      <x:c r="G29" s="25"/>
      <x:c r="H29" s="25"/>
      <x:c r="I29" s="25"/>
    </x:row>
    <x:row r="30" ht="21" customHeight="1">
      <x:c r="C30" s="1"/>
      <x:c r="D30" s="2"/>
      <x:c r="E30" s="2"/>
      <x:c r="F30" s="2"/>
      <x:c r="G30" s="2"/>
      <x:c r="H30" s="2"/>
      <x:c r="I30" s="2"/>
    </x:row>
    <x:row r="31" ht="21" customHeight="1">
      <x:c r="C31" s="1" t="str">
        <x:v>Cash and cash equivalents</x:v>
      </x:c>
      <x:c r="D31" s="19" t="n">
        <x:f>'SourceFacts'!D29</x:f>
        <x:v>953.24</x:v>
      </x:c>
      <x:c r="E31" s="19" t="n">
        <x:f>'SourceFacts'!E29</x:f>
        <x:v>1232.347</x:v>
      </x:c>
      <x:c r="F31" s="19" t="n">
        <x:f>'SourceFacts'!F29</x:f>
        <x:v>1677.729</x:v>
      </x:c>
      <x:c r="G31" s="27" t="n">
        <x:f>G81</x:f>
        <x:v>2022.4851617328811</x:v>
      </x:c>
      <x:c r="H31" s="27" t="n">
        <x:f>H81</x:f>
        <x:v>2536.0745523672417</x:v>
      </x:c>
      <x:c r="I31" s="27" t="n">
        <x:f>I81</x:f>
        <x:v>3111.2853967715064</x:v>
      </x:c>
    </x:row>
    <x:row r="32" ht="21" customHeight="1">
      <x:c r="C32" s="1" t="str">
        <x:v>Monetary balances outside cash equivalents</x:v>
      </x:c>
      <x:c r="D32" s="19" t="n">
        <x:f>'SourceFacts'!D32</x:f>
        <x:v>0</x:v>
      </x:c>
      <x:c r="E32" s="19" t="n">
        <x:f>'SourceFacts'!E32</x:f>
        <x:v>0</x:v>
      </x:c>
      <x:c r="F32" s="19" t="n">
        <x:f>'SourceFacts'!F32</x:f>
        <x:v>0</x:v>
      </x:c>
      <x:c r="G32" s="27" t="n">
        <x:f>F32</x:f>
        <x:v>0</x:v>
      </x:c>
      <x:c r="H32" s="27" t="n">
        <x:f>G32</x:f>
        <x:v>0</x:v>
      </x:c>
      <x:c r="I32" s="27" t="n">
        <x:f>H32</x:f>
        <x:v>0</x:v>
      </x:c>
    </x:row>
    <x:row r="33" ht="21" customHeight="1">
      <x:c r="C33" s="1" t="str">
        <x:v>Receivables, bills and contract assets</x:v>
      </x:c>
      <x:c r="D33" s="19" t="n">
        <x:f>'SourceFacts'!D33</x:f>
        <x:v>1826.942</x:v>
      </x:c>
      <x:c r="E33" s="19" t="n">
        <x:f>'SourceFacts'!E33</x:f>
        <x:v>2010.9389999999999</x:v>
      </x:c>
      <x:c r="F33" s="19" t="n">
        <x:f>'SourceFacts'!F33</x:f>
        <x:v>2027.4109999999998</x:v>
      </x:c>
      <x:c r="G33" s="19" t="n">
        <x:f>'WorkingCapital'!G11</x:f>
        <x:v>2155.970633498657</x:v>
      </x:c>
      <x:c r="H33" s="19" t="n">
        <x:f>'WorkingCapital'!H11</x:f>
        <x:v>2306.75790483335</x:v>
      </x:c>
      <x:c r="I33" s="19" t="n">
        <x:f>'WorkingCapital'!I11</x:f>
        <x:v>2470.3371631614937</x:v>
      </x:c>
    </x:row>
    <x:row r="34" ht="21" customHeight="1">
      <x:c r="C34" s="1" t="str">
        <x:v>Inventory</x:v>
      </x:c>
      <x:c r="D34" s="19" t="n">
        <x:f>'SourceFacts'!D34</x:f>
        <x:v>4098.161</x:v>
      </x:c>
      <x:c r="E34" s="19" t="n">
        <x:f>'SourceFacts'!E34</x:f>
        <x:v>4076.21</x:v>
      </x:c>
      <x:c r="F34" s="19" t="n">
        <x:f>'SourceFacts'!F34</x:f>
        <x:v>4451.941</x:v>
      </x:c>
      <x:c r="G34" s="19" t="n">
        <x:f>'WorkingCapital'!G17</x:f>
        <x:v>4742.465315252167</x:v>
      </x:c>
      <x:c r="H34" s="19" t="n">
        <x:f>'WorkingCapital'!H17</x:f>
        <x:v>5032.782229770891</x:v>
      </x:c>
      <x:c r="I34" s="19" t="n">
        <x:f>'WorkingCapital'!I17</x:f>
        <x:v>5355.8474936082175</x:v>
      </x:c>
    </x:row>
    <x:row r="35" ht="21" customHeight="1">
      <x:c r="C35" s="1" t="str">
        <x:v>PPE / construction / investment property</x:v>
      </x:c>
      <x:c r="D35" s="19" t="n">
        <x:f>'SourceFacts'!D35</x:f>
        <x:v>2310.537</x:v>
      </x:c>
      <x:c r="E35" s="19" t="n">
        <x:f>'SourceFacts'!E35</x:f>
        <x:v>2248.541</x:v>
      </x:c>
      <x:c r="F35" s="19" t="n">
        <x:f>'SourceFacts'!F35</x:f>
        <x:v>2244.108</x:v>
      </x:c>
      <x:c r="G35" s="19" t="n">
        <x:f>'FixedAssets'!G14</x:f>
        <x:v>2058.7698447597113</x:v>
      </x:c>
      <x:c r="H35" s="19" t="n">
        <x:f>'FixedAssets'!H14</x:f>
        <x:v>1930.8032540321435</x:v>
      </x:c>
      <x:c r="I35" s="19" t="n">
        <x:f>'FixedAssets'!I14</x:f>
        <x:v>1850.05576630934</x:v>
      </x:c>
    </x:row>
    <x:row r="36" ht="21" customHeight="1">
      <x:c r="C36" s="1" t="str">
        <x:v>Intangibles and deferred costs</x:v>
      </x:c>
      <x:c r="D36" s="19" t="n">
        <x:f>'SourceFacts'!D36</x:f>
        <x:v>1298.419</x:v>
      </x:c>
      <x:c r="E36" s="19" t="n">
        <x:f>'SourceFacts'!E36</x:f>
        <x:v>1369.494</x:v>
      </x:c>
      <x:c r="F36" s="19" t="n">
        <x:f>'SourceFacts'!F36</x:f>
        <x:v>1247.924</x:v>
      </x:c>
      <x:c r="G36" s="19" t="n">
        <x:f>'FixedAssets'!G24</x:f>
        <x:v>1278.5391061590294</x:v>
      </x:c>
      <x:c r="H36" s="19" t="n">
        <x:f>'FixedAssets'!H24</x:f>
        <x:v>1322.9387720829895</x:v>
      </x:c>
      <x:c r="I36" s="19" t="n">
        <x:f>'FixedAssets'!I24</x:f>
        <x:v>1379.9936218090897</x:v>
      </x:c>
    </x:row>
    <x:row r="37" ht="21" customHeight="1">
      <x:c r="C37" s="1" t="str">
        <x:v>Right-of-use assets</x:v>
      </x:c>
      <x:c r="D37" s="19" t="n">
        <x:f>'SourceFacts'!D37</x:f>
        <x:v>866.009</x:v>
      </x:c>
      <x:c r="E37" s="19" t="n">
        <x:f>'SourceFacts'!E37</x:f>
        <x:v>797.097</x:v>
      </x:c>
      <x:c r="F37" s="19" t="n">
        <x:f>'SourceFacts'!F37</x:f>
        <x:v>739.047</x:v>
      </x:c>
      <x:c r="G37" s="19" t="n">
        <x:f>'FixedAssets'!G34</x:f>
        <x:v>686.6544892406405</x:v>
      </x:c>
      <x:c r="H37" s="19" t="n">
        <x:f>'FixedAssets'!H34</x:f>
        <x:v>645.0276397249618</x:v>
      </x:c>
      <x:c r="I37" s="19" t="n">
        <x:f>'FixedAssets'!I34</x:f>
        <x:v>611.9543134902306</x:v>
      </x:c>
    </x:row>
    <x:row r="38" ht="21" customHeight="1">
      <x:c r="C38" s="1" t="str">
        <x:v>Financial investments / finance-company loans</x:v>
      </x:c>
      <x:c r="D38" s="19" t="n">
        <x:f>'SourceFacts'!D38</x:f>
        <x:v>179.928</x:v>
      </x:c>
      <x:c r="E38" s="19" t="n">
        <x:f>'SourceFacts'!E38</x:f>
        <x:v>276.034</x:v>
      </x:c>
      <x:c r="F38" s="19" t="n">
        <x:f>'SourceFacts'!F38</x:f>
        <x:v>132.363</x:v>
      </x:c>
      <x:c r="G38" s="19" t="n">
        <x:f>'FundingTaxEquity'!G31</x:f>
        <x:v>132.363</x:v>
      </x:c>
      <x:c r="H38" s="19" t="n">
        <x:f>'FundingTaxEquity'!H31</x:f>
        <x:v>132.363</x:v>
      </x:c>
      <x:c r="I38" s="19" t="n">
        <x:f>'FundingTaxEquity'!I31</x:f>
        <x:v>132.363</x:v>
      </x:c>
    </x:row>
    <x:row r="39" ht="21" customHeight="1">
      <x:c r="C39" s="1" t="str">
        <x:v>Other assets (named in SourceBS)</x:v>
      </x:c>
      <x:c r="D39" s="19" t="n">
        <x:f>'SourceFacts'!D39</x:f>
        <x:v>868.7470000000002</x:v>
      </x:c>
      <x:c r="E39" s="19" t="n">
        <x:f>'SourceFacts'!E39</x:f>
        <x:v>879.827</x:v>
      </x:c>
      <x:c r="F39" s="19" t="n">
        <x:f>'SourceFacts'!F39</x:f>
        <x:v>908.4809999999999</x:v>
      </x:c>
      <x:c r="G39" s="19" t="n">
        <x:f>'WorkingCapital'!G41</x:f>
        <x:v>908.4809999999999</x:v>
      </x:c>
      <x:c r="H39" s="19" t="n">
        <x:f>'WorkingCapital'!H41</x:f>
        <x:v>908.4809999999999</x:v>
      </x:c>
      <x:c r="I39" s="19" t="n">
        <x:f>'WorkingCapital'!I41</x:f>
        <x:v>908.4809999999999</x:v>
      </x:c>
    </x:row>
    <x:row r="40" ht="21" customHeight="1">
      <x:c r="C40" s="34" t="str">
        <x:v>Total assets</x:v>
      </x:c>
      <x:c r="D40" s="37" t="n">
        <x:f>'SourceFacts'!D40</x:f>
        <x:v>12401.983</x:v>
      </x:c>
      <x:c r="E40" s="37" t="n">
        <x:f>'SourceFacts'!E40</x:f>
        <x:v>12890.489</x:v>
      </x:c>
      <x:c r="F40" s="37" t="n">
        <x:f>'SourceFacts'!F40</x:f>
        <x:v>13429.003999999999</x:v>
      </x:c>
      <x:c r="G40" s="36" t="n">
        <x:f>SUM(G31:G39)</x:f>
        <x:v>13985.728550643084</x:v>
      </x:c>
      <x:c r="H40" s="36" t="n">
        <x:f>SUM(H31:H39)</x:f>
        <x:v>14815.228352811577</x:v>
      </x:c>
      <x:c r="I40" s="36" t="n">
        <x:f>SUM(I31:I39)</x:f>
        <x:v>15820.317755149877</x:v>
      </x:c>
    </x:row>
    <x:row r="41" ht="21" customHeight="1">
      <x:c r="C41" s="1"/>
      <x:c r="D41" s="2"/>
      <x:c r="E41" s="2"/>
      <x:c r="F41" s="2"/>
      <x:c r="G41" s="2"/>
      <x:c r="H41" s="2"/>
      <x:c r="I41" s="2"/>
    </x:row>
    <x:row r="42" ht="21" customHeight="1">
      <x:c r="C42" s="1" t="str">
        <x:v>Trade and bills payables</x:v>
      </x:c>
      <x:c r="D42" s="19" t="n">
        <x:f>'SourceFacts'!D41</x:f>
        <x:v>3391.655</x:v>
      </x:c>
      <x:c r="E42" s="19" t="n">
        <x:f>'SourceFacts'!E41</x:f>
        <x:v>3871.047</x:v>
      </x:c>
      <x:c r="F42" s="19" t="n">
        <x:f>'SourceFacts'!F41</x:f>
        <x:v>4032.6530000000002</x:v>
      </x:c>
      <x:c r="G42" s="19" t="n">
        <x:f>'WorkingCapital'!G23</x:f>
        <x:v>4295.815461379115</x:v>
      </x:c>
      <x:c r="H42" s="19" t="n">
        <x:f>'WorkingCapital'!H23</x:f>
        <x:v>4558.790055221369</x:v>
      </x:c>
      <x:c r="I42" s="19" t="n">
        <x:f>'WorkingCapital'!I23</x:f>
        <x:v>4851.428727973183</x:v>
      </x:c>
    </x:row>
    <x:row r="43" ht="21" customHeight="1">
      <x:c r="C43" s="1" t="str">
        <x:v>Contract liabilities and customer advances</x:v>
      </x:c>
      <x:c r="D43" s="19" t="n">
        <x:f>'SourceFacts'!D42</x:f>
        <x:v>16.215</x:v>
      </x:c>
      <x:c r="E43" s="19" t="n">
        <x:f>'SourceFacts'!E42</x:f>
        <x:v>23.354</x:v>
      </x:c>
      <x:c r="F43" s="19" t="n">
        <x:f>'SourceFacts'!F42</x:f>
        <x:v>25.153</x:v>
      </x:c>
      <x:c r="G43" s="19" t="n">
        <x:f>'WorkingCapital'!G29</x:f>
        <x:v>26.747970364367035</x:v>
      </x:c>
      <x:c r="H43" s="19" t="n">
        <x:f>'WorkingCapital'!H29</x:f>
        <x:v>28.618707099977886</x:v>
      </x:c>
      <x:c r="I43" s="19" t="n">
        <x:f>'WorkingCapital'!I29</x:f>
        <x:v>30.648147151712735</x:v>
      </x:c>
    </x:row>
    <x:row r="44" ht="21" customHeight="1">
      <x:c r="C44" s="1" t="str">
        <x:v>Borrowings and lease liabilities</x:v>
      </x:c>
      <x:c r="D44" s="19" t="n">
        <x:f>'SourceFacts'!D43</x:f>
        <x:v>2841.7219999999998</x:v>
      </x:c>
      <x:c r="E44" s="19" t="n">
        <x:f>'SourceFacts'!E43</x:f>
        <x:v>2110.185</x:v>
      </x:c>
      <x:c r="F44" s="19" t="n">
        <x:f>'SourceFacts'!F43</x:f>
        <x:v>1758.9330000000002</x:v>
      </x:c>
      <x:c r="G44" s="19" t="n">
        <x:f>'FundingTaxEquity'!G18</x:f>
        <x:v>1518.0034500000002</x:v>
      </x:c>
      <x:c r="H44" s="19" t="n">
        <x:f>'FundingTaxEquity'!H18</x:f>
        <x:v>1325.2598100000002</x:v>
      </x:c>
      <x:c r="I44" s="19" t="n">
        <x:f>'FundingTaxEquity'!I18</x:f>
        <x:v>1171.0648980000003</x:v>
      </x:c>
    </x:row>
    <x:row r="45" ht="21" customHeight="1">
      <x:c r="C45" s="1" t="str">
        <x:v>Taxes payable</x:v>
      </x:c>
      <x:c r="D45" s="19" t="n">
        <x:f>'SourceFacts'!D44</x:f>
        <x:v>47.558</x:v>
      </x:c>
      <x:c r="E45" s="19" t="n">
        <x:f>'SourceFacts'!E44</x:f>
        <x:v>90.83</x:v>
      </x:c>
      <x:c r="F45" s="19" t="n">
        <x:f>'SourceFacts'!F44</x:f>
        <x:v>133.039</x:v>
      </x:c>
      <x:c r="G45" s="19" t="n">
        <x:f>'FundingTaxEquity'!G38</x:f>
        <x:v>16.93048964385457</x:v>
      </x:c>
      <x:c r="H45" s="19" t="n">
        <x:f>'FundingTaxEquity'!H38</x:f>
        <x:v>19.68622943084486</x:v>
      </x:c>
      <x:c r="I45" s="19" t="n">
        <x:f>'FundingTaxEquity'!I38</x:f>
        <x:v>22.482161338853786</x:v>
      </x:c>
    </x:row>
    <x:row r="46" ht="21" customHeight="1">
      <x:c r="C46" s="1" t="str">
        <x:v>Finance-company customer deposits</x:v>
      </x:c>
      <x:c r="D46" s="19" t="n">
        <x:f>'SourceFacts'!D45</x:f>
        <x:v>0</x:v>
      </x:c>
      <x:c r="E46" s="19" t="n">
        <x:f>'SourceFacts'!E45</x:f>
        <x:v>0</x:v>
      </x:c>
      <x:c r="F46" s="19" t="n">
        <x:f>'SourceFacts'!F45</x:f>
        <x:v>0</x:v>
      </x:c>
      <x:c r="G46" s="19" t="n">
        <x:f>'WorkingCapital'!G35</x:f>
        <x:v>0</x:v>
      </x:c>
      <x:c r="H46" s="19" t="n">
        <x:f>'WorkingCapital'!H35</x:f>
        <x:v>0</x:v>
      </x:c>
      <x:c r="I46" s="19" t="n">
        <x:f>'WorkingCapital'!I35</x:f>
        <x:v>0</x:v>
      </x:c>
    </x:row>
    <x:row r="47" ht="21" customHeight="1">
      <x:c r="C47" s="1" t="str">
        <x:v>Other liabilities (named in SourceBS)</x:v>
      </x:c>
      <x:c r="D47" s="19" t="n">
        <x:f>'SourceFacts'!D46</x:f>
        <x:v>357.283</x:v>
      </x:c>
      <x:c r="E47" s="19" t="n">
        <x:f>'SourceFacts'!E46</x:f>
        <x:v>431.476</x:v>
      </x:c>
      <x:c r="F47" s="19" t="n">
        <x:f>'SourceFacts'!F46</x:f>
        <x:v>520.772</x:v>
      </x:c>
      <x:c r="G47" s="19" t="n">
        <x:f>'WorkingCapital'!G47</x:f>
        <x:v>520.772</x:v>
      </x:c>
      <x:c r="H47" s="19" t="n">
        <x:f>'WorkingCapital'!H47</x:f>
        <x:v>520.772</x:v>
      </x:c>
      <x:c r="I47" s="19" t="n">
        <x:f>'WorkingCapital'!I47</x:f>
        <x:v>520.772</x:v>
      </x:c>
    </x:row>
    <x:row r="48" ht="21" customHeight="1">
      <x:c r="C48" s="34" t="str">
        <x:v>Total liabilities</x:v>
      </x:c>
      <x:c r="D48" s="37" t="n">
        <x:f>'SourceFacts'!D47</x:f>
        <x:v>6654.433</x:v>
      </x:c>
      <x:c r="E48" s="37" t="n">
        <x:f>'SourceFacts'!E47</x:f>
        <x:v>6526.892</x:v>
      </x:c>
      <x:c r="F48" s="37" t="n">
        <x:f>'SourceFacts'!F47</x:f>
        <x:v>6470.55</x:v>
      </x:c>
      <x:c r="G48" s="36" t="n">
        <x:f>SUM(G42:G47)</x:f>
        <x:v>6378.269371387336</x:v>
      </x:c>
      <x:c r="H48" s="36" t="n">
        <x:f>SUM(H42:H47)</x:f>
        <x:v>6453.126801752192</x:v>
      </x:c>
      <x:c r="I48" s="36" t="n">
        <x:f>SUM(I42:I47)</x:f>
        <x:v>6596.395934463751</x:v>
      </x:c>
    </x:row>
    <x:row r="49" ht="21" customHeight="1">
      <x:c r="C49" s="1"/>
      <x:c r="D49" s="2"/>
      <x:c r="E49" s="2"/>
      <x:c r="F49" s="2"/>
      <x:c r="G49" s="2"/>
      <x:c r="H49" s="2"/>
      <x:c r="I49" s="2"/>
    </x:row>
    <x:row r="50" ht="21" customHeight="1">
      <x:c r="C50" s="1" t="str">
        <x:v>Retained earnings</x:v>
      </x:c>
      <x:c r="D50" s="19" t="n">
        <x:f>'SourceFacts'!D48</x:f>
        <x:v>5298.919</x:v>
      </x:c>
      <x:c r="E50" s="19" t="n">
        <x:f>'SourceFacts'!E48</x:f>
        <x:v>5897.124</x:v>
      </x:c>
      <x:c r="F50" s="19" t="n">
        <x:f>'SourceFacts'!F48</x:f>
        <x:v>6481.039</x:v>
      </x:c>
      <x:c r="G50" s="19" t="n">
        <x:f>'FundingTaxEquity'!G48</x:f>
        <x:v>7130.044179255749</x:v>
      </x:c>
      <x:c r="H50" s="19" t="n">
        <x:f>'FundingTaxEquity'!H48</x:f>
        <x:v>7884.686551059384</x:v>
      </x:c>
      <x:c r="I50" s="19" t="n">
        <x:f>'FundingTaxEquity'!I48</x:f>
        <x:v>8746.506820686125</x:v>
      </x:c>
    </x:row>
    <x:row r="51" ht="21" customHeight="1">
      <x:c r="C51" s="1" t="str">
        <x:v>Share capital and other reserves</x:v>
      </x:c>
      <x:c r="D51" s="27" t="n">
        <x:f>D53-D50-D52</x:f>
        <x:v>448.6310000000003</x:v>
      </x:c>
      <x:c r="E51" s="27" t="n">
        <x:f>E53-E50-E52</x:f>
        <x:v>466.47299999999996</x:v>
      </x:c>
      <x:c r="F51" s="27" t="n">
        <x:f>F53-F50-F52</x:f>
        <x:v>477.41499999999996</x:v>
      </x:c>
      <x:c r="G51" s="19" t="n">
        <x:f>'FundingTaxEquity'!G61</x:f>
        <x:v>477.41499999999996</x:v>
      </x:c>
      <x:c r="H51" s="19" t="n">
        <x:f>'FundingTaxEquity'!H61</x:f>
        <x:v>477.41499999999996</x:v>
      </x:c>
      <x:c r="I51" s="19" t="n">
        <x:f>'FundingTaxEquity'!I61</x:f>
        <x:v>477.41499999999996</x:v>
      </x:c>
    </x:row>
    <x:row r="52" ht="21" customHeight="1">
      <x:c r="C52" s="1" t="str">
        <x:v>Non-controlling interests</x:v>
      </x:c>
      <x:c r="D52" s="19" t="n">
        <x:f>'SourceFacts'!D49</x:f>
        <x:v>0</x:v>
      </x:c>
      <x:c r="E52" s="19" t="n">
        <x:f>'SourceFacts'!E49</x:f>
        <x:v>0</x:v>
      </x:c>
      <x:c r="F52" s="19" t="n">
        <x:f>'SourceFacts'!F49</x:f>
        <x:v>0</x:v>
      </x:c>
      <x:c r="G52" s="19" t="n">
        <x:f>'FundingTaxEquity'!G55</x:f>
        <x:v>0</x:v>
      </x:c>
      <x:c r="H52" s="19" t="n">
        <x:f>'FundingTaxEquity'!H55</x:f>
        <x:v>0</x:v>
      </x:c>
      <x:c r="I52" s="19" t="n">
        <x:f>'FundingTaxEquity'!I55</x:f>
        <x:v>0</x:v>
      </x:c>
    </x:row>
    <x:row r="53" ht="21" customHeight="1">
      <x:c r="C53" s="34" t="str">
        <x:v>Total equity</x:v>
      </x:c>
      <x:c r="D53" s="37" t="n">
        <x:f>'SourceFacts'!D50</x:f>
        <x:v>5747.55</x:v>
      </x:c>
      <x:c r="E53" s="37" t="n">
        <x:f>'SourceFacts'!E50</x:f>
        <x:v>6363.597</x:v>
      </x:c>
      <x:c r="F53" s="37" t="n">
        <x:f>'SourceFacts'!F50</x:f>
        <x:v>6958.454</x:v>
      </x:c>
      <x:c r="G53" s="36" t="n">
        <x:f>SUM(G50:G52)</x:f>
        <x:v>7607.459179255749</x:v>
      </x:c>
      <x:c r="H53" s="36" t="n">
        <x:f>SUM(H50:H52)</x:f>
        <x:v>8362.101551059384</x:v>
      </x:c>
      <x:c r="I53" s="36" t="n">
        <x:f>SUM(I50:I52)</x:f>
        <x:v>9223.921820686126</x:v>
      </x:c>
    </x:row>
    <x:row r="54" ht="21" customHeight="1">
      <x:c r="C54" s="34" t="str">
        <x:v>Liabilities and equity</x:v>
      </x:c>
      <x:c r="D54" s="36" t="n">
        <x:f>D48+D53</x:f>
        <x:v>12401.983</x:v>
      </x:c>
      <x:c r="E54" s="36" t="n">
        <x:f>E48+E53</x:f>
        <x:v>12890.489</x:v>
      </x:c>
      <x:c r="F54" s="36" t="n">
        <x:f>F48+F53</x:f>
        <x:v>13429.004</x:v>
      </x:c>
      <x:c r="G54" s="36" t="n">
        <x:f>G48+G53</x:f>
        <x:v>13985.728550643085</x:v>
      </x:c>
      <x:c r="H54" s="36" t="n">
        <x:f>H48+H53</x:f>
        <x:v>14815.228352811577</x:v>
      </x:c>
      <x:c r="I54" s="36" t="n">
        <x:f>I48+I53</x:f>
        <x:v>15820.317755149877</x:v>
      </x:c>
    </x:row>
    <x:row r="55" ht="21" customHeight="1">
      <x:c r="C55" s="34" t="str">
        <x:v>Balance sheet difference</x:v>
      </x:c>
      <x:c r="D55" s="36" t="n">
        <x:f>D40-D54</x:f>
        <x:v>0</x:v>
      </x:c>
      <x:c r="E55" s="36" t="n">
        <x:f>E40-E54</x:f>
        <x:v>0</x:v>
      </x:c>
      <x:c r="F55" s="36" t="n">
        <x:f>F40-F54</x:f>
        <x:v>-1.8189894035458565e-12</x:v>
      </x:c>
      <x:c r="G55" s="36" t="n">
        <x:f>G40-G54</x:f>
        <x:v>-1.8189894035458565e-12</x:v>
      </x:c>
      <x:c r="H55" s="36" t="n">
        <x:f>H40-H54</x:f>
        <x:v>0</x:v>
      </x:c>
      <x:c r="I55" s="36" t="n">
        <x:f>I40-I54</x:f>
        <x:v>0</x:v>
      </x:c>
    </x:row>
    <x:row r="56" ht="21" customHeight="1">
      <x:c r="C56" s="1"/>
      <x:c r="D56" s="2"/>
      <x:c r="E56" s="2"/>
      <x:c r="F56" s="2"/>
      <x:c r="G56" s="2"/>
      <x:c r="H56" s="2"/>
      <x:c r="I56" s="2"/>
    </x:row>
    <x:row r="57" ht="21" customHeight="1">
      <x:c r="C57" s="12" t="str">
        <x:v>Cash flow statement</x:v>
      </x:c>
      <x:c r="D57" s="25"/>
      <x:c r="E57" s="25"/>
      <x:c r="F57" s="25"/>
      <x:c r="G57" s="25"/>
      <x:c r="H57" s="25"/>
      <x:c r="I57" s="25"/>
    </x:row>
    <x:row r="58" ht="21" customHeight="1">
      <x:c r="C58" s="1"/>
      <x:c r="D58" s="2"/>
      <x:c r="E58" s="2"/>
      <x:c r="F58" s="2"/>
      <x:c r="G58" s="2"/>
      <x:c r="H58" s="2"/>
      <x:c r="I58" s="2"/>
    </x:row>
    <x:row r="59" ht="21" customHeight="1">
      <x:c r="C59" s="1" t="str">
        <x:v>Consolidated net income</x:v>
      </x:c>
      <x:c r="D59" s="19" t="n">
        <x:f>'SourceFacts'!D20</x:f>
        <x:v>976.34</x:v>
      </x:c>
      <x:c r="E59" s="19" t="n">
        <x:f>'SourceFacts'!E20</x:f>
        <x:v>1121.68</x:v>
      </x:c>
      <x:c r="F59" s="19" t="n">
        <x:f>'SourceFacts'!F20</x:f>
        <x:v>1198.294</x:v>
      </x:c>
      <x:c r="G59" s="27" t="n">
        <x:f>G25</x:f>
        <x:v>1298.0103585115007</x:v>
      </x:c>
      <x:c r="H59" s="27" t="n">
        <x:f>H25</x:f>
        <x:v>1509.2847436072714</x:v>
      </x:c>
      <x:c r="I59" s="27" t="n">
        <x:f>I25</x:f>
        <x:v>1723.640539253483</x:v>
      </x:c>
    </x:row>
    <x:row r="60" ht="21" customHeight="1">
      <x:c r="C60" s="1" t="str">
        <x:v>Add depreciation and amortization</x:v>
      </x:c>
      <x:c r="D60" s="19" t="n">
        <x:f>'SourceFacts'!D23</x:f>
        <x:v>633.487</x:v>
      </x:c>
      <x:c r="E60" s="19" t="n">
        <x:f>'SourceFacts'!E23</x:f>
        <x:v>779.5160000000001</x:v>
      </x:c>
      <x:c r="F60" s="19" t="n">
        <x:f>'SourceFacts'!F23</x:f>
        <x:v>869.406</x:v>
      </x:c>
      <x:c r="G60" s="27" t="n">
        <x:f>G20</x:f>
        <x:v>945.2413864866397</x:v>
      </x:c>
      <x:c r="H60" s="27" t="n">
        <x:f>H20</x:f>
        <x:v>907.190396677592</x:v>
      </x:c>
      <x:c r="I60" s="27" t="n">
        <x:f>I20</x:f>
        <x:v>886.3551463685568</x:v>
      </x:c>
    </x:row>
    <x:row r="61" ht="21" customHeight="1">
      <x:c r="C61" s="1" t="str">
        <x:v>Add non-cash share compensation</x:v>
      </x:c>
      <x:c r="D61" s="2"/>
      <x:c r="E61" s="2"/>
      <x:c r="F61" s="2"/>
      <x:c r="G61" s="19" t="n">
        <x:f>'FundingTaxEquity'!G60</x:f>
        <x:v>0</x:v>
      </x:c>
      <x:c r="H61" s="19" t="n">
        <x:f>'FundingTaxEquity'!H60</x:f>
        <x:v>0</x:v>
      </x:c>
      <x:c r="I61" s="19" t="n">
        <x:f>'FundingTaxEquity'!I60</x:f>
        <x:v>0</x:v>
      </x:c>
    </x:row>
    <x:row r="62" ht="21" customHeight="1">
      <x:c r="C62" s="1" t="str">
        <x:v>Reverse financial investment FV gain / loss</x:v>
      </x:c>
      <x:c r="D62" s="2"/>
      <x:c r="E62" s="2"/>
      <x:c r="F62" s="2"/>
      <x:c r="G62" s="19" t="n">
        <x:f>-'FundingTaxEquity'!G29</x:f>
        <x:v>0</x:v>
      </x:c>
      <x:c r="H62" s="19" t="n">
        <x:f>-'FundingTaxEquity'!H29</x:f>
        <x:v>0</x:v>
      </x:c>
      <x:c r="I62" s="19" t="n">
        <x:f>-'FundingTaxEquity'!I29</x:f>
        <x:v>0</x:v>
      </x:c>
    </x:row>
    <x:row r="63" ht="21" customHeight="1">
      <x:c r="C63" s="1" t="str">
        <x:v>Tax accrual less cash settlement</x:v>
      </x:c>
      <x:c r="D63" s="2"/>
      <x:c r="E63" s="2"/>
      <x:c r="F63" s="2"/>
      <x:c r="G63" s="19" t="n">
        <x:f>G24-'FundingTaxEquity'!G37</x:f>
        <x:v>-116.1085103561454</x:v>
      </x:c>
      <x:c r="H63" s="19" t="n">
        <x:f>H24-'FundingTaxEquity'!H37</x:f>
        <x:v>2.75573978699029</x:v>
      </x:c>
      <x:c r="I63" s="19" t="n">
        <x:f>I24-'FundingTaxEquity'!I37</x:f>
        <x:v>2.7959319080089244</x:v>
      </x:c>
    </x:row>
    <x:row r="64" ht="21" customHeight="1">
      <x:c r="C64" s="1" t="str">
        <x:v>Change in operating assets and liabilities</x:v>
      </x:c>
      <x:c r="D64" s="2"/>
      <x:c r="E64" s="2"/>
      <x:c r="F64" s="2"/>
      <x:c r="G64" s="19" t="n">
        <x:f>-'WorkingCapital'!G12-'WorkingCapital'!G18+'WorkingCapital'!G24+'WorkingCapital'!G30+'WorkingCapital'!G36-'WorkingCapital'!G42+'WorkingCapital'!G48</x:f>
        <x:v>-154.32651700734283</x:v>
      </x:c>
      <x:c r="H64" s="19" t="n">
        <x:f>-'WorkingCapital'!H12-'WorkingCapital'!H18+'WorkingCapital'!H24+'WorkingCapital'!H30+'WorkingCapital'!H36-'WorkingCapital'!H42+'WorkingCapital'!H48</x:f>
        <x:v>-176.25885527555207</x:v>
      </x:c>
      <x:c r="I64" s="19" t="n">
        <x:f>-'WorkingCapital'!I12-'WorkingCapital'!I18+'WorkingCapital'!I24+'WorkingCapital'!I30+'WorkingCapital'!I36-'WorkingCapital'!I42+'WorkingCapital'!I48</x:f>
        <x:v>-191.97640936192076</x:v>
      </x:c>
    </x:row>
    <x:row r="65" ht="21" customHeight="1">
      <x:c r="C65" s="34" t="str">
        <x:v>Net operating cash flow</x:v>
      </x:c>
      <x:c r="D65" s="37" t="n">
        <x:f>'SourceFacts'!D24</x:f>
        <x:v>2103.875</x:v>
      </x:c>
      <x:c r="E65" s="37" t="n">
        <x:f>'SourceFacts'!E24</x:f>
        <x:v>2267.646</x:v>
      </x:c>
      <x:c r="F65" s="37" t="n">
        <x:f>'SourceFacts'!F24</x:f>
        <x:v>1979.181</x:v>
      </x:c>
      <x:c r="G65" s="36" t="n">
        <x:f>SUM(G59:G64)</x:f>
        <x:v>1972.8167176346524</x:v>
      </x:c>
      <x:c r="H65" s="36" t="n">
        <x:f>SUM(H59:H64)</x:f>
        <x:v>2242.972024796302</x:v>
      </x:c>
      <x:c r="I65" s="36" t="n">
        <x:f>SUM(I59:I64)</x:f>
        <x:v>2420.8152081681283</x:v>
      </x:c>
    </x:row>
    <x:row r="66" ht="21" customHeight="1">
      <x:c r="C66" s="1"/>
      <x:c r="D66" s="2"/>
      <x:c r="E66" s="2"/>
      <x:c r="F66" s="2"/>
      <x:c r="G66" s="2"/>
      <x:c r="H66" s="2"/>
      <x:c r="I66" s="2"/>
    </x:row>
    <x:row r="67" ht="21" customHeight="1">
      <x:c r="C67" s="1" t="str">
        <x:v>Cash capex</x:v>
      </x:c>
      <x:c r="D67" s="19" t="n">
        <x:f>-'SourceFacts'!D30</x:f>
        <x:v>-874.1610000000001</x:v>
      </x:c>
      <x:c r="E67" s="19" t="n">
        <x:f>-'SourceFacts'!E30</x:f>
        <x:v>-686.4079999999999</x:v>
      </x:c>
      <x:c r="F67" s="19" t="n">
        <x:f>-'SourceFacts'!F30</x:f>
        <x:v>-589.865</x:v>
      </x:c>
      <x:c r="G67" s="19" t="n">
        <x:f>-'FixedAssets'!G40</x:f>
        <x:v>-627.2687766460208</x:v>
      </x:c>
      <x:c r="H67" s="19" t="n">
        <x:f>-'FixedAssets'!H40</x:f>
        <x:v>-671.1395723583055</x:v>
      </x:c>
      <x:c r="I67" s="19" t="n">
        <x:f>-'FixedAssets'!I40</x:f>
        <x:v>-718.7321321371221</x:v>
      </x:c>
    </x:row>
    <x:row r="68" ht="21" customHeight="1">
      <x:c r="C68" s="1" t="str">
        <x:v>Financial investments purchases / redemptions</x:v>
      </x:c>
      <x:c r="D68" s="2"/>
      <x:c r="E68" s="2"/>
      <x:c r="F68" s="2"/>
      <x:c r="G68" s="19" t="n">
        <x:f>-'FundingTaxEquity'!G24+'FundingTaxEquity'!G26</x:f>
        <x:v>0</x:v>
      </x:c>
      <x:c r="H68" s="19" t="n">
        <x:f>-'FundingTaxEquity'!H24+'FundingTaxEquity'!H26</x:f>
        <x:v>0</x:v>
      </x:c>
      <x:c r="I68" s="19" t="n">
        <x:f>-'FundingTaxEquity'!I24+'FundingTaxEquity'!I26</x:f>
        <x:v>0</x:v>
      </x:c>
    </x:row>
    <x:row r="69" ht="21" customHeight="1">
      <x:c r="C69" s="34" t="str">
        <x:v>Net investing cash flow</x:v>
      </x:c>
      <x:c r="D69" s="37" t="n">
        <x:f>'SourceFacts'!D25</x:f>
        <x:v>-778.782</x:v>
      </x:c>
      <x:c r="E69" s="37" t="n">
        <x:f>'SourceFacts'!E25</x:f>
        <x:v>-606.237</x:v>
      </x:c>
      <x:c r="F69" s="37" t="n">
        <x:f>'SourceFacts'!F25</x:f>
        <x:v>-518.501</x:v>
      </x:c>
      <x:c r="G69" s="36" t="n">
        <x:f>SUM(G67:G68)</x:f>
        <x:v>-627.2687766460208</x:v>
      </x:c>
      <x:c r="H69" s="36" t="n">
        <x:f>SUM(H67:H68)</x:f>
        <x:v>-671.1395723583055</x:v>
      </x:c>
      <x:c r="I69" s="36" t="n">
        <x:f>SUM(I67:I68)</x:f>
        <x:v>-718.7321321371221</x:v>
      </x:c>
    </x:row>
    <x:row r="70" ht="21" customHeight="1">
      <x:c r="C70" s="1"/>
      <x:c r="D70" s="2"/>
      <x:c r="E70" s="2"/>
      <x:c r="F70" s="2"/>
      <x:c r="G70" s="2"/>
      <x:c r="H70" s="2"/>
      <x:c r="I70" s="2"/>
    </x:row>
    <x:row r="71" ht="21" customHeight="1">
      <x:c r="C71" s="1" t="str">
        <x:v>New cash borrowing</x:v>
      </x:c>
      <x:c r="D71" s="2"/>
      <x:c r="E71" s="2"/>
      <x:c r="F71" s="2"/>
      <x:c r="G71" s="19" t="n">
        <x:f>'FundingTaxEquity'!G12</x:f>
        <x:v>0</x:v>
      </x:c>
      <x:c r="H71" s="19" t="n">
        <x:f>'FundingTaxEquity'!H12</x:f>
        <x:v>0</x:v>
      </x:c>
      <x:c r="I71" s="19" t="n">
        <x:f>'FundingTaxEquity'!I12</x:f>
        <x:v>0</x:v>
      </x:c>
    </x:row>
    <x:row r="72" ht="21" customHeight="1">
      <x:c r="C72" s="1" t="str">
        <x:v>Cash repayment of borrowings and leases</x:v>
      </x:c>
      <x:c r="D72" s="2"/>
      <x:c r="E72" s="2"/>
      <x:c r="F72" s="2"/>
      <x:c r="G72" s="19" t="n">
        <x:f>-'FundingTaxEquity'!G16</x:f>
        <x:v>-351.7866000000001</x:v>
      </x:c>
      <x:c r="H72" s="19" t="n">
        <x:f>-'FundingTaxEquity'!H16</x:f>
        <x:v>-303.60069000000004</x:v>
      </x:c>
      <x:c r="I72" s="19" t="n">
        <x:f>-'FundingTaxEquity'!I16</x:f>
        <x:v>-265.05196200000006</x:v>
      </x:c>
    </x:row>
    <x:row r="73" ht="21" customHeight="1">
      <x:c r="C73" s="1" t="str">
        <x:v>New equity cash proceeds</x:v>
      </x:c>
      <x:c r="D73" s="2"/>
      <x:c r="E73" s="2"/>
      <x:c r="F73" s="2"/>
      <x:c r="G73" s="19" t="n">
        <x:f>'FundingTaxEquity'!G59</x:f>
        <x:v>0</x:v>
      </x:c>
      <x:c r="H73" s="19" t="n">
        <x:f>'FundingTaxEquity'!H59</x:f>
        <x:v>0</x:v>
      </x:c>
      <x:c r="I73" s="19" t="n">
        <x:f>'FundingTaxEquity'!I59</x:f>
        <x:v>0</x:v>
      </x:c>
    </x:row>
    <x:row r="74" ht="21" customHeight="1">
      <x:c r="C74" s="1" t="str">
        <x:v>Parent and NCI cash distributions</x:v>
      </x:c>
      <x:c r="D74" s="2"/>
      <x:c r="E74" s="2"/>
      <x:c r="F74" s="2"/>
      <x:c r="G74" s="19" t="n">
        <x:f>-'FundingTaxEquity'!G44-'FundingTaxEquity'!G54</x:f>
        <x:v>-649.0051792557504</x:v>
      </x:c>
      <x:c r="H74" s="19" t="n">
        <x:f>-'FundingTaxEquity'!H44-'FundingTaxEquity'!H54</x:f>
        <x:v>-754.6423718036357</x:v>
      </x:c>
      <x:c r="I74" s="19" t="n">
        <x:f>-'FundingTaxEquity'!I44-'FundingTaxEquity'!I54</x:f>
        <x:v>-861.8202696267415</x:v>
      </x:c>
    </x:row>
    <x:row r="75" ht="21" customHeight="1">
      <x:c r="C75" s="1" t="str">
        <x:v>Cash share repurchases</x:v>
      </x:c>
      <x:c r="D75" s="2"/>
      <x:c r="E75" s="2"/>
      <x:c r="F75" s="2"/>
      <x:c r="G75" s="19" t="n">
        <x:f>-'FundingTaxEquity'!G47</x:f>
        <x:v>0</x:v>
      </x:c>
      <x:c r="H75" s="19" t="n">
        <x:f>-'FundingTaxEquity'!H47</x:f>
        <x:v>0</x:v>
      </x:c>
      <x:c r="I75" s="19" t="n">
        <x:f>-'FundingTaxEquity'!I47</x:f>
        <x:v>0</x:v>
      </x:c>
    </x:row>
    <x:row r="76" ht="21" customHeight="1">
      <x:c r="C76" s="34" t="str">
        <x:v>Net financing cash flow</x:v>
      </x:c>
      <x:c r="D76" s="37" t="n">
        <x:f>'SourceFacts'!D26</x:f>
        <x:v>-1801.641</x:v>
      </x:c>
      <x:c r="E76" s="37" t="n">
        <x:f>'SourceFacts'!E26</x:f>
        <x:v>-1332.78</x:v>
      </x:c>
      <x:c r="F76" s="37" t="n">
        <x:f>'SourceFacts'!F26</x:f>
        <x:v>-1081.317</x:v>
      </x:c>
      <x:c r="G76" s="36" t="n">
        <x:f>SUM(G71:G75)</x:f>
        <x:v>-1000.7917792557505</x:v>
      </x:c>
      <x:c r="H76" s="36" t="n">
        <x:f>SUM(H71:H75)</x:f>
        <x:v>-1058.2430618036358</x:v>
      </x:c>
      <x:c r="I76" s="36" t="n">
        <x:f>SUM(I71:I75)</x:f>
        <x:v>-1126.8722316267415</x:v>
      </x:c>
    </x:row>
    <x:row r="77" ht="21" customHeight="1">
      <x:c r="C77" s="1"/>
      <x:c r="D77" s="2"/>
      <x:c r="E77" s="2"/>
      <x:c r="F77" s="2"/>
      <x:c r="G77" s="2"/>
      <x:c r="H77" s="2"/>
      <x:c r="I77" s="2"/>
    </x:row>
    <x:row r="78" ht="21" customHeight="1">
      <x:c r="C78" s="1" t="str">
        <x:v>Foreign exchange effect on cash</x:v>
      </x:c>
      <x:c r="D78" s="19" t="n">
        <x:f>'SourceFacts'!D27</x:f>
        <x:v>0.858</x:v>
      </x:c>
      <x:c r="E78" s="19" t="n">
        <x:f>'SourceFacts'!E27</x:f>
        <x:v>-49.522</x:v>
      </x:c>
      <x:c r="F78" s="19" t="n">
        <x:f>'SourceFacts'!F27</x:f>
        <x:v>66.019</x:v>
      </x:c>
      <x:c r="G78" s="2" t="n">
        <x:v>0</x:v>
      </x:c>
      <x:c r="H78" s="2" t="n">
        <x:v>0</x:v>
      </x:c>
      <x:c r="I78" s="2" t="n">
        <x:v>0</x:v>
      </x:c>
    </x:row>
    <x:row r="79" ht="21" customHeight="1">
      <x:c r="C79" s="34" t="str">
        <x:v>Net change in cash</x:v>
      </x:c>
      <x:c r="D79" s="36" t="n">
        <x:f>D65+D69+D76+D78</x:f>
        <x:v>-475.6900000000002</x:v>
      </x:c>
      <x:c r="E79" s="36" t="n">
        <x:f>E65+E69+E76+E78</x:f>
        <x:v>279.10700000000014</x:v>
      </x:c>
      <x:c r="F79" s="36" t="n">
        <x:f>F65+F69+F76+F78</x:f>
        <x:v>445.38200000000006</x:v>
      </x:c>
      <x:c r="G79" s="36" t="n">
        <x:f>G65+G69+G76+G78</x:f>
        <x:v>344.7561617328811</x:v>
      </x:c>
      <x:c r="H79" s="36" t="n">
        <x:f>H65+H69+H76+H78</x:f>
        <x:v>513.5893906343606</x:v>
      </x:c>
      <x:c r="I79" s="36" t="n">
        <x:f>I65+I69+I76+I78</x:f>
        <x:v>575.2108444042647</x:v>
      </x:c>
    </x:row>
    <x:row r="80" ht="21" customHeight="1">
      <x:c r="C80" s="1" t="str">
        <x:v>Opening cash</x:v>
      </x:c>
      <x:c r="D80" s="19" t="n">
        <x:f>'SourceFacts'!D28</x:f>
        <x:v>1428.93</x:v>
      </x:c>
      <x:c r="E80" s="19" t="n">
        <x:f>'SourceFacts'!E28</x:f>
        <x:v>953.24</x:v>
      </x:c>
      <x:c r="F80" s="19" t="n">
        <x:f>'SourceFacts'!F28</x:f>
        <x:v>1232.347</x:v>
      </x:c>
      <x:c r="G80" s="27" t="n">
        <x:f>F31</x:f>
        <x:v>1677.729</x:v>
      </x:c>
      <x:c r="H80" s="27" t="n">
        <x:f>G31</x:f>
        <x:v>2022.4851617328811</x:v>
      </x:c>
      <x:c r="I80" s="27" t="n">
        <x:f>H31</x:f>
        <x:v>2536.0745523672417</x:v>
      </x:c>
    </x:row>
    <x:row r="81" ht="21" customHeight="1">
      <x:c r="C81" s="34" t="str">
        <x:v>Closing cash and cash equivalents</x:v>
      </x:c>
      <x:c r="D81" s="37" t="n">
        <x:f>'SourceFacts'!D29</x:f>
        <x:v>953.24</x:v>
      </x:c>
      <x:c r="E81" s="37" t="n">
        <x:f>'SourceFacts'!E29</x:f>
        <x:v>1232.347</x:v>
      </x:c>
      <x:c r="F81" s="37" t="n">
        <x:f>'SourceFacts'!F29</x:f>
        <x:v>1677.729</x:v>
      </x:c>
      <x:c r="G81" s="36" t="n">
        <x:f>G80+G79</x:f>
        <x:v>2022.4851617328811</x:v>
      </x:c>
      <x:c r="H81" s="36" t="n">
        <x:f>H80+H79</x:f>
        <x:v>2536.0745523672417</x:v>
      </x:c>
      <x:c r="I81" s="36" t="n">
        <x:f>I80+I79</x:f>
        <x:v>3111.2853967715064</x:v>
      </x:c>
    </x:row>
    <x:row r="82" ht="21" customHeight="1">
      <x:c r="C82" s="34" t="str">
        <x:v>Cash to balance sheet difference</x:v>
      </x:c>
      <x:c r="D82" s="36" t="n">
        <x:f>D81-D31</x:f>
        <x:v>0</x:v>
      </x:c>
      <x:c r="E82" s="36" t="n">
        <x:f>E81-E31</x:f>
        <x:v>0</x:v>
      </x:c>
      <x:c r="F82" s="36" t="n">
        <x:f>F81-F31</x:f>
        <x:v>0</x:v>
      </x:c>
      <x:c r="G82" s="36" t="n">
        <x:f>G81-G31</x:f>
        <x:v>0</x:v>
      </x:c>
      <x:c r="H82" s="36" t="n">
        <x:f>H81-H31</x:f>
        <x:v>0</x:v>
      </x:c>
      <x:c r="I82" s="36" t="n">
        <x:f>I81-I31</x:f>
        <x:v>0</x:v>
      </x:c>
    </x:row>
    <x:row r="83" ht="21" customHeight="1">
      <x:c r="C83" s="1"/>
      <x:c r="D83" s="2"/>
      <x:c r="E83" s="2"/>
      <x:c r="F83" s="2"/>
      <x:c r="G83" s="2"/>
      <x:c r="H83" s="2"/>
      <x:c r="I83" s="2"/>
    </x:row>
    <x:row r="84" ht="21" customHeight="1">
      <x:c r="C84" s="1" t="str">
        <x:v>Gross margin</x:v>
      </x:c>
      <x:c r="D84" s="38" t="n">
        <x:f>D12/D10</x:f>
        <x:v>0.39468893619162665</x:v>
      </x:c>
      <x:c r="E84" s="38" t="n">
        <x:f>E12/E10</x:f>
        <x:v>0.4032082363536288</x:v>
      </x:c>
      <x:c r="F84" s="38" t="n">
        <x:f>F12/F10</x:f>
        <x:v>0.41232828029534063</x:v>
      </x:c>
      <x:c r="G84" s="38" t="n">
        <x:f>G12/G10</x:f>
        <x:v>0.41130748705506615</x:v>
      </x:c>
      <x:c r="H84" s="38" t="n">
        <x:f>H12/H10</x:f>
        <x:v>0.4161069426865924</x:v>
      </x:c>
      <x:c r="I84" s="38" t="n">
        <x:f>I12/I10</x:f>
        <x:v>0.41977136171901774</x:v>
      </x:c>
    </x:row>
    <x:row r="85" ht="21" customHeight="1">
      <x:c r="C85" s="1" t="str">
        <x:v>EBITDA proxy margin</x:v>
      </x:c>
      <x:c r="D85" s="38" t="n">
        <x:f>D21/D10</x:f>
        <x:v>0.12877067039942217</x:v>
      </x:c>
      <x:c r="E85" s="38" t="n">
        <x:f>E21/E10</x:f>
        <x:v>0.1401883348598404</x:v>
      </x:c>
      <x:c r="F85" s="38" t="n">
        <x:f>F21/F10</x:f>
        <x:v>0.14453188049726032</x:v>
      </x:c>
      <x:c r="G85" s="38" t="n">
        <x:f>G21/G10</x:f>
        <x:v>0.14453188049726026</x:v>
      </x:c>
      <x:c r="H85" s="38" t="n">
        <x:f>H21/H10</x:f>
        <x:v>0.1445318804972603</x:v>
      </x:c>
      <x:c r="I85" s="38" t="n">
        <x:f>I21/I10</x:f>
        <x:v>0.14453188049726026</x:v>
      </x:c>
    </x:row>
    <x:row r="86" ht="21" customHeight="1">
      <x:c r="C86" s="1" t="str">
        <x:v>Net debt / (cash)</x:v>
      </x:c>
      <x:c r="D86" s="27" t="n">
        <x:f>D44-D31</x:f>
        <x:v>1888.4819999999997</x:v>
      </x:c>
      <x:c r="E86" s="27" t="n">
        <x:f>E44-E31</x:f>
        <x:v>877.838</x:v>
      </x:c>
      <x:c r="F86" s="27" t="n">
        <x:f>F44-F31</x:f>
        <x:v>81.20400000000018</x:v>
      </x:c>
      <x:c r="G86" s="27" t="n">
        <x:f>G44-G31</x:f>
        <x:v>-504.48171173288097</x:v>
      </x:c>
      <x:c r="H86" s="27" t="n">
        <x:f>H44-H31</x:f>
        <x:v>-1210.8147423672415</x:v>
      </x:c>
      <x:c r="I86" s="27" t="n">
        <x:f>I44-I31</x:f>
        <x:v>-1940.220498771506</x:v>
      </x:c>
    </x:row>
    <x:row r="87" ht="21" customHeight="1">
      <x:c r="C87" s="1" t="str">
        <x:v>Free cash flow before financing</x:v>
      </x:c>
      <x:c r="D87" s="27" t="n">
        <x:f>D65+D67</x:f>
        <x:v>1229.714</x:v>
      </x:c>
      <x:c r="E87" s="27" t="n">
        <x:f>E65+E67</x:f>
        <x:v>1581.2380000000003</x:v>
      </x:c>
      <x:c r="F87" s="27" t="n">
        <x:f>F65+F67</x:f>
        <x:v>1389.316</x:v>
      </x:c>
      <x:c r="G87" s="27" t="n">
        <x:f>G65+G67</x:f>
        <x:v>1345.5479409886316</x:v>
      </x:c>
      <x:c r="H87" s="27" t="n">
        <x:f>H65+H67</x:f>
        <x:v>1571.8324524379964</x:v>
      </x:c>
      <x:c r="I87" s="27" t="n">
        <x:f>I65+I67</x:f>
        <x:v>1702.0830760310062</x:v>
      </x:c>
    </x:row>
    <x:row r="88" ht="21" customHeight="1">
      <x:c r="C88" s="1"/>
      <x:c r="D88" s="2"/>
      <x:c r="E88" s="2"/>
      <x:c r="F88" s="2"/>
      <x:c r="G88" s="2"/>
      <x:c r="H88" s="2"/>
      <x:c r="I88" s="2"/>
    </x:row>
    <x:row r="89" ht="21" customHeight="1">
      <x:c r="C89" s="1"/>
      <x:c r="D89" s="2"/>
      <x:c r="E89" s="2"/>
      <x:c r="F89" s="2"/>
      <x:c r="G89" s="2"/>
      <x:c r="H89" s="2"/>
      <x:c r="I89" s="2"/>
    </x:row>
    <x:row r="90" ht="21" customHeight="1">
      <x:c r="C90" s="1" t="str">
        <x:v>Historical CFS totals are reported; detailed forecast bridges start in 2026E.</x:v>
      </x:c>
      <x:c r="D90" s="2"/>
      <x:c r="E90" s="2"/>
      <x:c r="F90" s="2"/>
      <x:c r="G90" s="2"/>
      <x:c r="H90" s="2"/>
      <x:c r="I90" s="2"/>
    </x:row>
    <x:row r="91" ht="21" customHeight="1">
      <x:c r="C91" s="1"/>
      <x:c r="D91" s="2"/>
      <x:c r="E91" s="2"/>
      <x:c r="F91" s="2"/>
      <x:c r="G91" s="2"/>
      <x:c r="H91" s="2"/>
      <x:c r="I91" s="2"/>
    </x:row>
    <x:row r="92" ht="21" customHeight="1">
      <x:c r="C92" s="39" t="str">
        <x:v>EBITDA proxy = PBT + net finance expense + D&amp;A. Includes other pretax items; not issuer-reported adjusted EBITDA. Financial investment FV gains are removed in forecasts.</x:v>
      </x:c>
      <x:c r="D92" s="20"/>
      <x:c r="E92" s="20"/>
      <x:c r="F92" s="20"/>
      <x:c r="G92" s="20"/>
      <x:c r="H92" s="20"/>
      <x:c r="I92" s="20"/>
    </x:row>
    <x:row r="93" ht="21" customHeight="1">
      <x:c r="C93" s="39"/>
      <x:c r="D93" s="20"/>
      <x:c r="E93" s="20"/>
      <x:c r="F93" s="20"/>
      <x:c r="G93" s="20"/>
      <x:c r="H93" s="20"/>
      <x:c r="I93" s="20"/>
    </x:row>
    <x:row r="94" ht="21" customHeight="1">
      <x:c r="C94" s="1"/>
      <x:c r="D94" s="2"/>
      <x:c r="E94" s="2"/>
      <x:c r="F94" s="2"/>
      <x:c r="G94" s="2"/>
      <x:c r="H94" s="2"/>
      <x:c r="I94" s="2"/>
    </x:row>
    <x:row r="95" ht="21" customHeight="1">
      <x:c r="C95" s="1"/>
      <x:c r="D95" s="2"/>
      <x:c r="E95" s="2"/>
      <x:c r="F95" s="2"/>
      <x:c r="G95" s="2"/>
      <x:c r="H95" s="2"/>
      <x:c r="I95" s="2"/>
    </x:row>
    <x:row r="96" ht="21" customHeight="1">
      <x:c r="C96" s="1"/>
      <x:c r="D96" s="2"/>
      <x:c r="E96" s="2"/>
      <x:c r="F96" s="2"/>
      <x:c r="G96" s="2"/>
      <x:c r="H96" s="2"/>
      <x:c r="I96" s="2"/>
    </x:row>
    <x:row r="97" ht="21" customHeight="1">
      <x:c r="C97" s="1"/>
      <x:c r="D97" s="2"/>
      <x:c r="E97" s="2"/>
      <x:c r="F97" s="2"/>
      <x:c r="G97" s="2"/>
      <x:c r="H97" s="2"/>
      <x:c r="I97" s="2"/>
    </x:row>
    <x:row r="98" ht="21" customHeight="1">
      <x:c r="C98" s="1"/>
      <x:c r="D98" s="2"/>
      <x:c r="E98" s="2"/>
      <x:c r="F98" s="2"/>
      <x:c r="G98" s="2"/>
      <x:c r="H98" s="2"/>
      <x:c r="I98" s="2"/>
    </x:row>
    <x:row r="99" ht="21" customHeight="1">
      <x:c r="C99" s="1"/>
      <x:c r="D99" s="2"/>
      <x:c r="E99" s="2"/>
      <x:c r="F99" s="2"/>
      <x:c r="G99" s="2"/>
      <x:c r="H99" s="2"/>
      <x:c r="I99" s="2"/>
    </x:row>
    <x:row r="100" ht="21" customHeight="1">
      <x:c r="C100" s="1"/>
      <x:c r="D100" s="2"/>
      <x:c r="E100" s="2"/>
      <x:c r="F100" s="2"/>
      <x:c r="G100" s="2"/>
      <x:c r="H100" s="2"/>
      <x:c r="I100" s="2"/>
    </x:row>
    <x:row r="101" ht="21" customHeight="1">
      <x:c r="C101" s="1"/>
      <x:c r="D101" s="2"/>
      <x:c r="E101" s="2"/>
      <x:c r="F101" s="2"/>
      <x:c r="G101" s="2"/>
      <x:c r="H101" s="2"/>
      <x:c r="I101" s="2"/>
    </x:row>
    <x:row r="102" ht="21" customHeight="1">
      <x:c r="C102" s="1"/>
      <x:c r="D102" s="2"/>
      <x:c r="E102" s="2"/>
      <x:c r="F102" s="2"/>
      <x:c r="G102" s="2"/>
      <x:c r="H102" s="2"/>
      <x:c r="I102" s="2"/>
    </x:row>
    <x:row r="103" ht="21" customHeight="1">
      <x:c r="C103" s="1"/>
      <x:c r="D103" s="2"/>
      <x:c r="E103" s="2"/>
      <x:c r="F103" s="2"/>
      <x:c r="G103" s="2"/>
      <x:c r="H103" s="2"/>
      <x:c r="I103" s="2"/>
    </x:row>
    <x:row r="104" ht="21" customHeight="1">
      <x:c r="C104" s="1"/>
      <x:c r="D104" s="2"/>
      <x:c r="E104" s="2"/>
      <x:c r="F104" s="2"/>
      <x:c r="G104" s="2"/>
      <x:c r="H104" s="2"/>
      <x:c r="I104" s="2"/>
    </x:row>
    <x:row r="105" ht="21" customHeight="1">
      <x:c r="C105" s="1"/>
      <x:c r="D105" s="2"/>
      <x:c r="E105" s="2"/>
      <x:c r="F105" s="2"/>
      <x:c r="G105" s="2"/>
      <x:c r="H105" s="2"/>
      <x:c r="I105" s="2"/>
    </x:row>
    <x:row r="106" ht="21" customHeight="1">
      <x:c r="C106" s="1"/>
      <x:c r="D106" s="2"/>
      <x:c r="E106" s="2"/>
      <x:c r="F106" s="2"/>
      <x:c r="G106" s="2"/>
      <x:c r="H106" s="2"/>
      <x:c r="I106" s="2"/>
    </x:row>
    <x:row r="107" ht="21" customHeight="1">
      <x:c r="C107" s="1"/>
      <x:c r="D107" s="2"/>
      <x:c r="E107" s="2"/>
      <x:c r="F107" s="2"/>
      <x:c r="G107" s="2"/>
      <x:c r="H107" s="2"/>
      <x:c r="I107" s="2"/>
    </x:row>
    <x:row r="108" ht="21" customHeight="1">
      <x:c r="C108" s="1"/>
      <x:c r="D108" s="2"/>
      <x:c r="E108" s="2"/>
      <x:c r="F108" s="2"/>
      <x:c r="G108" s="2"/>
      <x:c r="H108" s="2"/>
      <x:c r="I108" s="2"/>
    </x:row>
    <x:row r="109" ht="21" customHeight="1">
      <x:c r="C109" s="1"/>
      <x:c r="D109" s="2"/>
      <x:c r="E109" s="2"/>
      <x:c r="F109" s="2"/>
      <x:c r="G109" s="2"/>
      <x:c r="H109" s="2"/>
      <x:c r="I109" s="2"/>
    </x:row>
    <x:row r="110" ht="21" customHeight="1">
      <x:c r="C110" s="1"/>
      <x:c r="D110" s="2"/>
      <x:c r="E110" s="2"/>
      <x:c r="F110" s="2"/>
      <x:c r="G110" s="2"/>
      <x:c r="H110" s="2"/>
      <x:c r="I110" s="2"/>
    </x:row>
    <x:row r="111" ht="21" customHeight="1">
      <x:c r="C111" s="1"/>
      <x:c r="D111" s="2"/>
      <x:c r="E111" s="2"/>
      <x:c r="F111" s="2"/>
      <x:c r="G111" s="2"/>
      <x:c r="H111" s="2"/>
      <x:c r="I111" s="2"/>
    </x:row>
    <x:row r="112" ht="21" customHeight="1">
      <x:c r="C112" s="1"/>
      <x:c r="D112" s="2"/>
      <x:c r="E112" s="2"/>
      <x:c r="F112" s="2"/>
      <x:c r="G112" s="2"/>
      <x:c r="H112" s="2"/>
      <x:c r="I112" s="2"/>
    </x:row>
    <x:row r="113" ht="21" customHeight="1">
      <x:c r="C113" s="1"/>
      <x:c r="D113" s="2"/>
      <x:c r="E113" s="2"/>
      <x:c r="F113" s="2"/>
      <x:c r="G113" s="2"/>
      <x:c r="H113" s="2"/>
      <x:c r="I113" s="2"/>
    </x:row>
    <x:row r="114" ht="21" customHeight="1">
      <x:c r="C114" s="1"/>
      <x:c r="D114" s="2"/>
      <x:c r="E114" s="2"/>
      <x:c r="F114" s="2"/>
      <x:c r="G114" s="2"/>
      <x:c r="H114" s="2"/>
      <x:c r="I114" s="2"/>
    </x:row>
    <x:row r="115" ht="21" customHeight="1">
      <x:c r="C115" s="1"/>
      <x:c r="D115" s="2"/>
      <x:c r="E115" s="2"/>
      <x:c r="F115" s="2"/>
      <x:c r="G115" s="2"/>
      <x:c r="H115" s="2"/>
      <x:c r="I115" s="2"/>
    </x:row>
    <x:row r="116" ht="21" customHeight="1">
      <x:c r="C116" s="1"/>
      <x:c r="D116" s="2"/>
      <x:c r="E116" s="2"/>
      <x:c r="F116" s="2"/>
      <x:c r="G116" s="2"/>
      <x:c r="H116" s="2"/>
      <x:c r="I116" s="2"/>
    </x:row>
    <x:row r="117" ht="21" customHeight="1">
      <x:c r="C117" s="1"/>
      <x:c r="D117" s="2"/>
      <x:c r="E117" s="2"/>
      <x:c r="F117" s="2"/>
      <x:c r="G117" s="2"/>
      <x:c r="H117" s="2"/>
      <x:c r="I117" s="2"/>
    </x:row>
    <x:row r="118" ht="21" customHeight="1">
      <x:c r="C118" s="1"/>
      <x:c r="D118" s="2"/>
      <x:c r="E118" s="2"/>
      <x:c r="F118" s="2"/>
      <x:c r="G118" s="2"/>
      <x:c r="H118" s="2"/>
      <x:c r="I118" s="2"/>
    </x:row>
    <x:row r="119" ht="21" customHeight="1">
      <x:c r="C119" s="1"/>
      <x:c r="D119" s="2"/>
      <x:c r="E119" s="2"/>
      <x:c r="F119" s="2"/>
      <x:c r="G119" s="2"/>
      <x:c r="H119" s="2"/>
      <x:c r="I119" s="2"/>
    </x:row>
    <x:row r="120" ht="21" customHeight="1">
      <x:c r="C120" s="1"/>
      <x:c r="D120" s="2"/>
      <x:c r="E120" s="2"/>
      <x:c r="F120" s="2"/>
      <x:c r="G120" s="2"/>
      <x:c r="H120" s="2"/>
      <x:c r="I120" s="2"/>
    </x:row>
    <x:row r="121" ht="21" customHeight="1">
      <x:c r="C121" s="1"/>
      <x:c r="D121" s="2"/>
      <x:c r="E121" s="2"/>
      <x:c r="F121" s="2"/>
      <x:c r="G121" s="2"/>
      <x:c r="H121" s="2"/>
      <x:c r="I121" s="2"/>
    </x:row>
    <x:row r="122" ht="21" customHeight="1">
      <x:c r="C122" s="1"/>
      <x:c r="D122" s="2"/>
      <x:c r="E122" s="2"/>
      <x:c r="F122" s="2"/>
      <x:c r="G122" s="2"/>
      <x:c r="H122" s="2"/>
      <x:c r="I122" s="2"/>
    </x:row>
    <x:row r="123" ht="21" customHeight="1">
      <x:c r="C123" s="1"/>
      <x:c r="D123" s="2"/>
      <x:c r="E123" s="2"/>
      <x:c r="F123" s="2"/>
      <x:c r="G123" s="2"/>
      <x:c r="H123" s="2"/>
      <x:c r="I123" s="2"/>
    </x:row>
    <x:row r="124" ht="21" customHeight="1">
      <x:c r="C124" s="1"/>
      <x:c r="D124" s="2"/>
      <x:c r="E124" s="2"/>
      <x:c r="F124" s="2"/>
      <x:c r="G124" s="2"/>
      <x:c r="H124" s="2"/>
      <x:c r="I124" s="2"/>
    </x:row>
    <x:row r="125" ht="21" customHeight="1">
      <x:c r="C125" s="1"/>
      <x:c r="D125" s="2"/>
      <x:c r="E125" s="2"/>
      <x:c r="F125" s="2"/>
      <x:c r="G125" s="2"/>
      <x:c r="H125" s="2"/>
      <x:c r="I125" s="2"/>
    </x:row>
    <x:row r="126" ht="21" customHeight="1">
      <x:c r="C126" s="1"/>
      <x:c r="D126" s="2"/>
      <x:c r="E126" s="2"/>
      <x:c r="F126" s="2"/>
      <x:c r="G126" s="2"/>
      <x:c r="H126" s="2"/>
      <x:c r="I126" s="2"/>
    </x:row>
    <x:row r="127" ht="21" customHeight="1">
      <x:c r="C127" s="1"/>
      <x:c r="D127" s="2"/>
      <x:c r="E127" s="2"/>
      <x:c r="F127" s="2"/>
      <x:c r="G127" s="2"/>
      <x:c r="H127" s="2"/>
      <x:c r="I127" s="2"/>
    </x:row>
    <x:row r="128" ht="21" customHeight="1">
      <x:c r="C128" s="1"/>
      <x:c r="D128" s="2"/>
      <x:c r="E128" s="2"/>
      <x:c r="F128" s="2"/>
      <x:c r="G128" s="2"/>
      <x:c r="H128" s="2"/>
      <x:c r="I128" s="2"/>
    </x:row>
    <x:row r="129" ht="21" customHeight="1">
      <x:c r="C129" s="1"/>
      <x:c r="D129" s="2"/>
      <x:c r="E129" s="2"/>
      <x:c r="F129" s="2"/>
      <x:c r="G129" s="2"/>
      <x:c r="H129" s="2"/>
      <x:c r="I129" s="2"/>
    </x:row>
    <x:row r="130" ht="21" customHeight="1">
      <x:c r="C130" s="1"/>
      <x:c r="D130" s="2"/>
      <x:c r="E130" s="2"/>
      <x:c r="F130" s="2"/>
      <x:c r="G130" s="2"/>
      <x:c r="H130" s="2"/>
      <x:c r="I130" s="2"/>
    </x:row>
    <x:row r="131" ht="21" customHeight="1">
      <x:c r="C131" s="1"/>
      <x:c r="D131" s="2"/>
      <x:c r="E131" s="2"/>
      <x:c r="F131" s="2"/>
      <x:c r="G131" s="2"/>
      <x:c r="H131" s="2"/>
      <x:c r="I131" s="2"/>
    </x:row>
    <x:row r="132" ht="21" customHeight="1">
      <x:c r="C132" s="1"/>
      <x:c r="D132" s="2"/>
      <x:c r="E132" s="2"/>
      <x:c r="F132" s="2"/>
      <x:c r="G132" s="2"/>
      <x:c r="H132" s="2"/>
      <x:c r="I132" s="2"/>
    </x:row>
    <x:row r="133" ht="21" customHeight="1">
      <x:c r="C133" s="1"/>
      <x:c r="D133" s="2"/>
      <x:c r="E133" s="2"/>
      <x:c r="F133" s="2"/>
      <x:c r="G133" s="2"/>
      <x:c r="H133" s="2"/>
      <x:c r="I133" s="2"/>
    </x:row>
    <x:row r="134" ht="21" customHeight="1">
      <x:c r="C134" s="1"/>
      <x:c r="D134" s="2"/>
      <x:c r="E134" s="2"/>
      <x:c r="F134" s="2"/>
      <x:c r="G134" s="2"/>
      <x:c r="H134" s="2"/>
      <x:c r="I134" s="2"/>
    </x:row>
    <x:row r="135" ht="21" customHeight="1">
      <x:c r="C135" s="1"/>
      <x:c r="D135" s="2"/>
      <x:c r="E135" s="2"/>
      <x:c r="F135" s="2"/>
      <x:c r="G135" s="2"/>
      <x:c r="H135" s="2"/>
      <x:c r="I135" s="2"/>
    </x:row>
    <x:row r="136" ht="21" customHeight="1">
      <x:c r="C136" s="1"/>
      <x:c r="D136" s="2"/>
      <x:c r="E136" s="2"/>
      <x:c r="F136" s="2"/>
      <x:c r="G136" s="2"/>
      <x:c r="H136" s="2"/>
      <x:c r="I136" s="2"/>
    </x:row>
    <x:row r="137" ht="21" customHeight="1">
      <x:c r="C137" s="1"/>
      <x:c r="D137" s="2"/>
      <x:c r="E137" s="2"/>
      <x:c r="F137" s="2"/>
      <x:c r="G137" s="2"/>
      <x:c r="H137" s="2"/>
      <x:c r="I137" s="2"/>
    </x:row>
    <x:row r="138" ht="21" customHeight="1">
      <x:c r="C138" s="1"/>
      <x:c r="D138" s="2"/>
      <x:c r="E138" s="2"/>
      <x:c r="F138" s="2"/>
      <x:c r="G138" s="2"/>
      <x:c r="H138" s="2"/>
      <x:c r="I138" s="2"/>
    </x:row>
    <x:row r="139" ht="21" customHeight="1">
      <x:c r="C139" s="1"/>
      <x:c r="D139" s="2"/>
      <x:c r="E139" s="2"/>
      <x:c r="F139" s="2"/>
      <x:c r="G139" s="2"/>
      <x:c r="H139" s="2"/>
      <x:c r="I139" s="2"/>
    </x:row>
    <x:row r="140" ht="21" customHeight="1">
      <x:c r="C140" s="1"/>
      <x:c r="D140" s="2"/>
      <x:c r="E140" s="2"/>
      <x:c r="F140" s="2"/>
      <x:c r="G140" s="2"/>
      <x:c r="H140" s="2"/>
      <x:c r="I140" s="2"/>
    </x:row>
    <x:row r="141" ht="21" customHeight="1">
      <x:c r="C141" s="1"/>
      <x:c r="D141" s="2"/>
      <x:c r="E141" s="2"/>
      <x:c r="F141" s="2"/>
      <x:c r="G141" s="2"/>
      <x:c r="H141" s="2"/>
      <x:c r="I141" s="2"/>
    </x:row>
    <x:row r="142" ht="21" customHeight="1">
      <x:c r="C142" s="1"/>
      <x:c r="D142" s="2"/>
      <x:c r="E142" s="2"/>
      <x:c r="F142" s="2"/>
      <x:c r="G142" s="2"/>
      <x:c r="H142" s="2"/>
      <x:c r="I142" s="2"/>
    </x:row>
    <x:row r="143" ht="21" customHeight="1">
      <x:c r="C143" s="1"/>
      <x:c r="D143" s="2"/>
      <x:c r="E143" s="2"/>
      <x:c r="F143" s="2"/>
      <x:c r="G143" s="2"/>
      <x:c r="H143" s="2"/>
      <x:c r="I143" s="2"/>
    </x:row>
    <x:row r="144" ht="21" customHeight="1">
      <x:c r="C144" s="1"/>
      <x:c r="D144" s="2"/>
      <x:c r="E144" s="2"/>
      <x:c r="F144" s="2"/>
      <x:c r="G144" s="2"/>
      <x:c r="H144" s="2"/>
      <x:c r="I144" s="2"/>
    </x:row>
    <x:row r="145" ht="21" customHeight="1">
      <x:c r="C145" s="1"/>
      <x:c r="D145" s="2"/>
      <x:c r="E145" s="2"/>
      <x:c r="F145" s="2"/>
      <x:c r="G145" s="2"/>
      <x:c r="H145" s="2"/>
      <x:c r="I145" s="2"/>
    </x:row>
    <x:row r="146" ht="21" customHeight="1">
      <x:c r="C146" s="1"/>
      <x:c r="D146" s="2"/>
      <x:c r="E146" s="2"/>
      <x:c r="F146" s="2"/>
      <x:c r="G146" s="2"/>
      <x:c r="H146" s="2"/>
      <x:c r="I146" s="2"/>
    </x:row>
    <x:row r="147" ht="21" customHeight="1">
      <x:c r="C147" s="1"/>
      <x:c r="D147" s="2"/>
      <x:c r="E147" s="2"/>
      <x:c r="F147" s="2"/>
      <x:c r="G147" s="2"/>
      <x:c r="H147" s="2"/>
      <x:c r="I147" s="2"/>
    </x:row>
    <x:row r="148" ht="21" customHeight="1">
      <x:c r="C148" s="1"/>
      <x:c r="D148" s="2"/>
      <x:c r="E148" s="2"/>
      <x:c r="F148" s="2"/>
      <x:c r="G148" s="2"/>
      <x:c r="H148" s="2"/>
      <x:c r="I148" s="2"/>
    </x:row>
    <x:row r="149" ht="21" customHeight="1">
      <x:c r="C149" s="1"/>
      <x:c r="D149" s="2"/>
      <x:c r="E149" s="2"/>
      <x:c r="F149" s="2"/>
      <x:c r="G149" s="2"/>
      <x:c r="H149" s="2"/>
      <x:c r="I149" s="2"/>
    </x:row>
    <x:row r="150" ht="21" customHeight="1">
      <x:c r="C150" s="1"/>
      <x:c r="D150" s="2"/>
      <x:c r="E150" s="2"/>
      <x:c r="F150" s="2"/>
      <x:c r="G150" s="2"/>
      <x:c r="H150" s="2"/>
      <x:c r="I150" s="2"/>
    </x:row>
    <x:row r="151" ht="21" customHeight="1">
      <x:c r="C151" s="1"/>
      <x:c r="D151" s="2"/>
      <x:c r="E151" s="2"/>
      <x:c r="F151" s="2"/>
      <x:c r="G151" s="2"/>
      <x:c r="H151" s="2"/>
      <x:c r="I151" s="2"/>
    </x:row>
    <x:row r="152" ht="21" customHeight="1">
      <x:c r="C152" s="1"/>
      <x:c r="D152" s="2"/>
      <x:c r="E152" s="2"/>
      <x:c r="F152" s="2"/>
      <x:c r="G152" s="2"/>
      <x:c r="H152" s="2"/>
      <x:c r="I152" s="2"/>
    </x:row>
    <x:row r="153" ht="21" customHeight="1">
      <x:c r="C153" s="1"/>
      <x:c r="D153" s="2"/>
      <x:c r="E153" s="2"/>
      <x:c r="F153" s="2"/>
      <x:c r="G153" s="2"/>
      <x:c r="H153" s="2"/>
      <x:c r="I153" s="2"/>
    </x:row>
    <x:row r="154" ht="21" customHeight="1">
      <x:c r="C154" s="1"/>
      <x:c r="D154" s="2"/>
      <x:c r="E154" s="2"/>
      <x:c r="F154" s="2"/>
      <x:c r="G154" s="2"/>
      <x:c r="H154" s="2"/>
      <x:c r="I154" s="2"/>
    </x:row>
    <x:row r="155" ht="21" customHeight="1">
      <x:c r="C155" s="1"/>
      <x:c r="D155" s="2"/>
      <x:c r="E155" s="2"/>
      <x:c r="F155" s="2"/>
      <x:c r="G155" s="2"/>
      <x:c r="H155" s="2"/>
      <x:c r="I155" s="2"/>
    </x:row>
    <x:row r="156" ht="21" customHeight="1">
      <x:c r="C156" s="1"/>
      <x:c r="D156" s="2"/>
      <x:c r="E156" s="2"/>
      <x:c r="F156" s="2"/>
      <x:c r="G156" s="2"/>
      <x:c r="H156" s="2"/>
      <x:c r="I156" s="2"/>
    </x:row>
    <x:row r="157" ht="21" customHeight="1">
      <x:c r="C157" s="1"/>
      <x:c r="D157" s="2"/>
      <x:c r="E157" s="2"/>
      <x:c r="F157" s="2"/>
      <x:c r="G157" s="2"/>
      <x:c r="H157" s="2"/>
      <x:c r="I157" s="2"/>
    </x:row>
    <x:row r="158" ht="21" customHeight="1">
      <x:c r="C158" s="1"/>
      <x:c r="D158" s="2"/>
      <x:c r="E158" s="2"/>
      <x:c r="F158" s="2"/>
      <x:c r="G158" s="2"/>
      <x:c r="H158" s="2"/>
      <x:c r="I158" s="2"/>
    </x:row>
    <x:row r="159" ht="21" customHeight="1">
      <x:c r="C159" s="1"/>
      <x:c r="D159" s="2"/>
      <x:c r="E159" s="2"/>
      <x:c r="F159" s="2"/>
      <x:c r="G159" s="2"/>
      <x:c r="H159" s="2"/>
      <x:c r="I159" s="2"/>
    </x:row>
    <x:row r="160" ht="21" customHeight="1">
      <x:c r="C160" s="1"/>
      <x:c r="D160" s="2"/>
      <x:c r="E160" s="2"/>
      <x:c r="F160" s="2"/>
      <x:c r="G160" s="2"/>
      <x:c r="H160" s="2"/>
      <x:c r="I160" s="2"/>
    </x:row>
  </x:sheetData>
  <x:mergeCells>
    <x:mergeCell ref="C92:I9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53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21" customHeight="1">
      <x:c r="C1" s="1"/>
      <x:c r="D1" s="1"/>
      <x:c r="E1" s="1"/>
      <x:c r="F1" s="1"/>
      <x:c r="G1" s="1"/>
      <x:c r="H1" s="1"/>
      <x:c r="I1" s="1"/>
    </x:row>
    <x:row r="2" ht="21" customHeight="1">
      <x:c r="C2" s="4" t="str">
        <x:v>创科实业 TTI</x:v>
      </x:c>
      <x:c r="D2" s="4"/>
      <x:c r="E2" s="4"/>
      <x:c r="F2" s="4"/>
      <x:c r="G2" s="4"/>
      <x:c r="H2" s="4"/>
      <x:c r="I2" s="4"/>
    </x:row>
    <x:row r="3" ht="21" customHeight="1">
      <x:c r="C3" s="5" t="str">
        <x:v>WorkingCapital · USD million · December year-end</x:v>
      </x:c>
      <x:c r="D3" s="5"/>
      <x:c r="E3" s="5"/>
      <x:c r="F3" s="5"/>
      <x:c r="G3" s="5"/>
      <x:c r="H3" s="5"/>
      <x:c r="I3" s="5"/>
    </x:row>
    <x:row r="4" ht="21" customHeight="1">
      <x:c r="C4" s="1"/>
      <x:c r="D4" s="1"/>
      <x:c r="E4" s="1"/>
      <x:c r="F4" s="1"/>
      <x:c r="G4" s="1"/>
      <x:c r="H4" s="1"/>
      <x:c r="I4" s="1"/>
    </x:row>
    <x:row r="5" ht="21" customHeight="1">
      <x:c r="C5" s="1"/>
      <x:c r="D5" s="1"/>
      <x:c r="E5" s="1"/>
      <x:c r="F5" s="1"/>
      <x:c r="G5" s="1"/>
      <x:c r="H5" s="1"/>
      <x:c r="I5" s="1"/>
    </x:row>
    <x:row r="6" ht="21" customHeight="1">
      <x:c r="C6" s="1"/>
      <x:c r="D6" s="1"/>
      <x:c r="E6" s="1"/>
      <x:c r="F6" s="1"/>
      <x:c r="G6" s="1"/>
      <x:c r="H6" s="1"/>
      <x:c r="I6" s="1"/>
    </x:row>
    <x:row r="7" ht="21" customHeight="1">
      <x:c r="C7" s="12"/>
      <x:c r="D7" s="13" t="n">
        <x:f>'Assumptions'!D7</x:f>
        <x:v>45291</x:v>
      </x:c>
      <x:c r="E7" s="13" t="n">
        <x:f>'Assumptions'!E7</x:f>
        <x:v>45657</x:v>
      </x:c>
      <x:c r="F7" s="13" t="n">
        <x:f>'Assumptions'!F7</x:f>
        <x:v>46022</x:v>
      </x:c>
      <x:c r="G7" s="14" t="n">
        <x:f>'Assumptions'!G7</x:f>
        <x:v>46387</x:v>
      </x:c>
      <x:c r="H7" s="14" t="n">
        <x:f>'Assumptions'!H7</x:f>
        <x:v>46752</x:v>
      </x:c>
      <x:c r="I7" s="14" t="n">
        <x:f>'Assumptions'!I7</x:f>
        <x:v>47118</x:v>
      </x:c>
    </x:row>
    <x:row r="8" ht="21" customHeight="1">
      <x:c r="C8" s="1"/>
      <x:c r="D8" s="2"/>
      <x:c r="E8" s="2"/>
      <x:c r="F8" s="2"/>
      <x:c r="G8" s="2"/>
      <x:c r="H8" s="2"/>
      <x:c r="I8" s="2"/>
    </x:row>
    <x:row r="9" ht="21" customHeight="1">
      <x:c r="C9" s="12" t="str">
        <x:v>Receivables / contract assets</x:v>
      </x:c>
      <x:c r="D9" s="25"/>
      <x:c r="E9" s="25"/>
      <x:c r="F9" s="25"/>
      <x:c r="G9" s="25"/>
      <x:c r="H9" s="25"/>
      <x:c r="I9" s="25"/>
    </x:row>
    <x:row r="10" ht="21" customHeight="1">
      <x:c r="C10" s="1" t="str">
        <x:v>Opening</x:v>
      </x:c>
      <x:c r="D10" s="2"/>
      <x:c r="E10" s="2"/>
      <x:c r="F10" s="2"/>
      <x:c r="G10" s="19" t="n">
        <x:f>'SourceFacts'!F33</x:f>
        <x:v>2027.4109999999998</x:v>
      </x:c>
      <x:c r="H10" s="27" t="n">
        <x:f>G11</x:f>
        <x:v>2155.970633498657</x:v>
      </x:c>
      <x:c r="I10" s="27" t="n">
        <x:f>H11</x:f>
        <x:v>2306.75790483335</x:v>
      </x:c>
    </x:row>
    <x:row r="11" ht="21" customHeight="1">
      <x:c r="C11" s="1" t="str">
        <x:v>Closing</x:v>
      </x:c>
      <x:c r="D11" s="2"/>
      <x:c r="E11" s="2"/>
      <x:c r="F11" s="2"/>
      <x:c r="G11" s="19" t="n">
        <x:f>'Statements'!G10*'Assumptions'!G22/365</x:f>
        <x:v>2155.970633498657</x:v>
      </x:c>
      <x:c r="H11" s="19" t="n">
        <x:f>'Statements'!H10*'Assumptions'!H22/365</x:f>
        <x:v>2306.75790483335</x:v>
      </x:c>
      <x:c r="I11" s="19" t="n">
        <x:f>'Statements'!I10*'Assumptions'!I22/365</x:f>
        <x:v>2470.3371631614937</x:v>
      </x:c>
    </x:row>
    <x:row r="12" ht="21" customHeight="1">
      <x:c r="C12" s="1" t="str">
        <x:v>Change in balance</x:v>
      </x:c>
      <x:c r="D12" s="2"/>
      <x:c r="E12" s="2"/>
      <x:c r="F12" s="2"/>
      <x:c r="G12" s="27" t="n">
        <x:f>G11-G10</x:f>
        <x:v>128.55963349865738</x:v>
      </x:c>
      <x:c r="H12" s="27" t="n">
        <x:f>H11-H10</x:f>
        <x:v>150.78727133469283</x:v>
      </x:c>
      <x:c r="I12" s="27" t="n">
        <x:f>I11-I10</x:f>
        <x:v>163.57925832814362</x:v>
      </x:c>
    </x:row>
    <x:row r="13" ht="21" customHeight="1">
      <x:c r="C13" s="1"/>
      <x:c r="D13" s="2"/>
      <x:c r="E13" s="2"/>
      <x:c r="F13" s="2"/>
      <x:c r="G13" s="2"/>
      <x:c r="H13" s="2"/>
      <x:c r="I13" s="2"/>
    </x:row>
    <x:row r="14" ht="21" customHeight="1">
      <x:c r="C14" s="1"/>
      <x:c r="D14" s="2"/>
      <x:c r="E14" s="2"/>
      <x:c r="F14" s="2"/>
      <x:c r="G14" s="2"/>
      <x:c r="H14" s="2"/>
      <x:c r="I14" s="2"/>
    </x:row>
    <x:row r="15" ht="21" customHeight="1">
      <x:c r="C15" s="12" t="str">
        <x:v>Inventory</x:v>
      </x:c>
      <x:c r="D15" s="25"/>
      <x:c r="E15" s="25"/>
      <x:c r="F15" s="25"/>
      <x:c r="G15" s="25"/>
      <x:c r="H15" s="25"/>
      <x:c r="I15" s="25"/>
    </x:row>
    <x:row r="16" ht="21" customHeight="1">
      <x:c r="C16" s="1" t="str">
        <x:v>Opening</x:v>
      </x:c>
      <x:c r="D16" s="2"/>
      <x:c r="E16" s="2"/>
      <x:c r="F16" s="2"/>
      <x:c r="G16" s="19" t="n">
        <x:f>'SourceFacts'!F34</x:f>
        <x:v>4451.941</x:v>
      </x:c>
      <x:c r="H16" s="27" t="n">
        <x:f>G17</x:f>
        <x:v>4742.465315252167</x:v>
      </x:c>
      <x:c r="I16" s="27" t="n">
        <x:f>H17</x:f>
        <x:v>5032.782229770891</x:v>
      </x:c>
    </x:row>
    <x:row r="17" ht="21" customHeight="1">
      <x:c r="C17" s="1" t="str">
        <x:v>Closing</x:v>
      </x:c>
      <x:c r="D17" s="2"/>
      <x:c r="E17" s="2"/>
      <x:c r="F17" s="2"/>
      <x:c r="G17" s="19" t="n">
        <x:f>'Statements'!G11*'Assumptions'!G23/365</x:f>
        <x:v>4742.465315252167</x:v>
      </x:c>
      <x:c r="H17" s="19" t="n">
        <x:f>'Statements'!H11*'Assumptions'!H23/365</x:f>
        <x:v>5032.782229770891</x:v>
      </x:c>
      <x:c r="I17" s="19" t="n">
        <x:f>'Statements'!I11*'Assumptions'!I23/365</x:f>
        <x:v>5355.8474936082175</x:v>
      </x:c>
    </x:row>
    <x:row r="18" ht="21" customHeight="1">
      <x:c r="C18" s="1" t="str">
        <x:v>Change in balance</x:v>
      </x:c>
      <x:c r="D18" s="2"/>
      <x:c r="E18" s="2"/>
      <x:c r="F18" s="2"/>
      <x:c r="G18" s="27" t="n">
        <x:f>G17-G16</x:f>
        <x:v>290.52431525216707</x:v>
      </x:c>
      <x:c r="H18" s="27" t="n">
        <x:f>H17-H16</x:f>
        <x:v>290.31691451872393</x:v>
      </x:c>
      <x:c r="I18" s="27" t="n">
        <x:f>I17-I16</x:f>
        <x:v>323.0652638373267</x:v>
      </x:c>
    </x:row>
    <x:row r="19" ht="21" customHeight="1">
      <x:c r="C19" s="1"/>
      <x:c r="D19" s="2"/>
      <x:c r="E19" s="2"/>
      <x:c r="F19" s="2"/>
      <x:c r="G19" s="2"/>
      <x:c r="H19" s="2"/>
      <x:c r="I19" s="2"/>
    </x:row>
    <x:row r="20" ht="21" customHeight="1">
      <x:c r="C20" s="1"/>
      <x:c r="D20" s="2"/>
      <x:c r="E20" s="2"/>
      <x:c r="F20" s="2"/>
      <x:c r="G20" s="2"/>
      <x:c r="H20" s="2"/>
      <x:c r="I20" s="2"/>
    </x:row>
    <x:row r="21" ht="21" customHeight="1">
      <x:c r="C21" s="12" t="str">
        <x:v>Trade and bills payables</x:v>
      </x:c>
      <x:c r="D21" s="25"/>
      <x:c r="E21" s="25"/>
      <x:c r="F21" s="25"/>
      <x:c r="G21" s="25"/>
      <x:c r="H21" s="25"/>
      <x:c r="I21" s="25"/>
    </x:row>
    <x:row r="22" ht="21" customHeight="1">
      <x:c r="C22" s="1" t="str">
        <x:v>Opening</x:v>
      </x:c>
      <x:c r="D22" s="2"/>
      <x:c r="E22" s="2"/>
      <x:c r="F22" s="2"/>
      <x:c r="G22" s="19" t="n">
        <x:f>'SourceFacts'!F41</x:f>
        <x:v>4032.6530000000002</x:v>
      </x:c>
      <x:c r="H22" s="27" t="n">
        <x:f>G23</x:f>
        <x:v>4295.815461379115</x:v>
      </x:c>
      <x:c r="I22" s="27" t="n">
        <x:f>H23</x:f>
        <x:v>4558.790055221369</x:v>
      </x:c>
    </x:row>
    <x:row r="23" ht="21" customHeight="1">
      <x:c r="C23" s="1" t="str">
        <x:v>Closing</x:v>
      </x:c>
      <x:c r="D23" s="2"/>
      <x:c r="E23" s="2"/>
      <x:c r="F23" s="2"/>
      <x:c r="G23" s="19" t="n">
        <x:f>'Statements'!G11*'Assumptions'!G24/365</x:f>
        <x:v>4295.815461379115</x:v>
      </x:c>
      <x:c r="H23" s="19" t="n">
        <x:f>'Statements'!H11*'Assumptions'!H24/365</x:f>
        <x:v>4558.790055221369</x:v>
      </x:c>
      <x:c r="I23" s="19" t="n">
        <x:f>'Statements'!I11*'Assumptions'!I24/365</x:f>
        <x:v>4851.428727973183</x:v>
      </x:c>
    </x:row>
    <x:row r="24" ht="21" customHeight="1">
      <x:c r="C24" s="1" t="str">
        <x:v>Change in balance</x:v>
      </x:c>
      <x:c r="D24" s="2"/>
      <x:c r="E24" s="2"/>
      <x:c r="F24" s="2"/>
      <x:c r="G24" s="27" t="n">
        <x:f>G23-G22</x:f>
        <x:v>263.1624613791146</x:v>
      </x:c>
      <x:c r="H24" s="27" t="n">
        <x:f>H23-H22</x:f>
        <x:v>262.97459384225385</x:v>
      </x:c>
      <x:c r="I24" s="27" t="n">
        <x:f>I23-I22</x:f>
        <x:v>292.63867275181474</x:v>
      </x:c>
    </x:row>
    <x:row r="25" ht="21" customHeight="1">
      <x:c r="C25" s="1"/>
      <x:c r="D25" s="2"/>
      <x:c r="E25" s="2"/>
      <x:c r="F25" s="2"/>
      <x:c r="G25" s="2"/>
      <x:c r="H25" s="2"/>
      <x:c r="I25" s="2"/>
    </x:row>
    <x:row r="26" ht="21" customHeight="1">
      <x:c r="C26" s="1"/>
      <x:c r="D26" s="2"/>
      <x:c r="E26" s="2"/>
      <x:c r="F26" s="2"/>
      <x:c r="G26" s="2"/>
      <x:c r="H26" s="2"/>
      <x:c r="I26" s="2"/>
    </x:row>
    <x:row r="27" ht="21" customHeight="1">
      <x:c r="C27" s="12" t="str">
        <x:v>Customer advances</x:v>
      </x:c>
      <x:c r="D27" s="25"/>
      <x:c r="E27" s="25"/>
      <x:c r="F27" s="25"/>
      <x:c r="G27" s="25"/>
      <x:c r="H27" s="25"/>
      <x:c r="I27" s="25"/>
    </x:row>
    <x:row r="28" ht="21" customHeight="1">
      <x:c r="C28" s="1" t="str">
        <x:v>Opening</x:v>
      </x:c>
      <x:c r="D28" s="2"/>
      <x:c r="E28" s="2"/>
      <x:c r="F28" s="2"/>
      <x:c r="G28" s="19" t="n">
        <x:f>'SourceFacts'!F42</x:f>
        <x:v>25.153</x:v>
      </x:c>
      <x:c r="H28" s="27" t="n">
        <x:f>G29</x:f>
        <x:v>26.747970364367035</x:v>
      </x:c>
      <x:c r="I28" s="27" t="n">
        <x:f>H29</x:f>
        <x:v>28.618707099977886</x:v>
      </x:c>
    </x:row>
    <x:row r="29" ht="21" customHeight="1">
      <x:c r="C29" s="1" t="str">
        <x:v>Closing</x:v>
      </x:c>
      <x:c r="D29" s="2"/>
      <x:c r="E29" s="2"/>
      <x:c r="F29" s="2"/>
      <x:c r="G29" s="19" t="n">
        <x:f>'Statements'!G10*'Assumptions'!G25</x:f>
        <x:v>26.747970364367035</x:v>
      </x:c>
      <x:c r="H29" s="19" t="n">
        <x:f>'Statements'!H10*'Assumptions'!H25</x:f>
        <x:v>28.618707099977886</x:v>
      </x:c>
      <x:c r="I29" s="19" t="n">
        <x:f>'Statements'!I10*'Assumptions'!I25</x:f>
        <x:v>30.648147151712735</x:v>
      </x:c>
    </x:row>
    <x:row r="30" ht="21" customHeight="1">
      <x:c r="C30" s="1" t="str">
        <x:v>Change in balance</x:v>
      </x:c>
      <x:c r="D30" s="2"/>
      <x:c r="E30" s="2"/>
      <x:c r="F30" s="2"/>
      <x:c r="G30" s="27" t="n">
        <x:f>G29-G28</x:f>
        <x:v>1.594970364367036</x:v>
      </x:c>
      <x:c r="H30" s="27" t="n">
        <x:f>H29-H28</x:f>
        <x:v>1.8707367356108513</x:v>
      </x:c>
      <x:c r="I30" s="27" t="n">
        <x:f>I29-I28</x:f>
        <x:v>2.0294400517348485</x:v>
      </x:c>
    </x:row>
    <x:row r="31" ht="21" customHeight="1">
      <x:c r="C31" s="1"/>
      <x:c r="D31" s="2"/>
      <x:c r="E31" s="2"/>
      <x:c r="F31" s="2"/>
      <x:c r="G31" s="2"/>
      <x:c r="H31" s="2"/>
      <x:c r="I31" s="2"/>
    </x:row>
    <x:row r="32" ht="21" customHeight="1">
      <x:c r="C32" s="1"/>
      <x:c r="D32" s="2"/>
      <x:c r="E32" s="2"/>
      <x:c r="F32" s="2"/>
      <x:c r="G32" s="2"/>
      <x:c r="H32" s="2"/>
      <x:c r="I32" s="2"/>
    </x:row>
    <x:row r="33" ht="21" customHeight="1">
      <x:c r="C33" s="12" t="str">
        <x:v>Finance-company deposits</x:v>
      </x:c>
      <x:c r="D33" s="25"/>
      <x:c r="E33" s="25"/>
      <x:c r="F33" s="25"/>
      <x:c r="G33" s="25"/>
      <x:c r="H33" s="25"/>
      <x:c r="I33" s="25"/>
    </x:row>
    <x:row r="34" ht="21" customHeight="1">
      <x:c r="C34" s="1" t="str">
        <x:v>Opening</x:v>
      </x:c>
      <x:c r="D34" s="2"/>
      <x:c r="E34" s="2"/>
      <x:c r="F34" s="2"/>
      <x:c r="G34" s="19" t="n">
        <x:f>'SourceFacts'!F45</x:f>
        <x:v>0</x:v>
      </x:c>
      <x:c r="H34" s="27" t="n">
        <x:f>G35</x:f>
        <x:v>0</x:v>
      </x:c>
      <x:c r="I34" s="27" t="n">
        <x:f>H35</x:f>
        <x:v>0</x:v>
      </x:c>
    </x:row>
    <x:row r="35" ht="21" customHeight="1">
      <x:c r="C35" s="1" t="str">
        <x:v>Closing</x:v>
      </x:c>
      <x:c r="D35" s="2"/>
      <x:c r="E35" s="2"/>
      <x:c r="F35" s="2"/>
      <x:c r="G35" s="19" t="n">
        <x:f>G34*(1+'Assumptions'!G26)</x:f>
        <x:v>0</x:v>
      </x:c>
      <x:c r="H35" s="19" t="n">
        <x:f>H34*(1+'Assumptions'!H26)</x:f>
        <x:v>0</x:v>
      </x:c>
      <x:c r="I35" s="19" t="n">
        <x:f>I34*(1+'Assumptions'!I26)</x:f>
        <x:v>0</x:v>
      </x:c>
    </x:row>
    <x:row r="36" ht="21" customHeight="1">
      <x:c r="C36" s="1" t="str">
        <x:v>Change in balance</x:v>
      </x:c>
      <x:c r="D36" s="2"/>
      <x:c r="E36" s="2"/>
      <x:c r="F36" s="2"/>
      <x:c r="G36" s="27" t="n">
        <x:f>G35-G34</x:f>
        <x:v>0</x:v>
      </x:c>
      <x:c r="H36" s="27" t="n">
        <x:f>H35-H34</x:f>
        <x:v>0</x:v>
      </x:c>
      <x:c r="I36" s="27" t="n">
        <x:f>I35-I34</x:f>
        <x:v>0</x:v>
      </x:c>
    </x:row>
    <x:row r="37" ht="21" customHeight="1">
      <x:c r="C37" s="1"/>
      <x:c r="D37" s="2"/>
      <x:c r="E37" s="2"/>
      <x:c r="F37" s="2"/>
      <x:c r="G37" s="2"/>
      <x:c r="H37" s="2"/>
      <x:c r="I37" s="2"/>
    </x:row>
    <x:row r="38" ht="21" customHeight="1">
      <x:c r="C38" s="1"/>
      <x:c r="D38" s="2"/>
      <x:c r="E38" s="2"/>
      <x:c r="F38" s="2"/>
      <x:c r="G38" s="2"/>
      <x:c r="H38" s="2"/>
      <x:c r="I38" s="2"/>
    </x:row>
    <x:row r="39" ht="21" customHeight="1">
      <x:c r="C39" s="12" t="str">
        <x:v>Named other assets</x:v>
      </x:c>
      <x:c r="D39" s="25"/>
      <x:c r="E39" s="25"/>
      <x:c r="F39" s="25"/>
      <x:c r="G39" s="25"/>
      <x:c r="H39" s="25"/>
      <x:c r="I39" s="25"/>
    </x:row>
    <x:row r="40" ht="21" customHeight="1">
      <x:c r="C40" s="1" t="str">
        <x:v>Opening</x:v>
      </x:c>
      <x:c r="D40" s="2"/>
      <x:c r="E40" s="2"/>
      <x:c r="F40" s="2"/>
      <x:c r="G40" s="19" t="n">
        <x:f>'SourceFacts'!F39</x:f>
        <x:v>908.4809999999999</x:v>
      </x:c>
      <x:c r="H40" s="27" t="n">
        <x:f>G41</x:f>
        <x:v>908.4809999999999</x:v>
      </x:c>
      <x:c r="I40" s="27" t="n">
        <x:f>H41</x:f>
        <x:v>908.4809999999999</x:v>
      </x:c>
    </x:row>
    <x:row r="41" ht="21" customHeight="1">
      <x:c r="C41" s="1" t="str">
        <x:v>Closing</x:v>
      </x:c>
      <x:c r="D41" s="2"/>
      <x:c r="E41" s="2"/>
      <x:c r="F41" s="2"/>
      <x:c r="G41" s="19" t="n">
        <x:f>G40*(1+'Assumptions'!G27)</x:f>
        <x:v>908.4809999999999</x:v>
      </x:c>
      <x:c r="H41" s="19" t="n">
        <x:f>H40*(1+'Assumptions'!H27)</x:f>
        <x:v>908.4809999999999</x:v>
      </x:c>
      <x:c r="I41" s="19" t="n">
        <x:f>I40*(1+'Assumptions'!I27)</x:f>
        <x:v>908.4809999999999</x:v>
      </x:c>
    </x:row>
    <x:row r="42" ht="21" customHeight="1">
      <x:c r="C42" s="1" t="str">
        <x:v>Change in balance</x:v>
      </x:c>
      <x:c r="D42" s="2"/>
      <x:c r="E42" s="2"/>
      <x:c r="F42" s="2"/>
      <x:c r="G42" s="27" t="n">
        <x:f>G41-G40</x:f>
        <x:v>0</x:v>
      </x:c>
      <x:c r="H42" s="27" t="n">
        <x:f>H41-H40</x:f>
        <x:v>0</x:v>
      </x:c>
      <x:c r="I42" s="27" t="n">
        <x:f>I41-I40</x:f>
        <x:v>0</x:v>
      </x:c>
    </x:row>
    <x:row r="43" ht="21" customHeight="1">
      <x:c r="C43" s="1"/>
      <x:c r="D43" s="2"/>
      <x:c r="E43" s="2"/>
      <x:c r="F43" s="2"/>
      <x:c r="G43" s="2"/>
      <x:c r="H43" s="2"/>
      <x:c r="I43" s="2"/>
    </x:row>
    <x:row r="44" ht="21" customHeight="1">
      <x:c r="C44" s="1"/>
      <x:c r="D44" s="2"/>
      <x:c r="E44" s="2"/>
      <x:c r="F44" s="2"/>
      <x:c r="G44" s="2"/>
      <x:c r="H44" s="2"/>
      <x:c r="I44" s="2"/>
    </x:row>
    <x:row r="45" ht="21" customHeight="1">
      <x:c r="C45" s="12" t="str">
        <x:v>Named other liabilities</x:v>
      </x:c>
      <x:c r="D45" s="25"/>
      <x:c r="E45" s="25"/>
      <x:c r="F45" s="25"/>
      <x:c r="G45" s="25"/>
      <x:c r="H45" s="25"/>
      <x:c r="I45" s="25"/>
    </x:row>
    <x:row r="46" ht="21" customHeight="1">
      <x:c r="C46" s="1" t="str">
        <x:v>Opening</x:v>
      </x:c>
      <x:c r="D46" s="2"/>
      <x:c r="E46" s="2"/>
      <x:c r="F46" s="2"/>
      <x:c r="G46" s="19" t="n">
        <x:f>'SourceFacts'!F46</x:f>
        <x:v>520.772</x:v>
      </x:c>
      <x:c r="H46" s="27" t="n">
        <x:f>G47</x:f>
        <x:v>520.772</x:v>
      </x:c>
      <x:c r="I46" s="27" t="n">
        <x:f>H47</x:f>
        <x:v>520.772</x:v>
      </x:c>
    </x:row>
    <x:row r="47" ht="21" customHeight="1">
      <x:c r="C47" s="1" t="str">
        <x:v>Closing</x:v>
      </x:c>
      <x:c r="D47" s="2"/>
      <x:c r="E47" s="2"/>
      <x:c r="F47" s="2"/>
      <x:c r="G47" s="19" t="n">
        <x:f>G46*(1+'Assumptions'!G28)</x:f>
        <x:v>520.772</x:v>
      </x:c>
      <x:c r="H47" s="19" t="n">
        <x:f>H46*(1+'Assumptions'!H28)</x:f>
        <x:v>520.772</x:v>
      </x:c>
      <x:c r="I47" s="19" t="n">
        <x:f>I46*(1+'Assumptions'!I28)</x:f>
        <x:v>520.772</x:v>
      </x:c>
    </x:row>
    <x:row r="48" ht="21" customHeight="1">
      <x:c r="C48" s="1" t="str">
        <x:v>Change in balance</x:v>
      </x:c>
      <x:c r="D48" s="2"/>
      <x:c r="E48" s="2"/>
      <x:c r="F48" s="2"/>
      <x:c r="G48" s="27" t="n">
        <x:f>G47-G46</x:f>
        <x:v>0</x:v>
      </x:c>
      <x:c r="H48" s="27" t="n">
        <x:f>H47-H46</x:f>
        <x:v>0</x:v>
      </x:c>
      <x:c r="I48" s="27" t="n">
        <x:f>I47-I46</x:f>
        <x:v>0</x:v>
      </x:c>
    </x:row>
    <x:row r="49" ht="21" customHeight="1">
      <x:c r="C49" s="1"/>
      <x:c r="D49" s="2"/>
      <x:c r="E49" s="2"/>
      <x:c r="F49" s="2"/>
      <x:c r="G49" s="2"/>
      <x:c r="H49" s="2"/>
      <x:c r="I49" s="2"/>
    </x:row>
    <x:row r="50" ht="21" customHeight="1">
      <x:c r="C50" s="1"/>
      <x:c r="D50" s="2"/>
      <x:c r="E50" s="2"/>
      <x:c r="F50" s="2"/>
      <x:c r="G50" s="2"/>
      <x:c r="H50" s="2"/>
      <x:c r="I50" s="2"/>
    </x:row>
    <x:row r="51" ht="21" customHeight="1">
      <x:c r="C51" s="1"/>
      <x:c r="D51" s="2"/>
      <x:c r="E51" s="2"/>
      <x:c r="F51" s="2"/>
      <x:c r="G51" s="2"/>
      <x:c r="H51" s="2"/>
      <x:c r="I51" s="2"/>
    </x:row>
    <x:row r="52" ht="21" customHeight="1">
      <x:c r="C52" s="1"/>
      <x:c r="D52" s="2"/>
      <x:c r="E52" s="2"/>
      <x:c r="F52" s="2"/>
      <x:c r="G52" s="2"/>
      <x:c r="H52" s="2"/>
      <x:c r="I52" s="2"/>
    </x:row>
    <x:row r="53" ht="21" customHeight="1">
      <x:c r="C53" s="1"/>
      <x:c r="D53" s="2"/>
      <x:c r="E53" s="2"/>
      <x:c r="F53" s="2"/>
      <x:c r="G53" s="2"/>
      <x:c r="H53" s="2"/>
      <x:c r="I53" s="2"/>
    </x:row>
    <x:row r="54" ht="21" customHeight="1">
      <x:c r="C54" s="1"/>
      <x:c r="D54" s="2"/>
      <x:c r="E54" s="2"/>
      <x:c r="F54" s="2"/>
      <x:c r="G54" s="2"/>
      <x:c r="H54" s="2"/>
      <x:c r="I54" s="2"/>
    </x:row>
    <x:row r="55" ht="21" customHeight="1">
      <x:c r="C55" s="1"/>
      <x:c r="D55" s="2"/>
      <x:c r="E55" s="2"/>
      <x:c r="F55" s="2"/>
      <x:c r="G55" s="2"/>
      <x:c r="H55" s="2"/>
      <x:c r="I55" s="2"/>
    </x:row>
    <x:row r="56" ht="21" customHeight="1">
      <x:c r="C56" s="1"/>
      <x:c r="D56" s="2"/>
      <x:c r="E56" s="2"/>
      <x:c r="F56" s="2"/>
      <x:c r="G56" s="2"/>
      <x:c r="H56" s="2"/>
      <x:c r="I56" s="2"/>
    </x:row>
    <x:row r="57" ht="21" customHeight="1">
      <x:c r="C57" s="1"/>
      <x:c r="D57" s="2"/>
      <x:c r="E57" s="2"/>
      <x:c r="F57" s="2"/>
      <x:c r="G57" s="2"/>
      <x:c r="H57" s="2"/>
      <x:c r="I57" s="2"/>
    </x:row>
    <x:row r="58" ht="21" customHeight="1">
      <x:c r="C58" s="1"/>
      <x:c r="D58" s="2"/>
      <x:c r="E58" s="2"/>
      <x:c r="F58" s="2"/>
      <x:c r="G58" s="2"/>
      <x:c r="H58" s="2"/>
      <x:c r="I58" s="2"/>
    </x:row>
    <x:row r="59" ht="21" customHeight="1">
      <x:c r="C59" s="1"/>
      <x:c r="D59" s="2"/>
      <x:c r="E59" s="2"/>
      <x:c r="F59" s="2"/>
      <x:c r="G59" s="2"/>
      <x:c r="H59" s="2"/>
      <x:c r="I59" s="2"/>
    </x:row>
    <x:row r="60" ht="21" customHeight="1">
      <x:c r="C60" s="1"/>
      <x:c r="D60" s="2"/>
      <x:c r="E60" s="2"/>
      <x:c r="F60" s="2"/>
      <x:c r="G60" s="2"/>
      <x:c r="H60" s="2"/>
      <x:c r="I60" s="2"/>
    </x:row>
    <x:row r="61" ht="21" customHeight="1">
      <x:c r="C61" s="1"/>
      <x:c r="D61" s="2"/>
      <x:c r="E61" s="2"/>
      <x:c r="F61" s="2"/>
      <x:c r="G61" s="2"/>
      <x:c r="H61" s="2"/>
      <x:c r="I61" s="2"/>
    </x:row>
    <x:row r="62" ht="21" customHeight="1">
      <x:c r="C62" s="1"/>
      <x:c r="D62" s="2"/>
      <x:c r="E62" s="2"/>
      <x:c r="F62" s="2"/>
      <x:c r="G62" s="2"/>
      <x:c r="H62" s="2"/>
      <x:c r="I62" s="2"/>
    </x:row>
    <x:row r="63" ht="21" customHeight="1">
      <x:c r="C63" s="1"/>
      <x:c r="D63" s="2"/>
      <x:c r="E63" s="2"/>
      <x:c r="F63" s="2"/>
      <x:c r="G63" s="2"/>
      <x:c r="H63" s="2"/>
      <x:c r="I63" s="2"/>
    </x:row>
    <x:row r="64" ht="21" customHeight="1">
      <x:c r="C64" s="1"/>
      <x:c r="D64" s="2"/>
      <x:c r="E64" s="2"/>
      <x:c r="F64" s="2"/>
      <x:c r="G64" s="2"/>
      <x:c r="H64" s="2"/>
      <x:c r="I64" s="2"/>
    </x:row>
    <x:row r="65" ht="21" customHeight="1">
      <x:c r="C65" s="1"/>
      <x:c r="D65" s="2"/>
      <x:c r="E65" s="2"/>
      <x:c r="F65" s="2"/>
      <x:c r="G65" s="2"/>
      <x:c r="H65" s="2"/>
      <x:c r="I65" s="2"/>
    </x:row>
    <x:row r="66" ht="21" customHeight="1">
      <x:c r="C66" s="1"/>
      <x:c r="D66" s="2"/>
      <x:c r="E66" s="2"/>
      <x:c r="F66" s="2"/>
      <x:c r="G66" s="2"/>
      <x:c r="H66" s="2"/>
      <x:c r="I66" s="2"/>
    </x:row>
    <x:row r="67" ht="21" customHeight="1">
      <x:c r="C67" s="1"/>
      <x:c r="D67" s="2"/>
      <x:c r="E67" s="2"/>
      <x:c r="F67" s="2"/>
      <x:c r="G67" s="2"/>
      <x:c r="H67" s="2"/>
      <x:c r="I67" s="2"/>
    </x:row>
    <x:row r="68" ht="21" customHeight="1">
      <x:c r="C68" s="1"/>
      <x:c r="D68" s="2"/>
      <x:c r="E68" s="2"/>
      <x:c r="F68" s="2"/>
      <x:c r="G68" s="2"/>
      <x:c r="H68" s="2"/>
      <x:c r="I68" s="2"/>
    </x:row>
    <x:row r="69" ht="21" customHeight="1">
      <x:c r="C69" s="1"/>
      <x:c r="D69" s="2"/>
      <x:c r="E69" s="2"/>
      <x:c r="F69" s="2"/>
      <x:c r="G69" s="2"/>
      <x:c r="H69" s="2"/>
      <x:c r="I69" s="2"/>
    </x:row>
    <x:row r="70" ht="21" customHeight="1">
      <x:c r="C70" s="1"/>
      <x:c r="D70" s="2"/>
      <x:c r="E70" s="2"/>
      <x:c r="F70" s="2"/>
      <x:c r="G70" s="2"/>
      <x:c r="H70" s="2"/>
      <x:c r="I70" s="2"/>
    </x:row>
    <x:row r="71" ht="21" customHeight="1">
      <x:c r="C71" s="1"/>
      <x:c r="D71" s="2"/>
      <x:c r="E71" s="2"/>
      <x:c r="F71" s="2"/>
      <x:c r="G71" s="2"/>
      <x:c r="H71" s="2"/>
      <x:c r="I71" s="2"/>
    </x:row>
    <x:row r="72" ht="21" customHeight="1">
      <x:c r="C72" s="1"/>
      <x:c r="D72" s="2"/>
      <x:c r="E72" s="2"/>
      <x:c r="F72" s="2"/>
      <x:c r="G72" s="2"/>
      <x:c r="H72" s="2"/>
      <x:c r="I72" s="2"/>
    </x:row>
    <x:row r="73" ht="21" customHeight="1">
      <x:c r="C73" s="1"/>
      <x:c r="D73" s="2"/>
      <x:c r="E73" s="2"/>
      <x:c r="F73" s="2"/>
      <x:c r="G73" s="2"/>
      <x:c r="H73" s="2"/>
      <x:c r="I73" s="2"/>
    </x:row>
    <x:row r="74" ht="21" customHeight="1">
      <x:c r="C74" s="1"/>
      <x:c r="D74" s="2"/>
      <x:c r="E74" s="2"/>
      <x:c r="F74" s="2"/>
      <x:c r="G74" s="2"/>
      <x:c r="H74" s="2"/>
      <x:c r="I74" s="2"/>
    </x:row>
    <x:row r="75" ht="21" customHeight="1">
      <x:c r="C75" s="1"/>
      <x:c r="D75" s="2"/>
      <x:c r="E75" s="2"/>
      <x:c r="F75" s="2"/>
      <x:c r="G75" s="2"/>
      <x:c r="H75" s="2"/>
      <x:c r="I75" s="2"/>
    </x:row>
    <x:row r="76" ht="21" customHeight="1">
      <x:c r="C76" s="1"/>
      <x:c r="D76" s="2"/>
      <x:c r="E76" s="2"/>
      <x:c r="F76" s="2"/>
      <x:c r="G76" s="2"/>
      <x:c r="H76" s="2"/>
      <x:c r="I76" s="2"/>
    </x:row>
    <x:row r="77" ht="21" customHeight="1">
      <x:c r="C77" s="1"/>
      <x:c r="D77" s="2"/>
      <x:c r="E77" s="2"/>
      <x:c r="F77" s="2"/>
      <x:c r="G77" s="2"/>
      <x:c r="H77" s="2"/>
      <x:c r="I77" s="2"/>
    </x:row>
    <x:row r="78" ht="21" customHeight="1">
      <x:c r="C78" s="1"/>
      <x:c r="D78" s="2"/>
      <x:c r="E78" s="2"/>
      <x:c r="F78" s="2"/>
      <x:c r="G78" s="2"/>
      <x:c r="H78" s="2"/>
      <x:c r="I78" s="2"/>
    </x:row>
    <x:row r="79" ht="21" customHeight="1">
      <x:c r="C79" s="1"/>
      <x:c r="D79" s="2"/>
      <x:c r="E79" s="2"/>
      <x:c r="F79" s="2"/>
      <x:c r="G79" s="2"/>
      <x:c r="H79" s="2"/>
      <x:c r="I79" s="2"/>
    </x:row>
    <x:row r="80" ht="21" customHeight="1">
      <x:c r="C80" s="1"/>
      <x:c r="D80" s="2"/>
      <x:c r="E80" s="2"/>
      <x:c r="F80" s="2"/>
      <x:c r="G80" s="2"/>
      <x:c r="H80" s="2"/>
      <x:c r="I80" s="2"/>
    </x:row>
    <x:row r="81" ht="21" customHeight="1">
      <x:c r="C81" s="1"/>
      <x:c r="D81" s="2"/>
      <x:c r="E81" s="2"/>
      <x:c r="F81" s="2"/>
      <x:c r="G81" s="2"/>
      <x:c r="H81" s="2"/>
      <x:c r="I81" s="2"/>
    </x:row>
    <x:row r="82" ht="21" customHeight="1">
      <x:c r="C82" s="1"/>
      <x:c r="D82" s="2"/>
      <x:c r="E82" s="2"/>
      <x:c r="F82" s="2"/>
      <x:c r="G82" s="2"/>
      <x:c r="H82" s="2"/>
      <x:c r="I82" s="2"/>
    </x:row>
    <x:row r="83" ht="21" customHeight="1">
      <x:c r="C83" s="1"/>
      <x:c r="D83" s="2"/>
      <x:c r="E83" s="2"/>
      <x:c r="F83" s="2"/>
      <x:c r="G83" s="2"/>
      <x:c r="H83" s="2"/>
      <x:c r="I83" s="2"/>
    </x:row>
    <x:row r="84" ht="21" customHeight="1">
      <x:c r="C84" s="1"/>
      <x:c r="D84" s="2"/>
      <x:c r="E84" s="2"/>
      <x:c r="F84" s="2"/>
      <x:c r="G84" s="2"/>
      <x:c r="H84" s="2"/>
      <x:c r="I84" s="2"/>
    </x:row>
    <x:row r="85" ht="21" customHeight="1">
      <x:c r="C85" s="1"/>
      <x:c r="D85" s="2"/>
      <x:c r="E85" s="2"/>
      <x:c r="F85" s="2"/>
      <x:c r="G85" s="2"/>
      <x:c r="H85" s="2"/>
      <x:c r="I85" s="2"/>
    </x:row>
    <x:row r="86" ht="21" customHeight="1">
      <x:c r="C86" s="1"/>
      <x:c r="D86" s="2"/>
      <x:c r="E86" s="2"/>
      <x:c r="F86" s="2"/>
      <x:c r="G86" s="2"/>
      <x:c r="H86" s="2"/>
      <x:c r="I86" s="2"/>
    </x:row>
    <x:row r="87" ht="21" customHeight="1">
      <x:c r="C87" s="1"/>
      <x:c r="D87" s="2"/>
      <x:c r="E87" s="2"/>
      <x:c r="F87" s="2"/>
      <x:c r="G87" s="2"/>
      <x:c r="H87" s="2"/>
      <x:c r="I87" s="2"/>
    </x:row>
    <x:row r="88" ht="21" customHeight="1">
      <x:c r="C88" s="1"/>
      <x:c r="D88" s="2"/>
      <x:c r="E88" s="2"/>
      <x:c r="F88" s="2"/>
      <x:c r="G88" s="2"/>
      <x:c r="H88" s="2"/>
      <x:c r="I88" s="2"/>
    </x:row>
    <x:row r="89" ht="21" customHeight="1">
      <x:c r="C89" s="1"/>
      <x:c r="D89" s="2"/>
      <x:c r="E89" s="2"/>
      <x:c r="F89" s="2"/>
      <x:c r="G89" s="2"/>
      <x:c r="H89" s="2"/>
      <x:c r="I89" s="2"/>
    </x:row>
    <x:row r="90" ht="21" customHeight="1">
      <x:c r="C90" s="1"/>
      <x:c r="D90" s="2"/>
      <x:c r="E90" s="2"/>
      <x:c r="F90" s="2"/>
      <x:c r="G90" s="2"/>
      <x:c r="H90" s="2"/>
      <x:c r="I90" s="2"/>
    </x:row>
    <x:row r="91" ht="21" customHeight="1">
      <x:c r="C91" s="1"/>
      <x:c r="D91" s="2"/>
      <x:c r="E91" s="2"/>
      <x:c r="F91" s="2"/>
      <x:c r="G91" s="2"/>
      <x:c r="H91" s="2"/>
      <x:c r="I91" s="2"/>
    </x:row>
    <x:row r="92" ht="21" customHeight="1">
      <x:c r="C92" s="1"/>
      <x:c r="D92" s="2"/>
      <x:c r="E92" s="2"/>
      <x:c r="F92" s="2"/>
      <x:c r="G92" s="2"/>
      <x:c r="H92" s="2"/>
      <x:c r="I92" s="2"/>
    </x:row>
    <x:row r="93" ht="21" customHeight="1">
      <x:c r="C93" s="1"/>
      <x:c r="D93" s="2"/>
      <x:c r="E93" s="2"/>
      <x:c r="F93" s="2"/>
      <x:c r="G93" s="2"/>
      <x:c r="H93" s="2"/>
      <x:c r="I93" s="2"/>
    </x:row>
    <x:row r="94" ht="21" customHeight="1">
      <x:c r="C94" s="1"/>
      <x:c r="D94" s="2"/>
      <x:c r="E94" s="2"/>
      <x:c r="F94" s="2"/>
      <x:c r="G94" s="2"/>
      <x:c r="H94" s="2"/>
      <x:c r="I94" s="2"/>
    </x:row>
    <x:row r="95" ht="21" customHeight="1">
      <x:c r="C95" s="1"/>
      <x:c r="D95" s="2"/>
      <x:c r="E95" s="2"/>
      <x:c r="F95" s="2"/>
      <x:c r="G95" s="2"/>
      <x:c r="H95" s="2"/>
      <x:c r="I95" s="2"/>
    </x:row>
    <x:row r="96" ht="21" customHeight="1">
      <x:c r="C96" s="1"/>
      <x:c r="D96" s="2"/>
      <x:c r="E96" s="2"/>
      <x:c r="F96" s="2"/>
      <x:c r="G96" s="2"/>
      <x:c r="H96" s="2"/>
      <x:c r="I96" s="2"/>
    </x:row>
    <x:row r="97" ht="21" customHeight="1">
      <x:c r="C97" s="1"/>
      <x:c r="D97" s="2"/>
      <x:c r="E97" s="2"/>
      <x:c r="F97" s="2"/>
      <x:c r="G97" s="2"/>
      <x:c r="H97" s="2"/>
      <x:c r="I97" s="2"/>
    </x:row>
    <x:row r="98" ht="21" customHeight="1">
      <x:c r="C98" s="1"/>
      <x:c r="D98" s="2"/>
      <x:c r="E98" s="2"/>
      <x:c r="F98" s="2"/>
      <x:c r="G98" s="2"/>
      <x:c r="H98" s="2"/>
      <x:c r="I98" s="2"/>
    </x:row>
    <x:row r="99" ht="21" customHeight="1">
      <x:c r="C99" s="1"/>
      <x:c r="D99" s="2"/>
      <x:c r="E99" s="2"/>
      <x:c r="F99" s="2"/>
      <x:c r="G99" s="2"/>
      <x:c r="H99" s="2"/>
      <x:c r="I99" s="2"/>
    </x:row>
    <x:row r="100" ht="21" customHeight="1">
      <x:c r="C100" s="1"/>
      <x:c r="D100" s="2"/>
      <x:c r="E100" s="2"/>
      <x:c r="F100" s="2"/>
      <x:c r="G100" s="2"/>
      <x:c r="H100" s="2"/>
      <x:c r="I100" s="2"/>
    </x:row>
    <x:row r="101" ht="21" customHeight="1">
      <x:c r="C101" s="1"/>
      <x:c r="D101" s="2"/>
      <x:c r="E101" s="2"/>
      <x:c r="F101" s="2"/>
      <x:c r="G101" s="2"/>
      <x:c r="H101" s="2"/>
      <x:c r="I101" s="2"/>
    </x:row>
    <x:row r="102" ht="21" customHeight="1">
      <x:c r="C102" s="1"/>
      <x:c r="D102" s="2"/>
      <x:c r="E102" s="2"/>
      <x:c r="F102" s="2"/>
      <x:c r="G102" s="2"/>
      <x:c r="H102" s="2"/>
      <x:c r="I102" s="2"/>
    </x:row>
    <x:row r="103" ht="21" customHeight="1">
      <x:c r="C103" s="1"/>
      <x:c r="D103" s="2"/>
      <x:c r="E103" s="2"/>
      <x:c r="F103" s="2"/>
      <x:c r="G103" s="2"/>
      <x:c r="H103" s="2"/>
      <x:c r="I103" s="2"/>
    </x:row>
    <x:row r="104" ht="21" customHeight="1">
      <x:c r="C104" s="1"/>
      <x:c r="D104" s="2"/>
      <x:c r="E104" s="2"/>
      <x:c r="F104" s="2"/>
      <x:c r="G104" s="2"/>
      <x:c r="H104" s="2"/>
      <x:c r="I104" s="2"/>
    </x:row>
    <x:row r="105" ht="21" customHeight="1">
      <x:c r="C105" s="1"/>
      <x:c r="D105" s="2"/>
      <x:c r="E105" s="2"/>
      <x:c r="F105" s="2"/>
      <x:c r="G105" s="2"/>
      <x:c r="H105" s="2"/>
      <x:c r="I105" s="2"/>
    </x:row>
    <x:row r="106" ht="21" customHeight="1">
      <x:c r="C106" s="1"/>
      <x:c r="D106" s="2"/>
      <x:c r="E106" s="2"/>
      <x:c r="F106" s="2"/>
      <x:c r="G106" s="2"/>
      <x:c r="H106" s="2"/>
      <x:c r="I106" s="2"/>
    </x:row>
    <x:row r="107" ht="21" customHeight="1">
      <x:c r="C107" s="1"/>
      <x:c r="D107" s="2"/>
      <x:c r="E107" s="2"/>
      <x:c r="F107" s="2"/>
      <x:c r="G107" s="2"/>
      <x:c r="H107" s="2"/>
      <x:c r="I107" s="2"/>
    </x:row>
    <x:row r="108" ht="21" customHeight="1">
      <x:c r="C108" s="1"/>
      <x:c r="D108" s="2"/>
      <x:c r="E108" s="2"/>
      <x:c r="F108" s="2"/>
      <x:c r="G108" s="2"/>
      <x:c r="H108" s="2"/>
      <x:c r="I108" s="2"/>
    </x:row>
    <x:row r="109" ht="21" customHeight="1">
      <x:c r="C109" s="1"/>
      <x:c r="D109" s="2"/>
      <x:c r="E109" s="2"/>
      <x:c r="F109" s="2"/>
      <x:c r="G109" s="2"/>
      <x:c r="H109" s="2"/>
      <x:c r="I109" s="2"/>
    </x:row>
    <x:row r="110" ht="21" customHeight="1">
      <x:c r="C110" s="1"/>
      <x:c r="D110" s="2"/>
      <x:c r="E110" s="2"/>
      <x:c r="F110" s="2"/>
      <x:c r="G110" s="2"/>
      <x:c r="H110" s="2"/>
      <x:c r="I110" s="2"/>
    </x:row>
    <x:row r="111" ht="21" customHeight="1">
      <x:c r="C111" s="1"/>
      <x:c r="D111" s="2"/>
      <x:c r="E111" s="2"/>
      <x:c r="F111" s="2"/>
      <x:c r="G111" s="2"/>
      <x:c r="H111" s="2"/>
      <x:c r="I111" s="2"/>
    </x:row>
    <x:row r="112" ht="21" customHeight="1">
      <x:c r="C112" s="1"/>
      <x:c r="D112" s="2"/>
      <x:c r="E112" s="2"/>
      <x:c r="F112" s="2"/>
      <x:c r="G112" s="2"/>
      <x:c r="H112" s="2"/>
      <x:c r="I112" s="2"/>
    </x:row>
    <x:row r="113" ht="21" customHeight="1">
      <x:c r="C113" s="1"/>
      <x:c r="D113" s="2"/>
      <x:c r="E113" s="2"/>
      <x:c r="F113" s="2"/>
      <x:c r="G113" s="2"/>
      <x:c r="H113" s="2"/>
      <x:c r="I113" s="2"/>
    </x:row>
    <x:row r="114" ht="21" customHeight="1">
      <x:c r="C114" s="1"/>
      <x:c r="D114" s="2"/>
      <x:c r="E114" s="2"/>
      <x:c r="F114" s="2"/>
      <x:c r="G114" s="2"/>
      <x:c r="H114" s="2"/>
      <x:c r="I114" s="2"/>
    </x:row>
    <x:row r="115" ht="21" customHeight="1">
      <x:c r="C115" s="1"/>
      <x:c r="D115" s="2"/>
      <x:c r="E115" s="2"/>
      <x:c r="F115" s="2"/>
      <x:c r="G115" s="2"/>
      <x:c r="H115" s="2"/>
      <x:c r="I115" s="2"/>
    </x:row>
    <x:row r="116" ht="21" customHeight="1">
      <x:c r="C116" s="1"/>
      <x:c r="D116" s="2"/>
      <x:c r="E116" s="2"/>
      <x:c r="F116" s="2"/>
      <x:c r="G116" s="2"/>
      <x:c r="H116" s="2"/>
      <x:c r="I116" s="2"/>
    </x:row>
    <x:row r="117" ht="21" customHeight="1">
      <x:c r="C117" s="1"/>
      <x:c r="D117" s="2"/>
      <x:c r="E117" s="2"/>
      <x:c r="F117" s="2"/>
      <x:c r="G117" s="2"/>
      <x:c r="H117" s="2"/>
      <x:c r="I117" s="2"/>
    </x:row>
    <x:row r="118" ht="21" customHeight="1">
      <x:c r="C118" s="1"/>
      <x:c r="D118" s="2"/>
      <x:c r="E118" s="2"/>
      <x:c r="F118" s="2"/>
      <x:c r="G118" s="2"/>
      <x:c r="H118" s="2"/>
      <x:c r="I118" s="2"/>
    </x:row>
    <x:row r="119" ht="21" customHeight="1">
      <x:c r="C119" s="1"/>
      <x:c r="D119" s="2"/>
      <x:c r="E119" s="2"/>
      <x:c r="F119" s="2"/>
      <x:c r="G119" s="2"/>
      <x:c r="H119" s="2"/>
      <x:c r="I119" s="2"/>
    </x:row>
    <x:row r="120" ht="21" customHeight="1">
      <x:c r="C120" s="1"/>
      <x:c r="D120" s="2"/>
      <x:c r="E120" s="2"/>
      <x:c r="F120" s="2"/>
      <x:c r="G120" s="2"/>
      <x:c r="H120" s="2"/>
      <x:c r="I120" s="2"/>
    </x:row>
    <x:row r="121" ht="21" customHeight="1">
      <x:c r="C121" s="1"/>
      <x:c r="D121" s="2"/>
      <x:c r="E121" s="2"/>
      <x:c r="F121" s="2"/>
      <x:c r="G121" s="2"/>
      <x:c r="H121" s="2"/>
      <x:c r="I121" s="2"/>
    </x:row>
    <x:row r="122" ht="21" customHeight="1">
      <x:c r="C122" s="1"/>
      <x:c r="D122" s="2"/>
      <x:c r="E122" s="2"/>
      <x:c r="F122" s="2"/>
      <x:c r="G122" s="2"/>
      <x:c r="H122" s="2"/>
      <x:c r="I122" s="2"/>
    </x:row>
    <x:row r="123" ht="21" customHeight="1">
      <x:c r="C123" s="1"/>
      <x:c r="D123" s="2"/>
      <x:c r="E123" s="2"/>
      <x:c r="F123" s="2"/>
      <x:c r="G123" s="2"/>
      <x:c r="H123" s="2"/>
      <x:c r="I123" s="2"/>
    </x:row>
    <x:row r="124" ht="21" customHeight="1">
      <x:c r="C124" s="1"/>
      <x:c r="D124" s="2"/>
      <x:c r="E124" s="2"/>
      <x:c r="F124" s="2"/>
      <x:c r="G124" s="2"/>
      <x:c r="H124" s="2"/>
      <x:c r="I124" s="2"/>
    </x:row>
    <x:row r="125" ht="21" customHeight="1">
      <x:c r="C125" s="1"/>
      <x:c r="D125" s="2"/>
      <x:c r="E125" s="2"/>
      <x:c r="F125" s="2"/>
      <x:c r="G125" s="2"/>
      <x:c r="H125" s="2"/>
      <x:c r="I125" s="2"/>
    </x:row>
    <x:row r="126" ht="21" customHeight="1">
      <x:c r="C126" s="1"/>
      <x:c r="D126" s="2"/>
      <x:c r="E126" s="2"/>
      <x:c r="F126" s="2"/>
      <x:c r="G126" s="2"/>
      <x:c r="H126" s="2"/>
      <x:c r="I126" s="2"/>
    </x:row>
    <x:row r="127" ht="21" customHeight="1">
      <x:c r="C127" s="1"/>
      <x:c r="D127" s="2"/>
      <x:c r="E127" s="2"/>
      <x:c r="F127" s="2"/>
      <x:c r="G127" s="2"/>
      <x:c r="H127" s="2"/>
      <x:c r="I127" s="2"/>
    </x:row>
    <x:row r="128" ht="21" customHeight="1">
      <x:c r="C128" s="1"/>
      <x:c r="D128" s="2"/>
      <x:c r="E128" s="2"/>
      <x:c r="F128" s="2"/>
      <x:c r="G128" s="2"/>
      <x:c r="H128" s="2"/>
      <x:c r="I128" s="2"/>
    </x:row>
    <x:row r="129" ht="21" customHeight="1">
      <x:c r="C129" s="1"/>
      <x:c r="D129" s="2"/>
      <x:c r="E129" s="2"/>
      <x:c r="F129" s="2"/>
      <x:c r="G129" s="2"/>
      <x:c r="H129" s="2"/>
      <x:c r="I129" s="2"/>
    </x:row>
    <x:row r="130" ht="21" customHeight="1">
      <x:c r="C130" s="1"/>
      <x:c r="D130" s="2"/>
      <x:c r="E130" s="2"/>
      <x:c r="F130" s="2"/>
      <x:c r="G130" s="2"/>
      <x:c r="H130" s="2"/>
      <x:c r="I130" s="2"/>
    </x:row>
    <x:row r="131" ht="21" customHeight="1">
      <x:c r="C131" s="1"/>
      <x:c r="D131" s="2"/>
      <x:c r="E131" s="2"/>
      <x:c r="F131" s="2"/>
      <x:c r="G131" s="2"/>
      <x:c r="H131" s="2"/>
      <x:c r="I131" s="2"/>
    </x:row>
    <x:row r="132" ht="21" customHeight="1">
      <x:c r="C132" s="1"/>
      <x:c r="D132" s="2"/>
      <x:c r="E132" s="2"/>
      <x:c r="F132" s="2"/>
      <x:c r="G132" s="2"/>
      <x:c r="H132" s="2"/>
      <x:c r="I132" s="2"/>
    </x:row>
    <x:row r="133" ht="21" customHeight="1">
      <x:c r="C133" s="1"/>
      <x:c r="D133" s="2"/>
      <x:c r="E133" s="2"/>
      <x:c r="F133" s="2"/>
      <x:c r="G133" s="2"/>
      <x:c r="H133" s="2"/>
      <x:c r="I133" s="2"/>
    </x:row>
    <x:row r="134" ht="21" customHeight="1">
      <x:c r="C134" s="1"/>
      <x:c r="D134" s="2"/>
      <x:c r="E134" s="2"/>
      <x:c r="F134" s="2"/>
      <x:c r="G134" s="2"/>
      <x:c r="H134" s="2"/>
      <x:c r="I134" s="2"/>
    </x:row>
    <x:row r="135" ht="21" customHeight="1">
      <x:c r="C135" s="1"/>
      <x:c r="D135" s="2"/>
      <x:c r="E135" s="2"/>
      <x:c r="F135" s="2"/>
      <x:c r="G135" s="2"/>
      <x:c r="H135" s="2"/>
      <x:c r="I135" s="2"/>
    </x:row>
    <x:row r="136" ht="21" customHeight="1">
      <x:c r="C136" s="1"/>
      <x:c r="D136" s="2"/>
      <x:c r="E136" s="2"/>
      <x:c r="F136" s="2"/>
      <x:c r="G136" s="2"/>
      <x:c r="H136" s="2"/>
      <x:c r="I136" s="2"/>
    </x:row>
    <x:row r="137" ht="21" customHeight="1">
      <x:c r="C137" s="1"/>
      <x:c r="D137" s="2"/>
      <x:c r="E137" s="2"/>
      <x:c r="F137" s="2"/>
      <x:c r="G137" s="2"/>
      <x:c r="H137" s="2"/>
      <x:c r="I137" s="2"/>
    </x:row>
    <x:row r="138" ht="21" customHeight="1">
      <x:c r="C138" s="1"/>
      <x:c r="D138" s="2"/>
      <x:c r="E138" s="2"/>
      <x:c r="F138" s="2"/>
      <x:c r="G138" s="2"/>
      <x:c r="H138" s="2"/>
      <x:c r="I138" s="2"/>
    </x:row>
    <x:row r="139" ht="21" customHeight="1">
      <x:c r="C139" s="1"/>
      <x:c r="D139" s="2"/>
      <x:c r="E139" s="2"/>
      <x:c r="F139" s="2"/>
      <x:c r="G139" s="2"/>
      <x:c r="H139" s="2"/>
      <x:c r="I139" s="2"/>
    </x:row>
    <x:row r="140" ht="21" customHeight="1">
      <x:c r="C140" s="1"/>
      <x:c r="D140" s="2"/>
      <x:c r="E140" s="2"/>
      <x:c r="F140" s="2"/>
      <x:c r="G140" s="2"/>
      <x:c r="H140" s="2"/>
      <x:c r="I140" s="2"/>
    </x:row>
    <x:row r="141" ht="21" customHeight="1">
      <x:c r="C141" s="1"/>
      <x:c r="D141" s="2"/>
      <x:c r="E141" s="2"/>
      <x:c r="F141" s="2"/>
      <x:c r="G141" s="2"/>
      <x:c r="H141" s="2"/>
      <x:c r="I141" s="2"/>
    </x:row>
    <x:row r="142" ht="21" customHeight="1">
      <x:c r="C142" s="1"/>
      <x:c r="D142" s="2"/>
      <x:c r="E142" s="2"/>
      <x:c r="F142" s="2"/>
      <x:c r="G142" s="2"/>
      <x:c r="H142" s="2"/>
      <x:c r="I142" s="2"/>
    </x:row>
    <x:row r="143" ht="21" customHeight="1">
      <x:c r="C143" s="1"/>
      <x:c r="D143" s="2"/>
      <x:c r="E143" s="2"/>
      <x:c r="F143" s="2"/>
      <x:c r="G143" s="2"/>
      <x:c r="H143" s="2"/>
      <x:c r="I143" s="2"/>
    </x:row>
    <x:row r="144" ht="21" customHeight="1">
      <x:c r="C144" s="1"/>
      <x:c r="D144" s="2"/>
      <x:c r="E144" s="2"/>
      <x:c r="F144" s="2"/>
      <x:c r="G144" s="2"/>
      <x:c r="H144" s="2"/>
      <x:c r="I144" s="2"/>
    </x:row>
    <x:row r="145" ht="21" customHeight="1">
      <x:c r="C145" s="1"/>
      <x:c r="D145" s="2"/>
      <x:c r="E145" s="2"/>
      <x:c r="F145" s="2"/>
      <x:c r="G145" s="2"/>
      <x:c r="H145" s="2"/>
      <x:c r="I145" s="2"/>
    </x:row>
    <x:row r="146" ht="21" customHeight="1">
      <x:c r="C146" s="1"/>
      <x:c r="D146" s="2"/>
      <x:c r="E146" s="2"/>
      <x:c r="F146" s="2"/>
      <x:c r="G146" s="2"/>
      <x:c r="H146" s="2"/>
      <x:c r="I146" s="2"/>
    </x:row>
    <x:row r="147" ht="21" customHeight="1">
      <x:c r="C147" s="1"/>
      <x:c r="D147" s="2"/>
      <x:c r="E147" s="2"/>
      <x:c r="F147" s="2"/>
      <x:c r="G147" s="2"/>
      <x:c r="H147" s="2"/>
      <x:c r="I147" s="2"/>
    </x:row>
    <x:row r="148" ht="21" customHeight="1">
      <x:c r="C148" s="1"/>
      <x:c r="D148" s="2"/>
      <x:c r="E148" s="2"/>
      <x:c r="F148" s="2"/>
      <x:c r="G148" s="2"/>
      <x:c r="H148" s="2"/>
      <x:c r="I148" s="2"/>
    </x:row>
    <x:row r="149" ht="21" customHeight="1">
      <x:c r="C149" s="1"/>
      <x:c r="D149" s="2"/>
      <x:c r="E149" s="2"/>
      <x:c r="F149" s="2"/>
      <x:c r="G149" s="2"/>
      <x:c r="H149" s="2"/>
      <x:c r="I149" s="2"/>
    </x:row>
    <x:row r="150" ht="21" customHeight="1">
      <x:c r="C150" s="1"/>
      <x:c r="D150" s="2"/>
      <x:c r="E150" s="2"/>
      <x:c r="F150" s="2"/>
      <x:c r="G150" s="2"/>
      <x:c r="H150" s="2"/>
      <x:c r="I150" s="2"/>
    </x:row>
    <x:row r="151" ht="21" customHeight="1">
      <x:c r="C151" s="1"/>
      <x:c r="D151" s="2"/>
      <x:c r="E151" s="2"/>
      <x:c r="F151" s="2"/>
      <x:c r="G151" s="2"/>
      <x:c r="H151" s="2"/>
      <x:c r="I151" s="2"/>
    </x:row>
    <x:row r="152" ht="21" customHeight="1">
      <x:c r="C152" s="1"/>
      <x:c r="D152" s="2"/>
      <x:c r="E152" s="2"/>
      <x:c r="F152" s="2"/>
      <x:c r="G152" s="2"/>
      <x:c r="H152" s="2"/>
      <x:c r="I152" s="2"/>
    </x:row>
    <x:row r="153" ht="21" customHeight="1">
      <x:c r="C153" s="1"/>
      <x:c r="D153" s="2"/>
      <x:c r="E153" s="2"/>
      <x:c r="F153" s="2"/>
      <x:c r="G153" s="2"/>
      <x:c r="H153" s="2"/>
      <x:c r="I153" s="2"/>
    </x:row>
    <x:row r="154" ht="21" customHeight="1">
      <x:c r="C154" s="1"/>
      <x:c r="D154" s="2"/>
      <x:c r="E154" s="2"/>
      <x:c r="F154" s="2"/>
      <x:c r="G154" s="2"/>
      <x:c r="H154" s="2"/>
      <x:c r="I154" s="2"/>
    </x:row>
    <x:row r="155" ht="21" customHeight="1">
      <x:c r="C155" s="1"/>
      <x:c r="D155" s="2"/>
      <x:c r="E155" s="2"/>
      <x:c r="F155" s="2"/>
      <x:c r="G155" s="2"/>
      <x:c r="H155" s="2"/>
      <x:c r="I155" s="2"/>
    </x:row>
    <x:row r="156" ht="21" customHeight="1">
      <x:c r="C156" s="1"/>
      <x:c r="D156" s="2"/>
      <x:c r="E156" s="2"/>
      <x:c r="F156" s="2"/>
      <x:c r="G156" s="2"/>
      <x:c r="H156" s="2"/>
      <x:c r="I156" s="2"/>
    </x:row>
    <x:row r="157" ht="21" customHeight="1">
      <x:c r="C157" s="1"/>
      <x:c r="D157" s="2"/>
      <x:c r="E157" s="2"/>
      <x:c r="F157" s="2"/>
      <x:c r="G157" s="2"/>
      <x:c r="H157" s="2"/>
      <x:c r="I157" s="2"/>
    </x:row>
    <x:row r="158" ht="21" customHeight="1">
      <x:c r="C158" s="1"/>
      <x:c r="D158" s="2"/>
      <x:c r="E158" s="2"/>
      <x:c r="F158" s="2"/>
      <x:c r="G158" s="2"/>
      <x:c r="H158" s="2"/>
      <x:c r="I158" s="2"/>
    </x:row>
    <x:row r="159" ht="21" customHeight="1">
      <x:c r="C159" s="1"/>
      <x:c r="D159" s="2"/>
      <x:c r="E159" s="2"/>
      <x:c r="F159" s="2"/>
      <x:c r="G159" s="2"/>
      <x:c r="H159" s="2"/>
      <x:c r="I159" s="2"/>
    </x:row>
    <x:row r="160" ht="21" customHeight="1">
      <x:c r="C160" s="1"/>
      <x:c r="D160" s="2"/>
      <x:c r="E160" s="2"/>
      <x:c r="F160" s="2"/>
      <x:c r="G160" s="2"/>
      <x:c r="H160" s="2"/>
      <x:c r="I160" s="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53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21" customHeight="1">
      <x:c r="C1" s="1"/>
      <x:c r="D1" s="1"/>
      <x:c r="E1" s="1"/>
      <x:c r="F1" s="1"/>
      <x:c r="G1" s="1"/>
      <x:c r="H1" s="1"/>
      <x:c r="I1" s="1"/>
    </x:row>
    <x:row r="2" ht="21" customHeight="1">
      <x:c r="C2" s="4" t="str">
        <x:v>创科实业 TTI</x:v>
      </x:c>
      <x:c r="D2" s="4"/>
      <x:c r="E2" s="4"/>
      <x:c r="F2" s="4"/>
      <x:c r="G2" s="4"/>
      <x:c r="H2" s="4"/>
      <x:c r="I2" s="4"/>
    </x:row>
    <x:row r="3" ht="21" customHeight="1">
      <x:c r="C3" s="5" t="str">
        <x:v>FixedAssets · USD million · December year-end</x:v>
      </x:c>
      <x:c r="D3" s="5"/>
      <x:c r="E3" s="5"/>
      <x:c r="F3" s="5"/>
      <x:c r="G3" s="5"/>
      <x:c r="H3" s="5"/>
      <x:c r="I3" s="5"/>
    </x:row>
    <x:row r="4" ht="21" customHeight="1">
      <x:c r="C4" s="1"/>
      <x:c r="D4" s="1"/>
      <x:c r="E4" s="1"/>
      <x:c r="F4" s="1"/>
      <x:c r="G4" s="1"/>
      <x:c r="H4" s="1"/>
      <x:c r="I4" s="1"/>
    </x:row>
    <x:row r="5" ht="21" customHeight="1">
      <x:c r="C5" s="1"/>
      <x:c r="D5" s="1"/>
      <x:c r="E5" s="1"/>
      <x:c r="F5" s="1"/>
      <x:c r="G5" s="1"/>
      <x:c r="H5" s="1"/>
      <x:c r="I5" s="1"/>
    </x:row>
    <x:row r="6" ht="21" customHeight="1">
      <x:c r="C6" s="1"/>
      <x:c r="D6" s="1"/>
      <x:c r="E6" s="1"/>
      <x:c r="F6" s="1"/>
      <x:c r="G6" s="1"/>
      <x:c r="H6" s="1"/>
      <x:c r="I6" s="1"/>
    </x:row>
    <x:row r="7" ht="21" customHeight="1">
      <x:c r="C7" s="12"/>
      <x:c r="D7" s="13" t="n">
        <x:f>'Assumptions'!D7</x:f>
        <x:v>45291</x:v>
      </x:c>
      <x:c r="E7" s="13" t="n">
        <x:f>'Assumptions'!E7</x:f>
        <x:v>45657</x:v>
      </x:c>
      <x:c r="F7" s="13" t="n">
        <x:f>'Assumptions'!F7</x:f>
        <x:v>46022</x:v>
      </x:c>
      <x:c r="G7" s="14" t="n">
        <x:f>'Assumptions'!G7</x:f>
        <x:v>46387</x:v>
      </x:c>
      <x:c r="H7" s="14" t="n">
        <x:f>'Assumptions'!H7</x:f>
        <x:v>46752</x:v>
      </x:c>
      <x:c r="I7" s="14" t="n">
        <x:f>'Assumptions'!I7</x:f>
        <x:v>47118</x:v>
      </x:c>
    </x:row>
    <x:row r="8" ht="21" customHeight="1">
      <x:c r="C8" s="1"/>
      <x:c r="D8" s="2"/>
      <x:c r="E8" s="2"/>
      <x:c r="F8" s="2"/>
      <x:c r="G8" s="2"/>
      <x:c r="H8" s="2"/>
      <x:c r="I8" s="2"/>
    </x:row>
    <x:row r="9" ht="21" customHeight="1">
      <x:c r="C9" s="12" t="str">
        <x:v>PPE / CIP</x:v>
      </x:c>
      <x:c r="D9" s="25"/>
      <x:c r="E9" s="25"/>
      <x:c r="F9" s="25"/>
      <x:c r="G9" s="25"/>
      <x:c r="H9" s="25"/>
      <x:c r="I9" s="25"/>
    </x:row>
    <x:row r="10" ht="21" customHeight="1">
      <x:c r="C10" s="1" t="str">
        <x:v>Opening balance</x:v>
      </x:c>
      <x:c r="D10" s="2"/>
      <x:c r="E10" s="2"/>
      <x:c r="F10" s="2"/>
      <x:c r="G10" s="19" t="n">
        <x:f>'SourceFacts'!F35</x:f>
        <x:v>2244.108</x:v>
      </x:c>
      <x:c r="H10" s="27" t="n">
        <x:f>G14</x:f>
        <x:v>2058.7698447597113</x:v>
      </x:c>
      <x:c r="I10" s="27" t="n">
        <x:f>H14</x:f>
        <x:v>1930.8032540321435</x:v>
      </x:c>
    </x:row>
    <x:row r="11" ht="21" customHeight="1">
      <x:c r="C11" s="1" t="str">
        <x:v>Cash capex / non-cash lease additions</x:v>
      </x:c>
      <x:c r="D11" s="2"/>
      <x:c r="E11" s="2"/>
      <x:c r="F11" s="2"/>
      <x:c r="G11" s="19" t="n">
        <x:f>'Statements'!G10*MAX(0,'Assumptions'!G31)</x:f>
        <x:v>307.36170055655015</x:v>
      </x:c>
      <x:c r="H11" s="19" t="n">
        <x:f>'Statements'!H10*MAX(0,'Assumptions'!H31)</x:f>
        <x:v>328.8583904555697</x:v>
      </x:c>
      <x:c r="I11" s="19" t="n">
        <x:f>'Statements'!I10*MAX(0,'Assumptions'!I31)</x:f>
        <x:v>352.17874474718985</x:v>
      </x:c>
    </x:row>
    <x:row r="12" ht="21" customHeight="1">
      <x:c r="C12" s="1" t="str">
        <x:v>Depreciation / amortization requested</x:v>
      </x:c>
      <x:c r="D12" s="2"/>
      <x:c r="E12" s="2"/>
      <x:c r="F12" s="2"/>
      <x:c r="G12" s="19" t="n">
        <x:f>(G10+G11*0.5)*'Assumptions'!G33</x:f>
        <x:v>492.69985579683913</x:v>
      </x:c>
      <x:c r="H12" s="19" t="n">
        <x:f>(H10+H11*0.5)*'Assumptions'!H33</x:f>
        <x:v>456.8249811831377</x:v>
      </x:c>
      <x:c r="I12" s="19" t="n">
        <x:f>(I10+I11*0.5)*'Assumptions'!I33</x:f>
        <x:v>432.9262324699935</x:v>
      </x:c>
    </x:row>
    <x:row r="13" ht="21" customHeight="1">
      <x:c r="C13" s="1" t="str">
        <x:v>Effective depreciation / amortization</x:v>
      </x:c>
      <x:c r="D13" s="2"/>
      <x:c r="E13" s="2"/>
      <x:c r="F13" s="2"/>
      <x:c r="G13" s="27" t="n">
        <x:f>MIN(MAX(0,G12),G10+G11)</x:f>
        <x:v>492.69985579683913</x:v>
      </x:c>
      <x:c r="H13" s="27" t="n">
        <x:f>MIN(MAX(0,H12),H10+H11)</x:f>
        <x:v>456.8249811831377</x:v>
      </x:c>
      <x:c r="I13" s="27" t="n">
        <x:f>MIN(MAX(0,I12),I10+I11)</x:f>
        <x:v>432.9262324699935</x:v>
      </x:c>
    </x:row>
    <x:row r="14" ht="21" customHeight="1">
      <x:c r="C14" s="1" t="str">
        <x:v>Closing balance</x:v>
      </x:c>
      <x:c r="D14" s="2"/>
      <x:c r="E14" s="2"/>
      <x:c r="F14" s="2"/>
      <x:c r="G14" s="27" t="n">
        <x:f>G10+G11-G13</x:f>
        <x:v>2058.7698447597113</x:v>
      </x:c>
      <x:c r="H14" s="27" t="n">
        <x:f>H10+H11-H13</x:f>
        <x:v>1930.8032540321435</x:v>
      </x:c>
      <x:c r="I14" s="27" t="n">
        <x:f>I10+I11-I13</x:f>
        <x:v>1850.05576630934</x:v>
      </x:c>
    </x:row>
    <x:row r="15" ht="21" customHeight="1">
      <x:c r="C15" s="1" t="str">
        <x:v>Depreciation request above available asset</x:v>
      </x:c>
      <x:c r="D15" s="2"/>
      <x:c r="E15" s="2"/>
      <x:c r="F15" s="2"/>
      <x:c r="G15" s="27" t="n">
        <x:f>MAX(0,G12-G13)</x:f>
        <x:v>0</x:v>
      </x:c>
      <x:c r="H15" s="27" t="n">
        <x:f>MAX(0,H12-H13)</x:f>
        <x:v>0</x:v>
      </x:c>
      <x:c r="I15" s="27" t="n">
        <x:f>MAX(0,I12-I13)</x:f>
        <x:v>0</x:v>
      </x:c>
    </x:row>
    <x:row r="16" ht="21" customHeight="1">
      <x:c r="C16" s="1"/>
      <x:c r="D16" s="2"/>
      <x:c r="E16" s="2"/>
      <x:c r="F16" s="2"/>
      <x:c r="G16" s="2"/>
      <x:c r="H16" s="2"/>
      <x:c r="I16" s="2"/>
    </x:row>
    <x:row r="17" ht="21" customHeight="1">
      <x:c r="C17" s="1"/>
      <x:c r="D17" s="2"/>
      <x:c r="E17" s="2"/>
      <x:c r="F17" s="2"/>
      <x:c r="G17" s="2"/>
      <x:c r="H17" s="2"/>
      <x:c r="I17" s="2"/>
    </x:row>
    <x:row r="18" ht="21" customHeight="1">
      <x:c r="C18" s="1"/>
      <x:c r="D18" s="2"/>
      <x:c r="E18" s="2"/>
      <x:c r="F18" s="2"/>
      <x:c r="G18" s="2"/>
      <x:c r="H18" s="2"/>
      <x:c r="I18" s="2"/>
    </x:row>
    <x:row r="19" ht="21" customHeight="1">
      <x:c r="C19" s="12" t="str">
        <x:v>Intangibles and capitalized development</x:v>
      </x:c>
      <x:c r="D19" s="25"/>
      <x:c r="E19" s="25"/>
      <x:c r="F19" s="25"/>
      <x:c r="G19" s="25"/>
      <x:c r="H19" s="25"/>
      <x:c r="I19" s="25"/>
    </x:row>
    <x:row r="20" ht="21" customHeight="1">
      <x:c r="C20" s="1" t="str">
        <x:v>Opening balance</x:v>
      </x:c>
      <x:c r="D20" s="2"/>
      <x:c r="E20" s="2"/>
      <x:c r="F20" s="2"/>
      <x:c r="G20" s="19" t="n">
        <x:f>'SourceFacts'!F36</x:f>
        <x:v>1247.924</x:v>
      </x:c>
      <x:c r="H20" s="27" t="n">
        <x:f>G24</x:f>
        <x:v>1278.5391061590294</x:v>
      </x:c>
      <x:c r="I20" s="27" t="n">
        <x:f>H24</x:f>
        <x:v>1322.9387720829895</x:v>
      </x:c>
    </x:row>
    <x:row r="21" ht="21" customHeight="1">
      <x:c r="C21" s="1" t="str">
        <x:v>Cash capex / non-cash lease additions</x:v>
      </x:c>
      <x:c r="D21" s="2"/>
      <x:c r="E21" s="2"/>
      <x:c r="F21" s="2"/>
      <x:c r="G21" s="19" t="n">
        <x:f>'Statements'!G10*MAX(0,'Assumptions'!G32)</x:f>
        <x:v>319.9070760894706</x:v>
      </x:c>
      <x:c r="H21" s="19" t="n">
        <x:f>'Statements'!H10*MAX(0,'Assumptions'!H32)</x:f>
        <x:v>342.2811819027358</x:v>
      </x:c>
      <x:c r="I21" s="19" t="n">
        <x:f>'Statements'!I10*MAX(0,'Assumptions'!I32)</x:f>
        <x:v>366.5533873899323</x:v>
      </x:c>
    </x:row>
    <x:row r="22" ht="21" customHeight="1">
      <x:c r="C22" s="1" t="str">
        <x:v>Depreciation / amortization requested</x:v>
      </x:c>
      <x:c r="D22" s="2"/>
      <x:c r="E22" s="2"/>
      <x:c r="F22" s="2"/>
      <x:c r="G22" s="19" t="n">
        <x:f>(G20+G21*0.5)*'Assumptions'!G34</x:f>
        <x:v>289.29196993044116</x:v>
      </x:c>
      <x:c r="H22" s="19" t="n">
        <x:f>(H20+H21*0.5)*'Assumptions'!H34</x:f>
        <x:v>297.8815159787756</x:v>
      </x:c>
      <x:c r="I22" s="19" t="n">
        <x:f>(I20+I21*0.5)*'Assumptions'!I34</x:f>
        <x:v>309.49853766383217</x:v>
      </x:c>
    </x:row>
    <x:row r="23" ht="21" customHeight="1">
      <x:c r="C23" s="1" t="str">
        <x:v>Effective depreciation / amortization</x:v>
      </x:c>
      <x:c r="D23" s="2"/>
      <x:c r="E23" s="2"/>
      <x:c r="F23" s="2"/>
      <x:c r="G23" s="27" t="n">
        <x:f>MIN(MAX(0,G22),G20+G21)</x:f>
        <x:v>289.29196993044116</x:v>
      </x:c>
      <x:c r="H23" s="27" t="n">
        <x:f>MIN(MAX(0,H22),H20+H21)</x:f>
        <x:v>297.8815159787756</x:v>
      </x:c>
      <x:c r="I23" s="27" t="n">
        <x:f>MIN(MAX(0,I22),I20+I21)</x:f>
        <x:v>309.49853766383217</x:v>
      </x:c>
    </x:row>
    <x:row r="24" ht="21" customHeight="1">
      <x:c r="C24" s="1" t="str">
        <x:v>Closing balance</x:v>
      </x:c>
      <x:c r="D24" s="2"/>
      <x:c r="E24" s="2"/>
      <x:c r="F24" s="2"/>
      <x:c r="G24" s="27" t="n">
        <x:f>G20+G21-G23</x:f>
        <x:v>1278.5391061590294</x:v>
      </x:c>
      <x:c r="H24" s="27" t="n">
        <x:f>H20+H21-H23</x:f>
        <x:v>1322.9387720829895</x:v>
      </x:c>
      <x:c r="I24" s="27" t="n">
        <x:f>I20+I21-I23</x:f>
        <x:v>1379.9936218090897</x:v>
      </x:c>
    </x:row>
    <x:row r="25" ht="21" customHeight="1">
      <x:c r="C25" s="1" t="str">
        <x:v>Depreciation request above available asset</x:v>
      </x:c>
      <x:c r="D25" s="2"/>
      <x:c r="E25" s="2"/>
      <x:c r="F25" s="2"/>
      <x:c r="G25" s="27" t="n">
        <x:f>MAX(0,G22-G23)</x:f>
        <x:v>0</x:v>
      </x:c>
      <x:c r="H25" s="27" t="n">
        <x:f>MAX(0,H22-H23)</x:f>
        <x:v>0</x:v>
      </x:c>
      <x:c r="I25" s="27" t="n">
        <x:f>MAX(0,I22-I23)</x:f>
        <x:v>0</x:v>
      </x:c>
    </x:row>
    <x:row r="26" ht="21" customHeight="1">
      <x:c r="C26" s="1"/>
      <x:c r="D26" s="2"/>
      <x:c r="E26" s="2"/>
      <x:c r="F26" s="2"/>
      <x:c r="G26" s="2"/>
      <x:c r="H26" s="2"/>
      <x:c r="I26" s="2"/>
    </x:row>
    <x:row r="27" ht="21" customHeight="1">
      <x:c r="C27" s="1"/>
      <x:c r="D27" s="2"/>
      <x:c r="E27" s="2"/>
      <x:c r="F27" s="2"/>
      <x:c r="G27" s="2"/>
      <x:c r="H27" s="2"/>
      <x:c r="I27" s="2"/>
    </x:row>
    <x:row r="28" ht="21" customHeight="1">
      <x:c r="C28" s="1"/>
      <x:c r="D28" s="2"/>
      <x:c r="E28" s="2"/>
      <x:c r="F28" s="2"/>
      <x:c r="G28" s="2"/>
      <x:c r="H28" s="2"/>
      <x:c r="I28" s="2"/>
    </x:row>
    <x:row r="29" ht="21" customHeight="1">
      <x:c r="C29" s="12" t="str">
        <x:v>Right-of-use assets</x:v>
      </x:c>
      <x:c r="D29" s="25"/>
      <x:c r="E29" s="25"/>
      <x:c r="F29" s="25"/>
      <x:c r="G29" s="25"/>
      <x:c r="H29" s="25"/>
      <x:c r="I29" s="25"/>
    </x:row>
    <x:row r="30" ht="21" customHeight="1">
      <x:c r="C30" s="1" t="str">
        <x:v>Opening balance</x:v>
      </x:c>
      <x:c r="D30" s="2"/>
      <x:c r="E30" s="2"/>
      <x:c r="F30" s="2"/>
      <x:c r="G30" s="19" t="n">
        <x:f>'SourceFacts'!F37</x:f>
        <x:v>739.047</x:v>
      </x:c>
      <x:c r="H30" s="27" t="n">
        <x:f>G34</x:f>
        <x:v>686.6544892406405</x:v>
      </x:c>
      <x:c r="I30" s="27" t="n">
        <x:f>H34</x:f>
        <x:v>645.0276397249618</x:v>
      </x:c>
    </x:row>
    <x:row r="31" ht="21" customHeight="1">
      <x:c r="C31" s="1" t="str">
        <x:v>Cash capex / non-cash lease additions</x:v>
      </x:c>
      <x:c r="D31" s="2"/>
      <x:c r="E31" s="2"/>
      <x:c r="F31" s="2"/>
      <x:c r="G31" s="19" t="n">
        <x:f>MAX(0,'Assumptions'!G36)</x:f>
        <x:v>110.85705</x:v>
      </x:c>
      <x:c r="H31" s="19" t="n">
        <x:f>MAX(0,'Assumptions'!H36)</x:f>
        <x:v>110.85705</x:v>
      </x:c>
      <x:c r="I31" s="19" t="n">
        <x:f>MAX(0,'Assumptions'!I36)</x:f>
        <x:v>110.85705</x:v>
      </x:c>
    </x:row>
    <x:row r="32" ht="21" customHeight="1">
      <x:c r="C32" s="1" t="str">
        <x:v>Depreciation / amortization requested</x:v>
      </x:c>
      <x:c r="D32" s="2"/>
      <x:c r="E32" s="2"/>
      <x:c r="F32" s="2"/>
      <x:c r="G32" s="19" t="n">
        <x:f>(G30+G31*0.5)*'Assumptions'!G35</x:f>
        <x:v>163.2495607593595</x:v>
      </x:c>
      <x:c r="H32" s="19" t="n">
        <x:f>(H30+H31*0.5)*'Assumptions'!H35</x:f>
        <x:v>152.4838995156787</x:v>
      </x:c>
      <x:c r="I32" s="19" t="n">
        <x:f>(I30+I31*0.5)*'Assumptions'!I35</x:f>
        <x:v>143.93037623473117</x:v>
      </x:c>
    </x:row>
    <x:row r="33" ht="21" customHeight="1">
      <x:c r="C33" s="1" t="str">
        <x:v>Effective depreciation / amortization</x:v>
      </x:c>
      <x:c r="D33" s="2"/>
      <x:c r="E33" s="2"/>
      <x:c r="F33" s="2"/>
      <x:c r="G33" s="27" t="n">
        <x:f>MIN(MAX(0,G32),G30+G31)</x:f>
        <x:v>163.2495607593595</x:v>
      </x:c>
      <x:c r="H33" s="27" t="n">
        <x:f>MIN(MAX(0,H32),H30+H31)</x:f>
        <x:v>152.4838995156787</x:v>
      </x:c>
      <x:c r="I33" s="27" t="n">
        <x:f>MIN(MAX(0,I32),I30+I31)</x:f>
        <x:v>143.93037623473117</x:v>
      </x:c>
    </x:row>
    <x:row r="34" ht="21" customHeight="1">
      <x:c r="C34" s="1" t="str">
        <x:v>Closing balance</x:v>
      </x:c>
      <x:c r="D34" s="2"/>
      <x:c r="E34" s="2"/>
      <x:c r="F34" s="2"/>
      <x:c r="G34" s="27" t="n">
        <x:f>G30+G31-G33</x:f>
        <x:v>686.6544892406405</x:v>
      </x:c>
      <x:c r="H34" s="27" t="n">
        <x:f>H30+H31-H33</x:f>
        <x:v>645.0276397249618</x:v>
      </x:c>
      <x:c r="I34" s="27" t="n">
        <x:f>I30+I31-I33</x:f>
        <x:v>611.9543134902306</x:v>
      </x:c>
    </x:row>
    <x:row r="35" ht="21" customHeight="1">
      <x:c r="C35" s="1" t="str">
        <x:v>Depreciation request above available asset</x:v>
      </x:c>
      <x:c r="D35" s="2"/>
      <x:c r="E35" s="2"/>
      <x:c r="F35" s="2"/>
      <x:c r="G35" s="27" t="n">
        <x:f>MAX(0,G32-G33)</x:f>
        <x:v>0</x:v>
      </x:c>
      <x:c r="H35" s="27" t="n">
        <x:f>MAX(0,H32-H33)</x:f>
        <x:v>0</x:v>
      </x:c>
      <x:c r="I35" s="27" t="n">
        <x:f>MAX(0,I32-I33)</x:f>
        <x:v>0</x:v>
      </x:c>
    </x:row>
    <x:row r="36" ht="21" customHeight="1">
      <x:c r="C36" s="1"/>
      <x:c r="D36" s="2"/>
      <x:c r="E36" s="2"/>
      <x:c r="F36" s="2"/>
      <x:c r="G36" s="2"/>
      <x:c r="H36" s="2"/>
      <x:c r="I36" s="2"/>
    </x:row>
    <x:row r="37" ht="21" customHeight="1">
      <x:c r="C37" s="1"/>
      <x:c r="D37" s="2"/>
      <x:c r="E37" s="2"/>
      <x:c r="F37" s="2"/>
      <x:c r="G37" s="2"/>
      <x:c r="H37" s="2"/>
      <x:c r="I37" s="2"/>
    </x:row>
    <x:row r="38" ht="21" customHeight="1">
      <x:c r="C38" s="1"/>
      <x:c r="D38" s="2"/>
      <x:c r="E38" s="2"/>
      <x:c r="F38" s="2"/>
      <x:c r="G38" s="2"/>
      <x:c r="H38" s="2"/>
      <x:c r="I38" s="2"/>
    </x:row>
    <x:row r="39" ht="21" customHeight="1">
      <x:c r="C39" s="1" t="str">
        <x:v>Total depreciation and amortization</x:v>
      </x:c>
      <x:c r="D39" s="2"/>
      <x:c r="E39" s="2"/>
      <x:c r="F39" s="2"/>
      <x:c r="G39" s="27" t="n">
        <x:f>G13+G23+G33</x:f>
        <x:v>945.2413864866397</x:v>
      </x:c>
      <x:c r="H39" s="27" t="n">
        <x:f>H13+H23+H33</x:f>
        <x:v>907.190396677592</x:v>
      </x:c>
      <x:c r="I39" s="27" t="n">
        <x:f>I13+I23+I33</x:f>
        <x:v>886.3551463685568</x:v>
      </x:c>
    </x:row>
    <x:row r="40" ht="21" customHeight="1">
      <x:c r="C40" s="1" t="str">
        <x:v>Total cash capex</x:v>
      </x:c>
      <x:c r="D40" s="2"/>
      <x:c r="E40" s="2"/>
      <x:c r="F40" s="2"/>
      <x:c r="G40" s="27" t="n">
        <x:f>G11+G21</x:f>
        <x:v>627.2687766460208</x:v>
      </x:c>
      <x:c r="H40" s="27" t="n">
        <x:f>H11+H21</x:f>
        <x:v>671.1395723583055</x:v>
      </x:c>
      <x:c r="I40" s="27" t="n">
        <x:f>I11+I21</x:f>
        <x:v>718.7321321371221</x:v>
      </x:c>
    </x:row>
    <x:row r="41" ht="21" customHeight="1">
      <x:c r="C41" s="1"/>
      <x:c r="D41" s="2"/>
      <x:c r="E41" s="2"/>
      <x:c r="F41" s="2"/>
      <x:c r="G41" s="2"/>
      <x:c r="H41" s="2"/>
      <x:c r="I41" s="2"/>
    </x:row>
    <x:row r="42" ht="21" customHeight="1">
      <x:c r="C42" s="1"/>
      <x:c r="D42" s="2"/>
      <x:c r="E42" s="2"/>
      <x:c r="F42" s="2"/>
      <x:c r="G42" s="2"/>
      <x:c r="H42" s="2"/>
      <x:c r="I42" s="2"/>
    </x:row>
    <x:row r="43" ht="21" customHeight="1">
      <x:c r="C43" s="1"/>
      <x:c r="D43" s="2"/>
      <x:c r="E43" s="2"/>
      <x:c r="F43" s="2"/>
      <x:c r="G43" s="2"/>
      <x:c r="H43" s="2"/>
      <x:c r="I43" s="2"/>
    </x:row>
    <x:row r="44" ht="21" customHeight="1">
      <x:c r="C44" s="1"/>
      <x:c r="D44" s="2"/>
      <x:c r="E44" s="2"/>
      <x:c r="F44" s="2"/>
      <x:c r="G44" s="2"/>
      <x:c r="H44" s="2"/>
      <x:c r="I44" s="2"/>
    </x:row>
    <x:row r="45" ht="21" customHeight="1">
      <x:c r="C45" s="1"/>
      <x:c r="D45" s="2"/>
      <x:c r="E45" s="2"/>
      <x:c r="F45" s="2"/>
      <x:c r="G45" s="2"/>
      <x:c r="H45" s="2"/>
      <x:c r="I45" s="2"/>
    </x:row>
    <x:row r="46" ht="21" customHeight="1">
      <x:c r="C46" s="1"/>
      <x:c r="D46" s="2"/>
      <x:c r="E46" s="2"/>
      <x:c r="F46" s="2"/>
      <x:c r="G46" s="2"/>
      <x:c r="H46" s="2"/>
      <x:c r="I46" s="2"/>
    </x:row>
    <x:row r="47" ht="21" customHeight="1">
      <x:c r="C47" s="1"/>
      <x:c r="D47" s="2"/>
      <x:c r="E47" s="2"/>
      <x:c r="F47" s="2"/>
      <x:c r="G47" s="2"/>
      <x:c r="H47" s="2"/>
      <x:c r="I47" s="2"/>
    </x:row>
    <x:row r="48" ht="21" customHeight="1">
      <x:c r="C48" s="1"/>
      <x:c r="D48" s="2"/>
      <x:c r="E48" s="2"/>
      <x:c r="F48" s="2"/>
      <x:c r="G48" s="2"/>
      <x:c r="H48" s="2"/>
      <x:c r="I48" s="2"/>
    </x:row>
    <x:row r="49" ht="21" customHeight="1">
      <x:c r="C49" s="1"/>
      <x:c r="D49" s="2"/>
      <x:c r="E49" s="2"/>
      <x:c r="F49" s="2"/>
      <x:c r="G49" s="2"/>
      <x:c r="H49" s="2"/>
      <x:c r="I49" s="2"/>
    </x:row>
    <x:row r="50" ht="21" customHeight="1">
      <x:c r="C50" s="1"/>
      <x:c r="D50" s="2"/>
      <x:c r="E50" s="2"/>
      <x:c r="F50" s="2"/>
      <x:c r="G50" s="2"/>
      <x:c r="H50" s="2"/>
      <x:c r="I50" s="2"/>
    </x:row>
    <x:row r="51" ht="21" customHeight="1">
      <x:c r="C51" s="1"/>
      <x:c r="D51" s="2"/>
      <x:c r="E51" s="2"/>
      <x:c r="F51" s="2"/>
      <x:c r="G51" s="2"/>
      <x:c r="H51" s="2"/>
      <x:c r="I51" s="2"/>
    </x:row>
    <x:row r="52" ht="21" customHeight="1">
      <x:c r="C52" s="1"/>
      <x:c r="D52" s="2"/>
      <x:c r="E52" s="2"/>
      <x:c r="F52" s="2"/>
      <x:c r="G52" s="2"/>
      <x:c r="H52" s="2"/>
      <x:c r="I52" s="2"/>
    </x:row>
    <x:row r="53" ht="21" customHeight="1">
      <x:c r="C53" s="1"/>
      <x:c r="D53" s="2"/>
      <x:c r="E53" s="2"/>
      <x:c r="F53" s="2"/>
      <x:c r="G53" s="2"/>
      <x:c r="H53" s="2"/>
      <x:c r="I53" s="2"/>
    </x:row>
    <x:row r="54" ht="21" customHeight="1">
      <x:c r="C54" s="1"/>
      <x:c r="D54" s="2"/>
      <x:c r="E54" s="2"/>
      <x:c r="F54" s="2"/>
      <x:c r="G54" s="2"/>
      <x:c r="H54" s="2"/>
      <x:c r="I54" s="2"/>
    </x:row>
    <x:row r="55" ht="21" customHeight="1">
      <x:c r="C55" s="1"/>
      <x:c r="D55" s="2"/>
      <x:c r="E55" s="2"/>
      <x:c r="F55" s="2"/>
      <x:c r="G55" s="2"/>
      <x:c r="H55" s="2"/>
      <x:c r="I55" s="2"/>
    </x:row>
    <x:row r="56" ht="21" customHeight="1">
      <x:c r="C56" s="1"/>
      <x:c r="D56" s="2"/>
      <x:c r="E56" s="2"/>
      <x:c r="F56" s="2"/>
      <x:c r="G56" s="2"/>
      <x:c r="H56" s="2"/>
      <x:c r="I56" s="2"/>
    </x:row>
    <x:row r="57" ht="21" customHeight="1">
      <x:c r="C57" s="1"/>
      <x:c r="D57" s="2"/>
      <x:c r="E57" s="2"/>
      <x:c r="F57" s="2"/>
      <x:c r="G57" s="2"/>
      <x:c r="H57" s="2"/>
      <x:c r="I57" s="2"/>
    </x:row>
    <x:row r="58" ht="21" customHeight="1">
      <x:c r="C58" s="1"/>
      <x:c r="D58" s="2"/>
      <x:c r="E58" s="2"/>
      <x:c r="F58" s="2"/>
      <x:c r="G58" s="2"/>
      <x:c r="H58" s="2"/>
      <x:c r="I58" s="2"/>
    </x:row>
    <x:row r="59" ht="21" customHeight="1">
      <x:c r="C59" s="1"/>
      <x:c r="D59" s="2"/>
      <x:c r="E59" s="2"/>
      <x:c r="F59" s="2"/>
      <x:c r="G59" s="2"/>
      <x:c r="H59" s="2"/>
      <x:c r="I59" s="2"/>
    </x:row>
    <x:row r="60" ht="21" customHeight="1">
      <x:c r="C60" s="1"/>
      <x:c r="D60" s="2"/>
      <x:c r="E60" s="2"/>
      <x:c r="F60" s="2"/>
      <x:c r="G60" s="2"/>
      <x:c r="H60" s="2"/>
      <x:c r="I60" s="2"/>
    </x:row>
    <x:row r="61" ht="21" customHeight="1">
      <x:c r="C61" s="1"/>
      <x:c r="D61" s="2"/>
      <x:c r="E61" s="2"/>
      <x:c r="F61" s="2"/>
      <x:c r="G61" s="2"/>
      <x:c r="H61" s="2"/>
      <x:c r="I61" s="2"/>
    </x:row>
    <x:row r="62" ht="21" customHeight="1">
      <x:c r="C62" s="1"/>
      <x:c r="D62" s="2"/>
      <x:c r="E62" s="2"/>
      <x:c r="F62" s="2"/>
      <x:c r="G62" s="2"/>
      <x:c r="H62" s="2"/>
      <x:c r="I62" s="2"/>
    </x:row>
    <x:row r="63" ht="21" customHeight="1">
      <x:c r="C63" s="1"/>
      <x:c r="D63" s="2"/>
      <x:c r="E63" s="2"/>
      <x:c r="F63" s="2"/>
      <x:c r="G63" s="2"/>
      <x:c r="H63" s="2"/>
      <x:c r="I63" s="2"/>
    </x:row>
    <x:row r="64" ht="21" customHeight="1">
      <x:c r="C64" s="1"/>
      <x:c r="D64" s="2"/>
      <x:c r="E64" s="2"/>
      <x:c r="F64" s="2"/>
      <x:c r="G64" s="2"/>
      <x:c r="H64" s="2"/>
      <x:c r="I64" s="2"/>
    </x:row>
    <x:row r="65" ht="21" customHeight="1">
      <x:c r="C65" s="1"/>
      <x:c r="D65" s="2"/>
      <x:c r="E65" s="2"/>
      <x:c r="F65" s="2"/>
      <x:c r="G65" s="2"/>
      <x:c r="H65" s="2"/>
      <x:c r="I65" s="2"/>
    </x:row>
    <x:row r="66" ht="21" customHeight="1">
      <x:c r="C66" s="1"/>
      <x:c r="D66" s="2"/>
      <x:c r="E66" s="2"/>
      <x:c r="F66" s="2"/>
      <x:c r="G66" s="2"/>
      <x:c r="H66" s="2"/>
      <x:c r="I66" s="2"/>
    </x:row>
    <x:row r="67" ht="21" customHeight="1">
      <x:c r="C67" s="1"/>
      <x:c r="D67" s="2"/>
      <x:c r="E67" s="2"/>
      <x:c r="F67" s="2"/>
      <x:c r="G67" s="2"/>
      <x:c r="H67" s="2"/>
      <x:c r="I67" s="2"/>
    </x:row>
    <x:row r="68" ht="21" customHeight="1">
      <x:c r="C68" s="1"/>
      <x:c r="D68" s="2"/>
      <x:c r="E68" s="2"/>
      <x:c r="F68" s="2"/>
      <x:c r="G68" s="2"/>
      <x:c r="H68" s="2"/>
      <x:c r="I68" s="2"/>
    </x:row>
    <x:row r="69" ht="21" customHeight="1">
      <x:c r="C69" s="1"/>
      <x:c r="D69" s="2"/>
      <x:c r="E69" s="2"/>
      <x:c r="F69" s="2"/>
      <x:c r="G69" s="2"/>
      <x:c r="H69" s="2"/>
      <x:c r="I69" s="2"/>
    </x:row>
    <x:row r="70" ht="21" customHeight="1">
      <x:c r="C70" s="1"/>
      <x:c r="D70" s="2"/>
      <x:c r="E70" s="2"/>
      <x:c r="F70" s="2"/>
      <x:c r="G70" s="2"/>
      <x:c r="H70" s="2"/>
      <x:c r="I70" s="2"/>
    </x:row>
    <x:row r="71" ht="21" customHeight="1">
      <x:c r="C71" s="1"/>
      <x:c r="D71" s="2"/>
      <x:c r="E71" s="2"/>
      <x:c r="F71" s="2"/>
      <x:c r="G71" s="2"/>
      <x:c r="H71" s="2"/>
      <x:c r="I71" s="2"/>
    </x:row>
    <x:row r="72" ht="21" customHeight="1">
      <x:c r="C72" s="1"/>
      <x:c r="D72" s="2"/>
      <x:c r="E72" s="2"/>
      <x:c r="F72" s="2"/>
      <x:c r="G72" s="2"/>
      <x:c r="H72" s="2"/>
      <x:c r="I72" s="2"/>
    </x:row>
    <x:row r="73" ht="21" customHeight="1">
      <x:c r="C73" s="1"/>
      <x:c r="D73" s="2"/>
      <x:c r="E73" s="2"/>
      <x:c r="F73" s="2"/>
      <x:c r="G73" s="2"/>
      <x:c r="H73" s="2"/>
      <x:c r="I73" s="2"/>
    </x:row>
    <x:row r="74" ht="21" customHeight="1">
      <x:c r="C74" s="1"/>
      <x:c r="D74" s="2"/>
      <x:c r="E74" s="2"/>
      <x:c r="F74" s="2"/>
      <x:c r="G74" s="2"/>
      <x:c r="H74" s="2"/>
      <x:c r="I74" s="2"/>
    </x:row>
    <x:row r="75" ht="21" customHeight="1">
      <x:c r="C75" s="1"/>
      <x:c r="D75" s="2"/>
      <x:c r="E75" s="2"/>
      <x:c r="F75" s="2"/>
      <x:c r="G75" s="2"/>
      <x:c r="H75" s="2"/>
      <x:c r="I75" s="2"/>
    </x:row>
    <x:row r="76" ht="21" customHeight="1">
      <x:c r="C76" s="1"/>
      <x:c r="D76" s="2"/>
      <x:c r="E76" s="2"/>
      <x:c r="F76" s="2"/>
      <x:c r="G76" s="2"/>
      <x:c r="H76" s="2"/>
      <x:c r="I76" s="2"/>
    </x:row>
    <x:row r="77" ht="21" customHeight="1">
      <x:c r="C77" s="1"/>
      <x:c r="D77" s="2"/>
      <x:c r="E77" s="2"/>
      <x:c r="F77" s="2"/>
      <x:c r="G77" s="2"/>
      <x:c r="H77" s="2"/>
      <x:c r="I77" s="2"/>
    </x:row>
    <x:row r="78" ht="21" customHeight="1">
      <x:c r="C78" s="1"/>
      <x:c r="D78" s="2"/>
      <x:c r="E78" s="2"/>
      <x:c r="F78" s="2"/>
      <x:c r="G78" s="2"/>
      <x:c r="H78" s="2"/>
      <x:c r="I78" s="2"/>
    </x:row>
    <x:row r="79" ht="21" customHeight="1">
      <x:c r="C79" s="1"/>
      <x:c r="D79" s="2"/>
      <x:c r="E79" s="2"/>
      <x:c r="F79" s="2"/>
      <x:c r="G79" s="2"/>
      <x:c r="H79" s="2"/>
      <x:c r="I79" s="2"/>
    </x:row>
    <x:row r="80" ht="21" customHeight="1">
      <x:c r="C80" s="1"/>
      <x:c r="D80" s="2"/>
      <x:c r="E80" s="2"/>
      <x:c r="F80" s="2"/>
      <x:c r="G80" s="2"/>
      <x:c r="H80" s="2"/>
      <x:c r="I80" s="2"/>
    </x:row>
    <x:row r="81" ht="21" customHeight="1">
      <x:c r="C81" s="1"/>
      <x:c r="D81" s="2"/>
      <x:c r="E81" s="2"/>
      <x:c r="F81" s="2"/>
      <x:c r="G81" s="2"/>
      <x:c r="H81" s="2"/>
      <x:c r="I81" s="2"/>
    </x:row>
    <x:row r="82" ht="21" customHeight="1">
      <x:c r="C82" s="1"/>
      <x:c r="D82" s="2"/>
      <x:c r="E82" s="2"/>
      <x:c r="F82" s="2"/>
      <x:c r="G82" s="2"/>
      <x:c r="H82" s="2"/>
      <x:c r="I82" s="2"/>
    </x:row>
    <x:row r="83" ht="21" customHeight="1">
      <x:c r="C83" s="1"/>
      <x:c r="D83" s="2"/>
      <x:c r="E83" s="2"/>
      <x:c r="F83" s="2"/>
      <x:c r="G83" s="2"/>
      <x:c r="H83" s="2"/>
      <x:c r="I83" s="2"/>
    </x:row>
    <x:row r="84" ht="21" customHeight="1">
      <x:c r="C84" s="1"/>
      <x:c r="D84" s="2"/>
      <x:c r="E84" s="2"/>
      <x:c r="F84" s="2"/>
      <x:c r="G84" s="2"/>
      <x:c r="H84" s="2"/>
      <x:c r="I84" s="2"/>
    </x:row>
    <x:row r="85" ht="21" customHeight="1">
      <x:c r="C85" s="1"/>
      <x:c r="D85" s="2"/>
      <x:c r="E85" s="2"/>
      <x:c r="F85" s="2"/>
      <x:c r="G85" s="2"/>
      <x:c r="H85" s="2"/>
      <x:c r="I85" s="2"/>
    </x:row>
    <x:row r="86" ht="21" customHeight="1">
      <x:c r="C86" s="1"/>
      <x:c r="D86" s="2"/>
      <x:c r="E86" s="2"/>
      <x:c r="F86" s="2"/>
      <x:c r="G86" s="2"/>
      <x:c r="H86" s="2"/>
      <x:c r="I86" s="2"/>
    </x:row>
    <x:row r="87" ht="21" customHeight="1">
      <x:c r="C87" s="1"/>
      <x:c r="D87" s="2"/>
      <x:c r="E87" s="2"/>
      <x:c r="F87" s="2"/>
      <x:c r="G87" s="2"/>
      <x:c r="H87" s="2"/>
      <x:c r="I87" s="2"/>
    </x:row>
    <x:row r="88" ht="21" customHeight="1">
      <x:c r="C88" s="1"/>
      <x:c r="D88" s="2"/>
      <x:c r="E88" s="2"/>
      <x:c r="F88" s="2"/>
      <x:c r="G88" s="2"/>
      <x:c r="H88" s="2"/>
      <x:c r="I88" s="2"/>
    </x:row>
    <x:row r="89" ht="21" customHeight="1">
      <x:c r="C89" s="1"/>
      <x:c r="D89" s="2"/>
      <x:c r="E89" s="2"/>
      <x:c r="F89" s="2"/>
      <x:c r="G89" s="2"/>
      <x:c r="H89" s="2"/>
      <x:c r="I89" s="2"/>
    </x:row>
    <x:row r="90" ht="21" customHeight="1">
      <x:c r="C90" s="1"/>
      <x:c r="D90" s="2"/>
      <x:c r="E90" s="2"/>
      <x:c r="F90" s="2"/>
      <x:c r="G90" s="2"/>
      <x:c r="H90" s="2"/>
      <x:c r="I90" s="2"/>
    </x:row>
    <x:row r="91" ht="21" customHeight="1">
      <x:c r="C91" s="1"/>
      <x:c r="D91" s="2"/>
      <x:c r="E91" s="2"/>
      <x:c r="F91" s="2"/>
      <x:c r="G91" s="2"/>
      <x:c r="H91" s="2"/>
      <x:c r="I91" s="2"/>
    </x:row>
    <x:row r="92" ht="21" customHeight="1">
      <x:c r="C92" s="1"/>
      <x:c r="D92" s="2"/>
      <x:c r="E92" s="2"/>
      <x:c r="F92" s="2"/>
      <x:c r="G92" s="2"/>
      <x:c r="H92" s="2"/>
      <x:c r="I92" s="2"/>
    </x:row>
    <x:row r="93" ht="21" customHeight="1">
      <x:c r="C93" s="1"/>
      <x:c r="D93" s="2"/>
      <x:c r="E93" s="2"/>
      <x:c r="F93" s="2"/>
      <x:c r="G93" s="2"/>
      <x:c r="H93" s="2"/>
      <x:c r="I93" s="2"/>
    </x:row>
    <x:row r="94" ht="21" customHeight="1">
      <x:c r="C94" s="1"/>
      <x:c r="D94" s="2"/>
      <x:c r="E94" s="2"/>
      <x:c r="F94" s="2"/>
      <x:c r="G94" s="2"/>
      <x:c r="H94" s="2"/>
      <x:c r="I94" s="2"/>
    </x:row>
    <x:row r="95" ht="21" customHeight="1">
      <x:c r="C95" s="1"/>
      <x:c r="D95" s="2"/>
      <x:c r="E95" s="2"/>
      <x:c r="F95" s="2"/>
      <x:c r="G95" s="2"/>
      <x:c r="H95" s="2"/>
      <x:c r="I95" s="2"/>
    </x:row>
    <x:row r="96" ht="21" customHeight="1">
      <x:c r="C96" s="1"/>
      <x:c r="D96" s="2"/>
      <x:c r="E96" s="2"/>
      <x:c r="F96" s="2"/>
      <x:c r="G96" s="2"/>
      <x:c r="H96" s="2"/>
      <x:c r="I96" s="2"/>
    </x:row>
    <x:row r="97" ht="21" customHeight="1">
      <x:c r="C97" s="1"/>
      <x:c r="D97" s="2"/>
      <x:c r="E97" s="2"/>
      <x:c r="F97" s="2"/>
      <x:c r="G97" s="2"/>
      <x:c r="H97" s="2"/>
      <x:c r="I97" s="2"/>
    </x:row>
    <x:row r="98" ht="21" customHeight="1">
      <x:c r="C98" s="1"/>
      <x:c r="D98" s="2"/>
      <x:c r="E98" s="2"/>
      <x:c r="F98" s="2"/>
      <x:c r="G98" s="2"/>
      <x:c r="H98" s="2"/>
      <x:c r="I98" s="2"/>
    </x:row>
    <x:row r="99" ht="21" customHeight="1">
      <x:c r="C99" s="1"/>
      <x:c r="D99" s="2"/>
      <x:c r="E99" s="2"/>
      <x:c r="F99" s="2"/>
      <x:c r="G99" s="2"/>
      <x:c r="H99" s="2"/>
      <x:c r="I99" s="2"/>
    </x:row>
    <x:row r="100" ht="21" customHeight="1">
      <x:c r="C100" s="1"/>
      <x:c r="D100" s="2"/>
      <x:c r="E100" s="2"/>
      <x:c r="F100" s="2"/>
      <x:c r="G100" s="2"/>
      <x:c r="H100" s="2"/>
      <x:c r="I100" s="2"/>
    </x:row>
    <x:row r="101" ht="21" customHeight="1">
      <x:c r="C101" s="1"/>
      <x:c r="D101" s="2"/>
      <x:c r="E101" s="2"/>
      <x:c r="F101" s="2"/>
      <x:c r="G101" s="2"/>
      <x:c r="H101" s="2"/>
      <x:c r="I101" s="2"/>
    </x:row>
    <x:row r="102" ht="21" customHeight="1">
      <x:c r="C102" s="1"/>
      <x:c r="D102" s="2"/>
      <x:c r="E102" s="2"/>
      <x:c r="F102" s="2"/>
      <x:c r="G102" s="2"/>
      <x:c r="H102" s="2"/>
      <x:c r="I102" s="2"/>
    </x:row>
    <x:row r="103" ht="21" customHeight="1">
      <x:c r="C103" s="1"/>
      <x:c r="D103" s="2"/>
      <x:c r="E103" s="2"/>
      <x:c r="F103" s="2"/>
      <x:c r="G103" s="2"/>
      <x:c r="H103" s="2"/>
      <x:c r="I103" s="2"/>
    </x:row>
    <x:row r="104" ht="21" customHeight="1">
      <x:c r="C104" s="1"/>
      <x:c r="D104" s="2"/>
      <x:c r="E104" s="2"/>
      <x:c r="F104" s="2"/>
      <x:c r="G104" s="2"/>
      <x:c r="H104" s="2"/>
      <x:c r="I104" s="2"/>
    </x:row>
    <x:row r="105" ht="21" customHeight="1">
      <x:c r="C105" s="1"/>
      <x:c r="D105" s="2"/>
      <x:c r="E105" s="2"/>
      <x:c r="F105" s="2"/>
      <x:c r="G105" s="2"/>
      <x:c r="H105" s="2"/>
      <x:c r="I105" s="2"/>
    </x:row>
    <x:row r="106" ht="21" customHeight="1">
      <x:c r="C106" s="1"/>
      <x:c r="D106" s="2"/>
      <x:c r="E106" s="2"/>
      <x:c r="F106" s="2"/>
      <x:c r="G106" s="2"/>
      <x:c r="H106" s="2"/>
      <x:c r="I106" s="2"/>
    </x:row>
    <x:row r="107" ht="21" customHeight="1">
      <x:c r="C107" s="1"/>
      <x:c r="D107" s="2"/>
      <x:c r="E107" s="2"/>
      <x:c r="F107" s="2"/>
      <x:c r="G107" s="2"/>
      <x:c r="H107" s="2"/>
      <x:c r="I107" s="2"/>
    </x:row>
    <x:row r="108" ht="21" customHeight="1">
      <x:c r="C108" s="1"/>
      <x:c r="D108" s="2"/>
      <x:c r="E108" s="2"/>
      <x:c r="F108" s="2"/>
      <x:c r="G108" s="2"/>
      <x:c r="H108" s="2"/>
      <x:c r="I108" s="2"/>
    </x:row>
    <x:row r="109" ht="21" customHeight="1">
      <x:c r="C109" s="1"/>
      <x:c r="D109" s="2"/>
      <x:c r="E109" s="2"/>
      <x:c r="F109" s="2"/>
      <x:c r="G109" s="2"/>
      <x:c r="H109" s="2"/>
      <x:c r="I109" s="2"/>
    </x:row>
    <x:row r="110" ht="21" customHeight="1">
      <x:c r="C110" s="1"/>
      <x:c r="D110" s="2"/>
      <x:c r="E110" s="2"/>
      <x:c r="F110" s="2"/>
      <x:c r="G110" s="2"/>
      <x:c r="H110" s="2"/>
      <x:c r="I110" s="2"/>
    </x:row>
    <x:row r="111" ht="21" customHeight="1">
      <x:c r="C111" s="1"/>
      <x:c r="D111" s="2"/>
      <x:c r="E111" s="2"/>
      <x:c r="F111" s="2"/>
      <x:c r="G111" s="2"/>
      <x:c r="H111" s="2"/>
      <x:c r="I111" s="2"/>
    </x:row>
    <x:row r="112" ht="21" customHeight="1">
      <x:c r="C112" s="1"/>
      <x:c r="D112" s="2"/>
      <x:c r="E112" s="2"/>
      <x:c r="F112" s="2"/>
      <x:c r="G112" s="2"/>
      <x:c r="H112" s="2"/>
      <x:c r="I112" s="2"/>
    </x:row>
    <x:row r="113" ht="21" customHeight="1">
      <x:c r="C113" s="1"/>
      <x:c r="D113" s="2"/>
      <x:c r="E113" s="2"/>
      <x:c r="F113" s="2"/>
      <x:c r="G113" s="2"/>
      <x:c r="H113" s="2"/>
      <x:c r="I113" s="2"/>
    </x:row>
    <x:row r="114" ht="21" customHeight="1">
      <x:c r="C114" s="1"/>
      <x:c r="D114" s="2"/>
      <x:c r="E114" s="2"/>
      <x:c r="F114" s="2"/>
      <x:c r="G114" s="2"/>
      <x:c r="H114" s="2"/>
      <x:c r="I114" s="2"/>
    </x:row>
    <x:row r="115" ht="21" customHeight="1">
      <x:c r="C115" s="1"/>
      <x:c r="D115" s="2"/>
      <x:c r="E115" s="2"/>
      <x:c r="F115" s="2"/>
      <x:c r="G115" s="2"/>
      <x:c r="H115" s="2"/>
      <x:c r="I115" s="2"/>
    </x:row>
    <x:row r="116" ht="21" customHeight="1">
      <x:c r="C116" s="1"/>
      <x:c r="D116" s="2"/>
      <x:c r="E116" s="2"/>
      <x:c r="F116" s="2"/>
      <x:c r="G116" s="2"/>
      <x:c r="H116" s="2"/>
      <x:c r="I116" s="2"/>
    </x:row>
    <x:row r="117" ht="21" customHeight="1">
      <x:c r="C117" s="1"/>
      <x:c r="D117" s="2"/>
      <x:c r="E117" s="2"/>
      <x:c r="F117" s="2"/>
      <x:c r="G117" s="2"/>
      <x:c r="H117" s="2"/>
      <x:c r="I117" s="2"/>
    </x:row>
    <x:row r="118" ht="21" customHeight="1">
      <x:c r="C118" s="1"/>
      <x:c r="D118" s="2"/>
      <x:c r="E118" s="2"/>
      <x:c r="F118" s="2"/>
      <x:c r="G118" s="2"/>
      <x:c r="H118" s="2"/>
      <x:c r="I118" s="2"/>
    </x:row>
    <x:row r="119" ht="21" customHeight="1">
      <x:c r="C119" s="1"/>
      <x:c r="D119" s="2"/>
      <x:c r="E119" s="2"/>
      <x:c r="F119" s="2"/>
      <x:c r="G119" s="2"/>
      <x:c r="H119" s="2"/>
      <x:c r="I119" s="2"/>
    </x:row>
    <x:row r="120" ht="21" customHeight="1">
      <x:c r="C120" s="1"/>
      <x:c r="D120" s="2"/>
      <x:c r="E120" s="2"/>
      <x:c r="F120" s="2"/>
      <x:c r="G120" s="2"/>
      <x:c r="H120" s="2"/>
      <x:c r="I120" s="2"/>
    </x:row>
    <x:row r="121" ht="21" customHeight="1">
      <x:c r="C121" s="1"/>
      <x:c r="D121" s="2"/>
      <x:c r="E121" s="2"/>
      <x:c r="F121" s="2"/>
      <x:c r="G121" s="2"/>
      <x:c r="H121" s="2"/>
      <x:c r="I121" s="2"/>
    </x:row>
    <x:row r="122" ht="21" customHeight="1">
      <x:c r="C122" s="1"/>
      <x:c r="D122" s="2"/>
      <x:c r="E122" s="2"/>
      <x:c r="F122" s="2"/>
      <x:c r="G122" s="2"/>
      <x:c r="H122" s="2"/>
      <x:c r="I122" s="2"/>
    </x:row>
    <x:row r="123" ht="21" customHeight="1">
      <x:c r="C123" s="1"/>
      <x:c r="D123" s="2"/>
      <x:c r="E123" s="2"/>
      <x:c r="F123" s="2"/>
      <x:c r="G123" s="2"/>
      <x:c r="H123" s="2"/>
      <x:c r="I123" s="2"/>
    </x:row>
    <x:row r="124" ht="21" customHeight="1">
      <x:c r="C124" s="1"/>
      <x:c r="D124" s="2"/>
      <x:c r="E124" s="2"/>
      <x:c r="F124" s="2"/>
      <x:c r="G124" s="2"/>
      <x:c r="H124" s="2"/>
      <x:c r="I124" s="2"/>
    </x:row>
    <x:row r="125" ht="21" customHeight="1">
      <x:c r="C125" s="1"/>
      <x:c r="D125" s="2"/>
      <x:c r="E125" s="2"/>
      <x:c r="F125" s="2"/>
      <x:c r="G125" s="2"/>
      <x:c r="H125" s="2"/>
      <x:c r="I125" s="2"/>
    </x:row>
    <x:row r="126" ht="21" customHeight="1">
      <x:c r="C126" s="1"/>
      <x:c r="D126" s="2"/>
      <x:c r="E126" s="2"/>
      <x:c r="F126" s="2"/>
      <x:c r="G126" s="2"/>
      <x:c r="H126" s="2"/>
      <x:c r="I126" s="2"/>
    </x:row>
    <x:row r="127" ht="21" customHeight="1">
      <x:c r="C127" s="1"/>
      <x:c r="D127" s="2"/>
      <x:c r="E127" s="2"/>
      <x:c r="F127" s="2"/>
      <x:c r="G127" s="2"/>
      <x:c r="H127" s="2"/>
      <x:c r="I127" s="2"/>
    </x:row>
    <x:row r="128" ht="21" customHeight="1">
      <x:c r="C128" s="1"/>
      <x:c r="D128" s="2"/>
      <x:c r="E128" s="2"/>
      <x:c r="F128" s="2"/>
      <x:c r="G128" s="2"/>
      <x:c r="H128" s="2"/>
      <x:c r="I128" s="2"/>
    </x:row>
    <x:row r="129" ht="21" customHeight="1">
      <x:c r="C129" s="1"/>
      <x:c r="D129" s="2"/>
      <x:c r="E129" s="2"/>
      <x:c r="F129" s="2"/>
      <x:c r="G129" s="2"/>
      <x:c r="H129" s="2"/>
      <x:c r="I129" s="2"/>
    </x:row>
    <x:row r="130" ht="21" customHeight="1">
      <x:c r="C130" s="1"/>
      <x:c r="D130" s="2"/>
      <x:c r="E130" s="2"/>
      <x:c r="F130" s="2"/>
      <x:c r="G130" s="2"/>
      <x:c r="H130" s="2"/>
      <x:c r="I130" s="2"/>
    </x:row>
    <x:row r="131" ht="21" customHeight="1">
      <x:c r="C131" s="1"/>
      <x:c r="D131" s="2"/>
      <x:c r="E131" s="2"/>
      <x:c r="F131" s="2"/>
      <x:c r="G131" s="2"/>
      <x:c r="H131" s="2"/>
      <x:c r="I131" s="2"/>
    </x:row>
    <x:row r="132" ht="21" customHeight="1">
      <x:c r="C132" s="1"/>
      <x:c r="D132" s="2"/>
      <x:c r="E132" s="2"/>
      <x:c r="F132" s="2"/>
      <x:c r="G132" s="2"/>
      <x:c r="H132" s="2"/>
      <x:c r="I132" s="2"/>
    </x:row>
    <x:row r="133" ht="21" customHeight="1">
      <x:c r="C133" s="1"/>
      <x:c r="D133" s="2"/>
      <x:c r="E133" s="2"/>
      <x:c r="F133" s="2"/>
      <x:c r="G133" s="2"/>
      <x:c r="H133" s="2"/>
      <x:c r="I133" s="2"/>
    </x:row>
    <x:row r="134" ht="21" customHeight="1">
      <x:c r="C134" s="1"/>
      <x:c r="D134" s="2"/>
      <x:c r="E134" s="2"/>
      <x:c r="F134" s="2"/>
      <x:c r="G134" s="2"/>
      <x:c r="H134" s="2"/>
      <x:c r="I134" s="2"/>
    </x:row>
    <x:row r="135" ht="21" customHeight="1">
      <x:c r="C135" s="1"/>
      <x:c r="D135" s="2"/>
      <x:c r="E135" s="2"/>
      <x:c r="F135" s="2"/>
      <x:c r="G135" s="2"/>
      <x:c r="H135" s="2"/>
      <x:c r="I135" s="2"/>
    </x:row>
    <x:row r="136" ht="21" customHeight="1">
      <x:c r="C136" s="1"/>
      <x:c r="D136" s="2"/>
      <x:c r="E136" s="2"/>
      <x:c r="F136" s="2"/>
      <x:c r="G136" s="2"/>
      <x:c r="H136" s="2"/>
      <x:c r="I136" s="2"/>
    </x:row>
    <x:row r="137" ht="21" customHeight="1">
      <x:c r="C137" s="1"/>
      <x:c r="D137" s="2"/>
      <x:c r="E137" s="2"/>
      <x:c r="F137" s="2"/>
      <x:c r="G137" s="2"/>
      <x:c r="H137" s="2"/>
      <x:c r="I137" s="2"/>
    </x:row>
    <x:row r="138" ht="21" customHeight="1">
      <x:c r="C138" s="1"/>
      <x:c r="D138" s="2"/>
      <x:c r="E138" s="2"/>
      <x:c r="F138" s="2"/>
      <x:c r="G138" s="2"/>
      <x:c r="H138" s="2"/>
      <x:c r="I138" s="2"/>
    </x:row>
    <x:row r="139" ht="21" customHeight="1">
      <x:c r="C139" s="1"/>
      <x:c r="D139" s="2"/>
      <x:c r="E139" s="2"/>
      <x:c r="F139" s="2"/>
      <x:c r="G139" s="2"/>
      <x:c r="H139" s="2"/>
      <x:c r="I139" s="2"/>
    </x:row>
    <x:row r="140" ht="21" customHeight="1">
      <x:c r="C140" s="1"/>
      <x:c r="D140" s="2"/>
      <x:c r="E140" s="2"/>
      <x:c r="F140" s="2"/>
      <x:c r="G140" s="2"/>
      <x:c r="H140" s="2"/>
      <x:c r="I140" s="2"/>
    </x:row>
    <x:row r="141" ht="21" customHeight="1">
      <x:c r="C141" s="1"/>
      <x:c r="D141" s="2"/>
      <x:c r="E141" s="2"/>
      <x:c r="F141" s="2"/>
      <x:c r="G141" s="2"/>
      <x:c r="H141" s="2"/>
      <x:c r="I141" s="2"/>
    </x:row>
    <x:row r="142" ht="21" customHeight="1">
      <x:c r="C142" s="1"/>
      <x:c r="D142" s="2"/>
      <x:c r="E142" s="2"/>
      <x:c r="F142" s="2"/>
      <x:c r="G142" s="2"/>
      <x:c r="H142" s="2"/>
      <x:c r="I142" s="2"/>
    </x:row>
    <x:row r="143" ht="21" customHeight="1">
      <x:c r="C143" s="1"/>
      <x:c r="D143" s="2"/>
      <x:c r="E143" s="2"/>
      <x:c r="F143" s="2"/>
      <x:c r="G143" s="2"/>
      <x:c r="H143" s="2"/>
      <x:c r="I143" s="2"/>
    </x:row>
    <x:row r="144" ht="21" customHeight="1">
      <x:c r="C144" s="1"/>
      <x:c r="D144" s="2"/>
      <x:c r="E144" s="2"/>
      <x:c r="F144" s="2"/>
      <x:c r="G144" s="2"/>
      <x:c r="H144" s="2"/>
      <x:c r="I144" s="2"/>
    </x:row>
    <x:row r="145" ht="21" customHeight="1">
      <x:c r="C145" s="1"/>
      <x:c r="D145" s="2"/>
      <x:c r="E145" s="2"/>
      <x:c r="F145" s="2"/>
      <x:c r="G145" s="2"/>
      <x:c r="H145" s="2"/>
      <x:c r="I145" s="2"/>
    </x:row>
    <x:row r="146" ht="21" customHeight="1">
      <x:c r="C146" s="1"/>
      <x:c r="D146" s="2"/>
      <x:c r="E146" s="2"/>
      <x:c r="F146" s="2"/>
      <x:c r="G146" s="2"/>
      <x:c r="H146" s="2"/>
      <x:c r="I146" s="2"/>
    </x:row>
    <x:row r="147" ht="21" customHeight="1">
      <x:c r="C147" s="1"/>
      <x:c r="D147" s="2"/>
      <x:c r="E147" s="2"/>
      <x:c r="F147" s="2"/>
      <x:c r="G147" s="2"/>
      <x:c r="H147" s="2"/>
      <x:c r="I147" s="2"/>
    </x:row>
    <x:row r="148" ht="21" customHeight="1">
      <x:c r="C148" s="1"/>
      <x:c r="D148" s="2"/>
      <x:c r="E148" s="2"/>
      <x:c r="F148" s="2"/>
      <x:c r="G148" s="2"/>
      <x:c r="H148" s="2"/>
      <x:c r="I148" s="2"/>
    </x:row>
    <x:row r="149" ht="21" customHeight="1">
      <x:c r="C149" s="1"/>
      <x:c r="D149" s="2"/>
      <x:c r="E149" s="2"/>
      <x:c r="F149" s="2"/>
      <x:c r="G149" s="2"/>
      <x:c r="H149" s="2"/>
      <x:c r="I149" s="2"/>
    </x:row>
    <x:row r="150" ht="21" customHeight="1">
      <x:c r="C150" s="1"/>
      <x:c r="D150" s="2"/>
      <x:c r="E150" s="2"/>
      <x:c r="F150" s="2"/>
      <x:c r="G150" s="2"/>
      <x:c r="H150" s="2"/>
      <x:c r="I150" s="2"/>
    </x:row>
    <x:row r="151" ht="21" customHeight="1">
      <x:c r="C151" s="1"/>
      <x:c r="D151" s="2"/>
      <x:c r="E151" s="2"/>
      <x:c r="F151" s="2"/>
      <x:c r="G151" s="2"/>
      <x:c r="H151" s="2"/>
      <x:c r="I151" s="2"/>
    </x:row>
    <x:row r="152" ht="21" customHeight="1">
      <x:c r="C152" s="1"/>
      <x:c r="D152" s="2"/>
      <x:c r="E152" s="2"/>
      <x:c r="F152" s="2"/>
      <x:c r="G152" s="2"/>
      <x:c r="H152" s="2"/>
      <x:c r="I152" s="2"/>
    </x:row>
    <x:row r="153" ht="21" customHeight="1">
      <x:c r="C153" s="1"/>
      <x:c r="D153" s="2"/>
      <x:c r="E153" s="2"/>
      <x:c r="F153" s="2"/>
      <x:c r="G153" s="2"/>
      <x:c r="H153" s="2"/>
      <x:c r="I153" s="2"/>
    </x:row>
    <x:row r="154" ht="21" customHeight="1">
      <x:c r="C154" s="1"/>
      <x:c r="D154" s="2"/>
      <x:c r="E154" s="2"/>
      <x:c r="F154" s="2"/>
      <x:c r="G154" s="2"/>
      <x:c r="H154" s="2"/>
      <x:c r="I154" s="2"/>
    </x:row>
    <x:row r="155" ht="21" customHeight="1">
      <x:c r="C155" s="1"/>
      <x:c r="D155" s="2"/>
      <x:c r="E155" s="2"/>
      <x:c r="F155" s="2"/>
      <x:c r="G155" s="2"/>
      <x:c r="H155" s="2"/>
      <x:c r="I155" s="2"/>
    </x:row>
    <x:row r="156" ht="21" customHeight="1">
      <x:c r="C156" s="1"/>
      <x:c r="D156" s="2"/>
      <x:c r="E156" s="2"/>
      <x:c r="F156" s="2"/>
      <x:c r="G156" s="2"/>
      <x:c r="H156" s="2"/>
      <x:c r="I156" s="2"/>
    </x:row>
    <x:row r="157" ht="21" customHeight="1">
      <x:c r="C157" s="1"/>
      <x:c r="D157" s="2"/>
      <x:c r="E157" s="2"/>
      <x:c r="F157" s="2"/>
      <x:c r="G157" s="2"/>
      <x:c r="H157" s="2"/>
      <x:c r="I157" s="2"/>
    </x:row>
    <x:row r="158" ht="21" customHeight="1">
      <x:c r="C158" s="1"/>
      <x:c r="D158" s="2"/>
      <x:c r="E158" s="2"/>
      <x:c r="F158" s="2"/>
      <x:c r="G158" s="2"/>
      <x:c r="H158" s="2"/>
      <x:c r="I158" s="2"/>
    </x:row>
    <x:row r="159" ht="21" customHeight="1">
      <x:c r="C159" s="1"/>
      <x:c r="D159" s="2"/>
      <x:c r="E159" s="2"/>
      <x:c r="F159" s="2"/>
      <x:c r="G159" s="2"/>
      <x:c r="H159" s="2"/>
      <x:c r="I159" s="2"/>
    </x:row>
    <x:row r="160" ht="21" customHeight="1">
      <x:c r="C160" s="1"/>
      <x:c r="D160" s="2"/>
      <x:c r="E160" s="2"/>
      <x:c r="F160" s="2"/>
      <x:c r="G160" s="2"/>
      <x:c r="H160" s="2"/>
      <x:c r="I160" s="2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53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21" customHeight="1">
      <x:c r="C1" s="1"/>
      <x:c r="D1" s="1"/>
      <x:c r="E1" s="1"/>
      <x:c r="F1" s="1"/>
      <x:c r="G1" s="1"/>
      <x:c r="H1" s="1"/>
      <x:c r="I1" s="1"/>
    </x:row>
    <x:row r="2" ht="21" customHeight="1">
      <x:c r="C2" s="4" t="str">
        <x:v>创科实业 TTI</x:v>
      </x:c>
      <x:c r="D2" s="4"/>
      <x:c r="E2" s="4"/>
      <x:c r="F2" s="4"/>
      <x:c r="G2" s="4"/>
      <x:c r="H2" s="4"/>
      <x:c r="I2" s="4"/>
    </x:row>
    <x:row r="3" ht="21" customHeight="1">
      <x:c r="C3" s="5" t="str">
        <x:v>FundingTaxEquity · USD million · December year-end</x:v>
      </x:c>
      <x:c r="D3" s="5"/>
      <x:c r="E3" s="5"/>
      <x:c r="F3" s="5"/>
      <x:c r="G3" s="5"/>
      <x:c r="H3" s="5"/>
      <x:c r="I3" s="5"/>
    </x:row>
    <x:row r="4" ht="21" customHeight="1">
      <x:c r="C4" s="1"/>
      <x:c r="D4" s="1"/>
      <x:c r="E4" s="1"/>
      <x:c r="F4" s="1"/>
      <x:c r="G4" s="1"/>
      <x:c r="H4" s="1"/>
      <x:c r="I4" s="1"/>
    </x:row>
    <x:row r="5" ht="21" customHeight="1">
      <x:c r="C5" s="1"/>
      <x:c r="D5" s="1"/>
      <x:c r="E5" s="1"/>
      <x:c r="F5" s="1"/>
      <x:c r="G5" s="1"/>
      <x:c r="H5" s="1"/>
      <x:c r="I5" s="1"/>
    </x:row>
    <x:row r="6" ht="21" customHeight="1">
      <x:c r="C6" s="1"/>
      <x:c r="D6" s="1"/>
      <x:c r="E6" s="1"/>
      <x:c r="F6" s="1"/>
      <x:c r="G6" s="1"/>
      <x:c r="H6" s="1"/>
      <x:c r="I6" s="1"/>
    </x:row>
    <x:row r="7" ht="21" customHeight="1">
      <x:c r="C7" s="12"/>
      <x:c r="D7" s="13" t="n">
        <x:f>'Assumptions'!D7</x:f>
        <x:v>45291</x:v>
      </x:c>
      <x:c r="E7" s="13" t="n">
        <x:f>'Assumptions'!E7</x:f>
        <x:v>45657</x:v>
      </x:c>
      <x:c r="F7" s="13" t="n">
        <x:f>'Assumptions'!F7</x:f>
        <x:v>46022</x:v>
      </x:c>
      <x:c r="G7" s="14" t="n">
        <x:f>'Assumptions'!G7</x:f>
        <x:v>46387</x:v>
      </x:c>
      <x:c r="H7" s="14" t="n">
        <x:f>'Assumptions'!H7</x:f>
        <x:v>46752</x:v>
      </x:c>
      <x:c r="I7" s="14" t="n">
        <x:f>'Assumptions'!I7</x:f>
        <x:v>47118</x:v>
      </x:c>
    </x:row>
    <x:row r="8" ht="21" customHeight="1">
      <x:c r="C8" s="1"/>
      <x:c r="D8" s="2"/>
      <x:c r="E8" s="2"/>
      <x:c r="F8" s="2"/>
      <x:c r="G8" s="2"/>
      <x:c r="H8" s="2"/>
      <x:c r="I8" s="2"/>
    </x:row>
    <x:row r="9" ht="21" customHeight="1">
      <x:c r="C9" s="12" t="str">
        <x:v>Debt and leases</x:v>
      </x:c>
      <x:c r="D9" s="25"/>
      <x:c r="E9" s="25"/>
      <x:c r="F9" s="25"/>
      <x:c r="G9" s="25"/>
      <x:c r="H9" s="25"/>
      <x:c r="I9" s="25"/>
    </x:row>
    <x:row r="10" ht="21" customHeight="1">
      <x:c r="C10" s="1" t="str">
        <x:v>Opening borrowings and lease liabilities</x:v>
      </x:c>
      <x:c r="D10" s="2"/>
      <x:c r="E10" s="2"/>
      <x:c r="F10" s="2"/>
      <x:c r="G10" s="19" t="n">
        <x:f>'SourceFacts'!F43</x:f>
        <x:v>1758.9330000000002</x:v>
      </x:c>
      <x:c r="H10" s="27" t="n">
        <x:f>G18</x:f>
        <x:v>1518.0034500000002</x:v>
      </x:c>
      <x:c r="I10" s="27" t="n">
        <x:f>H18</x:f>
        <x:v>1325.2598100000002</x:v>
      </x:c>
    </x:row>
    <x:row r="11" ht="21" customHeight="1">
      <x:c r="C11" s="1" t="str">
        <x:v>Cash borrowing requested</x:v>
      </x:c>
      <x:c r="D11" s="2"/>
      <x:c r="E11" s="2"/>
      <x:c r="F11" s="2"/>
      <x:c r="G11" s="19" t="n">
        <x:f>'Assumptions'!G40</x:f>
        <x:v>0</x:v>
      </x:c>
      <x:c r="H11" s="19" t="n">
        <x:f>'Assumptions'!H40</x:f>
        <x:v>0</x:v>
      </x:c>
      <x:c r="I11" s="19" t="n">
        <x:f>'Assumptions'!I40</x:f>
        <x:v>0</x:v>
      </x:c>
    </x:row>
    <x:row r="12" ht="21" customHeight="1">
      <x:c r="C12" s="1" t="str">
        <x:v>Effective cash borrowing</x:v>
      </x:c>
      <x:c r="D12" s="2"/>
      <x:c r="E12" s="2"/>
      <x:c r="F12" s="2"/>
      <x:c r="G12" s="27" t="n">
        <x:f>MAX(0,G11)</x:f>
        <x:v>0</x:v>
      </x:c>
      <x:c r="H12" s="27" t="n">
        <x:f>MAX(0,H11)</x:f>
        <x:v>0</x:v>
      </x:c>
      <x:c r="I12" s="27" t="n">
        <x:f>MAX(0,I11)</x:f>
        <x:v>0</x:v>
      </x:c>
    </x:row>
    <x:row r="13" ht="21" customHeight="1">
      <x:c r="C13" s="1" t="str">
        <x:v>Invalid negative borrowing request</x:v>
      </x:c>
      <x:c r="D13" s="2"/>
      <x:c r="E13" s="2"/>
      <x:c r="F13" s="2"/>
      <x:c r="G13" s="27" t="n">
        <x:f>-MIN(0,G11)</x:f>
        <x:v>0</x:v>
      </x:c>
      <x:c r="H13" s="27" t="n">
        <x:f>-MIN(0,H11)</x:f>
        <x:v>0</x:v>
      </x:c>
      <x:c r="I13" s="27" t="n">
        <x:f>-MIN(0,I11)</x:f>
        <x:v>0</x:v>
      </x:c>
    </x:row>
    <x:row r="14" ht="21" customHeight="1">
      <x:c r="C14" s="1" t="str">
        <x:v>New non-cash lease liabilities</x:v>
      </x:c>
      <x:c r="D14" s="2"/>
      <x:c r="E14" s="2"/>
      <x:c r="F14" s="2"/>
      <x:c r="G14" s="19" t="n">
        <x:f>'FixedAssets'!G31</x:f>
        <x:v>110.85705</x:v>
      </x:c>
      <x:c r="H14" s="19" t="n">
        <x:f>'FixedAssets'!H31</x:f>
        <x:v>110.85705</x:v>
      </x:c>
      <x:c r="I14" s="19" t="n">
        <x:f>'FixedAssets'!I31</x:f>
        <x:v>110.85705</x:v>
      </x:c>
    </x:row>
    <x:row r="15" ht="21" customHeight="1">
      <x:c r="C15" s="1" t="str">
        <x:v>Repayment requested</x:v>
      </x:c>
      <x:c r="D15" s="2"/>
      <x:c r="E15" s="2"/>
      <x:c r="F15" s="2"/>
      <x:c r="G15" s="19" t="n">
        <x:f>G10*'Assumptions'!G41+'Assumptions'!G42</x:f>
        <x:v>351.7866000000001</x:v>
      </x:c>
      <x:c r="H15" s="19" t="n">
        <x:f>H10*'Assumptions'!H41+'Assumptions'!H42</x:f>
        <x:v>303.60069000000004</x:v>
      </x:c>
      <x:c r="I15" s="19" t="n">
        <x:f>I10*'Assumptions'!I41+'Assumptions'!I42</x:f>
        <x:v>265.05196200000006</x:v>
      </x:c>
    </x:row>
    <x:row r="16" ht="21" customHeight="1">
      <x:c r="C16" s="1" t="str">
        <x:v>Effective repayment</x:v>
      </x:c>
      <x:c r="D16" s="2"/>
      <x:c r="E16" s="2"/>
      <x:c r="F16" s="2"/>
      <x:c r="G16" s="27" t="n">
        <x:f>MIN(MAX(0,G15),G10+G12+G14)</x:f>
        <x:v>351.7866000000001</x:v>
      </x:c>
      <x:c r="H16" s="27" t="n">
        <x:f>MIN(MAX(0,H15),H10+H12+H14)</x:f>
        <x:v>303.60069000000004</x:v>
      </x:c>
      <x:c r="I16" s="27" t="n">
        <x:f>MIN(MAX(0,I15),I10+I12+I14)</x:f>
        <x:v>265.05196200000006</x:v>
      </x:c>
    </x:row>
    <x:row r="17" ht="21" customHeight="1">
      <x:c r="C17" s="1" t="str">
        <x:v>Repayment above available funding balance</x:v>
      </x:c>
      <x:c r="D17" s="2"/>
      <x:c r="E17" s="2"/>
      <x:c r="F17" s="2"/>
      <x:c r="G17" s="27" t="n">
        <x:f>MAX(0,G15-G16)</x:f>
        <x:v>0</x:v>
      </x:c>
      <x:c r="H17" s="27" t="n">
        <x:f>MAX(0,H15-H16)</x:f>
        <x:v>0</x:v>
      </x:c>
      <x:c r="I17" s="27" t="n">
        <x:f>MAX(0,I15-I16)</x:f>
        <x:v>0</x:v>
      </x:c>
    </x:row>
    <x:row r="18" ht="21" customHeight="1">
      <x:c r="C18" s="1" t="str">
        <x:v>Closing borrowings and lease liabilities</x:v>
      </x:c>
      <x:c r="D18" s="2"/>
      <x:c r="E18" s="2"/>
      <x:c r="F18" s="2"/>
      <x:c r="G18" s="27" t="n">
        <x:f>G10+G12+G14-G16</x:f>
        <x:v>1518.0034500000002</x:v>
      </x:c>
      <x:c r="H18" s="27" t="n">
        <x:f>H10+H12+H14-H16</x:f>
        <x:v>1325.2598100000002</x:v>
      </x:c>
      <x:c r="I18" s="27" t="n">
        <x:f>I10+I12+I14-I16</x:f>
        <x:v>1171.0648980000003</x:v>
      </x:c>
    </x:row>
    <x:row r="19" ht="21" customHeight="1">
      <x:c r="C19" s="1" t="str">
        <x:v>Interest expense on time-weighted funding</x:v>
      </x:c>
      <x:c r="D19" s="2"/>
      <x:c r="E19" s="2"/>
      <x:c r="F19" s="2"/>
      <x:c r="G19" s="19" t="n">
        <x:f>(G10+(G12+G14-G16)*0.5)*'Assumptions'!G17</x:f>
        <x:v>75.03138349785682</x:v>
      </x:c>
      <x:c r="H19" s="19" t="n">
        <x:f>(H10+(H12+H14-H16)*0.5)*'Assumptions'!H17</x:f>
        <x:v>65.10165189392873</x:v>
      </x:c>
      <x:c r="I19" s="19" t="n">
        <x:f>(I10+(I12+I14-I16)*0.5)*'Assumptions'!I17</x:f>
        <x:v>57.15786661078627</x:v>
      </x:c>
    </x:row>
    <x:row r="20" ht="21" customHeight="1">
      <x:c r="C20" s="1"/>
      <x:c r="D20" s="2"/>
      <x:c r="E20" s="2"/>
      <x:c r="F20" s="2"/>
      <x:c r="G20" s="2"/>
      <x:c r="H20" s="2"/>
      <x:c r="I20" s="2"/>
    </x:row>
    <x:row r="21" ht="21" customHeight="1">
      <x:c r="C21" s="12" t="str">
        <x:v>Financial investments</x:v>
      </x:c>
      <x:c r="D21" s="25"/>
      <x:c r="E21" s="25"/>
      <x:c r="F21" s="25"/>
      <x:c r="G21" s="25"/>
      <x:c r="H21" s="25"/>
      <x:c r="I21" s="25"/>
    </x:row>
    <x:row r="22" ht="21" customHeight="1">
      <x:c r="C22" s="1" t="str">
        <x:v>Opening financial investments / loan assets</x:v>
      </x:c>
      <x:c r="D22" s="2"/>
      <x:c r="E22" s="2"/>
      <x:c r="F22" s="2"/>
      <x:c r="G22" s="19" t="n">
        <x:f>'SourceFacts'!F38</x:f>
        <x:v>132.363</x:v>
      </x:c>
      <x:c r="H22" s="27" t="n">
        <x:f>G31</x:f>
        <x:v>132.363</x:v>
      </x:c>
      <x:c r="I22" s="27" t="n">
        <x:f>H31</x:f>
        <x:v>132.363</x:v>
      </x:c>
    </x:row>
    <x:row r="23" ht="21" customHeight="1">
      <x:c r="C23" s="1" t="str">
        <x:v>Investment purchase requested</x:v>
      </x:c>
      <x:c r="D23" s="2"/>
      <x:c r="E23" s="2"/>
      <x:c r="F23" s="2"/>
      <x:c r="G23" s="19" t="n">
        <x:f>'Assumptions'!G51</x:f>
        <x:v>0</x:v>
      </x:c>
      <x:c r="H23" s="19" t="n">
        <x:f>'Assumptions'!H51</x:f>
        <x:v>0</x:v>
      </x:c>
      <x:c r="I23" s="19" t="n">
        <x:f>'Assumptions'!I51</x:f>
        <x:v>0</x:v>
      </x:c>
    </x:row>
    <x:row r="24" ht="21" customHeight="1">
      <x:c r="C24" s="1" t="str">
        <x:v>Effective investment purchases</x:v>
      </x:c>
      <x:c r="D24" s="2"/>
      <x:c r="E24" s="2"/>
      <x:c r="F24" s="2"/>
      <x:c r="G24" s="27" t="n">
        <x:f>MAX(0,G23)</x:f>
        <x:v>0</x:v>
      </x:c>
      <x:c r="H24" s="27" t="n">
        <x:f>MAX(0,H23)</x:f>
        <x:v>0</x:v>
      </x:c>
      <x:c r="I24" s="27" t="n">
        <x:f>MAX(0,I23)</x:f>
        <x:v>0</x:v>
      </x:c>
    </x:row>
    <x:row r="25" ht="21" customHeight="1">
      <x:c r="C25" s="1" t="str">
        <x:v>Redemption requested</x:v>
      </x:c>
      <x:c r="D25" s="2"/>
      <x:c r="E25" s="2"/>
      <x:c r="F25" s="2"/>
      <x:c r="G25" s="19" t="n">
        <x:f>'Assumptions'!G52</x:f>
        <x:v>0</x:v>
      </x:c>
      <x:c r="H25" s="19" t="n">
        <x:f>'Assumptions'!H52</x:f>
        <x:v>0</x:v>
      </x:c>
      <x:c r="I25" s="19" t="n">
        <x:f>'Assumptions'!I52</x:f>
        <x:v>0</x:v>
      </x:c>
    </x:row>
    <x:row r="26" ht="21" customHeight="1">
      <x:c r="C26" s="1" t="str">
        <x:v>Effective redemption</x:v>
      </x:c>
      <x:c r="D26" s="2"/>
      <x:c r="E26" s="2"/>
      <x:c r="F26" s="2"/>
      <x:c r="G26" s="27" t="n">
        <x:f>MIN(MAX(0,G25),G22+G24)</x:f>
        <x:v>0</x:v>
      </x:c>
      <x:c r="H26" s="27" t="n">
        <x:f>MIN(MAX(0,H25),H22+H24)</x:f>
        <x:v>0</x:v>
      </x:c>
      <x:c r="I26" s="27" t="n">
        <x:f>MIN(MAX(0,I25),I22+I24)</x:f>
        <x:v>0</x:v>
      </x:c>
    </x:row>
    <x:row r="27" ht="21" customHeight="1">
      <x:c r="C27" s="1" t="str">
        <x:v>Redemption above available investment</x:v>
      </x:c>
      <x:c r="D27" s="2"/>
      <x:c r="E27" s="2"/>
      <x:c r="F27" s="2"/>
      <x:c r="G27" s="27" t="n">
        <x:f>MAX(0,G25-G26)</x:f>
        <x:v>0</x:v>
      </x:c>
      <x:c r="H27" s="27" t="n">
        <x:f>MAX(0,H25-H26)</x:f>
        <x:v>0</x:v>
      </x:c>
      <x:c r="I27" s="27" t="n">
        <x:f>MAX(0,I25-I26)</x:f>
        <x:v>0</x:v>
      </x:c>
    </x:row>
    <x:row r="28" ht="21" customHeight="1">
      <x:c r="C28" s="1" t="str">
        <x:v>Fair-value change requested</x:v>
      </x:c>
      <x:c r="D28" s="2"/>
      <x:c r="E28" s="2"/>
      <x:c r="F28" s="2"/>
      <x:c r="G28" s="19" t="n">
        <x:f>'Assumptions'!G53</x:f>
        <x:v>0</x:v>
      </x:c>
      <x:c r="H28" s="19" t="n">
        <x:f>'Assumptions'!H53</x:f>
        <x:v>0</x:v>
      </x:c>
      <x:c r="I28" s="19" t="n">
        <x:f>'Assumptions'!I53</x:f>
        <x:v>0</x:v>
      </x:c>
    </x:row>
    <x:row r="29" ht="21" customHeight="1">
      <x:c r="C29" s="1" t="str">
        <x:v>Effective fair-value gain / (loss)</x:v>
      </x:c>
      <x:c r="D29" s="2"/>
      <x:c r="E29" s="2"/>
      <x:c r="F29" s="2"/>
      <x:c r="G29" s="27" t="n">
        <x:f>MAX(G28,-(G22+G24-G26))</x:f>
        <x:v>0</x:v>
      </x:c>
      <x:c r="H29" s="27" t="n">
        <x:f>MAX(H28,-(H22+H24-H26))</x:f>
        <x:v>0</x:v>
      </x:c>
      <x:c r="I29" s="27" t="n">
        <x:f>MAX(I28,-(I22+I24-I26))</x:f>
        <x:v>0</x:v>
      </x:c>
    </x:row>
    <x:row r="30" ht="21" customHeight="1">
      <x:c r="C30" s="1" t="str">
        <x:v>Fair-value loss above available investment</x:v>
      </x:c>
      <x:c r="D30" s="2"/>
      <x:c r="E30" s="2"/>
      <x:c r="F30" s="2"/>
      <x:c r="G30" s="27" t="n">
        <x:f>MAX(0,G29-G28)</x:f>
        <x:v>0</x:v>
      </x:c>
      <x:c r="H30" s="27" t="n">
        <x:f>MAX(0,H29-H28)</x:f>
        <x:v>0</x:v>
      </x:c>
      <x:c r="I30" s="27" t="n">
        <x:f>MAX(0,I29-I28)</x:f>
        <x:v>0</x:v>
      </x:c>
    </x:row>
    <x:row r="31" ht="21" customHeight="1">
      <x:c r="C31" s="1" t="str">
        <x:v>Closing financial investments / loan assets</x:v>
      </x:c>
      <x:c r="D31" s="2"/>
      <x:c r="E31" s="2"/>
      <x:c r="F31" s="2"/>
      <x:c r="G31" s="27" t="n">
        <x:f>G22+G24-G26+G29</x:f>
        <x:v>132.363</x:v>
      </x:c>
      <x:c r="H31" s="27" t="n">
        <x:f>H22+H24-H26+H29</x:f>
        <x:v>132.363</x:v>
      </x:c>
      <x:c r="I31" s="27" t="n">
        <x:f>I22+I24-I26+I29</x:f>
        <x:v>132.363</x:v>
      </x:c>
    </x:row>
    <x:row r="32" ht="21" customHeight="1">
      <x:c r="C32" s="1"/>
      <x:c r="D32" s="2"/>
      <x:c r="E32" s="2"/>
      <x:c r="F32" s="2"/>
      <x:c r="G32" s="2"/>
      <x:c r="H32" s="2"/>
      <x:c r="I32" s="2"/>
    </x:row>
    <x:row r="33" ht="21" customHeight="1">
      <x:c r="C33" s="12" t="str">
        <x:v>Tax settlement</x:v>
      </x:c>
      <x:c r="D33" s="25"/>
      <x:c r="E33" s="25"/>
      <x:c r="F33" s="25"/>
      <x:c r="G33" s="25"/>
      <x:c r="H33" s="25"/>
      <x:c r="I33" s="25"/>
    </x:row>
    <x:row r="34" ht="21" customHeight="1">
      <x:c r="C34" s="1" t="str">
        <x:v>Opening taxes payable</x:v>
      </x:c>
      <x:c r="D34" s="2"/>
      <x:c r="E34" s="2"/>
      <x:c r="F34" s="2"/>
      <x:c r="G34" s="19" t="n">
        <x:f>'SourceFacts'!F44</x:f>
        <x:v>133.039</x:v>
      </x:c>
      <x:c r="H34" s="27" t="n">
        <x:f>G38</x:f>
        <x:v>16.93048964385457</x:v>
      </x:c>
      <x:c r="I34" s="27" t="n">
        <x:f>H38</x:f>
        <x:v>19.68622943084486</x:v>
      </x:c>
    </x:row>
    <x:row r="35" ht="21" customHeight="1">
      <x:c r="C35" s="1" t="str">
        <x:v>Current tax accrual</x:v>
      </x:c>
      <x:c r="D35" s="2"/>
      <x:c r="E35" s="2"/>
      <x:c r="F35" s="2"/>
      <x:c r="G35" s="19" t="n">
        <x:f>'Statements'!G24</x:f>
        <x:v>112.86993095903047</x:v>
      </x:c>
      <x:c r="H35" s="19" t="n">
        <x:f>'Statements'!H24</x:f>
        <x:v>131.2415295389658</x:v>
      </x:c>
      <x:c r="I35" s="19" t="n">
        <x:f>'Statements'!I24</x:f>
        <x:v>149.88107559235857</x:v>
      </x:c>
    </x:row>
    <x:row r="36" ht="21" customHeight="1">
      <x:c r="C36" s="1" t="str">
        <x:v>Cash tax payment requested</x:v>
      </x:c>
      <x:c r="D36" s="2"/>
      <x:c r="E36" s="2"/>
      <x:c r="F36" s="2"/>
      <x:c r="G36" s="19" t="n">
        <x:f>G35*'Assumptions'!G47+G34*'Assumptions'!G48</x:f>
        <x:v>228.97844131517587</x:v>
      </x:c>
      <x:c r="H36" s="19" t="n">
        <x:f>H35*'Assumptions'!H47+H34*'Assumptions'!H48</x:f>
        <x:v>128.48578975197552</x:v>
      </x:c>
      <x:c r="I36" s="19" t="n">
        <x:f>I35*'Assumptions'!I47+I34*'Assumptions'!I48</x:f>
        <x:v>147.08514368434965</x:v>
      </x:c>
    </x:row>
    <x:row r="37" ht="21" customHeight="1">
      <x:c r="C37" s="1" t="str">
        <x:v>Effective cash tax paid</x:v>
      </x:c>
      <x:c r="D37" s="2"/>
      <x:c r="E37" s="2"/>
      <x:c r="F37" s="2"/>
      <x:c r="G37" s="27" t="n">
        <x:f>MIN(MAX(0,G36),MAX(0,G34+G35))</x:f>
        <x:v>228.97844131517587</x:v>
      </x:c>
      <x:c r="H37" s="27" t="n">
        <x:f>MIN(MAX(0,H36),MAX(0,H34+H35))</x:f>
        <x:v>128.48578975197552</x:v>
      </x:c>
      <x:c r="I37" s="27" t="n">
        <x:f>MIN(MAX(0,I36),MAX(0,I34+I35))</x:f>
        <x:v>147.08514368434965</x:v>
      </x:c>
    </x:row>
    <x:row r="38" ht="21" customHeight="1">
      <x:c r="C38" s="1" t="str">
        <x:v>Closing taxes payable</x:v>
      </x:c>
      <x:c r="D38" s="2"/>
      <x:c r="E38" s="2"/>
      <x:c r="F38" s="2"/>
      <x:c r="G38" s="27" t="n">
        <x:f>G34+G35-G37</x:f>
        <x:v>16.93048964385457</x:v>
      </x:c>
      <x:c r="H38" s="27" t="n">
        <x:f>H34+H35-H37</x:f>
        <x:v>19.68622943084486</x:v>
      </x:c>
      <x:c r="I38" s="27" t="n">
        <x:f>I34+I35-I37</x:f>
        <x:v>22.482161338853786</x:v>
      </x:c>
    </x:row>
    <x:row r="39" ht="21" customHeight="1">
      <x:c r="C39" s="1"/>
      <x:c r="D39" s="2"/>
      <x:c r="E39" s="2"/>
      <x:c r="F39" s="2"/>
      <x:c r="G39" s="2"/>
      <x:c r="H39" s="2"/>
      <x:c r="I39" s="2"/>
    </x:row>
    <x:row r="40" ht="21" customHeight="1">
      <x:c r="C40" s="12" t="str">
        <x:v>Retained earnings and distributions</x:v>
      </x:c>
      <x:c r="D40" s="25"/>
      <x:c r="E40" s="25"/>
      <x:c r="F40" s="25"/>
      <x:c r="G40" s="25"/>
      <x:c r="H40" s="25"/>
      <x:c r="I40" s="25"/>
    </x:row>
    <x:row r="41" ht="21" customHeight="1">
      <x:c r="C41" s="1" t="str">
        <x:v>Opening retained earnings</x:v>
      </x:c>
      <x:c r="D41" s="2"/>
      <x:c r="E41" s="2"/>
      <x:c r="F41" s="2"/>
      <x:c r="G41" s="19" t="n">
        <x:f>'SourceFacts'!F48</x:f>
        <x:v>6481.039</x:v>
      </x:c>
      <x:c r="H41" s="27" t="n">
        <x:f>G48</x:f>
        <x:v>7130.044179255749</x:v>
      </x:c>
      <x:c r="I41" s="27" t="n">
        <x:f>H48</x:f>
        <x:v>7884.686551059384</x:v>
      </x:c>
    </x:row>
    <x:row r="42" ht="21" customHeight="1">
      <x:c r="C42" s="1" t="str">
        <x:v>Parent net income</x:v>
      </x:c>
      <x:c r="D42" s="2"/>
      <x:c r="E42" s="2"/>
      <x:c r="F42" s="2"/>
      <x:c r="G42" s="19" t="n">
        <x:f>'Statements'!G26</x:f>
        <x:v>1298.0103585115007</x:v>
      </x:c>
      <x:c r="H42" s="19" t="n">
        <x:f>'Statements'!H26</x:f>
        <x:v>1509.2847436072714</x:v>
      </x:c>
      <x:c r="I42" s="19" t="n">
        <x:f>'Statements'!I26</x:f>
        <x:v>1723.640539253483</x:v>
      </x:c>
    </x:row>
    <x:row r="43" ht="21" customHeight="1">
      <x:c r="C43" s="1" t="str">
        <x:v>Parent dividend requested</x:v>
      </x:c>
      <x:c r="D43" s="2"/>
      <x:c r="E43" s="2"/>
      <x:c r="F43" s="2"/>
      <x:c r="G43" s="19" t="n">
        <x:f>MAX(0,G42)*'Assumptions'!G43</x:f>
        <x:v>649.0051792557504</x:v>
      </x:c>
      <x:c r="H43" s="19" t="n">
        <x:f>MAX(0,H42)*'Assumptions'!H43</x:f>
        <x:v>754.6423718036357</x:v>
      </x:c>
      <x:c r="I43" s="19" t="n">
        <x:f>MAX(0,I42)*'Assumptions'!I43</x:f>
        <x:v>861.8202696267415</x:v>
      </x:c>
    </x:row>
    <x:row r="44" ht="21" customHeight="1">
      <x:c r="C44" s="1" t="str">
        <x:v>Effective parent dividend</x:v>
      </x:c>
      <x:c r="D44" s="2"/>
      <x:c r="E44" s="2"/>
      <x:c r="F44" s="2"/>
      <x:c r="G44" s="27" t="n">
        <x:f>MIN(MAX(0,G43),MAX(0,G41+G42))</x:f>
        <x:v>649.0051792557504</x:v>
      </x:c>
      <x:c r="H44" s="27" t="n">
        <x:f>MIN(MAX(0,H43),MAX(0,H41+H42))</x:f>
        <x:v>754.6423718036357</x:v>
      </x:c>
      <x:c r="I44" s="27" t="n">
        <x:f>MIN(MAX(0,I43),MAX(0,I41+I42))</x:f>
        <x:v>861.8202696267415</x:v>
      </x:c>
    </x:row>
    <x:row r="45" ht="21" customHeight="1">
      <x:c r="C45" s="1" t="str">
        <x:v>Parent dividend request above distributable balance</x:v>
      </x:c>
      <x:c r="D45" s="2"/>
      <x:c r="E45" s="2"/>
      <x:c r="F45" s="2"/>
      <x:c r="G45" s="27" t="n">
        <x:f>MAX(0,G43-G44)</x:f>
        <x:v>0</x:v>
      </x:c>
      <x:c r="H45" s="27" t="n">
        <x:f>MAX(0,H43-H44)</x:f>
        <x:v>0</x:v>
      </x:c>
      <x:c r="I45" s="27" t="n">
        <x:f>MAX(0,I43-I44)</x:f>
        <x:v>0</x:v>
      </x:c>
    </x:row>
    <x:row r="46" ht="21" customHeight="1">
      <x:c r="C46" s="1" t="str">
        <x:v>Share repurchase requested</x:v>
      </x:c>
      <x:c r="D46" s="2"/>
      <x:c r="E46" s="2"/>
      <x:c r="F46" s="2"/>
      <x:c r="G46" s="19" t="n">
        <x:f>'Assumptions'!G44</x:f>
        <x:v>0</x:v>
      </x:c>
      <x:c r="H46" s="19" t="n">
        <x:f>'Assumptions'!H44</x:f>
        <x:v>0</x:v>
      </x:c>
      <x:c r="I46" s="19" t="n">
        <x:f>'Assumptions'!I44</x:f>
        <x:v>0</x:v>
      </x:c>
    </x:row>
    <x:row r="47" ht="21" customHeight="1">
      <x:c r="C47" s="1" t="str">
        <x:v>Effective share repurchase</x:v>
      </x:c>
      <x:c r="D47" s="2"/>
      <x:c r="E47" s="2"/>
      <x:c r="F47" s="2"/>
      <x:c r="G47" s="27" t="n">
        <x:f>MIN(MAX(0,G46),MAX(0,G41+G42-G44))</x:f>
        <x:v>0</x:v>
      </x:c>
      <x:c r="H47" s="27" t="n">
        <x:f>MIN(MAX(0,H46),MAX(0,H41+H42-H44))</x:f>
        <x:v>0</x:v>
      </x:c>
      <x:c r="I47" s="27" t="n">
        <x:f>MIN(MAX(0,I46),MAX(0,I41+I42-I44))</x:f>
        <x:v>0</x:v>
      </x:c>
    </x:row>
    <x:row r="48" ht="21" customHeight="1">
      <x:c r="C48" s="1" t="str">
        <x:v>Closing retained earnings</x:v>
      </x:c>
      <x:c r="D48" s="2"/>
      <x:c r="E48" s="2"/>
      <x:c r="F48" s="2"/>
      <x:c r="G48" s="27" t="n">
        <x:f>G41+G42-G44-G47</x:f>
        <x:v>7130.044179255749</x:v>
      </x:c>
      <x:c r="H48" s="27" t="n">
        <x:f>H41+H42-H44-H47</x:f>
        <x:v>7884.686551059384</x:v>
      </x:c>
      <x:c r="I48" s="27" t="n">
        <x:f>I41+I42-I44-I47</x:f>
        <x:v>8746.506820686125</x:v>
      </x:c>
    </x:row>
    <x:row r="49" ht="21" customHeight="1">
      <x:c r="C49" s="1"/>
      <x:c r="D49" s="2"/>
      <x:c r="E49" s="2"/>
      <x:c r="F49" s="2"/>
      <x:c r="G49" s="2"/>
      <x:c r="H49" s="2"/>
      <x:c r="I49" s="2"/>
    </x:row>
    <x:row r="50" ht="21" customHeight="1">
      <x:c r="C50" s="12" t="str">
        <x:v>Minority interests</x:v>
      </x:c>
      <x:c r="D50" s="25"/>
      <x:c r="E50" s="25"/>
      <x:c r="F50" s="25"/>
      <x:c r="G50" s="25"/>
      <x:c r="H50" s="25"/>
      <x:c r="I50" s="25"/>
    </x:row>
    <x:row r="51" ht="21" customHeight="1">
      <x:c r="C51" s="1" t="str">
        <x:v>Opening NCI equity</x:v>
      </x:c>
      <x:c r="D51" s="2"/>
      <x:c r="E51" s="2"/>
      <x:c r="F51" s="2"/>
      <x:c r="G51" s="19" t="n">
        <x:f>'SourceFacts'!F49</x:f>
        <x:v>0</x:v>
      </x:c>
      <x:c r="H51" s="27" t="n">
        <x:f>G55</x:f>
        <x:v>0</x:v>
      </x:c>
      <x:c r="I51" s="27" t="n">
        <x:f>H55</x:f>
        <x:v>0</x:v>
      </x:c>
    </x:row>
    <x:row r="52" ht="21" customHeight="1">
      <x:c r="C52" s="1" t="str">
        <x:v>NCI net income</x:v>
      </x:c>
      <x:c r="D52" s="2"/>
      <x:c r="E52" s="2"/>
      <x:c r="F52" s="2"/>
      <x:c r="G52" s="19" t="n">
        <x:f>'Statements'!G27</x:f>
        <x:v>0</x:v>
      </x:c>
      <x:c r="H52" s="19" t="n">
        <x:f>'Statements'!H27</x:f>
        <x:v>0</x:v>
      </x:c>
      <x:c r="I52" s="19" t="n">
        <x:f>'Statements'!I27</x:f>
        <x:v>0</x:v>
      </x:c>
    </x:row>
    <x:row r="53" ht="21" customHeight="1">
      <x:c r="C53" s="1" t="str">
        <x:v>NCI dividend requested</x:v>
      </x:c>
      <x:c r="D53" s="2"/>
      <x:c r="E53" s="2"/>
      <x:c r="F53" s="2"/>
      <x:c r="G53" s="19" t="n">
        <x:f>MAX(0,G52)*'Assumptions'!G43</x:f>
        <x:v>0</x:v>
      </x:c>
      <x:c r="H53" s="19" t="n">
        <x:f>MAX(0,H52)*'Assumptions'!H43</x:f>
        <x:v>0</x:v>
      </x:c>
      <x:c r="I53" s="19" t="n">
        <x:f>MAX(0,I52)*'Assumptions'!I43</x:f>
        <x:v>0</x:v>
      </x:c>
    </x:row>
    <x:row r="54" ht="21" customHeight="1">
      <x:c r="C54" s="1" t="str">
        <x:v>Effective NCI dividend</x:v>
      </x:c>
      <x:c r="D54" s="2"/>
      <x:c r="E54" s="2"/>
      <x:c r="F54" s="2"/>
      <x:c r="G54" s="27" t="n">
        <x:f>MIN(MAX(0,G53),MAX(0,G51+G52))</x:f>
        <x:v>0</x:v>
      </x:c>
      <x:c r="H54" s="27" t="n">
        <x:f>MIN(MAX(0,H53),MAX(0,H51+H52))</x:f>
        <x:v>0</x:v>
      </x:c>
      <x:c r="I54" s="27" t="n">
        <x:f>MIN(MAX(0,I53),MAX(0,I51+I52))</x:f>
        <x:v>0</x:v>
      </x:c>
    </x:row>
    <x:row r="55" ht="21" customHeight="1">
      <x:c r="C55" s="1" t="str">
        <x:v>Closing NCI equity</x:v>
      </x:c>
      <x:c r="D55" s="2"/>
      <x:c r="E55" s="2"/>
      <x:c r="F55" s="2"/>
      <x:c r="G55" s="27" t="n">
        <x:f>G51+G52-G54</x:f>
        <x:v>0</x:v>
      </x:c>
      <x:c r="H55" s="27" t="n">
        <x:f>H51+H52-H54</x:f>
        <x:v>0</x:v>
      </x:c>
      <x:c r="I55" s="27" t="n">
        <x:f>I51+I52-I54</x:f>
        <x:v>0</x:v>
      </x:c>
    </x:row>
    <x:row r="56" ht="21" customHeight="1">
      <x:c r="C56" s="1"/>
      <x:c r="D56" s="2"/>
      <x:c r="E56" s="2"/>
      <x:c r="F56" s="2"/>
      <x:c r="G56" s="2"/>
      <x:c r="H56" s="2"/>
      <x:c r="I56" s="2"/>
    </x:row>
    <x:row r="57" ht="21" customHeight="1">
      <x:c r="C57" s="12" t="str">
        <x:v>Share capital and reserves</x:v>
      </x:c>
      <x:c r="D57" s="25"/>
      <x:c r="E57" s="25"/>
      <x:c r="F57" s="25"/>
      <x:c r="G57" s="25"/>
      <x:c r="H57" s="25"/>
      <x:c r="I57" s="25"/>
    </x:row>
    <x:row r="58" ht="21" customHeight="1">
      <x:c r="C58" s="1" t="str">
        <x:v>Opening share capital and other reserves</x:v>
      </x:c>
      <x:c r="D58" s="2"/>
      <x:c r="E58" s="2"/>
      <x:c r="F58" s="2"/>
      <x:c r="G58" s="19" t="n">
        <x:f>'SourceFacts'!F50-'SourceFacts'!F48-'SourceFacts'!F49</x:f>
        <x:v>477.41499999999996</x:v>
      </x:c>
      <x:c r="H58" s="27" t="n">
        <x:f>G61</x:f>
        <x:v>477.41499999999996</x:v>
      </x:c>
      <x:c r="I58" s="27" t="n">
        <x:f>H61</x:f>
        <x:v>477.41499999999996</x:v>
      </x:c>
    </x:row>
    <x:row r="59" ht="21" customHeight="1">
      <x:c r="C59" s="1" t="str">
        <x:v>Effective cash share proceeds</x:v>
      </x:c>
      <x:c r="D59" s="2"/>
      <x:c r="E59" s="2"/>
      <x:c r="F59" s="2"/>
      <x:c r="G59" s="19" t="n">
        <x:f>MAX(0,'Assumptions'!G45)</x:f>
        <x:v>0</x:v>
      </x:c>
      <x:c r="H59" s="19" t="n">
        <x:f>MAX(0,'Assumptions'!H45)</x:f>
        <x:v>0</x:v>
      </x:c>
      <x:c r="I59" s="19" t="n">
        <x:f>MAX(0,'Assumptions'!I45)</x:f>
        <x:v>0</x:v>
      </x:c>
    </x:row>
    <x:row r="60" ht="21" customHeight="1">
      <x:c r="C60" s="1" t="str">
        <x:v>Share-based compensation reserve credit</x:v>
      </x:c>
      <x:c r="D60" s="2"/>
      <x:c r="E60" s="2"/>
      <x:c r="F60" s="2"/>
      <x:c r="G60" s="19" t="n">
        <x:f>MAX(0,'Assumptions'!G46)</x:f>
        <x:v>0</x:v>
      </x:c>
      <x:c r="H60" s="19" t="n">
        <x:f>MAX(0,'Assumptions'!H46)</x:f>
        <x:v>0</x:v>
      </x:c>
      <x:c r="I60" s="19" t="n">
        <x:f>MAX(0,'Assumptions'!I46)</x:f>
        <x:v>0</x:v>
      </x:c>
    </x:row>
    <x:row r="61" ht="21" customHeight="1">
      <x:c r="C61" s="1" t="str">
        <x:v>Closing share capital and other reserves</x:v>
      </x:c>
      <x:c r="D61" s="2"/>
      <x:c r="E61" s="2"/>
      <x:c r="F61" s="2"/>
      <x:c r="G61" s="27" t="n">
        <x:f>SUM(G58:G60)</x:f>
        <x:v>477.41499999999996</x:v>
      </x:c>
      <x:c r="H61" s="27" t="n">
        <x:f>SUM(H58:H60)</x:f>
        <x:v>477.41499999999996</x:v>
      </x:c>
      <x:c r="I61" s="27" t="n">
        <x:f>SUM(I58:I60)</x:f>
        <x:v>477.41499999999996</x:v>
      </x:c>
    </x:row>
    <x:row r="62" ht="21" customHeight="1">
      <x:c r="C62" s="1"/>
      <x:c r="D62" s="2"/>
      <x:c r="E62" s="2"/>
      <x:c r="F62" s="2"/>
      <x:c r="G62" s="2"/>
      <x:c r="H62" s="2"/>
      <x:c r="I62" s="2"/>
    </x:row>
    <x:row r="63" ht="21" customHeight="1">
      <x:c r="C63" s="1" t="str">
        <x:v>Total closing equity</x:v>
      </x:c>
      <x:c r="D63" s="2"/>
      <x:c r="E63" s="2"/>
      <x:c r="F63" s="2"/>
      <x:c r="G63" s="27" t="n">
        <x:f>G48+G55+G61</x:f>
        <x:v>7607.459179255749</x:v>
      </x:c>
      <x:c r="H63" s="27" t="n">
        <x:f>H48+H55+H61</x:f>
        <x:v>8362.101551059384</x:v>
      </x:c>
      <x:c r="I63" s="27" t="n">
        <x:f>I48+I55+I61</x:f>
        <x:v>9223.921820686126</x:v>
      </x:c>
    </x:row>
    <x:row r="64" ht="21" customHeight="1">
      <x:c r="C64" s="1"/>
      <x:c r="D64" s="2"/>
      <x:c r="E64" s="2"/>
      <x:c r="F64" s="2"/>
      <x:c r="G64" s="2"/>
      <x:c r="H64" s="2"/>
      <x:c r="I64" s="2"/>
    </x:row>
    <x:row r="65" ht="21" customHeight="1">
      <x:c r="C65" s="1"/>
      <x:c r="D65" s="2"/>
      <x:c r="E65" s="2"/>
      <x:c r="F65" s="2"/>
      <x:c r="G65" s="2"/>
      <x:c r="H65" s="2"/>
      <x:c r="I65" s="2"/>
    </x:row>
    <x:row r="66" ht="21" customHeight="1">
      <x:c r="C66" s="1"/>
      <x:c r="D66" s="2"/>
      <x:c r="E66" s="2"/>
      <x:c r="F66" s="2"/>
      <x:c r="G66" s="2"/>
      <x:c r="H66" s="2"/>
      <x:c r="I66" s="2"/>
    </x:row>
    <x:row r="67" ht="21" customHeight="1">
      <x:c r="C67" s="1"/>
      <x:c r="D67" s="2"/>
      <x:c r="E67" s="2"/>
      <x:c r="F67" s="2"/>
      <x:c r="G67" s="2"/>
      <x:c r="H67" s="2"/>
      <x:c r="I67" s="2"/>
    </x:row>
    <x:row r="68" ht="21" customHeight="1">
      <x:c r="C68" s="1"/>
      <x:c r="D68" s="2"/>
      <x:c r="E68" s="2"/>
      <x:c r="F68" s="2"/>
      <x:c r="G68" s="2"/>
      <x:c r="H68" s="2"/>
      <x:c r="I68" s="2"/>
    </x:row>
    <x:row r="69" ht="21" customHeight="1">
      <x:c r="C69" s="1"/>
      <x:c r="D69" s="2"/>
      <x:c r="E69" s="2"/>
      <x:c r="F69" s="2"/>
      <x:c r="G69" s="2"/>
      <x:c r="H69" s="2"/>
      <x:c r="I69" s="2"/>
    </x:row>
    <x:row r="70" ht="21" customHeight="1">
      <x:c r="C70" s="1"/>
      <x:c r="D70" s="2"/>
      <x:c r="E70" s="2"/>
      <x:c r="F70" s="2"/>
      <x:c r="G70" s="2"/>
      <x:c r="H70" s="2"/>
      <x:c r="I70" s="2"/>
    </x:row>
    <x:row r="71" ht="21" customHeight="1">
      <x:c r="C71" s="1"/>
      <x:c r="D71" s="2"/>
      <x:c r="E71" s="2"/>
      <x:c r="F71" s="2"/>
      <x:c r="G71" s="2"/>
      <x:c r="H71" s="2"/>
      <x:c r="I71" s="2"/>
    </x:row>
    <x:row r="72" ht="21" customHeight="1">
      <x:c r="C72" s="1"/>
      <x:c r="D72" s="2"/>
      <x:c r="E72" s="2"/>
      <x:c r="F72" s="2"/>
      <x:c r="G72" s="2"/>
      <x:c r="H72" s="2"/>
      <x:c r="I72" s="2"/>
    </x:row>
    <x:row r="73" ht="21" customHeight="1">
      <x:c r="C73" s="1"/>
      <x:c r="D73" s="2"/>
      <x:c r="E73" s="2"/>
      <x:c r="F73" s="2"/>
      <x:c r="G73" s="2"/>
      <x:c r="H73" s="2"/>
      <x:c r="I73" s="2"/>
    </x:row>
    <x:row r="74" ht="21" customHeight="1">
      <x:c r="C74" s="1"/>
      <x:c r="D74" s="2"/>
      <x:c r="E74" s="2"/>
      <x:c r="F74" s="2"/>
      <x:c r="G74" s="2"/>
      <x:c r="H74" s="2"/>
      <x:c r="I74" s="2"/>
    </x:row>
    <x:row r="75" ht="21" customHeight="1">
      <x:c r="C75" s="1"/>
      <x:c r="D75" s="2"/>
      <x:c r="E75" s="2"/>
      <x:c r="F75" s="2"/>
      <x:c r="G75" s="2"/>
      <x:c r="H75" s="2"/>
      <x:c r="I75" s="2"/>
    </x:row>
    <x:row r="76" ht="21" customHeight="1">
      <x:c r="C76" s="1"/>
      <x:c r="D76" s="2"/>
      <x:c r="E76" s="2"/>
      <x:c r="F76" s="2"/>
      <x:c r="G76" s="2"/>
      <x:c r="H76" s="2"/>
      <x:c r="I76" s="2"/>
    </x:row>
    <x:row r="77" ht="21" customHeight="1">
      <x:c r="C77" s="1"/>
      <x:c r="D77" s="2"/>
      <x:c r="E77" s="2"/>
      <x:c r="F77" s="2"/>
      <x:c r="G77" s="2"/>
      <x:c r="H77" s="2"/>
      <x:c r="I77" s="2"/>
    </x:row>
    <x:row r="78" ht="21" customHeight="1">
      <x:c r="C78" s="1"/>
      <x:c r="D78" s="2"/>
      <x:c r="E78" s="2"/>
      <x:c r="F78" s="2"/>
      <x:c r="G78" s="2"/>
      <x:c r="H78" s="2"/>
      <x:c r="I78" s="2"/>
    </x:row>
    <x:row r="79" ht="21" customHeight="1">
      <x:c r="C79" s="1"/>
      <x:c r="D79" s="2"/>
      <x:c r="E79" s="2"/>
      <x:c r="F79" s="2"/>
      <x:c r="G79" s="2"/>
      <x:c r="H79" s="2"/>
      <x:c r="I79" s="2"/>
    </x:row>
    <x:row r="80" ht="21" customHeight="1">
      <x:c r="C80" s="1"/>
      <x:c r="D80" s="2"/>
      <x:c r="E80" s="2"/>
      <x:c r="F80" s="2"/>
      <x:c r="G80" s="2"/>
      <x:c r="H80" s="2"/>
      <x:c r="I80" s="2"/>
    </x:row>
    <x:row r="81" ht="21" customHeight="1">
      <x:c r="C81" s="1"/>
      <x:c r="D81" s="2"/>
      <x:c r="E81" s="2"/>
      <x:c r="F81" s="2"/>
      <x:c r="G81" s="2"/>
      <x:c r="H81" s="2"/>
      <x:c r="I81" s="2"/>
    </x:row>
    <x:row r="82" ht="21" customHeight="1">
      <x:c r="C82" s="1"/>
      <x:c r="D82" s="2"/>
      <x:c r="E82" s="2"/>
      <x:c r="F82" s="2"/>
      <x:c r="G82" s="2"/>
      <x:c r="H82" s="2"/>
      <x:c r="I82" s="2"/>
    </x:row>
    <x:row r="83" ht="21" customHeight="1">
      <x:c r="C83" s="1"/>
      <x:c r="D83" s="2"/>
      <x:c r="E83" s="2"/>
      <x:c r="F83" s="2"/>
      <x:c r="G83" s="2"/>
      <x:c r="H83" s="2"/>
      <x:c r="I83" s="2"/>
    </x:row>
    <x:row r="84" ht="21" customHeight="1">
      <x:c r="C84" s="1"/>
      <x:c r="D84" s="2"/>
      <x:c r="E84" s="2"/>
      <x:c r="F84" s="2"/>
      <x:c r="G84" s="2"/>
      <x:c r="H84" s="2"/>
      <x:c r="I84" s="2"/>
    </x:row>
    <x:row r="85" ht="21" customHeight="1">
      <x:c r="C85" s="1"/>
      <x:c r="D85" s="2"/>
      <x:c r="E85" s="2"/>
      <x:c r="F85" s="2"/>
      <x:c r="G85" s="2"/>
      <x:c r="H85" s="2"/>
      <x:c r="I85" s="2"/>
    </x:row>
    <x:row r="86" ht="21" customHeight="1">
      <x:c r="C86" s="1"/>
      <x:c r="D86" s="2"/>
      <x:c r="E86" s="2"/>
      <x:c r="F86" s="2"/>
      <x:c r="G86" s="2"/>
      <x:c r="H86" s="2"/>
      <x:c r="I86" s="2"/>
    </x:row>
    <x:row r="87" ht="21" customHeight="1">
      <x:c r="C87" s="1"/>
      <x:c r="D87" s="2"/>
      <x:c r="E87" s="2"/>
      <x:c r="F87" s="2"/>
      <x:c r="G87" s="2"/>
      <x:c r="H87" s="2"/>
      <x:c r="I87" s="2"/>
    </x:row>
    <x:row r="88" ht="21" customHeight="1">
      <x:c r="C88" s="1"/>
      <x:c r="D88" s="2"/>
      <x:c r="E88" s="2"/>
      <x:c r="F88" s="2"/>
      <x:c r="G88" s="2"/>
      <x:c r="H88" s="2"/>
      <x:c r="I88" s="2"/>
    </x:row>
    <x:row r="89" ht="21" customHeight="1">
      <x:c r="C89" s="1"/>
      <x:c r="D89" s="2"/>
      <x:c r="E89" s="2"/>
      <x:c r="F89" s="2"/>
      <x:c r="G89" s="2"/>
      <x:c r="H89" s="2"/>
      <x:c r="I89" s="2"/>
    </x:row>
    <x:row r="90" ht="21" customHeight="1">
      <x:c r="C90" s="1"/>
      <x:c r="D90" s="2"/>
      <x:c r="E90" s="2"/>
      <x:c r="F90" s="2"/>
      <x:c r="G90" s="2"/>
      <x:c r="H90" s="2"/>
      <x:c r="I90" s="2"/>
    </x:row>
    <x:row r="91" ht="21" customHeight="1">
      <x:c r="C91" s="1"/>
      <x:c r="D91" s="2"/>
      <x:c r="E91" s="2"/>
      <x:c r="F91" s="2"/>
      <x:c r="G91" s="2"/>
      <x:c r="H91" s="2"/>
      <x:c r="I91" s="2"/>
    </x:row>
    <x:row r="92" ht="21" customHeight="1">
      <x:c r="C92" s="1"/>
      <x:c r="D92" s="2"/>
      <x:c r="E92" s="2"/>
      <x:c r="F92" s="2"/>
      <x:c r="G92" s="2"/>
      <x:c r="H92" s="2"/>
      <x:c r="I92" s="2"/>
    </x:row>
    <x:row r="93" ht="21" customHeight="1">
      <x:c r="C93" s="1"/>
      <x:c r="D93" s="2"/>
      <x:c r="E93" s="2"/>
      <x:c r="F93" s="2"/>
      <x:c r="G93" s="2"/>
      <x:c r="H93" s="2"/>
      <x:c r="I93" s="2"/>
    </x:row>
    <x:row r="94" ht="21" customHeight="1">
      <x:c r="C94" s="1"/>
      <x:c r="D94" s="2"/>
      <x:c r="E94" s="2"/>
      <x:c r="F94" s="2"/>
      <x:c r="G94" s="2"/>
      <x:c r="H94" s="2"/>
      <x:c r="I94" s="2"/>
    </x:row>
    <x:row r="95" ht="21" customHeight="1">
      <x:c r="C95" s="1"/>
      <x:c r="D95" s="2"/>
      <x:c r="E95" s="2"/>
      <x:c r="F95" s="2"/>
      <x:c r="G95" s="2"/>
      <x:c r="H95" s="2"/>
      <x:c r="I95" s="2"/>
    </x:row>
    <x:row r="96" ht="21" customHeight="1">
      <x:c r="C96" s="1"/>
      <x:c r="D96" s="2"/>
      <x:c r="E96" s="2"/>
      <x:c r="F96" s="2"/>
      <x:c r="G96" s="2"/>
      <x:c r="H96" s="2"/>
      <x:c r="I96" s="2"/>
    </x:row>
    <x:row r="97" ht="21" customHeight="1">
      <x:c r="C97" s="1"/>
      <x:c r="D97" s="2"/>
      <x:c r="E97" s="2"/>
      <x:c r="F97" s="2"/>
      <x:c r="G97" s="2"/>
      <x:c r="H97" s="2"/>
      <x:c r="I97" s="2"/>
    </x:row>
    <x:row r="98" ht="21" customHeight="1">
      <x:c r="C98" s="1"/>
      <x:c r="D98" s="2"/>
      <x:c r="E98" s="2"/>
      <x:c r="F98" s="2"/>
      <x:c r="G98" s="2"/>
      <x:c r="H98" s="2"/>
      <x:c r="I98" s="2"/>
    </x:row>
    <x:row r="99" ht="21" customHeight="1">
      <x:c r="C99" s="1"/>
      <x:c r="D99" s="2"/>
      <x:c r="E99" s="2"/>
      <x:c r="F99" s="2"/>
      <x:c r="G99" s="2"/>
      <x:c r="H99" s="2"/>
      <x:c r="I99" s="2"/>
    </x:row>
    <x:row r="100" ht="21" customHeight="1">
      <x:c r="C100" s="1"/>
      <x:c r="D100" s="2"/>
      <x:c r="E100" s="2"/>
      <x:c r="F100" s="2"/>
      <x:c r="G100" s="2"/>
      <x:c r="H100" s="2"/>
      <x:c r="I100" s="2"/>
    </x:row>
    <x:row r="101" ht="21" customHeight="1">
      <x:c r="C101" s="1"/>
      <x:c r="D101" s="2"/>
      <x:c r="E101" s="2"/>
      <x:c r="F101" s="2"/>
      <x:c r="G101" s="2"/>
      <x:c r="H101" s="2"/>
      <x:c r="I101" s="2"/>
    </x:row>
    <x:row r="102" ht="21" customHeight="1">
      <x:c r="C102" s="1"/>
      <x:c r="D102" s="2"/>
      <x:c r="E102" s="2"/>
      <x:c r="F102" s="2"/>
      <x:c r="G102" s="2"/>
      <x:c r="H102" s="2"/>
      <x:c r="I102" s="2"/>
    </x:row>
    <x:row r="103" ht="21" customHeight="1">
      <x:c r="C103" s="1"/>
      <x:c r="D103" s="2"/>
      <x:c r="E103" s="2"/>
      <x:c r="F103" s="2"/>
      <x:c r="G103" s="2"/>
      <x:c r="H103" s="2"/>
      <x:c r="I103" s="2"/>
    </x:row>
    <x:row r="104" ht="21" customHeight="1">
      <x:c r="C104" s="1"/>
      <x:c r="D104" s="2"/>
      <x:c r="E104" s="2"/>
      <x:c r="F104" s="2"/>
      <x:c r="G104" s="2"/>
      <x:c r="H104" s="2"/>
      <x:c r="I104" s="2"/>
    </x:row>
    <x:row r="105" ht="21" customHeight="1">
      <x:c r="C105" s="1"/>
      <x:c r="D105" s="2"/>
      <x:c r="E105" s="2"/>
      <x:c r="F105" s="2"/>
      <x:c r="G105" s="2"/>
      <x:c r="H105" s="2"/>
      <x:c r="I105" s="2"/>
    </x:row>
    <x:row r="106" ht="21" customHeight="1">
      <x:c r="C106" s="1"/>
      <x:c r="D106" s="2"/>
      <x:c r="E106" s="2"/>
      <x:c r="F106" s="2"/>
      <x:c r="G106" s="2"/>
      <x:c r="H106" s="2"/>
      <x:c r="I106" s="2"/>
    </x:row>
    <x:row r="107" ht="21" customHeight="1">
      <x:c r="C107" s="1"/>
      <x:c r="D107" s="2"/>
      <x:c r="E107" s="2"/>
      <x:c r="F107" s="2"/>
      <x:c r="G107" s="2"/>
      <x:c r="H107" s="2"/>
      <x:c r="I107" s="2"/>
    </x:row>
    <x:row r="108" ht="21" customHeight="1">
      <x:c r="C108" s="1"/>
      <x:c r="D108" s="2"/>
      <x:c r="E108" s="2"/>
      <x:c r="F108" s="2"/>
      <x:c r="G108" s="2"/>
      <x:c r="H108" s="2"/>
      <x:c r="I108" s="2"/>
    </x:row>
    <x:row r="109" ht="21" customHeight="1">
      <x:c r="C109" s="1"/>
      <x:c r="D109" s="2"/>
      <x:c r="E109" s="2"/>
      <x:c r="F109" s="2"/>
      <x:c r="G109" s="2"/>
      <x:c r="H109" s="2"/>
      <x:c r="I109" s="2"/>
    </x:row>
    <x:row r="110" ht="21" customHeight="1">
      <x:c r="C110" s="1"/>
      <x:c r="D110" s="2"/>
      <x:c r="E110" s="2"/>
      <x:c r="F110" s="2"/>
      <x:c r="G110" s="2"/>
      <x:c r="H110" s="2"/>
      <x:c r="I110" s="2"/>
    </x:row>
    <x:row r="111" ht="21" customHeight="1">
      <x:c r="C111" s="1"/>
      <x:c r="D111" s="2"/>
      <x:c r="E111" s="2"/>
      <x:c r="F111" s="2"/>
      <x:c r="G111" s="2"/>
      <x:c r="H111" s="2"/>
      <x:c r="I111" s="2"/>
    </x:row>
    <x:row r="112" ht="21" customHeight="1">
      <x:c r="C112" s="1"/>
      <x:c r="D112" s="2"/>
      <x:c r="E112" s="2"/>
      <x:c r="F112" s="2"/>
      <x:c r="G112" s="2"/>
      <x:c r="H112" s="2"/>
      <x:c r="I112" s="2"/>
    </x:row>
    <x:row r="113" ht="21" customHeight="1">
      <x:c r="C113" s="1"/>
      <x:c r="D113" s="2"/>
      <x:c r="E113" s="2"/>
      <x:c r="F113" s="2"/>
      <x:c r="G113" s="2"/>
      <x:c r="H113" s="2"/>
      <x:c r="I113" s="2"/>
    </x:row>
    <x:row r="114" ht="21" customHeight="1">
      <x:c r="C114" s="1"/>
      <x:c r="D114" s="2"/>
      <x:c r="E114" s="2"/>
      <x:c r="F114" s="2"/>
      <x:c r="G114" s="2"/>
      <x:c r="H114" s="2"/>
      <x:c r="I114" s="2"/>
    </x:row>
    <x:row r="115" ht="21" customHeight="1">
      <x:c r="C115" s="1"/>
      <x:c r="D115" s="2"/>
      <x:c r="E115" s="2"/>
      <x:c r="F115" s="2"/>
      <x:c r="G115" s="2"/>
      <x:c r="H115" s="2"/>
      <x:c r="I115" s="2"/>
    </x:row>
    <x:row r="116" ht="21" customHeight="1">
      <x:c r="C116" s="1"/>
      <x:c r="D116" s="2"/>
      <x:c r="E116" s="2"/>
      <x:c r="F116" s="2"/>
      <x:c r="G116" s="2"/>
      <x:c r="H116" s="2"/>
      <x:c r="I116" s="2"/>
    </x:row>
    <x:row r="117" ht="21" customHeight="1">
      <x:c r="C117" s="1"/>
      <x:c r="D117" s="2"/>
      <x:c r="E117" s="2"/>
      <x:c r="F117" s="2"/>
      <x:c r="G117" s="2"/>
      <x:c r="H117" s="2"/>
      <x:c r="I117" s="2"/>
    </x:row>
    <x:row r="118" ht="21" customHeight="1">
      <x:c r="C118" s="1"/>
      <x:c r="D118" s="2"/>
      <x:c r="E118" s="2"/>
      <x:c r="F118" s="2"/>
      <x:c r="G118" s="2"/>
      <x:c r="H118" s="2"/>
      <x:c r="I118" s="2"/>
    </x:row>
    <x:row r="119" ht="21" customHeight="1">
      <x:c r="C119" s="1"/>
      <x:c r="D119" s="2"/>
      <x:c r="E119" s="2"/>
      <x:c r="F119" s="2"/>
      <x:c r="G119" s="2"/>
      <x:c r="H119" s="2"/>
      <x:c r="I119" s="2"/>
    </x:row>
    <x:row r="120" ht="21" customHeight="1">
      <x:c r="C120" s="1"/>
      <x:c r="D120" s="2"/>
      <x:c r="E120" s="2"/>
      <x:c r="F120" s="2"/>
      <x:c r="G120" s="2"/>
      <x:c r="H120" s="2"/>
      <x:c r="I120" s="2"/>
    </x:row>
    <x:row r="121" ht="21" customHeight="1">
      <x:c r="C121" s="1"/>
      <x:c r="D121" s="2"/>
      <x:c r="E121" s="2"/>
      <x:c r="F121" s="2"/>
      <x:c r="G121" s="2"/>
      <x:c r="H121" s="2"/>
      <x:c r="I121" s="2"/>
    </x:row>
    <x:row r="122" ht="21" customHeight="1">
      <x:c r="C122" s="1"/>
      <x:c r="D122" s="2"/>
      <x:c r="E122" s="2"/>
      <x:c r="F122" s="2"/>
      <x:c r="G122" s="2"/>
      <x:c r="H122" s="2"/>
      <x:c r="I122" s="2"/>
    </x:row>
    <x:row r="123" ht="21" customHeight="1">
      <x:c r="C123" s="1"/>
      <x:c r="D123" s="2"/>
      <x:c r="E123" s="2"/>
      <x:c r="F123" s="2"/>
      <x:c r="G123" s="2"/>
      <x:c r="H123" s="2"/>
      <x:c r="I123" s="2"/>
    </x:row>
    <x:row r="124" ht="21" customHeight="1">
      <x:c r="C124" s="1"/>
      <x:c r="D124" s="2"/>
      <x:c r="E124" s="2"/>
      <x:c r="F124" s="2"/>
      <x:c r="G124" s="2"/>
      <x:c r="H124" s="2"/>
      <x:c r="I124" s="2"/>
    </x:row>
    <x:row r="125" ht="21" customHeight="1">
      <x:c r="C125" s="1"/>
      <x:c r="D125" s="2"/>
      <x:c r="E125" s="2"/>
      <x:c r="F125" s="2"/>
      <x:c r="G125" s="2"/>
      <x:c r="H125" s="2"/>
      <x:c r="I125" s="2"/>
    </x:row>
    <x:row r="126" ht="21" customHeight="1">
      <x:c r="C126" s="1"/>
      <x:c r="D126" s="2"/>
      <x:c r="E126" s="2"/>
      <x:c r="F126" s="2"/>
      <x:c r="G126" s="2"/>
      <x:c r="H126" s="2"/>
      <x:c r="I126" s="2"/>
    </x:row>
    <x:row r="127" ht="21" customHeight="1">
      <x:c r="C127" s="1"/>
      <x:c r="D127" s="2"/>
      <x:c r="E127" s="2"/>
      <x:c r="F127" s="2"/>
      <x:c r="G127" s="2"/>
      <x:c r="H127" s="2"/>
      <x:c r="I127" s="2"/>
    </x:row>
    <x:row r="128" ht="21" customHeight="1">
      <x:c r="C128" s="1"/>
      <x:c r="D128" s="2"/>
      <x:c r="E128" s="2"/>
      <x:c r="F128" s="2"/>
      <x:c r="G128" s="2"/>
      <x:c r="H128" s="2"/>
      <x:c r="I128" s="2"/>
    </x:row>
    <x:row r="129" ht="21" customHeight="1">
      <x:c r="C129" s="1"/>
      <x:c r="D129" s="2"/>
      <x:c r="E129" s="2"/>
      <x:c r="F129" s="2"/>
      <x:c r="G129" s="2"/>
      <x:c r="H129" s="2"/>
      <x:c r="I129" s="2"/>
    </x:row>
    <x:row r="130" ht="21" customHeight="1">
      <x:c r="C130" s="1"/>
      <x:c r="D130" s="2"/>
      <x:c r="E130" s="2"/>
      <x:c r="F130" s="2"/>
      <x:c r="G130" s="2"/>
      <x:c r="H130" s="2"/>
      <x:c r="I130" s="2"/>
    </x:row>
    <x:row r="131" ht="21" customHeight="1">
      <x:c r="C131" s="1"/>
      <x:c r="D131" s="2"/>
      <x:c r="E131" s="2"/>
      <x:c r="F131" s="2"/>
      <x:c r="G131" s="2"/>
      <x:c r="H131" s="2"/>
      <x:c r="I131" s="2"/>
    </x:row>
    <x:row r="132" ht="21" customHeight="1">
      <x:c r="C132" s="1"/>
      <x:c r="D132" s="2"/>
      <x:c r="E132" s="2"/>
      <x:c r="F132" s="2"/>
      <x:c r="G132" s="2"/>
      <x:c r="H132" s="2"/>
      <x:c r="I132" s="2"/>
    </x:row>
    <x:row r="133" ht="21" customHeight="1">
      <x:c r="C133" s="1"/>
      <x:c r="D133" s="2"/>
      <x:c r="E133" s="2"/>
      <x:c r="F133" s="2"/>
      <x:c r="G133" s="2"/>
      <x:c r="H133" s="2"/>
      <x:c r="I133" s="2"/>
    </x:row>
    <x:row r="134" ht="21" customHeight="1">
      <x:c r="C134" s="1"/>
      <x:c r="D134" s="2"/>
      <x:c r="E134" s="2"/>
      <x:c r="F134" s="2"/>
      <x:c r="G134" s="2"/>
      <x:c r="H134" s="2"/>
      <x:c r="I134" s="2"/>
    </x:row>
    <x:row r="135" ht="21" customHeight="1">
      <x:c r="C135" s="1"/>
      <x:c r="D135" s="2"/>
      <x:c r="E135" s="2"/>
      <x:c r="F135" s="2"/>
      <x:c r="G135" s="2"/>
      <x:c r="H135" s="2"/>
      <x:c r="I135" s="2"/>
    </x:row>
    <x:row r="136" ht="21" customHeight="1">
      <x:c r="C136" s="1"/>
      <x:c r="D136" s="2"/>
      <x:c r="E136" s="2"/>
      <x:c r="F136" s="2"/>
      <x:c r="G136" s="2"/>
      <x:c r="H136" s="2"/>
      <x:c r="I136" s="2"/>
    </x:row>
    <x:row r="137" ht="21" customHeight="1">
      <x:c r="C137" s="1"/>
      <x:c r="D137" s="2"/>
      <x:c r="E137" s="2"/>
      <x:c r="F137" s="2"/>
      <x:c r="G137" s="2"/>
      <x:c r="H137" s="2"/>
      <x:c r="I137" s="2"/>
    </x:row>
    <x:row r="138" ht="21" customHeight="1">
      <x:c r="C138" s="1"/>
      <x:c r="D138" s="2"/>
      <x:c r="E138" s="2"/>
      <x:c r="F138" s="2"/>
      <x:c r="G138" s="2"/>
      <x:c r="H138" s="2"/>
      <x:c r="I138" s="2"/>
    </x:row>
    <x:row r="139" ht="21" customHeight="1">
      <x:c r="C139" s="1"/>
      <x:c r="D139" s="2"/>
      <x:c r="E139" s="2"/>
      <x:c r="F139" s="2"/>
      <x:c r="G139" s="2"/>
      <x:c r="H139" s="2"/>
      <x:c r="I139" s="2"/>
    </x:row>
    <x:row r="140" ht="21" customHeight="1">
      <x:c r="C140" s="1"/>
      <x:c r="D140" s="2"/>
      <x:c r="E140" s="2"/>
      <x:c r="F140" s="2"/>
      <x:c r="G140" s="2"/>
      <x:c r="H140" s="2"/>
      <x:c r="I140" s="2"/>
    </x:row>
    <x:row r="141" ht="21" customHeight="1">
      <x:c r="C141" s="1"/>
      <x:c r="D141" s="2"/>
      <x:c r="E141" s="2"/>
      <x:c r="F141" s="2"/>
      <x:c r="G141" s="2"/>
      <x:c r="H141" s="2"/>
      <x:c r="I141" s="2"/>
    </x:row>
    <x:row r="142" ht="21" customHeight="1">
      <x:c r="C142" s="1"/>
      <x:c r="D142" s="2"/>
      <x:c r="E142" s="2"/>
      <x:c r="F142" s="2"/>
      <x:c r="G142" s="2"/>
      <x:c r="H142" s="2"/>
      <x:c r="I142" s="2"/>
    </x:row>
    <x:row r="143" ht="21" customHeight="1">
      <x:c r="C143" s="1"/>
      <x:c r="D143" s="2"/>
      <x:c r="E143" s="2"/>
      <x:c r="F143" s="2"/>
      <x:c r="G143" s="2"/>
      <x:c r="H143" s="2"/>
      <x:c r="I143" s="2"/>
    </x:row>
    <x:row r="144" ht="21" customHeight="1">
      <x:c r="C144" s="1"/>
      <x:c r="D144" s="2"/>
      <x:c r="E144" s="2"/>
      <x:c r="F144" s="2"/>
      <x:c r="G144" s="2"/>
      <x:c r="H144" s="2"/>
      <x:c r="I144" s="2"/>
    </x:row>
    <x:row r="145" ht="21" customHeight="1">
      <x:c r="C145" s="1"/>
      <x:c r="D145" s="2"/>
      <x:c r="E145" s="2"/>
      <x:c r="F145" s="2"/>
      <x:c r="G145" s="2"/>
      <x:c r="H145" s="2"/>
      <x:c r="I145" s="2"/>
    </x:row>
    <x:row r="146" ht="21" customHeight="1">
      <x:c r="C146" s="1"/>
      <x:c r="D146" s="2"/>
      <x:c r="E146" s="2"/>
      <x:c r="F146" s="2"/>
      <x:c r="G146" s="2"/>
      <x:c r="H146" s="2"/>
      <x:c r="I146" s="2"/>
    </x:row>
    <x:row r="147" ht="21" customHeight="1">
      <x:c r="C147" s="1"/>
      <x:c r="D147" s="2"/>
      <x:c r="E147" s="2"/>
      <x:c r="F147" s="2"/>
      <x:c r="G147" s="2"/>
      <x:c r="H147" s="2"/>
      <x:c r="I147" s="2"/>
    </x:row>
    <x:row r="148" ht="21" customHeight="1">
      <x:c r="C148" s="1"/>
      <x:c r="D148" s="2"/>
      <x:c r="E148" s="2"/>
      <x:c r="F148" s="2"/>
      <x:c r="G148" s="2"/>
      <x:c r="H148" s="2"/>
      <x:c r="I148" s="2"/>
    </x:row>
    <x:row r="149" ht="21" customHeight="1">
      <x:c r="C149" s="1"/>
      <x:c r="D149" s="2"/>
      <x:c r="E149" s="2"/>
      <x:c r="F149" s="2"/>
      <x:c r="G149" s="2"/>
      <x:c r="H149" s="2"/>
      <x:c r="I149" s="2"/>
    </x:row>
    <x:row r="150" ht="21" customHeight="1">
      <x:c r="C150" s="1"/>
      <x:c r="D150" s="2"/>
      <x:c r="E150" s="2"/>
      <x:c r="F150" s="2"/>
      <x:c r="G150" s="2"/>
      <x:c r="H150" s="2"/>
      <x:c r="I150" s="2"/>
    </x:row>
    <x:row r="151" ht="21" customHeight="1">
      <x:c r="C151" s="1"/>
      <x:c r="D151" s="2"/>
      <x:c r="E151" s="2"/>
      <x:c r="F151" s="2"/>
      <x:c r="G151" s="2"/>
      <x:c r="H151" s="2"/>
      <x:c r="I151" s="2"/>
    </x:row>
    <x:row r="152" ht="21" customHeight="1">
      <x:c r="C152" s="1"/>
      <x:c r="D152" s="2"/>
      <x:c r="E152" s="2"/>
      <x:c r="F152" s="2"/>
      <x:c r="G152" s="2"/>
      <x:c r="H152" s="2"/>
      <x:c r="I152" s="2"/>
    </x:row>
    <x:row r="153" ht="21" customHeight="1">
      <x:c r="C153" s="1"/>
      <x:c r="D153" s="2"/>
      <x:c r="E153" s="2"/>
      <x:c r="F153" s="2"/>
      <x:c r="G153" s="2"/>
      <x:c r="H153" s="2"/>
      <x:c r="I153" s="2"/>
    </x:row>
    <x:row r="154" ht="21" customHeight="1">
      <x:c r="C154" s="1"/>
      <x:c r="D154" s="2"/>
      <x:c r="E154" s="2"/>
      <x:c r="F154" s="2"/>
      <x:c r="G154" s="2"/>
      <x:c r="H154" s="2"/>
      <x:c r="I154" s="2"/>
    </x:row>
    <x:row r="155" ht="21" customHeight="1">
      <x:c r="C155" s="1"/>
      <x:c r="D155" s="2"/>
      <x:c r="E155" s="2"/>
      <x:c r="F155" s="2"/>
      <x:c r="G155" s="2"/>
      <x:c r="H155" s="2"/>
      <x:c r="I155" s="2"/>
    </x:row>
    <x:row r="156" ht="21" customHeight="1">
      <x:c r="C156" s="1"/>
      <x:c r="D156" s="2"/>
      <x:c r="E156" s="2"/>
      <x:c r="F156" s="2"/>
      <x:c r="G156" s="2"/>
      <x:c r="H156" s="2"/>
      <x:c r="I156" s="2"/>
    </x:row>
    <x:row r="157" ht="21" customHeight="1">
      <x:c r="C157" s="1"/>
      <x:c r="D157" s="2"/>
      <x:c r="E157" s="2"/>
      <x:c r="F157" s="2"/>
      <x:c r="G157" s="2"/>
      <x:c r="H157" s="2"/>
      <x:c r="I157" s="2"/>
    </x:row>
    <x:row r="158" ht="21" customHeight="1">
      <x:c r="C158" s="1"/>
      <x:c r="D158" s="2"/>
      <x:c r="E158" s="2"/>
      <x:c r="F158" s="2"/>
      <x:c r="G158" s="2"/>
      <x:c r="H158" s="2"/>
      <x:c r="I158" s="2"/>
    </x:row>
    <x:row r="159" ht="21" customHeight="1">
      <x:c r="C159" s="1"/>
      <x:c r="D159" s="2"/>
      <x:c r="E159" s="2"/>
      <x:c r="F159" s="2"/>
      <x:c r="G159" s="2"/>
      <x:c r="H159" s="2"/>
      <x:c r="I159" s="2"/>
    </x:row>
    <x:row r="160" ht="21" customHeight="1">
      <x:c r="C160" s="1"/>
      <x:c r="D160" s="2"/>
      <x:c r="E160" s="2"/>
      <x:c r="F160" s="2"/>
      <x:c r="G160" s="2"/>
      <x:c r="H160" s="2"/>
      <x:c r="I160" s="2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53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21" customHeight="1">
      <x:c r="C1" s="1"/>
      <x:c r="D1" s="1"/>
      <x:c r="E1" s="1"/>
      <x:c r="F1" s="1"/>
      <x:c r="G1" s="1"/>
      <x:c r="H1" s="1"/>
      <x:c r="I1" s="1"/>
    </x:row>
    <x:row r="2" ht="21" customHeight="1">
      <x:c r="C2" s="4" t="str">
        <x:v>创科实业 TTI</x:v>
      </x:c>
      <x:c r="D2" s="4"/>
      <x:c r="E2" s="4"/>
      <x:c r="F2" s="4"/>
      <x:c r="G2" s="4"/>
      <x:c r="H2" s="4"/>
      <x:c r="I2" s="4"/>
    </x:row>
    <x:row r="3" ht="21" customHeight="1">
      <x:c r="C3" s="5" t="str">
        <x:v>Interim · USD million · December year-end</x:v>
      </x:c>
      <x:c r="D3" s="5"/>
      <x:c r="E3" s="5"/>
      <x:c r="F3" s="5"/>
      <x:c r="G3" s="5"/>
      <x:c r="H3" s="5"/>
      <x:c r="I3" s="5"/>
    </x:row>
    <x:row r="4" ht="21" customHeight="1">
      <x:c r="C4" s="1"/>
      <x:c r="D4" s="1"/>
      <x:c r="E4" s="1"/>
      <x:c r="F4" s="1"/>
      <x:c r="G4" s="1"/>
      <x:c r="H4" s="1"/>
      <x:c r="I4" s="1"/>
    </x:row>
    <x:row r="5" ht="21" customHeight="1">
      <x:c r="C5" s="1"/>
      <x:c r="D5" s="1"/>
      <x:c r="E5" s="1"/>
      <x:c r="F5" s="1"/>
      <x:c r="G5" s="1"/>
      <x:c r="H5" s="1"/>
      <x:c r="I5" s="1"/>
    </x:row>
    <x:row r="6" ht="21" customHeight="1">
      <x:c r="C6" s="1"/>
      <x:c r="D6" s="1"/>
      <x:c r="E6" s="1"/>
      <x:c r="F6" s="1"/>
      <x:c r="G6" s="1"/>
      <x:c r="H6" s="1"/>
      <x:c r="I6" s="1"/>
    </x:row>
    <x:row r="7" ht="21" customHeight="1">
      <x:c r="C7" s="12"/>
      <x:c r="D7" s="13" t="str">
        <x:v>H1 2025A</x:v>
      </x:c>
      <x:c r="E7" s="13" t="str">
        <x:v>H1 2026A</x:v>
      </x:c>
      <x:c r="F7" s="13"/>
      <x:c r="G7" s="14"/>
      <x:c r="H7" s="14"/>
      <x:c r="I7" s="14"/>
    </x:row>
    <x:row r="8" ht="21" customHeight="1">
      <x:c r="C8" s="1"/>
      <x:c r="D8" s="2"/>
      <x:c r="E8" s="2"/>
      <x:c r="F8" s="2"/>
      <x:c r="G8" s="2"/>
      <x:c r="H8" s="2"/>
      <x:c r="I8" s="2"/>
    </x:row>
    <x:row r="9" ht="21" customHeight="1">
      <x:c r="C9" s="1" t="str">
        <x:v>Revenue</x:v>
      </x:c>
      <x:c r="D9" s="2" t="n">
        <x:v>7833.083</x:v>
      </x:c>
      <x:c r="E9" s="2" t="n">
        <x:v>8291.607</x:v>
      </x:c>
      <x:c r="F9" s="2"/>
      <x:c r="G9" s="2"/>
      <x:c r="H9" s="2"/>
      <x:c r="I9" s="2"/>
    </x:row>
    <x:row r="10" ht="21" customHeight="1">
      <x:c r="C10" s="1" t="str">
        <x:v>Profit before tax</x:v>
      </x:c>
      <x:c r="D10" s="2" t="n">
        <x:v>681.496</x:v>
      </x:c>
      <x:c r="E10" s="2" t="n">
        <x:v>802.616</x:v>
      </x:c>
      <x:c r="F10" s="2"/>
      <x:c r="G10" s="2"/>
      <x:c r="H10" s="2"/>
      <x:c r="I10" s="2"/>
    </x:row>
    <x:row r="11" ht="21" customHeight="1">
      <x:c r="C11" s="1" t="str">
        <x:v>Consolidated net income</x:v>
      </x:c>
      <x:c r="D11" s="2" t="n">
        <x:v>628.339</x:v>
      </x:c>
      <x:c r="E11" s="2" t="n">
        <x:v>738.407</x:v>
      </x:c>
      <x:c r="F11" s="2"/>
      <x:c r="G11" s="2"/>
      <x:c r="H11" s="2"/>
      <x:c r="I11" s="2"/>
    </x:row>
    <x:row r="12" ht="21" customHeight="1">
      <x:c r="C12" s="1"/>
      <x:c r="D12" s="2"/>
      <x:c r="E12" s="2"/>
      <x:c r="F12" s="2"/>
      <x:c r="G12" s="2"/>
      <x:c r="H12" s="2"/>
      <x:c r="I12" s="2"/>
    </x:row>
    <x:row r="13" ht="21" customHeight="1">
      <x:c r="C13" s="1"/>
      <x:c r="D13" s="2"/>
      <x:c r="E13" s="2"/>
      <x:c r="F13" s="2"/>
      <x:c r="G13" s="2"/>
      <x:c r="H13" s="2"/>
      <x:c r="I13" s="2"/>
    </x:row>
    <x:row r="14" ht="21" customHeight="1">
      <x:c r="C14" s="1" t="str">
        <x:v>Segment revenue allocation</x:v>
      </x:c>
      <x:c r="D14" s="2"/>
      <x:c r="E14" s="2"/>
      <x:c r="F14" s="2"/>
      <x:c r="G14" s="2"/>
      <x:c r="H14" s="2"/>
      <x:c r="I14" s="2"/>
    </x:row>
    <x:row r="15" ht="21" customHeight="1">
      <x:c r="C15" s="1"/>
      <x:c r="D15" s="2"/>
      <x:c r="E15" s="2"/>
      <x:c r="F15" s="2"/>
      <x:c r="G15" s="2"/>
      <x:c r="H15" s="2"/>
      <x:c r="I15" s="2"/>
    </x:row>
    <x:row r="16" ht="52" customHeight="1">
      <x:c r="C16" s="1" t="str">
        <x:v>Professional</x:v>
      </x:c>
      <x:c r="D16" s="2" t="n">
        <x:v>5371.581</x:v>
      </x:c>
      <x:c r="E16" s="2" t="n">
        <x:v>5890.811</x:v>
      </x:c>
      <x:c r="F16" s="20" t="str">
        <x:v>H1 2025 and 2026 external sales SOURCE_FACT; annual FY2025 allocated using restated H1 2025 mix</x:v>
      </x:c>
      <x:c r="G16" s="2"/>
      <x:c r="H16" s="2"/>
      <x:c r="I16" s="2"/>
    </x:row>
    <x:row r="17" ht="52" customHeight="1">
      <x:c r="C17" s="1" t="str">
        <x:v>Consumer</x:v>
      </x:c>
      <x:c r="D17" s="2" t="n">
        <x:v>2461.502</x:v>
      </x:c>
      <x:c r="E17" s="2" t="n">
        <x:v>2400.796</x:v>
      </x:c>
      <x:c r="F17" s="20" t="str">
        <x:v>H1 2025 and 2026 external sales SOURCE_FACT; annual FY2025 allocated using restated H1 2025 mix</x:v>
      </x:c>
      <x:c r="G17" s="2"/>
      <x:c r="H17" s="2"/>
      <x:c r="I17" s="2"/>
    </x:row>
    <x:row r="18" ht="21" customHeight="1">
      <x:c r="C18" s="1"/>
      <x:c r="D18" s="2"/>
      <x:c r="E18" s="2"/>
      <x:c r="F18" s="2"/>
      <x:c r="G18" s="2"/>
      <x:c r="H18" s="2"/>
      <x:c r="I18" s="2"/>
    </x:row>
    <x:row r="19" ht="21" customHeight="1">
      <x:c r="C19" s="1"/>
      <x:c r="D19" s="2"/>
      <x:c r="E19" s="2"/>
      <x:c r="F19" s="2"/>
      <x:c r="G19" s="2"/>
      <x:c r="H19" s="2"/>
      <x:c r="I19" s="2"/>
    </x:row>
    <x:row r="20" ht="21" customHeight="1">
      <x:c r="C20" s="1"/>
      <x:c r="D20" s="2"/>
      <x:c r="E20" s="2"/>
      <x:c r="F20" s="2"/>
      <x:c r="G20" s="2"/>
      <x:c r="H20" s="2"/>
      <x:c r="I20" s="2"/>
    </x:row>
    <x:row r="21" ht="21" customHeight="1">
      <x:c r="C21" s="1"/>
      <x:c r="D21" s="2"/>
      <x:c r="E21" s="2"/>
      <x:c r="F21" s="2"/>
      <x:c r="G21" s="2"/>
      <x:c r="H21" s="2"/>
      <x:c r="I21" s="2"/>
    </x:row>
    <x:row r="22" ht="21" customHeight="1">
      <x:c r="C22" s="1"/>
      <x:c r="D22" s="2"/>
      <x:c r="E22" s="2"/>
      <x:c r="F22" s="2"/>
      <x:c r="G22" s="2"/>
      <x:c r="H22" s="2"/>
      <x:c r="I22" s="2"/>
    </x:row>
    <x:row r="23" ht="21" customHeight="1">
      <x:c r="C23" s="1"/>
      <x:c r="D23" s="2"/>
      <x:c r="E23" s="2"/>
      <x:c r="F23" s="2"/>
      <x:c r="G23" s="2"/>
      <x:c r="H23" s="2"/>
      <x:c r="I23" s="2"/>
    </x:row>
    <x:row r="24" ht="21" customHeight="1">
      <x:c r="C24" s="1"/>
      <x:c r="D24" s="2"/>
      <x:c r="E24" s="2"/>
      <x:c r="F24" s="2"/>
      <x:c r="G24" s="2"/>
      <x:c r="H24" s="2"/>
      <x:c r="I24" s="2"/>
    </x:row>
    <x:row r="25" ht="21" customHeight="1">
      <x:c r="C25" s="1"/>
      <x:c r="D25" s="2"/>
      <x:c r="E25" s="2"/>
      <x:c r="F25" s="2"/>
      <x:c r="G25" s="2"/>
      <x:c r="H25" s="2"/>
      <x:c r="I25" s="2"/>
    </x:row>
    <x:row r="26" ht="21" customHeight="1">
      <x:c r="C26" s="1"/>
      <x:c r="D26" s="2"/>
      <x:c r="E26" s="2"/>
      <x:c r="F26" s="2"/>
      <x:c r="G26" s="2"/>
      <x:c r="H26" s="2"/>
      <x:c r="I26" s="2"/>
    </x:row>
    <x:row r="27" ht="21" customHeight="1">
      <x:c r="C27" s="1"/>
      <x:c r="D27" s="2"/>
      <x:c r="E27" s="2"/>
      <x:c r="F27" s="2"/>
      <x:c r="G27" s="2"/>
      <x:c r="H27" s="2"/>
      <x:c r="I27" s="2"/>
    </x:row>
    <x:row r="28" ht="21" customHeight="1">
      <x:c r="C28" s="1"/>
      <x:c r="D28" s="2"/>
      <x:c r="E28" s="2"/>
      <x:c r="F28" s="2"/>
      <x:c r="G28" s="2"/>
      <x:c r="H28" s="2"/>
      <x:c r="I28" s="2"/>
    </x:row>
    <x:row r="29" ht="21" customHeight="1">
      <x:c r="C29" s="1"/>
      <x:c r="D29" s="2"/>
      <x:c r="E29" s="2"/>
      <x:c r="F29" s="2"/>
      <x:c r="G29" s="2"/>
      <x:c r="H29" s="2"/>
      <x:c r="I29" s="2"/>
    </x:row>
    <x:row r="30" ht="21" customHeight="1">
      <x:c r="C30" s="1"/>
      <x:c r="D30" s="2"/>
      <x:c r="E30" s="2"/>
      <x:c r="F30" s="2"/>
      <x:c r="G30" s="2"/>
      <x:c r="H30" s="2"/>
      <x:c r="I30" s="2"/>
    </x:row>
    <x:row r="31" ht="21" customHeight="1">
      <x:c r="C31" s="1"/>
      <x:c r="D31" s="2"/>
      <x:c r="E31" s="2"/>
      <x:c r="F31" s="2"/>
      <x:c r="G31" s="2"/>
      <x:c r="H31" s="2"/>
      <x:c r="I31" s="2"/>
    </x:row>
    <x:row r="32" ht="21" customHeight="1">
      <x:c r="C32" s="1"/>
      <x:c r="D32" s="2"/>
      <x:c r="E32" s="2"/>
      <x:c r="F32" s="2"/>
      <x:c r="G32" s="2"/>
      <x:c r="H32" s="2"/>
      <x:c r="I32" s="2"/>
    </x:row>
    <x:row r="33" ht="21" customHeight="1">
      <x:c r="C33" s="1"/>
      <x:c r="D33" s="2"/>
      <x:c r="E33" s="2"/>
      <x:c r="F33" s="2"/>
      <x:c r="G33" s="2"/>
      <x:c r="H33" s="2"/>
      <x:c r="I33" s="2"/>
    </x:row>
    <x:row r="34" ht="21" customHeight="1">
      <x:c r="C34" s="1"/>
      <x:c r="D34" s="2"/>
      <x:c r="E34" s="2"/>
      <x:c r="F34" s="2"/>
      <x:c r="G34" s="2"/>
      <x:c r="H34" s="2"/>
      <x:c r="I34" s="2"/>
    </x:row>
    <x:row r="35" ht="21" customHeight="1">
      <x:c r="C35" s="1"/>
      <x:c r="D35" s="2"/>
      <x:c r="E35" s="2"/>
      <x:c r="F35" s="2"/>
      <x:c r="G35" s="2"/>
      <x:c r="H35" s="2"/>
      <x:c r="I35" s="2"/>
    </x:row>
    <x:row r="36" ht="21" customHeight="1">
      <x:c r="C36" s="1"/>
      <x:c r="D36" s="2"/>
      <x:c r="E36" s="2"/>
      <x:c r="F36" s="2"/>
      <x:c r="G36" s="2"/>
      <x:c r="H36" s="2"/>
      <x:c r="I36" s="2"/>
    </x:row>
    <x:row r="37" ht="21" customHeight="1">
      <x:c r="C37" s="1"/>
      <x:c r="D37" s="2"/>
      <x:c r="E37" s="2"/>
      <x:c r="F37" s="2"/>
      <x:c r="G37" s="2"/>
      <x:c r="H37" s="2"/>
      <x:c r="I37" s="2"/>
    </x:row>
    <x:row r="38" ht="21" customHeight="1">
      <x:c r="C38" s="1"/>
      <x:c r="D38" s="2"/>
      <x:c r="E38" s="2"/>
      <x:c r="F38" s="2"/>
      <x:c r="G38" s="2"/>
      <x:c r="H38" s="2"/>
      <x:c r="I38" s="2"/>
    </x:row>
    <x:row r="39" ht="21" customHeight="1">
      <x:c r="C39" s="1"/>
      <x:c r="D39" s="2"/>
      <x:c r="E39" s="2"/>
      <x:c r="F39" s="2"/>
      <x:c r="G39" s="2"/>
      <x:c r="H39" s="2"/>
      <x:c r="I39" s="2"/>
    </x:row>
    <x:row r="40" ht="21" customHeight="1">
      <x:c r="C40" s="1"/>
      <x:c r="D40" s="2"/>
      <x:c r="E40" s="2"/>
      <x:c r="F40" s="2"/>
      <x:c r="G40" s="2"/>
      <x:c r="H40" s="2"/>
      <x:c r="I40" s="2"/>
    </x:row>
    <x:row r="41" ht="21" customHeight="1">
      <x:c r="C41" s="1"/>
      <x:c r="D41" s="2"/>
      <x:c r="E41" s="2"/>
      <x:c r="F41" s="2"/>
      <x:c r="G41" s="2"/>
      <x:c r="H41" s="2"/>
      <x:c r="I41" s="2"/>
    </x:row>
    <x:row r="42" ht="21" customHeight="1">
      <x:c r="C42" s="1"/>
      <x:c r="D42" s="2"/>
      <x:c r="E42" s="2"/>
      <x:c r="F42" s="2"/>
      <x:c r="G42" s="2"/>
      <x:c r="H42" s="2"/>
      <x:c r="I42" s="2"/>
    </x:row>
    <x:row r="43" ht="21" customHeight="1">
      <x:c r="C43" s="1"/>
      <x:c r="D43" s="2"/>
      <x:c r="E43" s="2"/>
      <x:c r="F43" s="2"/>
      <x:c r="G43" s="2"/>
      <x:c r="H43" s="2"/>
      <x:c r="I43" s="2"/>
    </x:row>
    <x:row r="44" ht="21" customHeight="1">
      <x:c r="C44" s="1"/>
      <x:c r="D44" s="2"/>
      <x:c r="E44" s="2"/>
      <x:c r="F44" s="2"/>
      <x:c r="G44" s="2"/>
      <x:c r="H44" s="2"/>
      <x:c r="I44" s="2"/>
    </x:row>
    <x:row r="45" ht="21" customHeight="1">
      <x:c r="C45" s="1"/>
      <x:c r="D45" s="2"/>
      <x:c r="E45" s="2"/>
      <x:c r="F45" s="2"/>
      <x:c r="G45" s="2"/>
      <x:c r="H45" s="2"/>
      <x:c r="I45" s="2"/>
    </x:row>
    <x:row r="46" ht="21" customHeight="1">
      <x:c r="C46" s="1"/>
      <x:c r="D46" s="2"/>
      <x:c r="E46" s="2"/>
      <x:c r="F46" s="2"/>
      <x:c r="G46" s="2"/>
      <x:c r="H46" s="2"/>
      <x:c r="I46" s="2"/>
    </x:row>
    <x:row r="47" ht="21" customHeight="1">
      <x:c r="C47" s="1"/>
      <x:c r="D47" s="2"/>
      <x:c r="E47" s="2"/>
      <x:c r="F47" s="2"/>
      <x:c r="G47" s="2"/>
      <x:c r="H47" s="2"/>
      <x:c r="I47" s="2"/>
    </x:row>
    <x:row r="48" ht="21" customHeight="1">
      <x:c r="C48" s="1"/>
      <x:c r="D48" s="2"/>
      <x:c r="E48" s="2"/>
      <x:c r="F48" s="2"/>
      <x:c r="G48" s="2"/>
      <x:c r="H48" s="2"/>
      <x:c r="I48" s="2"/>
    </x:row>
    <x:row r="49" ht="21" customHeight="1">
      <x:c r="C49" s="1"/>
      <x:c r="D49" s="2"/>
      <x:c r="E49" s="2"/>
      <x:c r="F49" s="2"/>
      <x:c r="G49" s="2"/>
      <x:c r="H49" s="2"/>
      <x:c r="I49" s="2"/>
    </x:row>
    <x:row r="50" ht="21" customHeight="1">
      <x:c r="C50" s="1"/>
      <x:c r="D50" s="2"/>
      <x:c r="E50" s="2"/>
      <x:c r="F50" s="2"/>
      <x:c r="G50" s="2"/>
      <x:c r="H50" s="2"/>
      <x:c r="I50" s="2"/>
    </x:row>
    <x:row r="51" ht="21" customHeight="1">
      <x:c r="C51" s="1"/>
      <x:c r="D51" s="2"/>
      <x:c r="E51" s="2"/>
      <x:c r="F51" s="2"/>
      <x:c r="G51" s="2"/>
      <x:c r="H51" s="2"/>
      <x:c r="I51" s="2"/>
    </x:row>
    <x:row r="52" ht="21" customHeight="1">
      <x:c r="C52" s="1"/>
      <x:c r="D52" s="2"/>
      <x:c r="E52" s="2"/>
      <x:c r="F52" s="2"/>
      <x:c r="G52" s="2"/>
      <x:c r="H52" s="2"/>
      <x:c r="I52" s="2"/>
    </x:row>
    <x:row r="53" ht="21" customHeight="1">
      <x:c r="C53" s="1"/>
      <x:c r="D53" s="2"/>
      <x:c r="E53" s="2"/>
      <x:c r="F53" s="2"/>
      <x:c r="G53" s="2"/>
      <x:c r="H53" s="2"/>
      <x:c r="I53" s="2"/>
    </x:row>
    <x:row r="54" ht="21" customHeight="1">
      <x:c r="C54" s="1"/>
      <x:c r="D54" s="2"/>
      <x:c r="E54" s="2"/>
      <x:c r="F54" s="2"/>
      <x:c r="G54" s="2"/>
      <x:c r="H54" s="2"/>
      <x:c r="I54" s="2"/>
    </x:row>
    <x:row r="55" ht="21" customHeight="1">
      <x:c r="C55" s="1"/>
      <x:c r="D55" s="2"/>
      <x:c r="E55" s="2"/>
      <x:c r="F55" s="2"/>
      <x:c r="G55" s="2"/>
      <x:c r="H55" s="2"/>
      <x:c r="I55" s="2"/>
    </x:row>
    <x:row r="56" ht="21" customHeight="1">
      <x:c r="C56" s="1"/>
      <x:c r="D56" s="2"/>
      <x:c r="E56" s="2"/>
      <x:c r="F56" s="2"/>
      <x:c r="G56" s="2"/>
      <x:c r="H56" s="2"/>
      <x:c r="I56" s="2"/>
    </x:row>
    <x:row r="57" ht="21" customHeight="1">
      <x:c r="C57" s="1"/>
      <x:c r="D57" s="2"/>
      <x:c r="E57" s="2"/>
      <x:c r="F57" s="2"/>
      <x:c r="G57" s="2"/>
      <x:c r="H57" s="2"/>
      <x:c r="I57" s="2"/>
    </x:row>
    <x:row r="58" ht="21" customHeight="1">
      <x:c r="C58" s="1"/>
      <x:c r="D58" s="2"/>
      <x:c r="E58" s="2"/>
      <x:c r="F58" s="2"/>
      <x:c r="G58" s="2"/>
      <x:c r="H58" s="2"/>
      <x:c r="I58" s="2"/>
    </x:row>
    <x:row r="59" ht="21" customHeight="1">
      <x:c r="C59" s="1"/>
      <x:c r="D59" s="2"/>
      <x:c r="E59" s="2"/>
      <x:c r="F59" s="2"/>
      <x:c r="G59" s="2"/>
      <x:c r="H59" s="2"/>
      <x:c r="I59" s="2"/>
    </x:row>
    <x:row r="60" ht="21" customHeight="1">
      <x:c r="C60" s="1"/>
      <x:c r="D60" s="2"/>
      <x:c r="E60" s="2"/>
      <x:c r="F60" s="2"/>
      <x:c r="G60" s="2"/>
      <x:c r="H60" s="2"/>
      <x:c r="I60" s="2"/>
    </x:row>
    <x:row r="61" ht="21" customHeight="1">
      <x:c r="C61" s="1"/>
      <x:c r="D61" s="2"/>
      <x:c r="E61" s="2"/>
      <x:c r="F61" s="2"/>
      <x:c r="G61" s="2"/>
      <x:c r="H61" s="2"/>
      <x:c r="I61" s="2"/>
    </x:row>
    <x:row r="62" ht="21" customHeight="1">
      <x:c r="C62" s="1"/>
      <x:c r="D62" s="2"/>
      <x:c r="E62" s="2"/>
      <x:c r="F62" s="2"/>
      <x:c r="G62" s="2"/>
      <x:c r="H62" s="2"/>
      <x:c r="I62" s="2"/>
    </x:row>
    <x:row r="63" ht="21" customHeight="1">
      <x:c r="C63" s="1"/>
      <x:c r="D63" s="2"/>
      <x:c r="E63" s="2"/>
      <x:c r="F63" s="2"/>
      <x:c r="G63" s="2"/>
      <x:c r="H63" s="2"/>
      <x:c r="I63" s="2"/>
    </x:row>
    <x:row r="64" ht="21" customHeight="1">
      <x:c r="C64" s="1"/>
      <x:c r="D64" s="2"/>
      <x:c r="E64" s="2"/>
      <x:c r="F64" s="2"/>
      <x:c r="G64" s="2"/>
      <x:c r="H64" s="2"/>
      <x:c r="I64" s="2"/>
    </x:row>
    <x:row r="65" ht="21" customHeight="1">
      <x:c r="C65" s="1"/>
      <x:c r="D65" s="2"/>
      <x:c r="E65" s="2"/>
      <x:c r="F65" s="2"/>
      <x:c r="G65" s="2"/>
      <x:c r="H65" s="2"/>
      <x:c r="I65" s="2"/>
    </x:row>
    <x:row r="66" ht="21" customHeight="1">
      <x:c r="C66" s="1"/>
      <x:c r="D66" s="2"/>
      <x:c r="E66" s="2"/>
      <x:c r="F66" s="2"/>
      <x:c r="G66" s="2"/>
      <x:c r="H66" s="2"/>
      <x:c r="I66" s="2"/>
    </x:row>
    <x:row r="67" ht="21" customHeight="1">
      <x:c r="C67" s="1"/>
      <x:c r="D67" s="2"/>
      <x:c r="E67" s="2"/>
      <x:c r="F67" s="2"/>
      <x:c r="G67" s="2"/>
      <x:c r="H67" s="2"/>
      <x:c r="I67" s="2"/>
    </x:row>
    <x:row r="68" ht="21" customHeight="1">
      <x:c r="C68" s="1"/>
      <x:c r="D68" s="2"/>
      <x:c r="E68" s="2"/>
      <x:c r="F68" s="2"/>
      <x:c r="G68" s="2"/>
      <x:c r="H68" s="2"/>
      <x:c r="I68" s="2"/>
    </x:row>
    <x:row r="69" ht="21" customHeight="1">
      <x:c r="C69" s="1"/>
      <x:c r="D69" s="2"/>
      <x:c r="E69" s="2"/>
      <x:c r="F69" s="2"/>
      <x:c r="G69" s="2"/>
      <x:c r="H69" s="2"/>
      <x:c r="I69" s="2"/>
    </x:row>
    <x:row r="70" ht="21" customHeight="1">
      <x:c r="C70" s="1"/>
      <x:c r="D70" s="2"/>
      <x:c r="E70" s="2"/>
      <x:c r="F70" s="2"/>
      <x:c r="G70" s="2"/>
      <x:c r="H70" s="2"/>
      <x:c r="I70" s="2"/>
    </x:row>
    <x:row r="71" ht="21" customHeight="1">
      <x:c r="C71" s="1"/>
      <x:c r="D71" s="2"/>
      <x:c r="E71" s="2"/>
      <x:c r="F71" s="2"/>
      <x:c r="G71" s="2"/>
      <x:c r="H71" s="2"/>
      <x:c r="I71" s="2"/>
    </x:row>
    <x:row r="72" ht="21" customHeight="1">
      <x:c r="C72" s="1"/>
      <x:c r="D72" s="2"/>
      <x:c r="E72" s="2"/>
      <x:c r="F72" s="2"/>
      <x:c r="G72" s="2"/>
      <x:c r="H72" s="2"/>
      <x:c r="I72" s="2"/>
    </x:row>
    <x:row r="73" ht="21" customHeight="1">
      <x:c r="C73" s="1"/>
      <x:c r="D73" s="2"/>
      <x:c r="E73" s="2"/>
      <x:c r="F73" s="2"/>
      <x:c r="G73" s="2"/>
      <x:c r="H73" s="2"/>
      <x:c r="I73" s="2"/>
    </x:row>
    <x:row r="74" ht="21" customHeight="1">
      <x:c r="C74" s="1"/>
      <x:c r="D74" s="2"/>
      <x:c r="E74" s="2"/>
      <x:c r="F74" s="2"/>
      <x:c r="G74" s="2"/>
      <x:c r="H74" s="2"/>
      <x:c r="I74" s="2"/>
    </x:row>
    <x:row r="75" ht="21" customHeight="1">
      <x:c r="C75" s="1"/>
      <x:c r="D75" s="2"/>
      <x:c r="E75" s="2"/>
      <x:c r="F75" s="2"/>
      <x:c r="G75" s="2"/>
      <x:c r="H75" s="2"/>
      <x:c r="I75" s="2"/>
    </x:row>
    <x:row r="76" ht="21" customHeight="1">
      <x:c r="C76" s="1"/>
      <x:c r="D76" s="2"/>
      <x:c r="E76" s="2"/>
      <x:c r="F76" s="2"/>
      <x:c r="G76" s="2"/>
      <x:c r="H76" s="2"/>
      <x:c r="I76" s="2"/>
    </x:row>
    <x:row r="77" ht="21" customHeight="1">
      <x:c r="C77" s="1"/>
      <x:c r="D77" s="2"/>
      <x:c r="E77" s="2"/>
      <x:c r="F77" s="2"/>
      <x:c r="G77" s="2"/>
      <x:c r="H77" s="2"/>
      <x:c r="I77" s="2"/>
    </x:row>
    <x:row r="78" ht="21" customHeight="1">
      <x:c r="C78" s="1"/>
      <x:c r="D78" s="2"/>
      <x:c r="E78" s="2"/>
      <x:c r="F78" s="2"/>
      <x:c r="G78" s="2"/>
      <x:c r="H78" s="2"/>
      <x:c r="I78" s="2"/>
    </x:row>
    <x:row r="79" ht="21" customHeight="1">
      <x:c r="C79" s="1"/>
      <x:c r="D79" s="2"/>
      <x:c r="E79" s="2"/>
      <x:c r="F79" s="2"/>
      <x:c r="G79" s="2"/>
      <x:c r="H79" s="2"/>
      <x:c r="I79" s="2"/>
    </x:row>
    <x:row r="80" ht="21" customHeight="1">
      <x:c r="C80" s="1"/>
      <x:c r="D80" s="2"/>
      <x:c r="E80" s="2"/>
      <x:c r="F80" s="2"/>
      <x:c r="G80" s="2"/>
      <x:c r="H80" s="2"/>
      <x:c r="I80" s="2"/>
    </x:row>
    <x:row r="81" ht="21" customHeight="1">
      <x:c r="C81" s="1"/>
      <x:c r="D81" s="2"/>
      <x:c r="E81" s="2"/>
      <x:c r="F81" s="2"/>
      <x:c r="G81" s="2"/>
      <x:c r="H81" s="2"/>
      <x:c r="I81" s="2"/>
    </x:row>
    <x:row r="82" ht="21" customHeight="1">
      <x:c r="C82" s="1"/>
      <x:c r="D82" s="2"/>
      <x:c r="E82" s="2"/>
      <x:c r="F82" s="2"/>
      <x:c r="G82" s="2"/>
      <x:c r="H82" s="2"/>
      <x:c r="I82" s="2"/>
    </x:row>
    <x:row r="83" ht="21" customHeight="1">
      <x:c r="C83" s="1"/>
      <x:c r="D83" s="2"/>
      <x:c r="E83" s="2"/>
      <x:c r="F83" s="2"/>
      <x:c r="G83" s="2"/>
      <x:c r="H83" s="2"/>
      <x:c r="I83" s="2"/>
    </x:row>
    <x:row r="84" ht="21" customHeight="1">
      <x:c r="C84" s="1"/>
      <x:c r="D84" s="2"/>
      <x:c r="E84" s="2"/>
      <x:c r="F84" s="2"/>
      <x:c r="G84" s="2"/>
      <x:c r="H84" s="2"/>
      <x:c r="I84" s="2"/>
    </x:row>
    <x:row r="85" ht="21" customHeight="1">
      <x:c r="C85" s="1"/>
      <x:c r="D85" s="2"/>
      <x:c r="E85" s="2"/>
      <x:c r="F85" s="2"/>
      <x:c r="G85" s="2"/>
      <x:c r="H85" s="2"/>
      <x:c r="I85" s="2"/>
    </x:row>
    <x:row r="86" ht="21" customHeight="1">
      <x:c r="C86" s="1"/>
      <x:c r="D86" s="2"/>
      <x:c r="E86" s="2"/>
      <x:c r="F86" s="2"/>
      <x:c r="G86" s="2"/>
      <x:c r="H86" s="2"/>
      <x:c r="I86" s="2"/>
    </x:row>
    <x:row r="87" ht="21" customHeight="1">
      <x:c r="C87" s="1"/>
      <x:c r="D87" s="2"/>
      <x:c r="E87" s="2"/>
      <x:c r="F87" s="2"/>
      <x:c r="G87" s="2"/>
      <x:c r="H87" s="2"/>
      <x:c r="I87" s="2"/>
    </x:row>
    <x:row r="88" ht="21" customHeight="1">
      <x:c r="C88" s="1"/>
      <x:c r="D88" s="2"/>
      <x:c r="E88" s="2"/>
      <x:c r="F88" s="2"/>
      <x:c r="G88" s="2"/>
      <x:c r="H88" s="2"/>
      <x:c r="I88" s="2"/>
    </x:row>
    <x:row r="89" ht="21" customHeight="1">
      <x:c r="C89" s="1"/>
      <x:c r="D89" s="2"/>
      <x:c r="E89" s="2"/>
      <x:c r="F89" s="2"/>
      <x:c r="G89" s="2"/>
      <x:c r="H89" s="2"/>
      <x:c r="I89" s="2"/>
    </x:row>
    <x:row r="90" ht="21" customHeight="1">
      <x:c r="C90" s="1"/>
      <x:c r="D90" s="2"/>
      <x:c r="E90" s="2"/>
      <x:c r="F90" s="2"/>
      <x:c r="G90" s="2"/>
      <x:c r="H90" s="2"/>
      <x:c r="I90" s="2"/>
    </x:row>
    <x:row r="91" ht="21" customHeight="1">
      <x:c r="C91" s="1"/>
      <x:c r="D91" s="2"/>
      <x:c r="E91" s="2"/>
      <x:c r="F91" s="2"/>
      <x:c r="G91" s="2"/>
      <x:c r="H91" s="2"/>
      <x:c r="I91" s="2"/>
    </x:row>
    <x:row r="92" ht="21" customHeight="1">
      <x:c r="C92" s="1"/>
      <x:c r="D92" s="2"/>
      <x:c r="E92" s="2"/>
      <x:c r="F92" s="2"/>
      <x:c r="G92" s="2"/>
      <x:c r="H92" s="2"/>
      <x:c r="I92" s="2"/>
    </x:row>
    <x:row r="93" ht="21" customHeight="1">
      <x:c r="C93" s="1"/>
      <x:c r="D93" s="2"/>
      <x:c r="E93" s="2"/>
      <x:c r="F93" s="2"/>
      <x:c r="G93" s="2"/>
      <x:c r="H93" s="2"/>
      <x:c r="I93" s="2"/>
    </x:row>
    <x:row r="94" ht="21" customHeight="1">
      <x:c r="C94" s="1"/>
      <x:c r="D94" s="2"/>
      <x:c r="E94" s="2"/>
      <x:c r="F94" s="2"/>
      <x:c r="G94" s="2"/>
      <x:c r="H94" s="2"/>
      <x:c r="I94" s="2"/>
    </x:row>
    <x:row r="95" ht="21" customHeight="1">
      <x:c r="C95" s="1"/>
      <x:c r="D95" s="2"/>
      <x:c r="E95" s="2"/>
      <x:c r="F95" s="2"/>
      <x:c r="G95" s="2"/>
      <x:c r="H95" s="2"/>
      <x:c r="I95" s="2"/>
    </x:row>
    <x:row r="96" ht="21" customHeight="1">
      <x:c r="C96" s="1"/>
      <x:c r="D96" s="2"/>
      <x:c r="E96" s="2"/>
      <x:c r="F96" s="2"/>
      <x:c r="G96" s="2"/>
      <x:c r="H96" s="2"/>
      <x:c r="I96" s="2"/>
    </x:row>
    <x:row r="97" ht="21" customHeight="1">
      <x:c r="C97" s="1"/>
      <x:c r="D97" s="2"/>
      <x:c r="E97" s="2"/>
      <x:c r="F97" s="2"/>
      <x:c r="G97" s="2"/>
      <x:c r="H97" s="2"/>
      <x:c r="I97" s="2"/>
    </x:row>
    <x:row r="98" ht="21" customHeight="1">
      <x:c r="C98" s="1"/>
      <x:c r="D98" s="2"/>
      <x:c r="E98" s="2"/>
      <x:c r="F98" s="2"/>
      <x:c r="G98" s="2"/>
      <x:c r="H98" s="2"/>
      <x:c r="I98" s="2"/>
    </x:row>
    <x:row r="99" ht="21" customHeight="1">
      <x:c r="C99" s="1"/>
      <x:c r="D99" s="2"/>
      <x:c r="E99" s="2"/>
      <x:c r="F99" s="2"/>
      <x:c r="G99" s="2"/>
      <x:c r="H99" s="2"/>
      <x:c r="I99" s="2"/>
    </x:row>
    <x:row r="100" ht="21" customHeight="1">
      <x:c r="C100" s="1"/>
      <x:c r="D100" s="2"/>
      <x:c r="E100" s="2"/>
      <x:c r="F100" s="2"/>
      <x:c r="G100" s="2"/>
      <x:c r="H100" s="2"/>
      <x:c r="I100" s="2"/>
    </x:row>
    <x:row r="101" ht="21" customHeight="1">
      <x:c r="C101" s="1"/>
      <x:c r="D101" s="2"/>
      <x:c r="E101" s="2"/>
      <x:c r="F101" s="2"/>
      <x:c r="G101" s="2"/>
      <x:c r="H101" s="2"/>
      <x:c r="I101" s="2"/>
    </x:row>
    <x:row r="102" ht="21" customHeight="1">
      <x:c r="C102" s="1"/>
      <x:c r="D102" s="2"/>
      <x:c r="E102" s="2"/>
      <x:c r="F102" s="2"/>
      <x:c r="G102" s="2"/>
      <x:c r="H102" s="2"/>
      <x:c r="I102" s="2"/>
    </x:row>
    <x:row r="103" ht="21" customHeight="1">
      <x:c r="C103" s="1"/>
      <x:c r="D103" s="2"/>
      <x:c r="E103" s="2"/>
      <x:c r="F103" s="2"/>
      <x:c r="G103" s="2"/>
      <x:c r="H103" s="2"/>
      <x:c r="I103" s="2"/>
    </x:row>
    <x:row r="104" ht="21" customHeight="1">
      <x:c r="C104" s="1"/>
      <x:c r="D104" s="2"/>
      <x:c r="E104" s="2"/>
      <x:c r="F104" s="2"/>
      <x:c r="G104" s="2"/>
      <x:c r="H104" s="2"/>
      <x:c r="I104" s="2"/>
    </x:row>
    <x:row r="105" ht="21" customHeight="1">
      <x:c r="C105" s="1"/>
      <x:c r="D105" s="2"/>
      <x:c r="E105" s="2"/>
      <x:c r="F105" s="2"/>
      <x:c r="G105" s="2"/>
      <x:c r="H105" s="2"/>
      <x:c r="I105" s="2"/>
    </x:row>
    <x:row r="106" ht="21" customHeight="1">
      <x:c r="C106" s="1"/>
      <x:c r="D106" s="2"/>
      <x:c r="E106" s="2"/>
      <x:c r="F106" s="2"/>
      <x:c r="G106" s="2"/>
      <x:c r="H106" s="2"/>
      <x:c r="I106" s="2"/>
    </x:row>
    <x:row r="107" ht="21" customHeight="1">
      <x:c r="C107" s="1"/>
      <x:c r="D107" s="2"/>
      <x:c r="E107" s="2"/>
      <x:c r="F107" s="2"/>
      <x:c r="G107" s="2"/>
      <x:c r="H107" s="2"/>
      <x:c r="I107" s="2"/>
    </x:row>
    <x:row r="108" ht="21" customHeight="1">
      <x:c r="C108" s="1"/>
      <x:c r="D108" s="2"/>
      <x:c r="E108" s="2"/>
      <x:c r="F108" s="2"/>
      <x:c r="G108" s="2"/>
      <x:c r="H108" s="2"/>
      <x:c r="I108" s="2"/>
    </x:row>
    <x:row r="109" ht="21" customHeight="1">
      <x:c r="C109" s="1"/>
      <x:c r="D109" s="2"/>
      <x:c r="E109" s="2"/>
      <x:c r="F109" s="2"/>
      <x:c r="G109" s="2"/>
      <x:c r="H109" s="2"/>
      <x:c r="I109" s="2"/>
    </x:row>
    <x:row r="110" ht="21" customHeight="1">
      <x:c r="C110" s="1"/>
      <x:c r="D110" s="2"/>
      <x:c r="E110" s="2"/>
      <x:c r="F110" s="2"/>
      <x:c r="G110" s="2"/>
      <x:c r="H110" s="2"/>
      <x:c r="I110" s="2"/>
    </x:row>
    <x:row r="111" ht="21" customHeight="1">
      <x:c r="C111" s="1"/>
      <x:c r="D111" s="2"/>
      <x:c r="E111" s="2"/>
      <x:c r="F111" s="2"/>
      <x:c r="G111" s="2"/>
      <x:c r="H111" s="2"/>
      <x:c r="I111" s="2"/>
    </x:row>
    <x:row r="112" ht="21" customHeight="1">
      <x:c r="C112" s="1"/>
      <x:c r="D112" s="2"/>
      <x:c r="E112" s="2"/>
      <x:c r="F112" s="2"/>
      <x:c r="G112" s="2"/>
      <x:c r="H112" s="2"/>
      <x:c r="I112" s="2"/>
    </x:row>
    <x:row r="113" ht="21" customHeight="1">
      <x:c r="C113" s="1"/>
      <x:c r="D113" s="2"/>
      <x:c r="E113" s="2"/>
      <x:c r="F113" s="2"/>
      <x:c r="G113" s="2"/>
      <x:c r="H113" s="2"/>
      <x:c r="I113" s="2"/>
    </x:row>
    <x:row r="114" ht="21" customHeight="1">
      <x:c r="C114" s="1"/>
      <x:c r="D114" s="2"/>
      <x:c r="E114" s="2"/>
      <x:c r="F114" s="2"/>
      <x:c r="G114" s="2"/>
      <x:c r="H114" s="2"/>
      <x:c r="I114" s="2"/>
    </x:row>
    <x:row r="115" ht="21" customHeight="1">
      <x:c r="C115" s="1"/>
      <x:c r="D115" s="2"/>
      <x:c r="E115" s="2"/>
      <x:c r="F115" s="2"/>
      <x:c r="G115" s="2"/>
      <x:c r="H115" s="2"/>
      <x:c r="I115" s="2"/>
    </x:row>
    <x:row r="116" ht="21" customHeight="1">
      <x:c r="C116" s="1"/>
      <x:c r="D116" s="2"/>
      <x:c r="E116" s="2"/>
      <x:c r="F116" s="2"/>
      <x:c r="G116" s="2"/>
      <x:c r="H116" s="2"/>
      <x:c r="I116" s="2"/>
    </x:row>
    <x:row r="117" ht="21" customHeight="1">
      <x:c r="C117" s="1"/>
      <x:c r="D117" s="2"/>
      <x:c r="E117" s="2"/>
      <x:c r="F117" s="2"/>
      <x:c r="G117" s="2"/>
      <x:c r="H117" s="2"/>
      <x:c r="I117" s="2"/>
    </x:row>
    <x:row r="118" ht="21" customHeight="1">
      <x:c r="C118" s="1"/>
      <x:c r="D118" s="2"/>
      <x:c r="E118" s="2"/>
      <x:c r="F118" s="2"/>
      <x:c r="G118" s="2"/>
      <x:c r="H118" s="2"/>
      <x:c r="I118" s="2"/>
    </x:row>
    <x:row r="119" ht="21" customHeight="1">
      <x:c r="C119" s="1"/>
      <x:c r="D119" s="2"/>
      <x:c r="E119" s="2"/>
      <x:c r="F119" s="2"/>
      <x:c r="G119" s="2"/>
      <x:c r="H119" s="2"/>
      <x:c r="I119" s="2"/>
    </x:row>
    <x:row r="120" ht="21" customHeight="1">
      <x:c r="C120" s="1"/>
      <x:c r="D120" s="2"/>
      <x:c r="E120" s="2"/>
      <x:c r="F120" s="2"/>
      <x:c r="G120" s="2"/>
      <x:c r="H120" s="2"/>
      <x:c r="I120" s="2"/>
    </x:row>
    <x:row r="121" ht="21" customHeight="1">
      <x:c r="C121" s="1"/>
      <x:c r="D121" s="2"/>
      <x:c r="E121" s="2"/>
      <x:c r="F121" s="2"/>
      <x:c r="G121" s="2"/>
      <x:c r="H121" s="2"/>
      <x:c r="I121" s="2"/>
    </x:row>
    <x:row r="122" ht="21" customHeight="1">
      <x:c r="C122" s="1"/>
      <x:c r="D122" s="2"/>
      <x:c r="E122" s="2"/>
      <x:c r="F122" s="2"/>
      <x:c r="G122" s="2"/>
      <x:c r="H122" s="2"/>
      <x:c r="I122" s="2"/>
    </x:row>
    <x:row r="123" ht="21" customHeight="1">
      <x:c r="C123" s="1"/>
      <x:c r="D123" s="2"/>
      <x:c r="E123" s="2"/>
      <x:c r="F123" s="2"/>
      <x:c r="G123" s="2"/>
      <x:c r="H123" s="2"/>
      <x:c r="I123" s="2"/>
    </x:row>
    <x:row r="124" ht="21" customHeight="1">
      <x:c r="C124" s="1"/>
      <x:c r="D124" s="2"/>
      <x:c r="E124" s="2"/>
      <x:c r="F124" s="2"/>
      <x:c r="G124" s="2"/>
      <x:c r="H124" s="2"/>
      <x:c r="I124" s="2"/>
    </x:row>
    <x:row r="125" ht="21" customHeight="1">
      <x:c r="C125" s="1"/>
      <x:c r="D125" s="2"/>
      <x:c r="E125" s="2"/>
      <x:c r="F125" s="2"/>
      <x:c r="G125" s="2"/>
      <x:c r="H125" s="2"/>
      <x:c r="I125" s="2"/>
    </x:row>
    <x:row r="126" ht="21" customHeight="1">
      <x:c r="C126" s="1"/>
      <x:c r="D126" s="2"/>
      <x:c r="E126" s="2"/>
      <x:c r="F126" s="2"/>
      <x:c r="G126" s="2"/>
      <x:c r="H126" s="2"/>
      <x:c r="I126" s="2"/>
    </x:row>
    <x:row r="127" ht="21" customHeight="1">
      <x:c r="C127" s="1"/>
      <x:c r="D127" s="2"/>
      <x:c r="E127" s="2"/>
      <x:c r="F127" s="2"/>
      <x:c r="G127" s="2"/>
      <x:c r="H127" s="2"/>
      <x:c r="I127" s="2"/>
    </x:row>
    <x:row r="128" ht="21" customHeight="1">
      <x:c r="C128" s="1"/>
      <x:c r="D128" s="2"/>
      <x:c r="E128" s="2"/>
      <x:c r="F128" s="2"/>
      <x:c r="G128" s="2"/>
      <x:c r="H128" s="2"/>
      <x:c r="I128" s="2"/>
    </x:row>
    <x:row r="129" ht="21" customHeight="1">
      <x:c r="C129" s="1"/>
      <x:c r="D129" s="2"/>
      <x:c r="E129" s="2"/>
      <x:c r="F129" s="2"/>
      <x:c r="G129" s="2"/>
      <x:c r="H129" s="2"/>
      <x:c r="I129" s="2"/>
    </x:row>
    <x:row r="130" ht="21" customHeight="1">
      <x:c r="C130" s="1"/>
      <x:c r="D130" s="2"/>
      <x:c r="E130" s="2"/>
      <x:c r="F130" s="2"/>
      <x:c r="G130" s="2"/>
      <x:c r="H130" s="2"/>
      <x:c r="I130" s="2"/>
    </x:row>
    <x:row r="131" ht="21" customHeight="1">
      <x:c r="C131" s="1"/>
      <x:c r="D131" s="2"/>
      <x:c r="E131" s="2"/>
      <x:c r="F131" s="2"/>
      <x:c r="G131" s="2"/>
      <x:c r="H131" s="2"/>
      <x:c r="I131" s="2"/>
    </x:row>
    <x:row r="132" ht="21" customHeight="1">
      <x:c r="C132" s="1"/>
      <x:c r="D132" s="2"/>
      <x:c r="E132" s="2"/>
      <x:c r="F132" s="2"/>
      <x:c r="G132" s="2"/>
      <x:c r="H132" s="2"/>
      <x:c r="I132" s="2"/>
    </x:row>
    <x:row r="133" ht="21" customHeight="1">
      <x:c r="C133" s="1"/>
      <x:c r="D133" s="2"/>
      <x:c r="E133" s="2"/>
      <x:c r="F133" s="2"/>
      <x:c r="G133" s="2"/>
      <x:c r="H133" s="2"/>
      <x:c r="I133" s="2"/>
    </x:row>
    <x:row r="134" ht="21" customHeight="1">
      <x:c r="C134" s="1"/>
      <x:c r="D134" s="2"/>
      <x:c r="E134" s="2"/>
      <x:c r="F134" s="2"/>
      <x:c r="G134" s="2"/>
      <x:c r="H134" s="2"/>
      <x:c r="I134" s="2"/>
    </x:row>
    <x:row r="135" ht="21" customHeight="1">
      <x:c r="C135" s="1"/>
      <x:c r="D135" s="2"/>
      <x:c r="E135" s="2"/>
      <x:c r="F135" s="2"/>
      <x:c r="G135" s="2"/>
      <x:c r="H135" s="2"/>
      <x:c r="I135" s="2"/>
    </x:row>
    <x:row r="136" ht="21" customHeight="1">
      <x:c r="C136" s="1"/>
      <x:c r="D136" s="2"/>
      <x:c r="E136" s="2"/>
      <x:c r="F136" s="2"/>
      <x:c r="G136" s="2"/>
      <x:c r="H136" s="2"/>
      <x:c r="I136" s="2"/>
    </x:row>
    <x:row r="137" ht="21" customHeight="1">
      <x:c r="C137" s="1"/>
      <x:c r="D137" s="2"/>
      <x:c r="E137" s="2"/>
      <x:c r="F137" s="2"/>
      <x:c r="G137" s="2"/>
      <x:c r="H137" s="2"/>
      <x:c r="I137" s="2"/>
    </x:row>
    <x:row r="138" ht="21" customHeight="1">
      <x:c r="C138" s="1"/>
      <x:c r="D138" s="2"/>
      <x:c r="E138" s="2"/>
      <x:c r="F138" s="2"/>
      <x:c r="G138" s="2"/>
      <x:c r="H138" s="2"/>
      <x:c r="I138" s="2"/>
    </x:row>
    <x:row r="139" ht="21" customHeight="1">
      <x:c r="C139" s="1"/>
      <x:c r="D139" s="2"/>
      <x:c r="E139" s="2"/>
      <x:c r="F139" s="2"/>
      <x:c r="G139" s="2"/>
      <x:c r="H139" s="2"/>
      <x:c r="I139" s="2"/>
    </x:row>
    <x:row r="140" ht="21" customHeight="1">
      <x:c r="C140" s="1"/>
      <x:c r="D140" s="2"/>
      <x:c r="E140" s="2"/>
      <x:c r="F140" s="2"/>
      <x:c r="G140" s="2"/>
      <x:c r="H140" s="2"/>
      <x:c r="I140" s="2"/>
    </x:row>
    <x:row r="141" ht="21" customHeight="1">
      <x:c r="C141" s="1"/>
      <x:c r="D141" s="2"/>
      <x:c r="E141" s="2"/>
      <x:c r="F141" s="2"/>
      <x:c r="G141" s="2"/>
      <x:c r="H141" s="2"/>
      <x:c r="I141" s="2"/>
    </x:row>
    <x:row r="142" ht="21" customHeight="1">
      <x:c r="C142" s="1"/>
      <x:c r="D142" s="2"/>
      <x:c r="E142" s="2"/>
      <x:c r="F142" s="2"/>
      <x:c r="G142" s="2"/>
      <x:c r="H142" s="2"/>
      <x:c r="I142" s="2"/>
    </x:row>
    <x:row r="143" ht="21" customHeight="1">
      <x:c r="C143" s="1"/>
      <x:c r="D143" s="2"/>
      <x:c r="E143" s="2"/>
      <x:c r="F143" s="2"/>
      <x:c r="G143" s="2"/>
      <x:c r="H143" s="2"/>
      <x:c r="I143" s="2"/>
    </x:row>
    <x:row r="144" ht="21" customHeight="1">
      <x:c r="C144" s="1"/>
      <x:c r="D144" s="2"/>
      <x:c r="E144" s="2"/>
      <x:c r="F144" s="2"/>
      <x:c r="G144" s="2"/>
      <x:c r="H144" s="2"/>
      <x:c r="I144" s="2"/>
    </x:row>
    <x:row r="145" ht="21" customHeight="1">
      <x:c r="C145" s="1"/>
      <x:c r="D145" s="2"/>
      <x:c r="E145" s="2"/>
      <x:c r="F145" s="2"/>
      <x:c r="G145" s="2"/>
      <x:c r="H145" s="2"/>
      <x:c r="I145" s="2"/>
    </x:row>
    <x:row r="146" ht="21" customHeight="1">
      <x:c r="C146" s="1"/>
      <x:c r="D146" s="2"/>
      <x:c r="E146" s="2"/>
      <x:c r="F146" s="2"/>
      <x:c r="G146" s="2"/>
      <x:c r="H146" s="2"/>
      <x:c r="I146" s="2"/>
    </x:row>
    <x:row r="147" ht="21" customHeight="1">
      <x:c r="C147" s="1"/>
      <x:c r="D147" s="2"/>
      <x:c r="E147" s="2"/>
      <x:c r="F147" s="2"/>
      <x:c r="G147" s="2"/>
      <x:c r="H147" s="2"/>
      <x:c r="I147" s="2"/>
    </x:row>
    <x:row r="148" ht="21" customHeight="1">
      <x:c r="C148" s="1"/>
      <x:c r="D148" s="2"/>
      <x:c r="E148" s="2"/>
      <x:c r="F148" s="2"/>
      <x:c r="G148" s="2"/>
      <x:c r="H148" s="2"/>
      <x:c r="I148" s="2"/>
    </x:row>
    <x:row r="149" ht="21" customHeight="1">
      <x:c r="C149" s="1"/>
      <x:c r="D149" s="2"/>
      <x:c r="E149" s="2"/>
      <x:c r="F149" s="2"/>
      <x:c r="G149" s="2"/>
      <x:c r="H149" s="2"/>
      <x:c r="I149" s="2"/>
    </x:row>
    <x:row r="150" ht="21" customHeight="1">
      <x:c r="C150" s="1"/>
      <x:c r="D150" s="2"/>
      <x:c r="E150" s="2"/>
      <x:c r="F150" s="2"/>
      <x:c r="G150" s="2"/>
      <x:c r="H150" s="2"/>
      <x:c r="I150" s="2"/>
    </x:row>
    <x:row r="151" ht="21" customHeight="1">
      <x:c r="C151" s="1"/>
      <x:c r="D151" s="2"/>
      <x:c r="E151" s="2"/>
      <x:c r="F151" s="2"/>
      <x:c r="G151" s="2"/>
      <x:c r="H151" s="2"/>
      <x:c r="I151" s="2"/>
    </x:row>
    <x:row r="152" ht="21" customHeight="1">
      <x:c r="C152" s="1"/>
      <x:c r="D152" s="2"/>
      <x:c r="E152" s="2"/>
      <x:c r="F152" s="2"/>
      <x:c r="G152" s="2"/>
      <x:c r="H152" s="2"/>
      <x:c r="I152" s="2"/>
    </x:row>
    <x:row r="153" ht="21" customHeight="1">
      <x:c r="C153" s="1"/>
      <x:c r="D153" s="2"/>
      <x:c r="E153" s="2"/>
      <x:c r="F153" s="2"/>
      <x:c r="G153" s="2"/>
      <x:c r="H153" s="2"/>
      <x:c r="I153" s="2"/>
    </x:row>
    <x:row r="154" ht="21" customHeight="1">
      <x:c r="C154" s="1"/>
      <x:c r="D154" s="2"/>
      <x:c r="E154" s="2"/>
      <x:c r="F154" s="2"/>
      <x:c r="G154" s="2"/>
      <x:c r="H154" s="2"/>
      <x:c r="I154" s="2"/>
    </x:row>
    <x:row r="155" ht="21" customHeight="1">
      <x:c r="C155" s="1"/>
      <x:c r="D155" s="2"/>
      <x:c r="E155" s="2"/>
      <x:c r="F155" s="2"/>
      <x:c r="G155" s="2"/>
      <x:c r="H155" s="2"/>
      <x:c r="I155" s="2"/>
    </x:row>
    <x:row r="156" ht="21" customHeight="1">
      <x:c r="C156" s="1"/>
      <x:c r="D156" s="2"/>
      <x:c r="E156" s="2"/>
      <x:c r="F156" s="2"/>
      <x:c r="G156" s="2"/>
      <x:c r="H156" s="2"/>
      <x:c r="I156" s="2"/>
    </x:row>
    <x:row r="157" ht="21" customHeight="1">
      <x:c r="C157" s="1"/>
      <x:c r="D157" s="2"/>
      <x:c r="E157" s="2"/>
      <x:c r="F157" s="2"/>
      <x:c r="G157" s="2"/>
      <x:c r="H157" s="2"/>
      <x:c r="I157" s="2"/>
    </x:row>
    <x:row r="158" ht="21" customHeight="1">
      <x:c r="C158" s="1"/>
      <x:c r="D158" s="2"/>
      <x:c r="E158" s="2"/>
      <x:c r="F158" s="2"/>
      <x:c r="G158" s="2"/>
      <x:c r="H158" s="2"/>
      <x:c r="I158" s="2"/>
    </x:row>
    <x:row r="159" ht="21" customHeight="1">
      <x:c r="C159" s="1"/>
      <x:c r="D159" s="2"/>
      <x:c r="E159" s="2"/>
      <x:c r="F159" s="2"/>
      <x:c r="G159" s="2"/>
      <x:c r="H159" s="2"/>
      <x:c r="I159" s="2"/>
    </x:row>
    <x:row r="160" ht="21" customHeight="1">
      <x:c r="C160" s="1"/>
      <x:c r="D160" s="2"/>
      <x:c r="E160" s="2"/>
      <x:c r="F160" s="2"/>
      <x:c r="G160" s="2"/>
      <x:c r="H160" s="2"/>
      <x:c r="I160" s="2"/>
    </x:row>
  </x:sheetData>
  <x:mergeCells>
    <x:mergeCell ref="F16:I16"/>
    <x:mergeCell ref="F17:I17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53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21" customHeight="1">
      <x:c r="C1" s="1"/>
      <x:c r="D1" s="1"/>
      <x:c r="E1" s="1"/>
      <x:c r="F1" s="1"/>
      <x:c r="G1" s="1"/>
      <x:c r="H1" s="1"/>
      <x:c r="I1" s="1"/>
    </x:row>
    <x:row r="2" ht="21" customHeight="1">
      <x:c r="C2" s="4" t="str">
        <x:v>创科实业 TTI</x:v>
      </x:c>
      <x:c r="D2" s="4"/>
      <x:c r="E2" s="4"/>
      <x:c r="F2" s="4"/>
      <x:c r="G2" s="4"/>
      <x:c r="H2" s="4"/>
      <x:c r="I2" s="4"/>
    </x:row>
    <x:row r="3" ht="21" customHeight="1">
      <x:c r="C3" s="5" t="str">
        <x:v>SourceFacts · USD million · December year-end</x:v>
      </x:c>
      <x:c r="D3" s="5"/>
      <x:c r="E3" s="5"/>
      <x:c r="F3" s="5"/>
      <x:c r="G3" s="5"/>
      <x:c r="H3" s="5"/>
      <x:c r="I3" s="5"/>
    </x:row>
    <x:row r="4" ht="21" customHeight="1">
      <x:c r="C4" s="1"/>
      <x:c r="D4" s="1"/>
      <x:c r="E4" s="1"/>
      <x:c r="F4" s="1"/>
      <x:c r="G4" s="1"/>
      <x:c r="H4" s="1"/>
      <x:c r="I4" s="1"/>
    </x:row>
    <x:row r="5" ht="21" customHeight="1">
      <x:c r="C5" s="1"/>
      <x:c r="D5" s="1"/>
      <x:c r="E5" s="1"/>
      <x:c r="F5" s="1"/>
      <x:c r="G5" s="1"/>
      <x:c r="H5" s="1"/>
      <x:c r="I5" s="1"/>
    </x:row>
    <x:row r="6" ht="21" customHeight="1">
      <x:c r="C6" s="1"/>
      <x:c r="D6" s="1"/>
      <x:c r="E6" s="1"/>
      <x:c r="F6" s="1"/>
      <x:c r="G6" s="1"/>
      <x:c r="H6" s="1"/>
      <x:c r="I6" s="1"/>
    </x:row>
    <x:row r="7" ht="21" customHeight="1">
      <x:c r="C7" s="12"/>
      <x:c r="D7" s="13" t="n">
        <x:f>'Assumptions'!D7</x:f>
        <x:v>45291</x:v>
      </x:c>
      <x:c r="E7" s="13" t="n">
        <x:f>'Assumptions'!E7</x:f>
        <x:v>45657</x:v>
      </x:c>
      <x:c r="F7" s="13" t="n">
        <x:f>'Assumptions'!F7</x:f>
        <x:v>46022</x:v>
      </x:c>
      <x:c r="G7" s="14" t="n">
        <x:f>'Assumptions'!G7</x:f>
        <x:v>46387</x:v>
      </x:c>
      <x:c r="H7" s="14" t="n">
        <x:f>'Assumptions'!H7</x:f>
        <x:v>46752</x:v>
      </x:c>
      <x:c r="I7" s="14" t="n">
        <x:f>'Assumptions'!I7</x:f>
        <x:v>47118</x:v>
      </x:c>
    </x:row>
    <x:row r="8" ht="21" customHeight="1">
      <x:c r="C8" s="1"/>
      <x:c r="D8" s="2"/>
      <x:c r="E8" s="2"/>
      <x:c r="F8" s="2"/>
      <x:c r="G8" s="2"/>
      <x:c r="H8" s="2"/>
      <x:c r="I8" s="2"/>
    </x:row>
    <x:row r="9" ht="21" customHeight="1">
      <x:c r="C9" s="1" t="str">
        <x:v>Revenue</x:v>
      </x:c>
      <x:c r="D9" s="2" t="n">
        <x:v>13731.411</x:v>
      </x:c>
      <x:c r="E9" s="2" t="n">
        <x:v>14621.616</x:v>
      </x:c>
      <x:c r="F9" s="2" t="n">
        <x:v>15259.533</x:v>
      </x:c>
      <x:c r="G9" s="2"/>
      <x:c r="H9" s="2"/>
      <x:c r="I9" s="2"/>
    </x:row>
    <x:row r="10" ht="21" customHeight="1">
      <x:c r="C10" s="1" t="str">
        <x:v>Cost of revenue</x:v>
      </x:c>
      <x:c r="D10" s="2" t="n">
        <x:v>8311.775</x:v>
      </x:c>
      <x:c r="E10" s="2" t="n">
        <x:v>8726.06</x:v>
      </x:c>
      <x:c r="F10" s="2" t="n">
        <x:v>8967.596</x:v>
      </x:c>
      <x:c r="G10" s="2"/>
      <x:c r="H10" s="2"/>
      <x:c r="I10" s="2"/>
    </x:row>
    <x:row r="11" ht="21" customHeight="1">
      <x:c r="C11" s="1" t="str">
        <x:v>Selling expenses</x:v>
      </x:c>
      <x:c r="D11" s="2" t="n">
        <x:v>2347.219</x:v>
      </x:c>
      <x:c r="E11" s="2" t="n">
        <x:v>2503.697</x:v>
      </x:c>
      <x:c r="F11" s="2" t="n">
        <x:v>2718.771</x:v>
      </x:c>
      <x:c r="G11" s="2"/>
      <x:c r="H11" s="2"/>
      <x:c r="I11" s="2"/>
    </x:row>
    <x:row r="12" ht="21" customHeight="1">
      <x:c r="C12" s="1" t="str">
        <x:v>Administrative expenses</x:v>
      </x:c>
      <x:c r="D12" s="2" t="n">
        <x:v>1406.21</x:v>
      </x:c>
      <x:c r="E12" s="2" t="n">
        <x:v>1489.877</x:v>
      </x:c>
      <x:c r="F12" s="2" t="n">
        <x:v>1491.139</x:v>
      </x:c>
      <x:c r="G12" s="2"/>
      <x:c r="H12" s="2"/>
      <x:c r="I12" s="2"/>
    </x:row>
    <x:row r="13" ht="21" customHeight="1">
      <x:c r="C13" s="1" t="str">
        <x:v>Research and development</x:v>
      </x:c>
      <x:c r="D13" s="2" t="n">
        <x:v>548.338</x:v>
      </x:c>
      <x:c r="E13" s="2" t="n">
        <x:v>648.103</x:v>
      </x:c>
      <x:c r="F13" s="2" t="n">
        <x:v>756.983</x:v>
      </x:c>
      <x:c r="G13" s="2"/>
      <x:c r="H13" s="2"/>
      <x:c r="I13" s="2"/>
    </x:row>
    <x:row r="14" ht="21" customHeight="1">
      <x:c r="C14" s="1" t="str">
        <x:v>Business taxes and surcharges</x:v>
      </x:c>
      <x:c r="D14" s="2" t="n">
        <x:v>0</x:v>
      </x:c>
      <x:c r="E14" s="2" t="n">
        <x:v>0</x:v>
      </x:c>
      <x:c r="F14" s="2" t="n">
        <x:v>0</x:v>
      </x:c>
      <x:c r="G14" s="2"/>
      <x:c r="H14" s="2"/>
      <x:c r="I14" s="2"/>
    </x:row>
    <x:row r="15" ht="21" customHeight="1">
      <x:c r="C15" s="1" t="str">
        <x:v>Net finance expense</x:v>
      </x:c>
      <x:c r="D15" s="2" t="n">
        <x:v>79.1</x:v>
      </x:c>
      <x:c r="E15" s="2" t="n">
        <x:v>53.870000000000005</x:v>
      </x:c>
      <x:c r="F15" s="2" t="n">
        <x:v>33.601</x:v>
      </x:c>
      <x:c r="G15" s="2"/>
      <x:c r="H15" s="2"/>
      <x:c r="I15" s="2"/>
    </x:row>
    <x:row r="16" ht="21" customHeight="1">
      <x:c r="C16" s="1" t="str">
        <x:v>Interest expense</x:v>
      </x:c>
      <x:c r="D16" s="2" t="n">
        <x:v>124.056</x:v>
      </x:c>
      <x:c r="E16" s="2" t="n">
        <x:v>126.165</x:v>
      </x:c>
      <x:c r="F16" s="2" t="n">
        <x:v>96.633</x:v>
      </x:c>
      <x:c r="G16" s="2"/>
      <x:c r="H16" s="2"/>
      <x:c r="I16" s="2"/>
    </x:row>
    <x:row r="17" ht="21" customHeight="1">
      <x:c r="C17" s="1" t="str">
        <x:v>Other pretax net income (source reconciliation)</x:v>
      </x:c>
      <x:c r="D17" s="19" t="n">
        <x:f>'SourceFacts'!D18-'SourceFacts'!D9+SUM(D10:D14)+'SourceFacts'!D15</x:f>
        <x:v>16.846999999997564</x:v>
      </x:c>
      <x:c r="E17" s="19" t="n">
        <x:f>'SourceFacts'!E18-'SourceFacts'!E9+SUM(E10:E14)+'SourceFacts'!E15</x:f>
        <x:v>16.384999999999422</x:v>
      </x:c>
      <x:c r="F17" s="19" t="n">
        <x:f>'SourceFacts'!F18-'SourceFacts'!F9+SUM(F10:F14)+'SourceFacts'!F15</x:f>
        <x:v>11.039000000000101</x:v>
      </x:c>
      <x:c r="G17" s="2"/>
      <x:c r="H17" s="2"/>
      <x:c r="I17" s="2"/>
    </x:row>
    <x:row r="18" ht="21" customHeight="1">
      <x:c r="C18" s="1" t="str">
        <x:v>Profit before tax</x:v>
      </x:c>
      <x:c r="D18" s="2" t="n">
        <x:v>1055.616</x:v>
      </x:c>
      <x:c r="E18" s="2" t="n">
        <x:v>1216.394</x:v>
      </x:c>
      <x:c r="F18" s="2" t="n">
        <x:v>1302.482</x:v>
      </x:c>
      <x:c r="G18" s="2"/>
      <x:c r="H18" s="2"/>
      <x:c r="I18" s="2"/>
    </x:row>
    <x:row r="19" ht="21" customHeight="1">
      <x:c r="C19" s="1" t="str">
        <x:v>Income tax expense</x:v>
      </x:c>
      <x:c r="D19" s="2" t="n">
        <x:v>79.276</x:v>
      </x:c>
      <x:c r="E19" s="2" t="n">
        <x:v>94.714</x:v>
      </x:c>
      <x:c r="F19" s="2" t="n">
        <x:v>104.188</x:v>
      </x:c>
      <x:c r="G19" s="2"/>
      <x:c r="H19" s="2"/>
      <x:c r="I19" s="2"/>
    </x:row>
    <x:row r="20" ht="21" customHeight="1">
      <x:c r="C20" s="1" t="str">
        <x:v>Consolidated net income</x:v>
      </x:c>
      <x:c r="D20" s="2" t="n">
        <x:v>976.34</x:v>
      </x:c>
      <x:c r="E20" s="2" t="n">
        <x:v>1121.68</x:v>
      </x:c>
      <x:c r="F20" s="2" t="n">
        <x:v>1198.294</x:v>
      </x:c>
      <x:c r="G20" s="2"/>
      <x:c r="H20" s="2"/>
      <x:c r="I20" s="2"/>
    </x:row>
    <x:row r="21" ht="21" customHeight="1">
      <x:c r="C21" s="1" t="str">
        <x:v>Net income attributable to parent</x:v>
      </x:c>
      <x:c r="D21" s="2" t="n">
        <x:v>976.34</x:v>
      </x:c>
      <x:c r="E21" s="2" t="n">
        <x:v>1121.68</x:v>
      </x:c>
      <x:c r="F21" s="2" t="n">
        <x:v>1198.294</x:v>
      </x:c>
      <x:c r="G21" s="2"/>
      <x:c r="H21" s="2"/>
      <x:c r="I21" s="2"/>
    </x:row>
    <x:row r="22" ht="21" customHeight="1">
      <x:c r="C22" s="1" t="str">
        <x:v>Net income attributable to NCI</x:v>
      </x:c>
      <x:c r="D22" s="2" t="n">
        <x:v>0</x:v>
      </x:c>
      <x:c r="E22" s="2" t="n">
        <x:v>0</x:v>
      </x:c>
      <x:c r="F22" s="2" t="n">
        <x:v>0</x:v>
      </x:c>
      <x:c r="G22" s="2"/>
      <x:c r="H22" s="2"/>
      <x:c r="I22" s="2"/>
    </x:row>
    <x:row r="23" ht="21" customHeight="1">
      <x:c r="C23" s="1" t="str">
        <x:v>Depreciation and amortization</x:v>
      </x:c>
      <x:c r="D23" s="2" t="n">
        <x:v>633.487</x:v>
      </x:c>
      <x:c r="E23" s="2" t="n">
        <x:v>779.5160000000001</x:v>
      </x:c>
      <x:c r="F23" s="2" t="n">
        <x:v>869.406</x:v>
      </x:c>
      <x:c r="G23" s="2"/>
      <x:c r="H23" s="2"/>
      <x:c r="I23" s="2"/>
    </x:row>
    <x:row r="24" ht="21" customHeight="1">
      <x:c r="C24" s="1" t="str">
        <x:v>Operating cash flow</x:v>
      </x:c>
      <x:c r="D24" s="2" t="n">
        <x:v>2103.875</x:v>
      </x:c>
      <x:c r="E24" s="2" t="n">
        <x:v>2267.646</x:v>
      </x:c>
      <x:c r="F24" s="2" t="n">
        <x:v>1979.181</x:v>
      </x:c>
      <x:c r="G24" s="2"/>
      <x:c r="H24" s="2"/>
      <x:c r="I24" s="2"/>
    </x:row>
    <x:row r="25" ht="21" customHeight="1">
      <x:c r="C25" s="1" t="str">
        <x:v>Investing cash flow</x:v>
      </x:c>
      <x:c r="D25" s="2" t="n">
        <x:v>-778.782</x:v>
      </x:c>
      <x:c r="E25" s="2" t="n">
        <x:v>-606.237</x:v>
      </x:c>
      <x:c r="F25" s="2" t="n">
        <x:v>-518.501</x:v>
      </x:c>
      <x:c r="G25" s="2"/>
      <x:c r="H25" s="2"/>
      <x:c r="I25" s="2"/>
    </x:row>
    <x:row r="26" ht="21" customHeight="1">
      <x:c r="C26" s="1" t="str">
        <x:v>Financing cash flow</x:v>
      </x:c>
      <x:c r="D26" s="2" t="n">
        <x:v>-1801.641</x:v>
      </x:c>
      <x:c r="E26" s="2" t="n">
        <x:v>-1332.78</x:v>
      </x:c>
      <x:c r="F26" s="2" t="n">
        <x:v>-1081.317</x:v>
      </x:c>
      <x:c r="G26" s="2"/>
      <x:c r="H26" s="2"/>
      <x:c r="I26" s="2"/>
    </x:row>
    <x:row r="27" ht="21" customHeight="1">
      <x:c r="C27" s="1" t="str">
        <x:v>Foreign exchange effect on cash</x:v>
      </x:c>
      <x:c r="D27" s="2" t="n">
        <x:v>0.858</x:v>
      </x:c>
      <x:c r="E27" s="2" t="n">
        <x:v>-49.522</x:v>
      </x:c>
      <x:c r="F27" s="2" t="n">
        <x:v>66.019</x:v>
      </x:c>
      <x:c r="G27" s="2"/>
      <x:c r="H27" s="2"/>
      <x:c r="I27" s="2"/>
    </x:row>
    <x:row r="28" ht="21" customHeight="1">
      <x:c r="C28" s="1" t="str">
        <x:v>Opening cash and cash equivalents</x:v>
      </x:c>
      <x:c r="D28" s="2" t="n">
        <x:v>1428.93</x:v>
      </x:c>
      <x:c r="E28" s="2" t="n">
        <x:v>953.24</x:v>
      </x:c>
      <x:c r="F28" s="2" t="n">
        <x:v>1232.347</x:v>
      </x:c>
      <x:c r="G28" s="2"/>
      <x:c r="H28" s="2"/>
      <x:c r="I28" s="2"/>
    </x:row>
    <x:row r="29" ht="21" customHeight="1">
      <x:c r="C29" s="1" t="str">
        <x:v>Cash and cash equivalents</x:v>
      </x:c>
      <x:c r="D29" s="2" t="n">
        <x:v>953.24</x:v>
      </x:c>
      <x:c r="E29" s="2" t="n">
        <x:v>1232.347</x:v>
      </x:c>
      <x:c r="F29" s="2" t="n">
        <x:v>1677.729</x:v>
      </x:c>
      <x:c r="G29" s="2"/>
      <x:c r="H29" s="2"/>
      <x:c r="I29" s="2"/>
    </x:row>
    <x:row r="30" ht="21" customHeight="1">
      <x:c r="C30" s="1" t="str">
        <x:v>Cash capex including intangible additions</x:v>
      </x:c>
      <x:c r="D30" s="2" t="n">
        <x:v>874.1610000000001</x:v>
      </x:c>
      <x:c r="E30" s="2" t="n">
        <x:v>686.4079999999999</x:v>
      </x:c>
      <x:c r="F30" s="2" t="n">
        <x:v>589.865</x:v>
      </x:c>
      <x:c r="G30" s="2"/>
      <x:c r="H30" s="2"/>
      <x:c r="I30" s="2"/>
    </x:row>
    <x:row r="31" ht="21" customHeight="1">
      <x:c r="C31" s="1" t="str">
        <x:v>Monetary funds and interbank placements</x:v>
      </x:c>
      <x:c r="D31" s="19" t="n">
        <x:f>SUMIF('SourceBS'!$D$9:$D$39,"bankPool",'SourceBS'!E$9:E$39)</x:f>
        <x:v>953.24</x:v>
      </x:c>
      <x:c r="E31" s="19" t="n">
        <x:f>SUMIF('SourceBS'!$D$9:$D$39,"bankPool",'SourceBS'!F$9:F$39)</x:f>
        <x:v>1232.347</x:v>
      </x:c>
      <x:c r="F31" s="19" t="n">
        <x:f>SUMIF('SourceBS'!$D$9:$D$39,"bankPool",'SourceBS'!G$9:G$39)</x:f>
        <x:v>1677.729</x:v>
      </x:c>
      <x:c r="G31" s="2"/>
      <x:c r="H31" s="2"/>
      <x:c r="I31" s="2"/>
    </x:row>
    <x:row r="32" ht="21" customHeight="1">
      <x:c r="C32" s="1" t="str">
        <x:v>Monetary funds / placements outside cash equivalents</x:v>
      </x:c>
      <x:c r="D32" s="19" t="n">
        <x:f>'SourceFacts'!D31-'SourceFacts'!D29</x:f>
        <x:v>0</x:v>
      </x:c>
      <x:c r="E32" s="19" t="n">
        <x:f>'SourceFacts'!E31-'SourceFacts'!E29</x:f>
        <x:v>0</x:v>
      </x:c>
      <x:c r="F32" s="19" t="n">
        <x:f>'SourceFacts'!F31-'SourceFacts'!F29</x:f>
        <x:v>0</x:v>
      </x:c>
      <x:c r="G32" s="2"/>
      <x:c r="H32" s="2"/>
      <x:c r="I32" s="2"/>
    </x:row>
    <x:row r="33" ht="21" customHeight="1">
      <x:c r="C33" s="1" t="str">
        <x:v>Receivables, bills and contract assets</x:v>
      </x:c>
      <x:c r="D33" s="19" t="n">
        <x:f>SUMIF('SourceBS'!$D$9:$D$39,"ar",'SourceBS'!E$9:E$39)</x:f>
        <x:v>1826.942</x:v>
      </x:c>
      <x:c r="E33" s="19" t="n">
        <x:f>SUMIF('SourceBS'!$D$9:$D$39,"ar",'SourceBS'!F$9:F$39)</x:f>
        <x:v>2010.9389999999999</x:v>
      </x:c>
      <x:c r="F33" s="19" t="n">
        <x:f>SUMIF('SourceBS'!$D$9:$D$39,"ar",'SourceBS'!G$9:G$39)</x:f>
        <x:v>2027.4109999999998</x:v>
      </x:c>
      <x:c r="G33" s="2"/>
      <x:c r="H33" s="2"/>
      <x:c r="I33" s="2"/>
    </x:row>
    <x:row r="34" ht="21" customHeight="1">
      <x:c r="C34" s="1" t="str">
        <x:v>Inventory</x:v>
      </x:c>
      <x:c r="D34" s="19" t="n">
        <x:f>SUMIF('SourceBS'!$D$9:$D$39,"inventory",'SourceBS'!E$9:E$39)</x:f>
        <x:v>4098.161</x:v>
      </x:c>
      <x:c r="E34" s="19" t="n">
        <x:f>SUMIF('SourceBS'!$D$9:$D$39,"inventory",'SourceBS'!F$9:F$39)</x:f>
        <x:v>4076.21</x:v>
      </x:c>
      <x:c r="F34" s="19" t="n">
        <x:f>SUMIF('SourceBS'!$D$9:$D$39,"inventory",'SourceBS'!G$9:G$39)</x:f>
        <x:v>4451.941</x:v>
      </x:c>
      <x:c r="G34" s="2"/>
      <x:c r="H34" s="2"/>
      <x:c r="I34" s="2"/>
    </x:row>
    <x:row r="35" ht="21" customHeight="1">
      <x:c r="C35" s="1" t="str">
        <x:v>PPE, construction in progress and investment property</x:v>
      </x:c>
      <x:c r="D35" s="19" t="n">
        <x:f>SUMIF('SourceBS'!$D$9:$D$39,"ppe",'SourceBS'!E$9:E$39)</x:f>
        <x:v>2310.537</x:v>
      </x:c>
      <x:c r="E35" s="19" t="n">
        <x:f>SUMIF('SourceBS'!$D$9:$D$39,"ppe",'SourceBS'!F$9:F$39)</x:f>
        <x:v>2248.541</x:v>
      </x:c>
      <x:c r="F35" s="19" t="n">
        <x:f>SUMIF('SourceBS'!$D$9:$D$39,"ppe",'SourceBS'!G$9:G$39)</x:f>
        <x:v>2244.108</x:v>
      </x:c>
      <x:c r="G35" s="2"/>
      <x:c r="H35" s="2"/>
      <x:c r="I35" s="2"/>
    </x:row>
    <x:row r="36" ht="21" customHeight="1">
      <x:c r="C36" s="1" t="str">
        <x:v>Intangibles, development and deferred costs</x:v>
      </x:c>
      <x:c r="D36" s="19" t="n">
        <x:f>SUMIF('SourceBS'!$D$9:$D$39,"intang",'SourceBS'!E$9:E$39)</x:f>
        <x:v>1298.419</x:v>
      </x:c>
      <x:c r="E36" s="19" t="n">
        <x:f>SUMIF('SourceBS'!$D$9:$D$39,"intang",'SourceBS'!F$9:F$39)</x:f>
        <x:v>1369.494</x:v>
      </x:c>
      <x:c r="F36" s="19" t="n">
        <x:f>SUMIF('SourceBS'!$D$9:$D$39,"intang",'SourceBS'!G$9:G$39)</x:f>
        <x:v>1247.924</x:v>
      </x:c>
      <x:c r="G36" s="2"/>
      <x:c r="H36" s="2"/>
      <x:c r="I36" s="2"/>
    </x:row>
    <x:row r="37" ht="21" customHeight="1">
      <x:c r="C37" s="1" t="str">
        <x:v>Right-of-use assets</x:v>
      </x:c>
      <x:c r="D37" s="19" t="n">
        <x:f>SUMIF('SourceBS'!$D$9:$D$39,"rou",'SourceBS'!E$9:E$39)</x:f>
        <x:v>866.009</x:v>
      </x:c>
      <x:c r="E37" s="19" t="n">
        <x:f>SUMIF('SourceBS'!$D$9:$D$39,"rou",'SourceBS'!F$9:F$39)</x:f>
        <x:v>797.097</x:v>
      </x:c>
      <x:c r="F37" s="19" t="n">
        <x:f>SUMIF('SourceBS'!$D$9:$D$39,"rou",'SourceBS'!G$9:G$39)</x:f>
        <x:v>739.047</x:v>
      </x:c>
      <x:c r="G37" s="2"/>
      <x:c r="H37" s="2"/>
      <x:c r="I37" s="2"/>
    </x:row>
    <x:row r="38" ht="21" customHeight="1">
      <x:c r="C38" s="1" t="str">
        <x:v>Financial investments and finance-company loan assets</x:v>
      </x:c>
      <x:c r="D38" s="19" t="n">
        <x:f>SUMIF('SourceBS'!$D$9:$D$39,"investments",'SourceBS'!E$9:E$39)</x:f>
        <x:v>179.928</x:v>
      </x:c>
      <x:c r="E38" s="19" t="n">
        <x:f>SUMIF('SourceBS'!$D$9:$D$39,"investments",'SourceBS'!F$9:F$39)</x:f>
        <x:v>276.034</x:v>
      </x:c>
      <x:c r="F38" s="19" t="n">
        <x:f>SUMIF('SourceBS'!$D$9:$D$39,"investments",'SourceBS'!G$9:G$39)</x:f>
        <x:v>132.363</x:v>
      </x:c>
      <x:c r="G38" s="2"/>
      <x:c r="H38" s="2"/>
      <x:c r="I38" s="2"/>
    </x:row>
    <x:row r="39" ht="21" customHeight="1">
      <x:c r="C39" s="1" t="str">
        <x:v>Other assets (named components in SourceBS)</x:v>
      </x:c>
      <x:c r="D39" s="19" t="n">
        <x:f>SUMIF('SourceBS'!$D$9:$D$39,"otherAssets",'SourceBS'!E$9:E$39)</x:f>
        <x:v>868.7470000000002</x:v>
      </x:c>
      <x:c r="E39" s="19" t="n">
        <x:f>SUMIF('SourceBS'!$D$9:$D$39,"otherAssets",'SourceBS'!F$9:F$39)</x:f>
        <x:v>879.827</x:v>
      </x:c>
      <x:c r="F39" s="19" t="n">
        <x:f>SUMIF('SourceBS'!$D$9:$D$39,"otherAssets",'SourceBS'!G$9:G$39)</x:f>
        <x:v>908.4809999999999</x:v>
      </x:c>
      <x:c r="G39" s="2"/>
      <x:c r="H39" s="2"/>
      <x:c r="I39" s="2"/>
    </x:row>
    <x:row r="40" ht="21" customHeight="1">
      <x:c r="C40" s="1" t="str">
        <x:v>Total assets</x:v>
      </x:c>
      <x:c r="D40" s="2" t="n">
        <x:v>12401.983</x:v>
      </x:c>
      <x:c r="E40" s="2" t="n">
        <x:v>12890.489</x:v>
      </x:c>
      <x:c r="F40" s="2" t="n">
        <x:v>13429.003999999999</x:v>
      </x:c>
      <x:c r="G40" s="2"/>
      <x:c r="H40" s="2"/>
      <x:c r="I40" s="2"/>
    </x:row>
    <x:row r="41" ht="21" customHeight="1">
      <x:c r="C41" s="1" t="str">
        <x:v>Trade and bills payables</x:v>
      </x:c>
      <x:c r="D41" s="19" t="n">
        <x:f>SUMIF('SourceBS'!$D$9:$D$39,"ap",'SourceBS'!E$9:E$39)</x:f>
        <x:v>3391.655</x:v>
      </x:c>
      <x:c r="E41" s="19" t="n">
        <x:f>SUMIF('SourceBS'!$D$9:$D$39,"ap",'SourceBS'!F$9:F$39)</x:f>
        <x:v>3871.047</x:v>
      </x:c>
      <x:c r="F41" s="19" t="n">
        <x:f>SUMIF('SourceBS'!$D$9:$D$39,"ap",'SourceBS'!G$9:G$39)</x:f>
        <x:v>4032.6530000000002</x:v>
      </x:c>
      <x:c r="G41" s="2"/>
      <x:c r="H41" s="2"/>
      <x:c r="I41" s="2"/>
    </x:row>
    <x:row r="42" ht="21" customHeight="1">
      <x:c r="C42" s="1" t="str">
        <x:v>Contract liabilities and customer advances</x:v>
      </x:c>
      <x:c r="D42" s="19" t="n">
        <x:f>SUMIF('SourceBS'!$D$9:$D$39,"contract",'SourceBS'!E$9:E$39)</x:f>
        <x:v>16.215</x:v>
      </x:c>
      <x:c r="E42" s="19" t="n">
        <x:f>SUMIF('SourceBS'!$D$9:$D$39,"contract",'SourceBS'!F$9:F$39)</x:f>
        <x:v>23.354</x:v>
      </x:c>
      <x:c r="F42" s="19" t="n">
        <x:f>SUMIF('SourceBS'!$D$9:$D$39,"contract",'SourceBS'!G$9:G$39)</x:f>
        <x:v>25.153</x:v>
      </x:c>
      <x:c r="G42" s="2"/>
      <x:c r="H42" s="2"/>
      <x:c r="I42" s="2"/>
    </x:row>
    <x:row r="43" ht="21" customHeight="1">
      <x:c r="C43" s="1" t="str">
        <x:v>Borrowings, current maturities and lease liabilities</x:v>
      </x:c>
      <x:c r="D43" s="19" t="n">
        <x:f>SUMIF('SourceBS'!$D$9:$D$39,"debt",'SourceBS'!E$9:E$39)</x:f>
        <x:v>2841.7219999999998</x:v>
      </x:c>
      <x:c r="E43" s="19" t="n">
        <x:f>SUMIF('SourceBS'!$D$9:$D$39,"debt",'SourceBS'!F$9:F$39)</x:f>
        <x:v>2110.185</x:v>
      </x:c>
      <x:c r="F43" s="19" t="n">
        <x:f>SUMIF('SourceBS'!$D$9:$D$39,"debt",'SourceBS'!G$9:G$39)</x:f>
        <x:v>1758.9330000000002</x:v>
      </x:c>
      <x:c r="G43" s="2"/>
      <x:c r="H43" s="2"/>
      <x:c r="I43" s="2"/>
    </x:row>
    <x:row r="44" ht="21" customHeight="1">
      <x:c r="C44" s="1" t="str">
        <x:v>Taxes payable (income and other taxes)</x:v>
      </x:c>
      <x:c r="D44" s="19" t="n">
        <x:f>SUMIF('SourceBS'!$D$9:$D$39,"taxPayable",'SourceBS'!E$9:E$39)</x:f>
        <x:v>47.558</x:v>
      </x:c>
      <x:c r="E44" s="19" t="n">
        <x:f>SUMIF('SourceBS'!$D$9:$D$39,"taxPayable",'SourceBS'!F$9:F$39)</x:f>
        <x:v>90.83</x:v>
      </x:c>
      <x:c r="F44" s="19" t="n">
        <x:f>SUMIF('SourceBS'!$D$9:$D$39,"taxPayable",'SourceBS'!G$9:G$39)</x:f>
        <x:v>133.039</x:v>
      </x:c>
      <x:c r="G44" s="2"/>
      <x:c r="H44" s="2"/>
      <x:c r="I44" s="2"/>
    </x:row>
    <x:row r="45" ht="21" customHeight="1">
      <x:c r="C45" s="1" t="str">
        <x:v>Finance-company customer deposits</x:v>
      </x:c>
      <x:c r="D45" s="19" t="n">
        <x:f>SUMIF('SourceBS'!$D$9:$D$39,"deposits",'SourceBS'!E$9:E$39)</x:f>
        <x:v>0</x:v>
      </x:c>
      <x:c r="E45" s="19" t="n">
        <x:f>SUMIF('SourceBS'!$D$9:$D$39,"deposits",'SourceBS'!F$9:F$39)</x:f>
        <x:v>0</x:v>
      </x:c>
      <x:c r="F45" s="19" t="n">
        <x:f>SUMIF('SourceBS'!$D$9:$D$39,"deposits",'SourceBS'!G$9:G$39)</x:f>
        <x:v>0</x:v>
      </x:c>
      <x:c r="G45" s="2"/>
      <x:c r="H45" s="2"/>
      <x:c r="I45" s="2"/>
    </x:row>
    <x:row r="46" ht="21" customHeight="1">
      <x:c r="C46" s="1" t="str">
        <x:v>Other liabilities (named components in SourceBS)</x:v>
      </x:c>
      <x:c r="D46" s="19" t="n">
        <x:f>SUMIF('SourceBS'!$D$9:$D$39,"otherLiabilities",'SourceBS'!E$9:E$39)</x:f>
        <x:v>357.283</x:v>
      </x:c>
      <x:c r="E46" s="19" t="n">
        <x:f>SUMIF('SourceBS'!$D$9:$D$39,"otherLiabilities",'SourceBS'!F$9:F$39)</x:f>
        <x:v>431.476</x:v>
      </x:c>
      <x:c r="F46" s="19" t="n">
        <x:f>SUMIF('SourceBS'!$D$9:$D$39,"otherLiabilities",'SourceBS'!G$9:G$39)</x:f>
        <x:v>520.772</x:v>
      </x:c>
      <x:c r="G46" s="2"/>
      <x:c r="H46" s="2"/>
      <x:c r="I46" s="2"/>
    </x:row>
    <x:row r="47" ht="21" customHeight="1">
      <x:c r="C47" s="1" t="str">
        <x:v>Total liabilities</x:v>
      </x:c>
      <x:c r="D47" s="2" t="n">
        <x:v>6654.433</x:v>
      </x:c>
      <x:c r="E47" s="2" t="n">
        <x:v>6526.892</x:v>
      </x:c>
      <x:c r="F47" s="2" t="n">
        <x:v>6470.55</x:v>
      </x:c>
      <x:c r="G47" s="2"/>
      <x:c r="H47" s="2"/>
      <x:c r="I47" s="2"/>
    </x:row>
    <x:row r="48" ht="21" customHeight="1">
      <x:c r="C48" s="1" t="str">
        <x:v>Retained earnings / undistributed profits</x:v>
      </x:c>
      <x:c r="D48" s="2" t="n">
        <x:v>5298.919</x:v>
      </x:c>
      <x:c r="E48" s="2" t="n">
        <x:v>5897.124</x:v>
      </x:c>
      <x:c r="F48" s="2" t="n">
        <x:v>6481.039</x:v>
      </x:c>
      <x:c r="G48" s="2"/>
      <x:c r="H48" s="2"/>
      <x:c r="I48" s="2"/>
    </x:row>
    <x:row r="49" ht="21" customHeight="1">
      <x:c r="C49" s="1" t="str">
        <x:v>Non-controlling interests</x:v>
      </x:c>
      <x:c r="D49" s="2" t="n">
        <x:v>0</x:v>
      </x:c>
      <x:c r="E49" s="2" t="n">
        <x:v>0</x:v>
      </x:c>
      <x:c r="F49" s="2" t="n">
        <x:v>0</x:v>
      </x:c>
      <x:c r="G49" s="2"/>
      <x:c r="H49" s="2"/>
      <x:c r="I49" s="2"/>
    </x:row>
    <x:row r="50" ht="21" customHeight="1">
      <x:c r="C50" s="1" t="str">
        <x:v>Total equity</x:v>
      </x:c>
      <x:c r="D50" s="2" t="n">
        <x:v>5747.55</x:v>
      </x:c>
      <x:c r="E50" s="2" t="n">
        <x:v>6363.597</x:v>
      </x:c>
      <x:c r="F50" s="2" t="n">
        <x:v>6958.454</x:v>
      </x:c>
      <x:c r="G50" s="2"/>
      <x:c r="H50" s="2"/>
      <x:c r="I50" s="2"/>
    </x:row>
    <x:row r="51" ht="21" customHeight="1">
      <x:c r="C51" s="1" t="str">
        <x:v>Source asset mapping difference</x:v>
      </x:c>
      <x:c r="D51" s="2" t="n">
        <x:v>0</x:v>
      </x:c>
      <x:c r="E51" s="2" t="n">
        <x:v>0</x:v>
      </x:c>
      <x:c r="F51" s="2" t="n">
        <x:v>-9.094947017729282e-13</x:v>
      </x:c>
      <x:c r="G51" s="2"/>
      <x:c r="H51" s="2"/>
      <x:c r="I51" s="2"/>
    </x:row>
    <x:row r="52" ht="21" customHeight="1">
      <x:c r="C52" s="1" t="str">
        <x:v>Source liability mapping difference</x:v>
      </x:c>
      <x:c r="D52" s="2" t="n">
        <x:v>0</x:v>
      </x:c>
      <x:c r="E52" s="2" t="n">
        <x:v>0</x:v>
      </x:c>
      <x:c r="F52" s="2" t="n">
        <x:v>0</x:v>
      </x:c>
      <x:c r="G52" s="2"/>
      <x:c r="H52" s="2"/>
      <x:c r="I52" s="2"/>
    </x:row>
    <x:row r="53" ht="21" customHeight="1">
      <x:c r="C53" s="1"/>
      <x:c r="D53" s="2"/>
      <x:c r="E53" s="2"/>
      <x:c r="F53" s="2"/>
      <x:c r="G53" s="2"/>
      <x:c r="H53" s="2"/>
      <x:c r="I53" s="2"/>
    </x:row>
    <x:row r="54" ht="21" customHeight="1">
      <x:c r="C54" s="1"/>
      <x:c r="D54" s="2"/>
      <x:c r="E54" s="2"/>
      <x:c r="F54" s="2"/>
      <x:c r="G54" s="2"/>
      <x:c r="H54" s="2"/>
      <x:c r="I54" s="2"/>
    </x:row>
    <x:row r="55" ht="21" customHeight="1">
      <x:c r="C55" s="1"/>
      <x:c r="D55" s="2"/>
      <x:c r="E55" s="2"/>
      <x:c r="F55" s="2"/>
      <x:c r="G55" s="2"/>
      <x:c r="H55" s="2"/>
      <x:c r="I55" s="2"/>
    </x:row>
    <x:row r="56" ht="21" customHeight="1">
      <x:c r="C56" s="1" t="str">
        <x:v>2023 D&amp;A unavailable in this normalized view; annual PDF retained.</x:v>
      </x:c>
      <x:c r="D56" s="2"/>
      <x:c r="E56" s="2"/>
      <x:c r="F56" s="2"/>
      <x:c r="G56" s="2"/>
      <x:c r="H56" s="2"/>
      <x:c r="I56" s="2"/>
    </x:row>
    <x:row r="57" ht="21" customHeight="1">
      <x:c r="C57" s="1" t="str">
        <x:v>Other pretax income is a historical reconciliation, not a forecast plug.</x:v>
      </x:c>
      <x:c r="D57" s="2"/>
      <x:c r="E57" s="2"/>
      <x:c r="F57" s="2"/>
      <x:c r="G57" s="2"/>
      <x:c r="H57" s="2"/>
      <x:c r="I57" s="2"/>
    </x:row>
    <x:row r="58" ht="21" customHeight="1">
      <x:c r="C58" s="1"/>
      <x:c r="D58" s="2"/>
      <x:c r="E58" s="2"/>
      <x:c r="F58" s="2"/>
      <x:c r="G58" s="2"/>
      <x:c r="H58" s="2"/>
      <x:c r="I58" s="2"/>
    </x:row>
    <x:row r="59" ht="21" customHeight="1">
      <x:c r="C59" s="1"/>
      <x:c r="D59" s="2"/>
      <x:c r="E59" s="2"/>
      <x:c r="F59" s="2"/>
      <x:c r="G59" s="2"/>
      <x:c r="H59" s="2"/>
      <x:c r="I59" s="2"/>
    </x:row>
    <x:row r="60" ht="21" customHeight="1">
      <x:c r="C60" s="1"/>
      <x:c r="D60" s="2"/>
      <x:c r="E60" s="2"/>
      <x:c r="F60" s="2"/>
      <x:c r="G60" s="2"/>
      <x:c r="H60" s="2"/>
      <x:c r="I60" s="2"/>
    </x:row>
    <x:row r="61" ht="21" customHeight="1">
      <x:c r="C61" s="1"/>
      <x:c r="D61" s="2"/>
      <x:c r="E61" s="2"/>
      <x:c r="F61" s="2"/>
      <x:c r="G61" s="2"/>
      <x:c r="H61" s="2"/>
      <x:c r="I61" s="2"/>
    </x:row>
    <x:row r="62" ht="21" customHeight="1">
      <x:c r="C62" s="1"/>
      <x:c r="D62" s="2"/>
      <x:c r="E62" s="2"/>
      <x:c r="F62" s="2"/>
      <x:c r="G62" s="2"/>
      <x:c r="H62" s="2"/>
      <x:c r="I62" s="2"/>
    </x:row>
    <x:row r="63" ht="21" customHeight="1">
      <x:c r="C63" s="1"/>
      <x:c r="D63" s="2"/>
      <x:c r="E63" s="2"/>
      <x:c r="F63" s="2"/>
      <x:c r="G63" s="2"/>
      <x:c r="H63" s="2"/>
      <x:c r="I63" s="2"/>
    </x:row>
    <x:row r="64" ht="21" customHeight="1">
      <x:c r="C64" s="1"/>
      <x:c r="D64" s="2"/>
      <x:c r="E64" s="2"/>
      <x:c r="F64" s="2"/>
      <x:c r="G64" s="2"/>
      <x:c r="H64" s="2"/>
      <x:c r="I64" s="2"/>
    </x:row>
    <x:row r="65" ht="21" customHeight="1">
      <x:c r="C65" s="1"/>
      <x:c r="D65" s="2"/>
      <x:c r="E65" s="2"/>
      <x:c r="F65" s="2"/>
      <x:c r="G65" s="2"/>
      <x:c r="H65" s="2"/>
      <x:c r="I65" s="2"/>
    </x:row>
    <x:row r="66" ht="21" customHeight="1">
      <x:c r="C66" s="1"/>
      <x:c r="D66" s="2"/>
      <x:c r="E66" s="2"/>
      <x:c r="F66" s="2"/>
      <x:c r="G66" s="2"/>
      <x:c r="H66" s="2"/>
      <x:c r="I66" s="2"/>
    </x:row>
    <x:row r="67" ht="21" customHeight="1">
      <x:c r="C67" s="1"/>
      <x:c r="D67" s="2"/>
      <x:c r="E67" s="2"/>
      <x:c r="F67" s="2"/>
      <x:c r="G67" s="2"/>
      <x:c r="H67" s="2"/>
      <x:c r="I67" s="2"/>
    </x:row>
    <x:row r="68" ht="21" customHeight="1">
      <x:c r="C68" s="1"/>
      <x:c r="D68" s="2"/>
      <x:c r="E68" s="2"/>
      <x:c r="F68" s="2"/>
      <x:c r="G68" s="2"/>
      <x:c r="H68" s="2"/>
      <x:c r="I68" s="2"/>
    </x:row>
    <x:row r="69" ht="21" customHeight="1">
      <x:c r="C69" s="1"/>
      <x:c r="D69" s="2"/>
      <x:c r="E69" s="2"/>
      <x:c r="F69" s="2"/>
      <x:c r="G69" s="2"/>
      <x:c r="H69" s="2"/>
      <x:c r="I69" s="2"/>
    </x:row>
    <x:row r="70" ht="21" customHeight="1">
      <x:c r="C70" s="1"/>
      <x:c r="D70" s="2"/>
      <x:c r="E70" s="2"/>
      <x:c r="F70" s="2"/>
      <x:c r="G70" s="2"/>
      <x:c r="H70" s="2"/>
      <x:c r="I70" s="2"/>
    </x:row>
    <x:row r="71" ht="21" customHeight="1">
      <x:c r="C71" s="1"/>
      <x:c r="D71" s="2"/>
      <x:c r="E71" s="2"/>
      <x:c r="F71" s="2"/>
      <x:c r="G71" s="2"/>
      <x:c r="H71" s="2"/>
      <x:c r="I71" s="2"/>
    </x:row>
    <x:row r="72" ht="21" customHeight="1">
      <x:c r="C72" s="1"/>
      <x:c r="D72" s="2"/>
      <x:c r="E72" s="2"/>
      <x:c r="F72" s="2"/>
      <x:c r="G72" s="2"/>
      <x:c r="H72" s="2"/>
      <x:c r="I72" s="2"/>
    </x:row>
    <x:row r="73" ht="21" customHeight="1">
      <x:c r="C73" s="1"/>
      <x:c r="D73" s="2"/>
      <x:c r="E73" s="2"/>
      <x:c r="F73" s="2"/>
      <x:c r="G73" s="2"/>
      <x:c r="H73" s="2"/>
      <x:c r="I73" s="2"/>
    </x:row>
    <x:row r="74" ht="21" customHeight="1">
      <x:c r="C74" s="1"/>
      <x:c r="D74" s="2"/>
      <x:c r="E74" s="2"/>
      <x:c r="F74" s="2"/>
      <x:c r="G74" s="2"/>
      <x:c r="H74" s="2"/>
      <x:c r="I74" s="2"/>
    </x:row>
    <x:row r="75" ht="21" customHeight="1">
      <x:c r="C75" s="1"/>
      <x:c r="D75" s="2"/>
      <x:c r="E75" s="2"/>
      <x:c r="F75" s="2"/>
      <x:c r="G75" s="2"/>
      <x:c r="H75" s="2"/>
      <x:c r="I75" s="2"/>
    </x:row>
    <x:row r="76" ht="21" customHeight="1">
      <x:c r="C76" s="1"/>
      <x:c r="D76" s="2"/>
      <x:c r="E76" s="2"/>
      <x:c r="F76" s="2"/>
      <x:c r="G76" s="2"/>
      <x:c r="H76" s="2"/>
      <x:c r="I76" s="2"/>
    </x:row>
    <x:row r="77" ht="21" customHeight="1">
      <x:c r="C77" s="1"/>
      <x:c r="D77" s="2"/>
      <x:c r="E77" s="2"/>
      <x:c r="F77" s="2"/>
      <x:c r="G77" s="2"/>
      <x:c r="H77" s="2"/>
      <x:c r="I77" s="2"/>
    </x:row>
    <x:row r="78" ht="21" customHeight="1">
      <x:c r="C78" s="1"/>
      <x:c r="D78" s="2"/>
      <x:c r="E78" s="2"/>
      <x:c r="F78" s="2"/>
      <x:c r="G78" s="2"/>
      <x:c r="H78" s="2"/>
      <x:c r="I78" s="2"/>
    </x:row>
    <x:row r="79" ht="21" customHeight="1">
      <x:c r="C79" s="1"/>
      <x:c r="D79" s="2"/>
      <x:c r="E79" s="2"/>
      <x:c r="F79" s="2"/>
      <x:c r="G79" s="2"/>
      <x:c r="H79" s="2"/>
      <x:c r="I79" s="2"/>
    </x:row>
    <x:row r="80" ht="21" customHeight="1">
      <x:c r="C80" s="1"/>
      <x:c r="D80" s="2"/>
      <x:c r="E80" s="2"/>
      <x:c r="F80" s="2"/>
      <x:c r="G80" s="2"/>
      <x:c r="H80" s="2"/>
      <x:c r="I80" s="2"/>
    </x:row>
    <x:row r="81" ht="21" customHeight="1">
      <x:c r="C81" s="1"/>
      <x:c r="D81" s="2"/>
      <x:c r="E81" s="2"/>
      <x:c r="F81" s="2"/>
      <x:c r="G81" s="2"/>
      <x:c r="H81" s="2"/>
      <x:c r="I81" s="2"/>
    </x:row>
    <x:row r="82" ht="21" customHeight="1">
      <x:c r="C82" s="1"/>
      <x:c r="D82" s="2"/>
      <x:c r="E82" s="2"/>
      <x:c r="F82" s="2"/>
      <x:c r="G82" s="2"/>
      <x:c r="H82" s="2"/>
      <x:c r="I82" s="2"/>
    </x:row>
    <x:row r="83" ht="21" customHeight="1">
      <x:c r="C83" s="1"/>
      <x:c r="D83" s="2"/>
      <x:c r="E83" s="2"/>
      <x:c r="F83" s="2"/>
      <x:c r="G83" s="2"/>
      <x:c r="H83" s="2"/>
      <x:c r="I83" s="2"/>
    </x:row>
    <x:row r="84" ht="21" customHeight="1">
      <x:c r="C84" s="1"/>
      <x:c r="D84" s="2"/>
      <x:c r="E84" s="2"/>
      <x:c r="F84" s="2"/>
      <x:c r="G84" s="2"/>
      <x:c r="H84" s="2"/>
      <x:c r="I84" s="2"/>
    </x:row>
    <x:row r="85" ht="21" customHeight="1">
      <x:c r="C85" s="1"/>
      <x:c r="D85" s="2"/>
      <x:c r="E85" s="2"/>
      <x:c r="F85" s="2"/>
      <x:c r="G85" s="2"/>
      <x:c r="H85" s="2"/>
      <x:c r="I85" s="2"/>
    </x:row>
    <x:row r="86" ht="21" customHeight="1">
      <x:c r="C86" s="1"/>
      <x:c r="D86" s="2"/>
      <x:c r="E86" s="2"/>
      <x:c r="F86" s="2"/>
      <x:c r="G86" s="2"/>
      <x:c r="H86" s="2"/>
      <x:c r="I86" s="2"/>
    </x:row>
    <x:row r="87" ht="21" customHeight="1">
      <x:c r="C87" s="1"/>
      <x:c r="D87" s="2"/>
      <x:c r="E87" s="2"/>
      <x:c r="F87" s="2"/>
      <x:c r="G87" s="2"/>
      <x:c r="H87" s="2"/>
      <x:c r="I87" s="2"/>
    </x:row>
    <x:row r="88" ht="21" customHeight="1">
      <x:c r="C88" s="1"/>
      <x:c r="D88" s="2"/>
      <x:c r="E88" s="2"/>
      <x:c r="F88" s="2"/>
      <x:c r="G88" s="2"/>
      <x:c r="H88" s="2"/>
      <x:c r="I88" s="2"/>
    </x:row>
    <x:row r="89" ht="21" customHeight="1">
      <x:c r="C89" s="1"/>
      <x:c r="D89" s="2"/>
      <x:c r="E89" s="2"/>
      <x:c r="F89" s="2"/>
      <x:c r="G89" s="2"/>
      <x:c r="H89" s="2"/>
      <x:c r="I89" s="2"/>
    </x:row>
    <x:row r="90" ht="21" customHeight="1">
      <x:c r="C90" s="1"/>
      <x:c r="D90" s="2"/>
      <x:c r="E90" s="2"/>
      <x:c r="F90" s="2"/>
      <x:c r="G90" s="2"/>
      <x:c r="H90" s="2"/>
      <x:c r="I90" s="2"/>
    </x:row>
    <x:row r="91" ht="21" customHeight="1">
      <x:c r="C91" s="1"/>
      <x:c r="D91" s="2"/>
      <x:c r="E91" s="2"/>
      <x:c r="F91" s="2"/>
      <x:c r="G91" s="2"/>
      <x:c r="H91" s="2"/>
      <x:c r="I91" s="2"/>
    </x:row>
    <x:row r="92" ht="21" customHeight="1">
      <x:c r="C92" s="1"/>
      <x:c r="D92" s="2"/>
      <x:c r="E92" s="2"/>
      <x:c r="F92" s="2"/>
      <x:c r="G92" s="2"/>
      <x:c r="H92" s="2"/>
      <x:c r="I92" s="2"/>
    </x:row>
    <x:row r="93" ht="21" customHeight="1">
      <x:c r="C93" s="1"/>
      <x:c r="D93" s="2"/>
      <x:c r="E93" s="2"/>
      <x:c r="F93" s="2"/>
      <x:c r="G93" s="2"/>
      <x:c r="H93" s="2"/>
      <x:c r="I93" s="2"/>
    </x:row>
    <x:row r="94" ht="21" customHeight="1">
      <x:c r="C94" s="1"/>
      <x:c r="D94" s="2"/>
      <x:c r="E94" s="2"/>
      <x:c r="F94" s="2"/>
      <x:c r="G94" s="2"/>
      <x:c r="H94" s="2"/>
      <x:c r="I94" s="2"/>
    </x:row>
    <x:row r="95" ht="21" customHeight="1">
      <x:c r="C95" s="1"/>
      <x:c r="D95" s="2"/>
      <x:c r="E95" s="2"/>
      <x:c r="F95" s="2"/>
      <x:c r="G95" s="2"/>
      <x:c r="H95" s="2"/>
      <x:c r="I95" s="2"/>
    </x:row>
    <x:row r="96" ht="21" customHeight="1">
      <x:c r="C96" s="1"/>
      <x:c r="D96" s="2"/>
      <x:c r="E96" s="2"/>
      <x:c r="F96" s="2"/>
      <x:c r="G96" s="2"/>
      <x:c r="H96" s="2"/>
      <x:c r="I96" s="2"/>
    </x:row>
    <x:row r="97" ht="21" customHeight="1">
      <x:c r="C97" s="1"/>
      <x:c r="D97" s="2"/>
      <x:c r="E97" s="2"/>
      <x:c r="F97" s="2"/>
      <x:c r="G97" s="2"/>
      <x:c r="H97" s="2"/>
      <x:c r="I97" s="2"/>
    </x:row>
    <x:row r="98" ht="21" customHeight="1">
      <x:c r="C98" s="1"/>
      <x:c r="D98" s="2"/>
      <x:c r="E98" s="2"/>
      <x:c r="F98" s="2"/>
      <x:c r="G98" s="2"/>
      <x:c r="H98" s="2"/>
      <x:c r="I98" s="2"/>
    </x:row>
    <x:row r="99" ht="21" customHeight="1">
      <x:c r="C99" s="1"/>
      <x:c r="D99" s="2"/>
      <x:c r="E99" s="2"/>
      <x:c r="F99" s="2"/>
      <x:c r="G99" s="2"/>
      <x:c r="H99" s="2"/>
      <x:c r="I99" s="2"/>
    </x:row>
    <x:row r="100" ht="21" customHeight="1">
      <x:c r="C100" s="1"/>
      <x:c r="D100" s="2"/>
      <x:c r="E100" s="2"/>
      <x:c r="F100" s="2"/>
      <x:c r="G100" s="2"/>
      <x:c r="H100" s="2"/>
      <x:c r="I100" s="2"/>
    </x:row>
    <x:row r="101" ht="21" customHeight="1">
      <x:c r="C101" s="1"/>
      <x:c r="D101" s="2"/>
      <x:c r="E101" s="2"/>
      <x:c r="F101" s="2"/>
      <x:c r="G101" s="2"/>
      <x:c r="H101" s="2"/>
      <x:c r="I101" s="2"/>
    </x:row>
    <x:row r="102" ht="21" customHeight="1">
      <x:c r="C102" s="1"/>
      <x:c r="D102" s="2"/>
      <x:c r="E102" s="2"/>
      <x:c r="F102" s="2"/>
      <x:c r="G102" s="2"/>
      <x:c r="H102" s="2"/>
      <x:c r="I102" s="2"/>
    </x:row>
    <x:row r="103" ht="21" customHeight="1">
      <x:c r="C103" s="1"/>
      <x:c r="D103" s="2"/>
      <x:c r="E103" s="2"/>
      <x:c r="F103" s="2"/>
      <x:c r="G103" s="2"/>
      <x:c r="H103" s="2"/>
      <x:c r="I103" s="2"/>
    </x:row>
    <x:row r="104" ht="21" customHeight="1">
      <x:c r="C104" s="1"/>
      <x:c r="D104" s="2"/>
      <x:c r="E104" s="2"/>
      <x:c r="F104" s="2"/>
      <x:c r="G104" s="2"/>
      <x:c r="H104" s="2"/>
      <x:c r="I104" s="2"/>
    </x:row>
    <x:row r="105" ht="21" customHeight="1">
      <x:c r="C105" s="1"/>
      <x:c r="D105" s="2"/>
      <x:c r="E105" s="2"/>
      <x:c r="F105" s="2"/>
      <x:c r="G105" s="2"/>
      <x:c r="H105" s="2"/>
      <x:c r="I105" s="2"/>
    </x:row>
    <x:row r="106" ht="21" customHeight="1">
      <x:c r="C106" s="1"/>
      <x:c r="D106" s="2"/>
      <x:c r="E106" s="2"/>
      <x:c r="F106" s="2"/>
      <x:c r="G106" s="2"/>
      <x:c r="H106" s="2"/>
      <x:c r="I106" s="2"/>
    </x:row>
    <x:row r="107" ht="21" customHeight="1">
      <x:c r="C107" s="1"/>
      <x:c r="D107" s="2"/>
      <x:c r="E107" s="2"/>
      <x:c r="F107" s="2"/>
      <x:c r="G107" s="2"/>
      <x:c r="H107" s="2"/>
      <x:c r="I107" s="2"/>
    </x:row>
    <x:row r="108" ht="21" customHeight="1">
      <x:c r="C108" s="1"/>
      <x:c r="D108" s="2"/>
      <x:c r="E108" s="2"/>
      <x:c r="F108" s="2"/>
      <x:c r="G108" s="2"/>
      <x:c r="H108" s="2"/>
      <x:c r="I108" s="2"/>
    </x:row>
    <x:row r="109" ht="21" customHeight="1">
      <x:c r="C109" s="1"/>
      <x:c r="D109" s="2"/>
      <x:c r="E109" s="2"/>
      <x:c r="F109" s="2"/>
      <x:c r="G109" s="2"/>
      <x:c r="H109" s="2"/>
      <x:c r="I109" s="2"/>
    </x:row>
    <x:row r="110" ht="21" customHeight="1">
      <x:c r="C110" s="1"/>
      <x:c r="D110" s="2"/>
      <x:c r="E110" s="2"/>
      <x:c r="F110" s="2"/>
      <x:c r="G110" s="2"/>
      <x:c r="H110" s="2"/>
      <x:c r="I110" s="2"/>
    </x:row>
    <x:row r="111" ht="21" customHeight="1">
      <x:c r="C111" s="1"/>
      <x:c r="D111" s="2"/>
      <x:c r="E111" s="2"/>
      <x:c r="F111" s="2"/>
      <x:c r="G111" s="2"/>
      <x:c r="H111" s="2"/>
      <x:c r="I111" s="2"/>
    </x:row>
    <x:row r="112" ht="21" customHeight="1">
      <x:c r="C112" s="1"/>
      <x:c r="D112" s="2"/>
      <x:c r="E112" s="2"/>
      <x:c r="F112" s="2"/>
      <x:c r="G112" s="2"/>
      <x:c r="H112" s="2"/>
      <x:c r="I112" s="2"/>
    </x:row>
    <x:row r="113" ht="21" customHeight="1">
      <x:c r="C113" s="1"/>
      <x:c r="D113" s="2"/>
      <x:c r="E113" s="2"/>
      <x:c r="F113" s="2"/>
      <x:c r="G113" s="2"/>
      <x:c r="H113" s="2"/>
      <x:c r="I113" s="2"/>
    </x:row>
    <x:row r="114" ht="21" customHeight="1">
      <x:c r="C114" s="1"/>
      <x:c r="D114" s="2"/>
      <x:c r="E114" s="2"/>
      <x:c r="F114" s="2"/>
      <x:c r="G114" s="2"/>
      <x:c r="H114" s="2"/>
      <x:c r="I114" s="2"/>
    </x:row>
    <x:row r="115" ht="21" customHeight="1">
      <x:c r="C115" s="1"/>
      <x:c r="D115" s="2"/>
      <x:c r="E115" s="2"/>
      <x:c r="F115" s="2"/>
      <x:c r="G115" s="2"/>
      <x:c r="H115" s="2"/>
      <x:c r="I115" s="2"/>
    </x:row>
    <x:row r="116" ht="21" customHeight="1">
      <x:c r="C116" s="1"/>
      <x:c r="D116" s="2"/>
      <x:c r="E116" s="2"/>
      <x:c r="F116" s="2"/>
      <x:c r="G116" s="2"/>
      <x:c r="H116" s="2"/>
      <x:c r="I116" s="2"/>
    </x:row>
    <x:row r="117" ht="21" customHeight="1">
      <x:c r="C117" s="1"/>
      <x:c r="D117" s="2"/>
      <x:c r="E117" s="2"/>
      <x:c r="F117" s="2"/>
      <x:c r="G117" s="2"/>
      <x:c r="H117" s="2"/>
      <x:c r="I117" s="2"/>
    </x:row>
    <x:row r="118" ht="21" customHeight="1">
      <x:c r="C118" s="1"/>
      <x:c r="D118" s="2"/>
      <x:c r="E118" s="2"/>
      <x:c r="F118" s="2"/>
      <x:c r="G118" s="2"/>
      <x:c r="H118" s="2"/>
      <x:c r="I118" s="2"/>
    </x:row>
    <x:row r="119" ht="21" customHeight="1">
      <x:c r="C119" s="1"/>
      <x:c r="D119" s="2"/>
      <x:c r="E119" s="2"/>
      <x:c r="F119" s="2"/>
      <x:c r="G119" s="2"/>
      <x:c r="H119" s="2"/>
      <x:c r="I119" s="2"/>
    </x:row>
    <x:row r="120" ht="21" customHeight="1">
      <x:c r="C120" s="1"/>
      <x:c r="D120" s="2"/>
      <x:c r="E120" s="2"/>
      <x:c r="F120" s="2"/>
      <x:c r="G120" s="2"/>
      <x:c r="H120" s="2"/>
      <x:c r="I120" s="2"/>
    </x:row>
    <x:row r="121" ht="21" customHeight="1">
      <x:c r="C121" s="1"/>
      <x:c r="D121" s="2"/>
      <x:c r="E121" s="2"/>
      <x:c r="F121" s="2"/>
      <x:c r="G121" s="2"/>
      <x:c r="H121" s="2"/>
      <x:c r="I121" s="2"/>
    </x:row>
    <x:row r="122" ht="21" customHeight="1">
      <x:c r="C122" s="1"/>
      <x:c r="D122" s="2"/>
      <x:c r="E122" s="2"/>
      <x:c r="F122" s="2"/>
      <x:c r="G122" s="2"/>
      <x:c r="H122" s="2"/>
      <x:c r="I122" s="2"/>
    </x:row>
    <x:row r="123" ht="21" customHeight="1">
      <x:c r="C123" s="1"/>
      <x:c r="D123" s="2"/>
      <x:c r="E123" s="2"/>
      <x:c r="F123" s="2"/>
      <x:c r="G123" s="2"/>
      <x:c r="H123" s="2"/>
      <x:c r="I123" s="2"/>
    </x:row>
    <x:row r="124" ht="21" customHeight="1">
      <x:c r="C124" s="1"/>
      <x:c r="D124" s="2"/>
      <x:c r="E124" s="2"/>
      <x:c r="F124" s="2"/>
      <x:c r="G124" s="2"/>
      <x:c r="H124" s="2"/>
      <x:c r="I124" s="2"/>
    </x:row>
    <x:row r="125" ht="21" customHeight="1">
      <x:c r="C125" s="1"/>
      <x:c r="D125" s="2"/>
      <x:c r="E125" s="2"/>
      <x:c r="F125" s="2"/>
      <x:c r="G125" s="2"/>
      <x:c r="H125" s="2"/>
      <x:c r="I125" s="2"/>
    </x:row>
    <x:row r="126" ht="21" customHeight="1">
      <x:c r="C126" s="1"/>
      <x:c r="D126" s="2"/>
      <x:c r="E126" s="2"/>
      <x:c r="F126" s="2"/>
      <x:c r="G126" s="2"/>
      <x:c r="H126" s="2"/>
      <x:c r="I126" s="2"/>
    </x:row>
    <x:row r="127" ht="21" customHeight="1">
      <x:c r="C127" s="1"/>
      <x:c r="D127" s="2"/>
      <x:c r="E127" s="2"/>
      <x:c r="F127" s="2"/>
      <x:c r="G127" s="2"/>
      <x:c r="H127" s="2"/>
      <x:c r="I127" s="2"/>
    </x:row>
    <x:row r="128" ht="21" customHeight="1">
      <x:c r="C128" s="1"/>
      <x:c r="D128" s="2"/>
      <x:c r="E128" s="2"/>
      <x:c r="F128" s="2"/>
      <x:c r="G128" s="2"/>
      <x:c r="H128" s="2"/>
      <x:c r="I128" s="2"/>
    </x:row>
    <x:row r="129" ht="21" customHeight="1">
      <x:c r="C129" s="1"/>
      <x:c r="D129" s="2"/>
      <x:c r="E129" s="2"/>
      <x:c r="F129" s="2"/>
      <x:c r="G129" s="2"/>
      <x:c r="H129" s="2"/>
      <x:c r="I129" s="2"/>
    </x:row>
    <x:row r="130" ht="21" customHeight="1">
      <x:c r="C130" s="1"/>
      <x:c r="D130" s="2"/>
      <x:c r="E130" s="2"/>
      <x:c r="F130" s="2"/>
      <x:c r="G130" s="2"/>
      <x:c r="H130" s="2"/>
      <x:c r="I130" s="2"/>
    </x:row>
    <x:row r="131" ht="21" customHeight="1">
      <x:c r="C131" s="1"/>
      <x:c r="D131" s="2"/>
      <x:c r="E131" s="2"/>
      <x:c r="F131" s="2"/>
      <x:c r="G131" s="2"/>
      <x:c r="H131" s="2"/>
      <x:c r="I131" s="2"/>
    </x:row>
    <x:row r="132" ht="21" customHeight="1">
      <x:c r="C132" s="1"/>
      <x:c r="D132" s="2"/>
      <x:c r="E132" s="2"/>
      <x:c r="F132" s="2"/>
      <x:c r="G132" s="2"/>
      <x:c r="H132" s="2"/>
      <x:c r="I132" s="2"/>
    </x:row>
    <x:row r="133" ht="21" customHeight="1">
      <x:c r="C133" s="1"/>
      <x:c r="D133" s="2"/>
      <x:c r="E133" s="2"/>
      <x:c r="F133" s="2"/>
      <x:c r="G133" s="2"/>
      <x:c r="H133" s="2"/>
      <x:c r="I133" s="2"/>
    </x:row>
    <x:row r="134" ht="21" customHeight="1">
      <x:c r="C134" s="1"/>
      <x:c r="D134" s="2"/>
      <x:c r="E134" s="2"/>
      <x:c r="F134" s="2"/>
      <x:c r="G134" s="2"/>
      <x:c r="H134" s="2"/>
      <x:c r="I134" s="2"/>
    </x:row>
    <x:row r="135" ht="21" customHeight="1">
      <x:c r="C135" s="1"/>
      <x:c r="D135" s="2"/>
      <x:c r="E135" s="2"/>
      <x:c r="F135" s="2"/>
      <x:c r="G135" s="2"/>
      <x:c r="H135" s="2"/>
      <x:c r="I135" s="2"/>
    </x:row>
    <x:row r="136" ht="21" customHeight="1">
      <x:c r="C136" s="1"/>
      <x:c r="D136" s="2"/>
      <x:c r="E136" s="2"/>
      <x:c r="F136" s="2"/>
      <x:c r="G136" s="2"/>
      <x:c r="H136" s="2"/>
      <x:c r="I136" s="2"/>
    </x:row>
    <x:row r="137" ht="21" customHeight="1">
      <x:c r="C137" s="1"/>
      <x:c r="D137" s="2"/>
      <x:c r="E137" s="2"/>
      <x:c r="F137" s="2"/>
      <x:c r="G137" s="2"/>
      <x:c r="H137" s="2"/>
      <x:c r="I137" s="2"/>
    </x:row>
    <x:row r="138" ht="21" customHeight="1">
      <x:c r="C138" s="1"/>
      <x:c r="D138" s="2"/>
      <x:c r="E138" s="2"/>
      <x:c r="F138" s="2"/>
      <x:c r="G138" s="2"/>
      <x:c r="H138" s="2"/>
      <x:c r="I138" s="2"/>
    </x:row>
    <x:row r="139" ht="21" customHeight="1">
      <x:c r="C139" s="1"/>
      <x:c r="D139" s="2"/>
      <x:c r="E139" s="2"/>
      <x:c r="F139" s="2"/>
      <x:c r="G139" s="2"/>
      <x:c r="H139" s="2"/>
      <x:c r="I139" s="2"/>
    </x:row>
    <x:row r="140" ht="21" customHeight="1">
      <x:c r="C140" s="1"/>
      <x:c r="D140" s="2"/>
      <x:c r="E140" s="2"/>
      <x:c r="F140" s="2"/>
      <x:c r="G140" s="2"/>
      <x:c r="H140" s="2"/>
      <x:c r="I140" s="2"/>
    </x:row>
    <x:row r="141" ht="21" customHeight="1">
      <x:c r="C141" s="1"/>
      <x:c r="D141" s="2"/>
      <x:c r="E141" s="2"/>
      <x:c r="F141" s="2"/>
      <x:c r="G141" s="2"/>
      <x:c r="H141" s="2"/>
      <x:c r="I141" s="2"/>
    </x:row>
    <x:row r="142" ht="21" customHeight="1">
      <x:c r="C142" s="1"/>
      <x:c r="D142" s="2"/>
      <x:c r="E142" s="2"/>
      <x:c r="F142" s="2"/>
      <x:c r="G142" s="2"/>
      <x:c r="H142" s="2"/>
      <x:c r="I142" s="2"/>
    </x:row>
    <x:row r="143" ht="21" customHeight="1">
      <x:c r="C143" s="1"/>
      <x:c r="D143" s="2"/>
      <x:c r="E143" s="2"/>
      <x:c r="F143" s="2"/>
      <x:c r="G143" s="2"/>
      <x:c r="H143" s="2"/>
      <x:c r="I143" s="2"/>
    </x:row>
    <x:row r="144" ht="21" customHeight="1">
      <x:c r="C144" s="1"/>
      <x:c r="D144" s="2"/>
      <x:c r="E144" s="2"/>
      <x:c r="F144" s="2"/>
      <x:c r="G144" s="2"/>
      <x:c r="H144" s="2"/>
      <x:c r="I144" s="2"/>
    </x:row>
    <x:row r="145" ht="21" customHeight="1">
      <x:c r="C145" s="1"/>
      <x:c r="D145" s="2"/>
      <x:c r="E145" s="2"/>
      <x:c r="F145" s="2"/>
      <x:c r="G145" s="2"/>
      <x:c r="H145" s="2"/>
      <x:c r="I145" s="2"/>
    </x:row>
    <x:row r="146" ht="21" customHeight="1">
      <x:c r="C146" s="1"/>
      <x:c r="D146" s="2"/>
      <x:c r="E146" s="2"/>
      <x:c r="F146" s="2"/>
      <x:c r="G146" s="2"/>
      <x:c r="H146" s="2"/>
      <x:c r="I146" s="2"/>
    </x:row>
    <x:row r="147" ht="21" customHeight="1">
      <x:c r="C147" s="1"/>
      <x:c r="D147" s="2"/>
      <x:c r="E147" s="2"/>
      <x:c r="F147" s="2"/>
      <x:c r="G147" s="2"/>
      <x:c r="H147" s="2"/>
      <x:c r="I147" s="2"/>
    </x:row>
    <x:row r="148" ht="21" customHeight="1">
      <x:c r="C148" s="1"/>
      <x:c r="D148" s="2"/>
      <x:c r="E148" s="2"/>
      <x:c r="F148" s="2"/>
      <x:c r="G148" s="2"/>
      <x:c r="H148" s="2"/>
      <x:c r="I148" s="2"/>
    </x:row>
    <x:row r="149" ht="21" customHeight="1">
      <x:c r="C149" s="1"/>
      <x:c r="D149" s="2"/>
      <x:c r="E149" s="2"/>
      <x:c r="F149" s="2"/>
      <x:c r="G149" s="2"/>
      <x:c r="H149" s="2"/>
      <x:c r="I149" s="2"/>
    </x:row>
    <x:row r="150" ht="21" customHeight="1">
      <x:c r="C150" s="1"/>
      <x:c r="D150" s="2"/>
      <x:c r="E150" s="2"/>
      <x:c r="F150" s="2"/>
      <x:c r="G150" s="2"/>
      <x:c r="H150" s="2"/>
      <x:c r="I150" s="2"/>
    </x:row>
    <x:row r="151" ht="21" customHeight="1">
      <x:c r="C151" s="1"/>
      <x:c r="D151" s="2"/>
      <x:c r="E151" s="2"/>
      <x:c r="F151" s="2"/>
      <x:c r="G151" s="2"/>
      <x:c r="H151" s="2"/>
      <x:c r="I151" s="2"/>
    </x:row>
    <x:row r="152" ht="21" customHeight="1">
      <x:c r="C152" s="1"/>
      <x:c r="D152" s="2"/>
      <x:c r="E152" s="2"/>
      <x:c r="F152" s="2"/>
      <x:c r="G152" s="2"/>
      <x:c r="H152" s="2"/>
      <x:c r="I152" s="2"/>
    </x:row>
    <x:row r="153" ht="21" customHeight="1">
      <x:c r="C153" s="1"/>
      <x:c r="D153" s="2"/>
      <x:c r="E153" s="2"/>
      <x:c r="F153" s="2"/>
      <x:c r="G153" s="2"/>
      <x:c r="H153" s="2"/>
      <x:c r="I153" s="2"/>
    </x:row>
    <x:row r="154" ht="21" customHeight="1">
      <x:c r="C154" s="1"/>
      <x:c r="D154" s="2"/>
      <x:c r="E154" s="2"/>
      <x:c r="F154" s="2"/>
      <x:c r="G154" s="2"/>
      <x:c r="H154" s="2"/>
      <x:c r="I154" s="2"/>
    </x:row>
    <x:row r="155" ht="21" customHeight="1">
      <x:c r="C155" s="1"/>
      <x:c r="D155" s="2"/>
      <x:c r="E155" s="2"/>
      <x:c r="F155" s="2"/>
      <x:c r="G155" s="2"/>
      <x:c r="H155" s="2"/>
      <x:c r="I155" s="2"/>
    </x:row>
    <x:row r="156" ht="21" customHeight="1">
      <x:c r="C156" s="1"/>
      <x:c r="D156" s="2"/>
      <x:c r="E156" s="2"/>
      <x:c r="F156" s="2"/>
      <x:c r="G156" s="2"/>
      <x:c r="H156" s="2"/>
      <x:c r="I156" s="2"/>
    </x:row>
    <x:row r="157" ht="21" customHeight="1">
      <x:c r="C157" s="1"/>
      <x:c r="D157" s="2"/>
      <x:c r="E157" s="2"/>
      <x:c r="F157" s="2"/>
      <x:c r="G157" s="2"/>
      <x:c r="H157" s="2"/>
      <x:c r="I157" s="2"/>
    </x:row>
    <x:row r="158" ht="21" customHeight="1">
      <x:c r="C158" s="1"/>
      <x:c r="D158" s="2"/>
      <x:c r="E158" s="2"/>
      <x:c r="F158" s="2"/>
      <x:c r="G158" s="2"/>
      <x:c r="H158" s="2"/>
      <x:c r="I158" s="2"/>
    </x:row>
    <x:row r="159" ht="21" customHeight="1">
      <x:c r="C159" s="1"/>
      <x:c r="D159" s="2"/>
      <x:c r="E159" s="2"/>
      <x:c r="F159" s="2"/>
      <x:c r="G159" s="2"/>
      <x:c r="H159" s="2"/>
      <x:c r="I159" s="2"/>
    </x:row>
    <x:row r="160" ht="21" customHeight="1">
      <x:c r="C160" s="1"/>
      <x:c r="D160" s="2"/>
      <x:c r="E160" s="2"/>
      <x:c r="F160" s="2"/>
      <x:c r="G160" s="2"/>
      <x:c r="H160" s="2"/>
      <x:c r="I160" s="2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53" hidden="0" customWidth="1"/>
    <x:col min="4" max="4" width="23" hidden="0" customWidth="1"/>
    <x:col min="5" max="5" width="16" hidden="0" customWidth="1"/>
    <x:col min="6" max="6" width="16" hidden="0" customWidth="1"/>
    <x:col min="7" max="7" width="16" hidden="0" customWidth="1"/>
    <x:col min="8" max="8" width="70" hidden="0" customWidth="1"/>
    <x:col min="9" max="9" width="16" hidden="0" customWidth="1"/>
  </x:cols>
  <x:sheetData>
    <x:row r="1" ht="21" customHeight="1">
      <x:c r="C1" s="1"/>
      <x:c r="D1" s="1"/>
      <x:c r="E1" s="1"/>
      <x:c r="F1" s="1"/>
      <x:c r="G1" s="1"/>
      <x:c r="H1" s="1"/>
      <x:c r="I1" s="1"/>
    </x:row>
    <x:row r="2" ht="21" customHeight="1">
      <x:c r="C2" s="4" t="str">
        <x:v>创科实业 TTI</x:v>
      </x:c>
      <x:c r="D2" s="4"/>
      <x:c r="E2" s="4"/>
      <x:c r="F2" s="4"/>
      <x:c r="G2" s="4"/>
      <x:c r="H2" s="4"/>
      <x:c r="I2" s="4"/>
    </x:row>
    <x:row r="3" ht="21" customHeight="1">
      <x:c r="C3" s="5" t="str">
        <x:v>SourceBS · USD million · December year-end</x:v>
      </x:c>
      <x:c r="D3" s="5"/>
      <x:c r="E3" s="5"/>
      <x:c r="F3" s="5"/>
      <x:c r="G3" s="5"/>
      <x:c r="H3" s="5"/>
      <x:c r="I3" s="5"/>
    </x:row>
    <x:row r="4" ht="21" customHeight="1">
      <x:c r="C4" s="1"/>
      <x:c r="D4" s="1"/>
      <x:c r="E4" s="1"/>
      <x:c r="F4" s="1"/>
      <x:c r="G4" s="1"/>
      <x:c r="H4" s="1"/>
      <x:c r="I4" s="1"/>
    </x:row>
    <x:row r="5" ht="21" customHeight="1">
      <x:c r="C5" s="1"/>
      <x:c r="D5" s="1"/>
      <x:c r="E5" s="1"/>
      <x:c r="F5" s="1"/>
      <x:c r="G5" s="1"/>
      <x:c r="H5" s="1"/>
      <x:c r="I5" s="1"/>
    </x:row>
    <x:row r="6" ht="21" customHeight="1">
      <x:c r="C6" s="1"/>
      <x:c r="D6" s="1"/>
      <x:c r="E6" s="1"/>
      <x:c r="F6" s="1"/>
      <x:c r="G6" s="1"/>
      <x:c r="H6" s="1"/>
      <x:c r="I6" s="1"/>
    </x:row>
    <x:row r="7" ht="21" customHeight="1">
      <x:c r="C7" s="12" t="str">
        <x:v>Reported line</x:v>
      </x:c>
      <x:c r="D7" s="13" t="str">
        <x:v>Model group</x:v>
      </x:c>
      <x:c r="E7" s="13" t="str">
        <x:v>2023A</x:v>
      </x:c>
      <x:c r="F7" s="13" t="str">
        <x:v>2024A</x:v>
      </x:c>
      <x:c r="G7" s="14" t="str">
        <x:v>2025A</x:v>
      </x:c>
      <x:c r="H7" s="14" t="str">
        <x:v>Source page / line</x:v>
      </x:c>
      <x:c r="I7" s="14" t="str"/>
    </x:row>
    <x:row r="8" ht="21" customHeight="1">
      <x:c r="C8" s="1"/>
      <x:c r="D8" s="2"/>
      <x:c r="E8" s="2"/>
      <x:c r="F8" s="2"/>
      <x:c r="G8" s="2"/>
      <x:c r="H8" s="2"/>
      <x:c r="I8" s="2"/>
    </x:row>
    <x:row r="9" ht="42" customHeight="1">
      <x:c r="C9" s="1" t="str">
        <x:v>Property, plant and equipment</x:v>
      </x:c>
      <x:c r="D9" s="2" t="str">
        <x:v>ppe</x:v>
      </x:c>
      <x:c r="E9" s="2" t="n">
        <x:v>2310.537</x:v>
      </x:c>
      <x:c r="F9" s="2" t="n">
        <x:v>2248.541</x:v>
      </x:c>
      <x:c r="G9" s="2" t="n">
        <x:v>2244.108</x:v>
      </x:c>
      <x:c r="H9" s="20" t="str">
        <x:v>2023: tti_FY2024 P103 L011; 2024: tti_FY2025 P052 L010; 2025: tti_FY2025 P052 L010</x:v>
      </x:c>
      <x:c r="I9" s="2"/>
    </x:row>
    <x:row r="10" ht="42" customHeight="1">
      <x:c r="C10" s="1" t="str">
        <x:v>Right of use assets</x:v>
      </x:c>
      <x:c r="D10" s="2" t="str">
        <x:v>rou</x:v>
      </x:c>
      <x:c r="E10" s="2" t="n">
        <x:v>866.009</x:v>
      </x:c>
      <x:c r="F10" s="2" t="n">
        <x:v>797.097</x:v>
      </x:c>
      <x:c r="G10" s="2" t="n">
        <x:v>739.047</x:v>
      </x:c>
      <x:c r="H10" s="20" t="str">
        <x:v>2023: tti_FY2024 P103 L012; 2024: tti_FY2025 P052 L011; 2025: tti_FY2025 P052 L011</x:v>
      </x:c>
      <x:c r="I10" s="2"/>
    </x:row>
    <x:row r="11" ht="42" customHeight="1">
      <x:c r="C11" s="1" t="str">
        <x:v>Goodwill</x:v>
      </x:c>
      <x:c r="D11" s="2" t="str">
        <x:v>otherAssets</x:v>
      </x:c>
      <x:c r="E11" s="2" t="n">
        <x:v>604.297</x:v>
      </x:c>
      <x:c r="F11" s="2" t="n">
        <x:v>602.899</x:v>
      </x:c>
      <x:c r="G11" s="2" t="n">
        <x:v>606.699</x:v>
      </x:c>
      <x:c r="H11" s="20" t="str">
        <x:v>2023: tti_FY2024 P103 L013; 2024: tti_FY2025 P052 L012; 2025: tti_FY2025 P052 L012</x:v>
      </x:c>
      <x:c r="I11" s="2"/>
    </x:row>
    <x:row r="12" ht="42" customHeight="1">
      <x:c r="C12" s="1" t="str">
        <x:v>Intangible assets</x:v>
      </x:c>
      <x:c r="D12" s="2" t="str">
        <x:v>intang</x:v>
      </x:c>
      <x:c r="E12" s="2" t="n">
        <x:v>1298.419</x:v>
      </x:c>
      <x:c r="F12" s="2" t="n">
        <x:v>1369.494</x:v>
      </x:c>
      <x:c r="G12" s="2" t="n">
        <x:v>1247.924</x:v>
      </x:c>
      <x:c r="H12" s="20" t="str">
        <x:v>2023: tti_FY2024 P103 L014; 2024: tti_FY2025 P052 L013; 2025: tti_FY2025 P052 L013</x:v>
      </x:c>
      <x:c r="I12" s="2"/>
    </x:row>
    <x:row r="13" ht="42" customHeight="1">
      <x:c r="C13" s="1" t="str">
        <x:v>Interest in an associate</x:v>
      </x:c>
      <x:c r="D13" s="2" t="str">
        <x:v>investments</x:v>
      </x:c>
      <x:c r="E13" s="2" t="n">
        <x:v>2.056</x:v>
      </x:c>
      <x:c r="F13" s="2" t="n">
        <x:v>2.025</x:v>
      </x:c>
      <x:c r="G13" s="2" t="n">
        <x:v>2.015</x:v>
      </x:c>
      <x:c r="H13" s="20" t="str">
        <x:v>2023: tti_FY2024 P103 L015; 2024: tti_FY2025 P052 L014; 2025: tti_FY2025 P052 L014</x:v>
      </x:c>
      <x:c r="I13" s="2"/>
    </x:row>
    <x:row r="14" ht="42" customHeight="1">
      <x:c r="C14" s="1" t="str">
        <x:v>Financial assets at fair value through profit or loss</x:v>
      </x:c>
      <x:c r="D14" s="2" t="str">
        <x:v>investments</x:v>
      </x:c>
      <x:c r="E14" s="2" t="n">
        <x:v>34.846000000000004</x:v>
      </x:c>
      <x:c r="F14" s="2" t="n">
        <x:v>31.340000000000003</x:v>
      </x:c>
      <x:c r="G14" s="2" t="n">
        <x:v>40.54</x:v>
      </x:c>
      <x:c r="H14" s="20" t="str">
        <x:v>2023: tti_FY2024 P103 L016; 2023: tti_FY2024 P103 L032; 2024: tti_FY2025 P052 L015; 2024: tti_FY2025 P052 L035; 2025: tti_FY2025 P052 L015; 2025: tti_FY2025 P052 L035</x:v>
      </x:c>
      <x:c r="I14" s="2"/>
    </x:row>
    <x:row r="15" ht="42" customHeight="1">
      <x:c r="C15" s="1" t="str">
        <x:v>Deposits</x:v>
      </x:c>
      <x:c r="D15" s="2" t="str">
        <x:v>investments</x:v>
      </x:c>
      <x:c r="E15" s="2" t="n">
        <x:v>112</x:v>
      </x:c>
      <x:c r="F15" s="2" t="n">
        <x:v>90.5</x:v>
      </x:c>
      <x:c r="G15" s="2" t="n">
        <x:v>69</x:v>
      </x:c>
      <x:c r="H15" s="20" t="str">
        <x:v>2023: tti_FY2024 P103 L017; 2024: tti_FY2025 P052 L016; 2025: tti_FY2025 P052 L016</x:v>
      </x:c>
      <x:c r="I15" s="2"/>
    </x:row>
    <x:row r="16" ht="42" customHeight="1">
      <x:c r="C16" s="1" t="str">
        <x:v>Finance lease receivables</x:v>
      </x:c>
      <x:c r="D16" s="2" t="str">
        <x:v>investments</x:v>
      </x:c>
      <x:c r="E16" s="2" t="n">
        <x:v>8.487</x:v>
      </x:c>
      <x:c r="F16" s="2" t="n">
        <x:v>11.251</x:v>
      </x:c>
      <x:c r="G16" s="2" t="n">
        <x:v>3.721</x:v>
      </x:c>
      <x:c r="H16" s="20" t="str">
        <x:v>2023: tti_FY2024 P103 L018; 2023: tti_FY2024 P103 L028; 2024: tti_FY2025 P052 L017; 2024: tti_FY2025 P052 L031; 2025: tti_FY2025 P052 L017; 2025: tti_FY2025 P052 L031</x:v>
      </x:c>
      <x:c r="I16" s="2"/>
    </x:row>
    <x:row r="17" ht="42" customHeight="1">
      <x:c r="C17" s="1" t="str">
        <x:v>Derivative financial instruments</x:v>
      </x:c>
      <x:c r="D17" s="2" t="str">
        <x:v>investments</x:v>
      </x:c>
      <x:c r="E17" s="2" t="n">
        <x:v>22.539</x:v>
      </x:c>
      <x:c r="F17" s="2" t="n">
        <x:v>140.918</x:v>
      </x:c>
      <x:c r="G17" s="2" t="n">
        <x:v>17.087000000000003</x:v>
      </x:c>
      <x:c r="H17" s="20" t="str">
        <x:v>2023: tti_FY2024 P103 L019; 2023: tti_FY2024 P103 L031; 2024: tti_FY2025 P052 L018; 2024: tti_FY2025 P052 L034; 2025: tti_FY2025 P052 L018; 2025: tti_FY2025 P052 L034</x:v>
      </x:c>
      <x:c r="I17" s="2"/>
    </x:row>
    <x:row r="18" ht="42" customHeight="1">
      <x:c r="C18" s="1" t="str">
        <x:v>Deferred tax assets</x:v>
      </x:c>
      <x:c r="D18" s="2" t="str">
        <x:v>otherAssets</x:v>
      </x:c>
      <x:c r="E18" s="2" t="n">
        <x:v>63.354</x:v>
      </x:c>
      <x:c r="F18" s="2" t="n">
        <x:v>59.33</x:v>
      </x:c>
      <x:c r="G18" s="2" t="n">
        <x:v>82.521</x:v>
      </x:c>
      <x:c r="H18" s="20" t="str">
        <x:v>2023: tti_FY2024 P103 L020; 2024: tti_FY2025 P052 L020; 2025: tti_FY2025 P052 L020</x:v>
      </x:c>
      <x:c r="I18" s="2"/>
    </x:row>
    <x:row r="19" ht="42" customHeight="1">
      <x:c r="C19" s="1" t="str">
        <x:v>Inventories</x:v>
      </x:c>
      <x:c r="D19" s="2" t="str">
        <x:v>inventory</x:v>
      </x:c>
      <x:c r="E19" s="2" t="n">
        <x:v>4098.161</x:v>
      </x:c>
      <x:c r="F19" s="2" t="n">
        <x:v>4076.21</x:v>
      </x:c>
      <x:c r="G19" s="2" t="n">
        <x:v>4451.941</x:v>
      </x:c>
      <x:c r="H19" s="20" t="str">
        <x:v>2023: tti_FY2024 P103 L023; 2024: tti_FY2025 P052 L025; 2025: tti_FY2025 P052 L025</x:v>
      </x:c>
      <x:c r="I19" s="2"/>
    </x:row>
    <x:row r="20" ht="42" customHeight="1">
      <x:c r="C20" s="1" t="str">
        <x:v>Right to returned goods asset</x:v>
      </x:c>
      <x:c r="D20" s="2" t="str">
        <x:v>otherAssets</x:v>
      </x:c>
      <x:c r="E20" s="2" t="n">
        <x:v>8.734</x:v>
      </x:c>
      <x:c r="F20" s="2" t="n">
        <x:v>14.208</x:v>
      </x:c>
      <x:c r="G20" s="2" t="n">
        <x:v>12.209</x:v>
      </x:c>
      <x:c r="H20" s="20" t="str">
        <x:v>2023: tti_FY2024 P103 L024; 2024: tti_FY2025 P052 L027; 2025: tti_FY2025 P052 L027</x:v>
      </x:c>
      <x:c r="I20" s="2"/>
    </x:row>
    <x:row r="21" ht="42" customHeight="1">
      <x:c r="C21" s="1" t="str">
        <x:v>Trade and other receivables</x:v>
      </x:c>
      <x:c r="D21" s="2" t="str">
        <x:v>ar</x:v>
      </x:c>
      <x:c r="E21" s="2" t="n">
        <x:v>1811.592</x:v>
      </x:c>
      <x:c r="F21" s="2" t="n">
        <x:v>1993.138</x:v>
      </x:c>
      <x:c r="G21" s="2" t="n">
        <x:v>2005.331</x:v>
      </x:c>
      <x:c r="H21" s="20" t="str">
        <x:v>2023: tti_FY2024 P103 L025; 2024: tti_FY2025 P052 L028; 2025: tti_FY2025 P052 L028</x:v>
      </x:c>
      <x:c r="I21" s="2"/>
    </x:row>
    <x:row r="22" ht="42" customHeight="1">
      <x:c r="C22" s="1" t="str">
        <x:v>Deposits and prepayments</x:v>
      </x:c>
      <x:c r="D22" s="2" t="str">
        <x:v>otherAssets</x:v>
      </x:c>
      <x:c r="E22" s="2" t="n">
        <x:v>187.349</x:v>
      </x:c>
      <x:c r="F22" s="2" t="n">
        <x:v>199.44</x:v>
      </x:c>
      <x:c r="G22" s="2" t="n">
        <x:v>193.542</x:v>
      </x:c>
      <x:c r="H22" s="20" t="str">
        <x:v>2023: tti_FY2024 P103 L026; 2024: tti_FY2025 P052 L029; 2025: tti_FY2025 P052 L029</x:v>
      </x:c>
      <x:c r="I22" s="2"/>
    </x:row>
    <x:row r="23" ht="42" customHeight="1">
      <x:c r="C23" s="1" t="str">
        <x:v>Bills receivable</x:v>
      </x:c>
      <x:c r="D23" s="2" t="str">
        <x:v>ar</x:v>
      </x:c>
      <x:c r="E23" s="2" t="n">
        <x:v>8.423</x:v>
      </x:c>
      <x:c r="F23" s="2" t="n">
        <x:v>11.77</x:v>
      </x:c>
      <x:c r="G23" s="2" t="n">
        <x:v>11.009</x:v>
      </x:c>
      <x:c r="H23" s="20" t="str">
        <x:v>2023: tti_FY2024 P103 L027; 2024: tti_FY2025 P052 L030; 2025: tti_FY2025 P052 L030</x:v>
      </x:c>
      <x:c r="I23" s="2"/>
    </x:row>
    <x:row r="24" ht="42" customHeight="1">
      <x:c r="C24" s="1" t="str">
        <x:v>Tax recoverable</x:v>
      </x:c>
      <x:c r="D24" s="2" t="str">
        <x:v>otherAssets</x:v>
      </x:c>
      <x:c r="E24" s="2" t="n">
        <x:v>5.013</x:v>
      </x:c>
      <x:c r="F24" s="2" t="n">
        <x:v>3.95</x:v>
      </x:c>
      <x:c r="G24" s="2" t="n">
        <x:v>13.51</x:v>
      </x:c>
      <x:c r="H24" s="20" t="str">
        <x:v>2023: tti_FY2024 P103 L029; 2024: tti_FY2025 P052 L032; 2025: tti_FY2025 P052 L032</x:v>
      </x:c>
      <x:c r="I24" s="2"/>
    </x:row>
    <x:row r="25" ht="42" customHeight="1">
      <x:c r="C25" s="1" t="str">
        <x:v>Trade receivables from an associate</x:v>
      </x:c>
      <x:c r="D25" s="2" t="str">
        <x:v>ar</x:v>
      </x:c>
      <x:c r="E25" s="2" t="n">
        <x:v>6.927</x:v>
      </x:c>
      <x:c r="F25" s="2" t="n">
        <x:v>6.031</x:v>
      </x:c>
      <x:c r="G25" s="2" t="n">
        <x:v>11.071</x:v>
      </x:c>
      <x:c r="H25" s="20" t="str">
        <x:v>2023: tti_FY2024 P103 L030; 2024: tti_FY2025 P052 L033; 2025: tti_FY2025 P052 L033</x:v>
      </x:c>
      <x:c r="I25" s="2"/>
    </x:row>
    <x:row r="26" ht="42" customHeight="1">
      <x:c r="C26" s="1" t="str">
        <x:v>Trade and other payables</x:v>
      </x:c>
      <x:c r="D26" s="2" t="str">
        <x:v>ap</x:v>
      </x:c>
      <x:c r="E26" s="2" t="n">
        <x:v>3373.231</x:v>
      </x:c>
      <x:c r="F26" s="2" t="n">
        <x:v>3849.627</x:v>
      </x:c>
      <x:c r="G26" s="2" t="n">
        <x:v>4019.452</x:v>
      </x:c>
      <x:c r="H26" s="20" t="str">
        <x:v>2023: tti_FY2024 P103 L036; 2024: tti_FY2025 P052 L040; 2025: tti_FY2025 P052 L040</x:v>
      </x:c>
      <x:c r="I26" s="2"/>
    </x:row>
    <x:row r="27" ht="42" customHeight="1">
      <x:c r="C27" s="1" t="str">
        <x:v>Bills payable</x:v>
      </x:c>
      <x:c r="D27" s="2" t="str">
        <x:v>ap</x:v>
      </x:c>
      <x:c r="E27" s="2" t="n">
        <x:v>18.424</x:v>
      </x:c>
      <x:c r="F27" s="2" t="n">
        <x:v>21.42</x:v>
      </x:c>
      <x:c r="G27" s="2" t="n">
        <x:v>13.201</x:v>
      </x:c>
      <x:c r="H27" s="20" t="str">
        <x:v>2023: tti_FY2024 P103 L037; 2024: tti_FY2025 P052 L042; 2025: tti_FY2025 P052 L042</x:v>
      </x:c>
      <x:c r="I27" s="2"/>
    </x:row>
    <x:row r="28" ht="42" customHeight="1">
      <x:c r="C28" s="1" t="str">
        <x:v>Warranty provision</x:v>
      </x:c>
      <x:c r="D28" s="2" t="str">
        <x:v>otherLiabilities</x:v>
      </x:c>
      <x:c r="E28" s="2" t="n">
        <x:v>235.597</x:v>
      </x:c>
      <x:c r="F28" s="2" t="n">
        <x:v>252.752</x:v>
      </x:c>
      <x:c r="G28" s="2" t="n">
        <x:v>287.327</x:v>
      </x:c>
      <x:c r="H28" s="20" t="str">
        <x:v>2023: tti_FY2024 P103 L038; 2024: tti_FY2025 P052 L043; 2025: tti_FY2025 P052 L043</x:v>
      </x:c>
      <x:c r="I28" s="2"/>
    </x:row>
    <x:row r="29" ht="42" customHeight="1">
      <x:c r="C29" s="1" t="str">
        <x:v>Tax payable</x:v>
      </x:c>
      <x:c r="D29" s="2" t="str">
        <x:v>taxPayable</x:v>
      </x:c>
      <x:c r="E29" s="2" t="n">
        <x:v>47.558</x:v>
      </x:c>
      <x:c r="F29" s="2" t="n">
        <x:v>90.83</x:v>
      </x:c>
      <x:c r="G29" s="2" t="n">
        <x:v>133.039</x:v>
      </x:c>
      <x:c r="H29" s="20" t="str">
        <x:v>2023: tti_FY2024 P103 L039; 2024: tti_FY2025 P052 L044; 2025: tti_FY2025 P052 L044</x:v>
      </x:c>
      <x:c r="I29" s="2"/>
    </x:row>
    <x:row r="30" ht="42" customHeight="1">
      <x:c r="C30" s="1" t="str">
        <x:v>Derivative financial instruments</x:v>
      </x:c>
      <x:c r="D30" s="2" t="str">
        <x:v>otherLiabilities</x:v>
      </x:c>
      <x:c r="E30" s="2" t="n">
        <x:v>16.062</x:v>
      </x:c>
      <x:c r="F30" s="2" t="n">
        <x:v>17.119</x:v>
      </x:c>
      <x:c r="G30" s="2" t="n">
        <x:v>52.973</x:v>
      </x:c>
      <x:c r="H30" s="20" t="str">
        <x:v>2023: tti_FY2024 P103 L040; 2024: tti_FY2025 P052 L045; 2025: tti_FY2025 P052 L045</x:v>
      </x:c>
      <x:c r="I30" s="2"/>
    </x:row>
    <x:row r="31" ht="42" customHeight="1">
      <x:c r="C31" s="1" t="str">
        <x:v>Lease liabilities</x:v>
      </x:c>
      <x:c r="D31" s="2" t="str">
        <x:v>debt</x:v>
      </x:c>
      <x:c r="E31" s="2" t="n">
        <x:v>887.892</x:v>
      </x:c>
      <x:c r="F31" s="2" t="n">
        <x:v>833.4469999999999</x:v>
      </x:c>
      <x:c r="G31" s="2" t="n">
        <x:v>781.61</x:v>
      </x:c>
      <x:c r="H31" s="20" t="str">
        <x:v>2023: tti_FY2024 P103 L041; 2023: tti_FY2024 P104 L014; 2024: tti_FY2025 P052 L046; 2024: tti_FY2025 P053 L020; 2025: tti_FY2025 P052 L046; 2025: tti_FY2025 P053 L020</x:v>
      </x:c>
      <x:c r="I31" s="2"/>
    </x:row>
    <x:row r="32" ht="42" customHeight="1">
      <x:c r="C32" s="1" t="str">
        <x:v>Discounted bills with recourse</x:v>
      </x:c>
      <x:c r="D32" s="2" t="str">
        <x:v>debt</x:v>
      </x:c>
      <x:c r="E32" s="2" t="n">
        <x:v>2.708</x:v>
      </x:c>
      <x:c r="F32" s="2" t="n">
        <x:v>3.238</x:v>
      </x:c>
      <x:c r="G32" s="2" t="n">
        <x:v>2.589</x:v>
      </x:c>
      <x:c r="H32" s="20" t="str">
        <x:v>2023: tti_FY2024 P103 L042; 2024: tti_FY2025 P052 L047; 2025: tti_FY2025 P052 L047</x:v>
      </x:c>
      <x:c r="I32" s="2"/>
    </x:row>
    <x:row r="33" ht="42" customHeight="1">
      <x:c r="C33" s="1" t="str">
        <x:v>Unsecured borrowings – due within one year</x:v>
      </x:c>
      <x:c r="D33" s="2" t="str">
        <x:v>debt</x:v>
      </x:c>
      <x:c r="E33" s="2" t="n">
        <x:v>920.151</x:v>
      </x:c>
      <x:c r="F33" s="2" t="n">
        <x:v>509.85</x:v>
      </x:c>
      <x:c r="G33" s="2" t="n">
        <x:v>345.063</x:v>
      </x:c>
      <x:c r="H33" s="20" t="str">
        <x:v>2023: tti_FY2024 P103 L043; 2024: tti_FY2025 P052 L048; 2025: tti_FY2025 P052 L048</x:v>
      </x:c>
      <x:c r="I33" s="2"/>
    </x:row>
    <x:row r="34" ht="42" customHeight="1">
      <x:c r="C34" s="1" t="str">
        <x:v>Refund liabilities from right of return</x:v>
      </x:c>
      <x:c r="D34" s="2" t="str">
        <x:v>contract</x:v>
      </x:c>
      <x:c r="E34" s="2" t="n">
        <x:v>16.215</x:v>
      </x:c>
      <x:c r="F34" s="2" t="n">
        <x:v>23.354</x:v>
      </x:c>
      <x:c r="G34" s="2" t="n">
        <x:v>25.153</x:v>
      </x:c>
      <x:c r="H34" s="20" t="str">
        <x:v>2023: tti_FY2024 P103 L044; 2024: tti_FY2025 P052 L049; 2025: tti_FY2025 P052 L049</x:v>
      </x:c>
      <x:c r="I34" s="2"/>
    </x:row>
    <x:row r="35" ht="42" customHeight="1">
      <x:c r="C35" s="1" t="str">
        <x:v>Unsecured borrowings – due after one year</x:v>
      </x:c>
      <x:c r="D35" s="2" t="str">
        <x:v>debt</x:v>
      </x:c>
      <x:c r="E35" s="2" t="n">
        <x:v>1030.971</x:v>
      </x:c>
      <x:c r="F35" s="2" t="n">
        <x:v>763.65</x:v>
      </x:c>
      <x:c r="G35" s="2" t="n">
        <x:v>629.671</x:v>
      </x:c>
      <x:c r="H35" s="20" t="str">
        <x:v>2023: tti_FY2024 P104 L015; 2024: tti_FY2025 P053 L022; 2025: tti_FY2025 P053 L022</x:v>
      </x:c>
      <x:c r="I35" s="2"/>
    </x:row>
    <x:row r="36" ht="42" customHeight="1">
      <x:c r="C36" s="1" t="str">
        <x:v>Retirement benefit obligations</x:v>
      </x:c>
      <x:c r="D36" s="2" t="str">
        <x:v>otherLiabilities</x:v>
      </x:c>
      <x:c r="E36" s="2" t="n">
        <x:v>47.825</x:v>
      </x:c>
      <x:c r="F36" s="2" t="n">
        <x:v>43.57</x:v>
      </x:c>
      <x:c r="G36" s="2" t="n">
        <x:v>45.713</x:v>
      </x:c>
      <x:c r="H36" s="20" t="str">
        <x:v>2023: tti_FY2024 P104 L016; 2024: tti_FY2025 P053 L024; 2025: tti_FY2025 P053 L024</x:v>
      </x:c>
      <x:c r="I36" s="2"/>
    </x:row>
    <x:row r="37" ht="42" customHeight="1">
      <x:c r="C37" s="1" t="str">
        <x:v>Other payables</x:v>
      </x:c>
      <x:c r="D37" s="2" t="str">
        <x:v>otherLiabilities</x:v>
      </x:c>
      <x:c r="E37" s="2" t="n">
        <x:v>31.53</x:v>
      </x:c>
      <x:c r="F37" s="2" t="n">
        <x:v>87.997</x:v>
      </x:c>
      <x:c r="G37" s="2" t="n">
        <x:v>103.732</x:v>
      </x:c>
      <x:c r="H37" s="20" t="str">
        <x:v>2023: tti_FY2024 P104 L017; 2024: tti_FY2025 P053 L026; 2025: tti_FY2025 P053 L026</x:v>
      </x:c>
      <x:c r="I37" s="2"/>
    </x:row>
    <x:row r="38" ht="42" customHeight="1">
      <x:c r="C38" s="1" t="str">
        <x:v>Deferred tax liabilities</x:v>
      </x:c>
      <x:c r="D38" s="2" t="str">
        <x:v>otherLiabilities</x:v>
      </x:c>
      <x:c r="E38" s="2" t="n">
        <x:v>26.269</x:v>
      </x:c>
      <x:c r="F38" s="2" t="n">
        <x:v>30.038</x:v>
      </x:c>
      <x:c r="G38" s="2" t="n">
        <x:v>31.027</x:v>
      </x:c>
      <x:c r="H38" s="20" t="str">
        <x:v>2023: tti_FY2024 P104 L018; 2024: tti_FY2025 P053 L028; 2025: tti_FY2025 P053 L028</x:v>
      </x:c>
      <x:c r="I38" s="2"/>
    </x:row>
    <x:row r="39" ht="42" customHeight="1">
      <x:c r="C39" s="1" t="str">
        <x:v>Bank balances, deposits and cash</x:v>
      </x:c>
      <x:c r="D39" s="2" t="str">
        <x:v>bankPool</x:v>
      </x:c>
      <x:c r="E39" s="2" t="n">
        <x:v>953.24</x:v>
      </x:c>
      <x:c r="F39" s="2" t="n">
        <x:v>1232.347</x:v>
      </x:c>
      <x:c r="G39" s="2" t="n">
        <x:v>1677.729</x:v>
      </x:c>
      <x:c r="H39" s="20" t="str">
        <x:v>2023: tti_FY2024 P103 L033; 2024: tti_FY2025 P052 L036; 2025: tti_FY2025 P052 L036</x:v>
      </x:c>
      <x:c r="I39" s="2"/>
    </x:row>
    <x:row r="40" ht="21" customHeight="1">
      <x:c r="C40" s="1"/>
      <x:c r="D40" s="2"/>
      <x:c r="E40" s="2"/>
      <x:c r="F40" s="2"/>
      <x:c r="G40" s="2"/>
      <x:c r="H40" s="2"/>
      <x:c r="I40" s="2"/>
    </x:row>
    <x:row r="41" ht="21" customHeight="1">
      <x:c r="C41" s="1"/>
      <x:c r="D41" s="2"/>
      <x:c r="E41" s="2"/>
      <x:c r="F41" s="2"/>
      <x:c r="G41" s="2"/>
      <x:c r="H41" s="2"/>
      <x:c r="I41" s="2"/>
    </x:row>
    <x:row r="42" ht="21" customHeight="1">
      <x:c r="C42" s="1"/>
      <x:c r="D42" s="2"/>
      <x:c r="E42" s="2"/>
      <x:c r="F42" s="2"/>
      <x:c r="G42" s="2"/>
      <x:c r="H42" s="2"/>
      <x:c r="I42" s="2"/>
    </x:row>
    <x:row r="43" ht="21" customHeight="1">
      <x:c r="C43" s="1"/>
      <x:c r="D43" s="2"/>
      <x:c r="E43" s="2"/>
      <x:c r="F43" s="2"/>
      <x:c r="G43" s="2"/>
      <x:c r="H43" s="2"/>
      <x:c r="I43" s="2"/>
    </x:row>
    <x:row r="44" ht="21" customHeight="1">
      <x:c r="C44" s="1"/>
      <x:c r="D44" s="2"/>
      <x:c r="E44" s="2"/>
      <x:c r="F44" s="2"/>
      <x:c r="G44" s="2"/>
      <x:c r="H44" s="2"/>
      <x:c r="I44" s="2"/>
    </x:row>
    <x:row r="45" ht="21" customHeight="1">
      <x:c r="C45" s="1"/>
      <x:c r="D45" s="2"/>
      <x:c r="E45" s="2"/>
      <x:c r="F45" s="2"/>
      <x:c r="G45" s="2"/>
      <x:c r="H45" s="2"/>
      <x:c r="I45" s="2"/>
    </x:row>
    <x:row r="46" ht="21" customHeight="1">
      <x:c r="C46" s="1"/>
      <x:c r="D46" s="2"/>
      <x:c r="E46" s="2"/>
      <x:c r="F46" s="2"/>
      <x:c r="G46" s="2"/>
      <x:c r="H46" s="2"/>
      <x:c r="I46" s="2"/>
    </x:row>
    <x:row r="47" ht="21" customHeight="1">
      <x:c r="C47" s="1"/>
      <x:c r="D47" s="2"/>
      <x:c r="E47" s="2"/>
      <x:c r="F47" s="2"/>
      <x:c r="G47" s="2"/>
      <x:c r="H47" s="2"/>
      <x:c r="I47" s="2"/>
    </x:row>
    <x:row r="48" ht="21" customHeight="1">
      <x:c r="C48" s="1"/>
      <x:c r="D48" s="2"/>
      <x:c r="E48" s="2"/>
      <x:c r="F48" s="2"/>
      <x:c r="G48" s="2"/>
      <x:c r="H48" s="2"/>
      <x:c r="I48" s="2"/>
    </x:row>
    <x:row r="49" ht="21" customHeight="1">
      <x:c r="C49" s="1"/>
      <x:c r="D49" s="2"/>
      <x:c r="E49" s="2"/>
      <x:c r="F49" s="2"/>
      <x:c r="G49" s="2"/>
      <x:c r="H49" s="2"/>
      <x:c r="I49" s="2"/>
    </x:row>
    <x:row r="50" ht="21" customHeight="1">
      <x:c r="C50" s="1"/>
      <x:c r="D50" s="2"/>
      <x:c r="E50" s="2"/>
      <x:c r="F50" s="2"/>
      <x:c r="G50" s="2"/>
      <x:c r="H50" s="2"/>
      <x:c r="I50" s="2"/>
    </x:row>
    <x:row r="51" ht="21" customHeight="1">
      <x:c r="C51" s="1"/>
      <x:c r="D51" s="2"/>
      <x:c r="E51" s="2"/>
      <x:c r="F51" s="2"/>
      <x:c r="G51" s="2"/>
      <x:c r="H51" s="2"/>
      <x:c r="I51" s="2"/>
    </x:row>
    <x:row r="52" ht="21" customHeight="1">
      <x:c r="C52" s="1"/>
      <x:c r="D52" s="2"/>
      <x:c r="E52" s="2"/>
      <x:c r="F52" s="2"/>
      <x:c r="G52" s="2"/>
      <x:c r="H52" s="2"/>
      <x:c r="I52" s="2"/>
    </x:row>
    <x:row r="53" ht="21" customHeight="1">
      <x:c r="C53" s="1"/>
      <x:c r="D53" s="2"/>
      <x:c r="E53" s="2"/>
      <x:c r="F53" s="2"/>
      <x:c r="G53" s="2"/>
      <x:c r="H53" s="2"/>
      <x:c r="I53" s="2"/>
    </x:row>
    <x:row r="54" ht="21" customHeight="1">
      <x:c r="C54" s="1"/>
      <x:c r="D54" s="2"/>
      <x:c r="E54" s="2"/>
      <x:c r="F54" s="2"/>
      <x:c r="G54" s="2"/>
      <x:c r="H54" s="2"/>
      <x:c r="I54" s="2"/>
    </x:row>
    <x:row r="55" ht="21" customHeight="1">
      <x:c r="C55" s="1"/>
      <x:c r="D55" s="2"/>
      <x:c r="E55" s="2"/>
      <x:c r="F55" s="2"/>
      <x:c r="G55" s="2"/>
      <x:c r="H55" s="2"/>
      <x:c r="I55" s="2"/>
    </x:row>
    <x:row r="56" ht="21" customHeight="1">
      <x:c r="C56" s="1"/>
      <x:c r="D56" s="2"/>
      <x:c r="E56" s="2"/>
      <x:c r="F56" s="2"/>
      <x:c r="G56" s="2"/>
      <x:c r="H56" s="2"/>
      <x:c r="I56" s="2"/>
    </x:row>
    <x:row r="57" ht="21" customHeight="1">
      <x:c r="C57" s="1"/>
      <x:c r="D57" s="2"/>
      <x:c r="E57" s="2"/>
      <x:c r="F57" s="2"/>
      <x:c r="G57" s="2"/>
      <x:c r="H57" s="2"/>
      <x:c r="I57" s="2"/>
    </x:row>
    <x:row r="58" ht="21" customHeight="1">
      <x:c r="C58" s="1"/>
      <x:c r="D58" s="2"/>
      <x:c r="E58" s="2"/>
      <x:c r="F58" s="2"/>
      <x:c r="G58" s="2"/>
      <x:c r="H58" s="2"/>
      <x:c r="I58" s="2"/>
    </x:row>
    <x:row r="59" ht="21" customHeight="1">
      <x:c r="C59" s="1"/>
      <x:c r="D59" s="2"/>
      <x:c r="E59" s="2"/>
      <x:c r="F59" s="2"/>
      <x:c r="G59" s="2"/>
      <x:c r="H59" s="2"/>
      <x:c r="I59" s="2"/>
    </x:row>
    <x:row r="60" ht="21" customHeight="1">
      <x:c r="C60" s="1"/>
      <x:c r="D60" s="2"/>
      <x:c r="E60" s="2"/>
      <x:c r="F60" s="2"/>
      <x:c r="G60" s="2"/>
      <x:c r="H60" s="2"/>
      <x:c r="I60" s="2"/>
    </x:row>
    <x:row r="61" ht="21" customHeight="1">
      <x:c r="C61" s="1"/>
      <x:c r="D61" s="2"/>
      <x:c r="E61" s="2"/>
      <x:c r="F61" s="2"/>
      <x:c r="G61" s="2"/>
      <x:c r="H61" s="2"/>
      <x:c r="I61" s="2"/>
    </x:row>
    <x:row r="62" ht="21" customHeight="1">
      <x:c r="C62" s="1"/>
      <x:c r="D62" s="2"/>
      <x:c r="E62" s="2"/>
      <x:c r="F62" s="2"/>
      <x:c r="G62" s="2"/>
      <x:c r="H62" s="2"/>
      <x:c r="I62" s="2"/>
    </x:row>
    <x:row r="63" ht="21" customHeight="1">
      <x:c r="C63" s="1"/>
      <x:c r="D63" s="2"/>
      <x:c r="E63" s="2"/>
      <x:c r="F63" s="2"/>
      <x:c r="G63" s="2"/>
      <x:c r="H63" s="2"/>
      <x:c r="I63" s="2"/>
    </x:row>
    <x:row r="64" ht="21" customHeight="1">
      <x:c r="C64" s="1"/>
      <x:c r="D64" s="2"/>
      <x:c r="E64" s="2"/>
      <x:c r="F64" s="2"/>
      <x:c r="G64" s="2"/>
      <x:c r="H64" s="2"/>
      <x:c r="I64" s="2"/>
    </x:row>
    <x:row r="65" ht="21" customHeight="1">
      <x:c r="C65" s="1"/>
      <x:c r="D65" s="2"/>
      <x:c r="E65" s="2"/>
      <x:c r="F65" s="2"/>
      <x:c r="G65" s="2"/>
      <x:c r="H65" s="2"/>
      <x:c r="I65" s="2"/>
    </x:row>
    <x:row r="66" ht="21" customHeight="1">
      <x:c r="C66" s="1"/>
      <x:c r="D66" s="2"/>
      <x:c r="E66" s="2"/>
      <x:c r="F66" s="2"/>
      <x:c r="G66" s="2"/>
      <x:c r="H66" s="2"/>
      <x:c r="I66" s="2"/>
    </x:row>
    <x:row r="67" ht="21" customHeight="1">
      <x:c r="C67" s="1"/>
      <x:c r="D67" s="2"/>
      <x:c r="E67" s="2"/>
      <x:c r="F67" s="2"/>
      <x:c r="G67" s="2"/>
      <x:c r="H67" s="2"/>
      <x:c r="I67" s="2"/>
    </x:row>
    <x:row r="68" ht="21" customHeight="1">
      <x:c r="C68" s="1"/>
      <x:c r="D68" s="2"/>
      <x:c r="E68" s="2"/>
      <x:c r="F68" s="2"/>
      <x:c r="G68" s="2"/>
      <x:c r="H68" s="2"/>
      <x:c r="I68" s="2"/>
    </x:row>
    <x:row r="69" ht="21" customHeight="1">
      <x:c r="C69" s="1"/>
      <x:c r="D69" s="2"/>
      <x:c r="E69" s="2"/>
      <x:c r="F69" s="2"/>
      <x:c r="G69" s="2"/>
      <x:c r="H69" s="2"/>
      <x:c r="I69" s="2"/>
    </x:row>
    <x:row r="70" ht="21" customHeight="1">
      <x:c r="C70" s="1"/>
      <x:c r="D70" s="2"/>
      <x:c r="E70" s="2"/>
      <x:c r="F70" s="2"/>
      <x:c r="G70" s="2"/>
      <x:c r="H70" s="2"/>
      <x:c r="I70" s="2"/>
    </x:row>
    <x:row r="71" ht="21" customHeight="1">
      <x:c r="C71" s="1"/>
      <x:c r="D71" s="2"/>
      <x:c r="E71" s="2"/>
      <x:c r="F71" s="2"/>
      <x:c r="G71" s="2"/>
      <x:c r="H71" s="2"/>
      <x:c r="I71" s="2"/>
    </x:row>
    <x:row r="72" ht="21" customHeight="1">
      <x:c r="C72" s="1"/>
      <x:c r="D72" s="2"/>
      <x:c r="E72" s="2"/>
      <x:c r="F72" s="2"/>
      <x:c r="G72" s="2"/>
      <x:c r="H72" s="2"/>
      <x:c r="I72" s="2"/>
    </x:row>
    <x:row r="73" ht="21" customHeight="1">
      <x:c r="C73" s="1"/>
      <x:c r="D73" s="2"/>
      <x:c r="E73" s="2"/>
      <x:c r="F73" s="2"/>
      <x:c r="G73" s="2"/>
      <x:c r="H73" s="2"/>
      <x:c r="I73" s="2"/>
    </x:row>
    <x:row r="74" ht="21" customHeight="1">
      <x:c r="C74" s="1"/>
      <x:c r="D74" s="2"/>
      <x:c r="E74" s="2"/>
      <x:c r="F74" s="2"/>
      <x:c r="G74" s="2"/>
      <x:c r="H74" s="2"/>
      <x:c r="I74" s="2"/>
    </x:row>
    <x:row r="75" ht="21" customHeight="1">
      <x:c r="C75" s="1"/>
      <x:c r="D75" s="2"/>
      <x:c r="E75" s="2"/>
      <x:c r="F75" s="2"/>
      <x:c r="G75" s="2"/>
      <x:c r="H75" s="2"/>
      <x:c r="I75" s="2"/>
    </x:row>
    <x:row r="76" ht="21" customHeight="1">
      <x:c r="C76" s="1"/>
      <x:c r="D76" s="2"/>
      <x:c r="E76" s="2"/>
      <x:c r="F76" s="2"/>
      <x:c r="G76" s="2"/>
      <x:c r="H76" s="2"/>
      <x:c r="I76" s="2"/>
    </x:row>
    <x:row r="77" ht="21" customHeight="1">
      <x:c r="C77" s="1"/>
      <x:c r="D77" s="2"/>
      <x:c r="E77" s="2"/>
      <x:c r="F77" s="2"/>
      <x:c r="G77" s="2"/>
      <x:c r="H77" s="2"/>
      <x:c r="I77" s="2"/>
    </x:row>
    <x:row r="78" ht="21" customHeight="1">
      <x:c r="C78" s="1"/>
      <x:c r="D78" s="2"/>
      <x:c r="E78" s="2"/>
      <x:c r="F78" s="2"/>
      <x:c r="G78" s="2"/>
      <x:c r="H78" s="2"/>
      <x:c r="I78" s="2"/>
    </x:row>
    <x:row r="79" ht="21" customHeight="1">
      <x:c r="C79" s="1"/>
      <x:c r="D79" s="2"/>
      <x:c r="E79" s="2"/>
      <x:c r="F79" s="2"/>
      <x:c r="G79" s="2"/>
      <x:c r="H79" s="2"/>
      <x:c r="I79" s="2"/>
    </x:row>
    <x:row r="80" ht="21" customHeight="1">
      <x:c r="C80" s="1"/>
      <x:c r="D80" s="2"/>
      <x:c r="E80" s="2"/>
      <x:c r="F80" s="2"/>
      <x:c r="G80" s="2"/>
      <x:c r="H80" s="2"/>
      <x:c r="I80" s="2"/>
    </x:row>
    <x:row r="81" ht="21" customHeight="1">
      <x:c r="C81" s="1"/>
      <x:c r="D81" s="2"/>
      <x:c r="E81" s="2"/>
      <x:c r="F81" s="2"/>
      <x:c r="G81" s="2"/>
      <x:c r="H81" s="2"/>
      <x:c r="I81" s="2"/>
    </x:row>
    <x:row r="82" ht="21" customHeight="1">
      <x:c r="C82" s="1"/>
      <x:c r="D82" s="2"/>
      <x:c r="E82" s="2"/>
      <x:c r="F82" s="2"/>
      <x:c r="G82" s="2"/>
      <x:c r="H82" s="2"/>
      <x:c r="I82" s="2"/>
    </x:row>
    <x:row r="83" ht="21" customHeight="1">
      <x:c r="C83" s="1"/>
      <x:c r="D83" s="2"/>
      <x:c r="E83" s="2"/>
      <x:c r="F83" s="2"/>
      <x:c r="G83" s="2"/>
      <x:c r="H83" s="2"/>
      <x:c r="I83" s="2"/>
    </x:row>
    <x:row r="84" ht="21" customHeight="1">
      <x:c r="C84" s="1"/>
      <x:c r="D84" s="2"/>
      <x:c r="E84" s="2"/>
      <x:c r="F84" s="2"/>
      <x:c r="G84" s="2"/>
      <x:c r="H84" s="2"/>
      <x:c r="I84" s="2"/>
    </x:row>
    <x:row r="85" ht="21" customHeight="1">
      <x:c r="C85" s="1"/>
      <x:c r="D85" s="2"/>
      <x:c r="E85" s="2"/>
      <x:c r="F85" s="2"/>
      <x:c r="G85" s="2"/>
      <x:c r="H85" s="2"/>
      <x:c r="I85" s="2"/>
    </x:row>
    <x:row r="86" ht="21" customHeight="1">
      <x:c r="C86" s="1"/>
      <x:c r="D86" s="2"/>
      <x:c r="E86" s="2"/>
      <x:c r="F86" s="2"/>
      <x:c r="G86" s="2"/>
      <x:c r="H86" s="2"/>
      <x:c r="I86" s="2"/>
    </x:row>
    <x:row r="87" ht="21" customHeight="1">
      <x:c r="C87" s="1"/>
      <x:c r="D87" s="2"/>
      <x:c r="E87" s="2"/>
      <x:c r="F87" s="2"/>
      <x:c r="G87" s="2"/>
      <x:c r="H87" s="2"/>
      <x:c r="I87" s="2"/>
    </x:row>
    <x:row r="88" ht="21" customHeight="1">
      <x:c r="C88" s="1"/>
      <x:c r="D88" s="2"/>
      <x:c r="E88" s="2"/>
      <x:c r="F88" s="2"/>
      <x:c r="G88" s="2"/>
      <x:c r="H88" s="2"/>
      <x:c r="I88" s="2"/>
    </x:row>
    <x:row r="89" ht="21" customHeight="1">
      <x:c r="C89" s="1"/>
      <x:c r="D89" s="2"/>
      <x:c r="E89" s="2"/>
      <x:c r="F89" s="2"/>
      <x:c r="G89" s="2"/>
      <x:c r="H89" s="2"/>
      <x:c r="I89" s="2"/>
    </x:row>
    <x:row r="90" ht="21" customHeight="1">
      <x:c r="C90" s="1"/>
      <x:c r="D90" s="2"/>
      <x:c r="E90" s="2"/>
      <x:c r="F90" s="2"/>
      <x:c r="G90" s="2"/>
      <x:c r="H90" s="2"/>
      <x:c r="I90" s="2"/>
    </x:row>
    <x:row r="91" ht="21" customHeight="1">
      <x:c r="C91" s="1"/>
      <x:c r="D91" s="2"/>
      <x:c r="E91" s="2"/>
      <x:c r="F91" s="2"/>
      <x:c r="G91" s="2"/>
      <x:c r="H91" s="2"/>
      <x:c r="I91" s="2"/>
    </x:row>
    <x:row r="92" ht="21" customHeight="1">
      <x:c r="C92" s="1"/>
      <x:c r="D92" s="2"/>
      <x:c r="E92" s="2"/>
      <x:c r="F92" s="2"/>
      <x:c r="G92" s="2"/>
      <x:c r="H92" s="2"/>
      <x:c r="I92" s="2"/>
    </x:row>
    <x:row r="93" ht="21" customHeight="1">
      <x:c r="C93" s="1"/>
      <x:c r="D93" s="2"/>
      <x:c r="E93" s="2"/>
      <x:c r="F93" s="2"/>
      <x:c r="G93" s="2"/>
      <x:c r="H93" s="2"/>
      <x:c r="I93" s="2"/>
    </x:row>
    <x:row r="94" ht="21" customHeight="1">
      <x:c r="C94" s="1"/>
      <x:c r="D94" s="2"/>
      <x:c r="E94" s="2"/>
      <x:c r="F94" s="2"/>
      <x:c r="G94" s="2"/>
      <x:c r="H94" s="2"/>
      <x:c r="I94" s="2"/>
    </x:row>
    <x:row r="95" ht="21" customHeight="1">
      <x:c r="C95" s="1"/>
      <x:c r="D95" s="2"/>
      <x:c r="E95" s="2"/>
      <x:c r="F95" s="2"/>
      <x:c r="G95" s="2"/>
      <x:c r="H95" s="2"/>
      <x:c r="I95" s="2"/>
    </x:row>
    <x:row r="96" ht="21" customHeight="1">
      <x:c r="C96" s="1"/>
      <x:c r="D96" s="2"/>
      <x:c r="E96" s="2"/>
      <x:c r="F96" s="2"/>
      <x:c r="G96" s="2"/>
      <x:c r="H96" s="2"/>
      <x:c r="I96" s="2"/>
    </x:row>
    <x:row r="97" ht="21" customHeight="1">
      <x:c r="C97" s="1"/>
      <x:c r="D97" s="2"/>
      <x:c r="E97" s="2"/>
      <x:c r="F97" s="2"/>
      <x:c r="G97" s="2"/>
      <x:c r="H97" s="2"/>
      <x:c r="I97" s="2"/>
    </x:row>
    <x:row r="98" ht="21" customHeight="1">
      <x:c r="C98" s="1"/>
      <x:c r="D98" s="2"/>
      <x:c r="E98" s="2"/>
      <x:c r="F98" s="2"/>
      <x:c r="G98" s="2"/>
      <x:c r="H98" s="2"/>
      <x:c r="I98" s="2"/>
    </x:row>
    <x:row r="99" ht="21" customHeight="1">
      <x:c r="C99" s="1"/>
      <x:c r="D99" s="2"/>
      <x:c r="E99" s="2"/>
      <x:c r="F99" s="2"/>
      <x:c r="G99" s="2"/>
      <x:c r="H99" s="2"/>
      <x:c r="I99" s="2"/>
    </x:row>
    <x:row r="100" ht="21" customHeight="1">
      <x:c r="C100" s="1"/>
      <x:c r="D100" s="2"/>
      <x:c r="E100" s="2"/>
      <x:c r="F100" s="2"/>
      <x:c r="G100" s="2"/>
      <x:c r="H100" s="2"/>
      <x:c r="I100" s="2"/>
    </x:row>
    <x:row r="101" ht="21" customHeight="1">
      <x:c r="C101" s="1"/>
      <x:c r="D101" s="2"/>
      <x:c r="E101" s="2"/>
      <x:c r="F101" s="2"/>
      <x:c r="G101" s="2"/>
      <x:c r="H101" s="2"/>
      <x:c r="I101" s="2"/>
    </x:row>
    <x:row r="102" ht="21" customHeight="1">
      <x:c r="C102" s="1"/>
      <x:c r="D102" s="2"/>
      <x:c r="E102" s="2"/>
      <x:c r="F102" s="2"/>
      <x:c r="G102" s="2"/>
      <x:c r="H102" s="2"/>
      <x:c r="I102" s="2"/>
    </x:row>
    <x:row r="103" ht="21" customHeight="1">
      <x:c r="C103" s="1"/>
      <x:c r="D103" s="2"/>
      <x:c r="E103" s="2"/>
      <x:c r="F103" s="2"/>
      <x:c r="G103" s="2"/>
      <x:c r="H103" s="2"/>
      <x:c r="I103" s="2"/>
    </x:row>
    <x:row r="104" ht="21" customHeight="1">
      <x:c r="C104" s="1"/>
      <x:c r="D104" s="2"/>
      <x:c r="E104" s="2"/>
      <x:c r="F104" s="2"/>
      <x:c r="G104" s="2"/>
      <x:c r="H104" s="2"/>
      <x:c r="I104" s="2"/>
    </x:row>
    <x:row r="105" ht="21" customHeight="1">
      <x:c r="C105" s="1"/>
      <x:c r="D105" s="2"/>
      <x:c r="E105" s="2"/>
      <x:c r="F105" s="2"/>
      <x:c r="G105" s="2"/>
      <x:c r="H105" s="2"/>
      <x:c r="I105" s="2"/>
    </x:row>
    <x:row r="106" ht="21" customHeight="1">
      <x:c r="C106" s="1"/>
      <x:c r="D106" s="2"/>
      <x:c r="E106" s="2"/>
      <x:c r="F106" s="2"/>
      <x:c r="G106" s="2"/>
      <x:c r="H106" s="2"/>
      <x:c r="I106" s="2"/>
    </x:row>
    <x:row r="107" ht="21" customHeight="1">
      <x:c r="C107" s="1"/>
      <x:c r="D107" s="2"/>
      <x:c r="E107" s="2"/>
      <x:c r="F107" s="2"/>
      <x:c r="G107" s="2"/>
      <x:c r="H107" s="2"/>
      <x:c r="I107" s="2"/>
    </x:row>
    <x:row r="108" ht="21" customHeight="1">
      <x:c r="C108" s="1"/>
      <x:c r="D108" s="2"/>
      <x:c r="E108" s="2"/>
      <x:c r="F108" s="2"/>
      <x:c r="G108" s="2"/>
      <x:c r="H108" s="2"/>
      <x:c r="I108" s="2"/>
    </x:row>
    <x:row r="109" ht="21" customHeight="1">
      <x:c r="C109" s="1"/>
      <x:c r="D109" s="2"/>
      <x:c r="E109" s="2"/>
      <x:c r="F109" s="2"/>
      <x:c r="G109" s="2"/>
      <x:c r="H109" s="2"/>
      <x:c r="I109" s="2"/>
    </x:row>
    <x:row r="110" ht="21" customHeight="1">
      <x:c r="C110" s="1"/>
      <x:c r="D110" s="2"/>
      <x:c r="E110" s="2"/>
      <x:c r="F110" s="2"/>
      <x:c r="G110" s="2"/>
      <x:c r="H110" s="2"/>
      <x:c r="I110" s="2"/>
    </x:row>
    <x:row r="111" ht="21" customHeight="1">
      <x:c r="C111" s="1"/>
      <x:c r="D111" s="2"/>
      <x:c r="E111" s="2"/>
      <x:c r="F111" s="2"/>
      <x:c r="G111" s="2"/>
      <x:c r="H111" s="2"/>
      <x:c r="I111" s="2"/>
    </x:row>
    <x:row r="112" ht="21" customHeight="1">
      <x:c r="C112" s="1"/>
      <x:c r="D112" s="2"/>
      <x:c r="E112" s="2"/>
      <x:c r="F112" s="2"/>
      <x:c r="G112" s="2"/>
      <x:c r="H112" s="2"/>
      <x:c r="I112" s="2"/>
    </x:row>
    <x:row r="113" ht="21" customHeight="1">
      <x:c r="C113" s="1"/>
      <x:c r="D113" s="2"/>
      <x:c r="E113" s="2"/>
      <x:c r="F113" s="2"/>
      <x:c r="G113" s="2"/>
      <x:c r="H113" s="2"/>
      <x:c r="I113" s="2"/>
    </x:row>
    <x:row r="114" ht="21" customHeight="1">
      <x:c r="C114" s="1"/>
      <x:c r="D114" s="2"/>
      <x:c r="E114" s="2"/>
      <x:c r="F114" s="2"/>
      <x:c r="G114" s="2"/>
      <x:c r="H114" s="2"/>
      <x:c r="I114" s="2"/>
    </x:row>
    <x:row r="115" ht="21" customHeight="1">
      <x:c r="C115" s="1"/>
      <x:c r="D115" s="2"/>
      <x:c r="E115" s="2"/>
      <x:c r="F115" s="2"/>
      <x:c r="G115" s="2"/>
      <x:c r="H115" s="2"/>
      <x:c r="I115" s="2"/>
    </x:row>
    <x:row r="116" ht="21" customHeight="1">
      <x:c r="C116" s="1"/>
      <x:c r="D116" s="2"/>
      <x:c r="E116" s="2"/>
      <x:c r="F116" s="2"/>
      <x:c r="G116" s="2"/>
      <x:c r="H116" s="2"/>
      <x:c r="I116" s="2"/>
    </x:row>
    <x:row r="117" ht="21" customHeight="1">
      <x:c r="C117" s="1"/>
      <x:c r="D117" s="2"/>
      <x:c r="E117" s="2"/>
      <x:c r="F117" s="2"/>
      <x:c r="G117" s="2"/>
      <x:c r="H117" s="2"/>
      <x:c r="I117" s="2"/>
    </x:row>
    <x:row r="118" ht="21" customHeight="1">
      <x:c r="C118" s="1"/>
      <x:c r="D118" s="2"/>
      <x:c r="E118" s="2"/>
      <x:c r="F118" s="2"/>
      <x:c r="G118" s="2"/>
      <x:c r="H118" s="2"/>
      <x:c r="I118" s="2"/>
    </x:row>
    <x:row r="119" ht="21" customHeight="1">
      <x:c r="C119" s="1"/>
      <x:c r="D119" s="2"/>
      <x:c r="E119" s="2"/>
      <x:c r="F119" s="2"/>
      <x:c r="G119" s="2"/>
      <x:c r="H119" s="2"/>
      <x:c r="I119" s="2"/>
    </x:row>
    <x:row r="120" ht="21" customHeight="1">
      <x:c r="C120" s="1"/>
      <x:c r="D120" s="2"/>
      <x:c r="E120" s="2"/>
      <x:c r="F120" s="2"/>
      <x:c r="G120" s="2"/>
      <x:c r="H120" s="2"/>
      <x:c r="I120" s="2"/>
    </x:row>
    <x:row r="121" ht="21" customHeight="1">
      <x:c r="C121" s="1"/>
      <x:c r="D121" s="2"/>
      <x:c r="E121" s="2"/>
      <x:c r="F121" s="2"/>
      <x:c r="G121" s="2"/>
      <x:c r="H121" s="2"/>
      <x:c r="I121" s="2"/>
    </x:row>
    <x:row r="122" ht="21" customHeight="1">
      <x:c r="C122" s="1"/>
      <x:c r="D122" s="2"/>
      <x:c r="E122" s="2"/>
      <x:c r="F122" s="2"/>
      <x:c r="G122" s="2"/>
      <x:c r="H122" s="2"/>
      <x:c r="I122" s="2"/>
    </x:row>
    <x:row r="123" ht="21" customHeight="1">
      <x:c r="C123" s="1"/>
      <x:c r="D123" s="2"/>
      <x:c r="E123" s="2"/>
      <x:c r="F123" s="2"/>
      <x:c r="G123" s="2"/>
      <x:c r="H123" s="2"/>
      <x:c r="I123" s="2"/>
    </x:row>
    <x:row r="124" ht="21" customHeight="1">
      <x:c r="C124" s="1"/>
      <x:c r="D124" s="2"/>
      <x:c r="E124" s="2"/>
      <x:c r="F124" s="2"/>
      <x:c r="G124" s="2"/>
      <x:c r="H124" s="2"/>
      <x:c r="I124" s="2"/>
    </x:row>
    <x:row r="125" ht="21" customHeight="1">
      <x:c r="C125" s="1"/>
      <x:c r="D125" s="2"/>
      <x:c r="E125" s="2"/>
      <x:c r="F125" s="2"/>
      <x:c r="G125" s="2"/>
      <x:c r="H125" s="2"/>
      <x:c r="I125" s="2"/>
    </x:row>
    <x:row r="126" ht="21" customHeight="1">
      <x:c r="C126" s="1"/>
      <x:c r="D126" s="2"/>
      <x:c r="E126" s="2"/>
      <x:c r="F126" s="2"/>
      <x:c r="G126" s="2"/>
      <x:c r="H126" s="2"/>
      <x:c r="I126" s="2"/>
    </x:row>
    <x:row r="127" ht="21" customHeight="1">
      <x:c r="C127" s="1"/>
      <x:c r="D127" s="2"/>
      <x:c r="E127" s="2"/>
      <x:c r="F127" s="2"/>
      <x:c r="G127" s="2"/>
      <x:c r="H127" s="2"/>
      <x:c r="I127" s="2"/>
    </x:row>
    <x:row r="128" ht="21" customHeight="1">
      <x:c r="C128" s="1"/>
      <x:c r="D128" s="2"/>
      <x:c r="E128" s="2"/>
      <x:c r="F128" s="2"/>
      <x:c r="G128" s="2"/>
      <x:c r="H128" s="2"/>
      <x:c r="I128" s="2"/>
    </x:row>
    <x:row r="129" ht="21" customHeight="1">
      <x:c r="C129" s="1"/>
      <x:c r="D129" s="2"/>
      <x:c r="E129" s="2"/>
      <x:c r="F129" s="2"/>
      <x:c r="G129" s="2"/>
      <x:c r="H129" s="2"/>
      <x:c r="I129" s="2"/>
    </x:row>
    <x:row r="130" ht="21" customHeight="1">
      <x:c r="C130" s="1"/>
      <x:c r="D130" s="2"/>
      <x:c r="E130" s="2"/>
      <x:c r="F130" s="2"/>
      <x:c r="G130" s="2"/>
      <x:c r="H130" s="2"/>
      <x:c r="I130" s="2"/>
    </x:row>
    <x:row r="131" ht="21" customHeight="1">
      <x:c r="C131" s="1"/>
      <x:c r="D131" s="2"/>
      <x:c r="E131" s="2"/>
      <x:c r="F131" s="2"/>
      <x:c r="G131" s="2"/>
      <x:c r="H131" s="2"/>
      <x:c r="I131" s="2"/>
    </x:row>
    <x:row r="132" ht="21" customHeight="1">
      <x:c r="C132" s="1"/>
      <x:c r="D132" s="2"/>
      <x:c r="E132" s="2"/>
      <x:c r="F132" s="2"/>
      <x:c r="G132" s="2"/>
      <x:c r="H132" s="2"/>
      <x:c r="I132" s="2"/>
    </x:row>
    <x:row r="133" ht="21" customHeight="1">
      <x:c r="C133" s="1"/>
      <x:c r="D133" s="2"/>
      <x:c r="E133" s="2"/>
      <x:c r="F133" s="2"/>
      <x:c r="G133" s="2"/>
      <x:c r="H133" s="2"/>
      <x:c r="I133" s="2"/>
    </x:row>
    <x:row r="134" ht="21" customHeight="1">
      <x:c r="C134" s="1"/>
      <x:c r="D134" s="2"/>
      <x:c r="E134" s="2"/>
      <x:c r="F134" s="2"/>
      <x:c r="G134" s="2"/>
      <x:c r="H134" s="2"/>
      <x:c r="I134" s="2"/>
    </x:row>
    <x:row r="135" ht="21" customHeight="1">
      <x:c r="C135" s="1"/>
      <x:c r="D135" s="2"/>
      <x:c r="E135" s="2"/>
      <x:c r="F135" s="2"/>
      <x:c r="G135" s="2"/>
      <x:c r="H135" s="2"/>
      <x:c r="I135" s="2"/>
    </x:row>
    <x:row r="136" ht="21" customHeight="1">
      <x:c r="C136" s="1"/>
      <x:c r="D136" s="2"/>
      <x:c r="E136" s="2"/>
      <x:c r="F136" s="2"/>
      <x:c r="G136" s="2"/>
      <x:c r="H136" s="2"/>
      <x:c r="I136" s="2"/>
    </x:row>
    <x:row r="137" ht="21" customHeight="1">
      <x:c r="C137" s="1"/>
      <x:c r="D137" s="2"/>
      <x:c r="E137" s="2"/>
      <x:c r="F137" s="2"/>
      <x:c r="G137" s="2"/>
      <x:c r="H137" s="2"/>
      <x:c r="I137" s="2"/>
    </x:row>
    <x:row r="138" ht="21" customHeight="1">
      <x:c r="C138" s="1"/>
      <x:c r="D138" s="2"/>
      <x:c r="E138" s="2"/>
      <x:c r="F138" s="2"/>
      <x:c r="G138" s="2"/>
      <x:c r="H138" s="2"/>
      <x:c r="I138" s="2"/>
    </x:row>
    <x:row r="139" ht="21" customHeight="1">
      <x:c r="C139" s="1"/>
      <x:c r="D139" s="2"/>
      <x:c r="E139" s="2"/>
      <x:c r="F139" s="2"/>
      <x:c r="G139" s="2"/>
      <x:c r="H139" s="2"/>
      <x:c r="I139" s="2"/>
    </x:row>
    <x:row r="140" ht="21" customHeight="1">
      <x:c r="C140" s="1"/>
      <x:c r="D140" s="2"/>
      <x:c r="E140" s="2"/>
      <x:c r="F140" s="2"/>
      <x:c r="G140" s="2"/>
      <x:c r="H140" s="2"/>
      <x:c r="I140" s="2"/>
    </x:row>
    <x:row r="141" ht="21" customHeight="1">
      <x:c r="C141" s="1"/>
      <x:c r="D141" s="2"/>
      <x:c r="E141" s="2"/>
      <x:c r="F141" s="2"/>
      <x:c r="G141" s="2"/>
      <x:c r="H141" s="2"/>
      <x:c r="I141" s="2"/>
    </x:row>
    <x:row r="142" ht="21" customHeight="1">
      <x:c r="C142" s="1"/>
      <x:c r="D142" s="2"/>
      <x:c r="E142" s="2"/>
      <x:c r="F142" s="2"/>
      <x:c r="G142" s="2"/>
      <x:c r="H142" s="2"/>
      <x:c r="I142" s="2"/>
    </x:row>
    <x:row r="143" ht="21" customHeight="1">
      <x:c r="C143" s="1"/>
      <x:c r="D143" s="2"/>
      <x:c r="E143" s="2"/>
      <x:c r="F143" s="2"/>
      <x:c r="G143" s="2"/>
      <x:c r="H143" s="2"/>
      <x:c r="I143" s="2"/>
    </x:row>
    <x:row r="144" ht="21" customHeight="1">
      <x:c r="C144" s="1"/>
      <x:c r="D144" s="2"/>
      <x:c r="E144" s="2"/>
      <x:c r="F144" s="2"/>
      <x:c r="G144" s="2"/>
      <x:c r="H144" s="2"/>
      <x:c r="I144" s="2"/>
    </x:row>
    <x:row r="145" ht="21" customHeight="1">
      <x:c r="C145" s="1"/>
      <x:c r="D145" s="2"/>
      <x:c r="E145" s="2"/>
      <x:c r="F145" s="2"/>
      <x:c r="G145" s="2"/>
      <x:c r="H145" s="2"/>
      <x:c r="I145" s="2"/>
    </x:row>
    <x:row r="146" ht="21" customHeight="1">
      <x:c r="C146" s="1"/>
      <x:c r="D146" s="2"/>
      <x:c r="E146" s="2"/>
      <x:c r="F146" s="2"/>
      <x:c r="G146" s="2"/>
      <x:c r="H146" s="2"/>
      <x:c r="I146" s="2"/>
    </x:row>
    <x:row r="147" ht="21" customHeight="1">
      <x:c r="C147" s="1"/>
      <x:c r="D147" s="2"/>
      <x:c r="E147" s="2"/>
      <x:c r="F147" s="2"/>
      <x:c r="G147" s="2"/>
      <x:c r="H147" s="2"/>
      <x:c r="I147" s="2"/>
    </x:row>
    <x:row r="148" ht="21" customHeight="1">
      <x:c r="C148" s="1"/>
      <x:c r="D148" s="2"/>
      <x:c r="E148" s="2"/>
      <x:c r="F148" s="2"/>
      <x:c r="G148" s="2"/>
      <x:c r="H148" s="2"/>
      <x:c r="I148" s="2"/>
    </x:row>
    <x:row r="149" ht="21" customHeight="1">
      <x:c r="C149" s="1"/>
      <x:c r="D149" s="2"/>
      <x:c r="E149" s="2"/>
      <x:c r="F149" s="2"/>
      <x:c r="G149" s="2"/>
      <x:c r="H149" s="2"/>
      <x:c r="I149" s="2"/>
    </x:row>
    <x:row r="150" ht="21" customHeight="1">
      <x:c r="C150" s="1"/>
      <x:c r="D150" s="2"/>
      <x:c r="E150" s="2"/>
      <x:c r="F150" s="2"/>
      <x:c r="G150" s="2"/>
      <x:c r="H150" s="2"/>
      <x:c r="I150" s="2"/>
    </x:row>
    <x:row r="151" ht="21" customHeight="1">
      <x:c r="C151" s="1"/>
      <x:c r="D151" s="2"/>
      <x:c r="E151" s="2"/>
      <x:c r="F151" s="2"/>
      <x:c r="G151" s="2"/>
      <x:c r="H151" s="2"/>
      <x:c r="I151" s="2"/>
    </x:row>
    <x:row r="152" ht="21" customHeight="1">
      <x:c r="C152" s="1"/>
      <x:c r="D152" s="2"/>
      <x:c r="E152" s="2"/>
      <x:c r="F152" s="2"/>
      <x:c r="G152" s="2"/>
      <x:c r="H152" s="2"/>
      <x:c r="I152" s="2"/>
    </x:row>
    <x:row r="153" ht="21" customHeight="1">
      <x:c r="C153" s="1"/>
      <x:c r="D153" s="2"/>
      <x:c r="E153" s="2"/>
      <x:c r="F153" s="2"/>
      <x:c r="G153" s="2"/>
      <x:c r="H153" s="2"/>
      <x:c r="I153" s="2"/>
    </x:row>
    <x:row r="154" ht="21" customHeight="1">
      <x:c r="C154" s="1"/>
      <x:c r="D154" s="2"/>
      <x:c r="E154" s="2"/>
      <x:c r="F154" s="2"/>
      <x:c r="G154" s="2"/>
      <x:c r="H154" s="2"/>
      <x:c r="I154" s="2"/>
    </x:row>
    <x:row r="155" ht="21" customHeight="1">
      <x:c r="C155" s="1"/>
      <x:c r="D155" s="2"/>
      <x:c r="E155" s="2"/>
      <x:c r="F155" s="2"/>
      <x:c r="G155" s="2"/>
      <x:c r="H155" s="2"/>
      <x:c r="I155" s="2"/>
    </x:row>
    <x:row r="156" ht="21" customHeight="1">
      <x:c r="C156" s="1"/>
      <x:c r="D156" s="2"/>
      <x:c r="E156" s="2"/>
      <x:c r="F156" s="2"/>
      <x:c r="G156" s="2"/>
      <x:c r="H156" s="2"/>
      <x:c r="I156" s="2"/>
    </x:row>
    <x:row r="157" ht="21" customHeight="1">
      <x:c r="C157" s="1"/>
      <x:c r="D157" s="2"/>
      <x:c r="E157" s="2"/>
      <x:c r="F157" s="2"/>
      <x:c r="G157" s="2"/>
      <x:c r="H157" s="2"/>
      <x:c r="I157" s="2"/>
    </x:row>
    <x:row r="158" ht="21" customHeight="1">
      <x:c r="C158" s="1"/>
      <x:c r="D158" s="2"/>
      <x:c r="E158" s="2"/>
      <x:c r="F158" s="2"/>
      <x:c r="G158" s="2"/>
      <x:c r="H158" s="2"/>
      <x:c r="I158" s="2"/>
    </x:row>
    <x:row r="159" ht="21" customHeight="1">
      <x:c r="C159" s="1"/>
      <x:c r="D159" s="2"/>
      <x:c r="E159" s="2"/>
      <x:c r="F159" s="2"/>
      <x:c r="G159" s="2"/>
      <x:c r="H159" s="2"/>
      <x:c r="I159" s="2"/>
    </x:row>
    <x:row r="160" ht="21" customHeight="1">
      <x:c r="C160" s="1"/>
      <x:c r="D160" s="2"/>
      <x:c r="E160" s="2"/>
      <x:c r="F160" s="2"/>
      <x:c r="G160" s="2"/>
      <x:c r="H160" s="2"/>
      <x:c r="I160" s="2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53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29" hidden="0" customWidth="1"/>
    <x:col min="9" max="9" width="78" hidden="0" customWidth="1"/>
  </x:cols>
  <x:sheetData>
    <x:row r="1" ht="21" customHeight="1">
      <x:c r="C1" s="1"/>
      <x:c r="D1" s="1"/>
      <x:c r="E1" s="1"/>
      <x:c r="F1" s="1"/>
      <x:c r="G1" s="1"/>
      <x:c r="H1" s="1"/>
      <x:c r="I1" s="1"/>
    </x:row>
    <x:row r="2" ht="21" customHeight="1">
      <x:c r="C2" s="4" t="str">
        <x:v>创科实业 TTI</x:v>
      </x:c>
      <x:c r="D2" s="4"/>
      <x:c r="E2" s="4"/>
      <x:c r="F2" s="4"/>
      <x:c r="G2" s="4"/>
      <x:c r="H2" s="4"/>
      <x:c r="I2" s="4"/>
    </x:row>
    <x:row r="3" ht="21" customHeight="1">
      <x:c r="C3" s="5" t="str">
        <x:v>Sources · USD million · December year-end</x:v>
      </x:c>
      <x:c r="D3" s="5"/>
      <x:c r="E3" s="5"/>
      <x:c r="F3" s="5"/>
      <x:c r="G3" s="5"/>
      <x:c r="H3" s="5"/>
      <x:c r="I3" s="5"/>
    </x:row>
    <x:row r="4" ht="21" customHeight="1">
      <x:c r="C4" s="1"/>
      <x:c r="D4" s="1"/>
      <x:c r="E4" s="1"/>
      <x:c r="F4" s="1"/>
      <x:c r="G4" s="1"/>
      <x:c r="H4" s="1"/>
      <x:c r="I4" s="1"/>
    </x:row>
    <x:row r="5" ht="21" customHeight="1">
      <x:c r="C5" s="1"/>
      <x:c r="D5" s="1"/>
      <x:c r="E5" s="1"/>
      <x:c r="F5" s="1"/>
      <x:c r="G5" s="1"/>
      <x:c r="H5" s="1"/>
      <x:c r="I5" s="1"/>
    </x:row>
    <x:row r="6" ht="21" customHeight="1">
      <x:c r="C6" s="1"/>
      <x:c r="D6" s="1"/>
      <x:c r="E6" s="1"/>
      <x:c r="F6" s="1"/>
      <x:c r="G6" s="1"/>
      <x:c r="H6" s="1"/>
      <x:c r="I6" s="1"/>
    </x:row>
    <x:row r="7" ht="21" customHeight="1">
      <x:c r="C7" s="12" t="str">
        <x:v>Source / field</x:v>
      </x:c>
      <x:c r="D7" s="13" t="str">
        <x:v>Period</x:v>
      </x:c>
      <x:c r="E7" s="13" t="str">
        <x:v>Value</x:v>
      </x:c>
      <x:c r="F7" s="13" t="str">
        <x:v>Units</x:v>
      </x:c>
      <x:c r="G7" s="14" t="str">
        <x:v>Evidence class</x:v>
      </x:c>
      <x:c r="H7" s="14" t="str">
        <x:v>Page / line</x:v>
      </x:c>
      <x:c r="I7" s="14" t="str">
        <x:v>Primary URL</x:v>
      </x:c>
    </x:row>
    <x:row r="8" ht="21" customHeight="1">
      <x:c r="C8" s="1"/>
      <x:c r="D8" s="2"/>
      <x:c r="E8" s="2"/>
      <x:c r="F8" s="2"/>
      <x:c r="G8" s="2"/>
      <x:c r="H8" s="2"/>
      <x:c r="I8" s="2"/>
    </x:row>
    <x:row r="9" ht="29" customHeight="1">
      <x:c r="C9" s="42" t="str">
        <x:v>tti_FY2024</x:v>
      </x:c>
      <x:c r="D9" s="43" t="str">
        <x:v>FY2024</x:v>
      </x:c>
      <x:c r="E9" s="43"/>
      <x:c r="F9" s="43" t="str">
        <x:v>USD</x:v>
      </x:c>
      <x:c r="G9" s="43" t="str">
        <x:v>SOURCE_FACT</x:v>
      </x:c>
      <x:c r="H9" s="43" t="str">
        <x:v>188 PDF pages</x:v>
      </x:c>
      <x:c r="I9" s="43" t="str">
        <x:v>https://www.ttigroup.com/documents/annual-report-2024/files/ar24_en.pdf</x:v>
      </x:c>
    </x:row>
    <x:row r="10" ht="29" customHeight="1">
      <x:c r="C10" s="42" t="str">
        <x:v>PDF SHA-256</x:v>
      </x:c>
      <x:c r="D10" s="43" t="str">
        <x:v>f065fe572553b60925ec80df71393c4df71dd28e227c678b7b49ee96af0df752</x:v>
      </x:c>
      <x:c r="E10" s="43"/>
      <x:c r="F10" s="43"/>
      <x:c r="G10" s="43"/>
      <x:c r="H10" s="43"/>
      <x:c r="I10" s="43"/>
    </x:row>
    <x:row r="11" ht="29" customHeight="1">
      <x:c r="C11" s="42"/>
      <x:c r="D11" s="43"/>
      <x:c r="E11" s="43"/>
      <x:c r="F11" s="43"/>
      <x:c r="G11" s="43"/>
      <x:c r="H11" s="43"/>
      <x:c r="I11" s="43"/>
    </x:row>
    <x:row r="12" ht="29" customHeight="1">
      <x:c r="C12" s="42" t="str">
        <x:v>tti_FY2025</x:v>
      </x:c>
      <x:c r="D12" s="43" t="str">
        <x:v>FY2025</x:v>
      </x:c>
      <x:c r="E12" s="43"/>
      <x:c r="F12" s="43" t="str">
        <x:v>USD</x:v>
      </x:c>
      <x:c r="G12" s="43" t="str">
        <x:v>SOURCE_FACT</x:v>
      </x:c>
      <x:c r="H12" s="43" t="str">
        <x:v>93 PDF pages</x:v>
      </x:c>
      <x:c r="I12" s="43" t="str">
        <x:v>https://www.ttigroup.com/documents/annual-report-2025/assets/files/en/tti-annual-report-2025-en.pdf</x:v>
      </x:c>
    </x:row>
    <x:row r="13" ht="29" customHeight="1">
      <x:c r="C13" s="42" t="str">
        <x:v>PDF SHA-256</x:v>
      </x:c>
      <x:c r="D13" s="43" t="str">
        <x:v>17ce4afeb1a325b0542a294d82f717747556d835095754eccdcd7831b3150c8f</x:v>
      </x:c>
      <x:c r="E13" s="43"/>
      <x:c r="F13" s="43"/>
      <x:c r="G13" s="43"/>
      <x:c r="H13" s="43"/>
      <x:c r="I13" s="43"/>
    </x:row>
    <x:row r="14" ht="29" customHeight="1">
      <x:c r="C14" s="42"/>
      <x:c r="D14" s="43"/>
      <x:c r="E14" s="43"/>
      <x:c r="F14" s="43"/>
      <x:c r="G14" s="43"/>
      <x:c r="H14" s="43"/>
      <x:c r="I14" s="43"/>
    </x:row>
    <x:row r="15" ht="29" customHeight="1">
      <x:c r="C15" s="42" t="str">
        <x:v>tti_H12026</x:v>
      </x:c>
      <x:c r="D15" s="43" t="str">
        <x:v>H12026</x:v>
      </x:c>
      <x:c r="E15" s="43"/>
      <x:c r="F15" s="43" t="str">
        <x:v>USD</x:v>
      </x:c>
      <x:c r="G15" s="43" t="str">
        <x:v>SOURCE_FACT</x:v>
      </x:c>
      <x:c r="H15" s="43" t="str">
        <x:v>29 PDF pages</x:v>
      </x:c>
      <x:c r="I15" s="43" t="str">
        <x:v>https://www.ttigroup.com/documents/interim-results-2026/files/TTI-2026IR-Full_Report-en.pdf</x:v>
      </x:c>
    </x:row>
    <x:row r="16" ht="29" customHeight="1">
      <x:c r="C16" s="42" t="str">
        <x:v>PDF SHA-256</x:v>
      </x:c>
      <x:c r="D16" s="43" t="str">
        <x:v>46b8116d19f1ff9598d46ebf3e15ac961eb276db79dcf10d294902b70a7800e9</x:v>
      </x:c>
      <x:c r="E16" s="43"/>
      <x:c r="F16" s="43"/>
      <x:c r="G16" s="43"/>
      <x:c r="H16" s="43"/>
      <x:c r="I16" s="43"/>
    </x:row>
    <x:row r="17" ht="29" customHeight="1">
      <x:c r="C17" s="42"/>
      <x:c r="D17" s="43"/>
      <x:c r="E17" s="43"/>
      <x:c r="F17" s="43"/>
      <x:c r="G17" s="43"/>
      <x:c r="H17" s="43"/>
      <x:c r="I17" s="43"/>
    </x:row>
    <x:row r="18" ht="29" customHeight="1">
      <x:c r="C18" s="42" t="str">
        <x:v>Revenue</x:v>
      </x:c>
      <x:c r="D18" s="43" t="str">
        <x:v>FY2023</x:v>
      </x:c>
      <x:c r="E18" s="43" t="n">
        <x:v>13731.411</x:v>
      </x:c>
      <x:c r="F18" s="43" t="str">
        <x:v>USD million</x:v>
      </x:c>
      <x:c r="G18" s="43" t="str">
        <x:v>SOURCE_FACT</x:v>
      </x:c>
      <x:c r="H18" s="43" t="str">
        <x:v>P102 L009</x:v>
      </x:c>
      <x:c r="I18" s="43" t="str">
        <x:v>https://www.ttigroup.com/documents/annual-report-2024/files/ar24_en.pdf</x:v>
      </x:c>
    </x:row>
    <x:row r="19" ht="29" customHeight="1">
      <x:c r="C19" s="42" t="str">
        <x:v>Cost of sales</x:v>
      </x:c>
      <x:c r="D19" s="43" t="str">
        <x:v>FY2023</x:v>
      </x:c>
      <x:c r="E19" s="43" t="n">
        <x:v>-8311.775</x:v>
      </x:c>
      <x:c r="F19" s="43" t="str">
        <x:v>USD million</x:v>
      </x:c>
      <x:c r="G19" s="43" t="str">
        <x:v>SOURCE_FACT</x:v>
      </x:c>
      <x:c r="H19" s="43" t="str">
        <x:v>P102 L010</x:v>
      </x:c>
      <x:c r="I19" s="43" t="str">
        <x:v>https://www.ttigroup.com/documents/annual-report-2024/files/ar24_en.pdf</x:v>
      </x:c>
    </x:row>
    <x:row r="20" ht="29" customHeight="1">
      <x:c r="C20" s="42" t="str">
        <x:v>Selling, distribution and advertising expenses</x:v>
      </x:c>
      <x:c r="D20" s="43" t="str">
        <x:v>FY2023</x:v>
      </x:c>
      <x:c r="E20" s="43" t="n">
        <x:v>-2347.219</x:v>
      </x:c>
      <x:c r="F20" s="43" t="str">
        <x:v>USD million</x:v>
      </x:c>
      <x:c r="G20" s="43" t="str">
        <x:v>SOURCE_FACT</x:v>
      </x:c>
      <x:c r="H20" s="43" t="str">
        <x:v>P102 L014</x:v>
      </x:c>
      <x:c r="I20" s="43" t="str">
        <x:v>https://www.ttigroup.com/documents/annual-report-2024/files/ar24_en.pdf</x:v>
      </x:c>
    </x:row>
    <x:row r="21" ht="29" customHeight="1">
      <x:c r="C21" s="42" t="str">
        <x:v>Administrative expenses</x:v>
      </x:c>
      <x:c r="D21" s="43" t="str">
        <x:v>FY2023</x:v>
      </x:c>
      <x:c r="E21" s="43" t="n">
        <x:v>-1406.21</x:v>
      </x:c>
      <x:c r="F21" s="43" t="str">
        <x:v>USD million</x:v>
      </x:c>
      <x:c r="G21" s="43" t="str">
        <x:v>SOURCE_FACT</x:v>
      </x:c>
      <x:c r="H21" s="43" t="str">
        <x:v>P102 L015</x:v>
      </x:c>
      <x:c r="I21" s="43" t="str">
        <x:v>https://www.ttigroup.com/documents/annual-report-2024/files/ar24_en.pdf</x:v>
      </x:c>
    </x:row>
    <x:row r="22" ht="29" customHeight="1">
      <x:c r="C22" s="42" t="str">
        <x:v>Research and development costs</x:v>
      </x:c>
      <x:c r="D22" s="43" t="str">
        <x:v>FY2023</x:v>
      </x:c>
      <x:c r="E22" s="43" t="n">
        <x:v>-548.338</x:v>
      </x:c>
      <x:c r="F22" s="43" t="str">
        <x:v>USD million</x:v>
      </x:c>
      <x:c r="G22" s="43" t="str">
        <x:v>SOURCE_FACT</x:v>
      </x:c>
      <x:c r="H22" s="43" t="str">
        <x:v>P102 L016</x:v>
      </x:c>
      <x:c r="I22" s="43" t="str">
        <x:v>https://www.ttigroup.com/documents/annual-report-2024/files/ar24_en.pdf</x:v>
      </x:c>
    </x:row>
    <x:row r="23" ht="29" customHeight="1">
      <x:c r="C23" s="42" t="str">
        <x:v>Finance costs</x:v>
      </x:c>
      <x:c r="D23" s="43" t="str">
        <x:v>FY2023</x:v>
      </x:c>
      <x:c r="E23" s="43" t="n">
        <x:v>-124.056</x:v>
      </x:c>
      <x:c r="F23" s="43" t="str">
        <x:v>USD million</x:v>
      </x:c>
      <x:c r="G23" s="43" t="str">
        <x:v>SOURCE_FACT</x:v>
      </x:c>
      <x:c r="H23" s="43" t="str">
        <x:v>P102 L017</x:v>
      </x:c>
      <x:c r="I23" s="43" t="str">
        <x:v>https://www.ttigroup.com/documents/annual-report-2024/files/ar24_en.pdf</x:v>
      </x:c>
    </x:row>
    <x:row r="24" ht="29" customHeight="1">
      <x:c r="C24" s="42" t="str">
        <x:v>Interest income</x:v>
      </x:c>
      <x:c r="D24" s="43" t="str">
        <x:v>FY2023</x:v>
      </x:c>
      <x:c r="E24" s="43" t="n">
        <x:v>44.956</x:v>
      </x:c>
      <x:c r="F24" s="43" t="str">
        <x:v>USD million</x:v>
      </x:c>
      <x:c r="G24" s="43" t="str">
        <x:v>SOURCE_FACT</x:v>
      </x:c>
      <x:c r="H24" s="43" t="str">
        <x:v>P102 L013</x:v>
      </x:c>
      <x:c r="I24" s="43" t="str">
        <x:v>https://www.ttigroup.com/documents/annual-report-2024/files/ar24_en.pdf</x:v>
      </x:c>
    </x:row>
    <x:row r="25" ht="29" customHeight="1">
      <x:c r="C25" s="42" t="str">
        <x:v>Finance costs</x:v>
      </x:c>
      <x:c r="D25" s="43" t="str">
        <x:v>FY2023</x:v>
      </x:c>
      <x:c r="E25" s="43" t="n">
        <x:v>-124.056</x:v>
      </x:c>
      <x:c r="F25" s="43" t="str">
        <x:v>USD million</x:v>
      </x:c>
      <x:c r="G25" s="43" t="str">
        <x:v>SOURCE_FACT</x:v>
      </x:c>
      <x:c r="H25" s="43" t="str">
        <x:v>P102 L017</x:v>
      </x:c>
      <x:c r="I25" s="43" t="str">
        <x:v>https://www.ttigroup.com/documents/annual-report-2024/files/ar24_en.pdf</x:v>
      </x:c>
    </x:row>
    <x:row r="26" ht="29" customHeight="1">
      <x:c r="C26" s="42" t="str">
        <x:v>Profit before taxation</x:v>
      </x:c>
      <x:c r="D26" s="43" t="str">
        <x:v>FY2023</x:v>
      </x:c>
      <x:c r="E26" s="43" t="n">
        <x:v>1055.616</x:v>
      </x:c>
      <x:c r="F26" s="43" t="str">
        <x:v>USD million</x:v>
      </x:c>
      <x:c r="G26" s="43" t="str">
        <x:v>SOURCE_FACT</x:v>
      </x:c>
      <x:c r="H26" s="43" t="str">
        <x:v>P102 L020</x:v>
      </x:c>
      <x:c r="I26" s="43" t="str">
        <x:v>https://www.ttigroup.com/documents/annual-report-2024/files/ar24_en.pdf</x:v>
      </x:c>
    </x:row>
    <x:row r="27" ht="29" customHeight="1">
      <x:c r="C27" s="42" t="str">
        <x:v>Taxation charge</x:v>
      </x:c>
      <x:c r="D27" s="43" t="str">
        <x:v>FY2023</x:v>
      </x:c>
      <x:c r="E27" s="43" t="n">
        <x:v>-79.276</x:v>
      </x:c>
      <x:c r="F27" s="43" t="str">
        <x:v>USD million</x:v>
      </x:c>
      <x:c r="G27" s="43" t="str">
        <x:v>SOURCE_FACT</x:v>
      </x:c>
      <x:c r="H27" s="43" t="str">
        <x:v>P102 L021</x:v>
      </x:c>
      <x:c r="I27" s="43" t="str">
        <x:v>https://www.ttigroup.com/documents/annual-report-2024/files/ar24_en.pdf</x:v>
      </x:c>
    </x:row>
    <x:row r="28" ht="29" customHeight="1">
      <x:c r="C28" s="42" t="str">
        <x:v>Profit for the year attributable to Owners of the Company</x:v>
      </x:c>
      <x:c r="D28" s="43" t="str">
        <x:v>FY2023</x:v>
      </x:c>
      <x:c r="E28" s="43" t="n">
        <x:v>976.34</x:v>
      </x:c>
      <x:c r="F28" s="43" t="str">
        <x:v>USD million</x:v>
      </x:c>
      <x:c r="G28" s="43" t="str">
        <x:v>SOURCE_FACT</x:v>
      </x:c>
      <x:c r="H28" s="43" t="str">
        <x:v>P102 L022</x:v>
      </x:c>
      <x:c r="I28" s="43" t="str">
        <x:v>https://www.ttigroup.com/documents/annual-report-2024/files/ar24_en.pdf</x:v>
      </x:c>
    </x:row>
    <x:row r="29" ht="29" customHeight="1">
      <x:c r="C29" s="42" t="str">
        <x:v>Net Cash from Operating Activities</x:v>
      </x:c>
      <x:c r="D29" s="43" t="str">
        <x:v>FY2023</x:v>
      </x:c>
      <x:c r="E29" s="43" t="n">
        <x:v>2103.875</x:v>
      </x:c>
      <x:c r="F29" s="43" t="str">
        <x:v>USD million</x:v>
      </x:c>
      <x:c r="G29" s="43" t="str">
        <x:v>SOURCE_FACT</x:v>
      </x:c>
      <x:c r="H29" s="43" t="str">
        <x:v>P106 L048</x:v>
      </x:c>
      <x:c r="I29" s="43" t="str">
        <x:v>https://www.ttigroup.com/documents/annual-report-2024/files/ar24_en.pdf</x:v>
      </x:c>
    </x:row>
    <x:row r="30" ht="29" customHeight="1">
      <x:c r="C30" s="42" t="str">
        <x:v>Net Cash used in Investing Activities</x:v>
      </x:c>
      <x:c r="D30" s="43" t="str">
        <x:v>FY2023</x:v>
      </x:c>
      <x:c r="E30" s="43" t="n">
        <x:v>-778.782</x:v>
      </x:c>
      <x:c r="F30" s="43" t="str">
        <x:v>USD million</x:v>
      </x:c>
      <x:c r="G30" s="43" t="str">
        <x:v>SOURCE_FACT</x:v>
      </x:c>
      <x:c r="H30" s="43" t="str">
        <x:v>P107 L020</x:v>
      </x:c>
      <x:c r="I30" s="43" t="str">
        <x:v>https://www.ttigroup.com/documents/annual-report-2024/files/ar24_en.pdf</x:v>
      </x:c>
    </x:row>
    <x:row r="31" ht="29" customHeight="1">
      <x:c r="C31" s="42" t="str">
        <x:v>Net Cash used in Financing Activities</x:v>
      </x:c>
      <x:c r="D31" s="43" t="str">
        <x:v>FY2023</x:v>
      </x:c>
      <x:c r="E31" s="43" t="n">
        <x:v>-1801.641</x:v>
      </x:c>
      <x:c r="F31" s="43" t="str">
        <x:v>USD million</x:v>
      </x:c>
      <x:c r="G31" s="43" t="str">
        <x:v>SOURCE_FACT</x:v>
      </x:c>
      <x:c r="H31" s="43" t="str">
        <x:v>P107 L029</x:v>
      </x:c>
      <x:c r="I31" s="43" t="str">
        <x:v>https://www.ttigroup.com/documents/annual-report-2024/files/ar24_en.pdf</x:v>
      </x:c>
    </x:row>
    <x:row r="32" ht="29" customHeight="1">
      <x:c r="C32" s="42" t="str">
        <x:v>Effect of Foreign Exchange Rate Changes</x:v>
      </x:c>
      <x:c r="D32" s="43" t="str">
        <x:v>FY2023</x:v>
      </x:c>
      <x:c r="E32" s="43" t="n">
        <x:v>0.858</x:v>
      </x:c>
      <x:c r="F32" s="43" t="str">
        <x:v>USD million</x:v>
      </x:c>
      <x:c r="G32" s="43" t="str">
        <x:v>SOURCE_FACT</x:v>
      </x:c>
      <x:c r="H32" s="43" t="str">
        <x:v>P107 L032</x:v>
      </x:c>
      <x:c r="I32" s="43" t="str">
        <x:v>https://www.ttigroup.com/documents/annual-report-2024/files/ar24_en.pdf</x:v>
      </x:c>
    </x:row>
    <x:row r="33" ht="29" customHeight="1">
      <x:c r="C33" s="42" t="str">
        <x:v>Cash and Cash Equivalents at Beginning of the Year</x:v>
      </x:c>
      <x:c r="D33" s="43" t="str">
        <x:v>FY2023</x:v>
      </x:c>
      <x:c r="E33" s="43" t="n">
        <x:v>1428.93</x:v>
      </x:c>
      <x:c r="F33" s="43" t="str">
        <x:v>USD million</x:v>
      </x:c>
      <x:c r="G33" s="43" t="str">
        <x:v>SOURCE_FACT</x:v>
      </x:c>
      <x:c r="H33" s="43" t="str">
        <x:v>P107 L031</x:v>
      </x:c>
      <x:c r="I33" s="43" t="str">
        <x:v>https://www.ttigroup.com/documents/annual-report-2024/files/ar24_en.pdf</x:v>
      </x:c>
    </x:row>
    <x:row r="34" ht="29" customHeight="1">
      <x:c r="C34" s="42" t="str">
        <x:v>Cash and Cash Equivalents at End of the Year</x:v>
      </x:c>
      <x:c r="D34" s="43" t="str">
        <x:v>FY2023</x:v>
      </x:c>
      <x:c r="E34" s="43" t="n">
        <x:v>953.24</x:v>
      </x:c>
      <x:c r="F34" s="43" t="str">
        <x:v>USD million</x:v>
      </x:c>
      <x:c r="G34" s="43" t="str">
        <x:v>SOURCE_FACT</x:v>
      </x:c>
      <x:c r="H34" s="43" t="str">
        <x:v>P107 L033</x:v>
      </x:c>
      <x:c r="I34" s="43" t="str">
        <x:v>https://www.ttigroup.com/documents/annual-report-2024/files/ar24_en.pdf</x:v>
      </x:c>
    </x:row>
    <x:row r="35" ht="29" customHeight="1">
      <x:c r="C35" s="42" t="str">
        <x:v>Purchase of property, plant and equipment</x:v>
      </x:c>
      <x:c r="D35" s="43" t="str">
        <x:v>FY2023</x:v>
      </x:c>
      <x:c r="E35" s="43" t="n">
        <x:v>-501.573</x:v>
      </x:c>
      <x:c r="F35" s="43" t="str">
        <x:v>USD million</x:v>
      </x:c>
      <x:c r="G35" s="43" t="str">
        <x:v>SOURCE_FACT</x:v>
      </x:c>
      <x:c r="H35" s="43" t="str">
        <x:v>P107 L018</x:v>
      </x:c>
      <x:c r="I35" s="43" t="str">
        <x:v>https://www.ttigroup.com/documents/annual-report-2024/files/ar24_en.pdf</x:v>
      </x:c>
    </x:row>
    <x:row r="36" ht="29" customHeight="1">
      <x:c r="C36" s="42" t="str">
        <x:v>Additions to intangible assets</x:v>
      </x:c>
      <x:c r="D36" s="43" t="str">
        <x:v>FY2023</x:v>
      </x:c>
      <x:c r="E36" s="43" t="n">
        <x:v>-372.588</x:v>
      </x:c>
      <x:c r="F36" s="43" t="str">
        <x:v>USD million</x:v>
      </x:c>
      <x:c r="G36" s="43" t="str">
        <x:v>SOURCE_FACT</x:v>
      </x:c>
      <x:c r="H36" s="43" t="str">
        <x:v>P107 L011</x:v>
      </x:c>
      <x:c r="I36" s="43" t="str">
        <x:v>https://www.ttigroup.com/documents/annual-report-2024/files/ar24_en.pdf</x:v>
      </x:c>
    </x:row>
    <x:row r="37" ht="29" customHeight="1">
      <x:c r="C37" s="42" t="str">
        <x:v>Equity attributable to Owners of the Company and total equity</x:v>
      </x:c>
      <x:c r="D37" s="43" t="str">
        <x:v>FY2023</x:v>
      </x:c>
      <x:c r="E37" s="43" t="n">
        <x:v>5747.55</x:v>
      </x:c>
      <x:c r="F37" s="43" t="str">
        <x:v>USD million</x:v>
      </x:c>
      <x:c r="G37" s="43" t="str">
        <x:v>SOURCE_FACT</x:v>
      </x:c>
      <x:c r="H37" s="43" t="str">
        <x:v>P104 L012</x:v>
      </x:c>
      <x:c r="I37" s="43" t="str">
        <x:v>https://www.ttigroup.com/documents/annual-report-2024/files/ar24_en.pdf</x:v>
      </x:c>
    </x:row>
    <x:row r="38" ht="29" customHeight="1">
      <x:c r="C38" s="42" t="str">
        <x:v>At December 31, 2023</x:v>
      </x:c>
      <x:c r="D38" s="43" t="str">
        <x:v>FY2024</x:v>
      </x:c>
      <x:c r="E38" s="43" t="n">
        <x:v>5298.919</x:v>
      </x:c>
      <x:c r="F38" s="43" t="str">
        <x:v>USD million</x:v>
      </x:c>
      <x:c r="G38" s="43" t="str">
        <x:v>SOURCE_FACT</x:v>
      </x:c>
      <x:c r="H38" s="43" t="str">
        <x:v>P105 L031</x:v>
      </x:c>
      <x:c r="I38" s="43" t="str">
        <x:v>https://www.ttigroup.com/documents/annual-report-2024/files/ar24_en.pdf</x:v>
      </x:c>
    </x:row>
    <x:row r="39" ht="29" customHeight="1">
      <x:c r="C39" s="42" t="str">
        <x:v>Amortization/write-off of intangible assets</x:v>
      </x:c>
      <x:c r="D39" s="43" t="str">
        <x:v>FY2023</x:v>
      </x:c>
      <x:c r="E39" s="43" t="n">
        <x:v>198.268</x:v>
      </x:c>
      <x:c r="F39" s="43" t="str">
        <x:v>USD million</x:v>
      </x:c>
      <x:c r="G39" s="43" t="str">
        <x:v>SOURCE_FACT</x:v>
      </x:c>
      <x:c r="H39" s="43" t="str">
        <x:v>P106 L013</x:v>
      </x:c>
      <x:c r="I39" s="43" t="str">
        <x:v>https://www.ttigroup.com/documents/annual-report-2024/files/ar24_en.pdf</x:v>
      </x:c>
    </x:row>
    <x:row r="40" ht="29" customHeight="1">
      <x:c r="C40" s="42" t="str">
        <x:v>Depreciation of property, plant and equipment</x:v>
      </x:c>
      <x:c r="D40" s="43" t="str">
        <x:v>FY2023</x:v>
      </x:c>
      <x:c r="E40" s="43" t="n">
        <x:v>269.041</x:v>
      </x:c>
      <x:c r="F40" s="43" t="str">
        <x:v>USD million</x:v>
      </x:c>
      <x:c r="G40" s="43" t="str">
        <x:v>SOURCE_FACT</x:v>
      </x:c>
      <x:c r="H40" s="43" t="str">
        <x:v>P106 L014</x:v>
      </x:c>
      <x:c r="I40" s="43" t="str">
        <x:v>https://www.ttigroup.com/documents/annual-report-2024/files/ar24_en.pdf</x:v>
      </x:c>
    </x:row>
    <x:row r="41" ht="29" customHeight="1">
      <x:c r="C41" s="42" t="str">
        <x:v>Depreciation of right of use assets</x:v>
      </x:c>
      <x:c r="D41" s="43" t="str">
        <x:v>FY2023</x:v>
      </x:c>
      <x:c r="E41" s="43" t="n">
        <x:v>166.178</x:v>
      </x:c>
      <x:c r="F41" s="43" t="str">
        <x:v>USD million</x:v>
      </x:c>
      <x:c r="G41" s="43" t="str">
        <x:v>SOURCE_FACT</x:v>
      </x:c>
      <x:c r="H41" s="43" t="str">
        <x:v>P106 L015</x:v>
      </x:c>
      <x:c r="I41" s="43" t="str">
        <x:v>https://www.ttigroup.com/documents/annual-report-2024/files/ar24_en.pdf</x:v>
      </x:c>
    </x:row>
    <x:row r="42" ht="29" customHeight="1">
      <x:c r="C42" s="42" t="str">
        <x:v>Revenue</x:v>
      </x:c>
      <x:c r="D42" s="43" t="str">
        <x:v>FY2024</x:v>
      </x:c>
      <x:c r="E42" s="43" t="n">
        <x:v>14621.616</x:v>
      </x:c>
      <x:c r="F42" s="43" t="str">
        <x:v>USD million</x:v>
      </x:c>
      <x:c r="G42" s="43" t="str">
        <x:v>SOURCE_FACT</x:v>
      </x:c>
      <x:c r="H42" s="43" t="str">
        <x:v>P052 L009</x:v>
      </x:c>
      <x:c r="I42" s="43" t="str">
        <x:v>https://www.ttigroup.com/documents/annual-report-2025/assets/files/en/tti-annual-report-2025-en.pdf</x:v>
      </x:c>
    </x:row>
    <x:row r="43" ht="29" customHeight="1">
      <x:c r="C43" s="42" t="str">
        <x:v>Cost of sales</x:v>
      </x:c>
      <x:c r="D43" s="43" t="str">
        <x:v>FY2024</x:v>
      </x:c>
      <x:c r="E43" s="43" t="n">
        <x:v>-8726.06</x:v>
      </x:c>
      <x:c r="F43" s="43" t="str">
        <x:v>USD million</x:v>
      </x:c>
      <x:c r="G43" s="43" t="str">
        <x:v>SOURCE_FACT</x:v>
      </x:c>
      <x:c r="H43" s="43" t="str">
        <x:v>P052 L010</x:v>
      </x:c>
      <x:c r="I43" s="43" t="str">
        <x:v>https://www.ttigroup.com/documents/annual-report-2025/assets/files/en/tti-annual-report-2025-en.pdf</x:v>
      </x:c>
    </x:row>
    <x:row r="44" ht="29" customHeight="1">
      <x:c r="C44" s="42" t="str">
        <x:v>Selling, distribution and advertising expenses</x:v>
      </x:c>
      <x:c r="D44" s="43" t="str">
        <x:v>FY2024</x:v>
      </x:c>
      <x:c r="E44" s="43" t="n">
        <x:v>-2503.697</x:v>
      </x:c>
      <x:c r="F44" s="43" t="str">
        <x:v>USD million</x:v>
      </x:c>
      <x:c r="G44" s="43" t="str">
        <x:v>SOURCE_FACT</x:v>
      </x:c>
      <x:c r="H44" s="43" t="str">
        <x:v>P052 L014</x:v>
      </x:c>
      <x:c r="I44" s="43" t="str">
        <x:v>https://www.ttigroup.com/documents/annual-report-2025/assets/files/en/tti-annual-report-2025-en.pdf</x:v>
      </x:c>
    </x:row>
    <x:row r="45" ht="29" customHeight="1">
      <x:c r="C45" s="42" t="str">
        <x:v>Administrative expenses</x:v>
      </x:c>
      <x:c r="D45" s="43" t="str">
        <x:v>FY2024</x:v>
      </x:c>
      <x:c r="E45" s="43" t="n">
        <x:v>-1489.877</x:v>
      </x:c>
      <x:c r="F45" s="43" t="str">
        <x:v>USD million</x:v>
      </x:c>
      <x:c r="G45" s="43" t="str">
        <x:v>SOURCE_FACT</x:v>
      </x:c>
      <x:c r="H45" s="43" t="str">
        <x:v>P052 L015</x:v>
      </x:c>
      <x:c r="I45" s="43" t="str">
        <x:v>https://www.ttigroup.com/documents/annual-report-2025/assets/files/en/tti-annual-report-2025-en.pdf</x:v>
      </x:c>
    </x:row>
    <x:row r="46" ht="29" customHeight="1">
      <x:c r="C46" s="42" t="str">
        <x:v>Research and development costs</x:v>
      </x:c>
      <x:c r="D46" s="43" t="str">
        <x:v>FY2024</x:v>
      </x:c>
      <x:c r="E46" s="43" t="n">
        <x:v>-648.103</x:v>
      </x:c>
      <x:c r="F46" s="43" t="str">
        <x:v>USD million</x:v>
      </x:c>
      <x:c r="G46" s="43" t="str">
        <x:v>SOURCE_FACT</x:v>
      </x:c>
      <x:c r="H46" s="43" t="str">
        <x:v>P052 L016</x:v>
      </x:c>
      <x:c r="I46" s="43" t="str">
        <x:v>https://www.ttigroup.com/documents/annual-report-2025/assets/files/en/tti-annual-report-2025-en.pdf</x:v>
      </x:c>
    </x:row>
    <x:row r="47" ht="29" customHeight="1">
      <x:c r="C47" s="42" t="str">
        <x:v>Finance costs</x:v>
      </x:c>
      <x:c r="D47" s="43" t="str">
        <x:v>FY2024</x:v>
      </x:c>
      <x:c r="E47" s="43" t="n">
        <x:v>-126.165</x:v>
      </x:c>
      <x:c r="F47" s="43" t="str">
        <x:v>USD million</x:v>
      </x:c>
      <x:c r="G47" s="43" t="str">
        <x:v>SOURCE_FACT</x:v>
      </x:c>
      <x:c r="H47" s="43" t="str">
        <x:v>P052 L017</x:v>
      </x:c>
      <x:c r="I47" s="43" t="str">
        <x:v>https://www.ttigroup.com/documents/annual-report-2025/assets/files/en/tti-annual-report-2025-en.pdf</x:v>
      </x:c>
    </x:row>
    <x:row r="48" ht="29" customHeight="1">
      <x:c r="C48" s="42" t="str">
        <x:v>Interest income</x:v>
      </x:c>
      <x:c r="D48" s="43" t="str">
        <x:v>FY2024</x:v>
      </x:c>
      <x:c r="E48" s="43" t="n">
        <x:v>72.295</x:v>
      </x:c>
      <x:c r="F48" s="43" t="str">
        <x:v>USD million</x:v>
      </x:c>
      <x:c r="G48" s="43" t="str">
        <x:v>SOURCE_FACT</x:v>
      </x:c>
      <x:c r="H48" s="43" t="str">
        <x:v>P052 L013</x:v>
      </x:c>
      <x:c r="I48" s="43" t="str">
        <x:v>https://www.ttigroup.com/documents/annual-report-2025/assets/files/en/tti-annual-report-2025-en.pdf</x:v>
      </x:c>
    </x:row>
    <x:row r="49" ht="29" customHeight="1">
      <x:c r="C49" s="42" t="str">
        <x:v>Finance costs</x:v>
      </x:c>
      <x:c r="D49" s="43" t="str">
        <x:v>FY2024</x:v>
      </x:c>
      <x:c r="E49" s="43" t="n">
        <x:v>-126.165</x:v>
      </x:c>
      <x:c r="F49" s="43" t="str">
        <x:v>USD million</x:v>
      </x:c>
      <x:c r="G49" s="43" t="str">
        <x:v>SOURCE_FACT</x:v>
      </x:c>
      <x:c r="H49" s="43" t="str">
        <x:v>P052 L017</x:v>
      </x:c>
      <x:c r="I49" s="43" t="str">
        <x:v>https://www.ttigroup.com/documents/annual-report-2025/assets/files/en/tti-annual-report-2025-en.pdf</x:v>
      </x:c>
    </x:row>
    <x:row r="50" ht="29" customHeight="1">
      <x:c r="C50" s="42" t="str">
        <x:v>Profit before taxation</x:v>
      </x:c>
      <x:c r="D50" s="43" t="str">
        <x:v>FY2024</x:v>
      </x:c>
      <x:c r="E50" s="43" t="n">
        <x:v>1216.394</x:v>
      </x:c>
      <x:c r="F50" s="43" t="str">
        <x:v>USD million</x:v>
      </x:c>
      <x:c r="G50" s="43" t="str">
        <x:v>SOURCE_FACT</x:v>
      </x:c>
      <x:c r="H50" s="43" t="str">
        <x:v>P052 L023</x:v>
      </x:c>
      <x:c r="I50" s="43" t="str">
        <x:v>https://www.ttigroup.com/documents/annual-report-2025/assets/files/en/tti-annual-report-2025-en.pdf</x:v>
      </x:c>
    </x:row>
    <x:row r="51" ht="29" customHeight="1">
      <x:c r="C51" s="42" t="str">
        <x:v>Taxation charge</x:v>
      </x:c>
      <x:c r="D51" s="43" t="str">
        <x:v>FY2024</x:v>
      </x:c>
      <x:c r="E51" s="43" t="n">
        <x:v>-94.714</x:v>
      </x:c>
      <x:c r="F51" s="43" t="str">
        <x:v>USD million</x:v>
      </x:c>
      <x:c r="G51" s="43" t="str">
        <x:v>SOURCE_FACT</x:v>
      </x:c>
      <x:c r="H51" s="43" t="str">
        <x:v>P052 L024</x:v>
      </x:c>
      <x:c r="I51" s="43" t="str">
        <x:v>https://www.ttigroup.com/documents/annual-report-2025/assets/files/en/tti-annual-report-2025-en.pdf</x:v>
      </x:c>
    </x:row>
    <x:row r="52" ht="29" customHeight="1">
      <x:c r="C52" s="42" t="str">
        <x:v>Profit for the year attributable to Owners of the Company</x:v>
      </x:c>
      <x:c r="D52" s="43" t="str">
        <x:v>FY2024</x:v>
      </x:c>
      <x:c r="E52" s="43" t="n">
        <x:v>1121.68</x:v>
      </x:c>
      <x:c r="F52" s="43" t="str">
        <x:v>USD million</x:v>
      </x:c>
      <x:c r="G52" s="43" t="str">
        <x:v>SOURCE_FACT</x:v>
      </x:c>
      <x:c r="H52" s="43" t="str">
        <x:v>P052 L026</x:v>
      </x:c>
      <x:c r="I52" s="43" t="str">
        <x:v>https://www.ttigroup.com/documents/annual-report-2025/assets/files/en/tti-annual-report-2025-en.pdf</x:v>
      </x:c>
    </x:row>
    <x:row r="53" ht="29" customHeight="1">
      <x:c r="C53" s="42" t="str">
        <x:v>Net Cash from Operating Activities</x:v>
      </x:c>
      <x:c r="D53" s="43" t="str">
        <x:v>FY2024</x:v>
      </x:c>
      <x:c r="E53" s="43" t="n">
        <x:v>2267.646</x:v>
      </x:c>
      <x:c r="F53" s="43" t="str">
        <x:v>USD million</x:v>
      </x:c>
      <x:c r="G53" s="43" t="str">
        <x:v>SOURCE_FACT</x:v>
      </x:c>
      <x:c r="H53" s="43" t="str">
        <x:v>P054 L060</x:v>
      </x:c>
      <x:c r="I53" s="43" t="str">
        <x:v>https://www.ttigroup.com/documents/annual-report-2025/assets/files/en/tti-annual-report-2025-en.pdf</x:v>
      </x:c>
    </x:row>
    <x:row r="54" ht="29" customHeight="1">
      <x:c r="C54" s="42" t="str">
        <x:v>Net Cash used in Investing Activities</x:v>
      </x:c>
      <x:c r="D54" s="43" t="str">
        <x:v>FY2024</x:v>
      </x:c>
      <x:c r="E54" s="43" t="n">
        <x:v>-606.237</x:v>
      </x:c>
      <x:c r="F54" s="43" t="str">
        <x:v>USD million</x:v>
      </x:c>
      <x:c r="G54" s="43" t="str">
        <x:v>SOURCE_FACT</x:v>
      </x:c>
      <x:c r="H54" s="43" t="str">
        <x:v>P054 L022</x:v>
      </x:c>
      <x:c r="I54" s="43" t="str">
        <x:v>https://www.ttigroup.com/documents/annual-report-2025/assets/files/en/tti-annual-report-2025-en.pdf</x:v>
      </x:c>
    </x:row>
    <x:row r="55" ht="29" customHeight="1">
      <x:c r="C55" s="42" t="str">
        <x:v>Net Cash used in Financing Activities</x:v>
      </x:c>
      <x:c r="D55" s="43" t="str">
        <x:v>FY2024</x:v>
      </x:c>
      <x:c r="E55" s="43" t="n">
        <x:v>-1332.78</x:v>
      </x:c>
      <x:c r="F55" s="43" t="str">
        <x:v>USD million</x:v>
      </x:c>
      <x:c r="G55" s="43" t="str">
        <x:v>SOURCE_FACT</x:v>
      </x:c>
      <x:c r="H55" s="43" t="str">
        <x:v>P054 L040</x:v>
      </x:c>
      <x:c r="I55" s="43" t="str">
        <x:v>https://www.ttigroup.com/documents/annual-report-2025/assets/files/en/tti-annual-report-2025-en.pdf</x:v>
      </x:c>
    </x:row>
    <x:row r="56" ht="29" customHeight="1">
      <x:c r="C56" s="42" t="str">
        <x:v>Effect of Foreign Exchange Rate Changes</x:v>
      </x:c>
      <x:c r="D56" s="43" t="str">
        <x:v>FY2024</x:v>
      </x:c>
      <x:c r="E56" s="43" t="n">
        <x:v>-49.522</x:v>
      </x:c>
      <x:c r="F56" s="43" t="str">
        <x:v>USD million</x:v>
      </x:c>
      <x:c r="G56" s="43" t="str">
        <x:v>SOURCE_FACT</x:v>
      </x:c>
      <x:c r="H56" s="43" t="str">
        <x:v>P054 L044</x:v>
      </x:c>
      <x:c r="I56" s="43" t="str">
        <x:v>https://www.ttigroup.com/documents/annual-report-2025/assets/files/en/tti-annual-report-2025-en.pdf</x:v>
      </x:c>
    </x:row>
    <x:row r="57" ht="29" customHeight="1">
      <x:c r="C57" s="42" t="str">
        <x:v>Cash and Cash Equivalents at Beginning of the Year</x:v>
      </x:c>
      <x:c r="D57" s="43" t="str">
        <x:v>FY2024</x:v>
      </x:c>
      <x:c r="E57" s="43" t="n">
        <x:v>953.24</x:v>
      </x:c>
      <x:c r="F57" s="43" t="str">
        <x:v>USD million</x:v>
      </x:c>
      <x:c r="G57" s="43" t="str">
        <x:v>SOURCE_FACT</x:v>
      </x:c>
      <x:c r="H57" s="43" t="str">
        <x:v>P054 L043</x:v>
      </x:c>
      <x:c r="I57" s="43" t="str">
        <x:v>https://www.ttigroup.com/documents/annual-report-2025/assets/files/en/tti-annual-report-2025-en.pdf</x:v>
      </x:c>
    </x:row>
    <x:row r="58" ht="29" customHeight="1">
      <x:c r="C58" s="42" t="str">
        <x:v>Cash and Cash Equivalents at End of the Year</x:v>
      </x:c>
      <x:c r="D58" s="43" t="str">
        <x:v>FY2024</x:v>
      </x:c>
      <x:c r="E58" s="43" t="n">
        <x:v>1232.347</x:v>
      </x:c>
      <x:c r="F58" s="43" t="str">
        <x:v>USD million</x:v>
      </x:c>
      <x:c r="G58" s="43" t="str">
        <x:v>SOURCE_FACT</x:v>
      </x:c>
      <x:c r="H58" s="43" t="str">
        <x:v>P054 L045</x:v>
      </x:c>
      <x:c r="I58" s="43" t="str">
        <x:v>https://www.ttigroup.com/documents/annual-report-2025/assets/files/en/tti-annual-report-2025-en.pdf</x:v>
      </x:c>
    </x:row>
    <x:row r="59" ht="29" customHeight="1">
      <x:c r="C59" s="42" t="str">
        <x:v>Purchase of property, plant and equipment</x:v>
      </x:c>
      <x:c r="D59" s="43" t="str">
        <x:v>FY2024</x:v>
      </x:c>
      <x:c r="E59" s="43" t="n">
        <x:v>-291.503</x:v>
      </x:c>
      <x:c r="F59" s="43" t="str">
        <x:v>USD million</x:v>
      </x:c>
      <x:c r="G59" s="43" t="str">
        <x:v>SOURCE_FACT</x:v>
      </x:c>
      <x:c r="H59" s="43" t="str">
        <x:v>P054 L020</x:v>
      </x:c>
      <x:c r="I59" s="43" t="str">
        <x:v>https://www.ttigroup.com/documents/annual-report-2025/assets/files/en/tti-annual-report-2025-en.pdf</x:v>
      </x:c>
    </x:row>
    <x:row r="60" ht="29" customHeight="1">
      <x:c r="C60" s="42" t="str">
        <x:v>Additions to intangible assets</x:v>
      </x:c>
      <x:c r="D60" s="43" t="str">
        <x:v>FY2024</x:v>
      </x:c>
      <x:c r="E60" s="43" t="n">
        <x:v>-394.905</x:v>
      </x:c>
      <x:c r="F60" s="43" t="str">
        <x:v>USD million</x:v>
      </x:c>
      <x:c r="G60" s="43" t="str">
        <x:v>SOURCE_FACT</x:v>
      </x:c>
      <x:c r="H60" s="43" t="str">
        <x:v>P054 L013</x:v>
      </x:c>
      <x:c r="I60" s="43" t="str">
        <x:v>https://www.ttigroup.com/documents/annual-report-2025/assets/files/en/tti-annual-report-2025-en.pdf</x:v>
      </x:c>
    </x:row>
    <x:row r="61" ht="29" customHeight="1">
      <x:c r="C61" s="42" t="str">
        <x:v>Equity attributable to Owners of the Company and total equity</x:v>
      </x:c>
      <x:c r="D61" s="43" t="str">
        <x:v>FY2024</x:v>
      </x:c>
      <x:c r="E61" s="43" t="n">
        <x:v>6363.597</x:v>
      </x:c>
      <x:c r="F61" s="43" t="str">
        <x:v>USD million</x:v>
      </x:c>
      <x:c r="G61" s="43" t="str">
        <x:v>SOURCE_FACT</x:v>
      </x:c>
      <x:c r="H61" s="43" t="str">
        <x:v>P053 L016</x:v>
      </x:c>
      <x:c r="I61" s="43" t="str">
        <x:v>https://www.ttigroup.com/documents/annual-report-2025/assets/files/en/tti-annual-report-2025-en.pdf</x:v>
      </x:c>
    </x:row>
    <x:row r="62" ht="29" customHeight="1">
      <x:c r="C62" s="42" t="str">
        <x:v>At December 31, 2024</x:v>
      </x:c>
      <x:c r="D62" s="43" t="str">
        <x:v>FY2024</x:v>
      </x:c>
      <x:c r="E62" s="43" t="n">
        <x:v>5897.124</x:v>
      </x:c>
      <x:c r="F62" s="43" t="str">
        <x:v>USD million</x:v>
      </x:c>
      <x:c r="G62" s="43" t="str">
        <x:v>SOURCE_FACT</x:v>
      </x:c>
      <x:c r="H62" s="43" t="str">
        <x:v>P105 L051</x:v>
      </x:c>
      <x:c r="I62" s="43" t="str">
        <x:v>https://www.ttigroup.com/documents/annual-report-2024/files/ar24_en.pdf</x:v>
      </x:c>
    </x:row>
    <x:row r="63" ht="29" customHeight="1">
      <x:c r="C63" s="42" t="str">
        <x:v>Amortization/write-off of intangible assets</x:v>
      </x:c>
      <x:c r="D63" s="43" t="str">
        <x:v>FY2024</x:v>
      </x:c>
      <x:c r="E63" s="43" t="n">
        <x:v>323.801</x:v>
      </x:c>
      <x:c r="F63" s="43" t="str">
        <x:v>USD million</x:v>
      </x:c>
      <x:c r="G63" s="43" t="str">
        <x:v>SOURCE_FACT</x:v>
      </x:c>
      <x:c r="H63" s="43" t="str">
        <x:v>P054 L015</x:v>
      </x:c>
      <x:c r="I63" s="43" t="str">
        <x:v>https://www.ttigroup.com/documents/annual-report-2025/assets/files/en/tti-annual-report-2025-en.pdf</x:v>
      </x:c>
    </x:row>
    <x:row r="64" ht="29" customHeight="1">
      <x:c r="C64" s="42" t="str">
        <x:v>Depreciation of property, plant and equipment</x:v>
      </x:c>
      <x:c r="D64" s="43" t="str">
        <x:v>FY2024</x:v>
      </x:c>
      <x:c r="E64" s="43" t="n">
        <x:v>281.198</x:v>
      </x:c>
      <x:c r="F64" s="43" t="str">
        <x:v>USD million</x:v>
      </x:c>
      <x:c r="G64" s="43" t="str">
        <x:v>SOURCE_FACT</x:v>
      </x:c>
      <x:c r="H64" s="43" t="str">
        <x:v>P054 L016</x:v>
      </x:c>
      <x:c r="I64" s="43" t="str">
        <x:v>https://www.ttigroup.com/documents/annual-report-2025/assets/files/en/tti-annual-report-2025-en.pdf</x:v>
      </x:c>
    </x:row>
    <x:row r="65" ht="29" customHeight="1">
      <x:c r="C65" s="42" t="str">
        <x:v>Depreciation of right of use assets</x:v>
      </x:c>
      <x:c r="D65" s="43" t="str">
        <x:v>FY2024</x:v>
      </x:c>
      <x:c r="E65" s="43" t="n">
        <x:v>174.517</x:v>
      </x:c>
      <x:c r="F65" s="43" t="str">
        <x:v>USD million</x:v>
      </x:c>
      <x:c r="G65" s="43" t="str">
        <x:v>SOURCE_FACT</x:v>
      </x:c>
      <x:c r="H65" s="43" t="str">
        <x:v>P054 L017</x:v>
      </x:c>
      <x:c r="I65" s="43" t="str">
        <x:v>https://www.ttigroup.com/documents/annual-report-2025/assets/files/en/tti-annual-report-2025-en.pdf</x:v>
      </x:c>
    </x:row>
    <x:row r="66" ht="29" customHeight="1">
      <x:c r="C66" s="42" t="str">
        <x:v>Revenue</x:v>
      </x:c>
      <x:c r="D66" s="43" t="str">
        <x:v>FY2025</x:v>
      </x:c>
      <x:c r="E66" s="43" t="n">
        <x:v>15259.533</x:v>
      </x:c>
      <x:c r="F66" s="43" t="str">
        <x:v>USD million</x:v>
      </x:c>
      <x:c r="G66" s="43" t="str">
        <x:v>SOURCE_FACT</x:v>
      </x:c>
      <x:c r="H66" s="43" t="str">
        <x:v>P052 L009</x:v>
      </x:c>
      <x:c r="I66" s="43" t="str">
        <x:v>https://www.ttigroup.com/documents/annual-report-2025/assets/files/en/tti-annual-report-2025-en.pdf</x:v>
      </x:c>
    </x:row>
    <x:row r="67" ht="29" customHeight="1">
      <x:c r="C67" s="42" t="str">
        <x:v>Cost of sales</x:v>
      </x:c>
      <x:c r="D67" s="43" t="str">
        <x:v>FY2025</x:v>
      </x:c>
      <x:c r="E67" s="43" t="n">
        <x:v>-8967.596</x:v>
      </x:c>
      <x:c r="F67" s="43" t="str">
        <x:v>USD million</x:v>
      </x:c>
      <x:c r="G67" s="43" t="str">
        <x:v>SOURCE_FACT</x:v>
      </x:c>
      <x:c r="H67" s="43" t="str">
        <x:v>P052 L010</x:v>
      </x:c>
      <x:c r="I67" s="43" t="str">
        <x:v>https://www.ttigroup.com/documents/annual-report-2025/assets/files/en/tti-annual-report-2025-en.pdf</x:v>
      </x:c>
    </x:row>
    <x:row r="68" ht="29" customHeight="1">
      <x:c r="C68" s="42" t="str">
        <x:v>Selling, distribution and advertising expenses</x:v>
      </x:c>
      <x:c r="D68" s="43" t="str">
        <x:v>FY2025</x:v>
      </x:c>
      <x:c r="E68" s="43" t="n">
        <x:v>-2718.771</x:v>
      </x:c>
      <x:c r="F68" s="43" t="str">
        <x:v>USD million</x:v>
      </x:c>
      <x:c r="G68" s="43" t="str">
        <x:v>SOURCE_FACT</x:v>
      </x:c>
      <x:c r="H68" s="43" t="str">
        <x:v>P052 L014</x:v>
      </x:c>
      <x:c r="I68" s="43" t="str">
        <x:v>https://www.ttigroup.com/documents/annual-report-2025/assets/files/en/tti-annual-report-2025-en.pdf</x:v>
      </x:c>
    </x:row>
    <x:row r="69" ht="29" customHeight="1">
      <x:c r="C69" s="42" t="str">
        <x:v>Administrative expenses</x:v>
      </x:c>
      <x:c r="D69" s="43" t="str">
        <x:v>FY2025</x:v>
      </x:c>
      <x:c r="E69" s="43" t="n">
        <x:v>-1491.139</x:v>
      </x:c>
      <x:c r="F69" s="43" t="str">
        <x:v>USD million</x:v>
      </x:c>
      <x:c r="G69" s="43" t="str">
        <x:v>SOURCE_FACT</x:v>
      </x:c>
      <x:c r="H69" s="43" t="str">
        <x:v>P052 L015</x:v>
      </x:c>
      <x:c r="I69" s="43" t="str">
        <x:v>https://www.ttigroup.com/documents/annual-report-2025/assets/files/en/tti-annual-report-2025-en.pdf</x:v>
      </x:c>
    </x:row>
    <x:row r="70" ht="29" customHeight="1">
      <x:c r="C70" s="42" t="str">
        <x:v>Research and development costs</x:v>
      </x:c>
      <x:c r="D70" s="43" t="str">
        <x:v>FY2025</x:v>
      </x:c>
      <x:c r="E70" s="43" t="n">
        <x:v>-756.983</x:v>
      </x:c>
      <x:c r="F70" s="43" t="str">
        <x:v>USD million</x:v>
      </x:c>
      <x:c r="G70" s="43" t="str">
        <x:v>SOURCE_FACT</x:v>
      </x:c>
      <x:c r="H70" s="43" t="str">
        <x:v>P052 L016</x:v>
      </x:c>
      <x:c r="I70" s="43" t="str">
        <x:v>https://www.ttigroup.com/documents/annual-report-2025/assets/files/en/tti-annual-report-2025-en.pdf</x:v>
      </x:c>
    </x:row>
    <x:row r="71" ht="29" customHeight="1">
      <x:c r="C71" s="42" t="str">
        <x:v>Finance costs</x:v>
      </x:c>
      <x:c r="D71" s="43" t="str">
        <x:v>FY2025</x:v>
      </x:c>
      <x:c r="E71" s="43" t="n">
        <x:v>-96.633</x:v>
      </x:c>
      <x:c r="F71" s="43" t="str">
        <x:v>USD million</x:v>
      </x:c>
      <x:c r="G71" s="43" t="str">
        <x:v>SOURCE_FACT</x:v>
      </x:c>
      <x:c r="H71" s="43" t="str">
        <x:v>P052 L017</x:v>
      </x:c>
      <x:c r="I71" s="43" t="str">
        <x:v>https://www.ttigroup.com/documents/annual-report-2025/assets/files/en/tti-annual-report-2025-en.pdf</x:v>
      </x:c>
    </x:row>
    <x:row r="72" ht="29" customHeight="1">
      <x:c r="C72" s="42" t="str">
        <x:v>Interest income</x:v>
      </x:c>
      <x:c r="D72" s="43" t="str">
        <x:v>FY2025</x:v>
      </x:c>
      <x:c r="E72" s="43" t="n">
        <x:v>63.032</x:v>
      </x:c>
      <x:c r="F72" s="43" t="str">
        <x:v>USD million</x:v>
      </x:c>
      <x:c r="G72" s="43" t="str">
        <x:v>SOURCE_FACT</x:v>
      </x:c>
      <x:c r="H72" s="43" t="str">
        <x:v>P052 L013</x:v>
      </x:c>
      <x:c r="I72" s="43" t="str">
        <x:v>https://www.ttigroup.com/documents/annual-report-2025/assets/files/en/tti-annual-report-2025-en.pdf</x:v>
      </x:c>
    </x:row>
    <x:row r="73" ht="29" customHeight="1">
      <x:c r="C73" s="42" t="str">
        <x:v>Finance costs</x:v>
      </x:c>
      <x:c r="D73" s="43" t="str">
        <x:v>FY2025</x:v>
      </x:c>
      <x:c r="E73" s="43" t="n">
        <x:v>-96.633</x:v>
      </x:c>
      <x:c r="F73" s="43" t="str">
        <x:v>USD million</x:v>
      </x:c>
      <x:c r="G73" s="43" t="str">
        <x:v>SOURCE_FACT</x:v>
      </x:c>
      <x:c r="H73" s="43" t="str">
        <x:v>P052 L017</x:v>
      </x:c>
      <x:c r="I73" s="43" t="str">
        <x:v>https://www.ttigroup.com/documents/annual-report-2025/assets/files/en/tti-annual-report-2025-en.pdf</x:v>
      </x:c>
    </x:row>
    <x:row r="74" ht="29" customHeight="1">
      <x:c r="C74" s="42" t="str">
        <x:v>Profit before taxation</x:v>
      </x:c>
      <x:c r="D74" s="43" t="str">
        <x:v>FY2025</x:v>
      </x:c>
      <x:c r="E74" s="43" t="n">
        <x:v>1302.482</x:v>
      </x:c>
      <x:c r="F74" s="43" t="str">
        <x:v>USD million</x:v>
      </x:c>
      <x:c r="G74" s="43" t="str">
        <x:v>SOURCE_FACT</x:v>
      </x:c>
      <x:c r="H74" s="43" t="str">
        <x:v>P052 L023</x:v>
      </x:c>
      <x:c r="I74" s="43" t="str">
        <x:v>https://www.ttigroup.com/documents/annual-report-2025/assets/files/en/tti-annual-report-2025-en.pdf</x:v>
      </x:c>
    </x:row>
    <x:row r="75" ht="29" customHeight="1">
      <x:c r="C75" s="42" t="str">
        <x:v>Taxation charge</x:v>
      </x:c>
      <x:c r="D75" s="43" t="str">
        <x:v>FY2025</x:v>
      </x:c>
      <x:c r="E75" s="43" t="n">
        <x:v>-104.188</x:v>
      </x:c>
      <x:c r="F75" s="43" t="str">
        <x:v>USD million</x:v>
      </x:c>
      <x:c r="G75" s="43" t="str">
        <x:v>SOURCE_FACT</x:v>
      </x:c>
      <x:c r="H75" s="43" t="str">
        <x:v>P052 L024</x:v>
      </x:c>
      <x:c r="I75" s="43" t="str">
        <x:v>https://www.ttigroup.com/documents/annual-report-2025/assets/files/en/tti-annual-report-2025-en.pdf</x:v>
      </x:c>
    </x:row>
    <x:row r="76" ht="29" customHeight="1">
      <x:c r="C76" s="42" t="str">
        <x:v>Profit for the year attributable to Owners of the Company</x:v>
      </x:c>
      <x:c r="D76" s="43" t="str">
        <x:v>FY2025</x:v>
      </x:c>
      <x:c r="E76" s="43" t="n">
        <x:v>1198.294</x:v>
      </x:c>
      <x:c r="F76" s="43" t="str">
        <x:v>USD million</x:v>
      </x:c>
      <x:c r="G76" s="43" t="str">
        <x:v>SOURCE_FACT</x:v>
      </x:c>
      <x:c r="H76" s="43" t="str">
        <x:v>P052 L026</x:v>
      </x:c>
      <x:c r="I76" s="43" t="str">
        <x:v>https://www.ttigroup.com/documents/annual-report-2025/assets/files/en/tti-annual-report-2025-en.pdf</x:v>
      </x:c>
    </x:row>
    <x:row r="77" ht="29" customHeight="1">
      <x:c r="C77" s="42" t="str">
        <x:v>Net Cash from Operating Activities</x:v>
      </x:c>
      <x:c r="D77" s="43" t="str">
        <x:v>FY2025</x:v>
      </x:c>
      <x:c r="E77" s="43" t="n">
        <x:v>1979.181</x:v>
      </x:c>
      <x:c r="F77" s="43" t="str">
        <x:v>USD million</x:v>
      </x:c>
      <x:c r="G77" s="43" t="str">
        <x:v>SOURCE_FACT</x:v>
      </x:c>
      <x:c r="H77" s="43" t="str">
        <x:v>P054 L060</x:v>
      </x:c>
      <x:c r="I77" s="43" t="str">
        <x:v>https://www.ttigroup.com/documents/annual-report-2025/assets/files/en/tti-annual-report-2025-en.pdf</x:v>
      </x:c>
    </x:row>
    <x:row r="78" ht="29" customHeight="1">
      <x:c r="C78" s="42" t="str">
        <x:v>Net Cash used in Investing Activities</x:v>
      </x:c>
      <x:c r="D78" s="43" t="str">
        <x:v>FY2025</x:v>
      </x:c>
      <x:c r="E78" s="43" t="n">
        <x:v>-518.501</x:v>
      </x:c>
      <x:c r="F78" s="43" t="str">
        <x:v>USD million</x:v>
      </x:c>
      <x:c r="G78" s="43" t="str">
        <x:v>SOURCE_FACT</x:v>
      </x:c>
      <x:c r="H78" s="43" t="str">
        <x:v>P054 L022</x:v>
      </x:c>
      <x:c r="I78" s="43" t="str">
        <x:v>https://www.ttigroup.com/documents/annual-report-2025/assets/files/en/tti-annual-report-2025-en.pdf</x:v>
      </x:c>
    </x:row>
    <x:row r="79" ht="29" customHeight="1">
      <x:c r="C79" s="42" t="str">
        <x:v>Net Cash used in Financing Activities</x:v>
      </x:c>
      <x:c r="D79" s="43" t="str">
        <x:v>FY2025</x:v>
      </x:c>
      <x:c r="E79" s="43" t="n">
        <x:v>-1081.317</x:v>
      </x:c>
      <x:c r="F79" s="43" t="str">
        <x:v>USD million</x:v>
      </x:c>
      <x:c r="G79" s="43" t="str">
        <x:v>SOURCE_FACT</x:v>
      </x:c>
      <x:c r="H79" s="43" t="str">
        <x:v>P054 L040</x:v>
      </x:c>
      <x:c r="I79" s="43" t="str">
        <x:v>https://www.ttigroup.com/documents/annual-report-2025/assets/files/en/tti-annual-report-2025-en.pdf</x:v>
      </x:c>
    </x:row>
    <x:row r="80" ht="29" customHeight="1">
      <x:c r="C80" s="42" t="str">
        <x:v>Effect of Foreign Exchange Rate Changes</x:v>
      </x:c>
      <x:c r="D80" s="43" t="str">
        <x:v>FY2025</x:v>
      </x:c>
      <x:c r="E80" s="43" t="n">
        <x:v>66.019</x:v>
      </x:c>
      <x:c r="F80" s="43" t="str">
        <x:v>USD million</x:v>
      </x:c>
      <x:c r="G80" s="43" t="str">
        <x:v>SOURCE_FACT</x:v>
      </x:c>
      <x:c r="H80" s="43" t="str">
        <x:v>P054 L044</x:v>
      </x:c>
      <x:c r="I80" s="43" t="str">
        <x:v>https://www.ttigroup.com/documents/annual-report-2025/assets/files/en/tti-annual-report-2025-en.pdf</x:v>
      </x:c>
    </x:row>
    <x:row r="81" ht="29" customHeight="1">
      <x:c r="C81" s="42" t="str">
        <x:v>Cash and Cash Equivalents at Beginning of the Year</x:v>
      </x:c>
      <x:c r="D81" s="43" t="str">
        <x:v>FY2025</x:v>
      </x:c>
      <x:c r="E81" s="43" t="n">
        <x:v>1232.347</x:v>
      </x:c>
      <x:c r="F81" s="43" t="str">
        <x:v>USD million</x:v>
      </x:c>
      <x:c r="G81" s="43" t="str">
        <x:v>SOURCE_FACT</x:v>
      </x:c>
      <x:c r="H81" s="43" t="str">
        <x:v>P054 L043</x:v>
      </x:c>
      <x:c r="I81" s="43" t="str">
        <x:v>https://www.ttigroup.com/documents/annual-report-2025/assets/files/en/tti-annual-report-2025-en.pdf</x:v>
      </x:c>
    </x:row>
    <x:row r="82" ht="29" customHeight="1">
      <x:c r="C82" s="42" t="str">
        <x:v>Cash and Cash Equivalents at End of the Year</x:v>
      </x:c>
      <x:c r="D82" s="43" t="str">
        <x:v>FY2025</x:v>
      </x:c>
      <x:c r="E82" s="43" t="n">
        <x:v>1677.729</x:v>
      </x:c>
      <x:c r="F82" s="43" t="str">
        <x:v>USD million</x:v>
      </x:c>
      <x:c r="G82" s="43" t="str">
        <x:v>SOURCE_FACT</x:v>
      </x:c>
      <x:c r="H82" s="43" t="str">
        <x:v>P054 L045</x:v>
      </x:c>
      <x:c r="I82" s="43" t="str">
        <x:v>https://www.ttigroup.com/documents/annual-report-2025/assets/files/en/tti-annual-report-2025-en.pdf</x:v>
      </x:c>
    </x:row>
    <x:row r="83" ht="29" customHeight="1">
      <x:c r="C83" s="42" t="str">
        <x:v>Purchase of property, plant and equipment</x:v>
      </x:c>
      <x:c r="D83" s="43" t="str">
        <x:v>FY2025</x:v>
      </x:c>
      <x:c r="E83" s="43" t="n">
        <x:v>-288.961</x:v>
      </x:c>
      <x:c r="F83" s="43" t="str">
        <x:v>USD million</x:v>
      </x:c>
      <x:c r="G83" s="43" t="str">
        <x:v>SOURCE_FACT</x:v>
      </x:c>
      <x:c r="H83" s="43" t="str">
        <x:v>P054 L020</x:v>
      </x:c>
      <x:c r="I83" s="43" t="str">
        <x:v>https://www.ttigroup.com/documents/annual-report-2025/assets/files/en/tti-annual-report-2025-en.pdf</x:v>
      </x:c>
    </x:row>
    <x:row r="84" ht="29" customHeight="1">
      <x:c r="C84" s="42" t="str">
        <x:v>Additions to intangible assets</x:v>
      </x:c>
      <x:c r="D84" s="43" t="str">
        <x:v>FY2025</x:v>
      </x:c>
      <x:c r="E84" s="43" t="n">
        <x:v>-300.904</x:v>
      </x:c>
      <x:c r="F84" s="43" t="str">
        <x:v>USD million</x:v>
      </x:c>
      <x:c r="G84" s="43" t="str">
        <x:v>SOURCE_FACT</x:v>
      </x:c>
      <x:c r="H84" s="43" t="str">
        <x:v>P054 L013</x:v>
      </x:c>
      <x:c r="I84" s="43" t="str">
        <x:v>https://www.ttigroup.com/documents/annual-report-2025/assets/files/en/tti-annual-report-2025-en.pdf</x:v>
      </x:c>
    </x:row>
    <x:row r="85" ht="29" customHeight="1">
      <x:c r="C85" s="42" t="str">
        <x:v>Equity attributable to Owners of the Company and total equity</x:v>
      </x:c>
      <x:c r="D85" s="43" t="str">
        <x:v>FY2025</x:v>
      </x:c>
      <x:c r="E85" s="43" t="n">
        <x:v>6958.454</x:v>
      </x:c>
      <x:c r="F85" s="43" t="str">
        <x:v>USD million</x:v>
      </x:c>
      <x:c r="G85" s="43" t="str">
        <x:v>SOURCE_FACT</x:v>
      </x:c>
      <x:c r="H85" s="43" t="str">
        <x:v>P053 L016</x:v>
      </x:c>
      <x:c r="I85" s="43" t="str">
        <x:v>https://www.ttigroup.com/documents/annual-report-2025/assets/files/en/tti-annual-report-2025-en.pdf</x:v>
      </x:c>
    </x:row>
    <x:row r="86" ht="29" customHeight="1">
      <x:c r="C86" s="42" t="str"/>
      <x:c r="D86" s="43" t="str">
        <x:v>FY2025</x:v>
      </x:c>
      <x:c r="E86" s="43" t="n">
        <x:v>6481.039</x:v>
      </x:c>
      <x:c r="F86" s="43" t="str">
        <x:v>USD million</x:v>
      </x:c>
      <x:c r="G86" s="43" t="str">
        <x:v>SOURCE_FACT</x:v>
      </x:c>
      <x:c r="H86" s="43" t="str">
        <x:v>P053 L062</x:v>
      </x:c>
      <x:c r="I86" s="43" t="str">
        <x:v>https://www.ttigroup.com/documents/annual-report-2025/assets/files/en/tti-annual-report-2025-en.pdf</x:v>
      </x:c>
    </x:row>
    <x:row r="87" ht="29" customHeight="1">
      <x:c r="C87" s="42" t="str">
        <x:v>Amortization/write-off of intangible assets</x:v>
      </x:c>
      <x:c r="D87" s="43" t="str">
        <x:v>FY2025</x:v>
      </x:c>
      <x:c r="E87" s="43" t="n">
        <x:v>422.597</x:v>
      </x:c>
      <x:c r="F87" s="43" t="str">
        <x:v>USD million</x:v>
      </x:c>
      <x:c r="G87" s="43" t="str">
        <x:v>SOURCE_FACT</x:v>
      </x:c>
      <x:c r="H87" s="43" t="str">
        <x:v>P054 L015</x:v>
      </x:c>
      <x:c r="I87" s="43" t="str">
        <x:v>https://www.ttigroup.com/documents/annual-report-2025/assets/files/en/tti-annual-report-2025-en.pdf</x:v>
      </x:c>
    </x:row>
    <x:row r="88" ht="29" customHeight="1">
      <x:c r="C88" s="42" t="str">
        <x:v>Depreciation of property, plant and equipment</x:v>
      </x:c>
      <x:c r="D88" s="43" t="str">
        <x:v>FY2025</x:v>
      </x:c>
      <x:c r="E88" s="43" t="n">
        <x:v>278.888</x:v>
      </x:c>
      <x:c r="F88" s="43" t="str">
        <x:v>USD million</x:v>
      </x:c>
      <x:c r="G88" s="43" t="str">
        <x:v>SOURCE_FACT</x:v>
      </x:c>
      <x:c r="H88" s="43" t="str">
        <x:v>P054 L016</x:v>
      </x:c>
      <x:c r="I88" s="43" t="str">
        <x:v>https://www.ttigroup.com/documents/annual-report-2025/assets/files/en/tti-annual-report-2025-en.pdf</x:v>
      </x:c>
    </x:row>
    <x:row r="89" ht="29" customHeight="1">
      <x:c r="C89" s="42" t="str">
        <x:v>Depreciation of right of use assets</x:v>
      </x:c>
      <x:c r="D89" s="43" t="str">
        <x:v>FY2025</x:v>
      </x:c>
      <x:c r="E89" s="43" t="n">
        <x:v>167.921</x:v>
      </x:c>
      <x:c r="F89" s="43" t="str">
        <x:v>USD million</x:v>
      </x:c>
      <x:c r="G89" s="43" t="str">
        <x:v>SOURCE_FACT</x:v>
      </x:c>
      <x:c r="H89" s="43" t="str">
        <x:v>P054 L017</x:v>
      </x:c>
      <x:c r="I89" s="43" t="str">
        <x:v>https://www.ttigroup.com/documents/annual-report-2025/assets/files/en/tti-annual-report-2025-en.pdf</x:v>
      </x:c>
    </x:row>
    <x:row r="90" ht="29" customHeight="1">
      <x:c r="C90" s="42" t="str">
        <x:v>Revenue</x:v>
      </x:c>
      <x:c r="D90" s="43" t="str">
        <x:v>H12025</x:v>
      </x:c>
      <x:c r="E90" s="43" t="n">
        <x:v>7833.083</x:v>
      </x:c>
      <x:c r="F90" s="43" t="str">
        <x:v>USD million</x:v>
      </x:c>
      <x:c r="G90" s="43" t="str">
        <x:v>SOURCE_FACT</x:v>
      </x:c>
      <x:c r="H90" s="43" t="str">
        <x:v>P007 L009</x:v>
      </x:c>
      <x:c r="I90" s="43" t="str">
        <x:v>https://www.ttigroup.com/documents/interim-results-2026/files/TTI-2026IR-Full_Report-en.pdf</x:v>
      </x:c>
    </x:row>
    <x:row r="91" ht="29" customHeight="1">
      <x:c r="C91" s="42" t="str">
        <x:v>Profit before taxation</x:v>
      </x:c>
      <x:c r="D91" s="43" t="str">
        <x:v>H12025</x:v>
      </x:c>
      <x:c r="E91" s="43" t="n">
        <x:v>681.496</x:v>
      </x:c>
      <x:c r="F91" s="43" t="str">
        <x:v>USD million</x:v>
      </x:c>
      <x:c r="G91" s="43" t="str">
        <x:v>SOURCE_FACT</x:v>
      </x:c>
      <x:c r="H91" s="43" t="str">
        <x:v>P007 L024</x:v>
      </x:c>
      <x:c r="I91" s="43" t="str">
        <x:v>https://www.ttigroup.com/documents/interim-results-2026/files/TTI-2026IR-Full_Report-en.pdf</x:v>
      </x:c>
    </x:row>
    <x:row r="92" ht="29" customHeight="1">
      <x:c r="C92" s="42" t="str">
        <x:v>Profit for the period attributable to Owners of the Company</x:v>
      </x:c>
      <x:c r="D92" s="43" t="str">
        <x:v>H12025</x:v>
      </x:c>
      <x:c r="E92" s="43" t="n">
        <x:v>628.339</x:v>
      </x:c>
      <x:c r="F92" s="43" t="str">
        <x:v>USD million</x:v>
      </x:c>
      <x:c r="G92" s="43" t="str">
        <x:v>SOURCE_FACT</x:v>
      </x:c>
      <x:c r="H92" s="43" t="str">
        <x:v>P007 L027</x:v>
      </x:c>
      <x:c r="I92" s="43" t="str">
        <x:v>https://www.ttigroup.com/documents/interim-results-2026/files/TTI-2026IR-Full_Report-en.pdf</x:v>
      </x:c>
    </x:row>
    <x:row r="93" ht="29" customHeight="1">
      <x:c r="C93" s="42" t="str">
        <x:v>Revenue</x:v>
      </x:c>
      <x:c r="D93" s="43" t="str">
        <x:v>H12026</x:v>
      </x:c>
      <x:c r="E93" s="43" t="n">
        <x:v>8291.607</x:v>
      </x:c>
      <x:c r="F93" s="43" t="str">
        <x:v>USD million</x:v>
      </x:c>
      <x:c r="G93" s="43" t="str">
        <x:v>SOURCE_FACT</x:v>
      </x:c>
      <x:c r="H93" s="43" t="str">
        <x:v>P007 L009</x:v>
      </x:c>
      <x:c r="I93" s="43" t="str">
        <x:v>https://www.ttigroup.com/documents/interim-results-2026/files/TTI-2026IR-Full_Report-en.pdf</x:v>
      </x:c>
    </x:row>
    <x:row r="94" ht="29" customHeight="1">
      <x:c r="C94" s="42" t="str">
        <x:v>Profit before taxation</x:v>
      </x:c>
      <x:c r="D94" s="43" t="str">
        <x:v>H12026</x:v>
      </x:c>
      <x:c r="E94" s="43" t="n">
        <x:v>802.616</x:v>
      </x:c>
      <x:c r="F94" s="43" t="str">
        <x:v>USD million</x:v>
      </x:c>
      <x:c r="G94" s="43" t="str">
        <x:v>SOURCE_FACT</x:v>
      </x:c>
      <x:c r="H94" s="43" t="str">
        <x:v>P007 L024</x:v>
      </x:c>
      <x:c r="I94" s="43" t="str">
        <x:v>https://www.ttigroup.com/documents/interim-results-2026/files/TTI-2026IR-Full_Report-en.pdf</x:v>
      </x:c>
    </x:row>
    <x:row r="95" ht="29" customHeight="1">
      <x:c r="C95" s="42" t="str">
        <x:v>Profit for the period attributable to Owners of the Company</x:v>
      </x:c>
      <x:c r="D95" s="43" t="str">
        <x:v>H12026</x:v>
      </x:c>
      <x:c r="E95" s="43" t="n">
        <x:v>738.407</x:v>
      </x:c>
      <x:c r="F95" s="43" t="str">
        <x:v>USD million</x:v>
      </x:c>
      <x:c r="G95" s="43" t="str">
        <x:v>SOURCE_FACT</x:v>
      </x:c>
      <x:c r="H95" s="43" t="str">
        <x:v>P007 L027</x:v>
      </x:c>
      <x:c r="I95" s="43" t="str">
        <x:v>https://www.ttigroup.com/documents/interim-results-2026/files/TTI-2026IR-Full_Report-en.pdf</x:v>
      </x:c>
    </x:row>
    <x:row r="96" ht="29" customHeight="1">
      <x:c r="C96" s="42" t="str">
        <x:v>cash-generating units, consisting of the Pro</x:v>
      </x:c>
      <x:c r="D96" s="43" t="str">
        <x:v>H12026</x:v>
      </x:c>
      <x:c r="E96" s="43" t="n">
        <x:v>5890.811</x:v>
      </x:c>
      <x:c r="F96" s="43" t="str">
        <x:v>USD million</x:v>
      </x:c>
      <x:c r="G96" s="43" t="str">
        <x:v>SOURCE_FACT</x:v>
      </x:c>
      <x:c r="H96" s="43" t="str">
        <x:v>P011 L016</x:v>
      </x:c>
      <x:c r="I96" s="43" t="str">
        <x:v>https://www.ttigroup.com/documents/interim-results-2026/files/TTI-2026IR-Full_Report-en.pdf</x:v>
      </x:c>
    </x:row>
    <x:row r="97" ht="29" customHeight="1">
      <x:c r="C97" s="42" t="str">
        <x:v>cash-generating units, consisting of the Pro</x:v>
      </x:c>
      <x:c r="D97" s="43" t="str">
        <x:v>H12026</x:v>
      </x:c>
      <x:c r="E97" s="43" t="n">
        <x:v>2400.796</x:v>
      </x:c>
      <x:c r="F97" s="43" t="str">
        <x:v>USD million</x:v>
      </x:c>
      <x:c r="G97" s="43" t="str">
        <x:v>SOURCE_FACT</x:v>
      </x:c>
      <x:c r="H97" s="43" t="str">
        <x:v>P011 L016</x:v>
      </x:c>
      <x:c r="I97" s="43" t="str">
        <x:v>https://www.ttigroup.com/documents/interim-results-2026/files/TTI-2026IR-Full_Report-en.pdf</x:v>
      </x:c>
    </x:row>
    <x:row r="98" ht="29" customHeight="1">
      <x:c r="C98" s="42" t="str"/>
      <x:c r="D98" s="43" t="str">
        <x:v>H12026</x:v>
      </x:c>
      <x:c r="E98" s="43" t="n">
        <x:v>5371.581</x:v>
      </x:c>
      <x:c r="F98" s="43" t="str">
        <x:v>USD million</x:v>
      </x:c>
      <x:c r="G98" s="43" t="str">
        <x:v>SOURCE_FACT</x:v>
      </x:c>
      <x:c r="H98" s="43" t="str">
        <x:v>P011 L028</x:v>
      </x:c>
      <x:c r="I98" s="43" t="str">
        <x:v>https://www.ttigroup.com/documents/interim-results-2026/files/TTI-2026IR-Full_Report-en.pdf</x:v>
      </x:c>
    </x:row>
    <x:row r="99" ht="29" customHeight="1">
      <x:c r="C99" s="42" t="str"/>
      <x:c r="D99" s="43" t="str">
        <x:v>H12026</x:v>
      </x:c>
      <x:c r="E99" s="43" t="n">
        <x:v>2461.502</x:v>
      </x:c>
      <x:c r="F99" s="43" t="str">
        <x:v>USD million</x:v>
      </x:c>
      <x:c r="G99" s="43" t="str">
        <x:v>SOURCE_FACT</x:v>
      </x:c>
      <x:c r="H99" s="43" t="str">
        <x:v>P011 L028</x:v>
      </x:c>
      <x:c r="I99" s="43" t="str">
        <x:v>https://www.ttigroup.com/documents/interim-results-2026/files/TTI-2026IR-Full_Report-en.pdf</x:v>
      </x:c>
    </x:row>
    <x:row r="100" ht="29" customHeight="1">
      <x:c r="C100" s="42"/>
      <x:c r="D100" s="43"/>
      <x:c r="E100" s="43"/>
      <x:c r="F100" s="43"/>
      <x:c r="G100" s="43"/>
      <x:c r="H100" s="43"/>
      <x:c r="I100" s="43"/>
    </x:row>
    <x:row r="101" ht="21" customHeight="1">
      <x:c r="C101" s="1"/>
      <x:c r="D101" s="2"/>
      <x:c r="E101" s="2"/>
      <x:c r="F101" s="2"/>
      <x:c r="G101" s="2"/>
      <x:c r="H101" s="2"/>
      <x:c r="I101" s="2"/>
    </x:row>
    <x:row r="102" ht="21" customHeight="1">
      <x:c r="C102" s="1"/>
      <x:c r="D102" s="2"/>
      <x:c r="E102" s="2"/>
      <x:c r="F102" s="2"/>
      <x:c r="G102" s="2"/>
      <x:c r="H102" s="2"/>
      <x:c r="I102" s="2"/>
    </x:row>
    <x:row r="103" ht="21" customHeight="1">
      <x:c r="C103" s="1"/>
      <x:c r="D103" s="2"/>
      <x:c r="E103" s="2"/>
      <x:c r="F103" s="2"/>
      <x:c r="G103" s="2"/>
      <x:c r="H103" s="2"/>
      <x:c r="I103" s="2"/>
    </x:row>
    <x:row r="104" ht="21" customHeight="1">
      <x:c r="C104" s="1"/>
      <x:c r="D104" s="2"/>
      <x:c r="E104" s="2"/>
      <x:c r="F104" s="2"/>
      <x:c r="G104" s="2"/>
      <x:c r="H104" s="2"/>
      <x:c r="I104" s="2"/>
    </x:row>
    <x:row r="105" ht="21" customHeight="1">
      <x:c r="C105" s="1"/>
      <x:c r="D105" s="2"/>
      <x:c r="E105" s="2"/>
      <x:c r="F105" s="2"/>
      <x:c r="G105" s="2"/>
      <x:c r="H105" s="2"/>
      <x:c r="I105" s="2"/>
    </x:row>
    <x:row r="106" ht="21" customHeight="1">
      <x:c r="C106" s="1"/>
      <x:c r="D106" s="2"/>
      <x:c r="E106" s="2"/>
      <x:c r="F106" s="2"/>
      <x:c r="G106" s="2"/>
      <x:c r="H106" s="2"/>
      <x:c r="I106" s="2"/>
    </x:row>
    <x:row r="107" ht="21" customHeight="1">
      <x:c r="C107" s="1"/>
      <x:c r="D107" s="2"/>
      <x:c r="E107" s="2"/>
      <x:c r="F107" s="2"/>
      <x:c r="G107" s="2"/>
      <x:c r="H107" s="2"/>
      <x:c r="I107" s="2"/>
    </x:row>
    <x:row r="108" ht="21" customHeight="1">
      <x:c r="C108" s="1"/>
      <x:c r="D108" s="2"/>
      <x:c r="E108" s="2"/>
      <x:c r="F108" s="2"/>
      <x:c r="G108" s="2"/>
      <x:c r="H108" s="2"/>
      <x:c r="I108" s="2"/>
    </x:row>
    <x:row r="109" ht="21" customHeight="1">
      <x:c r="C109" s="1"/>
      <x:c r="D109" s="2"/>
      <x:c r="E109" s="2"/>
      <x:c r="F109" s="2"/>
      <x:c r="G109" s="2"/>
      <x:c r="H109" s="2"/>
      <x:c r="I109" s="2"/>
    </x:row>
    <x:row r="110" ht="21" customHeight="1">
      <x:c r="C110" s="1"/>
      <x:c r="D110" s="2"/>
      <x:c r="E110" s="2"/>
      <x:c r="F110" s="2"/>
      <x:c r="G110" s="2"/>
      <x:c r="H110" s="2"/>
      <x:c r="I110" s="2"/>
    </x:row>
    <x:row r="111" ht="21" customHeight="1">
      <x:c r="C111" s="1"/>
      <x:c r="D111" s="2"/>
      <x:c r="E111" s="2"/>
      <x:c r="F111" s="2"/>
      <x:c r="G111" s="2"/>
      <x:c r="H111" s="2"/>
      <x:c r="I111" s="2"/>
    </x:row>
    <x:row r="112" ht="21" customHeight="1">
      <x:c r="C112" s="1"/>
      <x:c r="D112" s="2"/>
      <x:c r="E112" s="2"/>
      <x:c r="F112" s="2"/>
      <x:c r="G112" s="2"/>
      <x:c r="H112" s="2"/>
      <x:c r="I112" s="2"/>
    </x:row>
    <x:row r="113" ht="21" customHeight="1">
      <x:c r="C113" s="1"/>
      <x:c r="D113" s="2"/>
      <x:c r="E113" s="2"/>
      <x:c r="F113" s="2"/>
      <x:c r="G113" s="2"/>
      <x:c r="H113" s="2"/>
      <x:c r="I113" s="2"/>
    </x:row>
    <x:row r="114" ht="21" customHeight="1">
      <x:c r="C114" s="1"/>
      <x:c r="D114" s="2"/>
      <x:c r="E114" s="2"/>
      <x:c r="F114" s="2"/>
      <x:c r="G114" s="2"/>
      <x:c r="H114" s="2"/>
      <x:c r="I114" s="2"/>
    </x:row>
    <x:row r="115" ht="21" customHeight="1">
      <x:c r="C115" s="1"/>
      <x:c r="D115" s="2"/>
      <x:c r="E115" s="2"/>
      <x:c r="F115" s="2"/>
      <x:c r="G115" s="2"/>
      <x:c r="H115" s="2"/>
      <x:c r="I115" s="2"/>
    </x:row>
    <x:row r="116" ht="21" customHeight="1">
      <x:c r="C116" s="1"/>
      <x:c r="D116" s="2"/>
      <x:c r="E116" s="2"/>
      <x:c r="F116" s="2"/>
      <x:c r="G116" s="2"/>
      <x:c r="H116" s="2"/>
      <x:c r="I116" s="2"/>
    </x:row>
    <x:row r="117" ht="21" customHeight="1">
      <x:c r="C117" s="1"/>
      <x:c r="D117" s="2"/>
      <x:c r="E117" s="2"/>
      <x:c r="F117" s="2"/>
      <x:c r="G117" s="2"/>
      <x:c r="H117" s="2"/>
      <x:c r="I117" s="2"/>
    </x:row>
    <x:row r="118" ht="21" customHeight="1">
      <x:c r="C118" s="1"/>
      <x:c r="D118" s="2"/>
      <x:c r="E118" s="2"/>
      <x:c r="F118" s="2"/>
      <x:c r="G118" s="2"/>
      <x:c r="H118" s="2"/>
      <x:c r="I118" s="2"/>
    </x:row>
    <x:row r="119" ht="21" customHeight="1">
      <x:c r="C119" s="1"/>
      <x:c r="D119" s="2"/>
      <x:c r="E119" s="2"/>
      <x:c r="F119" s="2"/>
      <x:c r="G119" s="2"/>
      <x:c r="H119" s="2"/>
      <x:c r="I119" s="2"/>
    </x:row>
    <x:row r="120" ht="21" customHeight="1">
      <x:c r="C120" s="1"/>
      <x:c r="D120" s="2"/>
      <x:c r="E120" s="2"/>
      <x:c r="F120" s="2"/>
      <x:c r="G120" s="2"/>
      <x:c r="H120" s="2"/>
      <x:c r="I120" s="2"/>
    </x:row>
    <x:row r="121" ht="21" customHeight="1">
      <x:c r="C121" s="1"/>
      <x:c r="D121" s="2"/>
      <x:c r="E121" s="2"/>
      <x:c r="F121" s="2"/>
      <x:c r="G121" s="2"/>
      <x:c r="H121" s="2"/>
      <x:c r="I121" s="2"/>
    </x:row>
    <x:row r="122" ht="21" customHeight="1">
      <x:c r="C122" s="1"/>
      <x:c r="D122" s="2"/>
      <x:c r="E122" s="2"/>
      <x:c r="F122" s="2"/>
      <x:c r="G122" s="2"/>
      <x:c r="H122" s="2"/>
      <x:c r="I122" s="2"/>
    </x:row>
    <x:row r="123" ht="21" customHeight="1">
      <x:c r="C123" s="1"/>
      <x:c r="D123" s="2"/>
      <x:c r="E123" s="2"/>
      <x:c r="F123" s="2"/>
      <x:c r="G123" s="2"/>
      <x:c r="H123" s="2"/>
      <x:c r="I123" s="2"/>
    </x:row>
    <x:row r="124" ht="21" customHeight="1">
      <x:c r="C124" s="1"/>
      <x:c r="D124" s="2"/>
      <x:c r="E124" s="2"/>
      <x:c r="F124" s="2"/>
      <x:c r="G124" s="2"/>
      <x:c r="H124" s="2"/>
      <x:c r="I124" s="2"/>
    </x:row>
    <x:row r="125" ht="21" customHeight="1">
      <x:c r="C125" s="1"/>
      <x:c r="D125" s="2"/>
      <x:c r="E125" s="2"/>
      <x:c r="F125" s="2"/>
      <x:c r="G125" s="2"/>
      <x:c r="H125" s="2"/>
      <x:c r="I125" s="2"/>
    </x:row>
    <x:row r="126" ht="21" customHeight="1">
      <x:c r="C126" s="1"/>
      <x:c r="D126" s="2"/>
      <x:c r="E126" s="2"/>
      <x:c r="F126" s="2"/>
      <x:c r="G126" s="2"/>
      <x:c r="H126" s="2"/>
      <x:c r="I126" s="2"/>
    </x:row>
    <x:row r="127" ht="21" customHeight="1">
      <x:c r="C127" s="1"/>
      <x:c r="D127" s="2"/>
      <x:c r="E127" s="2"/>
      <x:c r="F127" s="2"/>
      <x:c r="G127" s="2"/>
      <x:c r="H127" s="2"/>
      <x:c r="I127" s="2"/>
    </x:row>
    <x:row r="128" ht="21" customHeight="1">
      <x:c r="C128" s="1"/>
      <x:c r="D128" s="2"/>
      <x:c r="E128" s="2"/>
      <x:c r="F128" s="2"/>
      <x:c r="G128" s="2"/>
      <x:c r="H128" s="2"/>
      <x:c r="I128" s="2"/>
    </x:row>
    <x:row r="129" ht="21" customHeight="1">
      <x:c r="C129" s="1"/>
      <x:c r="D129" s="2"/>
      <x:c r="E129" s="2"/>
      <x:c r="F129" s="2"/>
      <x:c r="G129" s="2"/>
      <x:c r="H129" s="2"/>
      <x:c r="I129" s="2"/>
    </x:row>
    <x:row r="130" ht="21" customHeight="1">
      <x:c r="C130" s="1"/>
      <x:c r="D130" s="2"/>
      <x:c r="E130" s="2"/>
      <x:c r="F130" s="2"/>
      <x:c r="G130" s="2"/>
      <x:c r="H130" s="2"/>
      <x:c r="I130" s="2"/>
    </x:row>
    <x:row r="131" ht="21" customHeight="1">
      <x:c r="C131" s="1"/>
      <x:c r="D131" s="2"/>
      <x:c r="E131" s="2"/>
      <x:c r="F131" s="2"/>
      <x:c r="G131" s="2"/>
      <x:c r="H131" s="2"/>
      <x:c r="I131" s="2"/>
    </x:row>
    <x:row r="132" ht="21" customHeight="1">
      <x:c r="C132" s="1"/>
      <x:c r="D132" s="2"/>
      <x:c r="E132" s="2"/>
      <x:c r="F132" s="2"/>
      <x:c r="G132" s="2"/>
      <x:c r="H132" s="2"/>
      <x:c r="I132" s="2"/>
    </x:row>
    <x:row r="133" ht="21" customHeight="1">
      <x:c r="C133" s="1"/>
      <x:c r="D133" s="2"/>
      <x:c r="E133" s="2"/>
      <x:c r="F133" s="2"/>
      <x:c r="G133" s="2"/>
      <x:c r="H133" s="2"/>
      <x:c r="I133" s="2"/>
    </x:row>
    <x:row r="134" ht="21" customHeight="1">
      <x:c r="C134" s="1"/>
      <x:c r="D134" s="2"/>
      <x:c r="E134" s="2"/>
      <x:c r="F134" s="2"/>
      <x:c r="G134" s="2"/>
      <x:c r="H134" s="2"/>
      <x:c r="I134" s="2"/>
    </x:row>
    <x:row r="135" ht="21" customHeight="1">
      <x:c r="C135" s="1"/>
      <x:c r="D135" s="2"/>
      <x:c r="E135" s="2"/>
      <x:c r="F135" s="2"/>
      <x:c r="G135" s="2"/>
      <x:c r="H135" s="2"/>
      <x:c r="I135" s="2"/>
    </x:row>
    <x:row r="136" ht="21" customHeight="1">
      <x:c r="C136" s="1"/>
      <x:c r="D136" s="2"/>
      <x:c r="E136" s="2"/>
      <x:c r="F136" s="2"/>
      <x:c r="G136" s="2"/>
      <x:c r="H136" s="2"/>
      <x:c r="I136" s="2"/>
    </x:row>
    <x:row r="137" ht="21" customHeight="1">
      <x:c r="C137" s="1"/>
      <x:c r="D137" s="2"/>
      <x:c r="E137" s="2"/>
      <x:c r="F137" s="2"/>
      <x:c r="G137" s="2"/>
      <x:c r="H137" s="2"/>
      <x:c r="I137" s="2"/>
    </x:row>
    <x:row r="138" ht="21" customHeight="1">
      <x:c r="C138" s="1"/>
      <x:c r="D138" s="2"/>
      <x:c r="E138" s="2"/>
      <x:c r="F138" s="2"/>
      <x:c r="G138" s="2"/>
      <x:c r="H138" s="2"/>
      <x:c r="I138" s="2"/>
    </x:row>
    <x:row r="139" ht="21" customHeight="1">
      <x:c r="C139" s="1"/>
      <x:c r="D139" s="2"/>
      <x:c r="E139" s="2"/>
      <x:c r="F139" s="2"/>
      <x:c r="G139" s="2"/>
      <x:c r="H139" s="2"/>
      <x:c r="I139" s="2"/>
    </x:row>
    <x:row r="140" ht="21" customHeight="1">
      <x:c r="C140" s="1"/>
      <x:c r="D140" s="2"/>
      <x:c r="E140" s="2"/>
      <x:c r="F140" s="2"/>
      <x:c r="G140" s="2"/>
      <x:c r="H140" s="2"/>
      <x:c r="I140" s="2"/>
    </x:row>
    <x:row r="141" ht="21" customHeight="1">
      <x:c r="C141" s="1"/>
      <x:c r="D141" s="2"/>
      <x:c r="E141" s="2"/>
      <x:c r="F141" s="2"/>
      <x:c r="G141" s="2"/>
      <x:c r="H141" s="2"/>
      <x:c r="I141" s="2"/>
    </x:row>
    <x:row r="142" ht="21" customHeight="1">
      <x:c r="C142" s="1"/>
      <x:c r="D142" s="2"/>
      <x:c r="E142" s="2"/>
      <x:c r="F142" s="2"/>
      <x:c r="G142" s="2"/>
      <x:c r="H142" s="2"/>
      <x:c r="I142" s="2"/>
    </x:row>
    <x:row r="143" ht="21" customHeight="1">
      <x:c r="C143" s="1"/>
      <x:c r="D143" s="2"/>
      <x:c r="E143" s="2"/>
      <x:c r="F143" s="2"/>
      <x:c r="G143" s="2"/>
      <x:c r="H143" s="2"/>
      <x:c r="I143" s="2"/>
    </x:row>
    <x:row r="144" ht="21" customHeight="1">
      <x:c r="C144" s="1"/>
      <x:c r="D144" s="2"/>
      <x:c r="E144" s="2"/>
      <x:c r="F144" s="2"/>
      <x:c r="G144" s="2"/>
      <x:c r="H144" s="2"/>
      <x:c r="I144" s="2"/>
    </x:row>
    <x:row r="145" ht="21" customHeight="1">
      <x:c r="C145" s="1"/>
      <x:c r="D145" s="2"/>
      <x:c r="E145" s="2"/>
      <x:c r="F145" s="2"/>
      <x:c r="G145" s="2"/>
      <x:c r="H145" s="2"/>
      <x:c r="I145" s="2"/>
    </x:row>
    <x:row r="146" ht="21" customHeight="1">
      <x:c r="C146" s="1"/>
      <x:c r="D146" s="2"/>
      <x:c r="E146" s="2"/>
      <x:c r="F146" s="2"/>
      <x:c r="G146" s="2"/>
      <x:c r="H146" s="2"/>
      <x:c r="I146" s="2"/>
    </x:row>
    <x:row r="147" ht="21" customHeight="1">
      <x:c r="C147" s="1"/>
      <x:c r="D147" s="2"/>
      <x:c r="E147" s="2"/>
      <x:c r="F147" s="2"/>
      <x:c r="G147" s="2"/>
      <x:c r="H147" s="2"/>
      <x:c r="I147" s="2"/>
    </x:row>
    <x:row r="148" ht="21" customHeight="1">
      <x:c r="C148" s="1"/>
      <x:c r="D148" s="2"/>
      <x:c r="E148" s="2"/>
      <x:c r="F148" s="2"/>
      <x:c r="G148" s="2"/>
      <x:c r="H148" s="2"/>
      <x:c r="I148" s="2"/>
    </x:row>
    <x:row r="149" ht="21" customHeight="1">
      <x:c r="C149" s="1"/>
      <x:c r="D149" s="2"/>
      <x:c r="E149" s="2"/>
      <x:c r="F149" s="2"/>
      <x:c r="G149" s="2"/>
      <x:c r="H149" s="2"/>
      <x:c r="I149" s="2"/>
    </x:row>
    <x:row r="150" ht="21" customHeight="1">
      <x:c r="C150" s="1"/>
      <x:c r="D150" s="2"/>
      <x:c r="E150" s="2"/>
      <x:c r="F150" s="2"/>
      <x:c r="G150" s="2"/>
      <x:c r="H150" s="2"/>
      <x:c r="I150" s="2"/>
    </x:row>
    <x:row r="151" ht="21" customHeight="1">
      <x:c r="C151" s="1"/>
      <x:c r="D151" s="2"/>
      <x:c r="E151" s="2"/>
      <x:c r="F151" s="2"/>
      <x:c r="G151" s="2"/>
      <x:c r="H151" s="2"/>
      <x:c r="I151" s="2"/>
    </x:row>
    <x:row r="152" ht="21" customHeight="1">
      <x:c r="C152" s="1"/>
      <x:c r="D152" s="2"/>
      <x:c r="E152" s="2"/>
      <x:c r="F152" s="2"/>
      <x:c r="G152" s="2"/>
      <x:c r="H152" s="2"/>
      <x:c r="I152" s="2"/>
    </x:row>
    <x:row r="153" ht="21" customHeight="1">
      <x:c r="C153" s="1"/>
      <x:c r="D153" s="2"/>
      <x:c r="E153" s="2"/>
      <x:c r="F153" s="2"/>
      <x:c r="G153" s="2"/>
      <x:c r="H153" s="2"/>
      <x:c r="I153" s="2"/>
    </x:row>
    <x:row r="154" ht="21" customHeight="1">
      <x:c r="C154" s="1"/>
      <x:c r="D154" s="2"/>
      <x:c r="E154" s="2"/>
      <x:c r="F154" s="2"/>
      <x:c r="G154" s="2"/>
      <x:c r="H154" s="2"/>
      <x:c r="I154" s="2"/>
    </x:row>
    <x:row r="155" ht="21" customHeight="1">
      <x:c r="C155" s="1"/>
      <x:c r="D155" s="2"/>
      <x:c r="E155" s="2"/>
      <x:c r="F155" s="2"/>
      <x:c r="G155" s="2"/>
      <x:c r="H155" s="2"/>
      <x:c r="I155" s="2"/>
    </x:row>
    <x:row r="156" ht="21" customHeight="1">
      <x:c r="C156" s="1"/>
      <x:c r="D156" s="2"/>
      <x:c r="E156" s="2"/>
      <x:c r="F156" s="2"/>
      <x:c r="G156" s="2"/>
      <x:c r="H156" s="2"/>
      <x:c r="I156" s="2"/>
    </x:row>
    <x:row r="157" ht="21" customHeight="1">
      <x:c r="C157" s="1"/>
      <x:c r="D157" s="2"/>
      <x:c r="E157" s="2"/>
      <x:c r="F157" s="2"/>
      <x:c r="G157" s="2"/>
      <x:c r="H157" s="2"/>
      <x:c r="I157" s="2"/>
    </x:row>
    <x:row r="158" ht="21" customHeight="1">
      <x:c r="C158" s="1"/>
      <x:c r="D158" s="2"/>
      <x:c r="E158" s="2"/>
      <x:c r="F158" s="2"/>
      <x:c r="G158" s="2"/>
      <x:c r="H158" s="2"/>
      <x:c r="I158" s="2"/>
    </x:row>
    <x:row r="159" ht="21" customHeight="1">
      <x:c r="C159" s="1"/>
      <x:c r="D159" s="2"/>
      <x:c r="E159" s="2"/>
      <x:c r="F159" s="2"/>
      <x:c r="G159" s="2"/>
      <x:c r="H159" s="2"/>
      <x:c r="I159" s="2"/>
    </x:row>
    <x:row r="160" ht="21" customHeight="1">
      <x:c r="C160" s="1"/>
      <x:c r="D160" s="2"/>
      <x:c r="E160" s="2"/>
      <x:c r="F160" s="2"/>
      <x:c r="G160" s="2"/>
      <x:c r="H160" s="2"/>
      <x:c r="I160" s="2"/>
    </x:row>
  </x:sheetData>
  <x:mergeCells>
    <x:mergeCell ref="D10:I10"/>
    <x:mergeCell ref="D13:I13"/>
    <x:mergeCell ref="D16:I16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53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21" customHeight="1">
      <x:c r="C1" s="1"/>
      <x:c r="D1" s="1"/>
      <x:c r="E1" s="1"/>
      <x:c r="F1" s="1"/>
      <x:c r="G1" s="1"/>
      <x:c r="H1" s="1"/>
      <x:c r="I1" s="1"/>
    </x:row>
    <x:row r="2" ht="21" customHeight="1">
      <x:c r="C2" s="4" t="str">
        <x:v>创科实业 TTI</x:v>
      </x:c>
      <x:c r="D2" s="4"/>
      <x:c r="E2" s="4"/>
      <x:c r="F2" s="4"/>
      <x:c r="G2" s="4"/>
      <x:c r="H2" s="4"/>
      <x:c r="I2" s="4"/>
    </x:row>
    <x:row r="3" ht="21" customHeight="1">
      <x:c r="C3" s="5" t="str">
        <x:v>Checks · USD million · December year-end</x:v>
      </x:c>
      <x:c r="D3" s="5"/>
      <x:c r="E3" s="5"/>
      <x:c r="F3" s="5"/>
      <x:c r="G3" s="5"/>
      <x:c r="H3" s="5"/>
      <x:c r="I3" s="5"/>
    </x:row>
    <x:row r="4" ht="21" customHeight="1">
      <x:c r="C4" s="1"/>
      <x:c r="D4" s="1"/>
      <x:c r="E4" s="1"/>
      <x:c r="F4" s="1"/>
      <x:c r="G4" s="1"/>
      <x:c r="H4" s="1"/>
      <x:c r="I4" s="1"/>
    </x:row>
    <x:row r="5" ht="21" customHeight="1">
      <x:c r="C5" s="1"/>
      <x:c r="D5" s="1"/>
      <x:c r="E5" s="1"/>
      <x:c r="F5" s="1"/>
      <x:c r="G5" s="1"/>
      <x:c r="H5" s="1"/>
      <x:c r="I5" s="1"/>
    </x:row>
    <x:row r="6" ht="21" customHeight="1">
      <x:c r="C6" s="1"/>
      <x:c r="D6" s="1"/>
      <x:c r="E6" s="1"/>
      <x:c r="F6" s="1"/>
      <x:c r="G6" s="1"/>
      <x:c r="H6" s="1"/>
      <x:c r="I6" s="1"/>
    </x:row>
    <x:row r="7" ht="21" customHeight="1">
      <x:c r="C7" s="12"/>
      <x:c r="D7" s="13" t="n">
        <x:f>'Assumptions'!D7</x:f>
        <x:v>45291</x:v>
      </x:c>
      <x:c r="E7" s="13" t="n">
        <x:f>'Assumptions'!E7</x:f>
        <x:v>45657</x:v>
      </x:c>
      <x:c r="F7" s="13" t="n">
        <x:f>'Assumptions'!F7</x:f>
        <x:v>46022</x:v>
      </x:c>
      <x:c r="G7" s="14" t="n">
        <x:f>'Assumptions'!G7</x:f>
        <x:v>46387</x:v>
      </x:c>
      <x:c r="H7" s="14" t="n">
        <x:f>'Assumptions'!H7</x:f>
        <x:v>46752</x:v>
      </x:c>
      <x:c r="I7" s="14" t="n">
        <x:f>'Assumptions'!I7</x:f>
        <x:v>47118</x:v>
      </x:c>
    </x:row>
    <x:row r="8" ht="21" customHeight="1">
      <x:c r="C8" s="12" t="str">
        <x:v>Structural and source reconciliation</x:v>
      </x:c>
      <x:c r="D8" s="25"/>
      <x:c r="E8" s="25"/>
      <x:c r="F8" s="25"/>
      <x:c r="G8" s="25"/>
      <x:c r="H8" s="25"/>
      <x:c r="I8" s="25"/>
    </x:row>
    <x:row r="9" ht="21" customHeight="1">
      <x:c r="C9" s="1" t="str">
        <x:v>Balance-sheet difference</x:v>
      </x:c>
      <x:c r="D9" s="19" t="n">
        <x:f>'Statements'!D55</x:f>
        <x:v>0</x:v>
      </x:c>
      <x:c r="E9" s="19" t="n">
        <x:f>'Statements'!E55</x:f>
        <x:v>0</x:v>
      </x:c>
      <x:c r="F9" s="19" t="n">
        <x:f>'Statements'!F55</x:f>
        <x:v>-1.8189894035458565e-12</x:v>
      </x:c>
      <x:c r="G9" s="19" t="n">
        <x:f>'Statements'!G55</x:f>
        <x:v>-1.8189894035458565e-12</x:v>
      </x:c>
      <x:c r="H9" s="19" t="n">
        <x:f>'Statements'!H55</x:f>
        <x:v>0</x:v>
      </x:c>
      <x:c r="I9" s="19" t="n">
        <x:f>'Statements'!I55</x:f>
        <x:v>0</x:v>
      </x:c>
    </x:row>
    <x:row r="10" ht="21" customHeight="1">
      <x:c r="C10" s="1" t="str">
        <x:v>Cash roll-forward difference</x:v>
      </x:c>
      <x:c r="D10" s="19" t="n">
        <x:f>'Statements'!D80+'Statements'!D79-'Statements'!D81</x:f>
        <x:v>-2.2737367544323206e-13</x:v>
      </x:c>
      <x:c r="E10" s="19" t="n">
        <x:f>'Statements'!E80+'Statements'!E79-'Statements'!E81</x:f>
        <x:v>2.2737367544323206e-13</x:v>
      </x:c>
      <x:c r="F10" s="19" t="n">
        <x:f>'Statements'!F80+'Statements'!F79-'Statements'!F81</x:f>
        <x:v>0</x:v>
      </x:c>
      <x:c r="G10" s="19" t="n">
        <x:f>'Statements'!G80+'Statements'!G79-'Statements'!G81</x:f>
        <x:v>0</x:v>
      </x:c>
      <x:c r="H10" s="19" t="n">
        <x:f>'Statements'!H80+'Statements'!H79-'Statements'!H81</x:f>
        <x:v>0</x:v>
      </x:c>
      <x:c r="I10" s="19" t="n">
        <x:f>'Statements'!I80+'Statements'!I79-'Statements'!I81</x:f>
        <x:v>0</x:v>
      </x:c>
    </x:row>
    <x:row r="11" ht="21" customHeight="1">
      <x:c r="C11" s="1" t="str">
        <x:v>Source asset aggregation difference</x:v>
      </x:c>
      <x:c r="D11" s="19" t="n">
        <x:f>SUM('SourceFacts'!D31,'SourceFacts'!D33:'SourceFacts'!D39)-'SourceFacts'!D40</x:f>
        <x:v>-1.8189894035458565e-12</x:v>
      </x:c>
      <x:c r="E11" s="19" t="n">
        <x:f>SUM('SourceFacts'!E31,'SourceFacts'!E33:'SourceFacts'!E39)-'SourceFacts'!E40</x:f>
        <x:v>-1.8189894035458565e-12</x:v>
      </x:c>
      <x:c r="F11" s="19" t="n">
        <x:f>SUM('SourceFacts'!F31,'SourceFacts'!F33:'SourceFacts'!F39)-'SourceFacts'!F40</x:f>
        <x:v>-1.8189894035458565e-12</x:v>
      </x:c>
      <x:c r="G11" s="2"/>
      <x:c r="H11" s="2"/>
      <x:c r="I11" s="2"/>
    </x:row>
    <x:row r="12" ht="21" customHeight="1">
      <x:c r="C12" s="1" t="str">
        <x:v>Source liability aggregation difference</x:v>
      </x:c>
      <x:c r="D12" s="19" t="n">
        <x:f>SUM('SourceFacts'!D41:'SourceFacts'!D46)-'SourceFacts'!D47</x:f>
        <x:v>9.094947017729282e-13</x:v>
      </x:c>
      <x:c r="E12" s="19" t="n">
        <x:f>SUM('SourceFacts'!E41:'SourceFacts'!E46)-'SourceFacts'!E47</x:f>
        <x:v>-9.094947017729282e-13</x:v>
      </x:c>
      <x:c r="F12" s="19" t="n">
        <x:f>SUM('SourceFacts'!F41:'SourceFacts'!F46)-'SourceFacts'!F47</x:f>
        <x:v>0</x:v>
      </x:c>
      <x:c r="G12" s="2"/>
      <x:c r="H12" s="2"/>
      <x:c r="I12" s="2"/>
    </x:row>
    <x:row r="13" ht="21" customHeight="1">
      <x:c r="C13" s="1" t="str">
        <x:v>Debt roll-forward difference</x:v>
      </x:c>
      <x:c r="D13" s="2"/>
      <x:c r="E13" s="2"/>
      <x:c r="F13" s="2"/>
      <x:c r="G13" s="19" t="n">
        <x:f>'FundingTaxEquity'!G10+'FundingTaxEquity'!G12+'FundingTaxEquity'!G14-'FundingTaxEquity'!G16-'FundingTaxEquity'!G18</x:f>
        <x:v>0</x:v>
      </x:c>
      <x:c r="H13" s="19" t="n">
        <x:f>'FundingTaxEquity'!H10+'FundingTaxEquity'!H12+'FundingTaxEquity'!H14-'FundingTaxEquity'!H16-'FundingTaxEquity'!H18</x:f>
        <x:v>0</x:v>
      </x:c>
      <x:c r="I13" s="19" t="n">
        <x:f>'FundingTaxEquity'!I10+'FundingTaxEquity'!I12+'FundingTaxEquity'!I14-'FundingTaxEquity'!I16-'FundingTaxEquity'!I18</x:f>
        <x:v>0</x:v>
      </x:c>
    </x:row>
    <x:row r="14" ht="21" customHeight="1">
      <x:c r="C14" s="1" t="str">
        <x:v>Tax roll-forward difference</x:v>
      </x:c>
      <x:c r="D14" s="2"/>
      <x:c r="E14" s="2"/>
      <x:c r="F14" s="2"/>
      <x:c r="G14" s="19" t="n">
        <x:f>'FundingTaxEquity'!G34+'FundingTaxEquity'!G35-'FundingTaxEquity'!G37-'FundingTaxEquity'!G38</x:f>
        <x:v>0</x:v>
      </x:c>
      <x:c r="H14" s="19" t="n">
        <x:f>'FundingTaxEquity'!H34+'FundingTaxEquity'!H35-'FundingTaxEquity'!H37-'FundingTaxEquity'!H38</x:f>
        <x:v>0</x:v>
      </x:c>
      <x:c r="I14" s="19" t="n">
        <x:f>'FundingTaxEquity'!I34+'FundingTaxEquity'!I35-'FundingTaxEquity'!I37-'FundingTaxEquity'!I38</x:f>
        <x:v>0</x:v>
      </x:c>
    </x:row>
    <x:row r="15" ht="21" customHeight="1">
      <x:c r="C15" s="1" t="str">
        <x:v>PPE roll-forward difference</x:v>
      </x:c>
      <x:c r="D15" s="2"/>
      <x:c r="E15" s="2"/>
      <x:c r="F15" s="2"/>
      <x:c r="G15" s="19" t="n">
        <x:f>'FixedAssets'!G10+'FixedAssets'!G11-'FixedAssets'!G13-'FixedAssets'!G14</x:f>
        <x:v>0</x:v>
      </x:c>
      <x:c r="H15" s="19" t="n">
        <x:f>'FixedAssets'!H10+'FixedAssets'!H11-'FixedAssets'!H13-'FixedAssets'!H14</x:f>
        <x:v>0</x:v>
      </x:c>
      <x:c r="I15" s="19" t="n">
        <x:f>'FixedAssets'!I10+'FixedAssets'!I11-'FixedAssets'!I13-'FixedAssets'!I14</x:f>
        <x:v>0</x:v>
      </x:c>
    </x:row>
    <x:row r="16" ht="21" customHeight="1">
      <x:c r="C16" s="1" t="str">
        <x:v>Intangible roll-forward difference</x:v>
      </x:c>
      <x:c r="D16" s="2"/>
      <x:c r="E16" s="2"/>
      <x:c r="F16" s="2"/>
      <x:c r="G16" s="19" t="n">
        <x:f>'FixedAssets'!G20+'FixedAssets'!G21-'FixedAssets'!G23-'FixedAssets'!G24</x:f>
        <x:v>0</x:v>
      </x:c>
      <x:c r="H16" s="19" t="n">
        <x:f>'FixedAssets'!H20+'FixedAssets'!H21-'FixedAssets'!H23-'FixedAssets'!H24</x:f>
        <x:v>0</x:v>
      </x:c>
      <x:c r="I16" s="19" t="n">
        <x:f>'FixedAssets'!I20+'FixedAssets'!I21-'FixedAssets'!I23-'FixedAssets'!I24</x:f>
        <x:v>0</x:v>
      </x:c>
    </x:row>
    <x:row r="17" ht="21" customHeight="1">
      <x:c r="C17" s="1" t="str">
        <x:v>ROU roll-forward difference</x:v>
      </x:c>
      <x:c r="D17" s="2"/>
      <x:c r="E17" s="2"/>
      <x:c r="F17" s="2"/>
      <x:c r="G17" s="19" t="n">
        <x:f>'FixedAssets'!G30+'FixedAssets'!G31-'FixedAssets'!G33-'FixedAssets'!G34</x:f>
        <x:v>0</x:v>
      </x:c>
      <x:c r="H17" s="19" t="n">
        <x:f>'FixedAssets'!H30+'FixedAssets'!H31-'FixedAssets'!H33-'FixedAssets'!H34</x:f>
        <x:v>0</x:v>
      </x:c>
      <x:c r="I17" s="19" t="n">
        <x:f>'FixedAssets'!I30+'FixedAssets'!I31-'FixedAssets'!I33-'FixedAssets'!I34</x:f>
        <x:v>0</x:v>
      </x:c>
    </x:row>
    <x:row r="18" ht="21" customHeight="1">
      <x:c r="C18" s="1" t="str">
        <x:v>Investment roll-forward difference</x:v>
      </x:c>
      <x:c r="D18" s="2"/>
      <x:c r="E18" s="2"/>
      <x:c r="F18" s="2"/>
      <x:c r="G18" s="19" t="n">
        <x:f>'FundingTaxEquity'!G22+'FundingTaxEquity'!G24-'FundingTaxEquity'!G26+'FundingTaxEquity'!G29-'FundingTaxEquity'!G31</x:f>
        <x:v>0</x:v>
      </x:c>
      <x:c r="H18" s="19" t="n">
        <x:f>'FundingTaxEquity'!H22+'FundingTaxEquity'!H24-'FundingTaxEquity'!H26+'FundingTaxEquity'!H29-'FundingTaxEquity'!H31</x:f>
        <x:v>0</x:v>
      </x:c>
      <x:c r="I18" s="19" t="n">
        <x:f>'FundingTaxEquity'!I22+'FundingTaxEquity'!I24-'FundingTaxEquity'!I26+'FundingTaxEquity'!I29-'FundingTaxEquity'!I31</x:f>
        <x:v>0</x:v>
      </x:c>
    </x:row>
    <x:row r="19" ht="21" customHeight="1">
      <x:c r="C19" s="1" t="str">
        <x:v>Retained earnings roll-forward difference</x:v>
      </x:c>
      <x:c r="D19" s="2"/>
      <x:c r="E19" s="2"/>
      <x:c r="F19" s="2"/>
      <x:c r="G19" s="19" t="n">
        <x:f>'FundingTaxEquity'!G41+'FundingTaxEquity'!G42-'FundingTaxEquity'!G44-'FundingTaxEquity'!G47-'FundingTaxEquity'!G48</x:f>
        <x:v>0</x:v>
      </x:c>
      <x:c r="H19" s="19" t="n">
        <x:f>'FundingTaxEquity'!H41+'FundingTaxEquity'!H42-'FundingTaxEquity'!H44-'FundingTaxEquity'!H47-'FundingTaxEquity'!H48</x:f>
        <x:v>0</x:v>
      </x:c>
      <x:c r="I19" s="19" t="n">
        <x:f>'FundingTaxEquity'!I41+'FundingTaxEquity'!I42-'FundingTaxEquity'!I44-'FundingTaxEquity'!I47-'FundingTaxEquity'!I48</x:f>
        <x:v>0</x:v>
      </x:c>
    </x:row>
    <x:row r="20" ht="21" customHeight="1">
      <x:c r="C20" s="1" t="str">
        <x:v>NCI roll-forward difference</x:v>
      </x:c>
      <x:c r="D20" s="2"/>
      <x:c r="E20" s="2"/>
      <x:c r="F20" s="2"/>
      <x:c r="G20" s="19" t="n">
        <x:f>'FundingTaxEquity'!G51+'FundingTaxEquity'!G52-'FundingTaxEquity'!G54-'FundingTaxEquity'!G55</x:f>
        <x:v>0</x:v>
      </x:c>
      <x:c r="H20" s="19" t="n">
        <x:f>'FundingTaxEquity'!H51+'FundingTaxEquity'!H52-'FundingTaxEquity'!H54-'FundingTaxEquity'!H55</x:f>
        <x:v>0</x:v>
      </x:c>
      <x:c r="I20" s="19" t="n">
        <x:f>'FundingTaxEquity'!I51+'FundingTaxEquity'!I52-'FundingTaxEquity'!I54-'FundingTaxEquity'!I55</x:f>
        <x:v>0</x:v>
      </x:c>
    </x:row>
    <x:row r="21" ht="21" customHeight="1">
      <x:c r="C21" s="1" t="str">
        <x:v>H1 segment total allocation difference</x:v>
      </x:c>
      <x:c r="D21" s="2"/>
      <x:c r="E21" s="2"/>
      <x:c r="F21" s="2"/>
      <x:c r="G21" s="19" t="n">
        <x:f>SUM('Interim'!E16:E17)-'Interim'!E9</x:f>
        <x:v>0</x:v>
      </x:c>
      <x:c r="H21" s="2"/>
      <x:c r="I21" s="2"/>
    </x:row>
    <x:row r="22" ht="21" customHeight="1">
      <x:c r="C22" s="1"/>
      <x:c r="D22" s="2"/>
      <x:c r="E22" s="2"/>
      <x:c r="F22" s="2"/>
      <x:c r="G22" s="2"/>
      <x:c r="H22" s="2"/>
      <x:c r="I22" s="2"/>
    </x:row>
    <x:row r="23" ht="21" customHeight="1">
      <x:c r="C23" s="12" t="str">
        <x:v>Scenario and invalid-input warnings</x:v>
      </x:c>
      <x:c r="D23" s="25"/>
      <x:c r="E23" s="25"/>
      <x:c r="F23" s="25"/>
      <x:c r="G23" s="25"/>
      <x:c r="H23" s="25"/>
      <x:c r="I23" s="25"/>
    </x:row>
    <x:row r="24" ht="21" customHeight="1">
      <x:c r="C24" s="1" t="str">
        <x:v>Cash deficit (scenario warning)</x:v>
      </x:c>
      <x:c r="D24" s="2"/>
      <x:c r="E24" s="2"/>
      <x:c r="F24" s="2"/>
      <x:c r="G24" s="19" t="n">
        <x:f>MAX(0,-'Statements'!G31)</x:f>
        <x:v>0</x:v>
      </x:c>
      <x:c r="H24" s="19" t="n">
        <x:f>MAX(0,-'Statements'!H31)</x:f>
        <x:v>0</x:v>
      </x:c>
      <x:c r="I24" s="19" t="n">
        <x:f>MAX(0,-'Statements'!I31)</x:f>
        <x:v>0</x:v>
      </x:c>
    </x:row>
    <x:row r="25" ht="21" customHeight="1">
      <x:c r="C25" s="1" t="str">
        <x:v>Invalid negative funding / equity requests</x:v>
      </x:c>
      <x:c r="D25" s="2"/>
      <x:c r="E25" s="2"/>
      <x:c r="F25" s="2"/>
      <x:c r="G25" s="19" t="n">
        <x:f>-MIN(0,'Assumptions'!G40)-MIN(0,'Assumptions'!G42)-MIN(0,'Assumptions'!G45)-MIN(0,'Assumptions'!G44)-MIN(0,'Assumptions'!G46)-MIN(0,'Assumptions'!G36)-MIN(0,'Assumptions'!G51)-MIN(0,'Assumptions'!G52)</x:f>
        <x:v>0</x:v>
      </x:c>
      <x:c r="H25" s="19" t="n">
        <x:f>-MIN(0,'Assumptions'!H40)-MIN(0,'Assumptions'!H42)-MIN(0,'Assumptions'!H45)-MIN(0,'Assumptions'!H44)-MIN(0,'Assumptions'!H46)-MIN(0,'Assumptions'!H36)-MIN(0,'Assumptions'!H51)-MIN(0,'Assumptions'!H52)</x:f>
        <x:v>0</x:v>
      </x:c>
      <x:c r="I25" s="19" t="n">
        <x:f>-MIN(0,'Assumptions'!I40)-MIN(0,'Assumptions'!I42)-MIN(0,'Assumptions'!I45)-MIN(0,'Assumptions'!I44)-MIN(0,'Assumptions'!I46)-MIN(0,'Assumptions'!I36)-MIN(0,'Assumptions'!I51)-MIN(0,'Assumptions'!I52)</x:f>
        <x:v>0</x:v>
      </x:c>
    </x:row>
    <x:row r="26" ht="21" customHeight="1">
      <x:c r="C26" s="1" t="str">
        <x:v>Capped debt repayment request</x:v>
      </x:c>
      <x:c r="D26" s="2"/>
      <x:c r="E26" s="2"/>
      <x:c r="F26" s="2"/>
      <x:c r="G26" s="19" t="n">
        <x:f>'FundingTaxEquity'!G17</x:f>
        <x:v>0</x:v>
      </x:c>
      <x:c r="H26" s="19" t="n">
        <x:f>'FundingTaxEquity'!H17</x:f>
        <x:v>0</x:v>
      </x:c>
      <x:c r="I26" s="19" t="n">
        <x:f>'FundingTaxEquity'!I17</x:f>
        <x:v>0</x:v>
      </x:c>
    </x:row>
    <x:row r="27" ht="21" customHeight="1">
      <x:c r="C27" s="1" t="str">
        <x:v>Capped investment redemption request</x:v>
      </x:c>
      <x:c r="D27" s="2"/>
      <x:c r="E27" s="2"/>
      <x:c r="F27" s="2"/>
      <x:c r="G27" s="19" t="n">
        <x:f>'FundingTaxEquity'!G27</x:f>
        <x:v>0</x:v>
      </x:c>
      <x:c r="H27" s="19" t="n">
        <x:f>'FundingTaxEquity'!H27</x:f>
        <x:v>0</x:v>
      </x:c>
      <x:c r="I27" s="19" t="n">
        <x:f>'FundingTaxEquity'!I27</x:f>
        <x:v>0</x:v>
      </x:c>
    </x:row>
    <x:row r="28" ht="21" customHeight="1">
      <x:c r="C28" s="1" t="str">
        <x:v>Capped investment loss request</x:v>
      </x:c>
      <x:c r="D28" s="2"/>
      <x:c r="E28" s="2"/>
      <x:c r="F28" s="2"/>
      <x:c r="G28" s="19" t="n">
        <x:f>'FundingTaxEquity'!G30</x:f>
        <x:v>0</x:v>
      </x:c>
      <x:c r="H28" s="19" t="n">
        <x:f>'FundingTaxEquity'!H30</x:f>
        <x:v>0</x:v>
      </x:c>
      <x:c r="I28" s="19" t="n">
        <x:f>'FundingTaxEquity'!I30</x:f>
        <x:v>0</x:v>
      </x:c>
    </x:row>
    <x:row r="29" ht="21" customHeight="1">
      <x:c r="C29" s="1" t="str">
        <x:v>Dividend request above retained earnings</x:v>
      </x:c>
      <x:c r="D29" s="2"/>
      <x:c r="E29" s="2"/>
      <x:c r="F29" s="2"/>
      <x:c r="G29" s="19" t="n">
        <x:f>'FundingTaxEquity'!G45</x:f>
        <x:v>0</x:v>
      </x:c>
      <x:c r="H29" s="19" t="n">
        <x:f>'FundingTaxEquity'!H45</x:f>
        <x:v>0</x:v>
      </x:c>
      <x:c r="I29" s="19" t="n">
        <x:f>'FundingTaxEquity'!I45</x:f>
        <x:v>0</x:v>
      </x:c>
    </x:row>
    <x:row r="30" ht="21" customHeight="1">
      <x:c r="C30" s="1" t="str">
        <x:v>FY2026 revenue below reported H1 (infeasible if revenue is nonnegative)</x:v>
      </x:c>
      <x:c r="D30" s="2"/>
      <x:c r="E30" s="2"/>
      <x:c r="F30" s="2"/>
      <x:c r="G30" s="19" t="n">
        <x:f>MAX(0,'Interim'!E9-'Statements'!G10)</x:f>
        <x:v>0</x:v>
      </x:c>
      <x:c r="H30" s="2"/>
      <x:c r="I30" s="2"/>
    </x:row>
    <x:row r="31" ht="21" customHeight="1">
      <x:c r="C31" s="1" t="str">
        <x:v>Negative working-capital days / margins outside range</x:v>
      </x:c>
      <x:c r="D31" s="2"/>
      <x:c r="E31" s="2"/>
      <x:c r="F31" s="2"/>
      <x:c r="G31" s="19" t="n">
        <x:f>-MIN(0,'Assumptions'!G22)-MIN(0,'Assumptions'!G23)-MIN(0,'Assumptions'!G24)-MIN(0,'Assumptions'!G10)+MAX(0,'Assumptions'!G10-1)</x:f>
        <x:v>0</x:v>
      </x:c>
      <x:c r="H31" s="19" t="n">
        <x:f>-MIN(0,'Assumptions'!H22)-MIN(0,'Assumptions'!H23)-MIN(0,'Assumptions'!H24)-MIN(0,'Assumptions'!H10)+MAX(0,'Assumptions'!H10-1)</x:f>
        <x:v>0</x:v>
      </x:c>
      <x:c r="I31" s="19" t="n">
        <x:f>-MIN(0,'Assumptions'!I22)-MIN(0,'Assumptions'!I23)-MIN(0,'Assumptions'!I24)-MIN(0,'Assumptions'!I10)+MAX(0,'Assumptions'!I10-1)</x:f>
        <x:v>0</x:v>
      </x:c>
    </x:row>
    <x:row r="32" ht="21" customHeight="1">
      <x:c r="C32" s="1" t="str">
        <x:v>Negative tax / interest / depreciation rate</x:v>
      </x:c>
      <x:c r="D32" s="2"/>
      <x:c r="E32" s="2"/>
      <x:c r="F32" s="2"/>
      <x:c r="G32" s="19" t="n">
        <x:f>-MIN(0,'Assumptions'!G18)-MIN(0,'Assumptions'!G17)-MIN(0,'Assumptions'!G33)-MIN(0,'Assumptions'!G34)-MIN(0,'Assumptions'!G35)</x:f>
        <x:v>0</x:v>
      </x:c>
      <x:c r="H32" s="19" t="n">
        <x:f>-MIN(0,'Assumptions'!H18)-MIN(0,'Assumptions'!H17)-MIN(0,'Assumptions'!H33)-MIN(0,'Assumptions'!H34)-MIN(0,'Assumptions'!H35)</x:f>
        <x:v>0</x:v>
      </x:c>
      <x:c r="I32" s="19" t="n">
        <x:f>-MIN(0,'Assumptions'!I18)-MIN(0,'Assumptions'!I17)-MIN(0,'Assumptions'!I33)-MIN(0,'Assumptions'!I34)-MIN(0,'Assumptions'!I35)</x:f>
        <x:v>0</x:v>
      </x:c>
    </x:row>
    <x:row r="33" ht="21" customHeight="1">
      <x:c r="C33" s="1"/>
      <x:c r="D33" s="2"/>
      <x:c r="E33" s="2"/>
      <x:c r="F33" s="2"/>
      <x:c r="G33" s="2"/>
      <x:c r="H33" s="2"/>
      <x:c r="I33" s="2"/>
    </x:row>
    <x:row r="34" ht="21" customHeight="1">
      <x:c r="C34" s="1" t="str">
        <x:v>Invalid negative PPE / intangible capex rate</x:v>
      </x:c>
      <x:c r="D34" s="2"/>
      <x:c r="E34" s="2"/>
      <x:c r="F34" s="2"/>
      <x:c r="G34" s="19" t="n">
        <x:f>MAX(0,-'Assumptions'!G31)+MAX(0,-'Assumptions'!G32)</x:f>
        <x:v>0</x:v>
      </x:c>
      <x:c r="H34" s="19" t="n">
        <x:f>MAX(0,-'Assumptions'!H31)+MAX(0,-'Assumptions'!H32)</x:f>
        <x:v>0</x:v>
      </x:c>
      <x:c r="I34" s="19" t="n">
        <x:f>MAX(0,-'Assumptions'!I31)+MAX(0,-'Assumptions'!I32)</x:f>
        <x:v>0</x:v>
      </x:c>
    </x:row>
    <x:row r="35" ht="21" customHeight="1">
      <x:c r="C35" s="1" t="str">
        <x:v>Segment revenue below observed H1 / below zero</x:v>
      </x:c>
      <x:c r="D35" s="2"/>
      <x:c r="E35" s="2"/>
      <x:c r="F35" s="2"/>
      <x:c r="G35" s="19" t="n">
        <x:f>MAX(0,'Interim'!E16-'Operating'!G12)+MAX(0,'Interim'!E17-'Operating'!G20)</x:f>
        <x:v>0</x:v>
      </x:c>
      <x:c r="H35" s="19" t="n">
        <x:f>MAX(0,0-'Operating'!H12)+MAX(0,0-'Operating'!H20)</x:f>
        <x:v>0</x:v>
      </x:c>
      <x:c r="I35" s="19" t="n">
        <x:f>MAX(0,0-'Operating'!I12)+MAX(0,0-'Operating'!I20)</x:f>
        <x:v>0</x:v>
      </x:c>
    </x:row>
    <x:row r="36" ht="21" customHeight="1">
      <x:c r="C36" s="1" t="str">
        <x:v>Segment volume or price change below -100%</x:v>
      </x:c>
      <x:c r="D36" s="2"/>
      <x:c r="E36" s="2"/>
      <x:c r="F36" s="2"/>
      <x:c r="G36" s="19" t="n">
        <x:f>MAX(0,-1-'Assumptions'!G66)+MAX(0,-1-'Assumptions'!G67)+MAX(0,-1-'Assumptions'!G70)+MAX(0,-1-'Assumptions'!G71)</x:f>
        <x:v>0</x:v>
      </x:c>
      <x:c r="H36" s="19" t="n">
        <x:f>MAX(0,-1-'Assumptions'!H66)+MAX(0,-1-'Assumptions'!H67)+MAX(0,-1-'Assumptions'!H70)+MAX(0,-1-'Assumptions'!H71)</x:f>
        <x:v>0</x:v>
      </x:c>
      <x:c r="I36" s="19" t="n">
        <x:f>MAX(0,-1-'Assumptions'!I66)+MAX(0,-1-'Assumptions'!I67)+MAX(0,-1-'Assumptions'!I70)+MAX(0,-1-'Assumptions'!I71)</x:f>
        <x:v>0</x:v>
      </x:c>
    </x:row>
    <x:row r="37" ht="21" customHeight="1">
      <x:c r="C37" s="1"/>
      <x:c r="D37" s="2"/>
      <x:c r="E37" s="2"/>
      <x:c r="F37" s="2"/>
      <x:c r="G37" s="2"/>
      <x:c r="H37" s="2"/>
      <x:c r="I37" s="2"/>
    </x:row>
    <x:row r="38" ht="21" customHeight="1">
      <x:c r="C38" s="1"/>
      <x:c r="D38" s="2"/>
      <x:c r="E38" s="2"/>
      <x:c r="F38" s="2"/>
      <x:c r="G38" s="2"/>
      <x:c r="H38" s="2"/>
      <x:c r="I38" s="2"/>
    </x:row>
    <x:row r="39" ht="21" customHeight="1">
      <x:c r="C39" s="1"/>
      <x:c r="D39" s="2"/>
      <x:c r="E39" s="2"/>
      <x:c r="F39" s="2"/>
      <x:c r="G39" s="2"/>
      <x:c r="H39" s="2"/>
      <x:c r="I39" s="2"/>
    </x:row>
    <x:row r="40" ht="21" customHeight="1">
      <x:c r="C40" s="1"/>
      <x:c r="D40" s="2"/>
      <x:c r="E40" s="2"/>
      <x:c r="F40" s="2"/>
      <x:c r="G40" s="2"/>
      <x:c r="H40" s="2"/>
      <x:c r="I40" s="2"/>
    </x:row>
    <x:row r="41" ht="21" customHeight="1">
      <x:c r="C41" s="1"/>
      <x:c r="D41" s="2"/>
      <x:c r="E41" s="2"/>
      <x:c r="F41" s="2"/>
      <x:c r="G41" s="2"/>
      <x:c r="H41" s="2"/>
      <x:c r="I41" s="2"/>
    </x:row>
    <x:row r="42" ht="21" customHeight="1">
      <x:c r="C42" s="1"/>
      <x:c r="D42" s="2"/>
      <x:c r="E42" s="2"/>
      <x:c r="F42" s="2"/>
      <x:c r="G42" s="2"/>
      <x:c r="H42" s="2"/>
      <x:c r="I42" s="2"/>
    </x:row>
    <x:row r="43" ht="21" customHeight="1">
      <x:c r="C43" s="1"/>
      <x:c r="D43" s="2"/>
      <x:c r="E43" s="2"/>
      <x:c r="F43" s="2"/>
      <x:c r="G43" s="2"/>
      <x:c r="H43" s="2"/>
      <x:c r="I43" s="2"/>
    </x:row>
    <x:row r="44" ht="21" customHeight="1">
      <x:c r="C44" s="1"/>
      <x:c r="D44" s="2"/>
      <x:c r="E44" s="2"/>
      <x:c r="F44" s="2"/>
      <x:c r="G44" s="2"/>
      <x:c r="H44" s="2"/>
      <x:c r="I44" s="2"/>
    </x:row>
    <x:row r="45" ht="21" customHeight="1">
      <x:c r="C45" s="1"/>
      <x:c r="D45" s="2"/>
      <x:c r="E45" s="2"/>
      <x:c r="F45" s="2"/>
      <x:c r="G45" s="2"/>
      <x:c r="H45" s="2"/>
      <x:c r="I45" s="2"/>
    </x:row>
    <x:row r="46" ht="21" customHeight="1">
      <x:c r="C46" s="1"/>
      <x:c r="D46" s="2"/>
      <x:c r="E46" s="2"/>
      <x:c r="F46" s="2"/>
      <x:c r="G46" s="2"/>
      <x:c r="H46" s="2"/>
      <x:c r="I46" s="2"/>
    </x:row>
    <x:row r="47" ht="21" customHeight="1">
      <x:c r="C47" s="1"/>
      <x:c r="D47" s="2"/>
      <x:c r="E47" s="2"/>
      <x:c r="F47" s="2"/>
      <x:c r="G47" s="2"/>
      <x:c r="H47" s="2"/>
      <x:c r="I47" s="2"/>
    </x:row>
    <x:row r="48" ht="21" customHeight="1">
      <x:c r="C48" s="1"/>
      <x:c r="D48" s="2"/>
      <x:c r="E48" s="2"/>
      <x:c r="F48" s="2"/>
      <x:c r="G48" s="2"/>
      <x:c r="H48" s="2"/>
      <x:c r="I48" s="2"/>
    </x:row>
    <x:row r="49" ht="21" customHeight="1">
      <x:c r="C49" s="1"/>
      <x:c r="D49" s="2"/>
      <x:c r="E49" s="2"/>
      <x:c r="F49" s="2"/>
      <x:c r="G49" s="2"/>
      <x:c r="H49" s="2"/>
      <x:c r="I49" s="2"/>
    </x:row>
    <x:row r="50" ht="21" customHeight="1">
      <x:c r="C50" s="1"/>
      <x:c r="D50" s="2"/>
      <x:c r="E50" s="2"/>
      <x:c r="F50" s="2"/>
      <x:c r="G50" s="2"/>
      <x:c r="H50" s="2"/>
      <x:c r="I50" s="2"/>
    </x:row>
    <x:row r="51" ht="21" customHeight="1">
      <x:c r="C51" s="1"/>
      <x:c r="D51" s="2"/>
      <x:c r="E51" s="2"/>
      <x:c r="F51" s="2"/>
      <x:c r="G51" s="2"/>
      <x:c r="H51" s="2"/>
      <x:c r="I51" s="2"/>
    </x:row>
    <x:row r="52" ht="21" customHeight="1">
      <x:c r="C52" s="1"/>
      <x:c r="D52" s="2"/>
      <x:c r="E52" s="2"/>
      <x:c r="F52" s="2"/>
      <x:c r="G52" s="2"/>
      <x:c r="H52" s="2"/>
      <x:c r="I52" s="2"/>
    </x:row>
    <x:row r="53" ht="21" customHeight="1">
      <x:c r="C53" s="1"/>
      <x:c r="D53" s="2"/>
      <x:c r="E53" s="2"/>
      <x:c r="F53" s="2"/>
      <x:c r="G53" s="2"/>
      <x:c r="H53" s="2"/>
      <x:c r="I53" s="2"/>
    </x:row>
    <x:row r="54" ht="21" customHeight="1">
      <x:c r="C54" s="1"/>
      <x:c r="D54" s="2"/>
      <x:c r="E54" s="2"/>
      <x:c r="F54" s="2"/>
      <x:c r="G54" s="2"/>
      <x:c r="H54" s="2"/>
      <x:c r="I54" s="2"/>
    </x:row>
    <x:row r="55" ht="21" customHeight="1">
      <x:c r="C55" s="1"/>
      <x:c r="D55" s="2"/>
      <x:c r="E55" s="2"/>
      <x:c r="F55" s="2"/>
      <x:c r="G55" s="2"/>
      <x:c r="H55" s="2"/>
      <x:c r="I55" s="2"/>
    </x:row>
    <x:row r="56" ht="21" customHeight="1">
      <x:c r="C56" s="1"/>
      <x:c r="D56" s="2"/>
      <x:c r="E56" s="2"/>
      <x:c r="F56" s="2"/>
      <x:c r="G56" s="2"/>
      <x:c r="H56" s="2"/>
      <x:c r="I56" s="2"/>
    </x:row>
    <x:row r="57" ht="21" customHeight="1">
      <x:c r="C57" s="1"/>
      <x:c r="D57" s="2"/>
      <x:c r="E57" s="2"/>
      <x:c r="F57" s="2"/>
      <x:c r="G57" s="2"/>
      <x:c r="H57" s="2"/>
      <x:c r="I57" s="2"/>
    </x:row>
    <x:row r="58" ht="21" customHeight="1">
      <x:c r="C58" s="1"/>
      <x:c r="D58" s="2"/>
      <x:c r="E58" s="2"/>
      <x:c r="F58" s="2"/>
      <x:c r="G58" s="2"/>
      <x:c r="H58" s="2"/>
      <x:c r="I58" s="2"/>
    </x:row>
    <x:row r="59" ht="21" customHeight="1">
      <x:c r="C59" s="1"/>
      <x:c r="D59" s="2"/>
      <x:c r="E59" s="2"/>
      <x:c r="F59" s="2"/>
      <x:c r="G59" s="2"/>
      <x:c r="H59" s="2"/>
      <x:c r="I59" s="2"/>
    </x:row>
    <x:row r="60" ht="21" customHeight="1">
      <x:c r="C60" s="1"/>
      <x:c r="D60" s="2"/>
      <x:c r="E60" s="2"/>
      <x:c r="F60" s="2"/>
      <x:c r="G60" s="2"/>
      <x:c r="H60" s="2"/>
      <x:c r="I60" s="2"/>
    </x:row>
    <x:row r="61" ht="21" customHeight="1">
      <x:c r="C61" s="1"/>
      <x:c r="D61" s="2"/>
      <x:c r="E61" s="2"/>
      <x:c r="F61" s="2"/>
      <x:c r="G61" s="2"/>
      <x:c r="H61" s="2"/>
      <x:c r="I61" s="2"/>
    </x:row>
    <x:row r="62" ht="21" customHeight="1">
      <x:c r="C62" s="1"/>
      <x:c r="D62" s="2"/>
      <x:c r="E62" s="2"/>
      <x:c r="F62" s="2"/>
      <x:c r="G62" s="2"/>
      <x:c r="H62" s="2"/>
      <x:c r="I62" s="2"/>
    </x:row>
    <x:row r="63" ht="21" customHeight="1">
      <x:c r="C63" s="1"/>
      <x:c r="D63" s="2"/>
      <x:c r="E63" s="2"/>
      <x:c r="F63" s="2"/>
      <x:c r="G63" s="2"/>
      <x:c r="H63" s="2"/>
      <x:c r="I63" s="2"/>
    </x:row>
    <x:row r="64" ht="21" customHeight="1">
      <x:c r="C64" s="1"/>
      <x:c r="D64" s="2"/>
      <x:c r="E64" s="2"/>
      <x:c r="F64" s="2"/>
      <x:c r="G64" s="2"/>
      <x:c r="H64" s="2"/>
      <x:c r="I64" s="2"/>
    </x:row>
    <x:row r="65" ht="21" customHeight="1">
      <x:c r="C65" s="1"/>
      <x:c r="D65" s="2"/>
      <x:c r="E65" s="2"/>
      <x:c r="F65" s="2"/>
      <x:c r="G65" s="2"/>
      <x:c r="H65" s="2"/>
      <x:c r="I65" s="2"/>
    </x:row>
    <x:row r="66" ht="21" customHeight="1">
      <x:c r="C66" s="1"/>
      <x:c r="D66" s="2"/>
      <x:c r="E66" s="2"/>
      <x:c r="F66" s="2"/>
      <x:c r="G66" s="2"/>
      <x:c r="H66" s="2"/>
      <x:c r="I66" s="2"/>
    </x:row>
    <x:row r="67" ht="21" customHeight="1">
      <x:c r="C67" s="1"/>
      <x:c r="D67" s="2"/>
      <x:c r="E67" s="2"/>
      <x:c r="F67" s="2"/>
      <x:c r="G67" s="2"/>
      <x:c r="H67" s="2"/>
      <x:c r="I67" s="2"/>
    </x:row>
    <x:row r="68" ht="21" customHeight="1">
      <x:c r="C68" s="1"/>
      <x:c r="D68" s="2"/>
      <x:c r="E68" s="2"/>
      <x:c r="F68" s="2"/>
      <x:c r="G68" s="2"/>
      <x:c r="H68" s="2"/>
      <x:c r="I68" s="2"/>
    </x:row>
    <x:row r="69" ht="21" customHeight="1">
      <x:c r="C69" s="1"/>
      <x:c r="D69" s="2"/>
      <x:c r="E69" s="2"/>
      <x:c r="F69" s="2"/>
      <x:c r="G69" s="2"/>
      <x:c r="H69" s="2"/>
      <x:c r="I69" s="2"/>
    </x:row>
    <x:row r="70" ht="21" customHeight="1">
      <x:c r="C70" s="1"/>
      <x:c r="D70" s="2"/>
      <x:c r="E70" s="2"/>
      <x:c r="F70" s="2"/>
      <x:c r="G70" s="2"/>
      <x:c r="H70" s="2"/>
      <x:c r="I70" s="2"/>
    </x:row>
    <x:row r="71" ht="21" customHeight="1">
      <x:c r="C71" s="1"/>
      <x:c r="D71" s="2"/>
      <x:c r="E71" s="2"/>
      <x:c r="F71" s="2"/>
      <x:c r="G71" s="2"/>
      <x:c r="H71" s="2"/>
      <x:c r="I71" s="2"/>
    </x:row>
    <x:row r="72" ht="21" customHeight="1">
      <x:c r="C72" s="1"/>
      <x:c r="D72" s="2"/>
      <x:c r="E72" s="2"/>
      <x:c r="F72" s="2"/>
      <x:c r="G72" s="2"/>
      <x:c r="H72" s="2"/>
      <x:c r="I72" s="2"/>
    </x:row>
    <x:row r="73" ht="21" customHeight="1">
      <x:c r="C73" s="1"/>
      <x:c r="D73" s="2"/>
      <x:c r="E73" s="2"/>
      <x:c r="F73" s="2"/>
      <x:c r="G73" s="2"/>
      <x:c r="H73" s="2"/>
      <x:c r="I73" s="2"/>
    </x:row>
    <x:row r="74" ht="21" customHeight="1">
      <x:c r="C74" s="1"/>
      <x:c r="D74" s="2"/>
      <x:c r="E74" s="2"/>
      <x:c r="F74" s="2"/>
      <x:c r="G74" s="2"/>
      <x:c r="H74" s="2"/>
      <x:c r="I74" s="2"/>
    </x:row>
    <x:row r="75" ht="21" customHeight="1">
      <x:c r="C75" s="1"/>
      <x:c r="D75" s="2"/>
      <x:c r="E75" s="2"/>
      <x:c r="F75" s="2"/>
      <x:c r="G75" s="2"/>
      <x:c r="H75" s="2"/>
      <x:c r="I75" s="2"/>
    </x:row>
    <x:row r="76" ht="21" customHeight="1">
      <x:c r="C76" s="1"/>
      <x:c r="D76" s="2"/>
      <x:c r="E76" s="2"/>
      <x:c r="F76" s="2"/>
      <x:c r="G76" s="2"/>
      <x:c r="H76" s="2"/>
      <x:c r="I76" s="2"/>
    </x:row>
    <x:row r="77" ht="21" customHeight="1">
      <x:c r="C77" s="1"/>
      <x:c r="D77" s="2"/>
      <x:c r="E77" s="2"/>
      <x:c r="F77" s="2"/>
      <x:c r="G77" s="2"/>
      <x:c r="H77" s="2"/>
      <x:c r="I77" s="2"/>
    </x:row>
    <x:row r="78" ht="21" customHeight="1">
      <x:c r="C78" s="1"/>
      <x:c r="D78" s="2"/>
      <x:c r="E78" s="2"/>
      <x:c r="F78" s="2"/>
      <x:c r="G78" s="2"/>
      <x:c r="H78" s="2"/>
      <x:c r="I78" s="2"/>
    </x:row>
    <x:row r="79" ht="21" customHeight="1">
      <x:c r="C79" s="1"/>
      <x:c r="D79" s="2"/>
      <x:c r="E79" s="2"/>
      <x:c r="F79" s="2"/>
      <x:c r="G79" s="2"/>
      <x:c r="H79" s="2"/>
      <x:c r="I79" s="2"/>
    </x:row>
    <x:row r="80" ht="21" customHeight="1">
      <x:c r="C80" s="1"/>
      <x:c r="D80" s="2"/>
      <x:c r="E80" s="2"/>
      <x:c r="F80" s="2"/>
      <x:c r="G80" s="2"/>
      <x:c r="H80" s="2"/>
      <x:c r="I80" s="2"/>
    </x:row>
    <x:row r="81" ht="21" customHeight="1">
      <x:c r="C81" s="1"/>
      <x:c r="D81" s="2"/>
      <x:c r="E81" s="2"/>
      <x:c r="F81" s="2"/>
      <x:c r="G81" s="2"/>
      <x:c r="H81" s="2"/>
      <x:c r="I81" s="2"/>
    </x:row>
    <x:row r="82" ht="21" customHeight="1">
      <x:c r="C82" s="1"/>
      <x:c r="D82" s="2"/>
      <x:c r="E82" s="2"/>
      <x:c r="F82" s="2"/>
      <x:c r="G82" s="2"/>
      <x:c r="H82" s="2"/>
      <x:c r="I82" s="2"/>
    </x:row>
    <x:row r="83" ht="21" customHeight="1">
      <x:c r="C83" s="1"/>
      <x:c r="D83" s="2"/>
      <x:c r="E83" s="2"/>
      <x:c r="F83" s="2"/>
      <x:c r="G83" s="2"/>
      <x:c r="H83" s="2"/>
      <x:c r="I83" s="2"/>
    </x:row>
    <x:row r="84" ht="21" customHeight="1">
      <x:c r="C84" s="1"/>
      <x:c r="D84" s="2"/>
      <x:c r="E84" s="2"/>
      <x:c r="F84" s="2"/>
      <x:c r="G84" s="2"/>
      <x:c r="H84" s="2"/>
      <x:c r="I84" s="2"/>
    </x:row>
    <x:row r="85" ht="21" customHeight="1">
      <x:c r="C85" s="1"/>
      <x:c r="D85" s="2"/>
      <x:c r="E85" s="2"/>
      <x:c r="F85" s="2"/>
      <x:c r="G85" s="2"/>
      <x:c r="H85" s="2"/>
      <x:c r="I85" s="2"/>
    </x:row>
    <x:row r="86" ht="21" customHeight="1">
      <x:c r="C86" s="1"/>
      <x:c r="D86" s="2"/>
      <x:c r="E86" s="2"/>
      <x:c r="F86" s="2"/>
      <x:c r="G86" s="2"/>
      <x:c r="H86" s="2"/>
      <x:c r="I86" s="2"/>
    </x:row>
    <x:row r="87" ht="21" customHeight="1">
      <x:c r="C87" s="1"/>
      <x:c r="D87" s="2"/>
      <x:c r="E87" s="2"/>
      <x:c r="F87" s="2"/>
      <x:c r="G87" s="2"/>
      <x:c r="H87" s="2"/>
      <x:c r="I87" s="2"/>
    </x:row>
    <x:row r="88" ht="21" customHeight="1">
      <x:c r="C88" s="1"/>
      <x:c r="D88" s="2"/>
      <x:c r="E88" s="2"/>
      <x:c r="F88" s="2"/>
      <x:c r="G88" s="2"/>
      <x:c r="H88" s="2"/>
      <x:c r="I88" s="2"/>
    </x:row>
    <x:row r="89" ht="21" customHeight="1">
      <x:c r="C89" s="1"/>
      <x:c r="D89" s="2"/>
      <x:c r="E89" s="2"/>
      <x:c r="F89" s="2"/>
      <x:c r="G89" s="2"/>
      <x:c r="H89" s="2"/>
      <x:c r="I89" s="2"/>
    </x:row>
    <x:row r="90" ht="21" customHeight="1">
      <x:c r="C90" s="1"/>
      <x:c r="D90" s="2"/>
      <x:c r="E90" s="2"/>
      <x:c r="F90" s="2"/>
      <x:c r="G90" s="2"/>
      <x:c r="H90" s="2"/>
      <x:c r="I90" s="2"/>
    </x:row>
    <x:row r="91" ht="21" customHeight="1">
      <x:c r="C91" s="1"/>
      <x:c r="D91" s="2"/>
      <x:c r="E91" s="2"/>
      <x:c r="F91" s="2"/>
      <x:c r="G91" s="2"/>
      <x:c r="H91" s="2"/>
      <x:c r="I91" s="2"/>
    </x:row>
    <x:row r="92" ht="21" customHeight="1">
      <x:c r="C92" s="1"/>
      <x:c r="D92" s="2"/>
      <x:c r="E92" s="2"/>
      <x:c r="F92" s="2"/>
      <x:c r="G92" s="2"/>
      <x:c r="H92" s="2"/>
      <x:c r="I92" s="2"/>
    </x:row>
    <x:row r="93" ht="21" customHeight="1">
      <x:c r="C93" s="1"/>
      <x:c r="D93" s="2"/>
      <x:c r="E93" s="2"/>
      <x:c r="F93" s="2"/>
      <x:c r="G93" s="2"/>
      <x:c r="H93" s="2"/>
      <x:c r="I93" s="2"/>
    </x:row>
    <x:row r="94" ht="21" customHeight="1">
      <x:c r="C94" s="1"/>
      <x:c r="D94" s="2"/>
      <x:c r="E94" s="2"/>
      <x:c r="F94" s="2"/>
      <x:c r="G94" s="2"/>
      <x:c r="H94" s="2"/>
      <x:c r="I94" s="2"/>
    </x:row>
    <x:row r="95" ht="21" customHeight="1">
      <x:c r="C95" s="1"/>
      <x:c r="D95" s="2"/>
      <x:c r="E95" s="2"/>
      <x:c r="F95" s="2"/>
      <x:c r="G95" s="2"/>
      <x:c r="H95" s="2"/>
      <x:c r="I95" s="2"/>
    </x:row>
    <x:row r="96" ht="21" customHeight="1">
      <x:c r="C96" s="1"/>
      <x:c r="D96" s="2"/>
      <x:c r="E96" s="2"/>
      <x:c r="F96" s="2"/>
      <x:c r="G96" s="2"/>
      <x:c r="H96" s="2"/>
      <x:c r="I96" s="2"/>
    </x:row>
    <x:row r="97" ht="21" customHeight="1">
      <x:c r="C97" s="1"/>
      <x:c r="D97" s="2"/>
      <x:c r="E97" s="2"/>
      <x:c r="F97" s="2"/>
      <x:c r="G97" s="2"/>
      <x:c r="H97" s="2"/>
      <x:c r="I97" s="2"/>
    </x:row>
    <x:row r="98" ht="21" customHeight="1">
      <x:c r="C98" s="1"/>
      <x:c r="D98" s="2"/>
      <x:c r="E98" s="2"/>
      <x:c r="F98" s="2"/>
      <x:c r="G98" s="2"/>
      <x:c r="H98" s="2"/>
      <x:c r="I98" s="2"/>
    </x:row>
    <x:row r="99" ht="21" customHeight="1">
      <x:c r="C99" s="1"/>
      <x:c r="D99" s="2"/>
      <x:c r="E99" s="2"/>
      <x:c r="F99" s="2"/>
      <x:c r="G99" s="2"/>
      <x:c r="H99" s="2"/>
      <x:c r="I99" s="2"/>
    </x:row>
    <x:row r="100" ht="21" customHeight="1">
      <x:c r="C100" s="1"/>
      <x:c r="D100" s="2"/>
      <x:c r="E100" s="2"/>
      <x:c r="F100" s="2"/>
      <x:c r="G100" s="2"/>
      <x:c r="H100" s="2"/>
      <x:c r="I100" s="2"/>
    </x:row>
    <x:row r="101" ht="21" customHeight="1">
      <x:c r="C101" s="1"/>
      <x:c r="D101" s="2"/>
      <x:c r="E101" s="2"/>
      <x:c r="F101" s="2"/>
      <x:c r="G101" s="2"/>
      <x:c r="H101" s="2"/>
      <x:c r="I101" s="2"/>
    </x:row>
    <x:row r="102" ht="21" customHeight="1">
      <x:c r="C102" s="1"/>
      <x:c r="D102" s="2"/>
      <x:c r="E102" s="2"/>
      <x:c r="F102" s="2"/>
      <x:c r="G102" s="2"/>
      <x:c r="H102" s="2"/>
      <x:c r="I102" s="2"/>
    </x:row>
    <x:row r="103" ht="21" customHeight="1">
      <x:c r="C103" s="1"/>
      <x:c r="D103" s="2"/>
      <x:c r="E103" s="2"/>
      <x:c r="F103" s="2"/>
      <x:c r="G103" s="2"/>
      <x:c r="H103" s="2"/>
      <x:c r="I103" s="2"/>
    </x:row>
    <x:row r="104" ht="21" customHeight="1">
      <x:c r="C104" s="1"/>
      <x:c r="D104" s="2"/>
      <x:c r="E104" s="2"/>
      <x:c r="F104" s="2"/>
      <x:c r="G104" s="2"/>
      <x:c r="H104" s="2"/>
      <x:c r="I104" s="2"/>
    </x:row>
    <x:row r="105" ht="21" customHeight="1">
      <x:c r="C105" s="1"/>
      <x:c r="D105" s="2"/>
      <x:c r="E105" s="2"/>
      <x:c r="F105" s="2"/>
      <x:c r="G105" s="2"/>
      <x:c r="H105" s="2"/>
      <x:c r="I105" s="2"/>
    </x:row>
    <x:row r="106" ht="21" customHeight="1">
      <x:c r="C106" s="1"/>
      <x:c r="D106" s="2"/>
      <x:c r="E106" s="2"/>
      <x:c r="F106" s="2"/>
      <x:c r="G106" s="2"/>
      <x:c r="H106" s="2"/>
      <x:c r="I106" s="2"/>
    </x:row>
    <x:row r="107" ht="21" customHeight="1">
      <x:c r="C107" s="1"/>
      <x:c r="D107" s="2"/>
      <x:c r="E107" s="2"/>
      <x:c r="F107" s="2"/>
      <x:c r="G107" s="2"/>
      <x:c r="H107" s="2"/>
      <x:c r="I107" s="2"/>
    </x:row>
    <x:row r="108" ht="21" customHeight="1">
      <x:c r="C108" s="1"/>
      <x:c r="D108" s="2"/>
      <x:c r="E108" s="2"/>
      <x:c r="F108" s="2"/>
      <x:c r="G108" s="2"/>
      <x:c r="H108" s="2"/>
      <x:c r="I108" s="2"/>
    </x:row>
    <x:row r="109" ht="21" customHeight="1">
      <x:c r="C109" s="1"/>
      <x:c r="D109" s="2"/>
      <x:c r="E109" s="2"/>
      <x:c r="F109" s="2"/>
      <x:c r="G109" s="2"/>
      <x:c r="H109" s="2"/>
      <x:c r="I109" s="2"/>
    </x:row>
    <x:row r="110" ht="21" customHeight="1">
      <x:c r="C110" s="1"/>
      <x:c r="D110" s="2"/>
      <x:c r="E110" s="2"/>
      <x:c r="F110" s="2"/>
      <x:c r="G110" s="2"/>
      <x:c r="H110" s="2"/>
      <x:c r="I110" s="2"/>
    </x:row>
    <x:row r="111" ht="21" customHeight="1">
      <x:c r="C111" s="1"/>
      <x:c r="D111" s="2"/>
      <x:c r="E111" s="2"/>
      <x:c r="F111" s="2"/>
      <x:c r="G111" s="2"/>
      <x:c r="H111" s="2"/>
      <x:c r="I111" s="2"/>
    </x:row>
    <x:row r="112" ht="21" customHeight="1">
      <x:c r="C112" s="1"/>
      <x:c r="D112" s="2"/>
      <x:c r="E112" s="2"/>
      <x:c r="F112" s="2"/>
      <x:c r="G112" s="2"/>
      <x:c r="H112" s="2"/>
      <x:c r="I112" s="2"/>
    </x:row>
    <x:row r="113" ht="21" customHeight="1">
      <x:c r="C113" s="1"/>
      <x:c r="D113" s="2"/>
      <x:c r="E113" s="2"/>
      <x:c r="F113" s="2"/>
      <x:c r="G113" s="2"/>
      <x:c r="H113" s="2"/>
      <x:c r="I113" s="2"/>
    </x:row>
    <x:row r="114" ht="21" customHeight="1">
      <x:c r="C114" s="1"/>
      <x:c r="D114" s="2"/>
      <x:c r="E114" s="2"/>
      <x:c r="F114" s="2"/>
      <x:c r="G114" s="2"/>
      <x:c r="H114" s="2"/>
      <x:c r="I114" s="2"/>
    </x:row>
    <x:row r="115" ht="21" customHeight="1">
      <x:c r="C115" s="1"/>
      <x:c r="D115" s="2"/>
      <x:c r="E115" s="2"/>
      <x:c r="F115" s="2"/>
      <x:c r="G115" s="2"/>
      <x:c r="H115" s="2"/>
      <x:c r="I115" s="2"/>
    </x:row>
    <x:row r="116" ht="21" customHeight="1">
      <x:c r="C116" s="1"/>
      <x:c r="D116" s="2"/>
      <x:c r="E116" s="2"/>
      <x:c r="F116" s="2"/>
      <x:c r="G116" s="2"/>
      <x:c r="H116" s="2"/>
      <x:c r="I116" s="2"/>
    </x:row>
    <x:row r="117" ht="21" customHeight="1">
      <x:c r="C117" s="1"/>
      <x:c r="D117" s="2"/>
      <x:c r="E117" s="2"/>
      <x:c r="F117" s="2"/>
      <x:c r="G117" s="2"/>
      <x:c r="H117" s="2"/>
      <x:c r="I117" s="2"/>
    </x:row>
    <x:row r="118" ht="21" customHeight="1">
      <x:c r="C118" s="1"/>
      <x:c r="D118" s="2"/>
      <x:c r="E118" s="2"/>
      <x:c r="F118" s="2"/>
      <x:c r="G118" s="2"/>
      <x:c r="H118" s="2"/>
      <x:c r="I118" s="2"/>
    </x:row>
    <x:row r="119" ht="21" customHeight="1">
      <x:c r="C119" s="1"/>
      <x:c r="D119" s="2"/>
      <x:c r="E119" s="2"/>
      <x:c r="F119" s="2"/>
      <x:c r="G119" s="2"/>
      <x:c r="H119" s="2"/>
      <x:c r="I119" s="2"/>
    </x:row>
    <x:row r="120" ht="21" customHeight="1">
      <x:c r="C120" s="1"/>
      <x:c r="D120" s="2"/>
      <x:c r="E120" s="2"/>
      <x:c r="F120" s="2"/>
      <x:c r="G120" s="2"/>
      <x:c r="H120" s="2"/>
      <x:c r="I120" s="2"/>
    </x:row>
    <x:row r="121" ht="21" customHeight="1">
      <x:c r="C121" s="1"/>
      <x:c r="D121" s="2"/>
      <x:c r="E121" s="2"/>
      <x:c r="F121" s="2"/>
      <x:c r="G121" s="2"/>
      <x:c r="H121" s="2"/>
      <x:c r="I121" s="2"/>
    </x:row>
    <x:row r="122" ht="21" customHeight="1">
      <x:c r="C122" s="1"/>
      <x:c r="D122" s="2"/>
      <x:c r="E122" s="2"/>
      <x:c r="F122" s="2"/>
      <x:c r="G122" s="2"/>
      <x:c r="H122" s="2"/>
      <x:c r="I122" s="2"/>
    </x:row>
    <x:row r="123" ht="21" customHeight="1">
      <x:c r="C123" s="1"/>
      <x:c r="D123" s="2"/>
      <x:c r="E123" s="2"/>
      <x:c r="F123" s="2"/>
      <x:c r="G123" s="2"/>
      <x:c r="H123" s="2"/>
      <x:c r="I123" s="2"/>
    </x:row>
    <x:row r="124" ht="21" customHeight="1">
      <x:c r="C124" s="1"/>
      <x:c r="D124" s="2"/>
      <x:c r="E124" s="2"/>
      <x:c r="F124" s="2"/>
      <x:c r="G124" s="2"/>
      <x:c r="H124" s="2"/>
      <x:c r="I124" s="2"/>
    </x:row>
    <x:row r="125" ht="21" customHeight="1">
      <x:c r="C125" s="1"/>
      <x:c r="D125" s="2"/>
      <x:c r="E125" s="2"/>
      <x:c r="F125" s="2"/>
      <x:c r="G125" s="2"/>
      <x:c r="H125" s="2"/>
      <x:c r="I125" s="2"/>
    </x:row>
    <x:row r="126" ht="21" customHeight="1">
      <x:c r="C126" s="1"/>
      <x:c r="D126" s="2"/>
      <x:c r="E126" s="2"/>
      <x:c r="F126" s="2"/>
      <x:c r="G126" s="2"/>
      <x:c r="H126" s="2"/>
      <x:c r="I126" s="2"/>
    </x:row>
    <x:row r="127" ht="21" customHeight="1">
      <x:c r="C127" s="1"/>
      <x:c r="D127" s="2"/>
      <x:c r="E127" s="2"/>
      <x:c r="F127" s="2"/>
      <x:c r="G127" s="2"/>
      <x:c r="H127" s="2"/>
      <x:c r="I127" s="2"/>
    </x:row>
    <x:row r="128" ht="21" customHeight="1">
      <x:c r="C128" s="1"/>
      <x:c r="D128" s="2"/>
      <x:c r="E128" s="2"/>
      <x:c r="F128" s="2"/>
      <x:c r="G128" s="2"/>
      <x:c r="H128" s="2"/>
      <x:c r="I128" s="2"/>
    </x:row>
    <x:row r="129" ht="21" customHeight="1">
      <x:c r="C129" s="1"/>
      <x:c r="D129" s="2"/>
      <x:c r="E129" s="2"/>
      <x:c r="F129" s="2"/>
      <x:c r="G129" s="2"/>
      <x:c r="H129" s="2"/>
      <x:c r="I129" s="2"/>
    </x:row>
    <x:row r="130" ht="21" customHeight="1">
      <x:c r="C130" s="1"/>
      <x:c r="D130" s="2"/>
      <x:c r="E130" s="2"/>
      <x:c r="F130" s="2"/>
      <x:c r="G130" s="2"/>
      <x:c r="H130" s="2"/>
      <x:c r="I130" s="2"/>
    </x:row>
    <x:row r="131" ht="21" customHeight="1">
      <x:c r="C131" s="1"/>
      <x:c r="D131" s="2"/>
      <x:c r="E131" s="2"/>
      <x:c r="F131" s="2"/>
      <x:c r="G131" s="2"/>
      <x:c r="H131" s="2"/>
      <x:c r="I131" s="2"/>
    </x:row>
    <x:row r="132" ht="21" customHeight="1">
      <x:c r="C132" s="1"/>
      <x:c r="D132" s="2"/>
      <x:c r="E132" s="2"/>
      <x:c r="F132" s="2"/>
      <x:c r="G132" s="2"/>
      <x:c r="H132" s="2"/>
      <x:c r="I132" s="2"/>
    </x:row>
    <x:row r="133" ht="21" customHeight="1">
      <x:c r="C133" s="1"/>
      <x:c r="D133" s="2"/>
      <x:c r="E133" s="2"/>
      <x:c r="F133" s="2"/>
      <x:c r="G133" s="2"/>
      <x:c r="H133" s="2"/>
      <x:c r="I133" s="2"/>
    </x:row>
    <x:row r="134" ht="21" customHeight="1">
      <x:c r="C134" s="1"/>
      <x:c r="D134" s="2"/>
      <x:c r="E134" s="2"/>
      <x:c r="F134" s="2"/>
      <x:c r="G134" s="2"/>
      <x:c r="H134" s="2"/>
      <x:c r="I134" s="2"/>
    </x:row>
    <x:row r="135" ht="21" customHeight="1">
      <x:c r="C135" s="1"/>
      <x:c r="D135" s="2"/>
      <x:c r="E135" s="2"/>
      <x:c r="F135" s="2"/>
      <x:c r="G135" s="2"/>
      <x:c r="H135" s="2"/>
      <x:c r="I135" s="2"/>
    </x:row>
    <x:row r="136" ht="21" customHeight="1">
      <x:c r="C136" s="1"/>
      <x:c r="D136" s="2"/>
      <x:c r="E136" s="2"/>
      <x:c r="F136" s="2"/>
      <x:c r="G136" s="2"/>
      <x:c r="H136" s="2"/>
      <x:c r="I136" s="2"/>
    </x:row>
    <x:row r="137" ht="21" customHeight="1">
      <x:c r="C137" s="1"/>
      <x:c r="D137" s="2"/>
      <x:c r="E137" s="2"/>
      <x:c r="F137" s="2"/>
      <x:c r="G137" s="2"/>
      <x:c r="H137" s="2"/>
      <x:c r="I137" s="2"/>
    </x:row>
    <x:row r="138" ht="21" customHeight="1">
      <x:c r="C138" s="1"/>
      <x:c r="D138" s="2"/>
      <x:c r="E138" s="2"/>
      <x:c r="F138" s="2"/>
      <x:c r="G138" s="2"/>
      <x:c r="H138" s="2"/>
      <x:c r="I138" s="2"/>
    </x:row>
    <x:row r="139" ht="21" customHeight="1">
      <x:c r="C139" s="1"/>
      <x:c r="D139" s="2"/>
      <x:c r="E139" s="2"/>
      <x:c r="F139" s="2"/>
      <x:c r="G139" s="2"/>
      <x:c r="H139" s="2"/>
      <x:c r="I139" s="2"/>
    </x:row>
    <x:row r="140" ht="21" customHeight="1">
      <x:c r="C140" s="1"/>
      <x:c r="D140" s="2"/>
      <x:c r="E140" s="2"/>
      <x:c r="F140" s="2"/>
      <x:c r="G140" s="2"/>
      <x:c r="H140" s="2"/>
      <x:c r="I140" s="2"/>
    </x:row>
    <x:row r="141" ht="21" customHeight="1">
      <x:c r="C141" s="1"/>
      <x:c r="D141" s="2"/>
      <x:c r="E141" s="2"/>
      <x:c r="F141" s="2"/>
      <x:c r="G141" s="2"/>
      <x:c r="H141" s="2"/>
      <x:c r="I141" s="2"/>
    </x:row>
    <x:row r="142" ht="21" customHeight="1">
      <x:c r="C142" s="1"/>
      <x:c r="D142" s="2"/>
      <x:c r="E142" s="2"/>
      <x:c r="F142" s="2"/>
      <x:c r="G142" s="2"/>
      <x:c r="H142" s="2"/>
      <x:c r="I142" s="2"/>
    </x:row>
    <x:row r="143" ht="21" customHeight="1">
      <x:c r="C143" s="1"/>
      <x:c r="D143" s="2"/>
      <x:c r="E143" s="2"/>
      <x:c r="F143" s="2"/>
      <x:c r="G143" s="2"/>
      <x:c r="H143" s="2"/>
      <x:c r="I143" s="2"/>
    </x:row>
    <x:row r="144" ht="21" customHeight="1">
      <x:c r="C144" s="1"/>
      <x:c r="D144" s="2"/>
      <x:c r="E144" s="2"/>
      <x:c r="F144" s="2"/>
      <x:c r="G144" s="2"/>
      <x:c r="H144" s="2"/>
      <x:c r="I144" s="2"/>
    </x:row>
    <x:row r="145" ht="21" customHeight="1">
      <x:c r="C145" s="1"/>
      <x:c r="D145" s="2"/>
      <x:c r="E145" s="2"/>
      <x:c r="F145" s="2"/>
      <x:c r="G145" s="2"/>
      <x:c r="H145" s="2"/>
      <x:c r="I145" s="2"/>
    </x:row>
    <x:row r="146" ht="21" customHeight="1">
      <x:c r="C146" s="1"/>
      <x:c r="D146" s="2"/>
      <x:c r="E146" s="2"/>
      <x:c r="F146" s="2"/>
      <x:c r="G146" s="2"/>
      <x:c r="H146" s="2"/>
      <x:c r="I146" s="2"/>
    </x:row>
    <x:row r="147" ht="21" customHeight="1">
      <x:c r="C147" s="1"/>
      <x:c r="D147" s="2"/>
      <x:c r="E147" s="2"/>
      <x:c r="F147" s="2"/>
      <x:c r="G147" s="2"/>
      <x:c r="H147" s="2"/>
      <x:c r="I147" s="2"/>
    </x:row>
    <x:row r="148" ht="21" customHeight="1">
      <x:c r="C148" s="1"/>
      <x:c r="D148" s="2"/>
      <x:c r="E148" s="2"/>
      <x:c r="F148" s="2"/>
      <x:c r="G148" s="2"/>
      <x:c r="H148" s="2"/>
      <x:c r="I148" s="2"/>
    </x:row>
    <x:row r="149" ht="21" customHeight="1">
      <x:c r="C149" s="1"/>
      <x:c r="D149" s="2"/>
      <x:c r="E149" s="2"/>
      <x:c r="F149" s="2"/>
      <x:c r="G149" s="2"/>
      <x:c r="H149" s="2"/>
      <x:c r="I149" s="2"/>
    </x:row>
    <x:row r="150" ht="21" customHeight="1">
      <x:c r="C150" s="1"/>
      <x:c r="D150" s="2"/>
      <x:c r="E150" s="2"/>
      <x:c r="F150" s="2"/>
      <x:c r="G150" s="2"/>
      <x:c r="H150" s="2"/>
      <x:c r="I150" s="2"/>
    </x:row>
    <x:row r="151" ht="21" customHeight="1">
      <x:c r="C151" s="1"/>
      <x:c r="D151" s="2"/>
      <x:c r="E151" s="2"/>
      <x:c r="F151" s="2"/>
      <x:c r="G151" s="2"/>
      <x:c r="H151" s="2"/>
      <x:c r="I151" s="2"/>
    </x:row>
    <x:row r="152" ht="21" customHeight="1">
      <x:c r="C152" s="1"/>
      <x:c r="D152" s="2"/>
      <x:c r="E152" s="2"/>
      <x:c r="F152" s="2"/>
      <x:c r="G152" s="2"/>
      <x:c r="H152" s="2"/>
      <x:c r="I152" s="2"/>
    </x:row>
    <x:row r="153" ht="21" customHeight="1">
      <x:c r="C153" s="1"/>
      <x:c r="D153" s="2"/>
      <x:c r="E153" s="2"/>
      <x:c r="F153" s="2"/>
      <x:c r="G153" s="2"/>
      <x:c r="H153" s="2"/>
      <x:c r="I153" s="2"/>
    </x:row>
    <x:row r="154" ht="21" customHeight="1">
      <x:c r="C154" s="1"/>
      <x:c r="D154" s="2"/>
      <x:c r="E154" s="2"/>
      <x:c r="F154" s="2"/>
      <x:c r="G154" s="2"/>
      <x:c r="H154" s="2"/>
      <x:c r="I154" s="2"/>
    </x:row>
    <x:row r="155" ht="21" customHeight="1">
      <x:c r="C155" s="1"/>
      <x:c r="D155" s="2"/>
      <x:c r="E155" s="2"/>
      <x:c r="F155" s="2"/>
      <x:c r="G155" s="2"/>
      <x:c r="H155" s="2"/>
      <x:c r="I155" s="2"/>
    </x:row>
    <x:row r="156" ht="21" customHeight="1">
      <x:c r="C156" s="1"/>
      <x:c r="D156" s="2"/>
      <x:c r="E156" s="2"/>
      <x:c r="F156" s="2"/>
      <x:c r="G156" s="2"/>
      <x:c r="H156" s="2"/>
      <x:c r="I156" s="2"/>
    </x:row>
    <x:row r="157" ht="21" customHeight="1">
      <x:c r="C157" s="1"/>
      <x:c r="D157" s="2"/>
      <x:c r="E157" s="2"/>
      <x:c r="F157" s="2"/>
      <x:c r="G157" s="2"/>
      <x:c r="H157" s="2"/>
      <x:c r="I157" s="2"/>
    </x:row>
    <x:row r="158" ht="21" customHeight="1">
      <x:c r="C158" s="1"/>
      <x:c r="D158" s="2"/>
      <x:c r="E158" s="2"/>
      <x:c r="F158" s="2"/>
      <x:c r="G158" s="2"/>
      <x:c r="H158" s="2"/>
      <x:c r="I158" s="2"/>
    </x:row>
    <x:row r="159" ht="21" customHeight="1">
      <x:c r="C159" s="1"/>
      <x:c r="D159" s="2"/>
      <x:c r="E159" s="2"/>
      <x:c r="F159" s="2"/>
      <x:c r="G159" s="2"/>
      <x:c r="H159" s="2"/>
      <x:c r="I159" s="2"/>
    </x:row>
    <x:row r="160" ht="21" customHeight="1">
      <x:c r="C160" s="1"/>
      <x:c r="D160" s="2"/>
      <x:c r="E160" s="2"/>
      <x:c r="F160" s="2"/>
      <x:c r="G160" s="2"/>
      <x:c r="H160" s="2"/>
      <x:c r="I160" s="2"/>
    </x:row>
  </x:sheetData>
  <x:conditionalFormatting sqref="D9:I21">
    <x:cfRule type="cellIs" dxfId="0" priority="1" operator="between">
      <x:formula>-0.000001</x:formula>
      <x:formula>0.000001</x:formula>
    </x:cfRule>
  </x:conditionalFormatting>
  <x:conditionalFormatting sqref="D24:I36">
    <x:cfRule type="cellIs" dxfId="1" priority="2" operator="greaterThan">
      <x:formula>0.000001</x:formula>
    </x:cfRule>
  </x:conditionalFormatting>
  <x:pageMargins left="0.7" right="0.7" top="0.75" bottom="0.75" header="0.3" footer="0.3"/>
</x:worksheet>
</file>