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03cf03800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b6522302de245f9"/>
    <x:sheet xmlns:r="http://schemas.openxmlformats.org/officeDocument/2006/relationships" name="Assumptions" sheetId="2" r:id="Rc0aed573d67d4c18"/>
    <x:sheet xmlns:r="http://schemas.openxmlformats.org/officeDocument/2006/relationships" name="Operating" sheetId="3" r:id="Rfb6995f18d0849d5"/>
    <x:sheet xmlns:r="http://schemas.openxmlformats.org/officeDocument/2006/relationships" name="Statements" sheetId="4" r:id="R1946a7af6ab349b8"/>
    <x:sheet xmlns:r="http://schemas.openxmlformats.org/officeDocument/2006/relationships" name="WorkingCapital" sheetId="5" r:id="Rf14c9cc5edc845b7"/>
    <x:sheet xmlns:r="http://schemas.openxmlformats.org/officeDocument/2006/relationships" name="FixedAssets" sheetId="6" r:id="Reb201882aff34893"/>
    <x:sheet xmlns:r="http://schemas.openxmlformats.org/officeDocument/2006/relationships" name="FundingTaxEquity" sheetId="7" r:id="Rb897996d88dc4212"/>
    <x:sheet xmlns:r="http://schemas.openxmlformats.org/officeDocument/2006/relationships" name="Interim" sheetId="8" r:id="Rc9a507b751e945b3"/>
    <x:sheet xmlns:r="http://schemas.openxmlformats.org/officeDocument/2006/relationships" name="SourceFacts" sheetId="9" r:id="Ra92a93617d52452d"/>
    <x:sheet xmlns:r="http://schemas.openxmlformats.org/officeDocument/2006/relationships" name="SourceBS" sheetId="10" r:id="R5dd62262ec984feb"/>
    <x:sheet xmlns:r="http://schemas.openxmlformats.org/officeDocument/2006/relationships" name="Sources" sheetId="11" r:id="R2ca3c96064114b45"/>
    <x:sheet xmlns:r="http://schemas.openxmlformats.org/officeDocument/2006/relationships" name="Checks" sheetId="12" r:id="Rb80df2d57d79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yyyy&quot;A&quot;"/>
    <x:numFmt numFmtId="202" formatCode="yyyy&quot;E&quot;"/>
    <x:numFmt numFmtId="203" formatCode="0.0%;(0.0%);&quot;-&quot;"/>
  </x:numFmts>
  <x:fonts count="12">
    <x:font>
      <x:sz val="11"/>
      <x:name val="Carlito"/>
    </x:font>
    <x:font>
      <x:sz val="11"/>
      <x:color rgb="FF222222"/>
      <x:name val="Helvetica"/>
    </x:font>
    <x:font>
      <x:b/>
      <x:sz val="15"/>
      <x:color rgb="FF222222"/>
      <x:name val="Helvetica"/>
    </x:font>
    <x:font>
      <x:i/>
      <x:sz val="11"/>
      <x:color rgb="FF222222"/>
      <x:name val="Helvetica"/>
    </x:font>
    <x:font>
      <x:sz val="11"/>
      <x:color rgb="FF008000"/>
      <x:name val="Helvetica"/>
    </x:font>
    <x:font>
      <x:b/>
      <x:sz val="11"/>
      <x:color rgb="FFFFFFFF"/>
      <x:name val="Helvetica"/>
    </x:font>
    <x:font>
      <x:sz val="11"/>
      <x:color rgb="FF0000FF"/>
      <x:name val="Helvetica"/>
    </x:font>
    <x:font>
      <x:sz val="11"/>
      <x:color rgb="FF000000"/>
      <x:name val="Helvetica"/>
    </x:font>
    <x:font>
      <x:b/>
      <x:sz val="11"/>
      <x:color rgb="FF222222"/>
      <x:name val="Helvetica"/>
    </x:font>
    <x:font>
      <x:b/>
      <x:sz val="11"/>
      <x:color rgb="FF000000"/>
      <x:name val="Helvetica"/>
    </x:font>
    <x:font>
      <x:b/>
      <x:sz val="11"/>
      <x:color rgb="FF008000"/>
      <x:name val="Helvetica"/>
    </x:font>
    <x:font>
      <x:sz val="10"/>
      <x:color rgb="FF22222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0"/>
      </x:patternFill>
    </x:fill>
    <x:fill>
      <x:patternFill patternType="solid">
        <x:fgColor rgb="FFFFF4CC"/>
      </x:patternFill>
    </x:fill>
  </x:fills>
  <x:borders count="3">
    <x:border/>
    <x:border>
      <x:bottom style="thin">
        <x:color rgb="FF203A50"/>
      </x:bottom>
    </x:border>
    <x:border>
      <x:top style="thin">
        <x:color rgb="FF75869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4" fillId="2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5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203" fontId="6" fillId="3" borderId="0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203" fontId="1" fillId="0" borderId="0" xfId="0" applyNumberFormat="1" applyFont="1" applyFill="1" applyBorder="1"/>
    <x:xf numFmtId="200" fontId="7" fillId="0" borderId="0" xfId="0" applyNumberFormat="1" applyFont="1" applyFill="1" applyBorder="1"/>
    <x:xf numFmtId="200" fontId="1" fillId="3" borderId="0" xfId="0" applyNumberFormat="1" applyFont="1" applyFill="1" applyBorder="1"/>
    <x:xf numFmtId="200" fontId="7" fillId="3" borderId="0" xfId="0" applyNumberFormat="1" applyFont="1" applyFill="1" applyBorder="1"/>
    <x:xf numFmtId="203" fontId="7" fillId="3" borderId="0" xfId="0" applyNumberFormat="1" applyFont="1" applyFill="1" applyBorder="1"/>
    <x:xf numFmtId="203" fontId="4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0" fontId="9" fillId="0" borderId="2" xfId="0" applyNumberFormat="1" applyFont="1" applyFill="1" applyBorder="1"/>
    <x:xf numFmtId="200" fontId="10" fillId="0" borderId="2" xfId="0" applyNumberFormat="1" applyFont="1" applyFill="1" applyBorder="1"/>
    <x:xf numFmtId="203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8000"/>
      </x:font>
    </x:dxf>
    <x:dxf>
      <x:fill>
        <x:patternFill patternType="solid">
          <x:bgColor rgb="FFFD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5d57f9ce04eeb" /><Relationship Type="http://schemas.openxmlformats.org/officeDocument/2006/relationships/theme" Target="/xl/theme/theme1.xml" Id="Rc2a12ab2552644e6" /><Relationship Type="http://schemas.openxmlformats.org/officeDocument/2006/relationships/sharedStrings" Target="/xl/sharedStrings.xml" Id="R317c6ccd5f6140cd" /><Relationship Type="http://schemas.openxmlformats.org/officeDocument/2006/relationships/worksheet" Target="/xl/worksheets/sheet1.xml" Id="Rbb6522302de245f9" /><Relationship Type="http://schemas.openxmlformats.org/officeDocument/2006/relationships/worksheet" Target="/xl/worksheets/sheet2.xml" Id="Rc0aed573d67d4c18" /><Relationship Type="http://schemas.openxmlformats.org/officeDocument/2006/relationships/worksheet" Target="/xl/worksheets/sheet3.xml" Id="Rfb6995f18d0849d5" /><Relationship Type="http://schemas.openxmlformats.org/officeDocument/2006/relationships/worksheet" Target="/xl/worksheets/sheet4.xml" Id="R1946a7af6ab349b8" /><Relationship Type="http://schemas.openxmlformats.org/officeDocument/2006/relationships/worksheet" Target="/xl/worksheets/sheet5.xml" Id="Rf14c9cc5edc845b7" /><Relationship Type="http://schemas.openxmlformats.org/officeDocument/2006/relationships/worksheet" Target="/xl/worksheets/sheet6.xml" Id="Reb201882aff34893" /><Relationship Type="http://schemas.openxmlformats.org/officeDocument/2006/relationships/worksheet" Target="/xl/worksheets/sheet7.xml" Id="Rb897996d88dc4212" /><Relationship Type="http://schemas.openxmlformats.org/officeDocument/2006/relationships/worksheet" Target="/xl/worksheets/sheet8.xml" Id="Rc9a507b751e945b3" /><Relationship Type="http://schemas.openxmlformats.org/officeDocument/2006/relationships/worksheet" Target="/xl/worksheets/sheet9.xml" Id="Ra92a93617d52452d" /><Relationship Type="http://schemas.openxmlformats.org/officeDocument/2006/relationships/worksheet" Target="/xl/worksheets/sheet10.xml" Id="R5dd62262ec984feb" /><Relationship Type="http://schemas.openxmlformats.org/officeDocument/2006/relationships/worksheet" Target="/xl/worksheets/sheet11.xml" Id="R2ca3c96064114b45" /><Relationship Type="http://schemas.openxmlformats.org/officeDocument/2006/relationships/worksheet" Target="/xl/worksheets/sheet12.xml" Id="Rb80df2d57d794e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Overview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19" t="n">
        <x:f>'Statements'!D10</x:f>
        <x:v>1009309</x:v>
      </x:c>
      <x:c r="E9" s="19" t="n">
        <x:f>'Statements'!E10</x:f>
        <x:v>1040759</x:v>
      </x:c>
      <x:c r="F9" s="19" t="n">
        <x:f>'Statements'!F10</x:f>
        <x:v>1050187</x:v>
      </x:c>
      <x:c r="G9" s="19" t="n">
        <x:f>'Statements'!G10</x:f>
        <x:v>1056913.8047</x:v>
      </x:c>
      <x:c r="H9" s="19" t="n">
        <x:f>'Statements'!H10</x:f>
        <x:v>1085542.7165544701</x:v>
      </x:c>
      <x:c r="I9" s="19" t="n">
        <x:f>'Statements'!I10</x:f>
        <x:v>1117353.3675410824</x:v>
      </x:c>
    </x:row>
    <x:row r="10" ht="21" customHeight="1">
      <x:c r="C10" s="1" t="str">
        <x:v>Gross profit</x:v>
      </x:c>
      <x:c r="D10" s="19" t="n">
        <x:f>'Statements'!D12</x:f>
        <x:v>284951</x:v>
      </x:c>
      <x:c r="E10" s="19" t="n">
        <x:f>'Statements'!E12</x:f>
        <x:v>301987</x:v>
      </x:c>
      <x:c r="F10" s="19" t="n">
        <x:f>'Statements'!F12</x:f>
        <x:v>303171</x:v>
      </x:c>
      <x:c r="G10" s="19" t="n">
        <x:f>'Statements'!G12</x:f>
        <x:v>292009.30172718235</x:v>
      </x:c>
      <x:c r="H10" s="19" t="n">
        <x:f>'Statements'!H12</x:f>
        <x:v>310368.7724873556</x:v>
      </x:c>
      <x:c r="I10" s="19" t="n">
        <x:f>'Statements'!I12</x:f>
        <x:v>328122.68827686843</x:v>
      </x:c>
    </x:row>
    <x:row r="11" ht="21" customHeight="1">
      <x:c r="C11" s="1" t="str">
        <x:v>EBITDA proxy; definition in Statements</x:v>
      </x:c>
      <x:c r="D11" s="2"/>
      <x:c r="E11" s="19" t="n">
        <x:f>'Statements'!E21</x:f>
        <x:v>366995</x:v>
      </x:c>
      <x:c r="F11" s="19" t="n">
        <x:f>'Statements'!F21</x:f>
        <x:v>364072</x:v>
      </x:c>
      <x:c r="G11" s="19" t="n">
        <x:f>'Statements'!G21</x:f>
        <x:v>366404.0049103049</x:v>
      </x:c>
      <x:c r="H11" s="19" t="n">
        <x:f>'Statements'!H21</x:f>
        <x:v>376328.8899038163</x:v>
      </x:c>
      <x:c r="I11" s="19" t="n">
        <x:f>'Statements'!I21</x:f>
        <x:v>387356.79952943325</x:v>
      </x:c>
    </x:row>
    <x:row r="12" ht="21" customHeight="1">
      <x:c r="C12" s="1" t="str">
        <x:v>Consolidated net income</x:v>
      </x:c>
      <x:c r="D12" s="19" t="n">
        <x:f>'Statements'!D25</x:f>
        <x:v>131935</x:v>
      </x:c>
      <x:c r="E12" s="19" t="n">
        <x:f>'Statements'!E25</x:f>
        <x:v>138526</x:v>
      </x:c>
      <x:c r="F12" s="19" t="n">
        <x:f>'Statements'!F25</x:f>
        <x:v>137264</x:v>
      </x:c>
      <x:c r="G12" s="19" t="n">
        <x:f>'Statements'!G25</x:f>
        <x:v>125846.41354670795</x:v>
      </x:c>
      <x:c r="H12" s="19" t="n">
        <x:f>'Statements'!H25</x:f>
        <x:v>141333.2022911689</x:v>
      </x:c>
      <x:c r="I12" s="19" t="n">
        <x:f>'Statements'!I25</x:f>
        <x:v>155775.31680323096</x:v>
      </x:c>
    </x:row>
    <x:row r="13" ht="21" customHeight="1">
      <x:c r="C13" s="1" t="str">
        <x:v>Operating cash flow</x:v>
      </x:c>
      <x:c r="D13" s="19" t="n">
        <x:f>'Statements'!D65</x:f>
        <x:v>303780</x:v>
      </x:c>
      <x:c r="E13" s="19" t="n">
        <x:f>'Statements'!E65</x:f>
        <x:v>315741</x:v>
      </x:c>
      <x:c r="F13" s="19" t="n">
        <x:f>'Statements'!F65</x:f>
        <x:v>232919</x:v>
      </x:c>
      <x:c r="G13" s="19" t="n">
        <x:f>'Statements'!G65</x:f>
        <x:v>328585.6011197056</x:v>
      </x:c>
      <x:c r="H13" s="19" t="n">
        <x:f>'Statements'!H65</x:f>
        <x:v>347000.0704656787</x:v>
      </x:c>
      <x:c r="I13" s="19" t="n">
        <x:f>'Statements'!I65</x:f>
        <x:v>358176.41585682647</x:v>
      </x:c>
    </x:row>
    <x:row r="14" ht="21" customHeight="1">
      <x:c r="C14" s="1" t="str">
        <x:v>Free cash flow before financing</x:v>
      </x:c>
      <x:c r="D14" s="19" t="n">
        <x:f>'Statements'!D87</x:f>
        <x:v>122517</x:v>
      </x:c>
      <x:c r="E14" s="19" t="n">
        <x:f>'Statements'!E87</x:f>
        <x:v>159762</x:v>
      </x:c>
      <x:c r="F14" s="19" t="n">
        <x:f>'Statements'!F87</x:f>
        <x:v>75968</x:v>
      </x:c>
      <x:c r="G14" s="19" t="n">
        <x:f>'Statements'!G87</x:f>
        <x:v>170629.27661609842</x:v>
      </x:c>
      <x:c r="H14" s="19" t="n">
        <x:f>'Statements'!H87</x:f>
        <x:v>184765.14001430135</x:v>
      </x:c>
      <x:c r="I14" s="19" t="n">
        <x:f>'Statements'!I87</x:f>
        <x:v>191187.36686941714</x:v>
      </x:c>
    </x:row>
    <x:row r="15" ht="21" customHeight="1">
      <x:c r="C15" s="1" t="str">
        <x:v>Closing cash and cash equivalents</x:v>
      </x:c>
      <x:c r="D15" s="19" t="n">
        <x:f>'Statements'!D31</x:f>
        <x:v>141559</x:v>
      </x:c>
      <x:c r="E15" s="19" t="n">
        <x:f>'Statements'!E31</x:f>
        <x:v>167309</x:v>
      </x:c>
      <x:c r="F15" s="19" t="n">
        <x:f>'Statements'!F31</x:f>
        <x:v>97267</x:v>
      </x:c>
      <x:c r="G15" s="19" t="n">
        <x:f>'Statements'!G31</x:f>
        <x:v>153272.06645606746</x:v>
      </x:c>
      <x:c r="H15" s="19" t="n">
        <x:f>'Statements'!H31</x:f>
        <x:v>213515.9247519921</x:v>
      </x:c>
      <x:c r="I15" s="19" t="n">
        <x:f>'Statements'!I31</x:f>
        <x:v>270724.840018986</x:v>
      </x:c>
    </x:row>
    <x:row r="16" ht="21" customHeight="1">
      <x:c r="C16" s="1" t="str">
        <x:v>Borrowings and lease liabilities</x:v>
      </x:c>
      <x:c r="D16" s="19" t="n">
        <x:f>'Statements'!D44</x:f>
        <x:v>102934</x:v>
      </x:c>
      <x:c r="E16" s="19" t="n">
        <x:f>'Statements'!E44</x:f>
        <x:v>88442</x:v>
      </x:c>
      <x:c r="F16" s="19" t="n">
        <x:f>'Statements'!F44</x:f>
        <x:v>101197</x:v>
      </x:c>
      <x:c r="G16" s="19" t="n">
        <x:f>'Statements'!G44</x:f>
        <x:v>92606.9</x:v>
      </x:c>
      <x:c r="H16" s="19" t="n">
        <x:f>'Statements'!H44</x:f>
        <x:v>85734.81999999999</x:v>
      </x:c>
      <x:c r="I16" s="19" t="n">
        <x:f>'Statements'!I44</x:f>
        <x:v>80237.15599999999</x:v>
      </x:c>
    </x:row>
    <x:row r="17" ht="21" customHeight="1">
      <x:c r="C17" s="1" t="str">
        <x:v>Balance-sheet difference</x:v>
      </x:c>
      <x:c r="D17" s="19" t="n">
        <x:f>'Statements'!D55</x:f>
        <x:v>0</x:v>
      </x:c>
      <x:c r="E17" s="19" t="n">
        <x:f>'Statements'!E55</x:f>
        <x:v>0</x:v>
      </x:c>
      <x:c r="F17" s="19" t="n">
        <x:f>'Statements'!F55</x:f>
        <x:v>0</x:v>
      </x:c>
      <x:c r="G17" s="19" t="n">
        <x:f>'Statements'!G55</x:f>
        <x:v>4.656612873077393e-10</x:v>
      </x:c>
      <x:c r="H17" s="19" t="n">
        <x:f>'Statements'!H55</x:f>
        <x:v>0</x:v>
      </x:c>
      <x:c r="I17" s="19" t="n">
        <x:f>'Statements'!I55</x:f>
        <x:v>0</x:v>
      </x:c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39" t="str">
        <x:v>Public banker training model. Forecasts are educational scenarios, not company guidance or investment advice.</x:v>
      </x:c>
      <x:c r="D21" s="20"/>
      <x:c r="E21" s="20"/>
      <x:c r="F21" s="20"/>
      <x:c r="G21" s="20"/>
      <x:c r="H21" s="20"/>
      <x:c r="I21" s="20"/>
    </x:row>
    <x:row r="22" ht="21" customHeight="1">
      <x:c r="C22" s="39"/>
      <x:c r="D22" s="20"/>
      <x:c r="E22" s="20"/>
      <x:c r="F22" s="20"/>
      <x:c r="G22" s="20"/>
      <x:c r="H22" s="20"/>
      <x:c r="I22" s="20"/>
    </x:row>
    <x:row r="23" ht="21" customHeight="1">
      <x:c r="C23" s="39" t="str">
        <x:v>Sources retrieved 2026-09-06. Annual actuals 2023–2025; H1 2026 observed, unaudited/reviewed as disclosed.</x:v>
      </x:c>
      <x:c r="D23" s="20"/>
      <x:c r="E23" s="20"/>
      <x:c r="F23" s="20"/>
      <x:c r="G23" s="20"/>
      <x:c r="H23" s="20"/>
      <x:c r="I23" s="20"/>
    </x:row>
    <x:row r="24" ht="21" customHeight="1">
      <x:c r="C24" s="39"/>
      <x:c r="D24" s="20"/>
      <x:c r="E24" s="20"/>
      <x:c r="F24" s="20"/>
      <x:c r="G24" s="20"/>
      <x:c r="H24" s="20"/>
      <x:c r="I24" s="20"/>
    </x:row>
    <x:row r="25" ht="21" customHeight="1">
      <x:c r="C25" s="39" t="str">
        <x:v>Edit Assumptions G:I. For 2026, segment volume / price inputs apply to the remaining H2 business.</x:v>
      </x:c>
      <x:c r="D25" s="20"/>
      <x:c r="E25" s="20"/>
      <x:c r="F25" s="20"/>
      <x:c r="G25" s="20"/>
      <x:c r="H25" s="20"/>
      <x:c r="I25" s="20"/>
    </x:row>
    <x:row r="26" ht="21" customHeight="1">
      <x:c r="C26" s="39"/>
      <x:c r="D26" s="20"/>
      <x:c r="E26" s="20"/>
      <x:c r="F26" s="20"/>
      <x:c r="G26" s="20"/>
      <x:c r="H26" s="20"/>
      <x:c r="I26" s="20"/>
    </x:row>
    <x:row r="27" ht="21" customHeight="1">
      <x:c r="C27" s="39" t="str">
        <x:v>Historical balance sheets are fully mapped by named source line. Checks never feed cash, debt, equity or other balances.</x:v>
      </x:c>
      <x:c r="D27" s="20"/>
      <x:c r="E27" s="20"/>
      <x:c r="F27" s="20"/>
      <x:c r="G27" s="20"/>
      <x:c r="H27" s="20"/>
      <x:c r="I27" s="20"/>
    </x:row>
    <x:row r="28" ht="21" customHeight="1">
      <x:c r="C28" s="39"/>
      <x:c r="D28" s="20"/>
      <x:c r="E28" s="20"/>
      <x:c r="F28" s="20"/>
      <x:c r="G28" s="20"/>
      <x:c r="H28" s="20"/>
      <x:c r="I28" s="20"/>
    </x:row>
    <x:row r="29" ht="21" customHeight="1">
      <x:c r="C29" s="39" t="str">
        <x:v>H1 segment allocation is a LEAP where not extracted. TTI uses restated Professional / Consumer H1 data and a LEAP FY2025 allocation.</x:v>
      </x:c>
      <x:c r="D29" s="20"/>
      <x:c r="E29" s="20"/>
      <x:c r="F29" s="20"/>
      <x:c r="G29" s="20"/>
      <x:c r="H29" s="20"/>
      <x:c r="I29" s="20"/>
    </x:row>
    <x:row r="30" ht="21" customHeight="1">
      <x:c r="C30" s="39"/>
      <x:c r="D30" s="20"/>
      <x:c r="E30" s="20"/>
      <x:c r="F30" s="20"/>
      <x:c r="G30" s="20"/>
      <x:c r="H30" s="20"/>
      <x:c r="I30" s="20"/>
    </x:row>
    <x:row r="31" ht="21" customHeight="1">
      <x:c r="C31" s="39" t="str">
        <x:v>D&amp;A allocation, capex split, future margins, cash income classification and tax timing are explicit LEAPs.</x:v>
      </x:c>
      <x:c r="D31" s="20"/>
      <x:c r="E31" s="20"/>
      <x:c r="F31" s="20"/>
      <x:c r="G31" s="20"/>
      <x:c r="H31" s="20"/>
      <x:c r="I31" s="20"/>
    </x:row>
    <x:row r="32" ht="21" customHeight="1">
      <x:c r="C32" s="39"/>
      <x:c r="D32" s="20"/>
      <x:c r="E32" s="20"/>
      <x:c r="F32" s="20"/>
      <x:c r="G32" s="20"/>
      <x:c r="H32" s="20"/>
      <x:c r="I32" s="20"/>
    </x:row>
    <x:row r="33" ht="21" customHeight="1">
      <x:c r="C33" s="39" t="str">
        <x:v>Borrowings and leases are aggregated. New lease recognition has matching ROU and funding entries. No automatic cash sweep.</x:v>
      </x:c>
      <x:c r="D33" s="20"/>
      <x:c r="E33" s="20"/>
      <x:c r="F33" s="20"/>
      <x:c r="G33" s="20"/>
      <x:c r="H33" s="20"/>
      <x:c r="I33" s="20"/>
    </x:row>
    <x:row r="34" ht="21" customHeight="1">
      <x:c r="C34" s="39"/>
      <x:c r="D34" s="20"/>
      <x:c r="E34" s="20"/>
      <x:c r="F34" s="20"/>
      <x:c r="G34" s="20"/>
      <x:c r="H34" s="20"/>
      <x:c r="I34" s="20"/>
    </x:row>
    <x:row r="35" ht="21" customHeight="1">
      <x:c r="C35" s="39" t="str">
        <x:v>Cash is the cash-flow definition. Other monetary balances remain separate. Negative cash is a visible scenario warning.</x:v>
      </x:c>
      <x:c r="D35" s="20"/>
      <x:c r="E35" s="20"/>
      <x:c r="F35" s="20"/>
      <x:c r="G35" s="20"/>
      <x:c r="H35" s="20"/>
      <x:c r="I35" s="20"/>
    </x:row>
    <x:row r="36" ht="21" customHeight="1">
      <x:c r="C36" s="39"/>
      <x:c r="D36" s="20"/>
      <x:c r="E36" s="20"/>
      <x:c r="F36" s="20"/>
      <x:c r="G36" s="20"/>
      <x:c r="H36" s="20"/>
      <x:c r="I36" s="20"/>
    </x:row>
    <x:row r="37" ht="21" customHeight="1">
      <x:c r="C37" s="39" t="str">
        <x:v>Share repurchases reduce modeled retained earnings. Distribution caps are analytical constraints, not legal opinions.</x:v>
      </x:c>
      <x:c r="D37" s="20"/>
      <x:c r="E37" s="20"/>
      <x:c r="F37" s="20"/>
      <x:c r="G37" s="20"/>
      <x:c r="H37" s="20"/>
      <x:c r="I37" s="20"/>
    </x:row>
    <x:row r="38" ht="21" customHeight="1">
      <x:c r="C38" s="39"/>
      <x:c r="D38" s="20"/>
      <x:c r="E38" s="20"/>
      <x:c r="F38" s="20"/>
      <x:c r="G38" s="20"/>
      <x:c r="H38" s="20"/>
      <x:c r="I38" s="20"/>
    </x:row>
    <x:row r="39" ht="21" customHeight="1">
      <x:c r="C39" s="39" t="str">
        <x:v>Other asset/liability components default flat. FX cash is assumed zero. Forecast deferred tax and detailed FX hedging are not modeled.</x:v>
      </x:c>
      <x:c r="D39" s="20"/>
      <x:c r="E39" s="20"/>
      <x:c r="F39" s="20"/>
      <x:c r="G39" s="20"/>
      <x:c r="H39" s="20"/>
      <x:c r="I39" s="20"/>
    </x:row>
    <x:row r="40" ht="21" customHeight="1">
      <x:c r="C40" s="39"/>
      <x:c r="D40" s="20"/>
      <x:c r="E40" s="20"/>
      <x:c r="F40" s="20"/>
      <x:c r="G40" s="20"/>
      <x:c r="H40" s="20"/>
      <x:c r="I40" s="20"/>
    </x:row>
    <x:row r="41" ht="21" customHeight="1">
      <x:c r="C41" s="39" t="str">
        <x:v>Blue text: editable input. Green text: same-workbook link. Yellow fill: forecast input or LEAP.</x:v>
      </x:c>
      <x:c r="D41" s="20"/>
      <x:c r="E41" s="20"/>
      <x:c r="F41" s="20"/>
      <x:c r="G41" s="20"/>
      <x:c r="H41" s="20"/>
      <x:c r="I41" s="20"/>
    </x:row>
    <x:row r="42" ht="21" customHeight="1">
      <x:c r="C42" s="39"/>
      <x:c r="D42" s="20"/>
      <x:c r="E42" s="20"/>
      <x:c r="F42" s="20"/>
      <x:c r="G42" s="20"/>
      <x:c r="H42" s="20"/>
      <x:c r="I42" s="20"/>
    </x:row>
    <x:row r="43" ht="21" customHeight="1">
      <x:c r="C43" s="39" t="str">
        <x:v>Teaching model. Review source data, assumptions and limitations before project use.</x:v>
      </x:c>
      <x:c r="D43" s="20"/>
      <x:c r="E43" s="20"/>
      <x:c r="F43" s="20"/>
      <x:c r="G43" s="20"/>
      <x:c r="H43" s="20"/>
      <x:c r="I43" s="20"/>
    </x:row>
    <x:row r="44" ht="21" customHeight="1">
      <x:c r="C44" s="39"/>
      <x:c r="D44" s="20"/>
      <x:c r="E44" s="20"/>
      <x:c r="F44" s="20"/>
      <x:c r="G44" s="20"/>
      <x:c r="H44" s="20"/>
      <x:c r="I44" s="20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21:I22"/>
    <x:mergeCell ref="C23:I24"/>
    <x:mergeCell ref="C25:I26"/>
    <x:mergeCell ref="C27:I28"/>
    <x:mergeCell ref="C29:I30"/>
    <x:mergeCell ref="C31:I32"/>
    <x:mergeCell ref="C33:I34"/>
    <x:mergeCell ref="C35:I36"/>
    <x:mergeCell ref="C37:I38"/>
    <x:mergeCell ref="C39:I40"/>
    <x:mergeCell ref="C41:I42"/>
    <x:mergeCell ref="C43:I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Assumptions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v>45291</x:v>
      </x:c>
      <x:c r="E7" s="13" t="n">
        <x:v>45657</x:v>
      </x:c>
      <x:c r="F7" s="13" t="n">
        <x:v>46022</x:v>
      </x:c>
      <x:c r="G7" s="14" t="n">
        <x:v>46387</x:v>
      </x:c>
      <x:c r="H7" s="14" t="n">
        <x:v>46752</x:v>
      </x:c>
      <x:c r="I7" s="14" t="n">
        <x:v>47118</x:v>
      </x:c>
    </x:row>
    <x:row r="8" ht="21" customHeight="1">
      <x:c r="C8" s="12" t="str">
        <x:v>Profitability and source-derived proxies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" t="str">
        <x:v>Cash gross margin before modeled depreciation</x:v>
      </x:c>
      <x:c r="D10" s="2"/>
      <x:c r="E10" s="2"/>
      <x:c r="F10" s="26" t="n">
        <x:v>0.4334182388469863</x:v>
      </x:c>
      <x:c r="G10" s="23" t="n">
        <x:v>0.4334182388469863</x:v>
      </x:c>
      <x:c r="H10" s="23" t="n">
        <x:v>0.4334182388469863</x:v>
      </x:c>
      <x:c r="I10" s="23" t="n">
        <x:v>0.4334182388469863</x:v>
      </x:c>
    </x:row>
    <x:row r="11" ht="21" customHeight="1">
      <x:c r="C11" s="1" t="str">
        <x:v>Selling expense / revenue</x:v>
      </x:c>
      <x:c r="D11" s="2"/>
      <x:c r="E11" s="2"/>
      <x:c r="F11" s="2"/>
      <x:c r="G11" s="23" t="n">
        <x:v>0.053499043503680774</x:v>
      </x:c>
      <x:c r="H11" s="23" t="n">
        <x:v>0.053499043503680774</x:v>
      </x:c>
      <x:c r="I11" s="23" t="n">
        <x:v>0.053499043503680774</x:v>
      </x:c>
    </x:row>
    <x:row r="12" ht="21" customHeight="1">
      <x:c r="C12" s="1" t="str">
        <x:v>Cash administrative expense / revenue</x:v>
      </x:c>
      <x:c r="D12" s="2"/>
      <x:c r="E12" s="2"/>
      <x:c r="F12" s="2"/>
      <x:c r="G12" s="23" t="n">
        <x:v>0.016969549232660468</x:v>
      </x:c>
      <x:c r="H12" s="23" t="n">
        <x:v>0.016969549232660468</x:v>
      </x:c>
      <x:c r="I12" s="23" t="n">
        <x:v>0.016969549232660468</x:v>
      </x:c>
    </x:row>
    <x:row r="13" ht="21" customHeight="1">
      <x:c r="C13" s="1" t="str">
        <x:v>R&amp;D expense / revenue</x:v>
      </x:c>
      <x:c r="D13" s="2"/>
      <x:c r="E13" s="2"/>
      <x:c r="F13" s="2"/>
      <x:c r="G13" s="23" t="n">
        <x:v>0.0278550391501704</x:v>
      </x:c>
      <x:c r="H13" s="23" t="n">
        <x:v>0.0278550391501704</x:v>
      </x:c>
      <x:c r="I13" s="23" t="n">
        <x:v>0.0278550391501704</x:v>
      </x:c>
    </x:row>
    <x:row r="14" ht="21" customHeight="1">
      <x:c r="C14" s="1" t="str">
        <x:v>Business taxes / revenue</x:v>
      </x:c>
      <x:c r="D14" s="2"/>
      <x:c r="E14" s="2"/>
      <x:c r="F14" s="2"/>
      <x:c r="G14" s="23" t="n">
        <x:v>0.003809797683650626</x:v>
      </x:c>
      <x:c r="H14" s="23" t="n">
        <x:v>0.003809797683650626</x:v>
      </x:c>
      <x:c r="I14" s="23" t="n">
        <x:v>0.003809797683650626</x:v>
      </x:c>
    </x:row>
    <x:row r="15" ht="21" customHeight="1">
      <x:c r="C15" s="1" t="str">
        <x:v>Other cash pretax income / revenue</x:v>
      </x:c>
      <x:c r="D15" s="2"/>
      <x:c r="E15" s="2"/>
      <x:c r="F15" s="2"/>
      <x:c r="G15" s="23" t="n">
        <x:v>0.015388687919389594</x:v>
      </x:c>
      <x:c r="H15" s="23" t="n">
        <x:v>0.015388687919389594</x:v>
      </x:c>
      <x:c r="I15" s="23" t="n">
        <x:v>0.015388687919389594</x:v>
      </x:c>
    </x:row>
    <x:row r="16" ht="21" customHeight="1">
      <x:c r="C16" s="1" t="str">
        <x:v>Opening cash yield (proxy includes historical FX)</x:v>
      </x:c>
      <x:c r="D16" s="2"/>
      <x:c r="E16" s="2"/>
      <x:c r="F16" s="2"/>
      <x:c r="G16" s="23" t="n">
        <x:v>0.031032401126060163</x:v>
      </x:c>
      <x:c r="H16" s="23" t="n">
        <x:v>0.031032401126060163</x:v>
      </x:c>
      <x:c r="I16" s="23" t="n">
        <x:v>0.031032401126060163</x:v>
      </x:c>
    </x:row>
    <x:row r="17" ht="21" customHeight="1">
      <x:c r="C17" s="1" t="str">
        <x:v>Borrowing and lease interest rate</x:v>
      </x:c>
      <x:c r="D17" s="2"/>
      <x:c r="E17" s="2"/>
      <x:c r="F17" s="2"/>
      <x:c r="G17" s="23" t="n">
        <x:v>0.04134913276497592</x:v>
      </x:c>
      <x:c r="H17" s="23" t="n">
        <x:v>0.04134913276497592</x:v>
      </x:c>
      <x:c r="I17" s="23" t="n">
        <x:v>0.04134913276497592</x:v>
      </x:c>
    </x:row>
    <x:row r="18" ht="21" customHeight="1">
      <x:c r="C18" s="1" t="str">
        <x:v>Effective tax rate (H1 2026 source basis)</x:v>
      </x:c>
      <x:c r="D18" s="2"/>
      <x:c r="E18" s="2"/>
      <x:c r="F18" s="2"/>
      <x:c r="G18" s="23" t="n">
        <x:v>0.20259577732025347</x:v>
      </x:c>
      <x:c r="H18" s="23" t="n">
        <x:v>0.20259577732025347</x:v>
      </x:c>
      <x:c r="I18" s="23" t="n">
        <x:v>0.20259577732025347</x:v>
      </x:c>
    </x:row>
    <x:row r="19" ht="21" customHeight="1">
      <x:c r="C19" s="1" t="str">
        <x:v>NCI share of consolidated net income</x:v>
      </x:c>
      <x:c r="D19" s="2"/>
      <x:c r="E19" s="2"/>
      <x:c r="F19" s="2"/>
      <x:c r="G19" s="23" t="n">
        <x:v>0.0012312041030423126</x:v>
      </x:c>
      <x:c r="H19" s="23" t="n">
        <x:v>0.0012312041030423126</x:v>
      </x:c>
      <x:c r="I19" s="23" t="n">
        <x:v>0.0012312041030423126</x:v>
      </x:c>
    </x:row>
    <x:row r="20" ht="21" customHeight="1">
      <x:c r="C20" s="12" t="str">
        <x:v>Working capital</x:v>
      </x:c>
      <x:c r="D20" s="25"/>
      <x:c r="E20" s="25"/>
      <x:c r="F20" s="25"/>
      <x:c r="G20" s="25"/>
      <x:c r="H20" s="25"/>
      <x:c r="I20" s="25"/>
    </x:row>
    <x:row r="21" ht="21" customHeight="1">
      <x:c r="C21" s="1"/>
      <x:c r="D21" s="2"/>
      <x:c r="E21" s="2"/>
      <x:c r="F21" s="2"/>
      <x:c r="G21" s="2"/>
      <x:c r="H21" s="2"/>
      <x:c r="I21" s="2"/>
    </x:row>
    <x:row r="22" ht="21" customHeight="1">
      <x:c r="C22" s="1" t="str">
        <x:v>Ending receivable and contract-asset days</x:v>
      </x:c>
      <x:c r="D22" s="2"/>
      <x:c r="E22" s="2"/>
      <x:c r="F22" s="2"/>
      <x:c r="G22" s="22" t="n">
        <x:v>42.09507925731322</x:v>
      </x:c>
      <x:c r="H22" s="22" t="n">
        <x:v>42.09507925731322</x:v>
      </x:c>
      <x:c r="I22" s="22" t="n">
        <x:v>42.09507925731322</x:v>
      </x:c>
    </x:row>
    <x:row r="23" ht="21" customHeight="1">
      <x:c r="C23" s="1" t="str">
        <x:v>Ending inventory days</x:v>
      </x:c>
      <x:c r="D23" s="2"/>
      <x:c r="E23" s="2"/>
      <x:c r="F23" s="2"/>
      <x:c r="G23" s="22" t="n">
        <x:v>8.117289321781595</x:v>
      </x:c>
      <x:c r="H23" s="22" t="n">
        <x:v>8.117289321781595</x:v>
      </x:c>
      <x:c r="I23" s="22" t="n">
        <x:v>8.117289321781595</x:v>
      </x:c>
    </x:row>
    <x:row r="24" ht="21" customHeight="1">
      <x:c r="C24" s="1" t="str">
        <x:v>Ending trade and bills-payable days</x:v>
      </x:c>
      <x:c r="D24" s="2"/>
      <x:c r="E24" s="2"/>
      <x:c r="F24" s="2"/>
      <x:c r="G24" s="22" t="n">
        <x:v>171.6494225023293</x:v>
      </x:c>
      <x:c r="H24" s="22" t="n">
        <x:v>171.6494225023293</x:v>
      </x:c>
      <x:c r="I24" s="22" t="n">
        <x:v>171.6494225023293</x:v>
      </x:c>
    </x:row>
    <x:row r="25" ht="21" customHeight="1">
      <x:c r="C25" s="1" t="str">
        <x:v>Customer advances / revenue</x:v>
      </x:c>
      <x:c r="D25" s="2"/>
      <x:c r="E25" s="2"/>
      <x:c r="F25" s="2"/>
      <x:c r="G25" s="23" t="n">
        <x:v>0.12647366611851033</x:v>
      </x:c>
      <x:c r="H25" s="23" t="n">
        <x:v>0.12647366611851033</x:v>
      </x:c>
      <x:c r="I25" s="23" t="n">
        <x:v>0.12647366611851033</x:v>
      </x:c>
    </x:row>
    <x:row r="26" ht="21" customHeight="1">
      <x:c r="C26" s="1" t="str">
        <x:v>Finance-company deposit balance growth</x:v>
      </x:c>
      <x:c r="D26" s="2"/>
      <x:c r="E26" s="2"/>
      <x:c r="F26" s="2"/>
      <x:c r="G26" s="23" t="n">
        <x:v>0</x:v>
      </x:c>
      <x:c r="H26" s="23" t="n">
        <x:v>0</x:v>
      </x:c>
      <x:c r="I26" s="23" t="n">
        <x:v>0</x:v>
      </x:c>
    </x:row>
    <x:row r="27" ht="21" customHeight="1">
      <x:c r="C27" s="1" t="str">
        <x:v>Named other-asset balance growth</x:v>
      </x:c>
      <x:c r="D27" s="2"/>
      <x:c r="E27" s="2"/>
      <x:c r="F27" s="2"/>
      <x:c r="G27" s="23" t="n">
        <x:v>0</x:v>
      </x:c>
      <x:c r="H27" s="23" t="n">
        <x:v>0</x:v>
      </x:c>
      <x:c r="I27" s="23" t="n">
        <x:v>0</x:v>
      </x:c>
    </x:row>
    <x:row r="28" ht="21" customHeight="1">
      <x:c r="C28" s="1" t="str">
        <x:v>Named other-liability balance growth</x:v>
      </x:c>
      <x:c r="D28" s="2"/>
      <x:c r="E28" s="2"/>
      <x:c r="F28" s="2"/>
      <x:c r="G28" s="23" t="n">
        <x:v>0</x:v>
      </x:c>
      <x:c r="H28" s="23" t="n">
        <x:v>0</x:v>
      </x:c>
      <x:c r="I28" s="23" t="n">
        <x:v>0</x:v>
      </x:c>
    </x:row>
    <x:row r="29" ht="21" customHeight="1">
      <x:c r="C29" s="12" t="str">
        <x:v>Asset investment and depreciation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PPE / CIP capex / revenue</x:v>
      </x:c>
      <x:c r="D31" s="2"/>
      <x:c r="E31" s="2"/>
      <x:c r="F31" s="2"/>
      <x:c r="G31" s="23" t="n">
        <x:v>0.13450547378704936</x:v>
      </x:c>
      <x:c r="H31" s="23" t="n">
        <x:v>0.13450547378704936</x:v>
      </x:c>
      <x:c r="I31" s="23" t="n">
        <x:v>0.13450547378704936</x:v>
      </x:c>
    </x:row>
    <x:row r="32" ht="21" customHeight="1">
      <x:c r="C32" s="1" t="str">
        <x:v>Cash intangible / development capex / revenue</x:v>
      </x:c>
      <x:c r="D32" s="2"/>
      <x:c r="E32" s="2"/>
      <x:c r="F32" s="2"/>
      <x:c r="G32" s="23" t="n">
        <x:v>0.014945052643005483</x:v>
      </x:c>
      <x:c r="H32" s="23" t="n">
        <x:v>0.014945052643005483</x:v>
      </x:c>
      <x:c r="I32" s="23" t="n">
        <x:v>0.014945052643005483</x:v>
      </x:c>
    </x:row>
    <x:row r="33" ht="21" customHeight="1">
      <x:c r="C33" s="1" t="str">
        <x:v>PPE blended depreciation rate</x:v>
      </x:c>
      <x:c r="D33" s="2"/>
      <x:c r="E33" s="2"/>
      <x:c r="F33" s="2"/>
      <x:c r="G33" s="23" t="n">
        <x:v>0.20749928193949507</x:v>
      </x:c>
      <x:c r="H33" s="23" t="n">
        <x:v>0.20749928193949507</x:v>
      </x:c>
      <x:c r="I33" s="23" t="n">
        <x:v>0.20749928193949507</x:v>
      </x:c>
    </x:row>
    <x:row r="34" ht="21" customHeight="1">
      <x:c r="C34" s="1" t="str">
        <x:v>Intangible blended amortization rate</x:v>
      </x:c>
      <x:c r="D34" s="2"/>
      <x:c r="E34" s="2"/>
      <x:c r="F34" s="2"/>
      <x:c r="G34" s="23" t="n">
        <x:v>0.20749928193949507</x:v>
      </x:c>
      <x:c r="H34" s="23" t="n">
        <x:v>0.20749928193949507</x:v>
      </x:c>
      <x:c r="I34" s="23" t="n">
        <x:v>0.20749928193949507</x:v>
      </x:c>
    </x:row>
    <x:row r="35" ht="21" customHeight="1">
      <x:c r="C35" s="1" t="str">
        <x:v>ROU blended depreciation rate</x:v>
      </x:c>
      <x:c r="D35" s="2"/>
      <x:c r="E35" s="2"/>
      <x:c r="F35" s="2"/>
      <x:c r="G35" s="23" t="n">
        <x:v>0.20749928193949507</x:v>
      </x:c>
      <x:c r="H35" s="23" t="n">
        <x:v>0.20749928193949507</x:v>
      </x:c>
      <x:c r="I35" s="23" t="n">
        <x:v>0.20749928193949507</x:v>
      </x:c>
    </x:row>
    <x:row r="36" ht="21" customHeight="1">
      <x:c r="C36" s="1" t="str">
        <x:v>New lease asset and liability</x:v>
      </x:c>
      <x:c r="D36" s="2"/>
      <x:c r="E36" s="2"/>
      <x:c r="F36" s="2"/>
      <x:c r="G36" s="22" t="n">
        <x:v>11649.3</x:v>
      </x:c>
      <x:c r="H36" s="22" t="n">
        <x:v>11649.3</x:v>
      </x:c>
      <x:c r="I36" s="22" t="n">
        <x:v>11649.3</x:v>
      </x:c>
    </x:row>
    <x:row r="37" ht="21" customHeight="1">
      <x:c r="C37" s="1" t="str">
        <x:v>Share of total D&amp;A in cost of revenue</x:v>
      </x:c>
      <x:c r="D37" s="2"/>
      <x:c r="E37" s="2"/>
      <x:c r="F37" s="2"/>
      <x:c r="G37" s="23" t="n">
        <x:v>0.8</x:v>
      </x:c>
      <x:c r="H37" s="23" t="n">
        <x:v>0.8</x:v>
      </x:c>
      <x:c r="I37" s="23" t="n">
        <x:v>0.8</x:v>
      </x:c>
    </x:row>
    <x:row r="38" ht="21" customHeight="1">
      <x:c r="C38" s="12" t="str">
        <x:v>Funding, distributions and tax</x:v>
      </x:c>
      <x:c r="D38" s="25"/>
      <x:c r="E38" s="25"/>
      <x:c r="F38" s="25"/>
      <x:c r="G38" s="25"/>
      <x:c r="H38" s="25"/>
      <x:c r="I38" s="25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 t="str">
        <x:v>New cash borrowing requested</x:v>
      </x:c>
      <x:c r="D40" s="2"/>
      <x:c r="E40" s="2"/>
      <x:c r="F40" s="2"/>
      <x:c r="G40" s="22" t="n">
        <x:v>0</x:v>
      </x:c>
      <x:c r="H40" s="22" t="n">
        <x:v>0</x:v>
      </x:c>
      <x:c r="I40" s="22" t="n">
        <x:v>0</x:v>
      </x:c>
    </x:row>
    <x:row r="41" ht="21" customHeight="1">
      <x:c r="C41" s="1" t="str">
        <x:v>Opening funding liabilities repayment fraction</x:v>
      </x:c>
      <x:c r="D41" s="2"/>
      <x:c r="E41" s="2"/>
      <x:c r="F41" s="2"/>
      <x:c r="G41" s="23" t="n">
        <x:v>0.2</x:v>
      </x:c>
      <x:c r="H41" s="23" t="n">
        <x:v>0.2</x:v>
      </x:c>
      <x:c r="I41" s="23" t="n">
        <x:v>0.2</x:v>
      </x:c>
    </x:row>
    <x:row r="42" ht="21" customHeight="1">
      <x:c r="C42" s="1" t="str">
        <x:v>Additional repayment requested</x:v>
      </x:c>
      <x:c r="D42" s="2"/>
      <x:c r="E42" s="2"/>
      <x:c r="F42" s="2"/>
      <x:c r="G42" s="22" t="n">
        <x:v>0</x:v>
      </x:c>
      <x:c r="H42" s="22" t="n">
        <x:v>0</x:v>
      </x:c>
      <x:c r="I42" s="22" t="n">
        <x:v>0</x:v>
      </x:c>
    </x:row>
    <x:row r="43" ht="21" customHeight="1">
      <x:c r="C43" s="1" t="str">
        <x:v>Parent and NCI dividend payout requested</x:v>
      </x:c>
      <x:c r="D43" s="2"/>
      <x:c r="E43" s="2"/>
      <x:c r="F43" s="2"/>
      <x:c r="G43" s="23" t="n">
        <x:v>0.75</x:v>
      </x:c>
      <x:c r="H43" s="23" t="n">
        <x:v>0.75</x:v>
      </x:c>
      <x:c r="I43" s="23" t="n">
        <x:v>0.75</x:v>
      </x:c>
    </x:row>
    <x:row r="44" ht="21" customHeight="1">
      <x:c r="C44" s="1" t="str">
        <x:v>Share repurchase requested</x:v>
      </x:c>
      <x:c r="D44" s="2"/>
      <x:c r="E44" s="2"/>
      <x:c r="F44" s="2"/>
      <x:c r="G44" s="22" t="n">
        <x:v>0</x:v>
      </x:c>
      <x:c r="H44" s="22" t="n">
        <x:v>0</x:v>
      </x:c>
      <x:c r="I44" s="22" t="n">
        <x:v>0</x:v>
      </x:c>
    </x:row>
    <x:row r="45" ht="21" customHeight="1">
      <x:c r="C45" s="1" t="str">
        <x:v>New equity cash proceeds</x:v>
      </x:c>
      <x:c r="D45" s="2"/>
      <x:c r="E45" s="2"/>
      <x:c r="F45" s="2"/>
      <x:c r="G45" s="22" t="n">
        <x:v>0</x:v>
      </x:c>
      <x:c r="H45" s="22" t="n">
        <x:v>0</x:v>
      </x:c>
      <x:c r="I45" s="22" t="n">
        <x:v>0</x:v>
      </x:c>
    </x:row>
    <x:row r="46" ht="21" customHeight="1">
      <x:c r="C46" s="1" t="str">
        <x:v>Non-cash share compensation expense / reserve</x:v>
      </x:c>
      <x:c r="D46" s="2"/>
      <x:c r="E46" s="2"/>
      <x:c r="F46" s="2"/>
      <x:c r="G46" s="22" t="n">
        <x:v>0</x:v>
      </x:c>
      <x:c r="H46" s="22" t="n">
        <x:v>0</x:v>
      </x:c>
      <x:c r="I46" s="22" t="n">
        <x:v>0</x:v>
      </x:c>
    </x:row>
    <x:row r="47" ht="21" customHeight="1">
      <x:c r="C47" s="1" t="str">
        <x:v>Current tax expense paid in current year</x:v>
      </x:c>
      <x:c r="D47" s="2"/>
      <x:c r="E47" s="2"/>
      <x:c r="F47" s="2"/>
      <x:c r="G47" s="23" t="n">
        <x:v>0.85</x:v>
      </x:c>
      <x:c r="H47" s="23" t="n">
        <x:v>0.85</x:v>
      </x:c>
      <x:c r="I47" s="23" t="n">
        <x:v>0.85</x:v>
      </x:c>
    </x:row>
    <x:row r="48" ht="21" customHeight="1">
      <x:c r="C48" s="1" t="str">
        <x:v>Opening taxes payable settlement fraction</x:v>
      </x:c>
      <x:c r="D48" s="2"/>
      <x:c r="E48" s="2"/>
      <x:c r="F48" s="2"/>
      <x:c r="G48" s="23" t="n">
        <x:v>1</x:v>
      </x:c>
      <x:c r="H48" s="23" t="n">
        <x:v>1</x:v>
      </x:c>
      <x:c r="I48" s="23" t="n">
        <x:v>1</x:v>
      </x:c>
    </x:row>
    <x:row r="49" ht="21" customHeight="1">
      <x:c r="C49" s="12" t="str">
        <x:v>Financial investment roll-forward</x:v>
      </x:c>
      <x:c r="D49" s="25"/>
      <x:c r="E49" s="25"/>
      <x:c r="F49" s="25"/>
      <x:c r="G49" s="25"/>
      <x:c r="H49" s="25"/>
      <x:c r="I49" s="25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 t="str">
        <x:v>Financial investments cash purchase requested</x:v>
      </x:c>
      <x:c r="D51" s="2"/>
      <x:c r="E51" s="2"/>
      <x:c r="F51" s="2"/>
      <x:c r="G51" s="22" t="n">
        <x:v>0</x:v>
      </x:c>
      <x:c r="H51" s="22" t="n">
        <x:v>0</x:v>
      </x:c>
      <x:c r="I51" s="22" t="n">
        <x:v>0</x:v>
      </x:c>
    </x:row>
    <x:row r="52" ht="21" customHeight="1">
      <x:c r="C52" s="1" t="str">
        <x:v>Financial investments redemption requested</x:v>
      </x:c>
      <x:c r="D52" s="2"/>
      <x:c r="E52" s="2"/>
      <x:c r="F52" s="2"/>
      <x:c r="G52" s="22" t="n">
        <x:v>0</x:v>
      </x:c>
      <x:c r="H52" s="22" t="n">
        <x:v>0</x:v>
      </x:c>
      <x:c r="I52" s="22" t="n">
        <x:v>0</x:v>
      </x:c>
    </x:row>
    <x:row r="53" ht="21" customHeight="1">
      <x:c r="C53" s="1" t="str">
        <x:v>Financial investments fair-value gain / (loss)</x:v>
      </x:c>
      <x:c r="D53" s="2"/>
      <x:c r="E53" s="2"/>
      <x:c r="F53" s="2"/>
      <x:c r="G53" s="22" t="n">
        <x:v>0</x:v>
      </x:c>
      <x:c r="H53" s="22" t="n">
        <x:v>0</x:v>
      </x:c>
      <x:c r="I53" s="22" t="n">
        <x:v>0</x:v>
      </x:c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Yellow / blue cells are editable forecasts, including LEAPs.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2026 segment growth applies to H2; 2027–2028 apply to full years.</x:v>
      </x:c>
      <x:c r="D57" s="2"/>
      <x:c r="E57" s="2"/>
      <x:c r="F57" s="2"/>
      <x:c r="G57" s="2"/>
      <x:c r="H57" s="2"/>
      <x:c r="I57" s="2"/>
    </x:row>
    <x:row r="58" ht="21" customHeight="1">
      <x:c r="C58" s="1" t="str">
        <x:v>D&amp;A split and capex allocation are LEAPs; source total is retained.</x:v>
      </x:c>
      <x:c r="D58" s="2"/>
      <x:c r="E58" s="2"/>
      <x:c r="F58" s="2"/>
      <x:c r="G58" s="2"/>
      <x:c r="H58" s="2"/>
      <x:c r="I58" s="2"/>
    </x:row>
    <x:row r="59" ht="21" customHeight="1">
      <x:c r="C59" s="1" t="str">
        <x:v>Funding combines borrowings and leases; repayment is capped.</x:v>
      </x:c>
      <x:c r="D59" s="2"/>
      <x:c r="E59" s="2"/>
      <x:c r="F59" s="2"/>
      <x:c r="G59" s="2"/>
      <x:c r="H59" s="2"/>
      <x:c r="I59" s="2"/>
    </x:row>
    <x:row r="60" ht="21" customHeight="1">
      <x:c r="C60" s="1" t="str">
        <x:v>Other pretax income is assumed cash; no earnings/BS calibration.</x:v>
      </x:c>
      <x:c r="D60" s="2"/>
      <x:c r="E60" s="2"/>
      <x:c r="F60" s="2"/>
      <x:c r="G60" s="2"/>
      <x:c r="H60" s="2"/>
      <x:c r="I60" s="2"/>
    </x:row>
    <x:row r="61" ht="21" customHeight="1">
      <x:c r="C61" s="1" t="str">
        <x:v>Taxes payable combine income and other taxes; settlement is a LEAP.</x:v>
      </x:c>
      <x:c r="D61" s="2"/>
      <x:c r="E61" s="2"/>
      <x:c r="F61" s="2"/>
      <x:c r="G61" s="2"/>
      <x:c r="H61" s="2"/>
      <x:c r="I61" s="2"/>
    </x:row>
    <x:row r="62" ht="21" customHeight="1">
      <x:c r="C62" s="1" t="str">
        <x:v>Share issue and SBC inputs are expected positive; invalid inputs flagged.</x:v>
      </x:c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 t="str">
        <x:v>语音业务: Voice subscriber / traffic change</x:v>
      </x:c>
      <x:c r="D66" s="2"/>
      <x:c r="E66" s="2"/>
      <x:c r="F66" s="2"/>
      <x:c r="G66" s="23" t="n">
        <x:v>-0.03</x:v>
      </x:c>
      <x:c r="H66" s="23" t="n">
        <x:v>-0.03</x:v>
      </x:c>
      <x:c r="I66" s="23" t="n">
        <x:v>-0.03</x:v>
      </x:c>
    </x:row>
    <x:row r="67" ht="21" customHeight="1">
      <x:c r="C67" s="1" t="str">
        <x:v>语音业务: Voice yield</x:v>
      </x:c>
      <x:c r="D67" s="2"/>
      <x:c r="E67" s="2"/>
      <x:c r="F67" s="2"/>
      <x:c r="G67" s="23" t="n">
        <x:v>-0.03</x:v>
      </x:c>
      <x:c r="H67" s="23" t="n">
        <x:v>-0.03</x:v>
      </x:c>
      <x:c r="I67" s="23" t="n">
        <x:v>-0.03</x:v>
      </x:c>
    </x:row>
    <x:row r="68" ht="21" customHeight="1">
      <x:c r="C68" s="1" t="str">
        <x:v>语音业务: cash gross margin (LEAP)</x:v>
      </x:c>
      <x:c r="D68" s="2"/>
      <x:c r="E68" s="2"/>
      <x:c r="F68" s="26" t="n">
        <x:v>0.4334182388469863</x:v>
      </x:c>
      <x:c r="G68" s="30" t="n">
        <x:f>G10+($F68-$F$10)</x:f>
        <x:v>0.4334182388469863</x:v>
      </x:c>
      <x:c r="H68" s="30" t="n">
        <x:f>H10+($F68-$F$10)</x:f>
        <x:v>0.4334182388469863</x:v>
      </x:c>
      <x:c r="I68" s="30" t="n">
        <x:f>I10+($F68-$F$10)</x:f>
        <x:v>0.4334182388469863</x:v>
      </x:c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 t="str">
        <x:v>短彩信: Messaging usage change</x:v>
      </x:c>
      <x:c r="D70" s="2"/>
      <x:c r="E70" s="2"/>
      <x:c r="F70" s="2"/>
      <x:c r="G70" s="23" t="n">
        <x:v>-0.02</x:v>
      </x:c>
      <x:c r="H70" s="23" t="n">
        <x:v>-0.02</x:v>
      </x:c>
      <x:c r="I70" s="23" t="n">
        <x:v>-0.02</x:v>
      </x:c>
    </x:row>
    <x:row r="71" ht="21" customHeight="1">
      <x:c r="C71" s="1" t="str">
        <x:v>短彩信: Messaging yield</x:v>
      </x:c>
      <x:c r="D71" s="2"/>
      <x:c r="E71" s="2"/>
      <x:c r="F71" s="2"/>
      <x:c r="G71" s="23" t="n">
        <x:v>-0.02</x:v>
      </x:c>
      <x:c r="H71" s="23" t="n">
        <x:v>-0.02</x:v>
      </x:c>
      <x:c r="I71" s="23" t="n">
        <x:v>-0.02</x:v>
      </x:c>
    </x:row>
    <x:row r="72" ht="21" customHeight="1">
      <x:c r="C72" s="1" t="str">
        <x:v>短彩信: cash gross margin (LEAP)</x:v>
      </x:c>
      <x:c r="D72" s="2"/>
      <x:c r="E72" s="2"/>
      <x:c r="F72" s="26" t="n">
        <x:v>0.4334182388469863</x:v>
      </x:c>
      <x:c r="G72" s="30" t="n">
        <x:f>G10+($F72-$F$10)</x:f>
        <x:v>0.4334182388469863</x:v>
      </x:c>
      <x:c r="H72" s="30" t="n">
        <x:f>H10+($F72-$F$10)</x:f>
        <x:v>0.4334182388469863</x:v>
      </x:c>
      <x:c r="I72" s="30" t="n">
        <x:f>I10+($F72-$F$10)</x:f>
        <x:v>0.4334182388469863</x:v>
      </x:c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 t="str">
        <x:v>无线上网: Mobile data subscriber growth</x:v>
      </x:c>
      <x:c r="D74" s="2"/>
      <x:c r="E74" s="2"/>
      <x:c r="F74" s="2"/>
      <x:c r="G74" s="23" t="n">
        <x:v>0.01</x:v>
      </x:c>
      <x:c r="H74" s="23" t="n">
        <x:v>0.01</x:v>
      </x:c>
      <x:c r="I74" s="23" t="n">
        <x:v>0.01</x:v>
      </x:c>
    </x:row>
    <x:row r="75" ht="21" customHeight="1">
      <x:c r="C75" s="1" t="str">
        <x:v>无线上网: Data ARPU change</x:v>
      </x:c>
      <x:c r="D75" s="2"/>
      <x:c r="E75" s="2"/>
      <x:c r="F75" s="2"/>
      <x:c r="G75" s="23" t="n">
        <x:v>-0.02</x:v>
      </x:c>
      <x:c r="H75" s="23" t="n">
        <x:v>-0.02</x:v>
      </x:c>
      <x:c r="I75" s="23" t="n">
        <x:v>-0.02</x:v>
      </x:c>
    </x:row>
    <x:row r="76" ht="21" customHeight="1">
      <x:c r="C76" s="1" t="str">
        <x:v>无线上网: cash gross margin (LEAP)</x:v>
      </x:c>
      <x:c r="D76" s="2"/>
      <x:c r="E76" s="2"/>
      <x:c r="F76" s="26" t="n">
        <x:v>0.4334182388469863</x:v>
      </x:c>
      <x:c r="G76" s="30" t="n">
        <x:f>G10+($F76-$F$10)</x:f>
        <x:v>0.4334182388469863</x:v>
      </x:c>
      <x:c r="H76" s="30" t="n">
        <x:f>H10+($F76-$F$10)</x:f>
        <x:v>0.4334182388469863</x:v>
      </x:c>
      <x:c r="I76" s="30" t="n">
        <x:f>I10+($F76-$F$10)</x:f>
        <x:v>0.4334182388469863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有线宽带: Broadband subscriber growth</x:v>
      </x:c>
      <x:c r="D78" s="2"/>
      <x:c r="E78" s="2"/>
      <x:c r="F78" s="2"/>
      <x:c r="G78" s="23" t="n">
        <x:v>0.05</x:v>
      </x:c>
      <x:c r="H78" s="23" t="n">
        <x:v>0.05</x:v>
      </x:c>
      <x:c r="I78" s="23" t="n">
        <x:v>0.05</x:v>
      </x:c>
    </x:row>
    <x:row r="79" ht="21" customHeight="1">
      <x:c r="C79" s="1" t="str">
        <x:v>有线宽带: Blended broadband ARPU</x:v>
      </x:c>
      <x:c r="D79" s="2"/>
      <x:c r="E79" s="2"/>
      <x:c r="F79" s="2"/>
      <x:c r="G79" s="23" t="n">
        <x:v>0.01</x:v>
      </x:c>
      <x:c r="H79" s="23" t="n">
        <x:v>0.01</x:v>
      </x:c>
      <x:c r="I79" s="23" t="n">
        <x:v>0.01</x:v>
      </x:c>
    </x:row>
    <x:row r="80" ht="21" customHeight="1">
      <x:c r="C80" s="1" t="str">
        <x:v>有线宽带: cash gross margin (LEAP)</x:v>
      </x:c>
      <x:c r="D80" s="2"/>
      <x:c r="E80" s="2"/>
      <x:c r="F80" s="26" t="n">
        <x:v>0.4334182388469863</x:v>
      </x:c>
      <x:c r="G80" s="30" t="n">
        <x:f>G10+($F80-$F$10)</x:f>
        <x:v>0.4334182388469863</x:v>
      </x:c>
      <x:c r="H80" s="30" t="n">
        <x:f>H10+($F80-$F$10)</x:f>
        <x:v>0.4334182388469863</x:v>
      </x:c>
      <x:c r="I80" s="30" t="n">
        <x:f>I10+($F80-$F$10)</x:f>
        <x:v>0.4334182388469863</x:v>
      </x:c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 t="str">
        <x:v>应用及信息服务: Enterprise contract volume</x:v>
      </x:c>
      <x:c r="D82" s="2"/>
      <x:c r="E82" s="2"/>
      <x:c r="F82" s="2"/>
      <x:c r="G82" s="23" t="n">
        <x:v>0.08</x:v>
      </x:c>
      <x:c r="H82" s="23" t="n">
        <x:v>0.08</x:v>
      </x:c>
      <x:c r="I82" s="23" t="n">
        <x:v>0.08</x:v>
      </x:c>
    </x:row>
    <x:row r="83" ht="21" customHeight="1">
      <x:c r="C83" s="1" t="str">
        <x:v>应用及信息服务: Cloud / AI contract value</x:v>
      </x:c>
      <x:c r="D83" s="2"/>
      <x:c r="E83" s="2"/>
      <x:c r="F83" s="2"/>
      <x:c r="G83" s="23" t="n">
        <x:v>0.01</x:v>
      </x:c>
      <x:c r="H83" s="23" t="n">
        <x:v>0.01</x:v>
      </x:c>
      <x:c r="I83" s="23" t="n">
        <x:v>0.01</x:v>
      </x:c>
    </x:row>
    <x:row r="84" ht="21" customHeight="1">
      <x:c r="C84" s="1" t="str">
        <x:v>应用及信息服务: cash gross margin (LEAP)</x:v>
      </x:c>
      <x:c r="D84" s="2"/>
      <x:c r="E84" s="2"/>
      <x:c r="F84" s="26" t="n">
        <x:v>0.4334182388469863</x:v>
      </x:c>
      <x:c r="G84" s="30" t="n">
        <x:f>G10+($F84-$F$10)</x:f>
        <x:v>0.4334182388469863</x:v>
      </x:c>
      <x:c r="H84" s="30" t="n">
        <x:f>H10+($F84-$F$10)</x:f>
        <x:v>0.4334182388469863</x:v>
      </x:c>
      <x:c r="I84" s="30" t="n">
        <x:f>I10+($F84-$F$10)</x:f>
        <x:v>0.4334182388469863</x:v>
      </x:c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 t="str">
        <x:v>其他服务: Service volume</x:v>
      </x:c>
      <x:c r="D86" s="2"/>
      <x:c r="E86" s="2"/>
      <x:c r="F86" s="2"/>
      <x:c r="G86" s="23" t="n">
        <x:v>0.03</x:v>
      </x:c>
      <x:c r="H86" s="23" t="n">
        <x:v>0.03</x:v>
      </x:c>
      <x:c r="I86" s="23" t="n">
        <x:v>0.03</x:v>
      </x:c>
    </x:row>
    <x:row r="87" ht="21" customHeight="1">
      <x:c r="C87" s="1" t="str">
        <x:v>其他服务: Service mix</x:v>
      </x:c>
      <x:c r="D87" s="2"/>
      <x:c r="E87" s="2"/>
      <x:c r="F87" s="2"/>
      <x:c r="G87" s="23" t="n">
        <x:v>0</x:v>
      </x:c>
      <x:c r="H87" s="23" t="n">
        <x:v>0</x:v>
      </x:c>
      <x:c r="I87" s="23" t="n">
        <x:v>0</x:v>
      </x:c>
    </x:row>
    <x:row r="88" ht="21" customHeight="1">
      <x:c r="C88" s="1" t="str">
        <x:v>其他服务: cash gross margin (LEAP)</x:v>
      </x:c>
      <x:c r="D88" s="2"/>
      <x:c r="E88" s="2"/>
      <x:c r="F88" s="26" t="n">
        <x:v>0.4334182388469863</x:v>
      </x:c>
      <x:c r="G88" s="30" t="n">
        <x:f>G10+($F88-$F$10)</x:f>
        <x:v>0.4334182388469863</x:v>
      </x:c>
      <x:c r="H88" s="30" t="n">
        <x:f>H10+($F88-$F$10)</x:f>
        <x:v>0.4334182388469863</x:v>
      </x:c>
      <x:c r="I88" s="30" t="n">
        <x:f>I10+($F88-$F$10)</x:f>
        <x:v>0.4334182388469863</x:v>
      </x:c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 t="str">
        <x:v>产品销售及其他: Hardware units</x:v>
      </x:c>
      <x:c r="D90" s="2"/>
      <x:c r="E90" s="2"/>
      <x:c r="F90" s="2"/>
      <x:c r="G90" s="23" t="n">
        <x:v>0.02</x:v>
      </x:c>
      <x:c r="H90" s="23" t="n">
        <x:v>0.02</x:v>
      </x:c>
      <x:c r="I90" s="23" t="n">
        <x:v>0.02</x:v>
      </x:c>
    </x:row>
    <x:row r="91" ht="21" customHeight="1">
      <x:c r="C91" s="1" t="str">
        <x:v>产品销售及其他: Hardware ASP</x:v>
      </x:c>
      <x:c r="D91" s="2"/>
      <x:c r="E91" s="2"/>
      <x:c r="F91" s="2"/>
      <x:c r="G91" s="23" t="n">
        <x:v>-0.01</x:v>
      </x:c>
      <x:c r="H91" s="23" t="n">
        <x:v>-0.01</x:v>
      </x:c>
      <x:c r="I91" s="23" t="n">
        <x:v>-0.01</x:v>
      </x:c>
    </x:row>
    <x:row r="92" ht="21" customHeight="1">
      <x:c r="C92" s="1" t="str">
        <x:v>产品销售及其他: cash gross margin (LEAP)</x:v>
      </x:c>
      <x:c r="D92" s="2"/>
      <x:c r="E92" s="2"/>
      <x:c r="F92" s="26" t="n">
        <x:v>0.4334182388469863</x:v>
      </x:c>
      <x:c r="G92" s="30" t="n">
        <x:f>G10+($F92-$F$10)</x:f>
        <x:v>0.4334182388469863</x:v>
      </x:c>
      <x:c r="H92" s="30" t="n">
        <x:f>H10+($F92-$F$10)</x:f>
        <x:v>0.4334182388469863</x:v>
      </x:c>
      <x:c r="I92" s="30" t="n">
        <x:f>I10+($F92-$F$10)</x:f>
        <x:v>0.4334182388469863</x:v>
      </x:c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Operating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12" t="str">
        <x:v>语音业务</x:v>
      </x:c>
      <x:c r="D10" s="25"/>
      <x:c r="E10" s="25"/>
      <x:c r="F10" s="25"/>
      <x:c r="G10" s="25"/>
      <x:c r="H10" s="25"/>
      <x:c r="I10" s="25"/>
    </x:row>
    <x:row r="11" ht="21" customHeight="1">
      <x:c r="C11" s="1" t="str">
        <x:v>Volume / activity growth</x:v>
      </x:c>
      <x:c r="D11" s="2"/>
      <x:c r="E11" s="2"/>
      <x:c r="F11" s="2"/>
      <x:c r="G11" s="31" t="n">
        <x:f>'Assumptions'!G66</x:f>
        <x:v>-0.03</x:v>
      </x:c>
      <x:c r="H11" s="31" t="n">
        <x:f>'Assumptions'!H66</x:f>
        <x:v>-0.03</x:v>
      </x:c>
      <x:c r="I11" s="31" t="n">
        <x:f>'Assumptions'!I66</x:f>
        <x:v>-0.03</x:v>
      </x:c>
    </x:row>
    <x:row r="12" ht="21" customHeight="1">
      <x:c r="C12" s="1" t="str">
        <x:v>Segment revenue</x:v>
      </x:c>
      <x:c r="D12" s="2"/>
      <x:c r="E12" s="2"/>
      <x:c r="F12" s="2" t="n">
        <x:v>66633</x:v>
      </x:c>
      <x:c r="G12" s="19" t="n">
        <x:f>'Interim'!E16+($F12-'Interim'!D16)*(1+G11)*(1+G13)</x:f>
        <x:v>61457.9142</x:v>
      </x:c>
      <x:c r="H12" s="27" t="n">
        <x:f>G12*(1+H11)*(1+H13)</x:f>
        <x:v>57825.75147078</x:v>
      </x:c>
      <x:c r="I12" s="27" t="n">
        <x:f>H12*(1+I11)*(1+I13)</x:f>
        <x:v>54408.2495588569</x:v>
      </x:c>
    </x:row>
    <x:row r="13" ht="21" customHeight="1">
      <x:c r="C13" s="1" t="str">
        <x:v>Net price / mix change</x:v>
      </x:c>
      <x:c r="D13" s="2"/>
      <x:c r="E13" s="2"/>
      <x:c r="F13" s="2"/>
      <x:c r="G13" s="31" t="n">
        <x:f>'Assumptions'!G67</x:f>
        <x:v>-0.03</x:v>
      </x:c>
      <x:c r="H13" s="31" t="n">
        <x:f>'Assumptions'!H67</x:f>
        <x:v>-0.03</x:v>
      </x:c>
      <x:c r="I13" s="31" t="n">
        <x:f>'Assumptions'!I67</x:f>
        <x:v>-0.03</x:v>
      </x:c>
    </x:row>
    <x:row r="14" ht="21" customHeight="1">
      <x:c r="C14" s="1" t="str">
        <x:v>Cash gross margin before depreciation</x:v>
      </x:c>
      <x:c r="D14" s="2"/>
      <x:c r="E14" s="2"/>
      <x:c r="F14" s="2"/>
      <x:c r="G14" s="31" t="n">
        <x:f>'Assumptions'!G68</x:f>
        <x:v>0.4334182388469863</x:v>
      </x:c>
      <x:c r="H14" s="31" t="n">
        <x:f>'Assumptions'!H68</x:f>
        <x:v>0.4334182388469863</x:v>
      </x:c>
      <x:c r="I14" s="31" t="n">
        <x:f>'Assumptions'!I68</x:f>
        <x:v>0.4334182388469863</x:v>
      </x:c>
    </x:row>
    <x:row r="15" ht="21" customHeight="1">
      <x:c r="C15" s="1" t="str">
        <x:v>Cash cost of revenue</x:v>
      </x:c>
      <x:c r="D15" s="2"/>
      <x:c r="E15" s="2"/>
      <x:c r="F15" s="2"/>
      <x:c r="G15" s="27" t="n">
        <x:f>G12*(1-G14)</x:f>
        <x:v>34820.93326422681</x:v>
      </x:c>
      <x:c r="H15" s="27" t="n">
        <x:f>H12*(1-H14)</x:f>
        <x:v>32763.016108311007</x:v>
      </x:c>
      <x:c r="I15" s="27" t="n">
        <x:f>I12*(1-I14)</x:f>
        <x:v>30826.721856309825</x:v>
      </x:c>
    </x:row>
    <x:row r="16" ht="21" customHeight="1">
      <x:c r="C16" s="1" t="str">
        <x:v>SOURCE_FACT: china-mobile_FY2025 P165 L015</x:v>
      </x:c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2" t="str">
        <x:v>短彩信</x:v>
      </x:c>
      <x:c r="D18" s="25"/>
      <x:c r="E18" s="25"/>
      <x:c r="F18" s="25"/>
      <x:c r="G18" s="25"/>
      <x:c r="H18" s="25"/>
      <x:c r="I18" s="25"/>
    </x:row>
    <x:row r="19" ht="21" customHeight="1">
      <x:c r="C19" s="1" t="str">
        <x:v>Volume / activity growth</x:v>
      </x:c>
      <x:c r="D19" s="2"/>
      <x:c r="E19" s="2"/>
      <x:c r="F19" s="2"/>
      <x:c r="G19" s="31" t="n">
        <x:f>'Assumptions'!G70</x:f>
        <x:v>-0.02</x:v>
      </x:c>
      <x:c r="H19" s="31" t="n">
        <x:f>'Assumptions'!H70</x:f>
        <x:v>-0.02</x:v>
      </x:c>
      <x:c r="I19" s="31" t="n">
        <x:f>'Assumptions'!I70</x:f>
        <x:v>-0.02</x:v>
      </x:c>
    </x:row>
    <x:row r="20" ht="21" customHeight="1">
      <x:c r="C20" s="1" t="str">
        <x:v>Segment revenue</x:v>
      </x:c>
      <x:c r="D20" s="2"/>
      <x:c r="E20" s="2"/>
      <x:c r="F20" s="2" t="n">
        <x:v>29602</x:v>
      </x:c>
      <x:c r="G20" s="19" t="n">
        <x:f>'Interim'!E17+($F20-'Interim'!D17)*(1+G19)*(1+G21)</x:f>
        <x:v>27084.7564</x:v>
      </x:c>
      <x:c r="H20" s="27" t="n">
        <x:f>G20*(1+H19)*(1+H21)</x:f>
        <x:v>26012.20004656</x:v>
      </x:c>
      <x:c r="I20" s="27" t="n">
        <x:f>H20*(1+I19)*(1+I21)</x:f>
        <x:v>24982.11692471622</x:v>
      </x:c>
    </x:row>
    <x:row r="21" ht="21" customHeight="1">
      <x:c r="C21" s="1" t="str">
        <x:v>Net price / mix change</x:v>
      </x:c>
      <x:c r="D21" s="2"/>
      <x:c r="E21" s="2"/>
      <x:c r="F21" s="2"/>
      <x:c r="G21" s="31" t="n">
        <x:f>'Assumptions'!G71</x:f>
        <x:v>-0.02</x:v>
      </x:c>
      <x:c r="H21" s="31" t="n">
        <x:f>'Assumptions'!H71</x:f>
        <x:v>-0.02</x:v>
      </x:c>
      <x:c r="I21" s="31" t="n">
        <x:f>'Assumptions'!I71</x:f>
        <x:v>-0.02</x:v>
      </x:c>
    </x:row>
    <x:row r="22" ht="21" customHeight="1">
      <x:c r="C22" s="1" t="str">
        <x:v>Cash gross margin before depreciation</x:v>
      </x:c>
      <x:c r="D22" s="2"/>
      <x:c r="E22" s="2"/>
      <x:c r="F22" s="2"/>
      <x:c r="G22" s="31" t="n">
        <x:f>'Assumptions'!G72</x:f>
        <x:v>0.4334182388469863</x:v>
      </x:c>
      <x:c r="H22" s="31" t="n">
        <x:f>'Assumptions'!H72</x:f>
        <x:v>0.4334182388469863</x:v>
      </x:c>
      <x:c r="I22" s="31" t="n">
        <x:f>'Assumptions'!I72</x:f>
        <x:v>0.4334182388469863</x:v>
      </x:c>
    </x:row>
    <x:row r="23" ht="21" customHeight="1">
      <x:c r="C23" s="1" t="str">
        <x:v>Cash cost of revenue</x:v>
      </x:c>
      <x:c r="D23" s="2"/>
      <x:c r="E23" s="2"/>
      <x:c r="F23" s="2"/>
      <x:c r="G23" s="27" t="n">
        <x:f>G20*(1-G22)</x:f>
        <x:v>15345.728981512359</x:v>
      </x:c>
      <x:c r="H23" s="27" t="n">
        <x:f>H20*(1-H22)</x:f>
        <x:v>14738.03811384447</x:v>
      </x:c>
      <x:c r="I23" s="27" t="n">
        <x:f>I20*(1-I22)</x:f>
        <x:v>14154.411804536228</x:v>
      </x:c>
    </x:row>
    <x:row r="24" ht="21" customHeight="1">
      <x:c r="C24" s="1" t="str">
        <x:v>SOURCE_FACT: china-mobile_FY2025 P165 L016</x:v>
      </x:c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2" t="str">
        <x:v>无线上网</x:v>
      </x:c>
      <x:c r="D26" s="25"/>
      <x:c r="E26" s="25"/>
      <x:c r="F26" s="25"/>
      <x:c r="G26" s="25"/>
      <x:c r="H26" s="25"/>
      <x:c r="I26" s="25"/>
    </x:row>
    <x:row r="27" ht="21" customHeight="1">
      <x:c r="C27" s="1" t="str">
        <x:v>Volume / activity growth</x:v>
      </x:c>
      <x:c r="D27" s="2"/>
      <x:c r="E27" s="2"/>
      <x:c r="F27" s="2"/>
      <x:c r="G27" s="31" t="n">
        <x:f>'Assumptions'!G74</x:f>
        <x:v>0.01</x:v>
      </x:c>
      <x:c r="H27" s="31" t="n">
        <x:f>'Assumptions'!H74</x:f>
        <x:v>0.01</x:v>
      </x:c>
      <x:c r="I27" s="31" t="n">
        <x:f>'Assumptions'!I74</x:f>
        <x:v>0.01</x:v>
      </x:c>
    </x:row>
    <x:row r="28" ht="21" customHeight="1">
      <x:c r="C28" s="1" t="str">
        <x:v>Segment revenue</x:v>
      </x:c>
      <x:c r="D28" s="2"/>
      <x:c r="E28" s="2"/>
      <x:c r="F28" s="2" t="n">
        <x:v>369092</x:v>
      </x:c>
      <x:c r="G28" s="19" t="n">
        <x:f>'Interim'!E18+($F28-'Interim'!D18)*(1+G27)*(1+G29)</x:f>
        <x:v>346174.2494</x:v>
      </x:c>
      <x:c r="H28" s="27" t="n">
        <x:f>G28*(1+H27)*(1+H29)</x:f>
        <x:v>342643.27205612</x:v>
      </x:c>
      <x:c r="I28" s="27" t="n">
        <x:f>H28*(1+I27)*(1+I29)</x:f>
        <x:v>339148.31068114756</x:v>
      </x:c>
    </x:row>
    <x:row r="29" ht="21" customHeight="1">
      <x:c r="C29" s="1" t="str">
        <x:v>Net price / mix change</x:v>
      </x:c>
      <x:c r="D29" s="2"/>
      <x:c r="E29" s="2"/>
      <x:c r="F29" s="2"/>
      <x:c r="G29" s="31" t="n">
        <x:f>'Assumptions'!G75</x:f>
        <x:v>-0.02</x:v>
      </x:c>
      <x:c r="H29" s="31" t="n">
        <x:f>'Assumptions'!H75</x:f>
        <x:v>-0.02</x:v>
      </x:c>
      <x:c r="I29" s="31" t="n">
        <x:f>'Assumptions'!I75</x:f>
        <x:v>-0.02</x:v>
      </x:c>
    </x:row>
    <x:row r="30" ht="21" customHeight="1">
      <x:c r="C30" s="1" t="str">
        <x:v>Cash gross margin before depreciation</x:v>
      </x:c>
      <x:c r="D30" s="2"/>
      <x:c r="E30" s="2"/>
      <x:c r="F30" s="2"/>
      <x:c r="G30" s="31" t="n">
        <x:f>'Assumptions'!G76</x:f>
        <x:v>0.4334182388469863</x:v>
      </x:c>
      <x:c r="H30" s="31" t="n">
        <x:f>'Assumptions'!H76</x:f>
        <x:v>0.4334182388469863</x:v>
      </x:c>
      <x:c r="I30" s="31" t="n">
        <x:f>'Assumptions'!I76</x:f>
        <x:v>0.4334182388469863</x:v>
      </x:c>
    </x:row>
    <x:row r="31" ht="21" customHeight="1">
      <x:c r="C31" s="1" t="str">
        <x:v>Cash cost of revenue</x:v>
      </x:c>
      <x:c r="D31" s="2"/>
      <x:c r="E31" s="2"/>
      <x:c r="F31" s="2"/>
      <x:c r="G31" s="27" t="n">
        <x:f>G28*(1-G30)</x:f>
        <x:v>196136.01589087458</x:v>
      </x:c>
      <x:c r="H31" s="27" t="n">
        <x:f>H28*(1-H30)</x:f>
        <x:v>194135.42852878768</x:v>
      </x:c>
      <x:c r="I31" s="27" t="n">
        <x:f>I28*(1-I30)</x:f>
        <x:v>192155.24715779405</x:v>
      </x:c>
    </x:row>
    <x:row r="32" ht="21" customHeight="1">
      <x:c r="C32" s="1" t="str">
        <x:v>SOURCE_FACT: china-mobile_FY2025 P165 L017</x:v>
      </x:c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2" t="str">
        <x:v>有线宽带</x:v>
      </x:c>
      <x:c r="D34" s="25"/>
      <x:c r="E34" s="25"/>
      <x:c r="F34" s="25"/>
      <x:c r="G34" s="25"/>
      <x:c r="H34" s="25"/>
      <x:c r="I34" s="25"/>
    </x:row>
    <x:row r="35" ht="21" customHeight="1">
      <x:c r="C35" s="1" t="str">
        <x:v>Volume / activity growth</x:v>
      </x:c>
      <x:c r="D35" s="2"/>
      <x:c r="E35" s="2"/>
      <x:c r="F35" s="2"/>
      <x:c r="G35" s="31" t="n">
        <x:f>'Assumptions'!G78</x:f>
        <x:v>0.05</x:v>
      </x:c>
      <x:c r="H35" s="31" t="n">
        <x:f>'Assumptions'!H78</x:f>
        <x:v>0.05</x:v>
      </x:c>
      <x:c r="I35" s="31" t="n">
        <x:f>'Assumptions'!I78</x:f>
        <x:v>0.05</x:v>
      </x:c>
    </x:row>
    <x:row r="36" ht="21" customHeight="1">
      <x:c r="C36" s="1" t="str">
        <x:v>Segment revenue</x:v>
      </x:c>
      <x:c r="D36" s="2"/>
      <x:c r="E36" s="2"/>
      <x:c r="F36" s="2" t="n">
        <x:v>141569</x:v>
      </x:c>
      <x:c r="G36" s="19" t="n">
        <x:f>'Interim'!E19+($F36-'Interim'!D19)*(1+G35)*(1+G37)</x:f>
        <x:v>149486.56050000002</x:v>
      </x:c>
      <x:c r="H36" s="27" t="n">
        <x:f>G36*(1+H35)*(1+H37)</x:f>
        <x:v>158530.49741025</x:v>
      </x:c>
      <x:c r="I36" s="27" t="n">
        <x:f>H36*(1+I35)*(1+I37)</x:f>
        <x:v>168121.59250357017</x:v>
      </x:c>
    </x:row>
    <x:row r="37" ht="21" customHeight="1">
      <x:c r="C37" s="1" t="str">
        <x:v>Net price / mix change</x:v>
      </x:c>
      <x:c r="D37" s="2"/>
      <x:c r="E37" s="2"/>
      <x:c r="F37" s="2"/>
      <x:c r="G37" s="31" t="n">
        <x:f>'Assumptions'!G79</x:f>
        <x:v>0.01</x:v>
      </x:c>
      <x:c r="H37" s="31" t="n">
        <x:f>'Assumptions'!H79</x:f>
        <x:v>0.01</x:v>
      </x:c>
      <x:c r="I37" s="31" t="n">
        <x:f>'Assumptions'!I79</x:f>
        <x:v>0.01</x:v>
      </x:c>
    </x:row>
    <x:row r="38" ht="21" customHeight="1">
      <x:c r="C38" s="1" t="str">
        <x:v>Cash gross margin before depreciation</x:v>
      </x:c>
      <x:c r="D38" s="2"/>
      <x:c r="E38" s="2"/>
      <x:c r="F38" s="2"/>
      <x:c r="G38" s="31" t="n">
        <x:f>'Assumptions'!G80</x:f>
        <x:v>0.4334182388469863</x:v>
      </x:c>
      <x:c r="H38" s="31" t="n">
        <x:f>'Assumptions'!H80</x:f>
        <x:v>0.4334182388469863</x:v>
      </x:c>
      <x:c r="I38" s="31" t="n">
        <x:f>'Assumptions'!I80</x:f>
        <x:v>0.4334182388469863</x:v>
      </x:c>
    </x:row>
    <x:row r="39" ht="21" customHeight="1">
      <x:c r="C39" s="1" t="str">
        <x:v>Cash cost of revenue</x:v>
      </x:c>
      <x:c r="D39" s="2"/>
      <x:c r="E39" s="2"/>
      <x:c r="F39" s="2"/>
      <x:c r="G39" s="27" t="n">
        <x:f>G36*(1-G38)</x:f>
        <x:v>84696.35871679655</x:v>
      </x:c>
      <x:c r="H39" s="27" t="n">
        <x:f>H36*(1-H38)</x:f>
        <x:v>89820.48841916274</x:v>
      </x:c>
      <x:c r="I39" s="27" t="n">
        <x:f>I36*(1-I38)</x:f>
        <x:v>95254.6279685221</x:v>
      </x:c>
    </x:row>
    <x:row r="40" ht="21" customHeight="1">
      <x:c r="C40" s="1" t="str">
        <x:v>SOURCE_FACT: china-mobile_FY2025 P165 L018</x:v>
      </x:c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2" t="str">
        <x:v>应用及信息服务</x:v>
      </x:c>
      <x:c r="D42" s="25"/>
      <x:c r="E42" s="25"/>
      <x:c r="F42" s="25"/>
      <x:c r="G42" s="25"/>
      <x:c r="H42" s="25"/>
      <x:c r="I42" s="25"/>
    </x:row>
    <x:row r="43" ht="21" customHeight="1">
      <x:c r="C43" s="1" t="str">
        <x:v>Volume / activity growth</x:v>
      </x:c>
      <x:c r="D43" s="2"/>
      <x:c r="E43" s="2"/>
      <x:c r="F43" s="2"/>
      <x:c r="G43" s="31" t="n">
        <x:f>'Assumptions'!G82</x:f>
        <x:v>0.08</x:v>
      </x:c>
      <x:c r="H43" s="31" t="n">
        <x:f>'Assumptions'!H82</x:f>
        <x:v>0.08</x:v>
      </x:c>
      <x:c r="I43" s="31" t="n">
        <x:f>'Assumptions'!I82</x:f>
        <x:v>0.08</x:v>
      </x:c>
    </x:row>
    <x:row r="44" ht="21" customHeight="1">
      <x:c r="C44" s="1" t="str">
        <x:v>Segment revenue</x:v>
      </x:c>
      <x:c r="D44" s="2"/>
      <x:c r="E44" s="2"/>
      <x:c r="F44" s="2" t="n">
        <x:v>258761</x:v>
      </x:c>
      <x:c r="G44" s="19" t="n">
        <x:f>'Interim'!E20+($F44-'Interim'!D20)*(1+G43)*(1+G45)</x:f>
        <x:v>278822.4996</x:v>
      </x:c>
      <x:c r="H44" s="27" t="n">
        <x:f>G44*(1+H43)*(1+H45)</x:f>
        <x:v>304139.58256368</x:v>
      </x:c>
      <x:c r="I44" s="27" t="n">
        <x:f>H44*(1+I43)*(1+I45)</x:f>
        <x:v>331755.4566604622</x:v>
      </x:c>
    </x:row>
    <x:row r="45" ht="21" customHeight="1">
      <x:c r="C45" s="1" t="str">
        <x:v>Net price / mix change</x:v>
      </x:c>
      <x:c r="D45" s="2"/>
      <x:c r="E45" s="2"/>
      <x:c r="F45" s="2"/>
      <x:c r="G45" s="31" t="n">
        <x:f>'Assumptions'!G83</x:f>
        <x:v>0.01</x:v>
      </x:c>
      <x:c r="H45" s="31" t="n">
        <x:f>'Assumptions'!H83</x:f>
        <x:v>0.01</x:v>
      </x:c>
      <x:c r="I45" s="31" t="n">
        <x:f>'Assumptions'!I83</x:f>
        <x:v>0.01</x:v>
      </x:c>
    </x:row>
    <x:row r="46" ht="21" customHeight="1">
      <x:c r="C46" s="1" t="str">
        <x:v>Cash gross margin before depreciation</x:v>
      </x:c>
      <x:c r="D46" s="2"/>
      <x:c r="E46" s="2"/>
      <x:c r="F46" s="2"/>
      <x:c r="G46" s="31" t="n">
        <x:f>'Assumptions'!G84</x:f>
        <x:v>0.4334182388469863</x:v>
      </x:c>
      <x:c r="H46" s="31" t="n">
        <x:f>'Assumptions'!H84</x:f>
        <x:v>0.4334182388469863</x:v>
      </x:c>
      <x:c r="I46" s="31" t="n">
        <x:f>'Assumptions'!I84</x:f>
        <x:v>0.4334182388469863</x:v>
      </x:c>
    </x:row>
    <x:row r="47" ht="21" customHeight="1">
      <x:c r="C47" s="1" t="str">
        <x:v>Cash cost of revenue</x:v>
      </x:c>
      <x:c r="D47" s="2"/>
      <x:c r="E47" s="2"/>
      <x:c r="F47" s="2"/>
      <x:c r="G47" s="27" t="n">
        <x:f>G44*(1-G46)</x:f>
        <x:v>157975.74287245347</x:v>
      </x:c>
      <x:c r="H47" s="27" t="n">
        <x:f>H44*(1-H46)</x:f>
        <x:v>172319.94032527224</x:v>
      </x:c>
      <x:c r="I47" s="27" t="n">
        <x:f>I44*(1-I46)</x:f>
        <x:v>187966.590906807</x:v>
      </x:c>
    </x:row>
    <x:row r="48" ht="21" customHeight="1">
      <x:c r="C48" s="1" t="str">
        <x:v>SOURCE_FACT: china-mobile_FY2025 P165 L019</x:v>
      </x:c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2" t="str">
        <x:v>其他服务</x:v>
      </x:c>
      <x:c r="D50" s="25"/>
      <x:c r="E50" s="25"/>
      <x:c r="F50" s="25"/>
      <x:c r="G50" s="25"/>
      <x:c r="H50" s="25"/>
      <x:c r="I50" s="25"/>
    </x:row>
    <x:row r="51" ht="21" customHeight="1">
      <x:c r="C51" s="1" t="str">
        <x:v>Volume / activity growth</x:v>
      </x:c>
      <x:c r="D51" s="2"/>
      <x:c r="E51" s="2"/>
      <x:c r="F51" s="2"/>
      <x:c r="G51" s="31" t="n">
        <x:f>'Assumptions'!G86</x:f>
        <x:v>0.03</x:v>
      </x:c>
      <x:c r="H51" s="31" t="n">
        <x:f>'Assumptions'!H86</x:f>
        <x:v>0.03</x:v>
      </x:c>
      <x:c r="I51" s="31" t="n">
        <x:f>'Assumptions'!I86</x:f>
        <x:v>0.03</x:v>
      </x:c>
    </x:row>
    <x:row r="52" ht="21" customHeight="1">
      <x:c r="C52" s="1" t="str">
        <x:v>Segment revenue</x:v>
      </x:c>
      <x:c r="D52" s="2"/>
      <x:c r="E52" s="2"/>
      <x:c r="F52" s="2" t="n">
        <x:v>29873</x:v>
      </x:c>
      <x:c r="G52" s="19" t="n">
        <x:f>'Interim'!E21+($F52-'Interim'!D21)*(1+G51)*(1+G53)</x:f>
        <x:v>29875.63</x:v>
      </x:c>
      <x:c r="H52" s="27" t="n">
        <x:f>G52*(1+H51)*(1+H53)</x:f>
        <x:v>30771.8989</x:v>
      </x:c>
      <x:c r="I52" s="27" t="n">
        <x:f>H52*(1+I51)*(1+I53)</x:f>
        <x:v>31695.055867000003</x:v>
      </x:c>
    </x:row>
    <x:row r="53" ht="21" customHeight="1">
      <x:c r="C53" s="1" t="str">
        <x:v>Net price / mix change</x:v>
      </x:c>
      <x:c r="D53" s="2"/>
      <x:c r="E53" s="2"/>
      <x:c r="F53" s="2"/>
      <x:c r="G53" s="31" t="n">
        <x:f>'Assumptions'!G87</x:f>
        <x:v>0</x:v>
      </x:c>
      <x:c r="H53" s="31" t="n">
        <x:f>'Assumptions'!H87</x:f>
        <x:v>0</x:v>
      </x:c>
      <x:c r="I53" s="31" t="n">
        <x:f>'Assumptions'!I87</x:f>
        <x:v>0</x:v>
      </x:c>
    </x:row>
    <x:row r="54" ht="21" customHeight="1">
      <x:c r="C54" s="1" t="str">
        <x:v>Cash gross margin before depreciation</x:v>
      </x:c>
      <x:c r="D54" s="2"/>
      <x:c r="E54" s="2"/>
      <x:c r="F54" s="2"/>
      <x:c r="G54" s="31" t="n">
        <x:f>'Assumptions'!G88</x:f>
        <x:v>0.4334182388469863</x:v>
      </x:c>
      <x:c r="H54" s="31" t="n">
        <x:f>'Assumptions'!H88</x:f>
        <x:v>0.4334182388469863</x:v>
      </x:c>
      <x:c r="I54" s="31" t="n">
        <x:f>'Assumptions'!I88</x:f>
        <x:v>0.4334182388469863</x:v>
      </x:c>
    </x:row>
    <x:row r="55" ht="21" customHeight="1">
      <x:c r="C55" s="1" t="str">
        <x:v>Cash cost of revenue</x:v>
      </x:c>
      <x:c r="D55" s="2"/>
      <x:c r="E55" s="2"/>
      <x:c r="F55" s="2"/>
      <x:c r="G55" s="27" t="n">
        <x:f>G52*(1-G54)</x:f>
        <x:v>16926.987060955813</x:v>
      </x:c>
      <x:c r="H55" s="27" t="n">
        <x:f>H52*(1-H54)</x:f>
        <x:v>17434.796672784487</x:v>
      </x:c>
      <x:c r="I55" s="27" t="n">
        <x:f>I52*(1-I54)</x:f>
        <x:v>17957.840572968023</x:v>
      </x:c>
    </x:row>
    <x:row r="56" ht="21" customHeight="1">
      <x:c r="C56" s="1" t="str">
        <x:v>SOURCE_FACT: china-mobile_FY2025 P165 L020</x:v>
      </x:c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2" t="str">
        <x:v>产品销售及其他</x:v>
      </x:c>
      <x:c r="D58" s="25"/>
      <x:c r="E58" s="25"/>
      <x:c r="F58" s="25"/>
      <x:c r="G58" s="25"/>
      <x:c r="H58" s="25"/>
      <x:c r="I58" s="25"/>
    </x:row>
    <x:row r="59" ht="21" customHeight="1">
      <x:c r="C59" s="1" t="str">
        <x:v>Volume / activity growth</x:v>
      </x:c>
      <x:c r="D59" s="2"/>
      <x:c r="E59" s="2"/>
      <x:c r="F59" s="2"/>
      <x:c r="G59" s="31" t="n">
        <x:f>'Assumptions'!G90</x:f>
        <x:v>0.02</x:v>
      </x:c>
      <x:c r="H59" s="31" t="n">
        <x:f>'Assumptions'!H90</x:f>
        <x:v>0.02</x:v>
      </x:c>
      <x:c r="I59" s="31" t="n">
        <x:f>'Assumptions'!I90</x:f>
        <x:v>0.02</x:v>
      </x:c>
    </x:row>
    <x:row r="60" ht="21" customHeight="1">
      <x:c r="C60" s="1" t="str">
        <x:v>Segment revenue</x:v>
      </x:c>
      <x:c r="D60" s="2"/>
      <x:c r="E60" s="2"/>
      <x:c r="F60" s="2" t="n">
        <x:v>154657</x:v>
      </x:c>
      <x:c r="G60" s="19" t="n">
        <x:f>'Interim'!E22+($F60-'Interim'!D22)*(1+G59)*(1+G61)</x:f>
        <x:v>164012.1946</x:v>
      </x:c>
      <x:c r="H60" s="27" t="n">
        <x:f>G60*(1+H59)*(1+H61)</x:f>
        <x:v>165619.51410707997</x:v>
      </x:c>
      <x:c r="I60" s="27" t="n">
        <x:f>H60*(1+I59)*(1+I61)</x:f>
        <x:v>167242.58534532937</x:v>
      </x:c>
    </x:row>
    <x:row r="61" ht="21" customHeight="1">
      <x:c r="C61" s="1" t="str">
        <x:v>Net price / mix change</x:v>
      </x:c>
      <x:c r="D61" s="2"/>
      <x:c r="E61" s="2"/>
      <x:c r="F61" s="2"/>
      <x:c r="G61" s="31" t="n">
        <x:f>'Assumptions'!G91</x:f>
        <x:v>-0.01</x:v>
      </x:c>
      <x:c r="H61" s="31" t="n">
        <x:f>'Assumptions'!H91</x:f>
        <x:v>-0.01</x:v>
      </x:c>
      <x:c r="I61" s="31" t="n">
        <x:f>'Assumptions'!I91</x:f>
        <x:v>-0.01</x:v>
      </x:c>
    </x:row>
    <x:row r="62" ht="21" customHeight="1">
      <x:c r="C62" s="1" t="str">
        <x:v>Cash gross margin before depreciation</x:v>
      </x:c>
      <x:c r="D62" s="2"/>
      <x:c r="E62" s="2"/>
      <x:c r="F62" s="2"/>
      <x:c r="G62" s="31" t="n">
        <x:f>'Assumptions'!G92</x:f>
        <x:v>0.4334182388469863</x:v>
      </x:c>
      <x:c r="H62" s="31" t="n">
        <x:f>'Assumptions'!H92</x:f>
        <x:v>0.4334182388469863</x:v>
      </x:c>
      <x:c r="I62" s="31" t="n">
        <x:f>'Assumptions'!I92</x:f>
        <x:v>0.4334182388469863</x:v>
      </x:c>
    </x:row>
    <x:row r="63" ht="21" customHeight="1">
      <x:c r="C63" s="1" t="str">
        <x:v>Cash cost of revenue</x:v>
      </x:c>
      <x:c r="D63" s="2"/>
      <x:c r="E63" s="2"/>
      <x:c r="F63" s="2"/>
      <x:c r="G63" s="27" t="n">
        <x:f>G60*(1-G62)</x:f>
        <x:v>92926.3180670388</x:v>
      </x:c>
      <x:c r="H63" s="27" t="n">
        <x:f>H60*(1-H62)</x:f>
        <x:v>93836.99598409577</x:v>
      </x:c>
      <x:c r="I63" s="27" t="n">
        <x:f>I60*(1-I62)</x:f>
        <x:v>94756.59854473991</x:v>
      </x:c>
    </x:row>
    <x:row r="64" ht="21" customHeight="1">
      <x:c r="C64" s="1" t="str">
        <x:v>SOURCE_FACT: china-mobile_FY2025 P165 L023</x:v>
      </x:c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34" t="str">
        <x:v>Total revenue</x:v>
      </x:c>
      <x:c r="D70" s="35"/>
      <x:c r="E70" s="35"/>
      <x:c r="F70" s="36" t="n">
        <x:f>F12+F20+F28+F36+F44+F52+F60</x:f>
        <x:v>1050187</x:v>
      </x:c>
      <x:c r="G70" s="36" t="n">
        <x:f>G12+G20+G28+G36+G44+G52+G60</x:f>
        <x:v>1056913.8047</x:v>
      </x:c>
      <x:c r="H70" s="36" t="n">
        <x:f>H12+H20+H28+H36+H44+H52+H60</x:f>
        <x:v>1085542.7165544701</x:v>
      </x:c>
      <x:c r="I70" s="36" t="n">
        <x:f>I12+I20+I28+I36+I44+I52+I60</x:f>
        <x:v>1117353.3675410824</x:v>
      </x:c>
    </x:row>
    <x:row r="71" ht="21" customHeight="1">
      <x:c r="C71" s="1" t="str">
        <x:v>Total cash cost of revenue</x:v>
      </x:c>
      <x:c r="D71" s="2"/>
      <x:c r="E71" s="2"/>
      <x:c r="F71" s="2"/>
      <x:c r="G71" s="27" t="n">
        <x:f>G15+G23+G31+G39+G47+G55+G63</x:f>
        <x:v>598828.0848538583</x:v>
      </x:c>
      <x:c r="H71" s="27" t="n">
        <x:f>H15+H23+H31+H39+H47+H55+H63</x:f>
        <x:v>615048.7041522583</x:v>
      </x:c>
      <x:c r="I71" s="27" t="n">
        <x:f>I15+I23+I31+I39+I47+I55+I63</x:f>
        <x:v>633072.0388116771</x:v>
      </x:c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Statements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Income statement</x:v>
      </x:c>
      <x:c r="D8" s="25"/>
      <x:c r="E8" s="25"/>
      <x:c r="F8" s="25"/>
      <x:c r="G8" s="25"/>
      <x:c r="H8" s="25"/>
      <x:c r="I8" s="25"/>
    </x:row>
    <x:row r="9" ht="21" customHeight="1">
      <x:c r="C9" s="1"/>
      <x:c r="D9" s="2"/>
      <x:c r="E9" s="2"/>
      <x:c r="F9" s="2"/>
      <x:c r="G9" s="2"/>
      <x:c r="H9" s="2"/>
      <x:c r="I9" s="2"/>
    </x:row>
    <x:row r="10" ht="21" customHeight="1">
      <x:c r="C10" s="34" t="str">
        <x:v>Revenue</x:v>
      </x:c>
      <x:c r="D10" s="37" t="n">
        <x:f>'SourceFacts'!D9</x:f>
        <x:v>1009309</x:v>
      </x:c>
      <x:c r="E10" s="37" t="n">
        <x:f>'SourceFacts'!E9</x:f>
        <x:v>1040759</x:v>
      </x:c>
      <x:c r="F10" s="37" t="n">
        <x:f>'SourceFacts'!F9</x:f>
        <x:v>1050187</x:v>
      </x:c>
      <x:c r="G10" s="37" t="n">
        <x:f>'Operating'!G70</x:f>
        <x:v>1056913.8047</x:v>
      </x:c>
      <x:c r="H10" s="37" t="n">
        <x:f>'Operating'!H70</x:f>
        <x:v>1085542.7165544701</x:v>
      </x:c>
      <x:c r="I10" s="37" t="n">
        <x:f>'Operating'!I70</x:f>
        <x:v>1117353.3675410824</x:v>
      </x:c>
    </x:row>
    <x:row r="11" ht="21" customHeight="1">
      <x:c r="C11" s="1" t="str">
        <x:v>Cost of revenue including D&amp;A</x:v>
      </x:c>
      <x:c r="D11" s="19" t="n">
        <x:f>'SourceFacts'!D10</x:f>
        <x:v>724358</x:v>
      </x:c>
      <x:c r="E11" s="19" t="n">
        <x:f>'SourceFacts'!E10</x:f>
        <x:v>738772</x:v>
      </x:c>
      <x:c r="F11" s="19" t="n">
        <x:f>'SourceFacts'!F10</x:f>
        <x:v>747016</x:v>
      </x:c>
      <x:c r="G11" s="19" t="n">
        <x:f>'Operating'!G71+G20*'Assumptions'!G37</x:f>
        <x:v>764904.5029728176</x:v>
      </x:c>
      <x:c r="H11" s="19" t="n">
        <x:f>'Operating'!H71+H20*'Assumptions'!H37</x:f>
        <x:v>775173.9440671145</x:v>
      </x:c>
      <x:c r="I11" s="19" t="n">
        <x:f>'Operating'!I71+I20*'Assumptions'!I37</x:f>
        <x:v>789230.679264214</x:v>
      </x:c>
    </x:row>
    <x:row r="12" ht="21" customHeight="1">
      <x:c r="C12" s="34" t="str">
        <x:v>Gross profit</x:v>
      </x:c>
      <x:c r="D12" s="36" t="n">
        <x:f>D10-D11</x:f>
        <x:v>284951</x:v>
      </x:c>
      <x:c r="E12" s="36" t="n">
        <x:f>E10-E11</x:f>
        <x:v>301987</x:v>
      </x:c>
      <x:c r="F12" s="36" t="n">
        <x:f>F10-F11</x:f>
        <x:v>303171</x:v>
      </x:c>
      <x:c r="G12" s="36" t="n">
        <x:f>G10-G11</x:f>
        <x:v>292009.30172718235</x:v>
      </x:c>
      <x:c r="H12" s="36" t="n">
        <x:f>H10-H11</x:f>
        <x:v>310368.7724873556</x:v>
      </x:c>
      <x:c r="I12" s="36" t="n">
        <x:f>I10-I11</x:f>
        <x:v>328122.68827686843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Selling expenses</x:v>
      </x:c>
      <x:c r="D14" s="19" t="n">
        <x:f>'SourceFacts'!D11</x:f>
        <x:v>52477</x:v>
      </x:c>
      <x:c r="E14" s="19" t="n">
        <x:f>'SourceFacts'!E11</x:f>
        <x:v>54564</x:v>
      </x:c>
      <x:c r="F14" s="19" t="n">
        <x:f>'SourceFacts'!F11</x:f>
        <x:v>56184</x:v>
      </x:c>
      <x:c r="G14" s="19" t="n">
        <x:f>G10*'Assumptions'!G11</x:f>
        <x:v>56543.87761728607</x:v>
      </x:c>
      <x:c r="H14" s="19" t="n">
        <x:f>H10*'Assumptions'!H11</x:f>
        <x:v>58075.49701805141</x:v>
      </x:c>
      <x:c r="I14" s="19" t="n">
        <x:f>I10*'Assumptions'!I11</x:f>
        <x:v>59777.33641906458</x:v>
      </x:c>
    </x:row>
    <x:row r="15" ht="21" customHeight="1">
      <x:c r="C15" s="1" t="str">
        <x:v>Administrative expenses incl D&amp;A and SBC</x:v>
      </x:c>
      <x:c r="D15" s="19" t="n">
        <x:f>'SourceFacts'!D12</x:f>
        <x:v>56025</x:v>
      </x:c>
      <x:c r="E15" s="19" t="n">
        <x:f>'SourceFacts'!E12</x:f>
        <x:v>56937</x:v>
      </x:c>
      <x:c r="F15" s="19" t="n">
        <x:f>'SourceFacts'!F12</x:f>
        <x:v>55821</x:v>
      </x:c>
      <x:c r="G15" s="19" t="n">
        <x:f>G10*'Assumptions'!G12+G20*(1-'Assumptions'!G37)+'FundingTaxEquity'!G60</x:f>
        <x:v>59454.45537327494</x:v>
      </x:c>
      <x:c r="H15" s="19" t="n">
        <x:f>H10*'Assumptions'!H12+H20*(1-'Assumptions'!H37)+'FundingTaxEquity'!H60</x:f>
        <x:v>58452.480551441084</x:v>
      </x:c>
      <x:c r="I15" s="19" t="n">
        <x:f>I10*'Assumptions'!I12+I20*(1-'Assumptions'!I37)+'FundingTaxEquity'!I60</x:f>
        <x:v>58000.64309390157</x:v>
      </x:c>
    </x:row>
    <x:row r="16" ht="21" customHeight="1">
      <x:c r="C16" s="1" t="str">
        <x:v>Research and development</x:v>
      </x:c>
      <x:c r="D16" s="19" t="n">
        <x:f>'SourceFacts'!D13</x:f>
        <x:v>28711</x:v>
      </x:c>
      <x:c r="E16" s="19" t="n">
        <x:f>'SourceFacts'!E13</x:f>
        <x:v>28163</x:v>
      </x:c>
      <x:c r="F16" s="19" t="n">
        <x:f>'SourceFacts'!F13</x:f>
        <x:v>29253</x:v>
      </x:c>
      <x:c r="G16" s="19" t="n">
        <x:f>G10*'Assumptions'!G13</x:f>
        <x:v>29440.37540827405</x:v>
      </x:c>
      <x:c r="H16" s="19" t="n">
        <x:f>H10*'Assumptions'!H13</x:f>
        <x:v>30237.834868807095</x:v>
      </x:c>
      <x:c r="I16" s="19" t="n">
        <x:f>I10*'Assumptions'!I13</x:f>
        <x:v>31123.921797431587</x:v>
      </x:c>
    </x:row>
    <x:row r="17" ht="21" customHeight="1">
      <x:c r="C17" s="1" t="str">
        <x:v>Business taxes and surcharges</x:v>
      </x:c>
      <x:c r="D17" s="19" t="n">
        <x:f>'SourceFacts'!D14</x:f>
        <x:v>3071</x:v>
      </x:c>
      <x:c r="E17" s="19" t="n">
        <x:f>'SourceFacts'!E14</x:f>
        <x:v>3759</x:v>
      </x:c>
      <x:c r="F17" s="19" t="n">
        <x:f>'SourceFacts'!F14</x:f>
        <x:v>4001</x:v>
      </x:c>
      <x:c r="G17" s="19" t="n">
        <x:f>G10*'Assumptions'!G14</x:f>
        <x:v>4026.62776496443</x:v>
      </x:c>
      <x:c r="H17" s="19" t="n">
        <x:f>H10*'Assumptions'!H14</x:f>
        <x:v>4135.698127033028</x:v>
      </x:c>
      <x:c r="I17" s="19" t="n">
        <x:f>I10*'Assumptions'!I14</x:f>
        <x:v>4256.890271477242</x:v>
      </x:c>
    </x:row>
    <x:row r="18" ht="21" customHeight="1">
      <x:c r="C18" s="1" t="str">
        <x:v>Other cash operating / pretax income</x:v>
      </x:c>
      <x:c r="D18" s="19" t="n">
        <x:f>'SourceFacts'!D17</x:f>
        <x:v>22407</x:v>
      </x:c>
      <x:c r="E18" s="19" t="n">
        <x:f>'SourceFacts'!E17</x:f>
        <x:v>17330</x:v>
      </x:c>
      <x:c r="F18" s="19" t="n">
        <x:f>'SourceFacts'!F17</x:f>
        <x:v>16161</x:v>
      </x:c>
      <x:c r="G18" s="19" t="n">
        <x:f>G10*'Assumptions'!G15</x:f>
        <x:v>16264.516698222982</x:v>
      </x:c>
      <x:c r="H18" s="19" t="n">
        <x:f>H10*'Assumptions'!H15</x:f>
        <x:v>16705.078088223137</x:v>
      </x:c>
      <x:c r="I18" s="19" t="n">
        <x:f>I10*'Assumptions'!I15</x:f>
        <x:v>17194.602268768736</x:v>
      </x:c>
    </x:row>
    <x:row r="19" ht="21" customHeight="1">
      <x:c r="C19" s="34" t="str">
        <x:v>Operating earnings before financing</x:v>
      </x:c>
      <x:c r="D19" s="36" t="n">
        <x:f>D23+D22</x:f>
        <x:v>167074</x:v>
      </x:c>
      <x:c r="E19" s="36" t="n">
        <x:f>E23+E22</x:f>
        <x:v>175894</x:v>
      </x:c>
      <x:c r="F19" s="36" t="n">
        <x:f>F23+F22</x:f>
        <x:v>174073</x:v>
      </x:c>
      <x:c r="G19" s="36" t="n">
        <x:f>G12-SUM(G14:G17)+G18</x:f>
        <x:v>158808.48226160588</x:v>
      </x:c>
      <x:c r="H19" s="36" t="n">
        <x:f>H12-SUM(H14:H17)+H18</x:f>
        <x:v>176172.34001024617</x:v>
      </x:c>
      <x:c r="I19" s="36" t="n">
        <x:f>I12-SUM(I14:I17)+I18</x:f>
        <x:v>192158.49896376216</x:v>
      </x:c>
    </x:row>
    <x:row r="20" ht="21" customHeight="1">
      <x:c r="C20" s="1" t="str">
        <x:v>Depreciation and amortization</x:v>
      </x:c>
      <x:c r="D20" s="2"/>
      <x:c r="E20" s="19" t="n">
        <x:f>'SourceFacts'!E23</x:f>
        <x:v>191101</x:v>
      </x:c>
      <x:c r="F20" s="19" t="n">
        <x:f>'SourceFacts'!F23</x:f>
        <x:v>189999</x:v>
      </x:c>
      <x:c r="G20" s="19" t="n">
        <x:f>'FixedAssets'!G39</x:f>
        <x:v>207595.52264869906</x:v>
      </x:c>
      <x:c r="H20" s="19" t="n">
        <x:f>'FixedAssets'!H39</x:f>
        <x:v>200156.54989357013</x:v>
      </x:c>
      <x:c r="I20" s="19" t="n">
        <x:f>'FixedAssets'!I39</x:f>
        <x:v>195198.30056567106</x:v>
      </x:c>
    </x:row>
    <x:row r="21" ht="21" customHeight="1">
      <x:c r="C21" s="34" t="str">
        <x:v>EBITDA proxy (see definition below)</x:v>
      </x:c>
      <x:c r="D21" s="35"/>
      <x:c r="E21" s="36" t="n">
        <x:f>E19+E20</x:f>
        <x:v>366995</x:v>
      </x:c>
      <x:c r="F21" s="36" t="n">
        <x:f>F19+F20</x:f>
        <x:v>364072</x:v>
      </x:c>
      <x:c r="G21" s="36" t="n">
        <x:f>G19+G20</x:f>
        <x:v>366404.0049103049</x:v>
      </x:c>
      <x:c r="H21" s="36" t="n">
        <x:f>H19+H20</x:f>
        <x:v>376328.8899038163</x:v>
      </x:c>
      <x:c r="I21" s="36" t="n">
        <x:f>I19+I20</x:f>
        <x:v>387356.79952943325</x:v>
      </x:c>
    </x:row>
    <x:row r="22" ht="21" customHeight="1">
      <x:c r="C22" s="1" t="str">
        <x:v>Net finance expense less investment FV gain</x:v>
      </x:c>
      <x:c r="D22" s="19" t="n">
        <x:f>'SourceFacts'!D15</x:f>
        <x:v>-3457</x:v>
      </x:c>
      <x:c r="E22" s="19" t="n">
        <x:f>'SourceFacts'!E15</x:f>
        <x:v>-2495</x:v>
      </x:c>
      <x:c r="F22" s="19" t="n">
        <x:f>'SourceFacts'!F15</x:f>
        <x:v>-1535</x:v>
      </x:c>
      <x:c r="G22" s="19" t="n">
        <x:f>'FundingTaxEquity'!G19-F31*'Assumptions'!G16-'FundingTaxEquity'!G29</x:f>
        <x:v>988.3830354065644</x:v>
      </x:c>
      <x:c r="H22" s="19" t="n">
        <x:f>'FundingTaxEquity'!H19-G31*'Assumptions'!H16-'FundingTaxEquity'!H29</x:f>
        <x:v>-1069.2625187777562</x:v>
      </x:c>
      <x:c r="I22" s="19" t="n">
        <x:f>'FundingTaxEquity'!I19-H31*'Assumptions'!I16-'FundingTaxEquity'!I29</x:f>
        <x:v>-3194.513188260799</x:v>
      </x:c>
    </x:row>
    <x:row r="23" ht="21" customHeight="1">
      <x:c r="C23" s="34" t="str">
        <x:v>Profit before tax</x:v>
      </x:c>
      <x:c r="D23" s="37" t="n">
        <x:f>'SourceFacts'!D18</x:f>
        <x:v>170531</x:v>
      </x:c>
      <x:c r="E23" s="37" t="n">
        <x:f>'SourceFacts'!E18</x:f>
        <x:v>178389</x:v>
      </x:c>
      <x:c r="F23" s="37" t="n">
        <x:f>'SourceFacts'!F18</x:f>
        <x:v>175608</x:v>
      </x:c>
      <x:c r="G23" s="36" t="n">
        <x:f>G19-G22</x:f>
        <x:v>157820.09922619932</x:v>
      </x:c>
      <x:c r="H23" s="36" t="n">
        <x:f>H19-H22</x:f>
        <x:v>177241.60252902392</x:v>
      </x:c>
      <x:c r="I23" s="36" t="n">
        <x:f>I19-I22</x:f>
        <x:v>195353.01215202297</x:v>
      </x:c>
    </x:row>
    <x:row r="24" ht="21" customHeight="1">
      <x:c r="C24" s="1" t="str">
        <x:v>Income tax expense</x:v>
      </x:c>
      <x:c r="D24" s="19" t="n">
        <x:f>'SourceFacts'!D19</x:f>
        <x:v>38596</x:v>
      </x:c>
      <x:c r="E24" s="19" t="n">
        <x:f>'SourceFacts'!E19</x:f>
        <x:v>39863</x:v>
      </x:c>
      <x:c r="F24" s="19" t="n">
        <x:f>'SourceFacts'!F19</x:f>
        <x:v>38344</x:v>
      </x:c>
      <x:c r="G24" s="19" t="n">
        <x:f>MAX(0,G23)*'Assumptions'!G18</x:f>
        <x:v>31973.685679491384</x:v>
      </x:c>
      <x:c r="H24" s="19" t="n">
        <x:f>MAX(0,H23)*'Assumptions'!H18</x:f>
        <x:v>35908.40023785501</x:v>
      </x:c>
      <x:c r="I24" s="19" t="n">
        <x:f>MAX(0,I23)*'Assumptions'!I18</x:f>
        <x:v>39577.69534879202</x:v>
      </x:c>
    </x:row>
    <x:row r="25" ht="21" customHeight="1">
      <x:c r="C25" s="34" t="str">
        <x:v>Consolidated net income</x:v>
      </x:c>
      <x:c r="D25" s="37" t="n">
        <x:f>'SourceFacts'!D20</x:f>
        <x:v>131935</x:v>
      </x:c>
      <x:c r="E25" s="37" t="n">
        <x:f>'SourceFacts'!E20</x:f>
        <x:v>138526</x:v>
      </x:c>
      <x:c r="F25" s="37" t="n">
        <x:f>'SourceFacts'!F20</x:f>
        <x:v>137264</x:v>
      </x:c>
      <x:c r="G25" s="36" t="n">
        <x:f>G23-G24</x:f>
        <x:v>125846.41354670795</x:v>
      </x:c>
      <x:c r="H25" s="36" t="n">
        <x:f>H23-H24</x:f>
        <x:v>141333.2022911689</x:v>
      </x:c>
      <x:c r="I25" s="36" t="n">
        <x:f>I23-I24</x:f>
        <x:v>155775.31680323096</x:v>
      </x:c>
    </x:row>
    <x:row r="26" ht="21" customHeight="1">
      <x:c r="C26" s="1" t="str">
        <x:v>Net income attributable to parent</x:v>
      </x:c>
      <x:c r="D26" s="19" t="n">
        <x:f>'SourceFacts'!D21</x:f>
        <x:v>131766</x:v>
      </x:c>
      <x:c r="E26" s="19" t="n">
        <x:f>'SourceFacts'!E21</x:f>
        <x:v>138373</x:v>
      </x:c>
      <x:c r="F26" s="19" t="n">
        <x:f>'SourceFacts'!F21</x:f>
        <x:v>137095</x:v>
      </x:c>
      <x:c r="G26" s="27" t="n">
        <x:f>G25-G27</x:f>
        <x:v>125691.47092599608</x:v>
      </x:c>
      <x:c r="H26" s="27" t="n">
        <x:f>H25-H27</x:f>
        <x:v>141159.19227261192</x:v>
      </x:c>
      <x:c r="I26" s="27" t="n">
        <x:f>I25-I27</x:f>
        <x:v>155583.5255940301</x:v>
      </x:c>
    </x:row>
    <x:row r="27" ht="21" customHeight="1">
      <x:c r="C27" s="1" t="str">
        <x:v>Net income attributable to NCI</x:v>
      </x:c>
      <x:c r="D27" s="19" t="n">
        <x:f>'SourceFacts'!D22</x:f>
        <x:v>169</x:v>
      </x:c>
      <x:c r="E27" s="19" t="n">
        <x:f>'SourceFacts'!E22</x:f>
        <x:v>153</x:v>
      </x:c>
      <x:c r="F27" s="19" t="n">
        <x:f>'SourceFacts'!F22</x:f>
        <x:v>169</x:v>
      </x:c>
      <x:c r="G27" s="19" t="n">
        <x:f>G25*'Assumptions'!G19</x:f>
        <x:v>154.94262071186648</x:v>
      </x:c>
      <x:c r="H27" s="19" t="n">
        <x:f>H25*'Assumptions'!H19</x:f>
        <x:v>174.01001855699633</x:v>
      </x:c>
      <x:c r="I27" s="19" t="n">
        <x:f>I25*'Assumptions'!I19</x:f>
        <x:v>191.79120920085407</x:v>
      </x:c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Balance sheet</x:v>
      </x:c>
      <x:c r="D29" s="25"/>
      <x:c r="E29" s="25"/>
      <x:c r="F29" s="25"/>
      <x:c r="G29" s="25"/>
      <x:c r="H29" s="25"/>
      <x:c r="I29" s="25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 t="str">
        <x:v>Cash and cash equivalents</x:v>
      </x:c>
      <x:c r="D31" s="19" t="n">
        <x:f>'SourceFacts'!D29</x:f>
        <x:v>141559</x:v>
      </x:c>
      <x:c r="E31" s="19" t="n">
        <x:f>'SourceFacts'!E29</x:f>
        <x:v>167309</x:v>
      </x:c>
      <x:c r="F31" s="19" t="n">
        <x:f>'SourceFacts'!F29</x:f>
        <x:v>97267</x:v>
      </x:c>
      <x:c r="G31" s="27" t="n">
        <x:f>G81</x:f>
        <x:v>153272.06645606746</x:v>
      </x:c>
      <x:c r="H31" s="27" t="n">
        <x:f>H81</x:f>
        <x:v>213515.9247519921</x:v>
      </x:c>
      <x:c r="I31" s="27" t="n">
        <x:f>I81</x:f>
        <x:v>270724.840018986</x:v>
      </x:c>
    </x:row>
    <x:row r="32" ht="21" customHeight="1">
      <x:c r="C32" s="1" t="str">
        <x:v>Monetary balances outside cash equivalents</x:v>
      </x:c>
      <x:c r="D32" s="19" t="n">
        <x:f>'SourceFacts'!D32</x:f>
        <x:v>37213</x:v>
      </x:c>
      <x:c r="E32" s="19" t="n">
        <x:f>'SourceFacts'!E32</x:f>
        <x:v>74966</x:v>
      </x:c>
      <x:c r="F32" s="19" t="n">
        <x:f>'SourceFacts'!F32</x:f>
        <x:v>73827</x:v>
      </x:c>
      <x:c r="G32" s="27" t="n">
        <x:f>F32</x:f>
        <x:v>73827</x:v>
      </x:c>
      <x:c r="H32" s="27" t="n">
        <x:f>G32</x:f>
        <x:v>73827</x:v>
      </x:c>
      <x:c r="I32" s="27" t="n">
        <x:f>H32</x:f>
        <x:v>73827</x:v>
      </x:c>
    </x:row>
    <x:row r="33" ht="21" customHeight="1">
      <x:c r="C33" s="1" t="str">
        <x:v>Receivables, bills and contract assets</x:v>
      </x:c>
      <x:c r="D33" s="19" t="n">
        <x:f>'SourceFacts'!D33</x:f>
        <x:v>75493</x:v>
      </x:c>
      <x:c r="E33" s="19" t="n">
        <x:f>'SourceFacts'!E33</x:f>
        <x:v>97509</x:v>
      </x:c>
      <x:c r="F33" s="19" t="n">
        <x:f>'SourceFacts'!F33</x:f>
        <x:v>121117</x:v>
      </x:c>
      <x:c r="G33" s="19" t="n">
        <x:f>'WorkingCapital'!G11</x:f>
        <x:v>121892.79555341088</x:v>
      </x:c>
      <x:c r="H33" s="19" t="n">
        <x:f>'WorkingCapital'!H11</x:f>
        <x:v>125194.53887824526</x:v>
      </x:c>
      <x:c r="I33" s="19" t="n">
        <x:f>'WorkingCapital'!I11</x:f>
        <x:v>128863.22894539096</x:v>
      </x:c>
    </x:row>
    <x:row r="34" ht="21" customHeight="1">
      <x:c r="C34" s="1" t="str">
        <x:v>Inventory</x:v>
      </x:c>
      <x:c r="D34" s="19" t="n">
        <x:f>'SourceFacts'!D34</x:f>
        <x:v>12026</x:v>
      </x:c>
      <x:c r="E34" s="19" t="n">
        <x:f>'SourceFacts'!E34</x:f>
        <x:v>11229</x:v>
      </x:c>
      <x:c r="F34" s="19" t="n">
        <x:f>'SourceFacts'!F34</x:f>
        <x:v>16613</x:v>
      </x:c>
      <x:c r="G34" s="19" t="n">
        <x:f>'WorkingCapital'!G17</x:f>
        <x:v>17010.825079901126</x:v>
      </x:c>
      <x:c r="H34" s="19" t="n">
        <x:f>'WorkingCapital'!H17</x:f>
        <x:v>17239.208708765236</x:v>
      </x:c>
      <x:c r="I34" s="19" t="n">
        <x:f>'WorkingCapital'!I17</x:f>
        <x:v>17551.818534832433</x:v>
      </x:c>
    </x:row>
    <x:row r="35" ht="21" customHeight="1">
      <x:c r="C35" s="1" t="str">
        <x:v>PPE / construction / investment property</x:v>
      </x:c>
      <x:c r="D35" s="19" t="n">
        <x:f>'SourceFacts'!D35</x:f>
        <x:v>789159</x:v>
      </x:c>
      <x:c r="E35" s="19" t="n">
        <x:f>'SourceFacts'!E35</x:f>
        <x:v>788765</x:v>
      </x:c>
      <x:c r="F35" s="19" t="n">
        <x:f>'SourceFacts'!F35</x:f>
        <x:v>768961</x:v>
      </x:c>
      <x:c r="G35" s="19" t="n">
        <x:f>'FixedAssets'!G14</x:f>
        <x:v>736813.7159532352</x:v>
      </x:c>
      <x:c r="H35" s="19" t="n">
        <x:f>'FixedAssets'!H14</x:f>
        <x:v>714788.2021676333</x:v>
      </x:c>
      <x:c r="I35" s="19" t="n">
        <x:f>'FixedAssets'!I14</x:f>
        <x:v>701167.7590772042</x:v>
      </x:c>
    </x:row>
    <x:row r="36" ht="21" customHeight="1">
      <x:c r="C36" s="1" t="str">
        <x:v>Intangibles and deferred costs</x:v>
      </x:c>
      <x:c r="D36" s="19" t="n">
        <x:f>'SourceFacts'!D36</x:f>
        <x:v>54983</x:v>
      </x:c>
      <x:c r="E36" s="19" t="n">
        <x:f>'SourceFacts'!E36</x:f>
        <x:v>58396</x:v>
      </x:c>
      <x:c r="F36" s="19" t="n">
        <x:f>'SourceFacts'!F36</x:f>
        <x:v>69038</x:v>
      </x:c>
      <x:c r="G36" s="19" t="n">
        <x:f>'FixedAssets'!G24</x:f>
        <x:v>68869.50582820683</x:v>
      </x:c>
      <x:c r="H36" s="19" t="n">
        <x:f>'FixedAssets'!H24</x:f>
        <x:v>69119.44428775554</x:v>
      </x:c>
      <x:c r="I36" s="19" t="n">
        <x:f>'FixedAssets'!I24</x:f>
        <x:v>69743.60874089794</x:v>
      </x:c>
    </x:row>
    <x:row r="37" ht="21" customHeight="1">
      <x:c r="C37" s="1" t="str">
        <x:v>Right-of-use assets</x:v>
      </x:c>
      <x:c r="D37" s="19" t="n">
        <x:f>'SourceFacts'!D37</x:f>
        <x:v>94753</x:v>
      </x:c>
      <x:c r="E37" s="19" t="n">
        <x:f>'SourceFacts'!E37</x:f>
        <x:v>80625</x:v>
      </x:c>
      <x:c r="F37" s="19" t="n">
        <x:f>'SourceFacts'!F37</x:f>
        <x:v>77662</x:v>
      </x:c>
      <x:c r="G37" s="19" t="n">
        <x:f>'FixedAssets'!G34</x:f>
        <x:v>71987.88007346606</x:v>
      </x:c>
      <x:c r="H37" s="19" t="n">
        <x:f>'FixedAssets'!H34</x:f>
        <x:v>67491.13595732649</x:v>
      </x:c>
      <x:c r="I37" s="19" t="n">
        <x:f>'FixedAssets'!I34</x:f>
        <x:v>63927.46301635153</x:v>
      </x:c>
    </x:row>
    <x:row r="38" ht="21" customHeight="1">
      <x:c r="C38" s="1" t="str">
        <x:v>Financial investments / finance-company loans</x:v>
      </x:c>
      <x:c r="D38" s="19" t="n">
        <x:f>'SourceFacts'!D38</x:f>
        <x:v>532500</x:v>
      </x:c>
      <x:c r="E38" s="19" t="n">
        <x:f>'SourceFacts'!E38</x:f>
        <x:v>582438</x:v>
      </x:c>
      <x:c r="F38" s="19" t="n">
        <x:f>'SourceFacts'!F38</x:f>
        <x:v>643228</x:v>
      </x:c>
      <x:c r="G38" s="19" t="n">
        <x:f>'FundingTaxEquity'!G31</x:f>
        <x:v>643228</x:v>
      </x:c>
      <x:c r="H38" s="19" t="n">
        <x:f>'FundingTaxEquity'!H31</x:f>
        <x:v>643228</x:v>
      </x:c>
      <x:c r="I38" s="19" t="n">
        <x:f>'FundingTaxEquity'!I31</x:f>
        <x:v>643228</x:v>
      </x:c>
    </x:row>
    <x:row r="39" ht="21" customHeight="1">
      <x:c r="C39" s="1" t="str">
        <x:v>Other assets (named in SourceBS)</x:v>
      </x:c>
      <x:c r="D39" s="19" t="n">
        <x:f>'SourceFacts'!D39</x:f>
        <x:v>219671</x:v>
      </x:c>
      <x:c r="E39" s="19" t="n">
        <x:f>'SourceFacts'!E39</x:f>
        <x:v>211590</x:v>
      </x:c>
      <x:c r="F39" s="19" t="n">
        <x:f>'SourceFacts'!F39</x:f>
        <x:v>225169</x:v>
      </x:c>
      <x:c r="G39" s="19" t="n">
        <x:f>'WorkingCapital'!G41</x:f>
        <x:v>225169</x:v>
      </x:c>
      <x:c r="H39" s="19" t="n">
        <x:f>'WorkingCapital'!H41</x:f>
        <x:v>225169</x:v>
      </x:c>
      <x:c r="I39" s="19" t="n">
        <x:f>'WorkingCapital'!I41</x:f>
        <x:v>225169</x:v>
      </x:c>
    </x:row>
    <x:row r="40" ht="21" customHeight="1">
      <x:c r="C40" s="34" t="str">
        <x:v>Total assets</x:v>
      </x:c>
      <x:c r="D40" s="37" t="n">
        <x:f>'SourceFacts'!D40</x:f>
        <x:v>1957357</x:v>
      </x:c>
      <x:c r="E40" s="37" t="n">
        <x:f>'SourceFacts'!E40</x:f>
        <x:v>2072827</x:v>
      </x:c>
      <x:c r="F40" s="37" t="n">
        <x:f>'SourceFacts'!F40</x:f>
        <x:v>2092882</x:v>
      </x:c>
      <x:c r="G40" s="36" t="n">
        <x:f>SUM(G31:G39)</x:f>
        <x:v>2112070.7889442877</x:v>
      </x:c>
      <x:c r="H40" s="36" t="n">
        <x:f>SUM(H31:H39)</x:f>
        <x:v>2149572.454751718</x:v>
      </x:c>
      <x:c r="I40" s="36" t="n">
        <x:f>SUM(I31:I39)</x:f>
        <x:v>2194202.718333663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 t="str">
        <x:v>Trade and bills payables</x:v>
      </x:c>
      <x:c r="D42" s="19" t="n">
        <x:f>'SourceFacts'!D41</x:f>
        <x:v>323976</x:v>
      </x:c>
      <x:c r="E42" s="19" t="n">
        <x:f>'SourceFacts'!E41</x:f>
        <x:v>395184</x:v>
      </x:c>
      <x:c r="F42" s="19" t="n">
        <x:f>'SourceFacts'!F41</x:f>
        <x:v>351301</x:v>
      </x:c>
      <x:c r="G42" s="19" t="n">
        <x:f>'WorkingCapital'!G23</x:f>
        <x:v>359713.46905401465</x:v>
      </x:c>
      <x:c r="H42" s="19" t="n">
        <x:f>'WorkingCapital'!H23</x:f>
        <x:v>364542.90366567974</x:v>
      </x:c>
      <x:c r="I42" s="19" t="n">
        <x:f>'WorkingCapital'!I23</x:f>
        <x:v>371153.39812828327</x:v>
      </x:c>
    </x:row>
    <x:row r="43" ht="21" customHeight="1">
      <x:c r="C43" s="1" t="str">
        <x:v>Contract liabilities and customer advances</x:v>
      </x:c>
      <x:c r="D43" s="19" t="n">
        <x:f>'SourceFacts'!D42</x:f>
        <x:v>145228</x:v>
      </x:c>
      <x:c r="E43" s="19" t="n">
        <x:f>'SourceFacts'!E42</x:f>
        <x:v>134884</x:v>
      </x:c>
      <x:c r="F43" s="19" t="n">
        <x:f>'SourceFacts'!F42</x:f>
        <x:v>132821</x:v>
      </x:c>
      <x:c r="G43" s="19" t="n">
        <x:f>'WorkingCapital'!G29</x:f>
        <x:v>133671.76365167223</x:v>
      </x:c>
      <x:c r="H43" s="19" t="n">
        <x:f>'WorkingCapital'!H29</x:f>
        <x:v>137292.56709089075</x:v>
      </x:c>
      <x:c r="I43" s="19" t="n">
        <x:f>'WorkingCapital'!I29</x:f>
        <x:v>141315.77674278402</x:v>
      </x:c>
    </x:row>
    <x:row r="44" ht="21" customHeight="1">
      <x:c r="C44" s="1" t="str">
        <x:v>Borrowings and lease liabilities</x:v>
      </x:c>
      <x:c r="D44" s="19" t="n">
        <x:f>'SourceFacts'!D43</x:f>
        <x:v>102934</x:v>
      </x:c>
      <x:c r="E44" s="19" t="n">
        <x:f>'SourceFacts'!E43</x:f>
        <x:v>88442</x:v>
      </x:c>
      <x:c r="F44" s="19" t="n">
        <x:f>'SourceFacts'!F43</x:f>
        <x:v>101197</x:v>
      </x:c>
      <x:c r="G44" s="19" t="n">
        <x:f>'FundingTaxEquity'!G18</x:f>
        <x:v>92606.9</x:v>
      </x:c>
      <x:c r="H44" s="19" t="n">
        <x:f>'FundingTaxEquity'!H18</x:f>
        <x:v>85734.81999999999</x:v>
      </x:c>
      <x:c r="I44" s="19" t="n">
        <x:f>'FundingTaxEquity'!I18</x:f>
        <x:v>80237.15599999999</x:v>
      </x:c>
    </x:row>
    <x:row r="45" ht="21" customHeight="1">
      <x:c r="C45" s="1" t="str">
        <x:v>Taxes payable</x:v>
      </x:c>
      <x:c r="D45" s="19" t="n">
        <x:f>'SourceFacts'!D44</x:f>
        <x:v>19895</x:v>
      </x:c>
      <x:c r="E45" s="19" t="n">
        <x:f>'SourceFacts'!E44</x:f>
        <x:v>21549</x:v>
      </x:c>
      <x:c r="F45" s="19" t="n">
        <x:f>'SourceFacts'!F44</x:f>
        <x:v>17742</x:v>
      </x:c>
      <x:c r="G45" s="19" t="n">
        <x:f>'FundingTaxEquity'!G38</x:f>
        <x:v>4796.052851923705</x:v>
      </x:c>
      <x:c r="H45" s="19" t="n">
        <x:f>'FundingTaxEquity'!H38</x:f>
        <x:v>5386.260035678257</x:v>
      </x:c>
      <x:c r="I45" s="19" t="n">
        <x:f>'FundingTaxEquity'!I38</x:f>
        <x:v>5936.654302318806</x:v>
      </x:c>
    </x:row>
    <x:row r="46" ht="21" customHeight="1">
      <x:c r="C46" s="1" t="str">
        <x:v>Finance-company customer deposits</x:v>
      </x:c>
      <x:c r="D46" s="19" t="n">
        <x:f>'SourceFacts'!D45</x:f>
        <x:v>0</x:v>
      </x:c>
      <x:c r="E46" s="19" t="n">
        <x:f>'SourceFacts'!E45</x:f>
        <x:v>0</x:v>
      </x:c>
      <x:c r="F46" s="19" t="n">
        <x:f>'SourceFacts'!F45</x:f>
        <x:v>0</x:v>
      </x:c>
      <x:c r="G46" s="19" t="n">
        <x:f>'WorkingCapital'!G35</x:f>
        <x:v>0</x:v>
      </x:c>
      <x:c r="H46" s="19" t="n">
        <x:f>'WorkingCapital'!H35</x:f>
        <x:v>0</x:v>
      </x:c>
      <x:c r="I46" s="19" t="n">
        <x:f>'WorkingCapital'!I35</x:f>
        <x:v>0</x:v>
      </x:c>
    </x:row>
    <x:row r="47" ht="21" customHeight="1">
      <x:c r="C47" s="1" t="str">
        <x:v>Other liabilities (named in SourceBS)</x:v>
      </x:c>
      <x:c r="D47" s="19" t="n">
        <x:f>'SourceFacts'!D46</x:f>
        <x:v>54639</x:v>
      </x:c>
      <x:c r="E47" s="19" t="n">
        <x:f>'SourceFacts'!E46</x:f>
        <x:v>71529</x:v>
      </x:c>
      <x:c r="F47" s="19" t="n">
        <x:f>'SourceFacts'!F46</x:f>
        <x:v>92270</x:v>
      </x:c>
      <x:c r="G47" s="19" t="n">
        <x:f>'WorkingCapital'!G47</x:f>
        <x:v>92270</x:v>
      </x:c>
      <x:c r="H47" s="19" t="n">
        <x:f>'WorkingCapital'!H47</x:f>
        <x:v>92270</x:v>
      </x:c>
      <x:c r="I47" s="19" t="n">
        <x:f>'WorkingCapital'!I47</x:f>
        <x:v>92270</x:v>
      </x:c>
    </x:row>
    <x:row r="48" ht="21" customHeight="1">
      <x:c r="C48" s="34" t="str">
        <x:v>Total liabilities</x:v>
      </x:c>
      <x:c r="D48" s="37" t="n">
        <x:f>'SourceFacts'!D47</x:f>
        <x:v>646672</x:v>
      </x:c>
      <x:c r="E48" s="37" t="n">
        <x:f>'SourceFacts'!E47</x:f>
        <x:v>711588</x:v>
      </x:c>
      <x:c r="F48" s="37" t="n">
        <x:f>'SourceFacts'!F47</x:f>
        <x:v>695331</x:v>
      </x:c>
      <x:c r="G48" s="36" t="n">
        <x:f>SUM(G42:G47)</x:f>
        <x:v>683058.1855576106</x:v>
      </x:c>
      <x:c r="H48" s="36" t="n">
        <x:f>SUM(H42:H47)</x:f>
        <x:v>685226.5507922487</x:v>
      </x:c>
      <x:c r="I48" s="36" t="n">
        <x:f>SUM(I42:I47)</x:f>
        <x:v>690912.985173386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 t="str">
        <x:v>Retained earnings</x:v>
      </x:c>
      <x:c r="D50" s="19" t="n">
        <x:f>'SourceFacts'!D48</x:f>
        <x:v>1147798</x:v>
      </x:c>
      <x:c r="E50" s="19" t="n">
        <x:f>'SourceFacts'!E48</x:f>
        <x:v>1188577</x:v>
      </x:c>
      <x:c r="F50" s="19" t="n">
        <x:f>'SourceFacts'!F48</x:f>
        <x:v>1222270</x:v>
      </x:c>
      <x:c r="G50" s="19" t="n">
        <x:f>'FundingTaxEquity'!G48</x:f>
        <x:v>1253692.867731499</x:v>
      </x:c>
      <x:c r="H50" s="19" t="n">
        <x:f>'FundingTaxEquity'!H48</x:f>
        <x:v>1288982.665799652</x:v>
      </x:c>
      <x:c r="I50" s="19" t="n">
        <x:f>'FundingTaxEquity'!I48</x:f>
        <x:v>1327878.5471981594</x:v>
      </x:c>
    </x:row>
    <x:row r="51" ht="21" customHeight="1">
      <x:c r="C51" s="1" t="str">
        <x:v>Share capital and other reserves</x:v>
      </x:c>
      <x:c r="D51" s="27" t="n">
        <x:f>D53-D50-D52</x:f>
        <x:v>158634</x:v>
      </x:c>
      <x:c r="E51" s="27" t="n">
        <x:f>E53-E50-E52</x:f>
        <x:v>168155</x:v>
      </x:c>
      <x:c r="F51" s="27" t="n">
        <x:f>F53-F50-F52</x:f>
        <x:v>170905</x:v>
      </x:c>
      <x:c r="G51" s="19" t="n">
        <x:f>'FundingTaxEquity'!G61</x:f>
        <x:v>170905</x:v>
      </x:c>
      <x:c r="H51" s="19" t="n">
        <x:f>'FundingTaxEquity'!H61</x:f>
        <x:v>170905</x:v>
      </x:c>
      <x:c r="I51" s="19" t="n">
        <x:f>'FundingTaxEquity'!I61</x:f>
        <x:v>170905</x:v>
      </x:c>
    </x:row>
    <x:row r="52" ht="21" customHeight="1">
      <x:c r="C52" s="1" t="str">
        <x:v>Non-controlling interests</x:v>
      </x:c>
      <x:c r="D52" s="19" t="n">
        <x:f>'SourceFacts'!D49</x:f>
        <x:v>4253</x:v>
      </x:c>
      <x:c r="E52" s="19" t="n">
        <x:f>'SourceFacts'!E49</x:f>
        <x:v>4507</x:v>
      </x:c>
      <x:c r="F52" s="19" t="n">
        <x:f>'SourceFacts'!F49</x:f>
        <x:v>4376</x:v>
      </x:c>
      <x:c r="G52" s="19" t="n">
        <x:f>'FundingTaxEquity'!G55</x:f>
        <x:v>4414.735655177967</x:v>
      </x:c>
      <x:c r="H52" s="19" t="n">
        <x:f>'FundingTaxEquity'!H55</x:f>
        <x:v>4458.238159817216</x:v>
      </x:c>
      <x:c r="I52" s="19" t="n">
        <x:f>'FundingTaxEquity'!I55</x:f>
        <x:v>4506.185962117429</x:v>
      </x:c>
    </x:row>
    <x:row r="53" ht="21" customHeight="1">
      <x:c r="C53" s="34" t="str">
        <x:v>Total equity</x:v>
      </x:c>
      <x:c r="D53" s="37" t="n">
        <x:f>'SourceFacts'!D50</x:f>
        <x:v>1310685</x:v>
      </x:c>
      <x:c r="E53" s="37" t="n">
        <x:f>'SourceFacts'!E50</x:f>
        <x:v>1361239</x:v>
      </x:c>
      <x:c r="F53" s="37" t="n">
        <x:f>'SourceFacts'!F50</x:f>
        <x:v>1397551</x:v>
      </x:c>
      <x:c r="G53" s="36" t="n">
        <x:f>SUM(G50:G52)</x:f>
        <x:v>1429012.6033866769</x:v>
      </x:c>
      <x:c r="H53" s="36" t="n">
        <x:f>SUM(H50:H52)</x:f>
        <x:v>1464345.9039594692</x:v>
      </x:c>
      <x:c r="I53" s="36" t="n">
        <x:f>SUM(I50:I52)</x:f>
        <x:v>1503289.733160277</x:v>
      </x:c>
    </x:row>
    <x:row r="54" ht="21" customHeight="1">
      <x:c r="C54" s="34" t="str">
        <x:v>Liabilities and equity</x:v>
      </x:c>
      <x:c r="D54" s="36" t="n">
        <x:f>D48+D53</x:f>
        <x:v>1957357</x:v>
      </x:c>
      <x:c r="E54" s="36" t="n">
        <x:f>E48+E53</x:f>
        <x:v>2072827</x:v>
      </x:c>
      <x:c r="F54" s="36" t="n">
        <x:f>F48+F53</x:f>
        <x:v>2092882</x:v>
      </x:c>
      <x:c r="G54" s="36" t="n">
        <x:f>G48+G53</x:f>
        <x:v>2112070.788944287</x:v>
      </x:c>
      <x:c r="H54" s="36" t="n">
        <x:f>H48+H53</x:f>
        <x:v>2149572.454751718</x:v>
      </x:c>
      <x:c r="I54" s="36" t="n">
        <x:f>I48+I53</x:f>
        <x:v>2194202.718333663</x:v>
      </x:c>
    </x:row>
    <x:row r="55" ht="21" customHeight="1">
      <x:c r="C55" s="34" t="str">
        <x:v>Balance sheet difference</x:v>
      </x:c>
      <x:c r="D55" s="36" t="n">
        <x:f>D40-D54</x:f>
        <x:v>0</x:v>
      </x:c>
      <x:c r="E55" s="36" t="n">
        <x:f>E40-E54</x:f>
        <x:v>0</x:v>
      </x:c>
      <x:c r="F55" s="36" t="n">
        <x:f>F40-F54</x:f>
        <x:v>0</x:v>
      </x:c>
      <x:c r="G55" s="36" t="n">
        <x:f>G40-G54</x:f>
        <x:v>4.656612873077393e-10</x:v>
      </x:c>
      <x:c r="H55" s="36" t="n">
        <x:f>H40-H54</x:f>
        <x:v>0</x:v>
      </x:c>
      <x:c r="I55" s="36" t="n">
        <x:f>I40-I54</x:f>
        <x:v>0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Cash flow statement</x:v>
      </x:c>
      <x:c r="D57" s="25"/>
      <x:c r="E57" s="25"/>
      <x:c r="F57" s="25"/>
      <x:c r="G57" s="25"/>
      <x:c r="H57" s="25"/>
      <x:c r="I57" s="25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 t="str">
        <x:v>Consolidated net income</x:v>
      </x:c>
      <x:c r="D59" s="19" t="n">
        <x:f>'SourceFacts'!D20</x:f>
        <x:v>131935</x:v>
      </x:c>
      <x:c r="E59" s="19" t="n">
        <x:f>'SourceFacts'!E20</x:f>
        <x:v>138526</x:v>
      </x:c>
      <x:c r="F59" s="19" t="n">
        <x:f>'SourceFacts'!F20</x:f>
        <x:v>137264</x:v>
      </x:c>
      <x:c r="G59" s="27" t="n">
        <x:f>G25</x:f>
        <x:v>125846.41354670795</x:v>
      </x:c>
      <x:c r="H59" s="27" t="n">
        <x:f>H25</x:f>
        <x:v>141333.2022911689</x:v>
      </x:c>
      <x:c r="I59" s="27" t="n">
        <x:f>I25</x:f>
        <x:v>155775.31680323096</x:v>
      </x:c>
    </x:row>
    <x:row r="60" ht="21" customHeight="1">
      <x:c r="C60" s="1" t="str">
        <x:v>Add depreciation and amortization</x:v>
      </x:c>
      <x:c r="D60" s="2"/>
      <x:c r="E60" s="19" t="n">
        <x:f>'SourceFacts'!E23</x:f>
        <x:v>191101</x:v>
      </x:c>
      <x:c r="F60" s="19" t="n">
        <x:f>'SourceFacts'!F23</x:f>
        <x:v>189999</x:v>
      </x:c>
      <x:c r="G60" s="27" t="n">
        <x:f>G20</x:f>
        <x:v>207595.52264869906</x:v>
      </x:c>
      <x:c r="H60" s="27" t="n">
        <x:f>H20</x:f>
        <x:v>200156.54989357013</x:v>
      </x:c>
      <x:c r="I60" s="27" t="n">
        <x:f>I20</x:f>
        <x:v>195198.30056567106</x:v>
      </x:c>
    </x:row>
    <x:row r="61" ht="21" customHeight="1">
      <x:c r="C61" s="1" t="str">
        <x:v>Add non-cash share compensation</x:v>
      </x:c>
      <x:c r="D61" s="2"/>
      <x:c r="E61" s="2"/>
      <x:c r="F61" s="2"/>
      <x:c r="G61" s="19" t="n">
        <x:f>'FundingTaxEquity'!G60</x:f>
        <x:v>0</x:v>
      </x:c>
      <x:c r="H61" s="19" t="n">
        <x:f>'FundingTaxEquity'!H60</x:f>
        <x:v>0</x:v>
      </x:c>
      <x:c r="I61" s="19" t="n">
        <x:f>'FundingTaxEquity'!I60</x:f>
        <x:v>0</x:v>
      </x:c>
    </x:row>
    <x:row r="62" ht="21" customHeight="1">
      <x:c r="C62" s="1" t="str">
        <x:v>Reverse financial investment FV gain / loss</x:v>
      </x:c>
      <x:c r="D62" s="2"/>
      <x:c r="E62" s="2"/>
      <x:c r="F62" s="2"/>
      <x:c r="G62" s="19" t="n">
        <x:f>-'FundingTaxEquity'!G29</x:f>
        <x:v>0</x:v>
      </x:c>
      <x:c r="H62" s="19" t="n">
        <x:f>-'FundingTaxEquity'!H29</x:f>
        <x:v>0</x:v>
      </x:c>
      <x:c r="I62" s="19" t="n">
        <x:f>-'FundingTaxEquity'!I29</x:f>
        <x:v>0</x:v>
      </x:c>
    </x:row>
    <x:row r="63" ht="21" customHeight="1">
      <x:c r="C63" s="1" t="str">
        <x:v>Tax accrual less cash settlement</x:v>
      </x:c>
      <x:c r="D63" s="2"/>
      <x:c r="E63" s="2"/>
      <x:c r="F63" s="2"/>
      <x:c r="G63" s="19" t="n">
        <x:f>G24-'FundingTaxEquity'!G37</x:f>
        <x:v>-12945.947148076295</x:v>
      </x:c>
      <x:c r="H63" s="19" t="n">
        <x:f>H24-'FundingTaxEquity'!H37</x:f>
        <x:v>590.2071837545518</x:v>
      </x:c>
      <x:c r="I63" s="19" t="n">
        <x:f>I24-'FundingTaxEquity'!I37</x:f>
        <x:v>550.3942666405492</x:v>
      </x:c>
    </x:row>
    <x:row r="64" ht="21" customHeight="1">
      <x:c r="C64" s="1" t="str">
        <x:v>Change in operating assets and liabilities</x:v>
      </x:c>
      <x:c r="D64" s="2"/>
      <x:c r="E64" s="2"/>
      <x:c r="F64" s="2"/>
      <x:c r="G64" s="19" t="n">
        <x:f>-'WorkingCapital'!G12-'WorkingCapital'!G18+'WorkingCapital'!G24+'WorkingCapital'!G30+'WorkingCapital'!G36-'WorkingCapital'!G42+'WorkingCapital'!G48</x:f>
        <x:v>8089.612072374879</x:v>
      </x:c>
      <x:c r="H64" s="19" t="n">
        <x:f>-'WorkingCapital'!H12-'WorkingCapital'!H18+'WorkingCapital'!H24+'WorkingCapital'!H30+'WorkingCapital'!H36-'WorkingCapital'!H42+'WorkingCapital'!H48</x:f>
        <x:v>4920.1110971851085</x:v>
      </x:c>
      <x:c r="I64" s="19" t="n">
        <x:f>-'WorkingCapital'!I12-'WorkingCapital'!I18+'WorkingCapital'!I24+'WorkingCapital'!I30+'WorkingCapital'!I36-'WorkingCapital'!I42+'WorkingCapital'!I48</x:f>
        <x:v>6652.404221283901</x:v>
      </x:c>
    </x:row>
    <x:row r="65" ht="21" customHeight="1">
      <x:c r="C65" s="34" t="str">
        <x:v>Net operating cash flow</x:v>
      </x:c>
      <x:c r="D65" s="37" t="n">
        <x:f>'SourceFacts'!D24</x:f>
        <x:v>303780</x:v>
      </x:c>
      <x:c r="E65" s="37" t="n">
        <x:f>'SourceFacts'!E24</x:f>
        <x:v>315741</x:v>
      </x:c>
      <x:c r="F65" s="37" t="n">
        <x:f>'SourceFacts'!F24</x:f>
        <x:v>232919</x:v>
      </x:c>
      <x:c r="G65" s="36" t="n">
        <x:f>SUM(G59:G64)</x:f>
        <x:v>328585.6011197056</x:v>
      </x:c>
      <x:c r="H65" s="36" t="n">
        <x:f>SUM(H59:H64)</x:f>
        <x:v>347000.0704656787</x:v>
      </x:c>
      <x:c r="I65" s="36" t="n">
        <x:f>SUM(I59:I64)</x:f>
        <x:v>358176.41585682647</x:v>
      </x:c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 t="str">
        <x:v>Cash capex</x:v>
      </x:c>
      <x:c r="D67" s="19" t="n">
        <x:f>-'SourceFacts'!D30</x:f>
        <x:v>-181263</x:v>
      </x:c>
      <x:c r="E67" s="19" t="n">
        <x:f>-'SourceFacts'!E30</x:f>
        <x:v>-155979</x:v>
      </x:c>
      <x:c r="F67" s="19" t="n">
        <x:f>-'SourceFacts'!F30</x:f>
        <x:v>-156951</x:v>
      </x:c>
      <x:c r="G67" s="19" t="n">
        <x:f>-'FixedAssets'!G40</x:f>
        <x:v>-157956.32450360717</x:v>
      </x:c>
      <x:c r="H67" s="19" t="n">
        <x:f>-'FixedAssets'!H40</x:f>
        <x:v>-162234.93045137735</x:v>
      </x:c>
      <x:c r="I67" s="19" t="n">
        <x:f>-'FixedAssets'!I40</x:f>
        <x:v>-166989.04898740933</x:v>
      </x:c>
    </x:row>
    <x:row r="68" ht="21" customHeight="1">
      <x:c r="C68" s="1" t="str">
        <x:v>Financial investments purchases / redemptions</x:v>
      </x:c>
      <x:c r="D68" s="2"/>
      <x:c r="E68" s="2"/>
      <x:c r="F68" s="2"/>
      <x:c r="G68" s="19" t="n">
        <x:f>-'FundingTaxEquity'!G24+'FundingTaxEquity'!G26</x:f>
        <x:v>0</x:v>
      </x:c>
      <x:c r="H68" s="19" t="n">
        <x:f>-'FundingTaxEquity'!H24+'FundingTaxEquity'!H26</x:f>
        <x:v>0</x:v>
      </x:c>
      <x:c r="I68" s="19" t="n">
        <x:f>-'FundingTaxEquity'!I24+'FundingTaxEquity'!I26</x:f>
        <x:v>0</x:v>
      </x:c>
    </x:row>
    <x:row r="69" ht="21" customHeight="1">
      <x:c r="C69" s="34" t="str">
        <x:v>Net investing cash flow</x:v>
      </x:c>
      <x:c r="D69" s="37" t="n">
        <x:f>'SourceFacts'!D25</x:f>
        <x:v>-205699</x:v>
      </x:c>
      <x:c r="E69" s="37" t="n">
        <x:f>'SourceFacts'!E25</x:f>
        <x:v>-185194</x:v>
      </x:c>
      <x:c r="F69" s="37" t="n">
        <x:f>'SourceFacts'!F25</x:f>
        <x:v>-190403</x:v>
      </x:c>
      <x:c r="G69" s="36" t="n">
        <x:f>SUM(G67:G68)</x:f>
        <x:v>-157956.32450360717</x:v>
      </x:c>
      <x:c r="H69" s="36" t="n">
        <x:f>SUM(H67:H68)</x:f>
        <x:v>-162234.93045137735</x:v>
      </x:c>
      <x:c r="I69" s="36" t="n">
        <x:f>SUM(I67:I68)</x:f>
        <x:v>-166989.04898740933</x:v>
      </x:c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 t="str">
        <x:v>New cash borrowing</x:v>
      </x:c>
      <x:c r="D71" s="2"/>
      <x:c r="E71" s="2"/>
      <x:c r="F71" s="2"/>
      <x:c r="G71" s="19" t="n">
        <x:f>'FundingTaxEquity'!G12</x:f>
        <x:v>0</x:v>
      </x:c>
      <x:c r="H71" s="19" t="n">
        <x:f>'FundingTaxEquity'!H12</x:f>
        <x:v>0</x:v>
      </x:c>
      <x:c r="I71" s="19" t="n">
        <x:f>'FundingTaxEquity'!I12</x:f>
        <x:v>0</x:v>
      </x:c>
    </x:row>
    <x:row r="72" ht="21" customHeight="1">
      <x:c r="C72" s="1" t="str">
        <x:v>Cash repayment of borrowings and leases</x:v>
      </x:c>
      <x:c r="D72" s="2"/>
      <x:c r="E72" s="2"/>
      <x:c r="F72" s="2"/>
      <x:c r="G72" s="19" t="n">
        <x:f>-'FundingTaxEquity'!G16</x:f>
        <x:v>-20239.4</x:v>
      </x:c>
      <x:c r="H72" s="19" t="n">
        <x:f>-'FundingTaxEquity'!H16</x:f>
        <x:v>-18521.38</x:v>
      </x:c>
      <x:c r="I72" s="19" t="n">
        <x:f>-'FundingTaxEquity'!I16</x:f>
        <x:v>-17146.964</x:v>
      </x:c>
    </x:row>
    <x:row r="73" ht="21" customHeight="1">
      <x:c r="C73" s="1" t="str">
        <x:v>New equity cash proceeds</x:v>
      </x:c>
      <x:c r="D73" s="2"/>
      <x:c r="E73" s="2"/>
      <x:c r="F73" s="2"/>
      <x:c r="G73" s="19" t="n">
        <x:f>'FundingTaxEquity'!G59</x:f>
        <x:v>0</x:v>
      </x:c>
      <x:c r="H73" s="19" t="n">
        <x:f>'FundingTaxEquity'!H59</x:f>
        <x:v>0</x:v>
      </x:c>
      <x:c r="I73" s="19" t="n">
        <x:f>'FundingTaxEquity'!I59</x:f>
        <x:v>0</x:v>
      </x:c>
    </x:row>
    <x:row r="74" ht="21" customHeight="1">
      <x:c r="C74" s="1" t="str">
        <x:v>Parent and NCI cash distributions</x:v>
      </x:c>
      <x:c r="D74" s="2"/>
      <x:c r="E74" s="2"/>
      <x:c r="F74" s="2"/>
      <x:c r="G74" s="19" t="n">
        <x:f>-'FundingTaxEquity'!G44-'FundingTaxEquity'!G54</x:f>
        <x:v>-94384.81016003096</x:v>
      </x:c>
      <x:c r="H74" s="19" t="n">
        <x:f>-'FundingTaxEquity'!H44-'FundingTaxEquity'!H54</x:f>
        <x:v>-105999.9017183767</x:v>
      </x:c>
      <x:c r="I74" s="19" t="n">
        <x:f>-'FundingTaxEquity'!I44-'FundingTaxEquity'!I54</x:f>
        <x:v>-116831.48760242322</x:v>
      </x:c>
    </x:row>
    <x:row r="75" ht="21" customHeight="1">
      <x:c r="C75" s="1" t="str">
        <x:v>Cash share repurchases</x:v>
      </x:c>
      <x:c r="D75" s="2"/>
      <x:c r="E75" s="2"/>
      <x:c r="F75" s="2"/>
      <x:c r="G75" s="19" t="n">
        <x:f>-'FundingTaxEquity'!G47</x:f>
        <x:v>0</x:v>
      </x:c>
      <x:c r="H75" s="19" t="n">
        <x:f>-'FundingTaxEquity'!H47</x:f>
        <x:v>0</x:v>
      </x:c>
      <x:c r="I75" s="19" t="n">
        <x:f>-'FundingTaxEquity'!I47</x:f>
        <x:v>0</x:v>
      </x:c>
    </x:row>
    <x:row r="76" ht="21" customHeight="1">
      <x:c r="C76" s="34" t="str">
        <x:v>Net financing cash flow</x:v>
      </x:c>
      <x:c r="D76" s="37" t="n">
        <x:f>'SourceFacts'!D26</x:f>
        <x:v>-123843</x:v>
      </x:c>
      <x:c r="E76" s="37" t="n">
        <x:f>'SourceFacts'!E26</x:f>
        <x:v>-105167</x:v>
      </x:c>
      <x:c r="F76" s="37" t="n">
        <x:f>'SourceFacts'!F26</x:f>
        <x:v>-112143</x:v>
      </x:c>
      <x:c r="G76" s="36" t="n">
        <x:f>SUM(G71:G75)</x:f>
        <x:v>-114624.21016003095</x:v>
      </x:c>
      <x:c r="H76" s="36" t="n">
        <x:f>SUM(H71:H75)</x:f>
        <x:v>-124521.2817183767</x:v>
      </x:c>
      <x:c r="I76" s="36" t="n">
        <x:f>SUM(I71:I75)</x:f>
        <x:v>-133978.4516024232</x:v>
      </x:c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 t="str">
        <x:v>Foreign exchange effect on cash</x:v>
      </x:c>
      <x:c r="D78" s="19" t="n">
        <x:f>'SourceFacts'!D27</x:f>
        <x:v>215</x:v>
      </x:c>
      <x:c r="E78" s="19" t="n">
        <x:f>'SourceFacts'!E27</x:f>
        <x:v>370</x:v>
      </x:c>
      <x:c r="F78" s="19" t="n">
        <x:f>'SourceFacts'!F27</x:f>
        <x:v>-415</x:v>
      </x:c>
      <x:c r="G78" s="2" t="n">
        <x:v>0</x:v>
      </x:c>
      <x:c r="H78" s="2" t="n">
        <x:v>0</x:v>
      </x:c>
      <x:c r="I78" s="2" t="n">
        <x:v>0</x:v>
      </x:c>
    </x:row>
    <x:row r="79" ht="21" customHeight="1">
      <x:c r="C79" s="34" t="str">
        <x:v>Net change in cash</x:v>
      </x:c>
      <x:c r="D79" s="36" t="n">
        <x:f>D65+D69+D76+D78</x:f>
        <x:v>-25547</x:v>
      </x:c>
      <x:c r="E79" s="36" t="n">
        <x:f>E65+E69+E76+E78</x:f>
        <x:v>25750</x:v>
      </x:c>
      <x:c r="F79" s="36" t="n">
        <x:f>F65+F69+F76+F78</x:f>
        <x:v>-70042</x:v>
      </x:c>
      <x:c r="G79" s="36" t="n">
        <x:f>G65+G69+G76+G78</x:f>
        <x:v>56005.06645606746</x:v>
      </x:c>
      <x:c r="H79" s="36" t="n">
        <x:f>H65+H69+H76+H78</x:f>
        <x:v>60243.85829592464</x:v>
      </x:c>
      <x:c r="I79" s="36" t="n">
        <x:f>I65+I69+I76+I78</x:f>
        <x:v>57208.91526699392</x:v>
      </x:c>
    </x:row>
    <x:row r="80" ht="21" customHeight="1">
      <x:c r="C80" s="1" t="str">
        <x:v>Opening cash</x:v>
      </x:c>
      <x:c r="D80" s="19" t="n">
        <x:f>'SourceFacts'!D28</x:f>
        <x:v>167106</x:v>
      </x:c>
      <x:c r="E80" s="19" t="n">
        <x:f>'SourceFacts'!E28</x:f>
        <x:v>141559</x:v>
      </x:c>
      <x:c r="F80" s="19" t="n">
        <x:f>'SourceFacts'!F28</x:f>
        <x:v>167309</x:v>
      </x:c>
      <x:c r="G80" s="27" t="n">
        <x:f>F31</x:f>
        <x:v>97267</x:v>
      </x:c>
      <x:c r="H80" s="27" t="n">
        <x:f>G31</x:f>
        <x:v>153272.06645606746</x:v>
      </x:c>
      <x:c r="I80" s="27" t="n">
        <x:f>H31</x:f>
        <x:v>213515.9247519921</x:v>
      </x:c>
    </x:row>
    <x:row r="81" ht="21" customHeight="1">
      <x:c r="C81" s="34" t="str">
        <x:v>Closing cash and cash equivalents</x:v>
      </x:c>
      <x:c r="D81" s="37" t="n">
        <x:f>'SourceFacts'!D29</x:f>
        <x:v>141559</x:v>
      </x:c>
      <x:c r="E81" s="37" t="n">
        <x:f>'SourceFacts'!E29</x:f>
        <x:v>167309</x:v>
      </x:c>
      <x:c r="F81" s="37" t="n">
        <x:f>'SourceFacts'!F29</x:f>
        <x:v>97267</x:v>
      </x:c>
      <x:c r="G81" s="36" t="n">
        <x:f>G80+G79</x:f>
        <x:v>153272.06645606746</x:v>
      </x:c>
      <x:c r="H81" s="36" t="n">
        <x:f>H80+H79</x:f>
        <x:v>213515.9247519921</x:v>
      </x:c>
      <x:c r="I81" s="36" t="n">
        <x:f>I80+I79</x:f>
        <x:v>270724.840018986</x:v>
      </x:c>
    </x:row>
    <x:row r="82" ht="21" customHeight="1">
      <x:c r="C82" s="34" t="str">
        <x:v>Cash to balance sheet difference</x:v>
      </x:c>
      <x:c r="D82" s="36" t="n">
        <x:f>D81-D31</x:f>
        <x:v>0</x:v>
      </x:c>
      <x:c r="E82" s="36" t="n">
        <x:f>E81-E31</x:f>
        <x:v>0</x:v>
      </x:c>
      <x:c r="F82" s="36" t="n">
        <x:f>F81-F31</x:f>
        <x:v>0</x:v>
      </x:c>
      <x:c r="G82" s="36" t="n">
        <x:f>G81-G31</x:f>
        <x:v>0</x:v>
      </x:c>
      <x:c r="H82" s="36" t="n">
        <x:f>H81-H31</x:f>
        <x:v>0</x:v>
      </x:c>
      <x:c r="I82" s="36" t="n">
        <x:f>I81-I31</x:f>
        <x:v>0</x:v>
      </x:c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 t="str">
        <x:v>Gross margin</x:v>
      </x:c>
      <x:c r="D84" s="38" t="n">
        <x:f>D12/D10</x:f>
        <x:v>0.28232285652857547</x:v>
      </x:c>
      <x:c r="E84" s="38" t="n">
        <x:f>E12/E10</x:f>
        <x:v>0.29016035412617136</x:v>
      </x:c>
      <x:c r="F84" s="38" t="n">
        <x:f>F12/F10</x:f>
        <x:v>0.28868287266934367</x:v>
      </x:c>
      <x:c r="G84" s="38" t="n">
        <x:f>G12/G10</x:f>
        <x:v>0.27628487813163516</x:v>
      </x:c>
      <x:c r="H84" s="38" t="n">
        <x:f>H12/H10</x:f>
        <x:v>0.28591115554850854</x:v>
      </x:c>
      <x:c r="I84" s="38" t="n">
        <x:f>I12/I10</x:f>
        <x:v>0.2936606250169145</x:v>
      </x:c>
    </x:row>
    <x:row r="85" ht="21" customHeight="1">
      <x:c r="C85" s="1" t="str">
        <x:v>EBITDA proxy margin</x:v>
      </x:c>
      <x:c r="D85" s="26"/>
      <x:c r="E85" s="38" t="n">
        <x:f>E21/E10</x:f>
        <x:v>0.35262246110771084</x:v>
      </x:c>
      <x:c r="F85" s="38" t="n">
        <x:f>F21/F10</x:f>
        <x:v>0.34667349719621365</x:v>
      </x:c>
      <x:c r="G85" s="38" t="n">
        <x:f>G21/G10</x:f>
        <x:v>0.3466734971962136</x:v>
      </x:c>
      <x:c r="H85" s="38" t="n">
        <x:f>H21/H10</x:f>
        <x:v>0.34667349719621365</x:v>
      </x:c>
      <x:c r="I85" s="38" t="n">
        <x:f>I21/I10</x:f>
        <x:v>0.3466734971962136</x:v>
      </x:c>
    </x:row>
    <x:row r="86" ht="21" customHeight="1">
      <x:c r="C86" s="1" t="str">
        <x:v>Net debt / (cash)</x:v>
      </x:c>
      <x:c r="D86" s="27" t="n">
        <x:f>D44-D31</x:f>
        <x:v>-38625</x:v>
      </x:c>
      <x:c r="E86" s="27" t="n">
        <x:f>E44-E31</x:f>
        <x:v>-78867</x:v>
      </x:c>
      <x:c r="F86" s="27" t="n">
        <x:f>F44-F31</x:f>
        <x:v>3930</x:v>
      </x:c>
      <x:c r="G86" s="27" t="n">
        <x:f>G44-G31</x:f>
        <x:v>-60665.16645606747</x:v>
      </x:c>
      <x:c r="H86" s="27" t="n">
        <x:f>H44-H31</x:f>
        <x:v>-127781.10475199211</x:v>
      </x:c>
      <x:c r="I86" s="27" t="n">
        <x:f>I44-I31</x:f>
        <x:v>-190487.68401898604</x:v>
      </x:c>
    </x:row>
    <x:row r="87" ht="21" customHeight="1">
      <x:c r="C87" s="1" t="str">
        <x:v>Free cash flow before financing</x:v>
      </x:c>
      <x:c r="D87" s="27" t="n">
        <x:f>D65+D67</x:f>
        <x:v>122517</x:v>
      </x:c>
      <x:c r="E87" s="27" t="n">
        <x:f>E65+E67</x:f>
        <x:v>159762</x:v>
      </x:c>
      <x:c r="F87" s="27" t="n">
        <x:f>F65+F67</x:f>
        <x:v>75968</x:v>
      </x:c>
      <x:c r="G87" s="27" t="n">
        <x:f>G65+G67</x:f>
        <x:v>170629.27661609842</x:v>
      </x:c>
      <x:c r="H87" s="27" t="n">
        <x:f>H65+H67</x:f>
        <x:v>184765.14001430135</x:v>
      </x:c>
      <x:c r="I87" s="27" t="n">
        <x:f>I65+I67</x:f>
        <x:v>191187.36686941714</x:v>
      </x:c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 t="str">
        <x:v>Historical CFS totals are reported; detailed forecast bridges start in 2026E.</x:v>
      </x:c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39" t="str">
        <x:v>EBITDA proxy = PBT + net finance expense + D&amp;A. Includes other pretax items; not issuer-reported adjusted EBITDA. Financial investment FV gains are removed in forecasts.</x:v>
      </x:c>
      <x:c r="D92" s="20"/>
      <x:c r="E92" s="20"/>
      <x:c r="F92" s="20"/>
      <x:c r="G92" s="20"/>
      <x:c r="H92" s="20"/>
      <x:c r="I92" s="20"/>
    </x:row>
    <x:row r="93" ht="21" customHeight="1">
      <x:c r="C93" s="39"/>
      <x:c r="D93" s="20"/>
      <x:c r="E93" s="20"/>
      <x:c r="F93" s="20"/>
      <x:c r="G93" s="20"/>
      <x:c r="H93" s="20"/>
      <x:c r="I93" s="20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2" t="str">
        <x:v>Historical reported EBITDA reconciliation</x:v>
      </x:c>
      <x:c r="D96" s="25"/>
      <x:c r="E96" s="25"/>
      <x:c r="F96" s="25"/>
      <x:c r="G96" s="25"/>
      <x:c r="H96" s="25"/>
      <x:c r="I96" s="25"/>
    </x:row>
    <x:row r="97" ht="21" customHeight="1">
      <x:c r="C97" s="1" t="str">
        <x:v>Modeled EBITDA proxy</x:v>
      </x:c>
      <x:c r="D97" s="2"/>
      <x:c r="E97" s="27" t="n">
        <x:f>E21</x:f>
        <x:v>366995</x:v>
      </x:c>
      <x:c r="F97" s="27" t="n">
        <x:f>F21</x:f>
        <x:v>364072</x:v>
      </x:c>
      <x:c r="G97" s="2"/>
      <x:c r="H97" s="2"/>
      <x:c r="I97" s="2"/>
    </x:row>
    <x:row r="98" ht="21" customHeight="1">
      <x:c r="C98" s="1" t="str">
        <x:v>Issuer-reported EBITDA</x:v>
      </x:c>
      <x:c r="D98" s="19" t="n">
        <x:f>'SourceFacts'!D60</x:f>
        <x:v>341478</x:v>
      </x:c>
      <x:c r="E98" s="19" t="n">
        <x:f>'SourceFacts'!E60</x:f>
        <x:v>333691</x:v>
      </x:c>
      <x:c r="F98" s="19" t="n">
        <x:f>'SourceFacts'!F60</x:f>
        <x:v>338931</x:v>
      </x:c>
      <x:c r="G98" s="2"/>
      <x:c r="H98" s="2"/>
      <x:c r="I98" s="2"/>
    </x:row>
    <x:row r="99" ht="21" customHeight="1">
      <x:c r="C99" s="1" t="str">
        <x:v>Proxy less issuer-reported EBITDA</x:v>
      </x:c>
      <x:c r="D99" s="2"/>
      <x:c r="E99" s="27" t="n">
        <x:f>E97-E98</x:f>
        <x:v>33304</x:v>
      </x:c>
      <x:c r="F99" s="27" t="n">
        <x:f>F97-F98</x:f>
        <x:v>25141</x:v>
      </x:c>
      <x:c r="G99" s="2"/>
      <x:c r="H99" s="2"/>
      <x:c r="I99" s="2"/>
    </x:row>
    <x:row r="100" ht="21" customHeight="1">
      <x:c r="C100" s="39" t="str">
        <x:v>Source: FY2025 report P008 L038 and L060–061. Issuer EBITDA excludes investment income, fair-value changes, other income and non-operating items. The proxy retains these historical items; this difference is not operating growth. 2023 proxy and difference are unavailable because D&amp;A is not normalized. Forecasts remain modeled proxies.</x:v>
      </x:c>
      <x:c r="D100" s="20"/>
      <x:c r="E100" s="20"/>
      <x:c r="F100" s="20"/>
      <x:c r="G100" s="20"/>
      <x:c r="H100" s="20"/>
      <x:c r="I100" s="20"/>
    </x:row>
    <x:row r="101" ht="21" customHeight="1">
      <x:c r="C101" s="39"/>
      <x:c r="D101" s="20"/>
      <x:c r="E101" s="20"/>
      <x:c r="F101" s="20"/>
      <x:c r="G101" s="20"/>
      <x:c r="H101" s="20"/>
      <x:c r="I101" s="20"/>
    </x:row>
    <x:row r="102" ht="21" customHeight="1">
      <x:c r="C102" s="39"/>
      <x:c r="D102" s="20"/>
      <x:c r="E102" s="20"/>
      <x:c r="F102" s="20"/>
      <x:c r="G102" s="20"/>
      <x:c r="H102" s="20"/>
      <x:c r="I102" s="20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C92:I93"/>
    <x:mergeCell ref="C100:I10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WorkingCapital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Receivables / contract assets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</x:v>
      </x:c>
      <x:c r="D10" s="2"/>
      <x:c r="E10" s="2"/>
      <x:c r="F10" s="2"/>
      <x:c r="G10" s="19" t="n">
        <x:f>'SourceFacts'!F33</x:f>
        <x:v>121117</x:v>
      </x:c>
      <x:c r="H10" s="27" t="n">
        <x:f>G11</x:f>
        <x:v>121892.79555341088</x:v>
      </x:c>
      <x:c r="I10" s="27" t="n">
        <x:f>H11</x:f>
        <x:v>125194.53887824526</x:v>
      </x:c>
    </x:row>
    <x:row r="11" ht="21" customHeight="1">
      <x:c r="C11" s="1" t="str">
        <x:v>Closing</x:v>
      </x:c>
      <x:c r="D11" s="2"/>
      <x:c r="E11" s="2"/>
      <x:c r="F11" s="2"/>
      <x:c r="G11" s="19" t="n">
        <x:f>'Statements'!G10*'Assumptions'!G22/365</x:f>
        <x:v>121892.79555341088</x:v>
      </x:c>
      <x:c r="H11" s="19" t="n">
        <x:f>'Statements'!H10*'Assumptions'!H22/365</x:f>
        <x:v>125194.53887824526</x:v>
      </x:c>
      <x:c r="I11" s="19" t="n">
        <x:f>'Statements'!I10*'Assumptions'!I22/365</x:f>
        <x:v>128863.22894539096</x:v>
      </x:c>
    </x:row>
    <x:row r="12" ht="21" customHeight="1">
      <x:c r="C12" s="1" t="str">
        <x:v>Change in balance</x:v>
      </x:c>
      <x:c r="D12" s="2"/>
      <x:c r="E12" s="2"/>
      <x:c r="F12" s="2"/>
      <x:c r="G12" s="27" t="n">
        <x:f>G11-G10</x:f>
        <x:v>775.7955534108769</x:v>
      </x:c>
      <x:c r="H12" s="27" t="n">
        <x:f>H11-H10</x:f>
        <x:v>3301.7433248343877</x:v>
      </x:c>
      <x:c r="I12" s="27" t="n">
        <x:f>I11-I10</x:f>
        <x:v>3668.690067145697</x:v>
      </x:c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/>
      <x:c r="D14" s="2"/>
      <x:c r="E14" s="2"/>
      <x:c r="F14" s="2"/>
      <x:c r="G14" s="2"/>
      <x:c r="H14" s="2"/>
      <x:c r="I14" s="2"/>
    </x:row>
    <x:row r="15" ht="21" customHeight="1">
      <x:c r="C15" s="12" t="str">
        <x:v>Inventory</x:v>
      </x:c>
      <x:c r="D15" s="25"/>
      <x:c r="E15" s="25"/>
      <x:c r="F15" s="25"/>
      <x:c r="G15" s="25"/>
      <x:c r="H15" s="25"/>
      <x:c r="I15" s="25"/>
    </x:row>
    <x:row r="16" ht="21" customHeight="1">
      <x:c r="C16" s="1" t="str">
        <x:v>Opening</x:v>
      </x:c>
      <x:c r="D16" s="2"/>
      <x:c r="E16" s="2"/>
      <x:c r="F16" s="2"/>
      <x:c r="G16" s="19" t="n">
        <x:f>'SourceFacts'!F34</x:f>
        <x:v>16613</x:v>
      </x:c>
      <x:c r="H16" s="27" t="n">
        <x:f>G17</x:f>
        <x:v>17010.825079901126</x:v>
      </x:c>
      <x:c r="I16" s="27" t="n">
        <x:f>H17</x:f>
        <x:v>17239.208708765236</x:v>
      </x:c>
    </x:row>
    <x:row r="17" ht="21" customHeight="1">
      <x:c r="C17" s="1" t="str">
        <x:v>Closing</x:v>
      </x:c>
      <x:c r="D17" s="2"/>
      <x:c r="E17" s="2"/>
      <x:c r="F17" s="2"/>
      <x:c r="G17" s="19" t="n">
        <x:f>'Statements'!G11*'Assumptions'!G23/365</x:f>
        <x:v>17010.825079901126</x:v>
      </x:c>
      <x:c r="H17" s="19" t="n">
        <x:f>'Statements'!H11*'Assumptions'!H23/365</x:f>
        <x:v>17239.208708765236</x:v>
      </x:c>
      <x:c r="I17" s="19" t="n">
        <x:f>'Statements'!I11*'Assumptions'!I23/365</x:f>
        <x:v>17551.818534832433</x:v>
      </x:c>
    </x:row>
    <x:row r="18" ht="21" customHeight="1">
      <x:c r="C18" s="1" t="str">
        <x:v>Change in balance</x:v>
      </x:c>
      <x:c r="D18" s="2"/>
      <x:c r="E18" s="2"/>
      <x:c r="F18" s="2"/>
      <x:c r="G18" s="27" t="n">
        <x:f>G17-G16</x:f>
        <x:v>397.8250799011257</x:v>
      </x:c>
      <x:c r="H18" s="27" t="n">
        <x:f>H17-H16</x:f>
        <x:v>228.3836288641105</x:v>
      </x:c>
      <x:c r="I18" s="27" t="n">
        <x:f>I17-I16</x:f>
        <x:v>312.609826067197</x:v>
      </x:c>
    </x:row>
    <x:row r="19" ht="21" customHeight="1">
      <x:c r="C19" s="1"/>
      <x:c r="D19" s="2"/>
      <x:c r="E19" s="2"/>
      <x:c r="F19" s="2"/>
      <x:c r="G19" s="2"/>
      <x:c r="H19" s="2"/>
      <x:c r="I19" s="2"/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Trade and bills payables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</x:v>
      </x:c>
      <x:c r="D22" s="2"/>
      <x:c r="E22" s="2"/>
      <x:c r="F22" s="2"/>
      <x:c r="G22" s="19" t="n">
        <x:f>'SourceFacts'!F41</x:f>
        <x:v>351301</x:v>
      </x:c>
      <x:c r="H22" s="27" t="n">
        <x:f>G23</x:f>
        <x:v>359713.46905401465</x:v>
      </x:c>
      <x:c r="I22" s="27" t="n">
        <x:f>H23</x:f>
        <x:v>364542.90366567974</x:v>
      </x:c>
    </x:row>
    <x:row r="23" ht="21" customHeight="1">
      <x:c r="C23" s="1" t="str">
        <x:v>Closing</x:v>
      </x:c>
      <x:c r="D23" s="2"/>
      <x:c r="E23" s="2"/>
      <x:c r="F23" s="2"/>
      <x:c r="G23" s="19" t="n">
        <x:f>'Statements'!G11*'Assumptions'!G24/365</x:f>
        <x:v>359713.46905401465</x:v>
      </x:c>
      <x:c r="H23" s="19" t="n">
        <x:f>'Statements'!H11*'Assumptions'!H24/365</x:f>
        <x:v>364542.90366567974</x:v>
      </x:c>
      <x:c r="I23" s="19" t="n">
        <x:f>'Statements'!I11*'Assumptions'!I24/365</x:f>
        <x:v>371153.39812828327</x:v>
      </x:c>
    </x:row>
    <x:row r="24" ht="21" customHeight="1">
      <x:c r="C24" s="1" t="str">
        <x:v>Change in balance</x:v>
      </x:c>
      <x:c r="D24" s="2"/>
      <x:c r="E24" s="2"/>
      <x:c r="F24" s="2"/>
      <x:c r="G24" s="27" t="n">
        <x:f>G23-G22</x:f>
        <x:v>8412.469054014655</x:v>
      </x:c>
      <x:c r="H24" s="27" t="n">
        <x:f>H23-H22</x:f>
        <x:v>4829.434611665085</x:v>
      </x:c>
      <x:c r="I24" s="27" t="n">
        <x:f>I23-I22</x:f>
        <x:v>6610.4944626035285</x:v>
      </x:c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2" t="str">
        <x:v>Customer advances</x:v>
      </x:c>
      <x:c r="D27" s="25"/>
      <x:c r="E27" s="25"/>
      <x:c r="F27" s="25"/>
      <x:c r="G27" s="25"/>
      <x:c r="H27" s="25"/>
      <x:c r="I27" s="25"/>
    </x:row>
    <x:row r="28" ht="21" customHeight="1">
      <x:c r="C28" s="1" t="str">
        <x:v>Opening</x:v>
      </x:c>
      <x:c r="D28" s="2"/>
      <x:c r="E28" s="2"/>
      <x:c r="F28" s="2"/>
      <x:c r="G28" s="19" t="n">
        <x:f>'SourceFacts'!F42</x:f>
        <x:v>132821</x:v>
      </x:c>
      <x:c r="H28" s="27" t="n">
        <x:f>G29</x:f>
        <x:v>133671.76365167223</x:v>
      </x:c>
      <x:c r="I28" s="27" t="n">
        <x:f>H29</x:f>
        <x:v>137292.56709089075</x:v>
      </x:c>
    </x:row>
    <x:row r="29" ht="21" customHeight="1">
      <x:c r="C29" s="1" t="str">
        <x:v>Closing</x:v>
      </x:c>
      <x:c r="D29" s="2"/>
      <x:c r="E29" s="2"/>
      <x:c r="F29" s="2"/>
      <x:c r="G29" s="19" t="n">
        <x:f>'Statements'!G10*'Assumptions'!G25</x:f>
        <x:v>133671.76365167223</x:v>
      </x:c>
      <x:c r="H29" s="19" t="n">
        <x:f>'Statements'!H10*'Assumptions'!H25</x:f>
        <x:v>137292.56709089075</x:v>
      </x:c>
      <x:c r="I29" s="19" t="n">
        <x:f>'Statements'!I10*'Assumptions'!I25</x:f>
        <x:v>141315.77674278402</x:v>
      </x:c>
    </x:row>
    <x:row r="30" ht="21" customHeight="1">
      <x:c r="C30" s="1" t="str">
        <x:v>Change in balance</x:v>
      </x:c>
      <x:c r="D30" s="2"/>
      <x:c r="E30" s="2"/>
      <x:c r="F30" s="2"/>
      <x:c r="G30" s="27" t="n">
        <x:f>G29-G28</x:f>
        <x:v>850.7636516722268</x:v>
      </x:c>
      <x:c r="H30" s="27" t="n">
        <x:f>H29-H28</x:f>
        <x:v>3620.803439218522</x:v>
      </x:c>
      <x:c r="I30" s="27" t="n">
        <x:f>I29-I28</x:f>
        <x:v>4023.2096518932667</x:v>
      </x:c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Finance-company deposits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</x:v>
      </x:c>
      <x:c r="D34" s="2"/>
      <x:c r="E34" s="2"/>
      <x:c r="F34" s="2"/>
      <x:c r="G34" s="19" t="n">
        <x:f>'SourceFacts'!F45</x:f>
        <x:v>0</x:v>
      </x:c>
      <x:c r="H34" s="27" t="n">
        <x:f>G35</x:f>
        <x:v>0</x:v>
      </x:c>
      <x:c r="I34" s="27" t="n">
        <x:f>H35</x:f>
        <x:v>0</x:v>
      </x:c>
    </x:row>
    <x:row r="35" ht="21" customHeight="1">
      <x:c r="C35" s="1" t="str">
        <x:v>Closing</x:v>
      </x:c>
      <x:c r="D35" s="2"/>
      <x:c r="E35" s="2"/>
      <x:c r="F35" s="2"/>
      <x:c r="G35" s="19" t="n">
        <x:f>G34*(1+'Assumptions'!G26)</x:f>
        <x:v>0</x:v>
      </x:c>
      <x:c r="H35" s="19" t="n">
        <x:f>H34*(1+'Assumptions'!H26)</x:f>
        <x:v>0</x:v>
      </x:c>
      <x:c r="I35" s="19" t="n">
        <x:f>I34*(1+'Assumptions'!I26)</x:f>
        <x:v>0</x:v>
      </x:c>
    </x:row>
    <x:row r="36" ht="21" customHeight="1">
      <x:c r="C36" s="1" t="str">
        <x:v>Change in balance</x:v>
      </x:c>
      <x:c r="D36" s="2"/>
      <x:c r="E36" s="2"/>
      <x:c r="F36" s="2"/>
      <x:c r="G36" s="27" t="n">
        <x:f>G35-G34</x:f>
        <x:v>0</x:v>
      </x:c>
      <x:c r="H36" s="27" t="n">
        <x:f>H35-H34</x:f>
        <x:v>0</x:v>
      </x:c>
      <x:c r="I36" s="27" t="n">
        <x:f>I35-I34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2" t="str">
        <x:v>Named other assets</x:v>
      </x:c>
      <x:c r="D39" s="25"/>
      <x:c r="E39" s="25"/>
      <x:c r="F39" s="25"/>
      <x:c r="G39" s="25"/>
      <x:c r="H39" s="25"/>
      <x:c r="I39" s="25"/>
    </x:row>
    <x:row r="40" ht="21" customHeight="1">
      <x:c r="C40" s="1" t="str">
        <x:v>Opening</x:v>
      </x:c>
      <x:c r="D40" s="2"/>
      <x:c r="E40" s="2"/>
      <x:c r="F40" s="2"/>
      <x:c r="G40" s="19" t="n">
        <x:f>'SourceFacts'!F39</x:f>
        <x:v>225169</x:v>
      </x:c>
      <x:c r="H40" s="27" t="n">
        <x:f>G41</x:f>
        <x:v>225169</x:v>
      </x:c>
      <x:c r="I40" s="27" t="n">
        <x:f>H41</x:f>
        <x:v>225169</x:v>
      </x:c>
    </x:row>
    <x:row r="41" ht="21" customHeight="1">
      <x:c r="C41" s="1" t="str">
        <x:v>Closing</x:v>
      </x:c>
      <x:c r="D41" s="2"/>
      <x:c r="E41" s="2"/>
      <x:c r="F41" s="2"/>
      <x:c r="G41" s="19" t="n">
        <x:f>G40*(1+'Assumptions'!G27)</x:f>
        <x:v>225169</x:v>
      </x:c>
      <x:c r="H41" s="19" t="n">
        <x:f>H40*(1+'Assumptions'!H27)</x:f>
        <x:v>225169</x:v>
      </x:c>
      <x:c r="I41" s="19" t="n">
        <x:f>I40*(1+'Assumptions'!I27)</x:f>
        <x:v>225169</x:v>
      </x:c>
    </x:row>
    <x:row r="42" ht="21" customHeight="1">
      <x:c r="C42" s="1" t="str">
        <x:v>Change in balance</x:v>
      </x:c>
      <x:c r="D42" s="2"/>
      <x:c r="E42" s="2"/>
      <x:c r="F42" s="2"/>
      <x:c r="G42" s="27" t="n">
        <x:f>G41-G40</x:f>
        <x:v>0</x:v>
      </x:c>
      <x:c r="H42" s="27" t="n">
        <x:f>H41-H40</x:f>
        <x:v>0</x:v>
      </x:c>
      <x:c r="I42" s="27" t="n">
        <x:f>I41-I40</x:f>
        <x:v>0</x:v>
      </x:c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2" t="str">
        <x:v>Named other liabilities</x:v>
      </x:c>
      <x:c r="D45" s="25"/>
      <x:c r="E45" s="25"/>
      <x:c r="F45" s="25"/>
      <x:c r="G45" s="25"/>
      <x:c r="H45" s="25"/>
      <x:c r="I45" s="25"/>
    </x:row>
    <x:row r="46" ht="21" customHeight="1">
      <x:c r="C46" s="1" t="str">
        <x:v>Opening</x:v>
      </x:c>
      <x:c r="D46" s="2"/>
      <x:c r="E46" s="2"/>
      <x:c r="F46" s="2"/>
      <x:c r="G46" s="19" t="n">
        <x:f>'SourceFacts'!F46</x:f>
        <x:v>92270</x:v>
      </x:c>
      <x:c r="H46" s="27" t="n">
        <x:f>G47</x:f>
        <x:v>92270</x:v>
      </x:c>
      <x:c r="I46" s="27" t="n">
        <x:f>H47</x:f>
        <x:v>92270</x:v>
      </x:c>
    </x:row>
    <x:row r="47" ht="21" customHeight="1">
      <x:c r="C47" s="1" t="str">
        <x:v>Closing</x:v>
      </x:c>
      <x:c r="D47" s="2"/>
      <x:c r="E47" s="2"/>
      <x:c r="F47" s="2"/>
      <x:c r="G47" s="19" t="n">
        <x:f>G46*(1+'Assumptions'!G28)</x:f>
        <x:v>92270</x:v>
      </x:c>
      <x:c r="H47" s="19" t="n">
        <x:f>H46*(1+'Assumptions'!H28)</x:f>
        <x:v>92270</x:v>
      </x:c>
      <x:c r="I47" s="19" t="n">
        <x:f>I46*(1+'Assumptions'!I28)</x:f>
        <x:v>92270</x:v>
      </x:c>
    </x:row>
    <x:row r="48" ht="21" customHeight="1">
      <x:c r="C48" s="1" t="str">
        <x:v>Change in balance</x:v>
      </x:c>
      <x:c r="D48" s="2"/>
      <x:c r="E48" s="2"/>
      <x:c r="F48" s="2"/>
      <x:c r="G48" s="27" t="n">
        <x:f>G47-G46</x:f>
        <x:v>0</x:v>
      </x:c>
      <x:c r="H48" s="27" t="n">
        <x:f>H47-H46</x:f>
        <x:v>0</x:v>
      </x:c>
      <x:c r="I48" s="27" t="n">
        <x:f>I47-I46</x:f>
        <x:v>0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FixedAssets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PPE / CIP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balance</x:v>
      </x:c>
      <x:c r="D10" s="2"/>
      <x:c r="E10" s="2"/>
      <x:c r="F10" s="2"/>
      <x:c r="G10" s="19" t="n">
        <x:f>'SourceFacts'!F35</x:f>
        <x:v>768961</x:v>
      </x:c>
      <x:c r="H10" s="27" t="n">
        <x:f>G14</x:f>
        <x:v>736813.7159532352</x:v>
      </x:c>
      <x:c r="I10" s="27" t="n">
        <x:f>H14</x:f>
        <x:v>714788.2021676333</x:v>
      </x:c>
    </x:row>
    <x:row r="11" ht="21" customHeight="1">
      <x:c r="C11" s="1" t="str">
        <x:v>Cash capex / non-cash lease additions</x:v>
      </x:c>
      <x:c r="D11" s="2"/>
      <x:c r="E11" s="2"/>
      <x:c r="F11" s="2"/>
      <x:c r="G11" s="19" t="n">
        <x:f>'Statements'!G10*MAX(0,'Assumptions'!G31)</x:f>
        <x:v>142160.69205324646</x:v>
      </x:c>
      <x:c r="H11" s="19" t="n">
        <x:f>'Statements'!H10*MAX(0,'Assumptions'!H31)</x:f>
        <x:v>146011.43740623962</x:v>
      </x:c>
      <x:c r="I11" s="19" t="n">
        <x:f>'Statements'!I10*MAX(0,'Assumptions'!I31)</x:f>
        <x:v>150290.1440886684</x:v>
      </x:c>
    </x:row>
    <x:row r="12" ht="21" customHeight="1">
      <x:c r="C12" s="1" t="str">
        <x:v>Depreciation / amortization requested</x:v>
      </x:c>
      <x:c r="D12" s="2"/>
      <x:c r="E12" s="2"/>
      <x:c r="F12" s="2"/>
      <x:c r="G12" s="19" t="n">
        <x:f>(G10+G11*0.5)*'Assumptions'!G33</x:f>
        <x:v>174307.97610001123</x:v>
      </x:c>
      <x:c r="H12" s="19" t="n">
        <x:f>(H10+H11*0.5)*'Assumptions'!H33</x:f>
        <x:v>168036.9511918415</x:v>
      </x:c>
      <x:c r="I12" s="19" t="n">
        <x:f>(I10+I11*0.5)*'Assumptions'!I33</x:f>
        <x:v>163910.58717909755</x:v>
      </x:c>
    </x:row>
    <x:row r="13" ht="21" customHeight="1">
      <x:c r="C13" s="1" t="str">
        <x:v>Effective depreciation / amortization</x:v>
      </x:c>
      <x:c r="D13" s="2"/>
      <x:c r="E13" s="2"/>
      <x:c r="F13" s="2"/>
      <x:c r="G13" s="27" t="n">
        <x:f>MIN(MAX(0,G12),G10+G11)</x:f>
        <x:v>174307.97610001123</x:v>
      </x:c>
      <x:c r="H13" s="27" t="n">
        <x:f>MIN(MAX(0,H12),H10+H11)</x:f>
        <x:v>168036.9511918415</x:v>
      </x:c>
      <x:c r="I13" s="27" t="n">
        <x:f>MIN(MAX(0,I12),I10+I11)</x:f>
        <x:v>163910.58717909755</x:v>
      </x:c>
    </x:row>
    <x:row r="14" ht="21" customHeight="1">
      <x:c r="C14" s="1" t="str">
        <x:v>Closing balance</x:v>
      </x:c>
      <x:c r="D14" s="2"/>
      <x:c r="E14" s="2"/>
      <x:c r="F14" s="2"/>
      <x:c r="G14" s="27" t="n">
        <x:f>G10+G11-G13</x:f>
        <x:v>736813.7159532352</x:v>
      </x:c>
      <x:c r="H14" s="27" t="n">
        <x:f>H10+H11-H13</x:f>
        <x:v>714788.2021676333</x:v>
      </x:c>
      <x:c r="I14" s="27" t="n">
        <x:f>I10+I11-I13</x:f>
        <x:v>701167.7590772042</x:v>
      </x:c>
    </x:row>
    <x:row r="15" ht="21" customHeight="1">
      <x:c r="C15" s="1" t="str">
        <x:v>Depreciation request above available asset</x:v>
      </x:c>
      <x:c r="D15" s="2"/>
      <x:c r="E15" s="2"/>
      <x:c r="F15" s="2"/>
      <x:c r="G15" s="27" t="n">
        <x:f>MAX(0,G12-G13)</x:f>
        <x:v>0</x:v>
      </x:c>
      <x:c r="H15" s="27" t="n">
        <x:f>MAX(0,H12-H13)</x:f>
        <x:v>0</x:v>
      </x:c>
      <x:c r="I15" s="27" t="n">
        <x:f>MAX(0,I12-I13)</x:f>
        <x:v>0</x:v>
      </x:c>
    </x:row>
    <x:row r="16" ht="21" customHeight="1">
      <x:c r="C16" s="1"/>
      <x:c r="D16" s="2"/>
      <x:c r="E16" s="2"/>
      <x:c r="F16" s="2"/>
      <x:c r="G16" s="2"/>
      <x:c r="H16" s="2"/>
      <x:c r="I16" s="2"/>
    </x:row>
    <x:row r="17" ht="21" customHeight="1">
      <x:c r="C17" s="1"/>
      <x:c r="D17" s="2"/>
      <x:c r="E17" s="2"/>
      <x:c r="F17" s="2"/>
      <x:c r="G17" s="2"/>
      <x:c r="H17" s="2"/>
      <x:c r="I17" s="2"/>
    </x:row>
    <x:row r="18" ht="21" customHeight="1">
      <x:c r="C18" s="1"/>
      <x:c r="D18" s="2"/>
      <x:c r="E18" s="2"/>
      <x:c r="F18" s="2"/>
      <x:c r="G18" s="2"/>
      <x:c r="H18" s="2"/>
      <x:c r="I18" s="2"/>
    </x:row>
    <x:row r="19" ht="21" customHeight="1">
      <x:c r="C19" s="12" t="str">
        <x:v>Intangibles and capitalized development</x:v>
      </x:c>
      <x:c r="D19" s="25"/>
      <x:c r="E19" s="25"/>
      <x:c r="F19" s="25"/>
      <x:c r="G19" s="25"/>
      <x:c r="H19" s="25"/>
      <x:c r="I19" s="25"/>
    </x:row>
    <x:row r="20" ht="21" customHeight="1">
      <x:c r="C20" s="1" t="str">
        <x:v>Opening balance</x:v>
      </x:c>
      <x:c r="D20" s="2"/>
      <x:c r="E20" s="2"/>
      <x:c r="F20" s="2"/>
      <x:c r="G20" s="19" t="n">
        <x:f>'SourceFacts'!F36</x:f>
        <x:v>69038</x:v>
      </x:c>
      <x:c r="H20" s="27" t="n">
        <x:f>G24</x:f>
        <x:v>68869.50582820683</x:v>
      </x:c>
      <x:c r="I20" s="27" t="n">
        <x:f>H24</x:f>
        <x:v>69119.44428775554</x:v>
      </x:c>
    </x:row>
    <x:row r="21" ht="21" customHeight="1">
      <x:c r="C21" s="1" t="str">
        <x:v>Cash capex / non-cash lease additions</x:v>
      </x:c>
      <x:c r="D21" s="2"/>
      <x:c r="E21" s="2"/>
      <x:c r="F21" s="2"/>
      <x:c r="G21" s="19" t="n">
        <x:f>'Statements'!G10*MAX(0,'Assumptions'!G32)</x:f>
        <x:v>15795.632450360716</x:v>
      </x:c>
      <x:c r="H21" s="19" t="n">
        <x:f>'Statements'!H10*MAX(0,'Assumptions'!H32)</x:f>
        <x:v>16223.493045137735</x:v>
      </x:c>
      <x:c r="I21" s="19" t="n">
        <x:f>'Statements'!I10*MAX(0,'Assumptions'!I32)</x:f>
        <x:v>16698.90489874093</x:v>
      </x:c>
    </x:row>
    <x:row r="22" ht="21" customHeight="1">
      <x:c r="C22" s="1" t="str">
        <x:v>Depreciation / amortization requested</x:v>
      </x:c>
      <x:c r="D22" s="2"/>
      <x:c r="E22" s="2"/>
      <x:c r="F22" s="2"/>
      <x:c r="G22" s="19" t="n">
        <x:f>(G20+G21*0.5)*'Assumptions'!G34</x:f>
        <x:v>15964.126622153879</x:v>
      </x:c>
      <x:c r="H22" s="19" t="n">
        <x:f>(H20+H21*0.5)*'Assumptions'!H34</x:f>
        <x:v>15973.554585589025</x:v>
      </x:c>
      <x:c r="I22" s="19" t="n">
        <x:f>(I20+I21*0.5)*'Assumptions'!I34</x:f>
        <x:v>16074.74044559854</x:v>
      </x:c>
    </x:row>
    <x:row r="23" ht="21" customHeight="1">
      <x:c r="C23" s="1" t="str">
        <x:v>Effective depreciation / amortization</x:v>
      </x:c>
      <x:c r="D23" s="2"/>
      <x:c r="E23" s="2"/>
      <x:c r="F23" s="2"/>
      <x:c r="G23" s="27" t="n">
        <x:f>MIN(MAX(0,G22),G20+G21)</x:f>
        <x:v>15964.126622153879</x:v>
      </x:c>
      <x:c r="H23" s="27" t="n">
        <x:f>MIN(MAX(0,H22),H20+H21)</x:f>
        <x:v>15973.554585589025</x:v>
      </x:c>
      <x:c r="I23" s="27" t="n">
        <x:f>MIN(MAX(0,I22),I20+I21)</x:f>
        <x:v>16074.74044559854</x:v>
      </x:c>
    </x:row>
    <x:row r="24" ht="21" customHeight="1">
      <x:c r="C24" s="1" t="str">
        <x:v>Closing balance</x:v>
      </x:c>
      <x:c r="D24" s="2"/>
      <x:c r="E24" s="2"/>
      <x:c r="F24" s="2"/>
      <x:c r="G24" s="27" t="n">
        <x:f>G20+G21-G23</x:f>
        <x:v>68869.50582820683</x:v>
      </x:c>
      <x:c r="H24" s="27" t="n">
        <x:f>H20+H21-H23</x:f>
        <x:v>69119.44428775554</x:v>
      </x:c>
      <x:c r="I24" s="27" t="n">
        <x:f>I20+I21-I23</x:f>
        <x:v>69743.60874089794</x:v>
      </x:c>
    </x:row>
    <x:row r="25" ht="21" customHeight="1">
      <x:c r="C25" s="1" t="str">
        <x:v>Depreciation request above available asset</x:v>
      </x:c>
      <x:c r="D25" s="2"/>
      <x:c r="E25" s="2"/>
      <x:c r="F25" s="2"/>
      <x:c r="G25" s="27" t="n">
        <x:f>MAX(0,G22-G23)</x:f>
        <x:v>0</x:v>
      </x:c>
      <x:c r="H25" s="27" t="n">
        <x:f>MAX(0,H22-H23)</x:f>
        <x:v>0</x:v>
      </x:c>
      <x:c r="I25" s="27" t="n">
        <x:f>MAX(0,I22-I23)</x:f>
        <x:v>0</x:v>
      </x:c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2" t="str">
        <x:v>Right-of-use assets</x:v>
      </x:c>
      <x:c r="D29" s="25"/>
      <x:c r="E29" s="25"/>
      <x:c r="F29" s="25"/>
      <x:c r="G29" s="25"/>
      <x:c r="H29" s="25"/>
      <x:c r="I29" s="25"/>
    </x:row>
    <x:row r="30" ht="21" customHeight="1">
      <x:c r="C30" s="1" t="str">
        <x:v>Opening balance</x:v>
      </x:c>
      <x:c r="D30" s="2"/>
      <x:c r="E30" s="2"/>
      <x:c r="F30" s="2"/>
      <x:c r="G30" s="19" t="n">
        <x:f>'SourceFacts'!F37</x:f>
        <x:v>77662</x:v>
      </x:c>
      <x:c r="H30" s="27" t="n">
        <x:f>G34</x:f>
        <x:v>71987.88007346606</x:v>
      </x:c>
      <x:c r="I30" s="27" t="n">
        <x:f>H34</x:f>
        <x:v>67491.13595732649</x:v>
      </x:c>
    </x:row>
    <x:row r="31" ht="21" customHeight="1">
      <x:c r="C31" s="1" t="str">
        <x:v>Cash capex / non-cash lease additions</x:v>
      </x:c>
      <x:c r="D31" s="2"/>
      <x:c r="E31" s="2"/>
      <x:c r="F31" s="2"/>
      <x:c r="G31" s="19" t="n">
        <x:f>MAX(0,'Assumptions'!G36)</x:f>
        <x:v>11649.3</x:v>
      </x:c>
      <x:c r="H31" s="19" t="n">
        <x:f>MAX(0,'Assumptions'!H36)</x:f>
        <x:v>11649.3</x:v>
      </x:c>
      <x:c r="I31" s="19" t="n">
        <x:f>MAX(0,'Assumptions'!I36)</x:f>
        <x:v>11649.3</x:v>
      </x:c>
    </x:row>
    <x:row r="32" ht="21" customHeight="1">
      <x:c r="C32" s="1" t="str">
        <x:v>Depreciation / amortization requested</x:v>
      </x:c>
      <x:c r="D32" s="2"/>
      <x:c r="E32" s="2"/>
      <x:c r="F32" s="2"/>
      <x:c r="G32" s="19" t="n">
        <x:f>(G30+G31*0.5)*'Assumptions'!G35</x:f>
        <x:v>17323.419926533945</x:v>
      </x:c>
      <x:c r="H32" s="19" t="n">
        <x:f>(H30+H31*0.5)*'Assumptions'!H35</x:f>
        <x:v>16146.044116139572</x:v>
      </x:c>
      <x:c r="I32" s="19" t="n">
        <x:f>(I30+I31*0.5)*'Assumptions'!I35</x:f>
        <x:v>15212.972940974962</x:v>
      </x:c>
    </x:row>
    <x:row r="33" ht="21" customHeight="1">
      <x:c r="C33" s="1" t="str">
        <x:v>Effective depreciation / amortization</x:v>
      </x:c>
      <x:c r="D33" s="2"/>
      <x:c r="E33" s="2"/>
      <x:c r="F33" s="2"/>
      <x:c r="G33" s="27" t="n">
        <x:f>MIN(MAX(0,G32),G30+G31)</x:f>
        <x:v>17323.419926533945</x:v>
      </x:c>
      <x:c r="H33" s="27" t="n">
        <x:f>MIN(MAX(0,H32),H30+H31)</x:f>
        <x:v>16146.044116139572</x:v>
      </x:c>
      <x:c r="I33" s="27" t="n">
        <x:f>MIN(MAX(0,I32),I30+I31)</x:f>
        <x:v>15212.972940974962</x:v>
      </x:c>
    </x:row>
    <x:row r="34" ht="21" customHeight="1">
      <x:c r="C34" s="1" t="str">
        <x:v>Closing balance</x:v>
      </x:c>
      <x:c r="D34" s="2"/>
      <x:c r="E34" s="2"/>
      <x:c r="F34" s="2"/>
      <x:c r="G34" s="27" t="n">
        <x:f>G30+G31-G33</x:f>
        <x:v>71987.88007346606</x:v>
      </x:c>
      <x:c r="H34" s="27" t="n">
        <x:f>H30+H31-H33</x:f>
        <x:v>67491.13595732649</x:v>
      </x:c>
      <x:c r="I34" s="27" t="n">
        <x:f>I30+I31-I33</x:f>
        <x:v>63927.46301635153</x:v>
      </x:c>
    </x:row>
    <x:row r="35" ht="21" customHeight="1">
      <x:c r="C35" s="1" t="str">
        <x:v>Depreciation request above available asset</x:v>
      </x:c>
      <x:c r="D35" s="2"/>
      <x:c r="E35" s="2"/>
      <x:c r="F35" s="2"/>
      <x:c r="G35" s="27" t="n">
        <x:f>MAX(0,G32-G33)</x:f>
        <x:v>0</x:v>
      </x:c>
      <x:c r="H35" s="27" t="n">
        <x:f>MAX(0,H32-H33)</x:f>
        <x:v>0</x:v>
      </x:c>
      <x:c r="I35" s="27" t="n">
        <x:f>MAX(0,I32-I33)</x:f>
        <x:v>0</x:v>
      </x:c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 t="str">
        <x:v>Total depreciation and amortization</x:v>
      </x:c>
      <x:c r="D39" s="2"/>
      <x:c r="E39" s="2"/>
      <x:c r="F39" s="2"/>
      <x:c r="G39" s="27" t="n">
        <x:f>G13+G23+G33</x:f>
        <x:v>207595.52264869906</x:v>
      </x:c>
      <x:c r="H39" s="27" t="n">
        <x:f>H13+H23+H33</x:f>
        <x:v>200156.54989357013</x:v>
      </x:c>
      <x:c r="I39" s="27" t="n">
        <x:f>I13+I23+I33</x:f>
        <x:v>195198.30056567106</x:v>
      </x:c>
    </x:row>
    <x:row r="40" ht="21" customHeight="1">
      <x:c r="C40" s="1" t="str">
        <x:v>Total cash capex</x:v>
      </x:c>
      <x:c r="D40" s="2"/>
      <x:c r="E40" s="2"/>
      <x:c r="F40" s="2"/>
      <x:c r="G40" s="27" t="n">
        <x:f>G11+G21</x:f>
        <x:v>157956.32450360717</x:v>
      </x:c>
      <x:c r="H40" s="27" t="n">
        <x:f>H11+H21</x:f>
        <x:v>162234.93045137735</x:v>
      </x:c>
      <x:c r="I40" s="27" t="n">
        <x:f>I11+I21</x:f>
        <x:v>166989.04898740933</x:v>
      </x:c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FundingTaxEquity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2" t="str">
        <x:v>Debt and leases</x:v>
      </x:c>
      <x:c r="D9" s="25"/>
      <x:c r="E9" s="25"/>
      <x:c r="F9" s="25"/>
      <x:c r="G9" s="25"/>
      <x:c r="H9" s="25"/>
      <x:c r="I9" s="25"/>
    </x:row>
    <x:row r="10" ht="21" customHeight="1">
      <x:c r="C10" s="1" t="str">
        <x:v>Opening borrowings and lease liabilities</x:v>
      </x:c>
      <x:c r="D10" s="2"/>
      <x:c r="E10" s="2"/>
      <x:c r="F10" s="2"/>
      <x:c r="G10" s="19" t="n">
        <x:f>'SourceFacts'!F43</x:f>
        <x:v>101197</x:v>
      </x:c>
      <x:c r="H10" s="27" t="n">
        <x:f>G18</x:f>
        <x:v>92606.9</x:v>
      </x:c>
      <x:c r="I10" s="27" t="n">
        <x:f>H18</x:f>
        <x:v>85734.81999999999</x:v>
      </x:c>
    </x:row>
    <x:row r="11" ht="21" customHeight="1">
      <x:c r="C11" s="1" t="str">
        <x:v>Cash borrowing requested</x:v>
      </x:c>
      <x:c r="D11" s="2"/>
      <x:c r="E11" s="2"/>
      <x:c r="F11" s="2"/>
      <x:c r="G11" s="19" t="n">
        <x:f>'Assumptions'!G40</x:f>
        <x:v>0</x:v>
      </x:c>
      <x:c r="H11" s="19" t="n">
        <x:f>'Assumptions'!H40</x:f>
        <x:v>0</x:v>
      </x:c>
      <x:c r="I11" s="19" t="n">
        <x:f>'Assumptions'!I40</x:f>
        <x:v>0</x:v>
      </x:c>
    </x:row>
    <x:row r="12" ht="21" customHeight="1">
      <x:c r="C12" s="1" t="str">
        <x:v>Effective cash borrowing</x:v>
      </x:c>
      <x:c r="D12" s="2"/>
      <x:c r="E12" s="2"/>
      <x:c r="F12" s="2"/>
      <x:c r="G12" s="27" t="n">
        <x:f>MAX(0,G11)</x:f>
        <x:v>0</x:v>
      </x:c>
      <x:c r="H12" s="27" t="n">
        <x:f>MAX(0,H11)</x:f>
        <x:v>0</x:v>
      </x:c>
      <x:c r="I12" s="27" t="n">
        <x:f>MAX(0,I11)</x:f>
        <x:v>0</x:v>
      </x:c>
    </x:row>
    <x:row r="13" ht="21" customHeight="1">
      <x:c r="C13" s="1" t="str">
        <x:v>Invalid negative borrowing request</x:v>
      </x:c>
      <x:c r="D13" s="2"/>
      <x:c r="E13" s="2"/>
      <x:c r="F13" s="2"/>
      <x:c r="G13" s="27" t="n">
        <x:f>-MIN(0,G11)</x:f>
        <x:v>0</x:v>
      </x:c>
      <x:c r="H13" s="27" t="n">
        <x:f>-MIN(0,H11)</x:f>
        <x:v>0</x:v>
      </x:c>
      <x:c r="I13" s="27" t="n">
        <x:f>-MIN(0,I11)</x:f>
        <x:v>0</x:v>
      </x:c>
    </x:row>
    <x:row r="14" ht="21" customHeight="1">
      <x:c r="C14" s="1" t="str">
        <x:v>New non-cash lease liabilities</x:v>
      </x:c>
      <x:c r="D14" s="2"/>
      <x:c r="E14" s="2"/>
      <x:c r="F14" s="2"/>
      <x:c r="G14" s="19" t="n">
        <x:f>'FixedAssets'!G31</x:f>
        <x:v>11649.3</x:v>
      </x:c>
      <x:c r="H14" s="19" t="n">
        <x:f>'FixedAssets'!H31</x:f>
        <x:v>11649.3</x:v>
      </x:c>
      <x:c r="I14" s="19" t="n">
        <x:f>'FixedAssets'!I31</x:f>
        <x:v>11649.3</x:v>
      </x:c>
    </x:row>
    <x:row r="15" ht="21" customHeight="1">
      <x:c r="C15" s="1" t="str">
        <x:v>Repayment requested</x:v>
      </x:c>
      <x:c r="D15" s="2"/>
      <x:c r="E15" s="2"/>
      <x:c r="F15" s="2"/>
      <x:c r="G15" s="19" t="n">
        <x:f>G10*'Assumptions'!G41+'Assumptions'!G42</x:f>
        <x:v>20239.4</x:v>
      </x:c>
      <x:c r="H15" s="19" t="n">
        <x:f>H10*'Assumptions'!H41+'Assumptions'!H42</x:f>
        <x:v>18521.38</x:v>
      </x:c>
      <x:c r="I15" s="19" t="n">
        <x:f>I10*'Assumptions'!I41+'Assumptions'!I42</x:f>
        <x:v>17146.964</x:v>
      </x:c>
    </x:row>
    <x:row r="16" ht="21" customHeight="1">
      <x:c r="C16" s="1" t="str">
        <x:v>Effective repayment</x:v>
      </x:c>
      <x:c r="D16" s="2"/>
      <x:c r="E16" s="2"/>
      <x:c r="F16" s="2"/>
      <x:c r="G16" s="27" t="n">
        <x:f>MIN(MAX(0,G15),G10+G12+G14)</x:f>
        <x:v>20239.4</x:v>
      </x:c>
      <x:c r="H16" s="27" t="n">
        <x:f>MIN(MAX(0,H15),H10+H12+H14)</x:f>
        <x:v>18521.38</x:v>
      </x:c>
      <x:c r="I16" s="27" t="n">
        <x:f>MIN(MAX(0,I15),I10+I12+I14)</x:f>
        <x:v>17146.964</x:v>
      </x:c>
    </x:row>
    <x:row r="17" ht="21" customHeight="1">
      <x:c r="C17" s="1" t="str">
        <x:v>Repayment above available funding balance</x:v>
      </x:c>
      <x:c r="D17" s="2"/>
      <x:c r="E17" s="2"/>
      <x:c r="F17" s="2"/>
      <x:c r="G17" s="27" t="n">
        <x:f>MAX(0,G15-G16)</x:f>
        <x:v>0</x:v>
      </x:c>
      <x:c r="H17" s="27" t="n">
        <x:f>MAX(0,H15-H16)</x:f>
        <x:v>0</x:v>
      </x:c>
      <x:c r="I17" s="27" t="n">
        <x:f>MAX(0,I15-I16)</x:f>
        <x:v>0</x:v>
      </x:c>
    </x:row>
    <x:row r="18" ht="21" customHeight="1">
      <x:c r="C18" s="1" t="str">
        <x:v>Closing borrowings and lease liabilities</x:v>
      </x:c>
      <x:c r="D18" s="2"/>
      <x:c r="E18" s="2"/>
      <x:c r="F18" s="2"/>
      <x:c r="G18" s="27" t="n">
        <x:f>G10+G12+G14-G16</x:f>
        <x:v>92606.9</x:v>
      </x:c>
      <x:c r="H18" s="27" t="n">
        <x:f>H10+H12+H14-H16</x:f>
        <x:v>85734.81999999999</x:v>
      </x:c>
      <x:c r="I18" s="27" t="n">
        <x:f>I10+I12+I14-I16</x:f>
        <x:v>80237.15599999999</x:v>
      </x:c>
    </x:row>
    <x:row r="19" ht="21" customHeight="1">
      <x:c r="C19" s="1" t="str">
        <x:v>Interest expense on time-weighted funding</x:v>
      </x:c>
      <x:c r="D19" s="2"/>
      <x:c r="E19" s="2"/>
      <x:c r="F19" s="2"/>
      <x:c r="G19" s="19" t="n">
        <x:f>(G10+(G12+G14-G16)*0.5)*'Assumptions'!G17</x:f>
        <x:v>4006.8115957350583</x:v>
      </x:c>
      <x:c r="H19" s="19" t="n">
        <x:f>(H10+(H12+H14-H16)*0.5)*'Assumptions'!H17</x:f>
        <x:v>3687.13772890708</x:v>
      </x:c>
      <x:c r="I19" s="19" t="n">
        <x:f>(I10+(I12+I14-I16)*0.5)*'Assumptions'!I17</x:f>
        <x:v>3431.3986354446984</x:v>
      </x:c>
    </x:row>
    <x:row r="20" ht="21" customHeight="1">
      <x:c r="C20" s="1"/>
      <x:c r="D20" s="2"/>
      <x:c r="E20" s="2"/>
      <x:c r="F20" s="2"/>
      <x:c r="G20" s="2"/>
      <x:c r="H20" s="2"/>
      <x:c r="I20" s="2"/>
    </x:row>
    <x:row r="21" ht="21" customHeight="1">
      <x:c r="C21" s="12" t="str">
        <x:v>Financial investments</x:v>
      </x:c>
      <x:c r="D21" s="25"/>
      <x:c r="E21" s="25"/>
      <x:c r="F21" s="25"/>
      <x:c r="G21" s="25"/>
      <x:c r="H21" s="25"/>
      <x:c r="I21" s="25"/>
    </x:row>
    <x:row r="22" ht="21" customHeight="1">
      <x:c r="C22" s="1" t="str">
        <x:v>Opening financial investments / loan assets</x:v>
      </x:c>
      <x:c r="D22" s="2"/>
      <x:c r="E22" s="2"/>
      <x:c r="F22" s="2"/>
      <x:c r="G22" s="19" t="n">
        <x:f>'SourceFacts'!F38</x:f>
        <x:v>643228</x:v>
      </x:c>
      <x:c r="H22" s="27" t="n">
        <x:f>G31</x:f>
        <x:v>643228</x:v>
      </x:c>
      <x:c r="I22" s="27" t="n">
        <x:f>H31</x:f>
        <x:v>643228</x:v>
      </x:c>
    </x:row>
    <x:row r="23" ht="21" customHeight="1">
      <x:c r="C23" s="1" t="str">
        <x:v>Investment purchase requested</x:v>
      </x:c>
      <x:c r="D23" s="2"/>
      <x:c r="E23" s="2"/>
      <x:c r="F23" s="2"/>
      <x:c r="G23" s="19" t="n">
        <x:f>'Assumptions'!G51</x:f>
        <x:v>0</x:v>
      </x:c>
      <x:c r="H23" s="19" t="n">
        <x:f>'Assumptions'!H51</x:f>
        <x:v>0</x:v>
      </x:c>
      <x:c r="I23" s="19" t="n">
        <x:f>'Assumptions'!I51</x:f>
        <x:v>0</x:v>
      </x:c>
    </x:row>
    <x:row r="24" ht="21" customHeight="1">
      <x:c r="C24" s="1" t="str">
        <x:v>Effective investment purchases</x:v>
      </x:c>
      <x:c r="D24" s="2"/>
      <x:c r="E24" s="2"/>
      <x:c r="F24" s="2"/>
      <x:c r="G24" s="27" t="n">
        <x:f>MAX(0,G23)</x:f>
        <x:v>0</x:v>
      </x:c>
      <x:c r="H24" s="27" t="n">
        <x:f>MAX(0,H23)</x:f>
        <x:v>0</x:v>
      </x:c>
      <x:c r="I24" s="27" t="n">
        <x:f>MAX(0,I23)</x:f>
        <x:v>0</x:v>
      </x:c>
    </x:row>
    <x:row r="25" ht="21" customHeight="1">
      <x:c r="C25" s="1" t="str">
        <x:v>Redemption requested</x:v>
      </x:c>
      <x:c r="D25" s="2"/>
      <x:c r="E25" s="2"/>
      <x:c r="F25" s="2"/>
      <x:c r="G25" s="19" t="n">
        <x:f>'Assumptions'!G52</x:f>
        <x:v>0</x:v>
      </x:c>
      <x:c r="H25" s="19" t="n">
        <x:f>'Assumptions'!H52</x:f>
        <x:v>0</x:v>
      </x:c>
      <x:c r="I25" s="19" t="n">
        <x:f>'Assumptions'!I52</x:f>
        <x:v>0</x:v>
      </x:c>
    </x:row>
    <x:row r="26" ht="21" customHeight="1">
      <x:c r="C26" s="1" t="str">
        <x:v>Effective redemption</x:v>
      </x:c>
      <x:c r="D26" s="2"/>
      <x:c r="E26" s="2"/>
      <x:c r="F26" s="2"/>
      <x:c r="G26" s="27" t="n">
        <x:f>MIN(MAX(0,G25),G22+G24)</x:f>
        <x:v>0</x:v>
      </x:c>
      <x:c r="H26" s="27" t="n">
        <x:f>MIN(MAX(0,H25),H22+H24)</x:f>
        <x:v>0</x:v>
      </x:c>
      <x:c r="I26" s="27" t="n">
        <x:f>MIN(MAX(0,I25),I22+I24)</x:f>
        <x:v>0</x:v>
      </x:c>
    </x:row>
    <x:row r="27" ht="21" customHeight="1">
      <x:c r="C27" s="1" t="str">
        <x:v>Redemption above available investment</x:v>
      </x:c>
      <x:c r="D27" s="2"/>
      <x:c r="E27" s="2"/>
      <x:c r="F27" s="2"/>
      <x:c r="G27" s="27" t="n">
        <x:f>MAX(0,G25-G26)</x:f>
        <x:v>0</x:v>
      </x:c>
      <x:c r="H27" s="27" t="n">
        <x:f>MAX(0,H25-H26)</x:f>
        <x:v>0</x:v>
      </x:c>
      <x:c r="I27" s="27" t="n">
        <x:f>MAX(0,I25-I26)</x:f>
        <x:v>0</x:v>
      </x:c>
    </x:row>
    <x:row r="28" ht="21" customHeight="1">
      <x:c r="C28" s="1" t="str">
        <x:v>Fair-value change requested</x:v>
      </x:c>
      <x:c r="D28" s="2"/>
      <x:c r="E28" s="2"/>
      <x:c r="F28" s="2"/>
      <x:c r="G28" s="19" t="n">
        <x:f>'Assumptions'!G53</x:f>
        <x:v>0</x:v>
      </x:c>
      <x:c r="H28" s="19" t="n">
        <x:f>'Assumptions'!H53</x:f>
        <x:v>0</x:v>
      </x:c>
      <x:c r="I28" s="19" t="n">
        <x:f>'Assumptions'!I53</x:f>
        <x:v>0</x:v>
      </x:c>
    </x:row>
    <x:row r="29" ht="21" customHeight="1">
      <x:c r="C29" s="1" t="str">
        <x:v>Effective fair-value gain / (loss)</x:v>
      </x:c>
      <x:c r="D29" s="2"/>
      <x:c r="E29" s="2"/>
      <x:c r="F29" s="2"/>
      <x:c r="G29" s="27" t="n">
        <x:f>MAX(G28,-(G22+G24-G26))</x:f>
        <x:v>0</x:v>
      </x:c>
      <x:c r="H29" s="27" t="n">
        <x:f>MAX(H28,-(H22+H24-H26))</x:f>
        <x:v>0</x:v>
      </x:c>
      <x:c r="I29" s="27" t="n">
        <x:f>MAX(I28,-(I22+I24-I26))</x:f>
        <x:v>0</x:v>
      </x:c>
    </x:row>
    <x:row r="30" ht="21" customHeight="1">
      <x:c r="C30" s="1" t="str">
        <x:v>Fair-value loss above available investment</x:v>
      </x:c>
      <x:c r="D30" s="2"/>
      <x:c r="E30" s="2"/>
      <x:c r="F30" s="2"/>
      <x:c r="G30" s="27" t="n">
        <x:f>MAX(0,G29-G28)</x:f>
        <x:v>0</x:v>
      </x:c>
      <x:c r="H30" s="27" t="n">
        <x:f>MAX(0,H29-H28)</x:f>
        <x:v>0</x:v>
      </x:c>
      <x:c r="I30" s="27" t="n">
        <x:f>MAX(0,I29-I28)</x:f>
        <x:v>0</x:v>
      </x:c>
    </x:row>
    <x:row r="31" ht="21" customHeight="1">
      <x:c r="C31" s="1" t="str">
        <x:v>Closing financial investments / loan assets</x:v>
      </x:c>
      <x:c r="D31" s="2"/>
      <x:c r="E31" s="2"/>
      <x:c r="F31" s="2"/>
      <x:c r="G31" s="27" t="n">
        <x:f>G22+G24-G26+G29</x:f>
        <x:v>643228</x:v>
      </x:c>
      <x:c r="H31" s="27" t="n">
        <x:f>H22+H24-H26+H29</x:f>
        <x:v>643228</x:v>
      </x:c>
      <x:c r="I31" s="27" t="n">
        <x:f>I22+I24-I26+I29</x:f>
        <x:v>643228</x:v>
      </x:c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2" t="str">
        <x:v>Tax settlement</x:v>
      </x:c>
      <x:c r="D33" s="25"/>
      <x:c r="E33" s="25"/>
      <x:c r="F33" s="25"/>
      <x:c r="G33" s="25"/>
      <x:c r="H33" s="25"/>
      <x:c r="I33" s="25"/>
    </x:row>
    <x:row r="34" ht="21" customHeight="1">
      <x:c r="C34" s="1" t="str">
        <x:v>Opening taxes payable</x:v>
      </x:c>
      <x:c r="D34" s="2"/>
      <x:c r="E34" s="2"/>
      <x:c r="F34" s="2"/>
      <x:c r="G34" s="19" t="n">
        <x:f>'SourceFacts'!F44</x:f>
        <x:v>17742</x:v>
      </x:c>
      <x:c r="H34" s="27" t="n">
        <x:f>G38</x:f>
        <x:v>4796.052851923705</x:v>
      </x:c>
      <x:c r="I34" s="27" t="n">
        <x:f>H38</x:f>
        <x:v>5386.260035678257</x:v>
      </x:c>
    </x:row>
    <x:row r="35" ht="21" customHeight="1">
      <x:c r="C35" s="1" t="str">
        <x:v>Current tax accrual</x:v>
      </x:c>
      <x:c r="D35" s="2"/>
      <x:c r="E35" s="2"/>
      <x:c r="F35" s="2"/>
      <x:c r="G35" s="19" t="n">
        <x:f>'Statements'!G24</x:f>
        <x:v>31973.685679491384</x:v>
      </x:c>
      <x:c r="H35" s="19" t="n">
        <x:f>'Statements'!H24</x:f>
        <x:v>35908.40023785501</x:v>
      </x:c>
      <x:c r="I35" s="19" t="n">
        <x:f>'Statements'!I24</x:f>
        <x:v>39577.69534879202</x:v>
      </x:c>
    </x:row>
    <x:row r="36" ht="21" customHeight="1">
      <x:c r="C36" s="1" t="str">
        <x:v>Cash tax payment requested</x:v>
      </x:c>
      <x:c r="D36" s="2"/>
      <x:c r="E36" s="2"/>
      <x:c r="F36" s="2"/>
      <x:c r="G36" s="19" t="n">
        <x:f>G35*'Assumptions'!G47+G34*'Assumptions'!G48</x:f>
        <x:v>44919.63282756768</x:v>
      </x:c>
      <x:c r="H36" s="19" t="n">
        <x:f>H35*'Assumptions'!H47+H34*'Assumptions'!H48</x:f>
        <x:v>35318.193054100455</x:v>
      </x:c>
      <x:c r="I36" s="19" t="n">
        <x:f>I35*'Assumptions'!I47+I34*'Assumptions'!I48</x:f>
        <x:v>39027.30108215147</x:v>
      </x:c>
    </x:row>
    <x:row r="37" ht="21" customHeight="1">
      <x:c r="C37" s="1" t="str">
        <x:v>Effective cash tax paid</x:v>
      </x:c>
      <x:c r="D37" s="2"/>
      <x:c r="E37" s="2"/>
      <x:c r="F37" s="2"/>
      <x:c r="G37" s="27" t="n">
        <x:f>MIN(MAX(0,G36),MAX(0,G34+G35))</x:f>
        <x:v>44919.63282756768</x:v>
      </x:c>
      <x:c r="H37" s="27" t="n">
        <x:f>MIN(MAX(0,H36),MAX(0,H34+H35))</x:f>
        <x:v>35318.193054100455</x:v>
      </x:c>
      <x:c r="I37" s="27" t="n">
        <x:f>MIN(MAX(0,I36),MAX(0,I34+I35))</x:f>
        <x:v>39027.30108215147</x:v>
      </x:c>
    </x:row>
    <x:row r="38" ht="21" customHeight="1">
      <x:c r="C38" s="1" t="str">
        <x:v>Closing taxes payable</x:v>
      </x:c>
      <x:c r="D38" s="2"/>
      <x:c r="E38" s="2"/>
      <x:c r="F38" s="2"/>
      <x:c r="G38" s="27" t="n">
        <x:f>G34+G35-G37</x:f>
        <x:v>4796.052851923705</x:v>
      </x:c>
      <x:c r="H38" s="27" t="n">
        <x:f>H34+H35-H37</x:f>
        <x:v>5386.260035678257</x:v>
      </x:c>
      <x:c r="I38" s="27" t="n">
        <x:f>I34+I35-I37</x:f>
        <x:v>5936.654302318806</x:v>
      </x:c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2" t="str">
        <x:v>Retained earnings and distributions</x:v>
      </x:c>
      <x:c r="D40" s="25"/>
      <x:c r="E40" s="25"/>
      <x:c r="F40" s="25"/>
      <x:c r="G40" s="25"/>
      <x:c r="H40" s="25"/>
      <x:c r="I40" s="25"/>
    </x:row>
    <x:row r="41" ht="21" customHeight="1">
      <x:c r="C41" s="1" t="str">
        <x:v>Opening retained earnings</x:v>
      </x:c>
      <x:c r="D41" s="2"/>
      <x:c r="E41" s="2"/>
      <x:c r="F41" s="2"/>
      <x:c r="G41" s="19" t="n">
        <x:f>'SourceFacts'!F48</x:f>
        <x:v>1222270</x:v>
      </x:c>
      <x:c r="H41" s="27" t="n">
        <x:f>G48</x:f>
        <x:v>1253692.867731499</x:v>
      </x:c>
      <x:c r="I41" s="27" t="n">
        <x:f>H48</x:f>
        <x:v>1288982.665799652</x:v>
      </x:c>
    </x:row>
    <x:row r="42" ht="21" customHeight="1">
      <x:c r="C42" s="1" t="str">
        <x:v>Parent net income</x:v>
      </x:c>
      <x:c r="D42" s="2"/>
      <x:c r="E42" s="2"/>
      <x:c r="F42" s="2"/>
      <x:c r="G42" s="19" t="n">
        <x:f>'Statements'!G26</x:f>
        <x:v>125691.47092599608</x:v>
      </x:c>
      <x:c r="H42" s="19" t="n">
        <x:f>'Statements'!H26</x:f>
        <x:v>141159.19227261192</x:v>
      </x:c>
      <x:c r="I42" s="19" t="n">
        <x:f>'Statements'!I26</x:f>
        <x:v>155583.5255940301</x:v>
      </x:c>
    </x:row>
    <x:row r="43" ht="21" customHeight="1">
      <x:c r="C43" s="1" t="str">
        <x:v>Parent dividend requested</x:v>
      </x:c>
      <x:c r="D43" s="2"/>
      <x:c r="E43" s="2"/>
      <x:c r="F43" s="2"/>
      <x:c r="G43" s="19" t="n">
        <x:f>MAX(0,G42)*'Assumptions'!G43</x:f>
        <x:v>94268.60319449706</x:v>
      </x:c>
      <x:c r="H43" s="19" t="n">
        <x:f>MAX(0,H42)*'Assumptions'!H43</x:f>
        <x:v>105869.39420445895</x:v>
      </x:c>
      <x:c r="I43" s="19" t="n">
        <x:f>MAX(0,I42)*'Assumptions'!I43</x:f>
        <x:v>116687.64419552257</x:v>
      </x:c>
    </x:row>
    <x:row r="44" ht="21" customHeight="1">
      <x:c r="C44" s="1" t="str">
        <x:v>Effective parent dividend</x:v>
      </x:c>
      <x:c r="D44" s="2"/>
      <x:c r="E44" s="2"/>
      <x:c r="F44" s="2"/>
      <x:c r="G44" s="27" t="n">
        <x:f>MIN(MAX(0,G43),MAX(0,G41+G42))</x:f>
        <x:v>94268.60319449706</x:v>
      </x:c>
      <x:c r="H44" s="27" t="n">
        <x:f>MIN(MAX(0,H43),MAX(0,H41+H42))</x:f>
        <x:v>105869.39420445895</x:v>
      </x:c>
      <x:c r="I44" s="27" t="n">
        <x:f>MIN(MAX(0,I43),MAX(0,I41+I42))</x:f>
        <x:v>116687.64419552257</x:v>
      </x:c>
    </x:row>
    <x:row r="45" ht="21" customHeight="1">
      <x:c r="C45" s="1" t="str">
        <x:v>Parent dividend request above distributable balance</x:v>
      </x:c>
      <x:c r="D45" s="2"/>
      <x:c r="E45" s="2"/>
      <x:c r="F45" s="2"/>
      <x:c r="G45" s="27" t="n">
        <x:f>MAX(0,G43-G44)</x:f>
        <x:v>0</x:v>
      </x:c>
      <x:c r="H45" s="27" t="n">
        <x:f>MAX(0,H43-H44)</x:f>
        <x:v>0</x:v>
      </x:c>
      <x:c r="I45" s="27" t="n">
        <x:f>MAX(0,I43-I44)</x:f>
        <x:v>0</x:v>
      </x:c>
    </x:row>
    <x:row r="46" ht="21" customHeight="1">
      <x:c r="C46" s="1" t="str">
        <x:v>Share repurchase requested</x:v>
      </x:c>
      <x:c r="D46" s="2"/>
      <x:c r="E46" s="2"/>
      <x:c r="F46" s="2"/>
      <x:c r="G46" s="19" t="n">
        <x:f>'Assumptions'!G44</x:f>
        <x:v>0</x:v>
      </x:c>
      <x:c r="H46" s="19" t="n">
        <x:f>'Assumptions'!H44</x:f>
        <x:v>0</x:v>
      </x:c>
      <x:c r="I46" s="19" t="n">
        <x:f>'Assumptions'!I44</x:f>
        <x:v>0</x:v>
      </x:c>
    </x:row>
    <x:row r="47" ht="21" customHeight="1">
      <x:c r="C47" s="1" t="str">
        <x:v>Effective share repurchase</x:v>
      </x:c>
      <x:c r="D47" s="2"/>
      <x:c r="E47" s="2"/>
      <x:c r="F47" s="2"/>
      <x:c r="G47" s="27" t="n">
        <x:f>MIN(MAX(0,G46),MAX(0,G41+G42-G44))</x:f>
        <x:v>0</x:v>
      </x:c>
      <x:c r="H47" s="27" t="n">
        <x:f>MIN(MAX(0,H46),MAX(0,H41+H42-H44))</x:f>
        <x:v>0</x:v>
      </x:c>
      <x:c r="I47" s="27" t="n">
        <x:f>MIN(MAX(0,I46),MAX(0,I41+I42-I44))</x:f>
        <x:v>0</x:v>
      </x:c>
    </x:row>
    <x:row r="48" ht="21" customHeight="1">
      <x:c r="C48" s="1" t="str">
        <x:v>Closing retained earnings</x:v>
      </x:c>
      <x:c r="D48" s="2"/>
      <x:c r="E48" s="2"/>
      <x:c r="F48" s="2"/>
      <x:c r="G48" s="27" t="n">
        <x:f>G41+G42-G44-G47</x:f>
        <x:v>1253692.867731499</x:v>
      </x:c>
      <x:c r="H48" s="27" t="n">
        <x:f>H41+H42-H44-H47</x:f>
        <x:v>1288982.665799652</x:v>
      </x:c>
      <x:c r="I48" s="27" t="n">
        <x:f>I41+I42-I44-I47</x:f>
        <x:v>1327878.5471981594</x:v>
      </x:c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2" t="str">
        <x:v>Minority interests</x:v>
      </x:c>
      <x:c r="D50" s="25"/>
      <x:c r="E50" s="25"/>
      <x:c r="F50" s="25"/>
      <x:c r="G50" s="25"/>
      <x:c r="H50" s="25"/>
      <x:c r="I50" s="25"/>
    </x:row>
    <x:row r="51" ht="21" customHeight="1">
      <x:c r="C51" s="1" t="str">
        <x:v>Opening NCI equity</x:v>
      </x:c>
      <x:c r="D51" s="2"/>
      <x:c r="E51" s="2"/>
      <x:c r="F51" s="2"/>
      <x:c r="G51" s="19" t="n">
        <x:f>'SourceFacts'!F49</x:f>
        <x:v>4376</x:v>
      </x:c>
      <x:c r="H51" s="27" t="n">
        <x:f>G55</x:f>
        <x:v>4414.735655177967</x:v>
      </x:c>
      <x:c r="I51" s="27" t="n">
        <x:f>H55</x:f>
        <x:v>4458.238159817216</x:v>
      </x:c>
    </x:row>
    <x:row r="52" ht="21" customHeight="1">
      <x:c r="C52" s="1" t="str">
        <x:v>NCI net income</x:v>
      </x:c>
      <x:c r="D52" s="2"/>
      <x:c r="E52" s="2"/>
      <x:c r="F52" s="2"/>
      <x:c r="G52" s="19" t="n">
        <x:f>'Statements'!G27</x:f>
        <x:v>154.94262071186648</x:v>
      </x:c>
      <x:c r="H52" s="19" t="n">
        <x:f>'Statements'!H27</x:f>
        <x:v>174.01001855699633</x:v>
      </x:c>
      <x:c r="I52" s="19" t="n">
        <x:f>'Statements'!I27</x:f>
        <x:v>191.79120920085407</x:v>
      </x:c>
    </x:row>
    <x:row r="53" ht="21" customHeight="1">
      <x:c r="C53" s="1" t="str">
        <x:v>NCI dividend requested</x:v>
      </x:c>
      <x:c r="D53" s="2"/>
      <x:c r="E53" s="2"/>
      <x:c r="F53" s="2"/>
      <x:c r="G53" s="19" t="n">
        <x:f>MAX(0,G52)*'Assumptions'!G43</x:f>
        <x:v>116.20696553389986</x:v>
      </x:c>
      <x:c r="H53" s="19" t="n">
        <x:f>MAX(0,H52)*'Assumptions'!H43</x:f>
        <x:v>130.50751391774725</x:v>
      </x:c>
      <x:c r="I53" s="19" t="n">
        <x:f>MAX(0,I52)*'Assumptions'!I43</x:f>
        <x:v>143.84340690064056</x:v>
      </x:c>
    </x:row>
    <x:row r="54" ht="21" customHeight="1">
      <x:c r="C54" s="1" t="str">
        <x:v>Effective NCI dividend</x:v>
      </x:c>
      <x:c r="D54" s="2"/>
      <x:c r="E54" s="2"/>
      <x:c r="F54" s="2"/>
      <x:c r="G54" s="27" t="n">
        <x:f>MIN(MAX(0,G53),MAX(0,G51+G52))</x:f>
        <x:v>116.20696553389986</x:v>
      </x:c>
      <x:c r="H54" s="27" t="n">
        <x:f>MIN(MAX(0,H53),MAX(0,H51+H52))</x:f>
        <x:v>130.50751391774725</x:v>
      </x:c>
      <x:c r="I54" s="27" t="n">
        <x:f>MIN(MAX(0,I53),MAX(0,I51+I52))</x:f>
        <x:v>143.84340690064056</x:v>
      </x:c>
    </x:row>
    <x:row r="55" ht="21" customHeight="1">
      <x:c r="C55" s="1" t="str">
        <x:v>Closing NCI equity</x:v>
      </x:c>
      <x:c r="D55" s="2"/>
      <x:c r="E55" s="2"/>
      <x:c r="F55" s="2"/>
      <x:c r="G55" s="27" t="n">
        <x:f>G51+G52-G54</x:f>
        <x:v>4414.735655177967</x:v>
      </x:c>
      <x:c r="H55" s="27" t="n">
        <x:f>H51+H52-H54</x:f>
        <x:v>4458.238159817216</x:v>
      </x:c>
      <x:c r="I55" s="27" t="n">
        <x:f>I51+I52-I54</x:f>
        <x:v>4506.185962117429</x:v>
      </x:c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2" t="str">
        <x:v>Share capital and reserves</x:v>
      </x:c>
      <x:c r="D57" s="25"/>
      <x:c r="E57" s="25"/>
      <x:c r="F57" s="25"/>
      <x:c r="G57" s="25"/>
      <x:c r="H57" s="25"/>
      <x:c r="I57" s="25"/>
    </x:row>
    <x:row r="58" ht="21" customHeight="1">
      <x:c r="C58" s="1" t="str">
        <x:v>Opening share capital and other reserves</x:v>
      </x:c>
      <x:c r="D58" s="2"/>
      <x:c r="E58" s="2"/>
      <x:c r="F58" s="2"/>
      <x:c r="G58" s="19" t="n">
        <x:f>'SourceFacts'!F50-'SourceFacts'!F48-'SourceFacts'!F49</x:f>
        <x:v>170905</x:v>
      </x:c>
      <x:c r="H58" s="27" t="n">
        <x:f>G61</x:f>
        <x:v>170905</x:v>
      </x:c>
      <x:c r="I58" s="27" t="n">
        <x:f>H61</x:f>
        <x:v>170905</x:v>
      </x:c>
    </x:row>
    <x:row r="59" ht="21" customHeight="1">
      <x:c r="C59" s="1" t="str">
        <x:v>Effective cash share proceeds</x:v>
      </x:c>
      <x:c r="D59" s="2"/>
      <x:c r="E59" s="2"/>
      <x:c r="F59" s="2"/>
      <x:c r="G59" s="19" t="n">
        <x:f>MAX(0,'Assumptions'!G45)</x:f>
        <x:v>0</x:v>
      </x:c>
      <x:c r="H59" s="19" t="n">
        <x:f>MAX(0,'Assumptions'!H45)</x:f>
        <x:v>0</x:v>
      </x:c>
      <x:c r="I59" s="19" t="n">
        <x:f>MAX(0,'Assumptions'!I45)</x:f>
        <x:v>0</x:v>
      </x:c>
    </x:row>
    <x:row r="60" ht="21" customHeight="1">
      <x:c r="C60" s="1" t="str">
        <x:v>Share-based compensation reserve credit</x:v>
      </x:c>
      <x:c r="D60" s="2"/>
      <x:c r="E60" s="2"/>
      <x:c r="F60" s="2"/>
      <x:c r="G60" s="19" t="n">
        <x:f>MAX(0,'Assumptions'!G46)</x:f>
        <x:v>0</x:v>
      </x:c>
      <x:c r="H60" s="19" t="n">
        <x:f>MAX(0,'Assumptions'!H46)</x:f>
        <x:v>0</x:v>
      </x:c>
      <x:c r="I60" s="19" t="n">
        <x:f>MAX(0,'Assumptions'!I46)</x:f>
        <x:v>0</x:v>
      </x:c>
    </x:row>
    <x:row r="61" ht="21" customHeight="1">
      <x:c r="C61" s="1" t="str">
        <x:v>Closing share capital and other reserves</x:v>
      </x:c>
      <x:c r="D61" s="2"/>
      <x:c r="E61" s="2"/>
      <x:c r="F61" s="2"/>
      <x:c r="G61" s="27" t="n">
        <x:f>SUM(G58:G60)</x:f>
        <x:v>170905</x:v>
      </x:c>
      <x:c r="H61" s="27" t="n">
        <x:f>SUM(H58:H60)</x:f>
        <x:v>170905</x:v>
      </x:c>
      <x:c r="I61" s="27" t="n">
        <x:f>SUM(I58:I60)</x:f>
        <x:v>170905</x:v>
      </x:c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 t="str">
        <x:v>Total closing equity</x:v>
      </x:c>
      <x:c r="D63" s="2"/>
      <x:c r="E63" s="2"/>
      <x:c r="F63" s="2"/>
      <x:c r="G63" s="27" t="n">
        <x:f>G48+G55+G61</x:f>
        <x:v>1429012.6033866769</x:v>
      </x:c>
      <x:c r="H63" s="27" t="n">
        <x:f>H48+H55+H61</x:f>
        <x:v>1464345.9039594692</x:v>
      </x:c>
      <x:c r="I63" s="27" t="n">
        <x:f>I48+I55+I61</x:f>
        <x:v>1503289.733160277</x:v>
      </x:c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Interim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str">
        <x:v>H1 2025A</x:v>
      </x:c>
      <x:c r="E7" s="13" t="str">
        <x:v>H1 2026A</x:v>
      </x:c>
      <x:c r="F7" s="13"/>
      <x:c r="G7" s="14"/>
      <x:c r="H7" s="14"/>
      <x:c r="I7" s="14"/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543769</x:v>
      </x:c>
      <x:c r="E9" s="2" t="n">
        <x:v>538035</x:v>
      </x:c>
      <x:c r="F9" s="2"/>
      <x:c r="G9" s="2"/>
      <x:c r="H9" s="2"/>
      <x:c r="I9" s="2"/>
    </x:row>
    <x:row r="10" ht="21" customHeight="1">
      <x:c r="C10" s="1" t="str">
        <x:v>Profit before tax</x:v>
      </x:c>
      <x:c r="D10" s="2" t="n">
        <x:v>107073</x:v>
      </x:c>
      <x:c r="E10" s="2" t="n">
        <x:v>99084</x:v>
      </x:c>
      <x:c r="F10" s="2"/>
      <x:c r="G10" s="2"/>
      <x:c r="H10" s="2"/>
      <x:c r="I10" s="2"/>
    </x:row>
    <x:row r="11" ht="21" customHeight="1">
      <x:c r="C11" s="1" t="str">
        <x:v>Consolidated net income</x:v>
      </x:c>
      <x:c r="D11" s="2" t="n">
        <x:v>84273</x:v>
      </x:c>
      <x:c r="E11" s="2" t="n">
        <x:v>79010</x:v>
      </x:c>
      <x:c r="F11" s="2"/>
      <x:c r="G11" s="2"/>
      <x:c r="H11" s="2"/>
      <x:c r="I11" s="2"/>
    </x:row>
    <x:row r="12" ht="21" customHeight="1">
      <x:c r="C12" s="1"/>
      <x:c r="D12" s="2"/>
      <x:c r="E12" s="2"/>
      <x:c r="F12" s="2"/>
      <x:c r="G12" s="2"/>
      <x:c r="H12" s="2"/>
      <x:c r="I12" s="2"/>
    </x:row>
    <x:row r="13" ht="21" customHeight="1">
      <x:c r="C13" s="1"/>
      <x:c r="D13" s="2"/>
      <x:c r="E13" s="2"/>
      <x:c r="F13" s="2"/>
      <x:c r="G13" s="2"/>
      <x:c r="H13" s="2"/>
      <x:c r="I13" s="2"/>
    </x:row>
    <x:row r="14" ht="21" customHeight="1">
      <x:c r="C14" s="1" t="str">
        <x:v>Segment revenue allocation</x:v>
      </x:c>
      <x:c r="D14" s="2"/>
      <x:c r="E14" s="2"/>
      <x:c r="F14" s="2"/>
      <x:c r="G14" s="2"/>
      <x:c r="H14" s="2"/>
      <x:c r="I14" s="2"/>
    </x:row>
    <x:row r="15" ht="21" customHeight="1">
      <x:c r="C15" s="1"/>
      <x:c r="D15" s="2"/>
      <x:c r="E15" s="2"/>
      <x:c r="F15" s="2"/>
      <x:c r="G15" s="2"/>
      <x:c r="H15" s="2"/>
      <x:c r="I15" s="2"/>
    </x:row>
    <x:row r="16" ht="52" customHeight="1">
      <x:c r="C16" s="1" t="str">
        <x:v>语音业务</x:v>
      </x:c>
      <x:c r="D16" s="2" t="n">
        <x:v>34195</x:v>
      </x:c>
      <x:c r="E16" s="2" t="n">
        <x:v>30937</x:v>
      </x:c>
      <x:c r="F16" s="20" t="str">
        <x:v>H1 2025 and 2026 SOURCE_FACT: china-mobile_H12026 P111 L017</x:v>
      </x:c>
      <x:c r="G16" s="2"/>
      <x:c r="H16" s="2"/>
      <x:c r="I16" s="2"/>
    </x:row>
    <x:row r="17" ht="52" customHeight="1">
      <x:c r="C17" s="1" t="str">
        <x:v>短彩信</x:v>
      </x:c>
      <x:c r="D17" s="2" t="n">
        <x:v>16111</x:v>
      </x:c>
      <x:c r="E17" s="2" t="n">
        <x:v>14128</x:v>
      </x:c>
      <x:c r="F17" s="20" t="str">
        <x:v>H1 2025 and 2026 SOURCE_FACT: china-mobile_H12026 P111 L018</x:v>
      </x:c>
      <x:c r="G17" s="2"/>
      <x:c r="H17" s="2"/>
      <x:c r="I17" s="2"/>
    </x:row>
    <x:row r="18" ht="52" customHeight="1">
      <x:c r="C18" s="1" t="str">
        <x:v>无线上网</x:v>
      </x:c>
      <x:c r="D18" s="2" t="n">
        <x:v>195489</x:v>
      </x:c>
      <x:c r="E18" s="2" t="n">
        <x:v>174342</x:v>
      </x:c>
      <x:c r="F18" s="20" t="str">
        <x:v>H1 2025 and 2026 SOURCE_FACT: china-mobile_H12026 P111 L019</x:v>
      </x:c>
      <x:c r="G18" s="2"/>
      <x:c r="H18" s="2"/>
      <x:c r="I18" s="2"/>
    </x:row>
    <x:row r="19" ht="52" customHeight="1">
      <x:c r="C19" s="1" t="str">
        <x:v>有线宽带</x:v>
      </x:c>
      <x:c r="D19" s="2" t="n">
        <x:v>68568</x:v>
      </x:c>
      <x:c r="E19" s="2" t="n">
        <x:v>72069</x:v>
      </x:c>
      <x:c r="F19" s="20" t="str">
        <x:v>H1 2025 and 2026 SOURCE_FACT: china-mobile_H12026 P111 L020</x:v>
      </x:c>
      <x:c r="G19" s="2"/>
      <x:c r="H19" s="2"/>
      <x:c r="I19" s="2"/>
    </x:row>
    <x:row r="20" ht="52" customHeight="1">
      <x:c r="C20" s="1" t="str">
        <x:v>应用及信息服务</x:v>
      </x:c>
      <x:c r="D20" s="2" t="n">
        <x:v>136674</x:v>
      </x:c>
      <x:c r="E20" s="2" t="n">
        <x:v>145650</x:v>
      </x:c>
      <x:c r="F20" s="20" t="str">
        <x:v>H1 2025 and 2026 SOURCE_FACT: china-mobile_H12026 P111 L021</x:v>
      </x:c>
      <x:c r="G20" s="2"/>
      <x:c r="H20" s="2"/>
      <x:c r="I20" s="2"/>
    </x:row>
    <x:row r="21" ht="52" customHeight="1">
      <x:c r="C21" s="1" t="str">
        <x:v>其他服务</x:v>
      </x:c>
      <x:c r="D21" s="2" t="n">
        <x:v>15952</x:v>
      </x:c>
      <x:c r="E21" s="2" t="n">
        <x:v>15537</x:v>
      </x:c>
      <x:c r="F21" s="20" t="str">
        <x:v>H1 2025 and 2026 SOURCE_FACT: china-mobile_H12026 P111 L022</x:v>
      </x:c>
      <x:c r="G21" s="2"/>
      <x:c r="H21" s="2"/>
      <x:c r="I21" s="2"/>
    </x:row>
    <x:row r="22" ht="52" customHeight="1">
      <x:c r="C22" s="1" t="str">
        <x:v>产品销售及其他</x:v>
      </x:c>
      <x:c r="D22" s="2" t="n">
        <x:v>76780</x:v>
      </x:c>
      <x:c r="E22" s="2" t="n">
        <x:v>85372</x:v>
      </x:c>
      <x:c r="F22" s="20" t="str">
        <x:v>H1 2025 and 2026 SOURCE_FACT: china-mobile_H12026 P111 L025</x:v>
      </x:c>
      <x:c r="G22" s="2"/>
      <x:c r="H22" s="2"/>
      <x:c r="I22" s="2"/>
    </x:row>
    <x:row r="23" ht="21" customHeight="1">
      <x:c r="C23" s="1"/>
      <x:c r="D23" s="2"/>
      <x:c r="E23" s="2"/>
      <x:c r="F23" s="2"/>
      <x:c r="G23" s="2"/>
      <x:c r="H23" s="2"/>
      <x:c r="I23" s="2"/>
    </x:row>
    <x:row r="24" ht="21" customHeight="1">
      <x:c r="C24" s="1"/>
      <x:c r="D24" s="2"/>
      <x:c r="E24" s="2"/>
      <x:c r="F24" s="2"/>
      <x:c r="G24" s="2"/>
      <x:c r="H24" s="2"/>
      <x:c r="I24" s="2"/>
    </x:row>
    <x:row r="25" ht="21" customHeight="1">
      <x:c r="C25" s="1"/>
      <x:c r="D25" s="2"/>
      <x:c r="E25" s="2"/>
      <x:c r="F25" s="2"/>
      <x:c r="G25" s="2"/>
      <x:c r="H25" s="2"/>
      <x:c r="I25" s="2"/>
    </x:row>
    <x:row r="26" ht="21" customHeight="1">
      <x:c r="C26" s="1"/>
      <x:c r="D26" s="2"/>
      <x:c r="E26" s="2"/>
      <x:c r="F26" s="2"/>
      <x:c r="G26" s="2"/>
      <x:c r="H26" s="2"/>
      <x:c r="I26" s="2"/>
    </x:row>
    <x:row r="27" ht="21" customHeight="1">
      <x:c r="C27" s="1"/>
      <x:c r="D27" s="2"/>
      <x:c r="E27" s="2"/>
      <x:c r="F27" s="2"/>
      <x:c r="G27" s="2"/>
      <x:c r="H27" s="2"/>
      <x:c r="I27" s="2"/>
    </x:row>
    <x:row r="28" ht="21" customHeight="1">
      <x:c r="C28" s="1"/>
      <x:c r="D28" s="2"/>
      <x:c r="E28" s="2"/>
      <x:c r="F28" s="2"/>
      <x:c r="G28" s="2"/>
      <x:c r="H28" s="2"/>
      <x:c r="I28" s="2"/>
    </x:row>
    <x:row r="29" ht="21" customHeight="1">
      <x:c r="C29" s="1"/>
      <x:c r="D29" s="2"/>
      <x:c r="E29" s="2"/>
      <x:c r="F29" s="2"/>
      <x:c r="G29" s="2"/>
      <x:c r="H29" s="2"/>
      <x:c r="I29" s="2"/>
    </x:row>
    <x:row r="30" ht="21" customHeight="1">
      <x:c r="C30" s="1"/>
      <x:c r="D30" s="2"/>
      <x:c r="E30" s="2"/>
      <x:c r="F30" s="2"/>
      <x:c r="G30" s="2"/>
      <x:c r="H30" s="2"/>
      <x:c r="I30" s="2"/>
    </x:row>
    <x:row r="31" ht="21" customHeight="1">
      <x:c r="C31" s="1"/>
      <x:c r="D31" s="2"/>
      <x:c r="E31" s="2"/>
      <x:c r="F31" s="2"/>
      <x:c r="G31" s="2"/>
      <x:c r="H31" s="2"/>
      <x:c r="I31" s="2"/>
    </x:row>
    <x:row r="32" ht="21" customHeight="1">
      <x:c r="C32" s="1"/>
      <x:c r="D32" s="2"/>
      <x:c r="E32" s="2"/>
      <x:c r="F32" s="2"/>
      <x:c r="G32" s="2"/>
      <x:c r="H32" s="2"/>
      <x:c r="I32" s="2"/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/>
      <x:c r="D34" s="2"/>
      <x:c r="E34" s="2"/>
      <x:c r="F34" s="2"/>
      <x:c r="G34" s="2"/>
      <x:c r="H34" s="2"/>
      <x:c r="I34" s="2"/>
    </x:row>
    <x:row r="35" ht="21" customHeight="1">
      <x:c r="C35" s="1"/>
      <x:c r="D35" s="2"/>
      <x:c r="E35" s="2"/>
      <x:c r="F35" s="2"/>
      <x:c r="G35" s="2"/>
      <x:c r="H35" s="2"/>
      <x:c r="I35" s="2"/>
    </x:row>
    <x:row r="36" ht="21" customHeight="1">
      <x:c r="C36" s="1"/>
      <x:c r="D36" s="2"/>
      <x:c r="E36" s="2"/>
      <x:c r="F36" s="2"/>
      <x:c r="G36" s="2"/>
      <x:c r="H36" s="2"/>
      <x:c r="I36" s="2"/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F16:I16"/>
    <x:mergeCell ref="F17:I17"/>
    <x:mergeCell ref="F18:I18"/>
    <x:mergeCell ref="F19:I19"/>
    <x:mergeCell ref="F20:I20"/>
    <x:mergeCell ref="F21:I21"/>
    <x:mergeCell ref="F22:I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SourceFacts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1" customHeight="1">
      <x:c r="C9" s="1" t="str">
        <x:v>Revenue</x:v>
      </x:c>
      <x:c r="D9" s="2" t="n">
        <x:v>1009309</x:v>
      </x:c>
      <x:c r="E9" s="2" t="n">
        <x:v>1040759</x:v>
      </x:c>
      <x:c r="F9" s="2" t="n">
        <x:v>1050187</x:v>
      </x:c>
      <x:c r="G9" s="2"/>
      <x:c r="H9" s="2"/>
      <x:c r="I9" s="2"/>
    </x:row>
    <x:row r="10" ht="21" customHeight="1">
      <x:c r="C10" s="1" t="str">
        <x:v>Cost of revenue</x:v>
      </x:c>
      <x:c r="D10" s="2" t="n">
        <x:v>724358</x:v>
      </x:c>
      <x:c r="E10" s="2" t="n">
        <x:v>738772</x:v>
      </x:c>
      <x:c r="F10" s="2" t="n">
        <x:v>747016</x:v>
      </x:c>
      <x:c r="G10" s="2"/>
      <x:c r="H10" s="2"/>
      <x:c r="I10" s="2"/>
    </x:row>
    <x:row r="11" ht="21" customHeight="1">
      <x:c r="C11" s="1" t="str">
        <x:v>Selling expenses</x:v>
      </x:c>
      <x:c r="D11" s="2" t="n">
        <x:v>52477</x:v>
      </x:c>
      <x:c r="E11" s="2" t="n">
        <x:v>54564</x:v>
      </x:c>
      <x:c r="F11" s="2" t="n">
        <x:v>56184</x:v>
      </x:c>
      <x:c r="G11" s="2"/>
      <x:c r="H11" s="2"/>
      <x:c r="I11" s="2"/>
    </x:row>
    <x:row r="12" ht="21" customHeight="1">
      <x:c r="C12" s="1" t="str">
        <x:v>Administrative expenses</x:v>
      </x:c>
      <x:c r="D12" s="2" t="n">
        <x:v>56025</x:v>
      </x:c>
      <x:c r="E12" s="2" t="n">
        <x:v>56937</x:v>
      </x:c>
      <x:c r="F12" s="2" t="n">
        <x:v>55821</x:v>
      </x:c>
      <x:c r="G12" s="2"/>
      <x:c r="H12" s="2"/>
      <x:c r="I12" s="2"/>
    </x:row>
    <x:row r="13" ht="21" customHeight="1">
      <x:c r="C13" s="1" t="str">
        <x:v>Research and development</x:v>
      </x:c>
      <x:c r="D13" s="2" t="n">
        <x:v>28711</x:v>
      </x:c>
      <x:c r="E13" s="2" t="n">
        <x:v>28163</x:v>
      </x:c>
      <x:c r="F13" s="2" t="n">
        <x:v>29253</x:v>
      </x:c>
      <x:c r="G13" s="2"/>
      <x:c r="H13" s="2"/>
      <x:c r="I13" s="2"/>
    </x:row>
    <x:row r="14" ht="21" customHeight="1">
      <x:c r="C14" s="1" t="str">
        <x:v>Business taxes and surcharges</x:v>
      </x:c>
      <x:c r="D14" s="2" t="n">
        <x:v>3071</x:v>
      </x:c>
      <x:c r="E14" s="2" t="n">
        <x:v>3759</x:v>
      </x:c>
      <x:c r="F14" s="2" t="n">
        <x:v>4001</x:v>
      </x:c>
      <x:c r="G14" s="2"/>
      <x:c r="H14" s="2"/>
      <x:c r="I14" s="2"/>
    </x:row>
    <x:row r="15" ht="21" customHeight="1">
      <x:c r="C15" s="1" t="str">
        <x:v>Net finance expense</x:v>
      </x:c>
      <x:c r="D15" s="2" t="n">
        <x:v>-3457</x:v>
      </x:c>
      <x:c r="E15" s="2" t="n">
        <x:v>-2495</x:v>
      </x:c>
      <x:c r="F15" s="2" t="n">
        <x:v>-1535</x:v>
      </x:c>
      <x:c r="G15" s="2"/>
      <x:c r="H15" s="2"/>
      <x:c r="I15" s="2"/>
    </x:row>
    <x:row r="16" ht="21" customHeight="1">
      <x:c r="C16" s="1" t="str">
        <x:v>Interest expense</x:v>
      </x:c>
      <x:c r="D16" s="2" t="n">
        <x:v>3730</x:v>
      </x:c>
      <x:c r="E16" s="2" t="n">
        <x:v>3273</x:v>
      </x:c>
      <x:c r="F16" s="2" t="n">
        <x:v>3657</x:v>
      </x:c>
      <x:c r="G16" s="2"/>
      <x:c r="H16" s="2"/>
      <x:c r="I16" s="2"/>
    </x:row>
    <x:row r="17" ht="21" customHeight="1">
      <x:c r="C17" s="1" t="str">
        <x:v>Other pretax net income (source reconciliation)</x:v>
      </x:c>
      <x:c r="D17" s="19" t="n">
        <x:f>'SourceFacts'!D18-'SourceFacts'!D9+SUM(D10:D14)+'SourceFacts'!D15</x:f>
        <x:v>22407</x:v>
      </x:c>
      <x:c r="E17" s="19" t="n">
        <x:f>'SourceFacts'!E18-'SourceFacts'!E9+SUM(E10:E14)+'SourceFacts'!E15</x:f>
        <x:v>17330</x:v>
      </x:c>
      <x:c r="F17" s="19" t="n">
        <x:f>'SourceFacts'!F18-'SourceFacts'!F9+SUM(F10:F14)+'SourceFacts'!F15</x:f>
        <x:v>16161</x:v>
      </x:c>
      <x:c r="G17" s="2"/>
      <x:c r="H17" s="2"/>
      <x:c r="I17" s="2"/>
    </x:row>
    <x:row r="18" ht="21" customHeight="1">
      <x:c r="C18" s="1" t="str">
        <x:v>Profit before tax</x:v>
      </x:c>
      <x:c r="D18" s="2" t="n">
        <x:v>170531</x:v>
      </x:c>
      <x:c r="E18" s="2" t="n">
        <x:v>178389</x:v>
      </x:c>
      <x:c r="F18" s="2" t="n">
        <x:v>175608</x:v>
      </x:c>
      <x:c r="G18" s="2"/>
      <x:c r="H18" s="2"/>
      <x:c r="I18" s="2"/>
    </x:row>
    <x:row r="19" ht="21" customHeight="1">
      <x:c r="C19" s="1" t="str">
        <x:v>Income tax expense</x:v>
      </x:c>
      <x:c r="D19" s="2" t="n">
        <x:v>38596</x:v>
      </x:c>
      <x:c r="E19" s="2" t="n">
        <x:v>39863</x:v>
      </x:c>
      <x:c r="F19" s="2" t="n">
        <x:v>38344</x:v>
      </x:c>
      <x:c r="G19" s="2"/>
      <x:c r="H19" s="2"/>
      <x:c r="I19" s="2"/>
    </x:row>
    <x:row r="20" ht="21" customHeight="1">
      <x:c r="C20" s="1" t="str">
        <x:v>Consolidated net income</x:v>
      </x:c>
      <x:c r="D20" s="2" t="n">
        <x:v>131935</x:v>
      </x:c>
      <x:c r="E20" s="2" t="n">
        <x:v>138526</x:v>
      </x:c>
      <x:c r="F20" s="2" t="n">
        <x:v>137264</x:v>
      </x:c>
      <x:c r="G20" s="2"/>
      <x:c r="H20" s="2"/>
      <x:c r="I20" s="2"/>
    </x:row>
    <x:row r="21" ht="21" customHeight="1">
      <x:c r="C21" s="1" t="str">
        <x:v>Net income attributable to parent</x:v>
      </x:c>
      <x:c r="D21" s="2" t="n">
        <x:v>131766</x:v>
      </x:c>
      <x:c r="E21" s="2" t="n">
        <x:v>138373</x:v>
      </x:c>
      <x:c r="F21" s="2" t="n">
        <x:v>137095</x:v>
      </x:c>
      <x:c r="G21" s="2"/>
      <x:c r="H21" s="2"/>
      <x:c r="I21" s="2"/>
    </x:row>
    <x:row r="22" ht="21" customHeight="1">
      <x:c r="C22" s="1" t="str">
        <x:v>Net income attributable to NCI</x:v>
      </x:c>
      <x:c r="D22" s="2" t="n">
        <x:v>169</x:v>
      </x:c>
      <x:c r="E22" s="2" t="n">
        <x:v>153</x:v>
      </x:c>
      <x:c r="F22" s="2" t="n">
        <x:v>169</x:v>
      </x:c>
      <x:c r="G22" s="2"/>
      <x:c r="H22" s="2"/>
      <x:c r="I22" s="2"/>
    </x:row>
    <x:row r="23" ht="21" customHeight="1">
      <x:c r="C23" s="1" t="str">
        <x:v>Depreciation and amortization</x:v>
      </x:c>
      <x:c r="D23" s="2"/>
      <x:c r="E23" s="2" t="n">
        <x:v>191101</x:v>
      </x:c>
      <x:c r="F23" s="2" t="n">
        <x:v>189999</x:v>
      </x:c>
      <x:c r="G23" s="2"/>
      <x:c r="H23" s="2"/>
      <x:c r="I23" s="2"/>
    </x:row>
    <x:row r="24" ht="21" customHeight="1">
      <x:c r="C24" s="1" t="str">
        <x:v>Operating cash flow</x:v>
      </x:c>
      <x:c r="D24" s="2" t="n">
        <x:v>303780</x:v>
      </x:c>
      <x:c r="E24" s="2" t="n">
        <x:v>315741</x:v>
      </x:c>
      <x:c r="F24" s="2" t="n">
        <x:v>232919</x:v>
      </x:c>
      <x:c r="G24" s="2"/>
      <x:c r="H24" s="2"/>
      <x:c r="I24" s="2"/>
    </x:row>
    <x:row r="25" ht="21" customHeight="1">
      <x:c r="C25" s="1" t="str">
        <x:v>Investing cash flow</x:v>
      </x:c>
      <x:c r="D25" s="2" t="n">
        <x:v>-205699</x:v>
      </x:c>
      <x:c r="E25" s="2" t="n">
        <x:v>-185194</x:v>
      </x:c>
      <x:c r="F25" s="2" t="n">
        <x:v>-190403</x:v>
      </x:c>
      <x:c r="G25" s="2"/>
      <x:c r="H25" s="2"/>
      <x:c r="I25" s="2"/>
    </x:row>
    <x:row r="26" ht="21" customHeight="1">
      <x:c r="C26" s="1" t="str">
        <x:v>Financing cash flow</x:v>
      </x:c>
      <x:c r="D26" s="2" t="n">
        <x:v>-123843</x:v>
      </x:c>
      <x:c r="E26" s="2" t="n">
        <x:v>-105167</x:v>
      </x:c>
      <x:c r="F26" s="2" t="n">
        <x:v>-112143</x:v>
      </x:c>
      <x:c r="G26" s="2"/>
      <x:c r="H26" s="2"/>
      <x:c r="I26" s="2"/>
    </x:row>
    <x:row r="27" ht="21" customHeight="1">
      <x:c r="C27" s="1" t="str">
        <x:v>Foreign exchange effect on cash</x:v>
      </x:c>
      <x:c r="D27" s="2" t="n">
        <x:v>215</x:v>
      </x:c>
      <x:c r="E27" s="2" t="n">
        <x:v>370</x:v>
      </x:c>
      <x:c r="F27" s="2" t="n">
        <x:v>-415</x:v>
      </x:c>
      <x:c r="G27" s="2"/>
      <x:c r="H27" s="2"/>
      <x:c r="I27" s="2"/>
    </x:row>
    <x:row r="28" ht="21" customHeight="1">
      <x:c r="C28" s="1" t="str">
        <x:v>Opening cash and cash equivalents</x:v>
      </x:c>
      <x:c r="D28" s="2" t="n">
        <x:v>167106</x:v>
      </x:c>
      <x:c r="E28" s="2" t="n">
        <x:v>141559</x:v>
      </x:c>
      <x:c r="F28" s="2" t="n">
        <x:v>167309</x:v>
      </x:c>
      <x:c r="G28" s="2"/>
      <x:c r="H28" s="2"/>
      <x:c r="I28" s="2"/>
    </x:row>
    <x:row r="29" ht="21" customHeight="1">
      <x:c r="C29" s="1" t="str">
        <x:v>Cash and cash equivalents</x:v>
      </x:c>
      <x:c r="D29" s="2" t="n">
        <x:v>141559</x:v>
      </x:c>
      <x:c r="E29" s="2" t="n">
        <x:v>167309</x:v>
      </x:c>
      <x:c r="F29" s="2" t="n">
        <x:v>97267</x:v>
      </x:c>
      <x:c r="G29" s="2"/>
      <x:c r="H29" s="2"/>
      <x:c r="I29" s="2"/>
    </x:row>
    <x:row r="30" ht="21" customHeight="1">
      <x:c r="C30" s="1" t="str">
        <x:v>Cash capex including intangible additions</x:v>
      </x:c>
      <x:c r="D30" s="2" t="n">
        <x:v>181263</x:v>
      </x:c>
      <x:c r="E30" s="2" t="n">
        <x:v>155979</x:v>
      </x:c>
      <x:c r="F30" s="2" t="n">
        <x:v>156951</x:v>
      </x:c>
      <x:c r="G30" s="2"/>
      <x:c r="H30" s="2"/>
      <x:c r="I30" s="2"/>
    </x:row>
    <x:row r="31" ht="21" customHeight="1">
      <x:c r="C31" s="1" t="str">
        <x:v>Monetary funds and interbank placements</x:v>
      </x:c>
      <x:c r="D31" s="19" t="n">
        <x:f>SUMIF('SourceBS'!$D$9:$D$47,"bankPool",'SourceBS'!E$9:E$47)</x:f>
        <x:v>178772</x:v>
      </x:c>
      <x:c r="E31" s="19" t="n">
        <x:f>SUMIF('SourceBS'!$D$9:$D$47,"bankPool",'SourceBS'!F$9:F$47)</x:f>
        <x:v>242275</x:v>
      </x:c>
      <x:c r="F31" s="19" t="n">
        <x:f>SUMIF('SourceBS'!$D$9:$D$47,"bankPool",'SourceBS'!G$9:G$47)</x:f>
        <x:v>171094</x:v>
      </x:c>
      <x:c r="G31" s="2"/>
      <x:c r="H31" s="2"/>
      <x:c r="I31" s="2"/>
    </x:row>
    <x:row r="32" ht="21" customHeight="1">
      <x:c r="C32" s="1" t="str">
        <x:v>Monetary funds / placements outside cash equivalents</x:v>
      </x:c>
      <x:c r="D32" s="19" t="n">
        <x:f>'SourceFacts'!D31-'SourceFacts'!D29</x:f>
        <x:v>37213</x:v>
      </x:c>
      <x:c r="E32" s="19" t="n">
        <x:f>'SourceFacts'!E31-'SourceFacts'!E29</x:f>
        <x:v>74966</x:v>
      </x:c>
      <x:c r="F32" s="19" t="n">
        <x:f>'SourceFacts'!F31-'SourceFacts'!F29</x:f>
        <x:v>73827</x:v>
      </x:c>
      <x:c r="G32" s="2"/>
      <x:c r="H32" s="2"/>
      <x:c r="I32" s="2"/>
    </x:row>
    <x:row r="33" ht="21" customHeight="1">
      <x:c r="C33" s="1" t="str">
        <x:v>Receivables, bills and contract assets</x:v>
      </x:c>
      <x:c r="D33" s="19" t="n">
        <x:f>SUMIF('SourceBS'!$D$9:$D$47,"ar",'SourceBS'!E$9:E$47)</x:f>
        <x:v>75493</x:v>
      </x:c>
      <x:c r="E33" s="19" t="n">
        <x:f>SUMIF('SourceBS'!$D$9:$D$47,"ar",'SourceBS'!F$9:F$47)</x:f>
        <x:v>97509</x:v>
      </x:c>
      <x:c r="F33" s="19" t="n">
        <x:f>SUMIF('SourceBS'!$D$9:$D$47,"ar",'SourceBS'!G$9:G$47)</x:f>
        <x:v>121117</x:v>
      </x:c>
      <x:c r="G33" s="2"/>
      <x:c r="H33" s="2"/>
      <x:c r="I33" s="2"/>
    </x:row>
    <x:row r="34" ht="21" customHeight="1">
      <x:c r="C34" s="1" t="str">
        <x:v>Inventory</x:v>
      </x:c>
      <x:c r="D34" s="19" t="n">
        <x:f>SUMIF('SourceBS'!$D$9:$D$47,"inventory",'SourceBS'!E$9:E$47)</x:f>
        <x:v>12026</x:v>
      </x:c>
      <x:c r="E34" s="19" t="n">
        <x:f>SUMIF('SourceBS'!$D$9:$D$47,"inventory",'SourceBS'!F$9:F$47)</x:f>
        <x:v>11229</x:v>
      </x:c>
      <x:c r="F34" s="19" t="n">
        <x:f>SUMIF('SourceBS'!$D$9:$D$47,"inventory",'SourceBS'!G$9:G$47)</x:f>
        <x:v>16613</x:v>
      </x:c>
      <x:c r="G34" s="2"/>
      <x:c r="H34" s="2"/>
      <x:c r="I34" s="2"/>
    </x:row>
    <x:row r="35" ht="21" customHeight="1">
      <x:c r="C35" s="1" t="str">
        <x:v>PPE, construction in progress and investment property</x:v>
      </x:c>
      <x:c r="D35" s="19" t="n">
        <x:f>SUMIF('SourceBS'!$D$9:$D$47,"ppe",'SourceBS'!E$9:E$47)</x:f>
        <x:v>789159</x:v>
      </x:c>
      <x:c r="E35" s="19" t="n">
        <x:f>SUMIF('SourceBS'!$D$9:$D$47,"ppe",'SourceBS'!F$9:F$47)</x:f>
        <x:v>788765</x:v>
      </x:c>
      <x:c r="F35" s="19" t="n">
        <x:f>SUMIF('SourceBS'!$D$9:$D$47,"ppe",'SourceBS'!G$9:G$47)</x:f>
        <x:v>768961</x:v>
      </x:c>
      <x:c r="G35" s="2"/>
      <x:c r="H35" s="2"/>
      <x:c r="I35" s="2"/>
    </x:row>
    <x:row r="36" ht="21" customHeight="1">
      <x:c r="C36" s="1" t="str">
        <x:v>Intangibles, development and deferred costs</x:v>
      </x:c>
      <x:c r="D36" s="19" t="n">
        <x:f>SUMIF('SourceBS'!$D$9:$D$47,"intang",'SourceBS'!E$9:E$47)</x:f>
        <x:v>54983</x:v>
      </x:c>
      <x:c r="E36" s="19" t="n">
        <x:f>SUMIF('SourceBS'!$D$9:$D$47,"intang",'SourceBS'!F$9:F$47)</x:f>
        <x:v>58396</x:v>
      </x:c>
      <x:c r="F36" s="19" t="n">
        <x:f>SUMIF('SourceBS'!$D$9:$D$47,"intang",'SourceBS'!G$9:G$47)</x:f>
        <x:v>69038</x:v>
      </x:c>
      <x:c r="G36" s="2"/>
      <x:c r="H36" s="2"/>
      <x:c r="I36" s="2"/>
    </x:row>
    <x:row r="37" ht="21" customHeight="1">
      <x:c r="C37" s="1" t="str">
        <x:v>Right-of-use assets</x:v>
      </x:c>
      <x:c r="D37" s="19" t="n">
        <x:f>SUMIF('SourceBS'!$D$9:$D$47,"rou",'SourceBS'!E$9:E$47)</x:f>
        <x:v>94753</x:v>
      </x:c>
      <x:c r="E37" s="19" t="n">
        <x:f>SUMIF('SourceBS'!$D$9:$D$47,"rou",'SourceBS'!F$9:F$47)</x:f>
        <x:v>80625</x:v>
      </x:c>
      <x:c r="F37" s="19" t="n">
        <x:f>SUMIF('SourceBS'!$D$9:$D$47,"rou",'SourceBS'!G$9:G$47)</x:f>
        <x:v>77662</x:v>
      </x:c>
      <x:c r="G37" s="2"/>
      <x:c r="H37" s="2"/>
      <x:c r="I37" s="2"/>
    </x:row>
    <x:row r="38" ht="21" customHeight="1">
      <x:c r="C38" s="1" t="str">
        <x:v>Financial investments and finance-company loan assets</x:v>
      </x:c>
      <x:c r="D38" s="19" t="n">
        <x:f>SUMIF('SourceBS'!$D$9:$D$47,"investments",'SourceBS'!E$9:E$47)</x:f>
        <x:v>532500</x:v>
      </x:c>
      <x:c r="E38" s="19" t="n">
        <x:f>SUMIF('SourceBS'!$D$9:$D$47,"investments",'SourceBS'!F$9:F$47)</x:f>
        <x:v>582438</x:v>
      </x:c>
      <x:c r="F38" s="19" t="n">
        <x:f>SUMIF('SourceBS'!$D$9:$D$47,"investments",'SourceBS'!G$9:G$47)</x:f>
        <x:v>643228</x:v>
      </x:c>
      <x:c r="G38" s="2"/>
      <x:c r="H38" s="2"/>
      <x:c r="I38" s="2"/>
    </x:row>
    <x:row r="39" ht="21" customHeight="1">
      <x:c r="C39" s="1" t="str">
        <x:v>Other assets (named components in SourceBS)</x:v>
      </x:c>
      <x:c r="D39" s="19" t="n">
        <x:f>SUMIF('SourceBS'!$D$9:$D$47,"otherAssets",'SourceBS'!E$9:E$47)</x:f>
        <x:v>219671</x:v>
      </x:c>
      <x:c r="E39" s="19" t="n">
        <x:f>SUMIF('SourceBS'!$D$9:$D$47,"otherAssets",'SourceBS'!F$9:F$47)</x:f>
        <x:v>211590</x:v>
      </x:c>
      <x:c r="F39" s="19" t="n">
        <x:f>SUMIF('SourceBS'!$D$9:$D$47,"otherAssets",'SourceBS'!G$9:G$47)</x:f>
        <x:v>225169</x:v>
      </x:c>
      <x:c r="G39" s="2"/>
      <x:c r="H39" s="2"/>
      <x:c r="I39" s="2"/>
    </x:row>
    <x:row r="40" ht="21" customHeight="1">
      <x:c r="C40" s="1" t="str">
        <x:v>Total assets</x:v>
      </x:c>
      <x:c r="D40" s="2" t="n">
        <x:v>1957357</x:v>
      </x:c>
      <x:c r="E40" s="2" t="n">
        <x:v>2072827</x:v>
      </x:c>
      <x:c r="F40" s="2" t="n">
        <x:v>2092882</x:v>
      </x:c>
      <x:c r="G40" s="2"/>
      <x:c r="H40" s="2"/>
      <x:c r="I40" s="2"/>
    </x:row>
    <x:row r="41" ht="21" customHeight="1">
      <x:c r="C41" s="1" t="str">
        <x:v>Trade and bills payables</x:v>
      </x:c>
      <x:c r="D41" s="19" t="n">
        <x:f>SUMIF('SourceBS'!$D$9:$D$47,"ap",'SourceBS'!E$9:E$47)</x:f>
        <x:v>323976</x:v>
      </x:c>
      <x:c r="E41" s="19" t="n">
        <x:f>SUMIF('SourceBS'!$D$9:$D$47,"ap",'SourceBS'!F$9:F$47)</x:f>
        <x:v>395184</x:v>
      </x:c>
      <x:c r="F41" s="19" t="n">
        <x:f>SUMIF('SourceBS'!$D$9:$D$47,"ap",'SourceBS'!G$9:G$47)</x:f>
        <x:v>351301</x:v>
      </x:c>
      <x:c r="G41" s="2"/>
      <x:c r="H41" s="2"/>
      <x:c r="I41" s="2"/>
    </x:row>
    <x:row r="42" ht="21" customHeight="1">
      <x:c r="C42" s="1" t="str">
        <x:v>Contract liabilities and customer advances</x:v>
      </x:c>
      <x:c r="D42" s="19" t="n">
        <x:f>SUMIF('SourceBS'!$D$9:$D$47,"contract",'SourceBS'!E$9:E$47)</x:f>
        <x:v>145228</x:v>
      </x:c>
      <x:c r="E42" s="19" t="n">
        <x:f>SUMIF('SourceBS'!$D$9:$D$47,"contract",'SourceBS'!F$9:F$47)</x:f>
        <x:v>134884</x:v>
      </x:c>
      <x:c r="F42" s="19" t="n">
        <x:f>SUMIF('SourceBS'!$D$9:$D$47,"contract",'SourceBS'!G$9:G$47)</x:f>
        <x:v>132821</x:v>
      </x:c>
      <x:c r="G42" s="2"/>
      <x:c r="H42" s="2"/>
      <x:c r="I42" s="2"/>
    </x:row>
    <x:row r="43" ht="21" customHeight="1">
      <x:c r="C43" s="1" t="str">
        <x:v>Borrowings, current maturities and lease liabilities</x:v>
      </x:c>
      <x:c r="D43" s="19" t="n">
        <x:f>SUMIF('SourceBS'!$D$9:$D$47,"debt",'SourceBS'!E$9:E$47)</x:f>
        <x:v>102934</x:v>
      </x:c>
      <x:c r="E43" s="19" t="n">
        <x:f>SUMIF('SourceBS'!$D$9:$D$47,"debt",'SourceBS'!F$9:F$47)</x:f>
        <x:v>88442</x:v>
      </x:c>
      <x:c r="F43" s="19" t="n">
        <x:f>SUMIF('SourceBS'!$D$9:$D$47,"debt",'SourceBS'!G$9:G$47)</x:f>
        <x:v>101197</x:v>
      </x:c>
      <x:c r="G43" s="2"/>
      <x:c r="H43" s="2"/>
      <x:c r="I43" s="2"/>
    </x:row>
    <x:row r="44" ht="21" customHeight="1">
      <x:c r="C44" s="1" t="str">
        <x:v>Taxes payable (income and other taxes)</x:v>
      </x:c>
      <x:c r="D44" s="19" t="n">
        <x:f>SUMIF('SourceBS'!$D$9:$D$47,"taxPayable",'SourceBS'!E$9:E$47)</x:f>
        <x:v>19895</x:v>
      </x:c>
      <x:c r="E44" s="19" t="n">
        <x:f>SUMIF('SourceBS'!$D$9:$D$47,"taxPayable",'SourceBS'!F$9:F$47)</x:f>
        <x:v>21549</x:v>
      </x:c>
      <x:c r="F44" s="19" t="n">
        <x:f>SUMIF('SourceBS'!$D$9:$D$47,"taxPayable",'SourceBS'!G$9:G$47)</x:f>
        <x:v>17742</x:v>
      </x:c>
      <x:c r="G44" s="2"/>
      <x:c r="H44" s="2"/>
      <x:c r="I44" s="2"/>
    </x:row>
    <x:row r="45" ht="21" customHeight="1">
      <x:c r="C45" s="1" t="str">
        <x:v>Finance-company customer deposits</x:v>
      </x:c>
      <x:c r="D45" s="19" t="n">
        <x:f>SUMIF('SourceBS'!$D$9:$D$47,"deposits",'SourceBS'!E$9:E$47)</x:f>
        <x:v>0</x:v>
      </x:c>
      <x:c r="E45" s="19" t="n">
        <x:f>SUMIF('SourceBS'!$D$9:$D$47,"deposits",'SourceBS'!F$9:F$47)</x:f>
        <x:v>0</x:v>
      </x:c>
      <x:c r="F45" s="19" t="n">
        <x:f>SUMIF('SourceBS'!$D$9:$D$47,"deposits",'SourceBS'!G$9:G$47)</x:f>
        <x:v>0</x:v>
      </x:c>
      <x:c r="G45" s="2"/>
      <x:c r="H45" s="2"/>
      <x:c r="I45" s="2"/>
    </x:row>
    <x:row r="46" ht="21" customHeight="1">
      <x:c r="C46" s="1" t="str">
        <x:v>Other liabilities (named components in SourceBS)</x:v>
      </x:c>
      <x:c r="D46" s="19" t="n">
        <x:f>SUMIF('SourceBS'!$D$9:$D$47,"otherLiabilities",'SourceBS'!E$9:E$47)</x:f>
        <x:v>54639</x:v>
      </x:c>
      <x:c r="E46" s="19" t="n">
        <x:f>SUMIF('SourceBS'!$D$9:$D$47,"otherLiabilities",'SourceBS'!F$9:F$47)</x:f>
        <x:v>71529</x:v>
      </x:c>
      <x:c r="F46" s="19" t="n">
        <x:f>SUMIF('SourceBS'!$D$9:$D$47,"otherLiabilities",'SourceBS'!G$9:G$47)</x:f>
        <x:v>92270</x:v>
      </x:c>
      <x:c r="G46" s="2"/>
      <x:c r="H46" s="2"/>
      <x:c r="I46" s="2"/>
    </x:row>
    <x:row r="47" ht="21" customHeight="1">
      <x:c r="C47" s="1" t="str">
        <x:v>Total liabilities</x:v>
      </x:c>
      <x:c r="D47" s="2" t="n">
        <x:v>646672</x:v>
      </x:c>
      <x:c r="E47" s="2" t="n">
        <x:v>711588</x:v>
      </x:c>
      <x:c r="F47" s="2" t="n">
        <x:v>695331</x:v>
      </x:c>
      <x:c r="G47" s="2"/>
      <x:c r="H47" s="2"/>
      <x:c r="I47" s="2"/>
    </x:row>
    <x:row r="48" ht="21" customHeight="1">
      <x:c r="C48" s="1" t="str">
        <x:v>Retained earnings / undistributed profits</x:v>
      </x:c>
      <x:c r="D48" s="2" t="n">
        <x:v>1147798</x:v>
      </x:c>
      <x:c r="E48" s="2" t="n">
        <x:v>1188577</x:v>
      </x:c>
      <x:c r="F48" s="2" t="n">
        <x:v>1222270</x:v>
      </x:c>
      <x:c r="G48" s="2"/>
      <x:c r="H48" s="2"/>
      <x:c r="I48" s="2"/>
    </x:row>
    <x:row r="49" ht="21" customHeight="1">
      <x:c r="C49" s="1" t="str">
        <x:v>Non-controlling interests</x:v>
      </x:c>
      <x:c r="D49" s="2" t="n">
        <x:v>4253</x:v>
      </x:c>
      <x:c r="E49" s="2" t="n">
        <x:v>4507</x:v>
      </x:c>
      <x:c r="F49" s="2" t="n">
        <x:v>4376</x:v>
      </x:c>
      <x:c r="G49" s="2"/>
      <x:c r="H49" s="2"/>
      <x:c r="I49" s="2"/>
    </x:row>
    <x:row r="50" ht="21" customHeight="1">
      <x:c r="C50" s="1" t="str">
        <x:v>Total equity</x:v>
      </x:c>
      <x:c r="D50" s="2" t="n">
        <x:v>1310685</x:v>
      </x:c>
      <x:c r="E50" s="2" t="n">
        <x:v>1361239</x:v>
      </x:c>
      <x:c r="F50" s="2" t="n">
        <x:v>1397551</x:v>
      </x:c>
      <x:c r="G50" s="2"/>
      <x:c r="H50" s="2"/>
      <x:c r="I50" s="2"/>
    </x:row>
    <x:row r="51" ht="21" customHeight="1">
      <x:c r="C51" s="1" t="str">
        <x:v>Source asset mapping difference</x:v>
      </x:c>
      <x:c r="D51" s="2" t="n">
        <x:v>0</x:v>
      </x:c>
      <x:c r="E51" s="2" t="n">
        <x:v>0</x:v>
      </x:c>
      <x:c r="F51" s="2" t="n">
        <x:v>0</x:v>
      </x:c>
      <x:c r="G51" s="2"/>
      <x:c r="H51" s="2"/>
      <x:c r="I51" s="2"/>
    </x:row>
    <x:row r="52" ht="21" customHeight="1">
      <x:c r="C52" s="1" t="str">
        <x:v>Source liability mapping difference</x:v>
      </x:c>
      <x:c r="D52" s="2" t="n">
        <x:v>0</x:v>
      </x:c>
      <x:c r="E52" s="2" t="n">
        <x:v>0</x:v>
      </x:c>
      <x:c r="F52" s="2" t="n">
        <x:v>0</x:v>
      </x:c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 t="str">
        <x:v>2023 D&amp;A unavailable in this normalized view; annual PDF retained.</x:v>
      </x:c>
      <x:c r="D56" s="2"/>
      <x:c r="E56" s="2"/>
      <x:c r="F56" s="2"/>
      <x:c r="G56" s="2"/>
      <x:c r="H56" s="2"/>
      <x:c r="I56" s="2"/>
    </x:row>
    <x:row r="57" ht="21" customHeight="1">
      <x:c r="C57" s="1" t="str">
        <x:v>Other pretax income is a historical reconciliation, not a forecast plug.</x:v>
      </x:c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 t="str">
        <x:v>Reported EBITDA: FY2025 report P008 L038</x:v>
      </x:c>
      <x:c r="D60" s="2" t="n">
        <x:v>341478</x:v>
      </x:c>
      <x:c r="E60" s="2" t="n">
        <x:v>333691</x:v>
      </x:c>
      <x:c r="F60" s="2" t="n">
        <x:v>338931</x:v>
      </x:c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SourceBS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Reported line</x:v>
      </x:c>
      <x:c r="D7" s="13" t="str">
        <x:v>Model group</x:v>
      </x:c>
      <x:c r="E7" s="13" t="str">
        <x:v>2023A</x:v>
      </x:c>
      <x:c r="F7" s="13" t="str">
        <x:v>2024A</x:v>
      </x:c>
      <x:c r="G7" s="14" t="str">
        <x:v>2025A</x:v>
      </x:c>
      <x:c r="H7" s="14" t="str">
        <x:v>Source page / line</x:v>
      </x:c>
      <x:c r="I7" s="14" t="str"/>
    </x:row>
    <x:row r="8" ht="21" customHeight="1">
      <x:c r="C8" s="1"/>
      <x:c r="D8" s="2"/>
      <x:c r="E8" s="2"/>
      <x:c r="F8" s="2"/>
      <x:c r="G8" s="2"/>
      <x:c r="H8" s="2"/>
      <x:c r="I8" s="2"/>
    </x:row>
    <x:row r="9" ht="42" customHeight="1">
      <x:c r="C9" s="1" t="str">
        <x:v>货币资金</x:v>
      </x:c>
      <x:c r="D9" s="2" t="str">
        <x:v>bankPool</x:v>
      </x:c>
      <x:c r="E9" s="2" t="n">
        <x:v>178772</x:v>
      </x:c>
      <x:c r="F9" s="2" t="n">
        <x:v>242275</x:v>
      </x:c>
      <x:c r="G9" s="2" t="n">
        <x:v>171094</x:v>
      </x:c>
      <x:c r="H9" s="20" t="str">
        <x:v>2023: china-mobile_FY2024 P094 L012; 2024: china-mobile_FY2025 P086 L012; 2025: china-mobile_FY2025 P086 L012</x:v>
      </x:c>
      <x:c r="I9" s="2"/>
    </x:row>
    <x:row r="10" ht="42" customHeight="1">
      <x:c r="C10" s="1" t="str">
        <x:v>交易性金融资产</x:v>
      </x:c>
      <x:c r="D10" s="2" t="str">
        <x:v>investments</x:v>
      </x:c>
      <x:c r="E10" s="2" t="n">
        <x:v>156018</x:v>
      </x:c>
      <x:c r="F10" s="2" t="n">
        <x:v>153194</x:v>
      </x:c>
      <x:c r="G10" s="2" t="n">
        <x:v>134550</x:v>
      </x:c>
      <x:c r="H10" s="20" t="str">
        <x:v>2023: china-mobile_FY2024 P094 L013; 2024: china-mobile_FY2025 P086 L013; 2025: china-mobile_FY2025 P086 L013</x:v>
      </x:c>
      <x:c r="I10" s="2"/>
    </x:row>
    <x:row r="11" ht="42" customHeight="1">
      <x:c r="C11" s="1" t="str">
        <x:v>应收票据</x:v>
      </x:c>
      <x:c r="D11" s="2" t="str">
        <x:v>ar</x:v>
      </x:c>
      <x:c r="E11" s="2" t="n">
        <x:v>1205</x:v>
      </x:c>
      <x:c r="F11" s="2" t="n">
        <x:v>1103</x:v>
      </x:c>
      <x:c r="G11" s="2" t="n">
        <x:v>1177</x:v>
      </x:c>
      <x:c r="H11" s="20" t="str">
        <x:v>2023: china-mobile_FY2024 P094 L014; 2024: china-mobile_FY2025 P086 L014; 2025: china-mobile_FY2025 P086 L014</x:v>
      </x:c>
      <x:c r="I11" s="2"/>
    </x:row>
    <x:row r="12" ht="42" customHeight="1">
      <x:c r="C12" s="1" t="str">
        <x:v>应收账款</x:v>
      </x:c>
      <x:c r="D12" s="2" t="str">
        <x:v>ar</x:v>
      </x:c>
      <x:c r="E12" s="2" t="n">
        <x:v>54881</x:v>
      </x:c>
      <x:c r="F12" s="2" t="n">
        <x:v>75741</x:v>
      </x:c>
      <x:c r="G12" s="2" t="n">
        <x:v>99762</x:v>
      </x:c>
      <x:c r="H12" s="20" t="str">
        <x:v>2023: china-mobile_FY2024 P094 L015; 2024: china-mobile_FY2025 P086 L015; 2025: china-mobile_FY2025 P086 L015</x:v>
      </x:c>
      <x:c r="I12" s="2"/>
    </x:row>
    <x:row r="13" ht="42" customHeight="1">
      <x:c r="C13" s="1" t="str">
        <x:v>预付款项</x:v>
      </x:c>
      <x:c r="D13" s="2" t="str">
        <x:v>otherAssets</x:v>
      </x:c>
      <x:c r="E13" s="2" t="n">
        <x:v>7516</x:v>
      </x:c>
      <x:c r="F13" s="2" t="n">
        <x:v>8315</x:v>
      </x:c>
      <x:c r="G13" s="2" t="n">
        <x:v>7755</x:v>
      </x:c>
      <x:c r="H13" s="20" t="str">
        <x:v>2023: china-mobile_FY2024 P094 L016; 2024: china-mobile_FY2025 P086 L016; 2025: china-mobile_FY2025 P086 L016</x:v>
      </x:c>
      <x:c r="I13" s="2"/>
    </x:row>
    <x:row r="14" ht="42" customHeight="1">
      <x:c r="C14" s="1" t="str">
        <x:v>其他应收款</x:v>
      </x:c>
      <x:c r="D14" s="2" t="str">
        <x:v>otherAssets</x:v>
      </x:c>
      <x:c r="E14" s="2" t="n">
        <x:v>44362</x:v>
      </x:c>
      <x:c r="F14" s="2" t="n">
        <x:v>16511</x:v>
      </x:c>
      <x:c r="G14" s="2" t="n">
        <x:v>15887</x:v>
      </x:c>
      <x:c r="H14" s="20" t="str">
        <x:v>2023: china-mobile_FY2024 P094 L017; 2024: china-mobile_FY2025 P086 L017; 2025: china-mobile_FY2025 P086 L017</x:v>
      </x:c>
      <x:c r="I14" s="2"/>
    </x:row>
    <x:row r="15" ht="42" customHeight="1">
      <x:c r="C15" s="1" t="str">
        <x:v>存货</x:v>
      </x:c>
      <x:c r="D15" s="2" t="str">
        <x:v>inventory</x:v>
      </x:c>
      <x:c r="E15" s="2" t="n">
        <x:v>12026</x:v>
      </x:c>
      <x:c r="F15" s="2" t="n">
        <x:v>11229</x:v>
      </x:c>
      <x:c r="G15" s="2" t="n">
        <x:v>16613</x:v>
      </x:c>
      <x:c r="H15" s="20" t="str">
        <x:v>2023: china-mobile_FY2024 P094 L018; 2024: china-mobile_FY2025 P086 L018; 2025: china-mobile_FY2025 P086 L018</x:v>
      </x:c>
      <x:c r="I15" s="2"/>
    </x:row>
    <x:row r="16" ht="42" customHeight="1">
      <x:c r="C16" s="1" t="str">
        <x:v>合同资产</x:v>
      </x:c>
      <x:c r="D16" s="2" t="str">
        <x:v>ar</x:v>
      </x:c>
      <x:c r="E16" s="2" t="n">
        <x:v>19407</x:v>
      </x:c>
      <x:c r="F16" s="2" t="n">
        <x:v>20665</x:v>
      </x:c>
      <x:c r="G16" s="2" t="n">
        <x:v>20178</x:v>
      </x:c>
      <x:c r="H16" s="20" t="str">
        <x:v>2023: china-mobile_FY2024 P094 L019; 2024: china-mobile_FY2025 P086 L019; 2025: china-mobile_FY2025 P086 L019</x:v>
      </x:c>
      <x:c r="I16" s="2"/>
    </x:row>
    <x:row r="17" ht="42" customHeight="1">
      <x:c r="C17" s="1" t="str">
        <x:v>其他流动资产</x:v>
      </x:c>
      <x:c r="D17" s="2" t="str">
        <x:v>otherAssets</x:v>
      </x:c>
      <x:c r="E17" s="2" t="n">
        <x:v>23917</x:v>
      </x:c>
      <x:c r="F17" s="2" t="n">
        <x:v>39526</x:v>
      </x:c>
      <x:c r="G17" s="2" t="n">
        <x:v>30630</x:v>
      </x:c>
      <x:c r="H17" s="20" t="str">
        <x:v>2023: china-mobile_FY2024 P094 L020; 2024: china-mobile_FY2025 P086 L020; 2025: china-mobile_FY2025 P086 L020</x:v>
      </x:c>
      <x:c r="I17" s="2"/>
    </x:row>
    <x:row r="18" ht="42" customHeight="1">
      <x:c r="C18" s="1" t="str">
        <x:v>债权投资</x:v>
      </x:c>
      <x:c r="D18" s="2" t="str">
        <x:v>investments</x:v>
      </x:c>
      <x:c r="E18" s="2" t="n">
        <x:v>5628</x:v>
      </x:c>
      <x:c r="F18" s="2" t="n">
        <x:v>7331</x:v>
      </x:c>
      <x:c r="G18" s="2" t="n">
        <x:v>7040</x:v>
      </x:c>
      <x:c r="H18" s="20" t="str">
        <x:v>2023: china-mobile_FY2024 P094 L024; 2024: china-mobile_FY2025 P086 L024; 2025: china-mobile_FY2025 P086 L024</x:v>
      </x:c>
      <x:c r="I18" s="2"/>
    </x:row>
    <x:row r="19" ht="42" customHeight="1">
      <x:c r="C19" s="1" t="str">
        <x:v>其他债权投资</x:v>
      </x:c>
      <x:c r="D19" s="2" t="str">
        <x:v>investments</x:v>
      </x:c>
      <x:c r="E19" s="2" t="n">
        <x:v>2995</x:v>
      </x:c>
      <x:c r="F19" s="2" t="n">
        <x:v>10856</x:v>
      </x:c>
      <x:c r="G19" s="2" t="n">
        <x:v>21265</x:v>
      </x:c>
      <x:c r="H19" s="20" t="str">
        <x:v>2023: china-mobile_FY2024 P094 L025; 2024: china-mobile_FY2025 P086 L025; 2025: china-mobile_FY2025 P086 L025</x:v>
      </x:c>
      <x:c r="I19" s="2"/>
    </x:row>
    <x:row r="20" ht="42" customHeight="1">
      <x:c r="C20" s="1" t="str">
        <x:v>长期应收款</x:v>
      </x:c>
      <x:c r="D20" s="2" t="str">
        <x:v>otherAssets</x:v>
      </x:c>
      <x:c r="E20" s="2" t="n">
        <x:v>1304</x:v>
      </x:c>
      <x:c r="F20" s="2" t="n">
        <x:v>2759</x:v>
      </x:c>
      <x:c r="G20" s="2" t="n">
        <x:v>1937</x:v>
      </x:c>
      <x:c r="H20" s="20" t="str">
        <x:v>2023: china-mobile_FY2024 P094 L026; 2024: china-mobile_FY2025 P086 L026; 2025: china-mobile_FY2025 P086 L026</x:v>
      </x:c>
      <x:c r="I20" s="2"/>
    </x:row>
    <x:row r="21" ht="42" customHeight="1">
      <x:c r="C21" s="1" t="str">
        <x:v>长期股权投资</x:v>
      </x:c>
      <x:c r="D21" s="2" t="str">
        <x:v>investments</x:v>
      </x:c>
      <x:c r="E21" s="2" t="n">
        <x:v>181715</x:v>
      </x:c>
      <x:c r="F21" s="2" t="n">
        <x:v>198563</x:v>
      </x:c>
      <x:c r="G21" s="2" t="n">
        <x:v>214353</x:v>
      </x:c>
      <x:c r="H21" s="20" t="str">
        <x:v>2023: china-mobile_FY2024 P094 L027; 2024: china-mobile_FY2025 P086 L027; 2025: china-mobile_FY2025 P086 L027</x:v>
      </x:c>
      <x:c r="I21" s="2"/>
    </x:row>
    <x:row r="22" ht="42" customHeight="1">
      <x:c r="C22" s="1" t="str">
        <x:v>其他权益工具投资</x:v>
      </x:c>
      <x:c r="D22" s="2" t="str">
        <x:v>investments</x:v>
      </x:c>
      <x:c r="E22" s="2" t="n">
        <x:v>523</x:v>
      </x:c>
      <x:c r="F22" s="2" t="n">
        <x:v>3072</x:v>
      </x:c>
      <x:c r="G22" s="2" t="n">
        <x:v>11123</x:v>
      </x:c>
      <x:c r="H22" s="20" t="str">
        <x:v>2023: china-mobile_FY2024 P094 L028; 2024: china-mobile_FY2025 P086 L028; 2025: china-mobile_FY2025 P086 L028</x:v>
      </x:c>
      <x:c r="I22" s="2"/>
    </x:row>
    <x:row r="23" ht="42" customHeight="1">
      <x:c r="C23" s="1" t="str">
        <x:v>其他非流动金融资产</x:v>
      </x:c>
      <x:c r="D23" s="2" t="str">
        <x:v>investments</x:v>
      </x:c>
      <x:c r="E23" s="2" t="n">
        <x:v>185621</x:v>
      </x:c>
      <x:c r="F23" s="2" t="n">
        <x:v>209422</x:v>
      </x:c>
      <x:c r="G23" s="2" t="n">
        <x:v>254897</x:v>
      </x:c>
      <x:c r="H23" s="20" t="str">
        <x:v>2023: china-mobile_FY2024 P094 L029; 2024: china-mobile_FY2025 P086 L029; 2025: china-mobile_FY2025 P086 L029</x:v>
      </x:c>
      <x:c r="I23" s="2"/>
    </x:row>
    <x:row r="24" ht="42" customHeight="1">
      <x:c r="C24" s="1" t="str">
        <x:v>固定资产</x:v>
      </x:c>
      <x:c r="D24" s="2" t="str">
        <x:v>ppe</x:v>
      </x:c>
      <x:c r="E24" s="2" t="n">
        <x:v>714663</x:v>
      </x:c>
      <x:c r="F24" s="2" t="n">
        <x:v>714494</x:v>
      </x:c>
      <x:c r="G24" s="2" t="n">
        <x:v>707116</x:v>
      </x:c>
      <x:c r="H24" s="20" t="str">
        <x:v>2023: china-mobile_FY2024 P094 L030; 2024: china-mobile_FY2025 P086 L030; 2025: china-mobile_FY2025 P086 L030</x:v>
      </x:c>
      <x:c r="I24" s="2"/>
    </x:row>
    <x:row r="25" ht="42" customHeight="1">
      <x:c r="C25" s="1" t="str">
        <x:v>在建工程</x:v>
      </x:c>
      <x:c r="D25" s="2" t="str">
        <x:v>ppe</x:v>
      </x:c>
      <x:c r="E25" s="2" t="n">
        <x:v>74496</x:v>
      </x:c>
      <x:c r="F25" s="2" t="n">
        <x:v>74271</x:v>
      </x:c>
      <x:c r="G25" s="2" t="n">
        <x:v>61845</x:v>
      </x:c>
      <x:c r="H25" s="20" t="str">
        <x:v>2023: china-mobile_FY2024 P094 L031; 2024: china-mobile_FY2025 P086 L031; 2025: china-mobile_FY2025 P086 L031</x:v>
      </x:c>
      <x:c r="I25" s="2"/>
    </x:row>
    <x:row r="26" ht="42" customHeight="1">
      <x:c r="C26" s="1" t="str">
        <x:v>使用权资产</x:v>
      </x:c>
      <x:c r="D26" s="2" t="str">
        <x:v>rou</x:v>
      </x:c>
      <x:c r="E26" s="2" t="n">
        <x:v>94753</x:v>
      </x:c>
      <x:c r="F26" s="2" t="n">
        <x:v>80625</x:v>
      </x:c>
      <x:c r="G26" s="2" t="n">
        <x:v>77662</x:v>
      </x:c>
      <x:c r="H26" s="20" t="str">
        <x:v>2023: china-mobile_FY2024 P094 L032; 2024: china-mobile_FY2025 P086 L032; 2025: china-mobile_FY2025 P086 L032</x:v>
      </x:c>
      <x:c r="I26" s="2"/>
    </x:row>
    <x:row r="27" ht="42" customHeight="1">
      <x:c r="C27" s="1" t="str">
        <x:v>无形资产</x:v>
      </x:c>
      <x:c r="D27" s="2" t="str">
        <x:v>intang</x:v>
      </x:c>
      <x:c r="E27" s="2" t="n">
        <x:v>47597</x:v>
      </x:c>
      <x:c r="F27" s="2" t="n">
        <x:v>50804</x:v>
      </x:c>
      <x:c r="G27" s="2" t="n">
        <x:v>59748</x:v>
      </x:c>
      <x:c r="H27" s="20" t="str">
        <x:v>2023: china-mobile_FY2024 P094 L033; 2024: china-mobile_FY2025 P086 L033; 2025: china-mobile_FY2025 P086 L033</x:v>
      </x:c>
      <x:c r="I27" s="2"/>
    </x:row>
    <x:row r="28" ht="42" customHeight="1">
      <x:c r="C28" s="1" t="str">
        <x:v>开发支出</x:v>
      </x:c>
      <x:c r="D28" s="2" t="str">
        <x:v>intang</x:v>
      </x:c>
      <x:c r="E28" s="2" t="n">
        <x:v>2279</x:v>
      </x:c>
      <x:c r="F28" s="2" t="n">
        <x:v>2157</x:v>
      </x:c>
      <x:c r="G28" s="2" t="n">
        <x:v>3610</x:v>
      </x:c>
      <x:c r="H28" s="20" t="str">
        <x:v>2023: china-mobile_FY2024 P094 L035; 2024: china-mobile_FY2025 P086 L035; 2025: china-mobile_FY2025 P086 L035</x:v>
      </x:c>
      <x:c r="I28" s="2"/>
    </x:row>
    <x:row r="29" ht="42" customHeight="1">
      <x:c r="C29" s="1" t="str">
        <x:v>长期待摊费用</x:v>
      </x:c>
      <x:c r="D29" s="2" t="str">
        <x:v>intang</x:v>
      </x:c>
      <x:c r="E29" s="2" t="n">
        <x:v>5107</x:v>
      </x:c>
      <x:c r="F29" s="2" t="n">
        <x:v>5435</x:v>
      </x:c>
      <x:c r="G29" s="2" t="n">
        <x:v>5680</x:v>
      </x:c>
      <x:c r="H29" s="20" t="str">
        <x:v>2023: china-mobile_FY2024 P094 L037; 2024: china-mobile_FY2025 P086 L037; 2025: china-mobile_FY2025 P086 L037</x:v>
      </x:c>
      <x:c r="I29" s="2"/>
    </x:row>
    <x:row r="30" ht="42" customHeight="1">
      <x:c r="C30" s="1" t="str">
        <x:v>商誉</x:v>
      </x:c>
      <x:c r="D30" s="2" t="str">
        <x:v>otherAssets</x:v>
      </x:c>
      <x:c r="E30" s="2" t="n">
        <x:v>1</x:v>
      </x:c>
      <x:c r="F30" s="2" t="n">
        <x:v>1</x:v>
      </x:c>
      <x:c r="G30" s="2" t="n">
        <x:v>3964</x:v>
      </x:c>
      <x:c r="H30" s="20" t="str">
        <x:v>2023: china-mobile_FY2024 P094 L038; 2024: china-mobile_FY2025 P086 L038; 2025: china-mobile_FY2025 P086 L038</x:v>
      </x:c>
      <x:c r="I30" s="2"/>
    </x:row>
    <x:row r="31" ht="42" customHeight="1">
      <x:c r="C31" s="1" t="str">
        <x:v>递延所得税资产</x:v>
      </x:c>
      <x:c r="D31" s="2" t="str">
        <x:v>otherAssets</x:v>
      </x:c>
      <x:c r="E31" s="2" t="n">
        <x:v>47337</x:v>
      </x:c>
      <x:c r="F31" s="2" t="n">
        <x:v>50755</x:v>
      </x:c>
      <x:c r="G31" s="2" t="n">
        <x:v>52097</x:v>
      </x:c>
      <x:c r="H31" s="20" t="str">
        <x:v>2023: china-mobile_FY2024 P094 L039; 2024: china-mobile_FY2025 P086 L039; 2025: china-mobile_FY2025 P086 L039</x:v>
      </x:c>
      <x:c r="I31" s="2"/>
    </x:row>
    <x:row r="32" ht="42" customHeight="1">
      <x:c r="C32" s="1" t="str">
        <x:v>其他非流动资产</x:v>
      </x:c>
      <x:c r="D32" s="2" t="str">
        <x:v>otherAssets</x:v>
      </x:c>
      <x:c r="E32" s="2" t="n">
        <x:v>95234</x:v>
      </x:c>
      <x:c r="F32" s="2" t="n">
        <x:v>93723</x:v>
      </x:c>
      <x:c r="G32" s="2" t="n">
        <x:v>112899</x:v>
      </x:c>
      <x:c r="H32" s="20" t="str">
        <x:v>2023: china-mobile_FY2024 P094 L040; 2024: china-mobile_FY2025 P086 L040; 2025: china-mobile_FY2025 P086 L040</x:v>
      </x:c>
      <x:c r="I32" s="2"/>
    </x:row>
    <x:row r="33" ht="42" customHeight="1">
      <x:c r="C33" s="1" t="str">
        <x:v>应付票据</x:v>
      </x:c>
      <x:c r="D33" s="2" t="str">
        <x:v>ap</x:v>
      </x:c>
      <x:c r="E33" s="2" t="n">
        <x:v>26520</x:v>
      </x:c>
      <x:c r="F33" s="2" t="n">
        <x:v>40843</x:v>
      </x:c>
      <x:c r="G33" s="2" t="n">
        <x:v>17202</x:v>
      </x:c>
      <x:c r="H33" s="20" t="str">
        <x:v>2023: china-mobile_FY2024 P095 L011; 2024: china-mobile_FY2025 P087 L011; 2025: china-mobile_FY2025 P087 L011</x:v>
      </x:c>
      <x:c r="I33" s="2"/>
    </x:row>
    <x:row r="34" ht="42" customHeight="1">
      <x:c r="C34" s="1" t="str">
        <x:v>应付账款</x:v>
      </x:c>
      <x:c r="D34" s="2" t="str">
        <x:v>ap</x:v>
      </x:c>
      <x:c r="E34" s="2" t="n">
        <x:v>297456</x:v>
      </x:c>
      <x:c r="F34" s="2" t="n">
        <x:v>354341</x:v>
      </x:c>
      <x:c r="G34" s="2" t="n">
        <x:v>334099</x:v>
      </x:c>
      <x:c r="H34" s="20" t="str">
        <x:v>2023: china-mobile_FY2024 P095 L012; 2024: china-mobile_FY2025 P087 L012; 2025: china-mobile_FY2025 P087 L012</x:v>
      </x:c>
      <x:c r="I34" s="2"/>
    </x:row>
    <x:row r="35" ht="42" customHeight="1">
      <x:c r="C35" s="1" t="str">
        <x:v>预收款项</x:v>
      </x:c>
      <x:c r="D35" s="2" t="str">
        <x:v>contract</x:v>
      </x:c>
      <x:c r="E35" s="2" t="n">
        <x:v>79035</x:v>
      </x:c>
      <x:c r="F35" s="2" t="n">
        <x:v>79920</x:v>
      </x:c>
      <x:c r="G35" s="2" t="n">
        <x:v>83206</x:v>
      </x:c>
      <x:c r="H35" s="20" t="str">
        <x:v>2023: china-mobile_FY2024 P095 L013; 2024: china-mobile_FY2025 P087 L013; 2025: china-mobile_FY2025 P087 L013</x:v>
      </x:c>
      <x:c r="I35" s="2"/>
    </x:row>
    <x:row r="36" ht="42" customHeight="1">
      <x:c r="C36" s="1" t="str">
        <x:v>合同负债</x:v>
      </x:c>
      <x:c r="D36" s="2" t="str">
        <x:v>contract</x:v>
      </x:c>
      <x:c r="E36" s="2" t="n">
        <x:v>66193</x:v>
      </x:c>
      <x:c r="F36" s="2" t="n">
        <x:v>54964</x:v>
      </x:c>
      <x:c r="G36" s="2" t="n">
        <x:v>49615</x:v>
      </x:c>
      <x:c r="H36" s="20" t="str">
        <x:v>2023: china-mobile_FY2024 P095 L014; 2024: china-mobile_FY2025 P087 L014; 2025: china-mobile_FY2025 P087 L014</x:v>
      </x:c>
      <x:c r="I36" s="2"/>
    </x:row>
    <x:row r="37" ht="42" customHeight="1">
      <x:c r="C37" s="1" t="str">
        <x:v>应付职工薪酬</x:v>
      </x:c>
      <x:c r="D37" s="2" t="str">
        <x:v>otherLiabilities</x:v>
      </x:c>
      <x:c r="E37" s="2" t="n">
        <x:v>5922</x:v>
      </x:c>
      <x:c r="F37" s="2" t="n">
        <x:v>5779</x:v>
      </x:c>
      <x:c r="G37" s="2" t="n">
        <x:v>5768</x:v>
      </x:c>
      <x:c r="H37" s="20" t="str">
        <x:v>2023: china-mobile_FY2024 P095 L015; 2024: china-mobile_FY2025 P087 L015; 2025: china-mobile_FY2025 P087 L015</x:v>
      </x:c>
      <x:c r="I37" s="2"/>
    </x:row>
    <x:row r="38" ht="42" customHeight="1">
      <x:c r="C38" s="1" t="str">
        <x:v>应交税费</x:v>
      </x:c>
      <x:c r="D38" s="2" t="str">
        <x:v>taxPayable</x:v>
      </x:c>
      <x:c r="E38" s="2" t="n">
        <x:v>19895</x:v>
      </x:c>
      <x:c r="F38" s="2" t="n">
        <x:v>21549</x:v>
      </x:c>
      <x:c r="G38" s="2" t="n">
        <x:v>17742</x:v>
      </x:c>
      <x:c r="H38" s="20" t="str">
        <x:v>2023: china-mobile_FY2024 P095 L016; 2024: china-mobile_FY2025 P087 L016; 2025: china-mobile_FY2025 P087 L016</x:v>
      </x:c>
      <x:c r="I38" s="2"/>
    </x:row>
    <x:row r="39" ht="42" customHeight="1">
      <x:c r="C39" s="1" t="str">
        <x:v>其他应付款</x:v>
      </x:c>
      <x:c r="D39" s="2" t="str">
        <x:v>otherLiabilities</x:v>
      </x:c>
      <x:c r="E39" s="2" t="n">
        <x:v>26673</x:v>
      </x:c>
      <x:c r="F39" s="2" t="n">
        <x:v>41329</x:v>
      </x:c>
      <x:c r="G39" s="2" t="n">
        <x:v>61613</x:v>
      </x:c>
      <x:c r="H39" s="20" t="str">
        <x:v>2023: china-mobile_FY2024 P095 L017; 2024: china-mobile_FY2025 P087 L017; 2025: china-mobile_FY2025 P087 L017</x:v>
      </x:c>
      <x:c r="I39" s="2"/>
    </x:row>
    <x:row r="40" ht="42" customHeight="1">
      <x:c r="C40" s="1" t="str">
        <x:v>一年内到期的非流动负债</x:v>
      </x:c>
      <x:c r="D40" s="2" t="str">
        <x:v>debt</x:v>
      </x:c>
      <x:c r="E40" s="2" t="n">
        <x:v>35175</x:v>
      </x:c>
      <x:c r="F40" s="2" t="n">
        <x:v>32512</x:v>
      </x:c>
      <x:c r="G40" s="2" t="n">
        <x:v>42507</x:v>
      </x:c>
      <x:c r="H40" s="20" t="str">
        <x:v>2023: china-mobile_FY2024 P095 L018; 2024: china-mobile_FY2025 P087 L018; 2025: china-mobile_FY2025 P087 L018</x:v>
      </x:c>
      <x:c r="I40" s="2"/>
    </x:row>
    <x:row r="41" ht="42" customHeight="1">
      <x:c r="C41" s="1" t="str">
        <x:v>其他流动负债</x:v>
      </x:c>
      <x:c r="D41" s="2" t="str">
        <x:v>otherLiabilities</x:v>
      </x:c>
      <x:c r="E41" s="2" t="n">
        <x:v>1696</x:v>
      </x:c>
      <x:c r="F41" s="2" t="n">
        <x:v>1781</x:v>
      </x:c>
      <x:c r="G41" s="2" t="n">
        <x:v>1808</x:v>
      </x:c>
      <x:c r="H41" s="20" t="str">
        <x:v>2023: china-mobile_FY2024 P095 L019; 2024: china-mobile_FY2025 P087 L019; 2025: china-mobile_FY2025 P087 L019</x:v>
      </x:c>
      <x:c r="I41" s="2"/>
    </x:row>
    <x:row r="42" ht="42" customHeight="1">
      <x:c r="C42" s="1" t="str">
        <x:v>租赁负债</x:v>
      </x:c>
      <x:c r="D42" s="2" t="str">
        <x:v>debt</x:v>
      </x:c>
      <x:c r="E42" s="2" t="n">
        <x:v>67759</x:v>
      </x:c>
      <x:c r="F42" s="2" t="n">
        <x:v>55930</x:v>
      </x:c>
      <x:c r="G42" s="2" t="n">
        <x:v>48942</x:v>
      </x:c>
      <x:c r="H42" s="20" t="str">
        <x:v>2023: china-mobile_FY2024 P095 L023; 2024: china-mobile_FY2025 P087 L024; 2025: china-mobile_FY2025 P087 L024</x:v>
      </x:c>
      <x:c r="I42" s="2"/>
    </x:row>
    <x:row r="43" ht="42" customHeight="1">
      <x:c r="C43" s="1" t="str">
        <x:v>递延收益</x:v>
      </x:c>
      <x:c r="D43" s="2" t="str">
        <x:v>otherLiabilities</x:v>
      </x:c>
      <x:c r="E43" s="2" t="n">
        <x:v>9281</x:v>
      </x:c>
      <x:c r="F43" s="2" t="n">
        <x:v>9274</x:v>
      </x:c>
      <x:c r="G43" s="2" t="n">
        <x:v>9144</x:v>
      </x:c>
      <x:c r="H43" s="20" t="str">
        <x:v>2023: china-mobile_FY2024 P095 L024; 2024: china-mobile_FY2025 P087 L025; 2025: china-mobile_FY2025 P087 L025</x:v>
      </x:c>
      <x:c r="I43" s="2"/>
    </x:row>
    <x:row r="44" ht="42" customHeight="1">
      <x:c r="C44" s="1" t="str">
        <x:v>长期应付职工薪酬</x:v>
      </x:c>
      <x:c r="D44" s="2" t="str">
        <x:v>otherLiabilities</x:v>
      </x:c>
      <x:c r="E44" s="2" t="n">
        <x:v>6408</x:v>
      </x:c>
      <x:c r="F44" s="2" t="n">
        <x:v>7006</x:v>
      </x:c>
      <x:c r="G44" s="2" t="n">
        <x:v>6643</x:v>
      </x:c>
      <x:c r="H44" s="20" t="str">
        <x:v>2023: china-mobile_FY2024 P095 L025; 2024: china-mobile_FY2025 P087 L026; 2025: china-mobile_FY2025 P087 L026</x:v>
      </x:c>
      <x:c r="I44" s="2"/>
    </x:row>
    <x:row r="45" ht="42" customHeight="1">
      <x:c r="C45" s="1" t="str">
        <x:v>递延所得税负债</x:v>
      </x:c>
      <x:c r="D45" s="2" t="str">
        <x:v>otherLiabilities</x:v>
      </x:c>
      <x:c r="E45" s="2" t="n">
        <x:v>3077</x:v>
      </x:c>
      <x:c r="F45" s="2" t="n">
        <x:v>3877</x:v>
      </x:c>
      <x:c r="G45" s="2" t="n">
        <x:v>4881</x:v>
      </x:c>
      <x:c r="H45" s="20" t="str">
        <x:v>2023: china-mobile_FY2024 P095 L026; 2024: china-mobile_FY2025 P087 L027; 2025: china-mobile_FY2025 P087 L027</x:v>
      </x:c>
      <x:c r="I45" s="2"/>
    </x:row>
    <x:row r="46" ht="42" customHeight="1">
      <x:c r="C46" s="1" t="str">
        <x:v>其他非流动负债</x:v>
      </x:c>
      <x:c r="D46" s="2" t="str">
        <x:v>otherLiabilities</x:v>
      </x:c>
      <x:c r="E46" s="2" t="n">
        <x:v>1582</x:v>
      </x:c>
      <x:c r="F46" s="2" t="n">
        <x:v>2483</x:v>
      </x:c>
      <x:c r="G46" s="2" t="n">
        <x:v>2413</x:v>
      </x:c>
      <x:c r="H46" s="20" t="str">
        <x:v>2023: china-mobile_FY2024 P095 L027; 2024: china-mobile_FY2025 P087 L028; 2025: china-mobile_FY2025 P087 L028</x:v>
      </x:c>
      <x:c r="I46" s="2"/>
    </x:row>
    <x:row r="47" ht="42" customHeight="1">
      <x:c r="C47" s="1" t="str">
        <x:v>长期借款</x:v>
      </x:c>
      <x:c r="D47" s="2" t="str">
        <x:v>debt</x:v>
      </x:c>
      <x:c r="E47" s="2" t="n">
        <x:v>0</x:v>
      </x:c>
      <x:c r="F47" s="2" t="n">
        <x:v>0</x:v>
      </x:c>
      <x:c r="G47" s="2" t="n">
        <x:v>9748</x:v>
      </x:c>
      <x:c r="H47" s="20" t="str">
        <x:v>2024: china-mobile_FY2025 P087 L023; 2025: china-mobile_FY2025 P087 L023</x:v>
      </x:c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78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Sources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 t="str">
        <x:v>Source / field</x:v>
      </x:c>
      <x:c r="D7" s="13" t="str">
        <x:v>Period</x:v>
      </x:c>
      <x:c r="E7" s="13" t="str">
        <x:v>Value</x:v>
      </x:c>
      <x:c r="F7" s="13" t="str">
        <x:v>Units</x:v>
      </x:c>
      <x:c r="G7" s="14" t="str">
        <x:v>Evidence class</x:v>
      </x:c>
      <x:c r="H7" s="14" t="str">
        <x:v>Page / line</x:v>
      </x:c>
      <x:c r="I7" s="14" t="str">
        <x:v>Primary URL</x:v>
      </x:c>
    </x:row>
    <x:row r="8" ht="21" customHeight="1">
      <x:c r="C8" s="1"/>
      <x:c r="D8" s="2"/>
      <x:c r="E8" s="2"/>
      <x:c r="F8" s="2"/>
      <x:c r="G8" s="2"/>
      <x:c r="H8" s="2"/>
      <x:c r="I8" s="2"/>
    </x:row>
    <x:row r="9" ht="29" customHeight="1">
      <x:c r="C9" s="42" t="str">
        <x:v>china-mobile_FY2024</x:v>
      </x:c>
      <x:c r="D9" s="43" t="str">
        <x:v>FY2024</x:v>
      </x:c>
      <x:c r="E9" s="43"/>
      <x:c r="F9" s="43" t="str">
        <x:v>RMB</x:v>
      </x:c>
      <x:c r="G9" s="43" t="str">
        <x:v>SOURCE_FACT</x:v>
      </x:c>
      <x:c r="H9" s="43" t="str">
        <x:v>222 PDF pages</x:v>
      </x:c>
      <x:c r="I9" s="43" t="str">
        <x:v>https://static.cninfo.com.cn/finalpage/2025-03-21/1222856315.PDF</x:v>
      </x:c>
    </x:row>
    <x:row r="10" ht="29" customHeight="1">
      <x:c r="C10" s="42" t="str">
        <x:v>PDF SHA-256</x:v>
      </x:c>
      <x:c r="D10" s="43" t="str">
        <x:v>9320df7bbb9de076b0fcf8ac9286457792d048f957c9ed908b31a7d9b39e7c5a</x:v>
      </x:c>
      <x:c r="E10" s="43"/>
      <x:c r="F10" s="43"/>
      <x:c r="G10" s="43"/>
      <x:c r="H10" s="43"/>
      <x:c r="I10" s="43"/>
    </x:row>
    <x:row r="11" ht="29" customHeight="1">
      <x:c r="C11" s="42"/>
      <x:c r="D11" s="43"/>
      <x:c r="E11" s="43"/>
      <x:c r="F11" s="43"/>
      <x:c r="G11" s="43"/>
      <x:c r="H11" s="43"/>
      <x:c r="I11" s="43"/>
    </x:row>
    <x:row r="12" ht="29" customHeight="1">
      <x:c r="C12" s="42" t="str">
        <x:v>china-mobile_FY2025</x:v>
      </x:c>
      <x:c r="D12" s="43" t="str">
        <x:v>FY2025</x:v>
      </x:c>
      <x:c r="E12" s="43"/>
      <x:c r="F12" s="43" t="str">
        <x:v>RMB</x:v>
      </x:c>
      <x:c r="G12" s="43" t="str">
        <x:v>SOURCE_FACT</x:v>
      </x:c>
      <x:c r="H12" s="43" t="str">
        <x:v>214 PDF pages</x:v>
      </x:c>
      <x:c r="I12" s="43" t="str">
        <x:v>https://static.cninfo.com.cn/finalpage/2026-03-27/1225036280.PDF</x:v>
      </x:c>
    </x:row>
    <x:row r="13" ht="29" customHeight="1">
      <x:c r="C13" s="42" t="str">
        <x:v>PDF SHA-256</x:v>
      </x:c>
      <x:c r="D13" s="43" t="str">
        <x:v>8bde14d742b4869c344cc525ed892ec928d2eadf57757945c7e5a0e5bc3c7684</x:v>
      </x:c>
      <x:c r="E13" s="43"/>
      <x:c r="F13" s="43"/>
      <x:c r="G13" s="43"/>
      <x:c r="H13" s="43"/>
      <x:c r="I13" s="43"/>
    </x:row>
    <x:row r="14" ht="29" customHeight="1">
      <x:c r="C14" s="42"/>
      <x:c r="D14" s="43"/>
      <x:c r="E14" s="43"/>
      <x:c r="F14" s="43"/>
      <x:c r="G14" s="43"/>
      <x:c r="H14" s="43"/>
      <x:c r="I14" s="43"/>
    </x:row>
    <x:row r="15" ht="29" customHeight="1">
      <x:c r="C15" s="42" t="str">
        <x:v>china-mobile_H12026</x:v>
      </x:c>
      <x:c r="D15" s="43" t="str">
        <x:v>H12026</x:v>
      </x:c>
      <x:c r="E15" s="43"/>
      <x:c r="F15" s="43" t="str">
        <x:v>RMB</x:v>
      </x:c>
      <x:c r="G15" s="43" t="str">
        <x:v>SOURCE_FACT</x:v>
      </x:c>
      <x:c r="H15" s="43" t="str">
        <x:v>159 PDF pages</x:v>
      </x:c>
      <x:c r="I15" s="43" t="str">
        <x:v>https://static.cninfo.com.cn/finalpage/2026-08-14/1225472195.PDF</x:v>
      </x:c>
    </x:row>
    <x:row r="16" ht="29" customHeight="1">
      <x:c r="C16" s="42" t="str">
        <x:v>PDF SHA-256</x:v>
      </x:c>
      <x:c r="D16" s="43" t="str">
        <x:v>f1f174314b3aa504dcbf726ac218fa62bb072a4bc89e90c350ec3f4841d70eb7</x:v>
      </x:c>
      <x:c r="E16" s="43"/>
      <x:c r="F16" s="43"/>
      <x:c r="G16" s="43"/>
      <x:c r="H16" s="43"/>
      <x:c r="I16" s="43"/>
    </x:row>
    <x:row r="17" ht="29" customHeight="1">
      <x:c r="C17" s="42"/>
      <x:c r="D17" s="43"/>
      <x:c r="E17" s="43"/>
      <x:c r="F17" s="43"/>
      <x:c r="G17" s="43"/>
      <x:c r="H17" s="43"/>
      <x:c r="I17" s="43"/>
    </x:row>
    <x:row r="18" ht="29" customHeight="1">
      <x:c r="C18" s="42" t="str">
        <x:v>一、营业收入</x:v>
      </x:c>
      <x:c r="D18" s="43" t="str">
        <x:v>FY2023</x:v>
      </x:c>
      <x:c r="E18" s="43" t="n">
        <x:v>1009309</x:v>
      </x:c>
      <x:c r="F18" s="43" t="str">
        <x:v>RMB million</x:v>
      </x:c>
      <x:c r="G18" s="43" t="str">
        <x:v>SOURCE_FACT</x:v>
      </x:c>
      <x:c r="H18" s="43" t="str">
        <x:v>P096 L010</x:v>
      </x:c>
      <x:c r="I18" s="43" t="str">
        <x:v>https://static.cninfo.com.cn/finalpage/2025-03-21/1222856315.PDF</x:v>
      </x:c>
    </x:row>
    <x:row r="19" ht="29" customHeight="1">
      <x:c r="C19" s="42" t="str">
        <x:v>减：营业成本</x:v>
      </x:c>
      <x:c r="D19" s="43" t="str">
        <x:v>FY2023</x:v>
      </x:c>
      <x:c r="E19" s="43" t="n">
        <x:v>724358</x:v>
      </x:c>
      <x:c r="F19" s="43" t="str">
        <x:v>RMB million</x:v>
      </x:c>
      <x:c r="G19" s="43" t="str">
        <x:v>SOURCE_FACT</x:v>
      </x:c>
      <x:c r="H19" s="43" t="str">
        <x:v>P096 L011</x:v>
      </x:c>
      <x:c r="I19" s="43" t="str">
        <x:v>https://static.cninfo.com.cn/finalpage/2025-03-21/1222856315.PDF</x:v>
      </x:c>
    </x:row>
    <x:row r="20" ht="29" customHeight="1">
      <x:c r="C20" s="42" t="str">
        <x:v>销售费用</x:v>
      </x:c>
      <x:c r="D20" s="43" t="str">
        <x:v>FY2023</x:v>
      </x:c>
      <x:c r="E20" s="43" t="n">
        <x:v>52477</x:v>
      </x:c>
      <x:c r="F20" s="43" t="str">
        <x:v>RMB million</x:v>
      </x:c>
      <x:c r="G20" s="43" t="str">
        <x:v>SOURCE_FACT</x:v>
      </x:c>
      <x:c r="H20" s="43" t="str">
        <x:v>P096 L013</x:v>
      </x:c>
      <x:c r="I20" s="43" t="str">
        <x:v>https://static.cninfo.com.cn/finalpage/2025-03-21/1222856315.PDF</x:v>
      </x:c>
    </x:row>
    <x:row r="21" ht="29" customHeight="1">
      <x:c r="C21" s="42" t="str">
        <x:v>管理费用</x:v>
      </x:c>
      <x:c r="D21" s="43" t="str">
        <x:v>FY2023</x:v>
      </x:c>
      <x:c r="E21" s="43" t="n">
        <x:v>56025</x:v>
      </x:c>
      <x:c r="F21" s="43" t="str">
        <x:v>RMB million</x:v>
      </x:c>
      <x:c r="G21" s="43" t="str">
        <x:v>SOURCE_FACT</x:v>
      </x:c>
      <x:c r="H21" s="43" t="str">
        <x:v>P096 L014</x:v>
      </x:c>
      <x:c r="I21" s="43" t="str">
        <x:v>https://static.cninfo.com.cn/finalpage/2025-03-21/1222856315.PDF</x:v>
      </x:c>
    </x:row>
    <x:row r="22" ht="29" customHeight="1">
      <x:c r="C22" s="42" t="str">
        <x:v>研发费用</x:v>
      </x:c>
      <x:c r="D22" s="43" t="str">
        <x:v>FY2023</x:v>
      </x:c>
      <x:c r="E22" s="43" t="n">
        <x:v>28711</x:v>
      </x:c>
      <x:c r="F22" s="43" t="str">
        <x:v>RMB million</x:v>
      </x:c>
      <x:c r="G22" s="43" t="str">
        <x:v>SOURCE_FACT</x:v>
      </x:c>
      <x:c r="H22" s="43" t="str">
        <x:v>P096 L015</x:v>
      </x:c>
      <x:c r="I22" s="43" t="str">
        <x:v>https://static.cninfo.com.cn/finalpage/2025-03-21/1222856315.PDF</x:v>
      </x:c>
    </x:row>
    <x:row r="23" ht="29" customHeight="1">
      <x:c r="C23" s="42" t="str">
        <x:v>税金及附加</x:v>
      </x:c>
      <x:c r="D23" s="43" t="str">
        <x:v>FY2023</x:v>
      </x:c>
      <x:c r="E23" s="43" t="n">
        <x:v>3071</x:v>
      </x:c>
      <x:c r="F23" s="43" t="str">
        <x:v>RMB million</x:v>
      </x:c>
      <x:c r="G23" s="43" t="str">
        <x:v>SOURCE_FACT</x:v>
      </x:c>
      <x:c r="H23" s="43" t="str">
        <x:v>P096 L012</x:v>
      </x:c>
      <x:c r="I23" s="43" t="str">
        <x:v>https://static.cninfo.com.cn/finalpage/2025-03-21/1222856315.PDF</x:v>
      </x:c>
    </x:row>
    <x:row r="24" ht="29" customHeight="1">
      <x:c r="C24" s="42" t="str">
        <x:v>财务费用</x:v>
      </x:c>
      <x:c r="D24" s="43" t="str">
        <x:v>FY2023</x:v>
      </x:c>
      <x:c r="E24" s="43" t="n">
        <x:v>-3457</x:v>
      </x:c>
      <x:c r="F24" s="43" t="str">
        <x:v>RMB million</x:v>
      </x:c>
      <x:c r="G24" s="43" t="str">
        <x:v>SOURCE_FACT</x:v>
      </x:c>
      <x:c r="H24" s="43" t="str">
        <x:v>P096 L016</x:v>
      </x:c>
      <x:c r="I24" s="43" t="str">
        <x:v>https://static.cninfo.com.cn/finalpage/2025-03-21/1222856315.PDF</x:v>
      </x:c>
    </x:row>
    <x:row r="25" ht="29" customHeight="1">
      <x:c r="C25" s="42" t="str">
        <x:v>其中：利息费用</x:v>
      </x:c>
      <x:c r="D25" s="43" t="str">
        <x:v>FY2023</x:v>
      </x:c>
      <x:c r="E25" s="43" t="n">
        <x:v>3730</x:v>
      </x:c>
      <x:c r="F25" s="43" t="str">
        <x:v>RMB million</x:v>
      </x:c>
      <x:c r="G25" s="43" t="str">
        <x:v>SOURCE_FACT</x:v>
      </x:c>
      <x:c r="H25" s="43" t="str">
        <x:v>P096 L017</x:v>
      </x:c>
      <x:c r="I25" s="43" t="str">
        <x:v>https://static.cninfo.com.cn/finalpage/2025-03-21/1222856315.PDF</x:v>
      </x:c>
    </x:row>
    <x:row r="26" ht="29" customHeight="1">
      <x:c r="C26" s="42" t="str">
        <x:v>三、利润总额</x:v>
      </x:c>
      <x:c r="D26" s="43" t="str">
        <x:v>FY2023</x:v>
      </x:c>
      <x:c r="E26" s="43" t="n">
        <x:v>170531</x:v>
      </x:c>
      <x:c r="F26" s="43" t="str">
        <x:v>RMB million</x:v>
      </x:c>
      <x:c r="G26" s="43" t="str">
        <x:v>SOURCE_FACT</x:v>
      </x:c>
      <x:c r="H26" s="43" t="str">
        <x:v>P096 L030</x:v>
      </x:c>
      <x:c r="I26" s="43" t="str">
        <x:v>https://static.cninfo.com.cn/finalpage/2025-03-21/1222856315.PDF</x:v>
      </x:c>
    </x:row>
    <x:row r="27" ht="29" customHeight="1">
      <x:c r="C27" s="42" t="str">
        <x:v>减：所得税费用</x:v>
      </x:c>
      <x:c r="D27" s="43" t="str">
        <x:v>FY2023</x:v>
      </x:c>
      <x:c r="E27" s="43" t="n">
        <x:v>38596</x:v>
      </x:c>
      <x:c r="F27" s="43" t="str">
        <x:v>RMB million</x:v>
      </x:c>
      <x:c r="G27" s="43" t="str">
        <x:v>SOURCE_FACT</x:v>
      </x:c>
      <x:c r="H27" s="43" t="str">
        <x:v>P096 L031</x:v>
      </x:c>
      <x:c r="I27" s="43" t="str">
        <x:v>https://static.cninfo.com.cn/finalpage/2025-03-21/1222856315.PDF</x:v>
      </x:c>
    </x:row>
    <x:row r="28" ht="29" customHeight="1">
      <x:c r="C28" s="42" t="str">
        <x:v>四、净利润</x:v>
      </x:c>
      <x:c r="D28" s="43" t="str">
        <x:v>FY2023</x:v>
      </x:c>
      <x:c r="E28" s="43" t="n">
        <x:v>131935</x:v>
      </x:c>
      <x:c r="F28" s="43" t="str">
        <x:v>RMB million</x:v>
      </x:c>
      <x:c r="G28" s="43" t="str">
        <x:v>SOURCE_FACT</x:v>
      </x:c>
      <x:c r="H28" s="43" t="str">
        <x:v>P096 L033</x:v>
      </x:c>
      <x:c r="I28" s="43" t="str">
        <x:v>https://static.cninfo.com.cn/finalpage/2025-03-21/1222856315.PDF</x:v>
      </x:c>
    </x:row>
    <x:row r="29" ht="29" customHeight="1">
      <x:c r="C29" s="42" t="str">
        <x:v>归属于母公司股东的净利润</x:v>
      </x:c>
      <x:c r="D29" s="43" t="str">
        <x:v>FY2023</x:v>
      </x:c>
      <x:c r="E29" s="43" t="n">
        <x:v>131766</x:v>
      </x:c>
      <x:c r="F29" s="43" t="str">
        <x:v>RMB million</x:v>
      </x:c>
      <x:c r="G29" s="43" t="str">
        <x:v>SOURCE_FACT</x:v>
      </x:c>
      <x:c r="H29" s="43" t="str">
        <x:v>P096 L039</x:v>
      </x:c>
      <x:c r="I29" s="43" t="str">
        <x:v>https://static.cninfo.com.cn/finalpage/2025-03-21/1222856315.PDF</x:v>
      </x:c>
    </x:row>
    <x:row r="30" ht="29" customHeight="1">
      <x:c r="C30" s="42" t="str">
        <x:v>少数股东损益</x:v>
      </x:c>
      <x:c r="D30" s="43" t="str">
        <x:v>FY2023</x:v>
      </x:c>
      <x:c r="E30" s="43" t="n">
        <x:v>169</x:v>
      </x:c>
      <x:c r="F30" s="43" t="str">
        <x:v>RMB million</x:v>
      </x:c>
      <x:c r="G30" s="43" t="str">
        <x:v>SOURCE_FACT</x:v>
      </x:c>
      <x:c r="H30" s="43" t="str">
        <x:v>P096 L040</x:v>
      </x:c>
      <x:c r="I30" s="43" t="str">
        <x:v>https://static.cninfo.com.cn/finalpage/2025-03-21/1222856315.PDF</x:v>
      </x:c>
    </x:row>
    <x:row r="31" ht="29" customHeight="1">
      <x:c r="C31" s="42" t="str">
        <x:v>经营活动产生的现金流量净额</x:v>
      </x:c>
      <x:c r="D31" s="43" t="str">
        <x:v>FY2023</x:v>
      </x:c>
      <x:c r="E31" s="43" t="n">
        <x:v>303780</x:v>
      </x:c>
      <x:c r="F31" s="43" t="str">
        <x:v>RMB million</x:v>
      </x:c>
      <x:c r="G31" s="43" t="str">
        <x:v>SOURCE_FACT</x:v>
      </x:c>
      <x:c r="H31" s="43" t="str">
        <x:v>P098 L019</x:v>
      </x:c>
      <x:c r="I31" s="43" t="str">
        <x:v>https://static.cninfo.com.cn/finalpage/2025-03-21/1222856315.PDF</x:v>
      </x:c>
    </x:row>
    <x:row r="32" ht="29" customHeight="1">
      <x:c r="C32" s="42" t="str">
        <x:v>投资活动使用的现金流量净额</x:v>
      </x:c>
      <x:c r="D32" s="43" t="str">
        <x:v>FY2023</x:v>
      </x:c>
      <x:c r="E32" s="43" t="n">
        <x:v>-205699</x:v>
      </x:c>
      <x:c r="F32" s="43" t="str">
        <x:v>RMB million</x:v>
      </x:c>
      <x:c r="G32" s="43" t="str">
        <x:v>SOURCE_FACT</x:v>
      </x:c>
      <x:c r="H32" s="43" t="str">
        <x:v>P098 L031</x:v>
      </x:c>
      <x:c r="I32" s="43" t="str">
        <x:v>https://static.cninfo.com.cn/finalpage/2025-03-21/1222856315.PDF</x:v>
      </x:c>
    </x:row>
    <x:row r="33" ht="29" customHeight="1">
      <x:c r="C33" s="42" t="str">
        <x:v>筹资活动使用的现金流量净额</x:v>
      </x:c>
      <x:c r="D33" s="43" t="str">
        <x:v>FY2023</x:v>
      </x:c>
      <x:c r="E33" s="43" t="n">
        <x:v>-123843</x:v>
      </x:c>
      <x:c r="F33" s="43" t="str">
        <x:v>RMB million</x:v>
      </x:c>
      <x:c r="G33" s="43" t="str">
        <x:v>SOURCE_FACT</x:v>
      </x:c>
      <x:c r="H33" s="43" t="str">
        <x:v>P098 L040</x:v>
      </x:c>
      <x:c r="I33" s="43" t="str">
        <x:v>https://static.cninfo.com.cn/finalpage/2025-03-21/1222856315.PDF</x:v>
      </x:c>
    </x:row>
    <x:row r="34" ht="29" customHeight="1">
      <x:c r="C34" s="42" t="str">
        <x:v>四、汇率变动对现金及现金等价物的影响</x:v>
      </x:c>
      <x:c r="D34" s="43" t="str">
        <x:v>FY2023</x:v>
      </x:c>
      <x:c r="E34" s="43" t="n">
        <x:v>215</x:v>
      </x:c>
      <x:c r="F34" s="43" t="str">
        <x:v>RMB million</x:v>
      </x:c>
      <x:c r="G34" s="43" t="str">
        <x:v>SOURCE_FACT</x:v>
      </x:c>
      <x:c r="H34" s="43" t="str">
        <x:v>P098 L042</x:v>
      </x:c>
      <x:c r="I34" s="43" t="str">
        <x:v>https://static.cninfo.com.cn/finalpage/2025-03-21/1222856315.PDF</x:v>
      </x:c>
    </x:row>
    <x:row r="35" ht="29" customHeight="1">
      <x:c r="C35" s="42" t="str">
        <x:v>加：年初现金及现金等价物余额</x:v>
      </x:c>
      <x:c r="D35" s="43" t="str">
        <x:v>FY2023</x:v>
      </x:c>
      <x:c r="E35" s="43" t="n">
        <x:v>167106</x:v>
      </x:c>
      <x:c r="F35" s="43" t="str">
        <x:v>RMB million</x:v>
      </x:c>
      <x:c r="G35" s="43" t="str">
        <x:v>SOURCE_FACT</x:v>
      </x:c>
      <x:c r="H35" s="43" t="str">
        <x:v>P098 L045</x:v>
      </x:c>
      <x:c r="I35" s="43" t="str">
        <x:v>https://static.cninfo.com.cn/finalpage/2025-03-21/1222856315.PDF</x:v>
      </x:c>
    </x:row>
    <x:row r="36" ht="29" customHeight="1">
      <x:c r="C36" s="42" t="str">
        <x:v>六、年末现金及现金等价物余额</x:v>
      </x:c>
      <x:c r="D36" s="43" t="str">
        <x:v>FY2023</x:v>
      </x:c>
      <x:c r="E36" s="43" t="n">
        <x:v>141559</x:v>
      </x:c>
      <x:c r="F36" s="43" t="str">
        <x:v>RMB million</x:v>
      </x:c>
      <x:c r="G36" s="43" t="str">
        <x:v>SOURCE_FACT</x:v>
      </x:c>
      <x:c r="H36" s="43" t="str">
        <x:v>P098 L047</x:v>
      </x:c>
      <x:c r="I36" s="43" t="str">
        <x:v>https://static.cninfo.com.cn/finalpage/2025-03-21/1222856315.PDF</x:v>
      </x:c>
    </x:row>
    <x:row r="37" ht="29" customHeight="1">
      <x:c r="C37" s="42" t="str">
        <x:v>购建固定资产、无形资产和其他长期资产支付的现金</x:v>
      </x:c>
      <x:c r="D37" s="43" t="str">
        <x:v>FY2023</x:v>
      </x:c>
      <x:c r="E37" s="43" t="n">
        <x:v>-181263</x:v>
      </x:c>
      <x:c r="F37" s="43" t="str">
        <x:v>RMB million</x:v>
      </x:c>
      <x:c r="G37" s="43" t="str">
        <x:v>SOURCE_FACT</x:v>
      </x:c>
      <x:c r="H37" s="43" t="str">
        <x:v>P098 L027</x:v>
      </x:c>
      <x:c r="I37" s="43" t="str">
        <x:v>https://static.cninfo.com.cn/finalpage/2025-03-21/1222856315.PDF</x:v>
      </x:c>
    </x:row>
    <x:row r="38" ht="29" customHeight="1">
      <x:c r="C38" s="42" t="str">
        <x:v>资产总计</x:v>
      </x:c>
      <x:c r="D38" s="43" t="str">
        <x:v>FY2023</x:v>
      </x:c>
      <x:c r="E38" s="43" t="n">
        <x:v>1957357</x:v>
      </x:c>
      <x:c r="F38" s="43" t="str">
        <x:v>RMB million</x:v>
      </x:c>
      <x:c r="G38" s="43" t="str">
        <x:v>SOURCE_FACT</x:v>
      </x:c>
      <x:c r="H38" s="43" t="str">
        <x:v>P094 L043</x:v>
      </x:c>
      <x:c r="I38" s="43" t="str">
        <x:v>https://static.cninfo.com.cn/finalpage/2025-03-21/1222856315.PDF</x:v>
      </x:c>
    </x:row>
    <x:row r="39" ht="29" customHeight="1">
      <x:c r="C39" s="42" t="str">
        <x:v>负债合计</x:v>
      </x:c>
      <x:c r="D39" s="43" t="str">
        <x:v>FY2023</x:v>
      </x:c>
      <x:c r="E39" s="43" t="n">
        <x:v>646672</x:v>
      </x:c>
      <x:c r="F39" s="43" t="str">
        <x:v>RMB million</x:v>
      </x:c>
      <x:c r="G39" s="43" t="str">
        <x:v>SOURCE_FACT</x:v>
      </x:c>
      <x:c r="H39" s="43" t="str">
        <x:v>P095 L030</x:v>
      </x:c>
      <x:c r="I39" s="43" t="str">
        <x:v>https://static.cninfo.com.cn/finalpage/2025-03-21/1222856315.PDF</x:v>
      </x:c>
    </x:row>
    <x:row r="40" ht="29" customHeight="1">
      <x:c r="C40" s="42" t="str">
        <x:v>股东权益合计</x:v>
      </x:c>
      <x:c r="D40" s="43" t="str">
        <x:v>FY2023</x:v>
      </x:c>
      <x:c r="E40" s="43" t="n">
        <x:v>1310685</x:v>
      </x:c>
      <x:c r="F40" s="43" t="str">
        <x:v>RMB million</x:v>
      </x:c>
      <x:c r="G40" s="43" t="str">
        <x:v>SOURCE_FACT</x:v>
      </x:c>
      <x:c r="H40" s="43" t="str">
        <x:v>P095 L041</x:v>
      </x:c>
      <x:c r="I40" s="43" t="str">
        <x:v>https://static.cninfo.com.cn/finalpage/2025-03-21/1222856315.PDF</x:v>
      </x:c>
    </x:row>
    <x:row r="41" ht="29" customHeight="1">
      <x:c r="C41" s="42" t="str">
        <x:v>少数股东权益</x:v>
      </x:c>
      <x:c r="D41" s="43" t="str">
        <x:v>FY2023</x:v>
      </x:c>
      <x:c r="E41" s="43" t="n">
        <x:v>4253</x:v>
      </x:c>
      <x:c r="F41" s="43" t="str">
        <x:v>RMB million</x:v>
      </x:c>
      <x:c r="G41" s="43" t="str">
        <x:v>SOURCE_FACT</x:v>
      </x:c>
      <x:c r="H41" s="43" t="str">
        <x:v>P095 L040</x:v>
      </x:c>
      <x:c r="I41" s="43" t="str">
        <x:v>https://static.cninfo.com.cn/finalpage/2025-03-21/1222856315.PDF</x:v>
      </x:c>
    </x:row>
    <x:row r="42" ht="29" customHeight="1">
      <x:c r="C42" s="42" t="str">
        <x:v>未分配利润</x:v>
      </x:c>
      <x:c r="D42" s="43" t="str">
        <x:v>FY2023</x:v>
      </x:c>
      <x:c r="E42" s="43" t="n">
        <x:v>1147798</x:v>
      </x:c>
      <x:c r="F42" s="43" t="str">
        <x:v>RMB million</x:v>
      </x:c>
      <x:c r="G42" s="43" t="str">
        <x:v>SOURCE_FACT</x:v>
      </x:c>
      <x:c r="H42" s="43" t="str">
        <x:v>P095 L038</x:v>
      </x:c>
      <x:c r="I42" s="43" t="str">
        <x:v>https://static.cninfo.com.cn/finalpage/2025-03-21/1222856315.PDF</x:v>
      </x:c>
    </x:row>
    <x:row r="43" ht="29" customHeight="1">
      <x:c r="C43" s="42" t="str">
        <x:v>一、营业收入</x:v>
      </x:c>
      <x:c r="D43" s="43" t="str">
        <x:v>FY2024</x:v>
      </x:c>
      <x:c r="E43" s="43" t="n">
        <x:v>1040759</x:v>
      </x:c>
      <x:c r="F43" s="43" t="str">
        <x:v>RMB million</x:v>
      </x:c>
      <x:c r="G43" s="43" t="str">
        <x:v>SOURCE_FACT</x:v>
      </x:c>
      <x:c r="H43" s="43" t="str">
        <x:v>P088 L010</x:v>
      </x:c>
      <x:c r="I43" s="43" t="str">
        <x:v>https://static.cninfo.com.cn/finalpage/2026-03-27/1225036280.PDF</x:v>
      </x:c>
    </x:row>
    <x:row r="44" ht="29" customHeight="1">
      <x:c r="C44" s="42" t="str">
        <x:v>减：营业成本</x:v>
      </x:c>
      <x:c r="D44" s="43" t="str">
        <x:v>FY2024</x:v>
      </x:c>
      <x:c r="E44" s="43" t="n">
        <x:v>738772</x:v>
      </x:c>
      <x:c r="F44" s="43" t="str">
        <x:v>RMB million</x:v>
      </x:c>
      <x:c r="G44" s="43" t="str">
        <x:v>SOURCE_FACT</x:v>
      </x:c>
      <x:c r="H44" s="43" t="str">
        <x:v>P088 L011</x:v>
      </x:c>
      <x:c r="I44" s="43" t="str">
        <x:v>https://static.cninfo.com.cn/finalpage/2026-03-27/1225036280.PDF</x:v>
      </x:c>
    </x:row>
    <x:row r="45" ht="29" customHeight="1">
      <x:c r="C45" s="42" t="str">
        <x:v>销售费用</x:v>
      </x:c>
      <x:c r="D45" s="43" t="str">
        <x:v>FY2024</x:v>
      </x:c>
      <x:c r="E45" s="43" t="n">
        <x:v>54564</x:v>
      </x:c>
      <x:c r="F45" s="43" t="str">
        <x:v>RMB million</x:v>
      </x:c>
      <x:c r="G45" s="43" t="str">
        <x:v>SOURCE_FACT</x:v>
      </x:c>
      <x:c r="H45" s="43" t="str">
        <x:v>P088 L013</x:v>
      </x:c>
      <x:c r="I45" s="43" t="str">
        <x:v>https://static.cninfo.com.cn/finalpage/2026-03-27/1225036280.PDF</x:v>
      </x:c>
    </x:row>
    <x:row r="46" ht="29" customHeight="1">
      <x:c r="C46" s="42" t="str">
        <x:v>管理费用</x:v>
      </x:c>
      <x:c r="D46" s="43" t="str">
        <x:v>FY2024</x:v>
      </x:c>
      <x:c r="E46" s="43" t="n">
        <x:v>56937</x:v>
      </x:c>
      <x:c r="F46" s="43" t="str">
        <x:v>RMB million</x:v>
      </x:c>
      <x:c r="G46" s="43" t="str">
        <x:v>SOURCE_FACT</x:v>
      </x:c>
      <x:c r="H46" s="43" t="str">
        <x:v>P088 L014</x:v>
      </x:c>
      <x:c r="I46" s="43" t="str">
        <x:v>https://static.cninfo.com.cn/finalpage/2026-03-27/1225036280.PDF</x:v>
      </x:c>
    </x:row>
    <x:row r="47" ht="29" customHeight="1">
      <x:c r="C47" s="42" t="str">
        <x:v>研发费用</x:v>
      </x:c>
      <x:c r="D47" s="43" t="str">
        <x:v>FY2024</x:v>
      </x:c>
      <x:c r="E47" s="43" t="n">
        <x:v>28163</x:v>
      </x:c>
      <x:c r="F47" s="43" t="str">
        <x:v>RMB million</x:v>
      </x:c>
      <x:c r="G47" s="43" t="str">
        <x:v>SOURCE_FACT</x:v>
      </x:c>
      <x:c r="H47" s="43" t="str">
        <x:v>P088 L015</x:v>
      </x:c>
      <x:c r="I47" s="43" t="str">
        <x:v>https://static.cninfo.com.cn/finalpage/2026-03-27/1225036280.PDF</x:v>
      </x:c>
    </x:row>
    <x:row r="48" ht="29" customHeight="1">
      <x:c r="C48" s="42" t="str">
        <x:v>税金及附加</x:v>
      </x:c>
      <x:c r="D48" s="43" t="str">
        <x:v>FY2024</x:v>
      </x:c>
      <x:c r="E48" s="43" t="n">
        <x:v>3759</x:v>
      </x:c>
      <x:c r="F48" s="43" t="str">
        <x:v>RMB million</x:v>
      </x:c>
      <x:c r="G48" s="43" t="str">
        <x:v>SOURCE_FACT</x:v>
      </x:c>
      <x:c r="H48" s="43" t="str">
        <x:v>P088 L012</x:v>
      </x:c>
      <x:c r="I48" s="43" t="str">
        <x:v>https://static.cninfo.com.cn/finalpage/2026-03-27/1225036280.PDF</x:v>
      </x:c>
    </x:row>
    <x:row r="49" ht="29" customHeight="1">
      <x:c r="C49" s="42" t="str">
        <x:v>财务费用</x:v>
      </x:c>
      <x:c r="D49" s="43" t="str">
        <x:v>FY2024</x:v>
      </x:c>
      <x:c r="E49" s="43" t="n">
        <x:v>-2495</x:v>
      </x:c>
      <x:c r="F49" s="43" t="str">
        <x:v>RMB million</x:v>
      </x:c>
      <x:c r="G49" s="43" t="str">
        <x:v>SOURCE_FACT</x:v>
      </x:c>
      <x:c r="H49" s="43" t="str">
        <x:v>P088 L016</x:v>
      </x:c>
      <x:c r="I49" s="43" t="str">
        <x:v>https://static.cninfo.com.cn/finalpage/2026-03-27/1225036280.PDF</x:v>
      </x:c>
    </x:row>
    <x:row r="50" ht="29" customHeight="1">
      <x:c r="C50" s="42" t="str">
        <x:v>其中：利息费用</x:v>
      </x:c>
      <x:c r="D50" s="43" t="str">
        <x:v>FY2024</x:v>
      </x:c>
      <x:c r="E50" s="43" t="n">
        <x:v>3273</x:v>
      </x:c>
      <x:c r="F50" s="43" t="str">
        <x:v>RMB million</x:v>
      </x:c>
      <x:c r="G50" s="43" t="str">
        <x:v>SOURCE_FACT</x:v>
      </x:c>
      <x:c r="H50" s="43" t="str">
        <x:v>P088 L017</x:v>
      </x:c>
      <x:c r="I50" s="43" t="str">
        <x:v>https://static.cninfo.com.cn/finalpage/2026-03-27/1225036280.PDF</x:v>
      </x:c>
    </x:row>
    <x:row r="51" ht="29" customHeight="1">
      <x:c r="C51" s="42" t="str">
        <x:v>三、利润总额</x:v>
      </x:c>
      <x:c r="D51" s="43" t="str">
        <x:v>FY2024</x:v>
      </x:c>
      <x:c r="E51" s="43" t="n">
        <x:v>178389</x:v>
      </x:c>
      <x:c r="F51" s="43" t="str">
        <x:v>RMB million</x:v>
      </x:c>
      <x:c r="G51" s="43" t="str">
        <x:v>SOURCE_FACT</x:v>
      </x:c>
      <x:c r="H51" s="43" t="str">
        <x:v>P088 L030</x:v>
      </x:c>
      <x:c r="I51" s="43" t="str">
        <x:v>https://static.cninfo.com.cn/finalpage/2026-03-27/1225036280.PDF</x:v>
      </x:c>
    </x:row>
    <x:row r="52" ht="29" customHeight="1">
      <x:c r="C52" s="42" t="str">
        <x:v>减：所得税费用</x:v>
      </x:c>
      <x:c r="D52" s="43" t="str">
        <x:v>FY2024</x:v>
      </x:c>
      <x:c r="E52" s="43" t="n">
        <x:v>39863</x:v>
      </x:c>
      <x:c r="F52" s="43" t="str">
        <x:v>RMB million</x:v>
      </x:c>
      <x:c r="G52" s="43" t="str">
        <x:v>SOURCE_FACT</x:v>
      </x:c>
      <x:c r="H52" s="43" t="str">
        <x:v>P088 L031</x:v>
      </x:c>
      <x:c r="I52" s="43" t="str">
        <x:v>https://static.cninfo.com.cn/finalpage/2026-03-27/1225036280.PDF</x:v>
      </x:c>
    </x:row>
    <x:row r="53" ht="29" customHeight="1">
      <x:c r="C53" s="42" t="str">
        <x:v>四、净利润</x:v>
      </x:c>
      <x:c r="D53" s="43" t="str">
        <x:v>FY2024</x:v>
      </x:c>
      <x:c r="E53" s="43" t="n">
        <x:v>138526</x:v>
      </x:c>
      <x:c r="F53" s="43" t="str">
        <x:v>RMB million</x:v>
      </x:c>
      <x:c r="G53" s="43" t="str">
        <x:v>SOURCE_FACT</x:v>
      </x:c>
      <x:c r="H53" s="43" t="str">
        <x:v>P088 L033</x:v>
      </x:c>
      <x:c r="I53" s="43" t="str">
        <x:v>https://static.cninfo.com.cn/finalpage/2026-03-27/1225036280.PDF</x:v>
      </x:c>
    </x:row>
    <x:row r="54" ht="29" customHeight="1">
      <x:c r="C54" s="42" t="str">
        <x:v>归属于母公司股东的净利润</x:v>
      </x:c>
      <x:c r="D54" s="43" t="str">
        <x:v>FY2024</x:v>
      </x:c>
      <x:c r="E54" s="43" t="n">
        <x:v>138373</x:v>
      </x:c>
      <x:c r="F54" s="43" t="str">
        <x:v>RMB million</x:v>
      </x:c>
      <x:c r="G54" s="43" t="str">
        <x:v>SOURCE_FACT</x:v>
      </x:c>
      <x:c r="H54" s="43" t="str">
        <x:v>P088 L039</x:v>
      </x:c>
      <x:c r="I54" s="43" t="str">
        <x:v>https://static.cninfo.com.cn/finalpage/2026-03-27/1225036280.PDF</x:v>
      </x:c>
    </x:row>
    <x:row r="55" ht="29" customHeight="1">
      <x:c r="C55" s="42" t="str">
        <x:v>少数股东损益</x:v>
      </x:c>
      <x:c r="D55" s="43" t="str">
        <x:v>FY2024</x:v>
      </x:c>
      <x:c r="E55" s="43" t="n">
        <x:v>153</x:v>
      </x:c>
      <x:c r="F55" s="43" t="str">
        <x:v>RMB million</x:v>
      </x:c>
      <x:c r="G55" s="43" t="str">
        <x:v>SOURCE_FACT</x:v>
      </x:c>
      <x:c r="H55" s="43" t="str">
        <x:v>P088 L040</x:v>
      </x:c>
      <x:c r="I55" s="43" t="str">
        <x:v>https://static.cninfo.com.cn/finalpage/2026-03-27/1225036280.PDF</x:v>
      </x:c>
    </x:row>
    <x:row r="56" ht="29" customHeight="1">
      <x:c r="C56" s="42" t="str">
        <x:v>经营活动产生的现金流量净额</x:v>
      </x:c>
      <x:c r="D56" s="43" t="str">
        <x:v>FY2024</x:v>
      </x:c>
      <x:c r="E56" s="43" t="n">
        <x:v>315741</x:v>
      </x:c>
      <x:c r="F56" s="43" t="str">
        <x:v>RMB million</x:v>
      </x:c>
      <x:c r="G56" s="43" t="str">
        <x:v>SOURCE_FACT</x:v>
      </x:c>
      <x:c r="H56" s="43" t="str">
        <x:v>P090 L019</x:v>
      </x:c>
      <x:c r="I56" s="43" t="str">
        <x:v>https://static.cninfo.com.cn/finalpage/2026-03-27/1225036280.PDF</x:v>
      </x:c>
    </x:row>
    <x:row r="57" ht="29" customHeight="1">
      <x:c r="C57" s="42" t="str">
        <x:v>投资活动使用的现金流量净额</x:v>
      </x:c>
      <x:c r="D57" s="43" t="str">
        <x:v>FY2024</x:v>
      </x:c>
      <x:c r="E57" s="43" t="n">
        <x:v>-185194</x:v>
      </x:c>
      <x:c r="F57" s="43" t="str">
        <x:v>RMB million</x:v>
      </x:c>
      <x:c r="G57" s="43" t="str">
        <x:v>SOURCE_FACT</x:v>
      </x:c>
      <x:c r="H57" s="43" t="str">
        <x:v>P090 L032</x:v>
      </x:c>
      <x:c r="I57" s="43" t="str">
        <x:v>https://static.cninfo.com.cn/finalpage/2026-03-27/1225036280.PDF</x:v>
      </x:c>
    </x:row>
    <x:row r="58" ht="29" customHeight="1">
      <x:c r="C58" s="42" t="str">
        <x:v>筹资活动使用的现金流量净额</x:v>
      </x:c>
      <x:c r="D58" s="43" t="str">
        <x:v>FY2024</x:v>
      </x:c>
      <x:c r="E58" s="43" t="n">
        <x:v>-105167</x:v>
      </x:c>
      <x:c r="F58" s="43" t="str">
        <x:v>RMB million</x:v>
      </x:c>
      <x:c r="G58" s="43" t="str">
        <x:v>SOURCE_FACT</x:v>
      </x:c>
      <x:c r="H58" s="43" t="str">
        <x:v>P090 L043</x:v>
      </x:c>
      <x:c r="I58" s="43" t="str">
        <x:v>https://static.cninfo.com.cn/finalpage/2026-03-27/1225036280.PDF</x:v>
      </x:c>
    </x:row>
    <x:row r="59" ht="29" customHeight="1">
      <x:c r="C59" s="42" t="str">
        <x:v>四、汇率变动对现金及现金等价物的影响</x:v>
      </x:c>
      <x:c r="D59" s="43" t="str">
        <x:v>FY2024</x:v>
      </x:c>
      <x:c r="E59" s="43" t="n">
        <x:v>370</x:v>
      </x:c>
      <x:c r="F59" s="43" t="str">
        <x:v>RMB million</x:v>
      </x:c>
      <x:c r="G59" s="43" t="str">
        <x:v>SOURCE_FACT</x:v>
      </x:c>
      <x:c r="H59" s="43" t="str">
        <x:v>P090 L045</x:v>
      </x:c>
      <x:c r="I59" s="43" t="str">
        <x:v>https://static.cninfo.com.cn/finalpage/2026-03-27/1225036280.PDF</x:v>
      </x:c>
    </x:row>
    <x:row r="60" ht="29" customHeight="1">
      <x:c r="C60" s="42" t="str">
        <x:v>加：年初现金及现金等价物余额</x:v>
      </x:c>
      <x:c r="D60" s="43" t="str">
        <x:v>FY2024</x:v>
      </x:c>
      <x:c r="E60" s="43" t="n">
        <x:v>141559</x:v>
      </x:c>
      <x:c r="F60" s="43" t="str">
        <x:v>RMB million</x:v>
      </x:c>
      <x:c r="G60" s="43" t="str">
        <x:v>SOURCE_FACT</x:v>
      </x:c>
      <x:c r="H60" s="43" t="str">
        <x:v>P090 L048</x:v>
      </x:c>
      <x:c r="I60" s="43" t="str">
        <x:v>https://static.cninfo.com.cn/finalpage/2026-03-27/1225036280.PDF</x:v>
      </x:c>
    </x:row>
    <x:row r="61" ht="29" customHeight="1">
      <x:c r="C61" s="42" t="str">
        <x:v>六、年末现金及现金等价物余额</x:v>
      </x:c>
      <x:c r="D61" s="43" t="str">
        <x:v>FY2024</x:v>
      </x:c>
      <x:c r="E61" s="43" t="n">
        <x:v>167309</x:v>
      </x:c>
      <x:c r="F61" s="43" t="str">
        <x:v>RMB million</x:v>
      </x:c>
      <x:c r="G61" s="43" t="str">
        <x:v>SOURCE_FACT</x:v>
      </x:c>
      <x:c r="H61" s="43" t="str">
        <x:v>P090 L050</x:v>
      </x:c>
      <x:c r="I61" s="43" t="str">
        <x:v>https://static.cninfo.com.cn/finalpage/2026-03-27/1225036280.PDF</x:v>
      </x:c>
    </x:row>
    <x:row r="62" ht="29" customHeight="1">
      <x:c r="C62" s="42" t="str">
        <x:v>购建固定资产、无形资产和其他长期资产支付的现金</x:v>
      </x:c>
      <x:c r="D62" s="43" t="str">
        <x:v>FY2024</x:v>
      </x:c>
      <x:c r="E62" s="43" t="n">
        <x:v>-155979</x:v>
      </x:c>
      <x:c r="F62" s="43" t="str">
        <x:v>RMB million</x:v>
      </x:c>
      <x:c r="G62" s="43" t="str">
        <x:v>SOURCE_FACT</x:v>
      </x:c>
      <x:c r="H62" s="43" t="str">
        <x:v>P090 L027</x:v>
      </x:c>
      <x:c r="I62" s="43" t="str">
        <x:v>https://static.cninfo.com.cn/finalpage/2026-03-27/1225036280.PDF</x:v>
      </x:c>
    </x:row>
    <x:row r="63" ht="29" customHeight="1">
      <x:c r="C63" s="42" t="str">
        <x:v>资产总计</x:v>
      </x:c>
      <x:c r="D63" s="43" t="str">
        <x:v>FY2024</x:v>
      </x:c>
      <x:c r="E63" s="43" t="n">
        <x:v>2072827</x:v>
      </x:c>
      <x:c r="F63" s="43" t="str">
        <x:v>RMB million</x:v>
      </x:c>
      <x:c r="G63" s="43" t="str">
        <x:v>SOURCE_FACT</x:v>
      </x:c>
      <x:c r="H63" s="43" t="str">
        <x:v>P086 L043</x:v>
      </x:c>
      <x:c r="I63" s="43" t="str">
        <x:v>https://static.cninfo.com.cn/finalpage/2026-03-27/1225036280.PDF</x:v>
      </x:c>
    </x:row>
    <x:row r="64" ht="29" customHeight="1">
      <x:c r="C64" s="42" t="str">
        <x:v>负债合计</x:v>
      </x:c>
      <x:c r="D64" s="43" t="str">
        <x:v>FY2024</x:v>
      </x:c>
      <x:c r="E64" s="43" t="n">
        <x:v>711588</x:v>
      </x:c>
      <x:c r="F64" s="43" t="str">
        <x:v>RMB million</x:v>
      </x:c>
      <x:c r="G64" s="43" t="str">
        <x:v>SOURCE_FACT</x:v>
      </x:c>
      <x:c r="H64" s="43" t="str">
        <x:v>P087 L031</x:v>
      </x:c>
      <x:c r="I64" s="43" t="str">
        <x:v>https://static.cninfo.com.cn/finalpage/2026-03-27/1225036280.PDF</x:v>
      </x:c>
    </x:row>
    <x:row r="65" ht="29" customHeight="1">
      <x:c r="C65" s="42" t="str">
        <x:v>股东权益合计</x:v>
      </x:c>
      <x:c r="D65" s="43" t="str">
        <x:v>FY2024</x:v>
      </x:c>
      <x:c r="E65" s="43" t="n">
        <x:v>1361239</x:v>
      </x:c>
      <x:c r="F65" s="43" t="str">
        <x:v>RMB million</x:v>
      </x:c>
      <x:c r="G65" s="43" t="str">
        <x:v>SOURCE_FACT</x:v>
      </x:c>
      <x:c r="H65" s="43" t="str">
        <x:v>P087 L042</x:v>
      </x:c>
      <x:c r="I65" s="43" t="str">
        <x:v>https://static.cninfo.com.cn/finalpage/2026-03-27/1225036280.PDF</x:v>
      </x:c>
    </x:row>
    <x:row r="66" ht="29" customHeight="1">
      <x:c r="C66" s="42" t="str">
        <x:v>少数股东权益</x:v>
      </x:c>
      <x:c r="D66" s="43" t="str">
        <x:v>FY2024</x:v>
      </x:c>
      <x:c r="E66" s="43" t="n">
        <x:v>4507</x:v>
      </x:c>
      <x:c r="F66" s="43" t="str">
        <x:v>RMB million</x:v>
      </x:c>
      <x:c r="G66" s="43" t="str">
        <x:v>SOURCE_FACT</x:v>
      </x:c>
      <x:c r="H66" s="43" t="str">
        <x:v>P087 L041</x:v>
      </x:c>
      <x:c r="I66" s="43" t="str">
        <x:v>https://static.cninfo.com.cn/finalpage/2026-03-27/1225036280.PDF</x:v>
      </x:c>
    </x:row>
    <x:row r="67" ht="29" customHeight="1">
      <x:c r="C67" s="42" t="str">
        <x:v>未分配利润</x:v>
      </x:c>
      <x:c r="D67" s="43" t="str">
        <x:v>FY2024</x:v>
      </x:c>
      <x:c r="E67" s="43" t="n">
        <x:v>1188577</x:v>
      </x:c>
      <x:c r="F67" s="43" t="str">
        <x:v>RMB million</x:v>
      </x:c>
      <x:c r="G67" s="43" t="str">
        <x:v>SOURCE_FACT</x:v>
      </x:c>
      <x:c r="H67" s="43" t="str">
        <x:v>P087 L039</x:v>
      </x:c>
      <x:c r="I67" s="43" t="str">
        <x:v>https://static.cninfo.com.cn/finalpage/2026-03-27/1225036280.PDF</x:v>
      </x:c>
    </x:row>
    <x:row r="68" ht="29" customHeight="1">
      <x:c r="C68" s="42" t="str">
        <x:v>一、营业收入</x:v>
      </x:c>
      <x:c r="D68" s="43" t="str">
        <x:v>FY2025</x:v>
      </x:c>
      <x:c r="E68" s="43" t="n">
        <x:v>1050187</x:v>
      </x:c>
      <x:c r="F68" s="43" t="str">
        <x:v>RMB million</x:v>
      </x:c>
      <x:c r="G68" s="43" t="str">
        <x:v>SOURCE_FACT</x:v>
      </x:c>
      <x:c r="H68" s="43" t="str">
        <x:v>P088 L010</x:v>
      </x:c>
      <x:c r="I68" s="43" t="str">
        <x:v>https://static.cninfo.com.cn/finalpage/2026-03-27/1225036280.PDF</x:v>
      </x:c>
    </x:row>
    <x:row r="69" ht="29" customHeight="1">
      <x:c r="C69" s="42" t="str">
        <x:v>减：营业成本</x:v>
      </x:c>
      <x:c r="D69" s="43" t="str">
        <x:v>FY2025</x:v>
      </x:c>
      <x:c r="E69" s="43" t="n">
        <x:v>747016</x:v>
      </x:c>
      <x:c r="F69" s="43" t="str">
        <x:v>RMB million</x:v>
      </x:c>
      <x:c r="G69" s="43" t="str">
        <x:v>SOURCE_FACT</x:v>
      </x:c>
      <x:c r="H69" s="43" t="str">
        <x:v>P088 L011</x:v>
      </x:c>
      <x:c r="I69" s="43" t="str">
        <x:v>https://static.cninfo.com.cn/finalpage/2026-03-27/1225036280.PDF</x:v>
      </x:c>
    </x:row>
    <x:row r="70" ht="29" customHeight="1">
      <x:c r="C70" s="42" t="str">
        <x:v>销售费用</x:v>
      </x:c>
      <x:c r="D70" s="43" t="str">
        <x:v>FY2025</x:v>
      </x:c>
      <x:c r="E70" s="43" t="n">
        <x:v>56184</x:v>
      </x:c>
      <x:c r="F70" s="43" t="str">
        <x:v>RMB million</x:v>
      </x:c>
      <x:c r="G70" s="43" t="str">
        <x:v>SOURCE_FACT</x:v>
      </x:c>
      <x:c r="H70" s="43" t="str">
        <x:v>P088 L013</x:v>
      </x:c>
      <x:c r="I70" s="43" t="str">
        <x:v>https://static.cninfo.com.cn/finalpage/2026-03-27/1225036280.PDF</x:v>
      </x:c>
    </x:row>
    <x:row r="71" ht="29" customHeight="1">
      <x:c r="C71" s="42" t="str">
        <x:v>管理费用</x:v>
      </x:c>
      <x:c r="D71" s="43" t="str">
        <x:v>FY2025</x:v>
      </x:c>
      <x:c r="E71" s="43" t="n">
        <x:v>55821</x:v>
      </x:c>
      <x:c r="F71" s="43" t="str">
        <x:v>RMB million</x:v>
      </x:c>
      <x:c r="G71" s="43" t="str">
        <x:v>SOURCE_FACT</x:v>
      </x:c>
      <x:c r="H71" s="43" t="str">
        <x:v>P088 L014</x:v>
      </x:c>
      <x:c r="I71" s="43" t="str">
        <x:v>https://static.cninfo.com.cn/finalpage/2026-03-27/1225036280.PDF</x:v>
      </x:c>
    </x:row>
    <x:row r="72" ht="29" customHeight="1">
      <x:c r="C72" s="42" t="str">
        <x:v>研发费用</x:v>
      </x:c>
      <x:c r="D72" s="43" t="str">
        <x:v>FY2025</x:v>
      </x:c>
      <x:c r="E72" s="43" t="n">
        <x:v>29253</x:v>
      </x:c>
      <x:c r="F72" s="43" t="str">
        <x:v>RMB million</x:v>
      </x:c>
      <x:c r="G72" s="43" t="str">
        <x:v>SOURCE_FACT</x:v>
      </x:c>
      <x:c r="H72" s="43" t="str">
        <x:v>P088 L015</x:v>
      </x:c>
      <x:c r="I72" s="43" t="str">
        <x:v>https://static.cninfo.com.cn/finalpage/2026-03-27/1225036280.PDF</x:v>
      </x:c>
    </x:row>
    <x:row r="73" ht="29" customHeight="1">
      <x:c r="C73" s="42" t="str">
        <x:v>税金及附加</x:v>
      </x:c>
      <x:c r="D73" s="43" t="str">
        <x:v>FY2025</x:v>
      </x:c>
      <x:c r="E73" s="43" t="n">
        <x:v>4001</x:v>
      </x:c>
      <x:c r="F73" s="43" t="str">
        <x:v>RMB million</x:v>
      </x:c>
      <x:c r="G73" s="43" t="str">
        <x:v>SOURCE_FACT</x:v>
      </x:c>
      <x:c r="H73" s="43" t="str">
        <x:v>P088 L012</x:v>
      </x:c>
      <x:c r="I73" s="43" t="str">
        <x:v>https://static.cninfo.com.cn/finalpage/2026-03-27/1225036280.PDF</x:v>
      </x:c>
    </x:row>
    <x:row r="74" ht="29" customHeight="1">
      <x:c r="C74" s="42" t="str">
        <x:v>财务费用</x:v>
      </x:c>
      <x:c r="D74" s="43" t="str">
        <x:v>FY2025</x:v>
      </x:c>
      <x:c r="E74" s="43" t="n">
        <x:v>-1535</x:v>
      </x:c>
      <x:c r="F74" s="43" t="str">
        <x:v>RMB million</x:v>
      </x:c>
      <x:c r="G74" s="43" t="str">
        <x:v>SOURCE_FACT</x:v>
      </x:c>
      <x:c r="H74" s="43" t="str">
        <x:v>P088 L016</x:v>
      </x:c>
      <x:c r="I74" s="43" t="str">
        <x:v>https://static.cninfo.com.cn/finalpage/2026-03-27/1225036280.PDF</x:v>
      </x:c>
    </x:row>
    <x:row r="75" ht="29" customHeight="1">
      <x:c r="C75" s="42" t="str">
        <x:v>其中：利息费用</x:v>
      </x:c>
      <x:c r="D75" s="43" t="str">
        <x:v>FY2025</x:v>
      </x:c>
      <x:c r="E75" s="43" t="n">
        <x:v>3657</x:v>
      </x:c>
      <x:c r="F75" s="43" t="str">
        <x:v>RMB million</x:v>
      </x:c>
      <x:c r="G75" s="43" t="str">
        <x:v>SOURCE_FACT</x:v>
      </x:c>
      <x:c r="H75" s="43" t="str">
        <x:v>P088 L017</x:v>
      </x:c>
      <x:c r="I75" s="43" t="str">
        <x:v>https://static.cninfo.com.cn/finalpage/2026-03-27/1225036280.PDF</x:v>
      </x:c>
    </x:row>
    <x:row r="76" ht="29" customHeight="1">
      <x:c r="C76" s="42" t="str">
        <x:v>三、利润总额</x:v>
      </x:c>
      <x:c r="D76" s="43" t="str">
        <x:v>FY2025</x:v>
      </x:c>
      <x:c r="E76" s="43" t="n">
        <x:v>175608</x:v>
      </x:c>
      <x:c r="F76" s="43" t="str">
        <x:v>RMB million</x:v>
      </x:c>
      <x:c r="G76" s="43" t="str">
        <x:v>SOURCE_FACT</x:v>
      </x:c>
      <x:c r="H76" s="43" t="str">
        <x:v>P088 L030</x:v>
      </x:c>
      <x:c r="I76" s="43" t="str">
        <x:v>https://static.cninfo.com.cn/finalpage/2026-03-27/1225036280.PDF</x:v>
      </x:c>
    </x:row>
    <x:row r="77" ht="29" customHeight="1">
      <x:c r="C77" s="42" t="str">
        <x:v>减：所得税费用</x:v>
      </x:c>
      <x:c r="D77" s="43" t="str">
        <x:v>FY2025</x:v>
      </x:c>
      <x:c r="E77" s="43" t="n">
        <x:v>38344</x:v>
      </x:c>
      <x:c r="F77" s="43" t="str">
        <x:v>RMB million</x:v>
      </x:c>
      <x:c r="G77" s="43" t="str">
        <x:v>SOURCE_FACT</x:v>
      </x:c>
      <x:c r="H77" s="43" t="str">
        <x:v>P088 L031</x:v>
      </x:c>
      <x:c r="I77" s="43" t="str">
        <x:v>https://static.cninfo.com.cn/finalpage/2026-03-27/1225036280.PDF</x:v>
      </x:c>
    </x:row>
    <x:row r="78" ht="29" customHeight="1">
      <x:c r="C78" s="42" t="str">
        <x:v>四、净利润</x:v>
      </x:c>
      <x:c r="D78" s="43" t="str">
        <x:v>FY2025</x:v>
      </x:c>
      <x:c r="E78" s="43" t="n">
        <x:v>137264</x:v>
      </x:c>
      <x:c r="F78" s="43" t="str">
        <x:v>RMB million</x:v>
      </x:c>
      <x:c r="G78" s="43" t="str">
        <x:v>SOURCE_FACT</x:v>
      </x:c>
      <x:c r="H78" s="43" t="str">
        <x:v>P088 L033</x:v>
      </x:c>
      <x:c r="I78" s="43" t="str">
        <x:v>https://static.cninfo.com.cn/finalpage/2026-03-27/1225036280.PDF</x:v>
      </x:c>
    </x:row>
    <x:row r="79" ht="29" customHeight="1">
      <x:c r="C79" s="42" t="str">
        <x:v>归属于母公司股东的净利润</x:v>
      </x:c>
      <x:c r="D79" s="43" t="str">
        <x:v>FY2025</x:v>
      </x:c>
      <x:c r="E79" s="43" t="n">
        <x:v>137095</x:v>
      </x:c>
      <x:c r="F79" s="43" t="str">
        <x:v>RMB million</x:v>
      </x:c>
      <x:c r="G79" s="43" t="str">
        <x:v>SOURCE_FACT</x:v>
      </x:c>
      <x:c r="H79" s="43" t="str">
        <x:v>P088 L039</x:v>
      </x:c>
      <x:c r="I79" s="43" t="str">
        <x:v>https://static.cninfo.com.cn/finalpage/2026-03-27/1225036280.PDF</x:v>
      </x:c>
    </x:row>
    <x:row r="80" ht="29" customHeight="1">
      <x:c r="C80" s="42" t="str">
        <x:v>少数股东损益</x:v>
      </x:c>
      <x:c r="D80" s="43" t="str">
        <x:v>FY2025</x:v>
      </x:c>
      <x:c r="E80" s="43" t="n">
        <x:v>169</x:v>
      </x:c>
      <x:c r="F80" s="43" t="str">
        <x:v>RMB million</x:v>
      </x:c>
      <x:c r="G80" s="43" t="str">
        <x:v>SOURCE_FACT</x:v>
      </x:c>
      <x:c r="H80" s="43" t="str">
        <x:v>P088 L040</x:v>
      </x:c>
      <x:c r="I80" s="43" t="str">
        <x:v>https://static.cninfo.com.cn/finalpage/2026-03-27/1225036280.PDF</x:v>
      </x:c>
    </x:row>
    <x:row r="81" ht="29" customHeight="1">
      <x:c r="C81" s="42" t="str">
        <x:v>经营活动产生的现金流量净额</x:v>
      </x:c>
      <x:c r="D81" s="43" t="str">
        <x:v>FY2025</x:v>
      </x:c>
      <x:c r="E81" s="43" t="n">
        <x:v>232919</x:v>
      </x:c>
      <x:c r="F81" s="43" t="str">
        <x:v>RMB million</x:v>
      </x:c>
      <x:c r="G81" s="43" t="str">
        <x:v>SOURCE_FACT</x:v>
      </x:c>
      <x:c r="H81" s="43" t="str">
        <x:v>P090 L019</x:v>
      </x:c>
      <x:c r="I81" s="43" t="str">
        <x:v>https://static.cninfo.com.cn/finalpage/2026-03-27/1225036280.PDF</x:v>
      </x:c>
    </x:row>
    <x:row r="82" ht="29" customHeight="1">
      <x:c r="C82" s="42" t="str">
        <x:v>投资活动使用的现金流量净额</x:v>
      </x:c>
      <x:c r="D82" s="43" t="str">
        <x:v>FY2025</x:v>
      </x:c>
      <x:c r="E82" s="43" t="n">
        <x:v>-190403</x:v>
      </x:c>
      <x:c r="F82" s="43" t="str">
        <x:v>RMB million</x:v>
      </x:c>
      <x:c r="G82" s="43" t="str">
        <x:v>SOURCE_FACT</x:v>
      </x:c>
      <x:c r="H82" s="43" t="str">
        <x:v>P090 L032</x:v>
      </x:c>
      <x:c r="I82" s="43" t="str">
        <x:v>https://static.cninfo.com.cn/finalpage/2026-03-27/1225036280.PDF</x:v>
      </x:c>
    </x:row>
    <x:row r="83" ht="29" customHeight="1">
      <x:c r="C83" s="42" t="str">
        <x:v>筹资活动使用的现金流量净额</x:v>
      </x:c>
      <x:c r="D83" s="43" t="str">
        <x:v>FY2025</x:v>
      </x:c>
      <x:c r="E83" s="43" t="n">
        <x:v>-112143</x:v>
      </x:c>
      <x:c r="F83" s="43" t="str">
        <x:v>RMB million</x:v>
      </x:c>
      <x:c r="G83" s="43" t="str">
        <x:v>SOURCE_FACT</x:v>
      </x:c>
      <x:c r="H83" s="43" t="str">
        <x:v>P090 L043</x:v>
      </x:c>
      <x:c r="I83" s="43" t="str">
        <x:v>https://static.cninfo.com.cn/finalpage/2026-03-27/1225036280.PDF</x:v>
      </x:c>
    </x:row>
    <x:row r="84" ht="29" customHeight="1">
      <x:c r="C84" s="42" t="str">
        <x:v>四、汇率变动对现金及现金等价物的影响</x:v>
      </x:c>
      <x:c r="D84" s="43" t="str">
        <x:v>FY2025</x:v>
      </x:c>
      <x:c r="E84" s="43" t="n">
        <x:v>-415</x:v>
      </x:c>
      <x:c r="F84" s="43" t="str">
        <x:v>RMB million</x:v>
      </x:c>
      <x:c r="G84" s="43" t="str">
        <x:v>SOURCE_FACT</x:v>
      </x:c>
      <x:c r="H84" s="43" t="str">
        <x:v>P090 L045</x:v>
      </x:c>
      <x:c r="I84" s="43" t="str">
        <x:v>https://static.cninfo.com.cn/finalpage/2026-03-27/1225036280.PDF</x:v>
      </x:c>
    </x:row>
    <x:row r="85" ht="29" customHeight="1">
      <x:c r="C85" s="42" t="str">
        <x:v>加：年初现金及现金等价物余额</x:v>
      </x:c>
      <x:c r="D85" s="43" t="str">
        <x:v>FY2025</x:v>
      </x:c>
      <x:c r="E85" s="43" t="n">
        <x:v>167309</x:v>
      </x:c>
      <x:c r="F85" s="43" t="str">
        <x:v>RMB million</x:v>
      </x:c>
      <x:c r="G85" s="43" t="str">
        <x:v>SOURCE_FACT</x:v>
      </x:c>
      <x:c r="H85" s="43" t="str">
        <x:v>P090 L048</x:v>
      </x:c>
      <x:c r="I85" s="43" t="str">
        <x:v>https://static.cninfo.com.cn/finalpage/2026-03-27/1225036280.PDF</x:v>
      </x:c>
    </x:row>
    <x:row r="86" ht="29" customHeight="1">
      <x:c r="C86" s="42" t="str">
        <x:v>六、年末现金及现金等价物余额</x:v>
      </x:c>
      <x:c r="D86" s="43" t="str">
        <x:v>FY2025</x:v>
      </x:c>
      <x:c r="E86" s="43" t="n">
        <x:v>97267</x:v>
      </x:c>
      <x:c r="F86" s="43" t="str">
        <x:v>RMB million</x:v>
      </x:c>
      <x:c r="G86" s="43" t="str">
        <x:v>SOURCE_FACT</x:v>
      </x:c>
      <x:c r="H86" s="43" t="str">
        <x:v>P090 L050</x:v>
      </x:c>
      <x:c r="I86" s="43" t="str">
        <x:v>https://static.cninfo.com.cn/finalpage/2026-03-27/1225036280.PDF</x:v>
      </x:c>
    </x:row>
    <x:row r="87" ht="29" customHeight="1">
      <x:c r="C87" s="42" t="str">
        <x:v>购建固定资产、无形资产和其他长期资产支付的现金</x:v>
      </x:c>
      <x:c r="D87" s="43" t="str">
        <x:v>FY2025</x:v>
      </x:c>
      <x:c r="E87" s="43" t="n">
        <x:v>-156951</x:v>
      </x:c>
      <x:c r="F87" s="43" t="str">
        <x:v>RMB million</x:v>
      </x:c>
      <x:c r="G87" s="43" t="str">
        <x:v>SOURCE_FACT</x:v>
      </x:c>
      <x:c r="H87" s="43" t="str">
        <x:v>P090 L027</x:v>
      </x:c>
      <x:c r="I87" s="43" t="str">
        <x:v>https://static.cninfo.com.cn/finalpage/2026-03-27/1225036280.PDF</x:v>
      </x:c>
    </x:row>
    <x:row r="88" ht="29" customHeight="1">
      <x:c r="C88" s="42" t="str">
        <x:v>资产总计</x:v>
      </x:c>
      <x:c r="D88" s="43" t="str">
        <x:v>FY2025</x:v>
      </x:c>
      <x:c r="E88" s="43" t="n">
        <x:v>2092882</x:v>
      </x:c>
      <x:c r="F88" s="43" t="str">
        <x:v>RMB million</x:v>
      </x:c>
      <x:c r="G88" s="43" t="str">
        <x:v>SOURCE_FACT</x:v>
      </x:c>
      <x:c r="H88" s="43" t="str">
        <x:v>P086 L043</x:v>
      </x:c>
      <x:c r="I88" s="43" t="str">
        <x:v>https://static.cninfo.com.cn/finalpage/2026-03-27/1225036280.PDF</x:v>
      </x:c>
    </x:row>
    <x:row r="89" ht="29" customHeight="1">
      <x:c r="C89" s="42" t="str">
        <x:v>负债合计</x:v>
      </x:c>
      <x:c r="D89" s="43" t="str">
        <x:v>FY2025</x:v>
      </x:c>
      <x:c r="E89" s="43" t="n">
        <x:v>695331</x:v>
      </x:c>
      <x:c r="F89" s="43" t="str">
        <x:v>RMB million</x:v>
      </x:c>
      <x:c r="G89" s="43" t="str">
        <x:v>SOURCE_FACT</x:v>
      </x:c>
      <x:c r="H89" s="43" t="str">
        <x:v>P087 L031</x:v>
      </x:c>
      <x:c r="I89" s="43" t="str">
        <x:v>https://static.cninfo.com.cn/finalpage/2026-03-27/1225036280.PDF</x:v>
      </x:c>
    </x:row>
    <x:row r="90" ht="29" customHeight="1">
      <x:c r="C90" s="42" t="str">
        <x:v>股东权益合计</x:v>
      </x:c>
      <x:c r="D90" s="43" t="str">
        <x:v>FY2025</x:v>
      </x:c>
      <x:c r="E90" s="43" t="n">
        <x:v>1397551</x:v>
      </x:c>
      <x:c r="F90" s="43" t="str">
        <x:v>RMB million</x:v>
      </x:c>
      <x:c r="G90" s="43" t="str">
        <x:v>SOURCE_FACT</x:v>
      </x:c>
      <x:c r="H90" s="43" t="str">
        <x:v>P087 L042</x:v>
      </x:c>
      <x:c r="I90" s="43" t="str">
        <x:v>https://static.cninfo.com.cn/finalpage/2026-03-27/1225036280.PDF</x:v>
      </x:c>
    </x:row>
    <x:row r="91" ht="29" customHeight="1">
      <x:c r="C91" s="42" t="str">
        <x:v>少数股东权益</x:v>
      </x:c>
      <x:c r="D91" s="43" t="str">
        <x:v>FY2025</x:v>
      </x:c>
      <x:c r="E91" s="43" t="n">
        <x:v>4376</x:v>
      </x:c>
      <x:c r="F91" s="43" t="str">
        <x:v>RMB million</x:v>
      </x:c>
      <x:c r="G91" s="43" t="str">
        <x:v>SOURCE_FACT</x:v>
      </x:c>
      <x:c r="H91" s="43" t="str">
        <x:v>P087 L041</x:v>
      </x:c>
      <x:c r="I91" s="43" t="str">
        <x:v>https://static.cninfo.com.cn/finalpage/2026-03-27/1225036280.PDF</x:v>
      </x:c>
    </x:row>
    <x:row r="92" ht="29" customHeight="1">
      <x:c r="C92" s="42" t="str">
        <x:v>未分配利润</x:v>
      </x:c>
      <x:c r="D92" s="43" t="str">
        <x:v>FY2025</x:v>
      </x:c>
      <x:c r="E92" s="43" t="n">
        <x:v>1222270</x:v>
      </x:c>
      <x:c r="F92" s="43" t="str">
        <x:v>RMB million</x:v>
      </x:c>
      <x:c r="G92" s="43" t="str">
        <x:v>SOURCE_FACT</x:v>
      </x:c>
      <x:c r="H92" s="43" t="str">
        <x:v>P087 L039</x:v>
      </x:c>
      <x:c r="I92" s="43" t="str">
        <x:v>https://static.cninfo.com.cn/finalpage/2026-03-27/1225036280.PDF</x:v>
      </x:c>
    </x:row>
    <x:row r="93" ht="29" customHeight="1">
      <x:c r="C93" s="42" t="str">
        <x:v>一、营业收入</x:v>
      </x:c>
      <x:c r="D93" s="43" t="str">
        <x:v>H12025</x:v>
      </x:c>
      <x:c r="E93" s="43" t="n">
        <x:v>543769</x:v>
      </x:c>
      <x:c r="F93" s="43" t="str">
        <x:v>RMB million</x:v>
      </x:c>
      <x:c r="G93" s="43" t="str">
        <x:v>SOURCE_FACT</x:v>
      </x:c>
      <x:c r="H93" s="43" t="str">
        <x:v>P035 L010</x:v>
      </x:c>
      <x:c r="I93" s="43" t="str">
        <x:v>https://static.cninfo.com.cn/finalpage/2026-08-14/1225472195.PDF</x:v>
      </x:c>
    </x:row>
    <x:row r="94" ht="29" customHeight="1">
      <x:c r="C94" s="42" t="str">
        <x:v>三、利润总额</x:v>
      </x:c>
      <x:c r="D94" s="43" t="str">
        <x:v>H12025</x:v>
      </x:c>
      <x:c r="E94" s="43" t="n">
        <x:v>107073</x:v>
      </x:c>
      <x:c r="F94" s="43" t="str">
        <x:v>RMB million</x:v>
      </x:c>
      <x:c r="G94" s="43" t="str">
        <x:v>SOURCE_FACT</x:v>
      </x:c>
      <x:c r="H94" s="43" t="str">
        <x:v>P035 L030</x:v>
      </x:c>
      <x:c r="I94" s="43" t="str">
        <x:v>https://static.cninfo.com.cn/finalpage/2026-08-14/1225472195.PDF</x:v>
      </x:c>
    </x:row>
    <x:row r="95" ht="29" customHeight="1">
      <x:c r="C95" s="42" t="str">
        <x:v>四、净利润</x:v>
      </x:c>
      <x:c r="D95" s="43" t="str">
        <x:v>H12025</x:v>
      </x:c>
      <x:c r="E95" s="43" t="n">
        <x:v>84273</x:v>
      </x:c>
      <x:c r="F95" s="43" t="str">
        <x:v>RMB million</x:v>
      </x:c>
      <x:c r="G95" s="43" t="str">
        <x:v>SOURCE_FACT</x:v>
      </x:c>
      <x:c r="H95" s="43" t="str">
        <x:v>P035 L033</x:v>
      </x:c>
      <x:c r="I95" s="43" t="str">
        <x:v>https://static.cninfo.com.cn/finalpage/2026-08-14/1225472195.PDF</x:v>
      </x:c>
    </x:row>
    <x:row r="96" ht="29" customHeight="1">
      <x:c r="C96" s="42" t="str">
        <x:v>一、营业收入</x:v>
      </x:c>
      <x:c r="D96" s="43" t="str">
        <x:v>H12026</x:v>
      </x:c>
      <x:c r="E96" s="43" t="n">
        <x:v>538035</x:v>
      </x:c>
      <x:c r="F96" s="43" t="str">
        <x:v>RMB million</x:v>
      </x:c>
      <x:c r="G96" s="43" t="str">
        <x:v>SOURCE_FACT</x:v>
      </x:c>
      <x:c r="H96" s="43" t="str">
        <x:v>P035 L010</x:v>
      </x:c>
      <x:c r="I96" s="43" t="str">
        <x:v>https://static.cninfo.com.cn/finalpage/2026-08-14/1225472195.PDF</x:v>
      </x:c>
    </x:row>
    <x:row r="97" ht="29" customHeight="1">
      <x:c r="C97" s="42" t="str">
        <x:v>三、利润总额</x:v>
      </x:c>
      <x:c r="D97" s="43" t="str">
        <x:v>H12026</x:v>
      </x:c>
      <x:c r="E97" s="43" t="n">
        <x:v>99084</x:v>
      </x:c>
      <x:c r="F97" s="43" t="str">
        <x:v>RMB million</x:v>
      </x:c>
      <x:c r="G97" s="43" t="str">
        <x:v>SOURCE_FACT</x:v>
      </x:c>
      <x:c r="H97" s="43" t="str">
        <x:v>P035 L030</x:v>
      </x:c>
      <x:c r="I97" s="43" t="str">
        <x:v>https://static.cninfo.com.cn/finalpage/2026-08-14/1225472195.PDF</x:v>
      </x:c>
    </x:row>
    <x:row r="98" ht="29" customHeight="1">
      <x:c r="C98" s="42" t="str">
        <x:v>四、净利润</x:v>
      </x:c>
      <x:c r="D98" s="43" t="str">
        <x:v>H12026</x:v>
      </x:c>
      <x:c r="E98" s="43" t="n">
        <x:v>79010</x:v>
      </x:c>
      <x:c r="F98" s="43" t="str">
        <x:v>RMB million</x:v>
      </x:c>
      <x:c r="G98" s="43" t="str">
        <x:v>SOURCE_FACT</x:v>
      </x:c>
      <x:c r="H98" s="43" t="str">
        <x:v>P035 L033</x:v>
      </x:c>
      <x:c r="I98" s="43" t="str">
        <x:v>https://static.cninfo.com.cn/finalpage/2026-08-14/1225472195.PDF</x:v>
      </x:c>
    </x:row>
    <x:row r="99" ht="29" customHeight="1">
      <x:c r="C99" s="42" t="str">
        <x:v>折旧与摊销                       189,999</x:v>
      </x:c>
      <x:c r="D99" s="43" t="str">
        <x:v>FY2025</x:v>
      </x:c>
      <x:c r="E99" s="43" t="n">
        <x:v>189999</x:v>
      </x:c>
      <x:c r="F99" s="43" t="str">
        <x:v>RMB million</x:v>
      </x:c>
      <x:c r="G99" s="43" t="str">
        <x:v>SOURCE_FACT</x:v>
      </x:c>
      <x:c r="H99" s="43" t="str">
        <x:v>P179 L018</x:v>
      </x:c>
      <x:c r="I99" s="43" t="str">
        <x:v>https://static.cninfo.com.cn/finalpage/2026-03-27/1225036280.PDF</x:v>
      </x:c>
    </x:row>
    <x:row r="100" ht="29" customHeight="1">
      <x:c r="C100" s="42" t="str">
        <x:v>折旧与摊销                       189,999</x:v>
      </x:c>
      <x:c r="D100" s="43" t="str">
        <x:v>FY2025</x:v>
      </x:c>
      <x:c r="E100" s="43" t="n">
        <x:v>191101</x:v>
      </x:c>
      <x:c r="F100" s="43" t="str">
        <x:v>RMB million</x:v>
      </x:c>
      <x:c r="G100" s="43" t="str">
        <x:v>SOURCE_FACT</x:v>
      </x:c>
      <x:c r="H100" s="43" t="str">
        <x:v>P179 L018</x:v>
      </x:c>
      <x:c r="I100" s="43" t="str">
        <x:v>https://static.cninfo.com.cn/finalpage/2026-03-27/1225036280.PDF</x:v>
      </x:c>
    </x:row>
    <x:row r="101" ht="29" customHeight="1">
      <x:c r="C101" s="42" t="str">
        <x:v>EBITDA                         338,931      333,69</x:v>
      </x:c>
      <x:c r="D101" s="43" t="str">
        <x:v>FY2025</x:v>
      </x:c>
      <x:c r="E101" s="43" t="n">
        <x:v>338931</x:v>
      </x:c>
      <x:c r="F101" s="43" t="str">
        <x:v>RMB million</x:v>
      </x:c>
      <x:c r="G101" s="43" t="str">
        <x:v>SOURCE_FACT</x:v>
      </x:c>
      <x:c r="H101" s="43" t="str">
        <x:v>P008 L038</x:v>
      </x:c>
      <x:c r="I101" s="43" t="str">
        <x:v>https://static.cninfo.com.cn/finalpage/2026-03-27/1225036280.PDF</x:v>
      </x:c>
    </x:row>
    <x:row r="102" ht="29" customHeight="1">
      <x:c r="C102" s="42" t="str">
        <x:v>EBITDA                         338,931      333,69</x:v>
      </x:c>
      <x:c r="D102" s="43" t="str">
        <x:v>FY2025</x:v>
      </x:c>
      <x:c r="E102" s="43" t="n">
        <x:v>333691</x:v>
      </x:c>
      <x:c r="F102" s="43" t="str">
        <x:v>RMB million</x:v>
      </x:c>
      <x:c r="G102" s="43" t="str">
        <x:v>SOURCE_FACT</x:v>
      </x:c>
      <x:c r="H102" s="43" t="str">
        <x:v>P008 L038</x:v>
      </x:c>
      <x:c r="I102" s="43" t="str">
        <x:v>https://static.cninfo.com.cn/finalpage/2026-03-27/1225036280.PDF</x:v>
      </x:c>
    </x:row>
    <x:row r="103" ht="29" customHeight="1">
      <x:c r="C103" s="42" t="str">
        <x:v>EBITDA                         338,931      333,69</x:v>
      </x:c>
      <x:c r="D103" s="43" t="str">
        <x:v>FY2025</x:v>
      </x:c>
      <x:c r="E103" s="43" t="n">
        <x:v>341478</x:v>
      </x:c>
      <x:c r="F103" s="43" t="str">
        <x:v>RMB million</x:v>
      </x:c>
      <x:c r="G103" s="43" t="str">
        <x:v>SOURCE_FACT</x:v>
      </x:c>
      <x:c r="H103" s="43" t="str">
        <x:v>P008 L038</x:v>
      </x:c>
      <x:c r="I103" s="43" t="str">
        <x:v>https://static.cninfo.com.cn/finalpage/2026-03-27/1225036280.PDF</x:v>
      </x:c>
    </x:row>
    <x:row r="104" ht="29" customHeight="1">
      <x:c r="C104" s="42" t="str">
        <x:v>语音业务                            66,633      7</x:v>
      </x:c>
      <x:c r="D104" s="43" t="str">
        <x:v>FY2025</x:v>
      </x:c>
      <x:c r="E104" s="43" t="n">
        <x:v>66633</x:v>
      </x:c>
      <x:c r="F104" s="43" t="str">
        <x:v>RMB million</x:v>
      </x:c>
      <x:c r="G104" s="43" t="str">
        <x:v>SOURCE_FACT</x:v>
      </x:c>
      <x:c r="H104" s="43" t="str">
        <x:v>P165 L015</x:v>
      </x:c>
      <x:c r="I104" s="43" t="str">
        <x:v>https://static.cninfo.com.cn/finalpage/2026-03-27/1225036280.PDF</x:v>
      </x:c>
    </x:row>
    <x:row r="105" ht="29" customHeight="1">
      <x:c r="C105" s="42" t="str">
        <x:v>短彩信业务                           29,602      3</x:v>
      </x:c>
      <x:c r="D105" s="43" t="str">
        <x:v>FY2025</x:v>
      </x:c>
      <x:c r="E105" s="43" t="n">
        <x:v>29602</x:v>
      </x:c>
      <x:c r="F105" s="43" t="str">
        <x:v>RMB million</x:v>
      </x:c>
      <x:c r="G105" s="43" t="str">
        <x:v>SOURCE_FACT</x:v>
      </x:c>
      <x:c r="H105" s="43" t="str">
        <x:v>P165 L016</x:v>
      </x:c>
      <x:c r="I105" s="43" t="str">
        <x:v>https://static.cninfo.com.cn/finalpage/2026-03-27/1225036280.PDF</x:v>
      </x:c>
    </x:row>
    <x:row r="106" ht="29" customHeight="1">
      <x:c r="C106" s="42" t="str">
        <x:v>无线上网业务                         369,092     38</x:v>
      </x:c>
      <x:c r="D106" s="43" t="str">
        <x:v>FY2025</x:v>
      </x:c>
      <x:c r="E106" s="43" t="n">
        <x:v>369092</x:v>
      </x:c>
      <x:c r="F106" s="43" t="str">
        <x:v>RMB million</x:v>
      </x:c>
      <x:c r="G106" s="43" t="str">
        <x:v>SOURCE_FACT</x:v>
      </x:c>
      <x:c r="H106" s="43" t="str">
        <x:v>P165 L017</x:v>
      </x:c>
      <x:c r="I106" s="43" t="str">
        <x:v>https://static.cninfo.com.cn/finalpage/2026-03-27/1225036280.PDF</x:v>
      </x:c>
    </x:row>
    <x:row r="107" ht="29" customHeight="1">
      <x:c r="C107" s="42" t="str">
        <x:v>有线宽带业务                         141,569     13</x:v>
      </x:c>
      <x:c r="D107" s="43" t="str">
        <x:v>FY2025</x:v>
      </x:c>
      <x:c r="E107" s="43" t="n">
        <x:v>141569</x:v>
      </x:c>
      <x:c r="F107" s="43" t="str">
        <x:v>RMB million</x:v>
      </x:c>
      <x:c r="G107" s="43" t="str">
        <x:v>SOURCE_FACT</x:v>
      </x:c>
      <x:c r="H107" s="43" t="str">
        <x:v>P165 L018</x:v>
      </x:c>
      <x:c r="I107" s="43" t="str">
        <x:v>https://static.cninfo.com.cn/finalpage/2026-03-27/1225036280.PDF</x:v>
      </x:c>
    </x:row>
    <x:row r="108" ht="29" customHeight="1">
      <x:c r="C108" s="42" t="str">
        <x:v>应用及信息服务                        258,761     24</x:v>
      </x:c>
      <x:c r="D108" s="43" t="str">
        <x:v>FY2025</x:v>
      </x:c>
      <x:c r="E108" s="43" t="n">
        <x:v>258761</x:v>
      </x:c>
      <x:c r="F108" s="43" t="str">
        <x:v>RMB million</x:v>
      </x:c>
      <x:c r="G108" s="43" t="str">
        <x:v>SOURCE_FACT</x:v>
      </x:c>
      <x:c r="H108" s="43" t="str">
        <x:v>P165 L019</x:v>
      </x:c>
      <x:c r="I108" s="43" t="str">
        <x:v>https://static.cninfo.com.cn/finalpage/2026-03-27/1225036280.PDF</x:v>
      </x:c>
    </x:row>
    <x:row r="109" ht="29" customHeight="1">
      <x:c r="C109" s="42" t="str">
        <x:v>其他                              29,873      2</x:v>
      </x:c>
      <x:c r="D109" s="43" t="str">
        <x:v>FY2025</x:v>
      </x:c>
      <x:c r="E109" s="43" t="n">
        <x:v>29873</x:v>
      </x:c>
      <x:c r="F109" s="43" t="str">
        <x:v>RMB million</x:v>
      </x:c>
      <x:c r="G109" s="43" t="str">
        <x:v>SOURCE_FACT</x:v>
      </x:c>
      <x:c r="H109" s="43" t="str">
        <x:v>P165 L020</x:v>
      </x:c>
      <x:c r="I109" s="43" t="str">
        <x:v>https://static.cninfo.com.cn/finalpage/2026-03-27/1225036280.PDF</x:v>
      </x:c>
    </x:row>
    <x:row r="110" ht="29" customHeight="1">
      <x:c r="C110" s="42" t="str">
        <x:v>销售产品收入及其他                      154,657     15</x:v>
      </x:c>
      <x:c r="D110" s="43" t="str">
        <x:v>FY2025</x:v>
      </x:c>
      <x:c r="E110" s="43" t="n">
        <x:v>154657</x:v>
      </x:c>
      <x:c r="F110" s="43" t="str">
        <x:v>RMB million</x:v>
      </x:c>
      <x:c r="G110" s="43" t="str">
        <x:v>SOURCE_FACT</x:v>
      </x:c>
      <x:c r="H110" s="43" t="str">
        <x:v>P165 L023</x:v>
      </x:c>
      <x:c r="I110" s="43" t="str">
        <x:v>https://static.cninfo.com.cn/finalpage/2026-03-27/1225036280.PDF</x:v>
      </x:c>
    </x:row>
    <x:row r="111" ht="29" customHeight="1">
      <x:c r="C111" s="42" t="str">
        <x:v>语音业务                                30,937</x:v>
      </x:c>
      <x:c r="D111" s="43" t="str">
        <x:v>H12026</x:v>
      </x:c>
      <x:c r="E111" s="43" t="n">
        <x:v>30937</x:v>
      </x:c>
      <x:c r="F111" s="43" t="str">
        <x:v>RMB million</x:v>
      </x:c>
      <x:c r="G111" s="43" t="str">
        <x:v>SOURCE_FACT</x:v>
      </x:c>
      <x:c r="H111" s="43" t="str">
        <x:v>P111 L017</x:v>
      </x:c>
      <x:c r="I111" s="43" t="str">
        <x:v>https://static.cninfo.com.cn/finalpage/2026-08-14/1225472195.PDF</x:v>
      </x:c>
    </x:row>
    <x:row r="112" ht="29" customHeight="1">
      <x:c r="C112" s="42" t="str">
        <x:v>语音业务                                30,937</x:v>
      </x:c>
      <x:c r="D112" s="43" t="str">
        <x:v>H12026</x:v>
      </x:c>
      <x:c r="E112" s="43" t="n">
        <x:v>34195</x:v>
      </x:c>
      <x:c r="F112" s="43" t="str">
        <x:v>RMB million</x:v>
      </x:c>
      <x:c r="G112" s="43" t="str">
        <x:v>SOURCE_FACT</x:v>
      </x:c>
      <x:c r="H112" s="43" t="str">
        <x:v>P111 L017</x:v>
      </x:c>
      <x:c r="I112" s="43" t="str">
        <x:v>https://static.cninfo.com.cn/finalpage/2026-08-14/1225472195.PDF</x:v>
      </x:c>
    </x:row>
    <x:row r="113" ht="29" customHeight="1">
      <x:c r="C113" s="42" t="str">
        <x:v>短彩信业务                               14,128</x:v>
      </x:c>
      <x:c r="D113" s="43" t="str">
        <x:v>H12026</x:v>
      </x:c>
      <x:c r="E113" s="43" t="n">
        <x:v>14128</x:v>
      </x:c>
      <x:c r="F113" s="43" t="str">
        <x:v>RMB million</x:v>
      </x:c>
      <x:c r="G113" s="43" t="str">
        <x:v>SOURCE_FACT</x:v>
      </x:c>
      <x:c r="H113" s="43" t="str">
        <x:v>P111 L018</x:v>
      </x:c>
      <x:c r="I113" s="43" t="str">
        <x:v>https://static.cninfo.com.cn/finalpage/2026-08-14/1225472195.PDF</x:v>
      </x:c>
    </x:row>
    <x:row r="114" ht="29" customHeight="1">
      <x:c r="C114" s="42" t="str">
        <x:v>短彩信业务                               14,128</x:v>
      </x:c>
      <x:c r="D114" s="43" t="str">
        <x:v>H12026</x:v>
      </x:c>
      <x:c r="E114" s="43" t="n">
        <x:v>16111</x:v>
      </x:c>
      <x:c r="F114" s="43" t="str">
        <x:v>RMB million</x:v>
      </x:c>
      <x:c r="G114" s="43" t="str">
        <x:v>SOURCE_FACT</x:v>
      </x:c>
      <x:c r="H114" s="43" t="str">
        <x:v>P111 L018</x:v>
      </x:c>
      <x:c r="I114" s="43" t="str">
        <x:v>https://static.cninfo.com.cn/finalpage/2026-08-14/1225472195.PDF</x:v>
      </x:c>
    </x:row>
    <x:row r="115" ht="29" customHeight="1">
      <x:c r="C115" s="42" t="str">
        <x:v>无线上网业务                             174,342</x:v>
      </x:c>
      <x:c r="D115" s="43" t="str">
        <x:v>H12026</x:v>
      </x:c>
      <x:c r="E115" s="43" t="n">
        <x:v>174342</x:v>
      </x:c>
      <x:c r="F115" s="43" t="str">
        <x:v>RMB million</x:v>
      </x:c>
      <x:c r="G115" s="43" t="str">
        <x:v>SOURCE_FACT</x:v>
      </x:c>
      <x:c r="H115" s="43" t="str">
        <x:v>P111 L019</x:v>
      </x:c>
      <x:c r="I115" s="43" t="str">
        <x:v>https://static.cninfo.com.cn/finalpage/2026-08-14/1225472195.PDF</x:v>
      </x:c>
    </x:row>
    <x:row r="116" ht="29" customHeight="1">
      <x:c r="C116" s="42" t="str">
        <x:v>无线上网业务                             174,342</x:v>
      </x:c>
      <x:c r="D116" s="43" t="str">
        <x:v>H12026</x:v>
      </x:c>
      <x:c r="E116" s="43" t="n">
        <x:v>195489</x:v>
      </x:c>
      <x:c r="F116" s="43" t="str">
        <x:v>RMB million</x:v>
      </x:c>
      <x:c r="G116" s="43" t="str">
        <x:v>SOURCE_FACT</x:v>
      </x:c>
      <x:c r="H116" s="43" t="str">
        <x:v>P111 L019</x:v>
      </x:c>
      <x:c r="I116" s="43" t="str">
        <x:v>https://static.cninfo.com.cn/finalpage/2026-08-14/1225472195.PDF</x:v>
      </x:c>
    </x:row>
    <x:row r="117" ht="29" customHeight="1">
      <x:c r="C117" s="42" t="str">
        <x:v>有线宽带业务                              72,069</x:v>
      </x:c>
      <x:c r="D117" s="43" t="str">
        <x:v>H12026</x:v>
      </x:c>
      <x:c r="E117" s="43" t="n">
        <x:v>72069</x:v>
      </x:c>
      <x:c r="F117" s="43" t="str">
        <x:v>RMB million</x:v>
      </x:c>
      <x:c r="G117" s="43" t="str">
        <x:v>SOURCE_FACT</x:v>
      </x:c>
      <x:c r="H117" s="43" t="str">
        <x:v>P111 L020</x:v>
      </x:c>
      <x:c r="I117" s="43" t="str">
        <x:v>https://static.cninfo.com.cn/finalpage/2026-08-14/1225472195.PDF</x:v>
      </x:c>
    </x:row>
    <x:row r="118" ht="29" customHeight="1">
      <x:c r="C118" s="42" t="str">
        <x:v>有线宽带业务                              72,069</x:v>
      </x:c>
      <x:c r="D118" s="43" t="str">
        <x:v>H12026</x:v>
      </x:c>
      <x:c r="E118" s="43" t="n">
        <x:v>68568</x:v>
      </x:c>
      <x:c r="F118" s="43" t="str">
        <x:v>RMB million</x:v>
      </x:c>
      <x:c r="G118" s="43" t="str">
        <x:v>SOURCE_FACT</x:v>
      </x:c>
      <x:c r="H118" s="43" t="str">
        <x:v>P111 L020</x:v>
      </x:c>
      <x:c r="I118" s="43" t="str">
        <x:v>https://static.cninfo.com.cn/finalpage/2026-08-14/1225472195.PDF</x:v>
      </x:c>
    </x:row>
    <x:row r="119" ht="29" customHeight="1">
      <x:c r="C119" s="42" t="str">
        <x:v>应用及信息服务                            145,650</x:v>
      </x:c>
      <x:c r="D119" s="43" t="str">
        <x:v>H12026</x:v>
      </x:c>
      <x:c r="E119" s="43" t="n">
        <x:v>145650</x:v>
      </x:c>
      <x:c r="F119" s="43" t="str">
        <x:v>RMB million</x:v>
      </x:c>
      <x:c r="G119" s="43" t="str">
        <x:v>SOURCE_FACT</x:v>
      </x:c>
      <x:c r="H119" s="43" t="str">
        <x:v>P111 L021</x:v>
      </x:c>
      <x:c r="I119" s="43" t="str">
        <x:v>https://static.cninfo.com.cn/finalpage/2026-08-14/1225472195.PDF</x:v>
      </x:c>
    </x:row>
    <x:row r="120" ht="29" customHeight="1">
      <x:c r="C120" s="42" t="str">
        <x:v>应用及信息服务                            145,650</x:v>
      </x:c>
      <x:c r="D120" s="43" t="str">
        <x:v>H12026</x:v>
      </x:c>
      <x:c r="E120" s="43" t="n">
        <x:v>136674</x:v>
      </x:c>
      <x:c r="F120" s="43" t="str">
        <x:v>RMB million</x:v>
      </x:c>
      <x:c r="G120" s="43" t="str">
        <x:v>SOURCE_FACT</x:v>
      </x:c>
      <x:c r="H120" s="43" t="str">
        <x:v>P111 L021</x:v>
      </x:c>
      <x:c r="I120" s="43" t="str">
        <x:v>https://static.cninfo.com.cn/finalpage/2026-08-14/1225472195.PDF</x:v>
      </x:c>
    </x:row>
    <x:row r="121" ht="29" customHeight="1">
      <x:c r="C121" s="42" t="str">
        <x:v>其他                                  15,537</x:v>
      </x:c>
      <x:c r="D121" s="43" t="str">
        <x:v>H12026</x:v>
      </x:c>
      <x:c r="E121" s="43" t="n">
        <x:v>15537</x:v>
      </x:c>
      <x:c r="F121" s="43" t="str">
        <x:v>RMB million</x:v>
      </x:c>
      <x:c r="G121" s="43" t="str">
        <x:v>SOURCE_FACT</x:v>
      </x:c>
      <x:c r="H121" s="43" t="str">
        <x:v>P111 L022</x:v>
      </x:c>
      <x:c r="I121" s="43" t="str">
        <x:v>https://static.cninfo.com.cn/finalpage/2026-08-14/1225472195.PDF</x:v>
      </x:c>
    </x:row>
    <x:row r="122" ht="29" customHeight="1">
      <x:c r="C122" s="42" t="str">
        <x:v>其他                                  15,537</x:v>
      </x:c>
      <x:c r="D122" s="43" t="str">
        <x:v>H12026</x:v>
      </x:c>
      <x:c r="E122" s="43" t="n">
        <x:v>15952</x:v>
      </x:c>
      <x:c r="F122" s="43" t="str">
        <x:v>RMB million</x:v>
      </x:c>
      <x:c r="G122" s="43" t="str">
        <x:v>SOURCE_FACT</x:v>
      </x:c>
      <x:c r="H122" s="43" t="str">
        <x:v>P111 L022</x:v>
      </x:c>
      <x:c r="I122" s="43" t="str">
        <x:v>https://static.cninfo.com.cn/finalpage/2026-08-14/1225472195.PDF</x:v>
      </x:c>
    </x:row>
    <x:row r="123" ht="29" customHeight="1">
      <x:c r="C123" s="42" t="str">
        <x:v>销售产品收入及其他                           85,372</x:v>
      </x:c>
      <x:c r="D123" s="43" t="str">
        <x:v>H12026</x:v>
      </x:c>
      <x:c r="E123" s="43" t="n">
        <x:v>85372</x:v>
      </x:c>
      <x:c r="F123" s="43" t="str">
        <x:v>RMB million</x:v>
      </x:c>
      <x:c r="G123" s="43" t="str">
        <x:v>SOURCE_FACT</x:v>
      </x:c>
      <x:c r="H123" s="43" t="str">
        <x:v>P111 L025</x:v>
      </x:c>
      <x:c r="I123" s="43" t="str">
        <x:v>https://static.cninfo.com.cn/finalpage/2026-08-14/1225472195.PDF</x:v>
      </x:c>
    </x:row>
    <x:row r="124" ht="29" customHeight="1">
      <x:c r="C124" s="42" t="str">
        <x:v>销售产品收入及其他                           85,372</x:v>
      </x:c>
      <x:c r="D124" s="43" t="str">
        <x:v>H12026</x:v>
      </x:c>
      <x:c r="E124" s="43" t="n">
        <x:v>76780</x:v>
      </x:c>
      <x:c r="F124" s="43" t="str">
        <x:v>RMB million</x:v>
      </x:c>
      <x:c r="G124" s="43" t="str">
        <x:v>SOURCE_FACT</x:v>
      </x:c>
      <x:c r="H124" s="43" t="str">
        <x:v>P111 L025</x:v>
      </x:c>
      <x:c r="I124" s="43" t="str">
        <x:v>https://static.cninfo.com.cn/finalpage/2026-08-14/1225472195.PDF</x:v>
      </x:c>
    </x:row>
    <x:row r="125" ht="29" customHeight="1">
      <x:c r="C125" s="42"/>
      <x:c r="D125" s="43"/>
      <x:c r="E125" s="43"/>
      <x:c r="F125" s="43"/>
      <x:c r="G125" s="43"/>
      <x:c r="H125" s="43"/>
      <x:c r="I125" s="43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mergeCells>
    <x:mergeCell ref="D10:I10"/>
    <x:mergeCell ref="D13:I13"/>
    <x:mergeCell ref="D16:I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" customHeight="1">
      <x:c r="C1" s="1"/>
      <x:c r="D1" s="1"/>
      <x:c r="E1" s="1"/>
      <x:c r="F1" s="1"/>
      <x:c r="G1" s="1"/>
      <x:c r="H1" s="1"/>
      <x:c r="I1" s="1"/>
    </x:row>
    <x:row r="2" ht="21" customHeight="1">
      <x:c r="C2" s="4" t="str">
        <x:v>中国移动 China Mobile</x:v>
      </x:c>
      <x:c r="D2" s="4"/>
      <x:c r="E2" s="4"/>
      <x:c r="F2" s="4"/>
      <x:c r="G2" s="4"/>
      <x:c r="H2" s="4"/>
      <x:c r="I2" s="4"/>
    </x:row>
    <x:row r="3" ht="21" customHeight="1">
      <x:c r="C3" s="5" t="str">
        <x:v>Checks · RMB million · December year-end</x:v>
      </x:c>
      <x:c r="D3" s="5"/>
      <x:c r="E3" s="5"/>
      <x:c r="F3" s="5"/>
      <x:c r="G3" s="5"/>
      <x:c r="H3" s="5"/>
      <x:c r="I3" s="5"/>
    </x:row>
    <x:row r="4" ht="21" customHeight="1">
      <x:c r="C4" s="1"/>
      <x:c r="D4" s="1"/>
      <x:c r="E4" s="1"/>
      <x:c r="F4" s="1"/>
      <x:c r="G4" s="1"/>
      <x:c r="H4" s="1"/>
      <x:c r="I4" s="1"/>
    </x:row>
    <x:row r="5" ht="21" customHeight="1">
      <x:c r="C5" s="1"/>
      <x:c r="D5" s="1"/>
      <x:c r="E5" s="1"/>
      <x:c r="F5" s="1"/>
      <x:c r="G5" s="1"/>
      <x:c r="H5" s="1"/>
      <x:c r="I5" s="1"/>
    </x:row>
    <x:row r="6" ht="21" customHeight="1">
      <x:c r="C6" s="1"/>
      <x:c r="D6" s="1"/>
      <x:c r="E6" s="1"/>
      <x:c r="F6" s="1"/>
      <x:c r="G6" s="1"/>
      <x:c r="H6" s="1"/>
      <x:c r="I6" s="1"/>
    </x:row>
    <x:row r="7" ht="21" customHeight="1">
      <x:c r="C7" s="12"/>
      <x:c r="D7" s="13" t="n">
        <x:f>'Assumptions'!D7</x:f>
        <x:v>45291</x:v>
      </x:c>
      <x:c r="E7" s="13" t="n">
        <x:f>'Assumptions'!E7</x:f>
        <x:v>45657</x:v>
      </x:c>
      <x:c r="F7" s="13" t="n">
        <x:f>'Assumptions'!F7</x:f>
        <x:v>46022</x:v>
      </x:c>
      <x:c r="G7" s="14" t="n">
        <x:f>'Assumptions'!G7</x:f>
        <x:v>46387</x:v>
      </x:c>
      <x:c r="H7" s="14" t="n">
        <x:f>'Assumptions'!H7</x:f>
        <x:v>46752</x:v>
      </x:c>
      <x:c r="I7" s="14" t="n">
        <x:f>'Assumptions'!I7</x:f>
        <x:v>47118</x:v>
      </x:c>
    </x:row>
    <x:row r="8" ht="21" customHeight="1">
      <x:c r="C8" s="12" t="str">
        <x:v>Structural and source reconciliation</x:v>
      </x:c>
      <x:c r="D8" s="25"/>
      <x:c r="E8" s="25"/>
      <x:c r="F8" s="25"/>
      <x:c r="G8" s="25"/>
      <x:c r="H8" s="25"/>
      <x:c r="I8" s="25"/>
    </x:row>
    <x:row r="9" ht="21" customHeight="1">
      <x:c r="C9" s="1" t="str">
        <x:v>Balance-sheet difference</x:v>
      </x:c>
      <x:c r="D9" s="19" t="n">
        <x:f>'Statements'!D55</x:f>
        <x:v>0</x:v>
      </x:c>
      <x:c r="E9" s="19" t="n">
        <x:f>'Statements'!E55</x:f>
        <x:v>0</x:v>
      </x:c>
      <x:c r="F9" s="19" t="n">
        <x:f>'Statements'!F55</x:f>
        <x:v>0</x:v>
      </x:c>
      <x:c r="G9" s="19" t="n">
        <x:f>'Statements'!G55</x:f>
        <x:v>4.656612873077393e-10</x:v>
      </x:c>
      <x:c r="H9" s="19" t="n">
        <x:f>'Statements'!H55</x:f>
        <x:v>0</x:v>
      </x:c>
      <x:c r="I9" s="19" t="n">
        <x:f>'Statements'!I55</x:f>
        <x:v>0</x:v>
      </x:c>
    </x:row>
    <x:row r="10" ht="21" customHeight="1">
      <x:c r="C10" s="1" t="str">
        <x:v>Cash roll-forward difference</x:v>
      </x:c>
      <x:c r="D10" s="19" t="n">
        <x:f>'Statements'!D80+'Statements'!D79-'Statements'!D81</x:f>
        <x:v>0</x:v>
      </x:c>
      <x:c r="E10" s="19" t="n">
        <x:f>'Statements'!E80+'Statements'!E79-'Statements'!E81</x:f>
        <x:v>0</x:v>
      </x:c>
      <x:c r="F10" s="19" t="n">
        <x:f>'Statements'!F80+'Statements'!F79-'Statements'!F81</x:f>
        <x:v>0</x:v>
      </x:c>
      <x:c r="G10" s="19" t="n">
        <x:f>'Statements'!G80+'Statements'!G79-'Statements'!G81</x:f>
        <x:v>0</x:v>
      </x:c>
      <x:c r="H10" s="19" t="n">
        <x:f>'Statements'!H80+'Statements'!H79-'Statements'!H81</x:f>
        <x:v>0</x:v>
      </x:c>
      <x:c r="I10" s="19" t="n">
        <x:f>'Statements'!I80+'Statements'!I79-'Statements'!I81</x:f>
        <x:v>0</x:v>
      </x:c>
    </x:row>
    <x:row r="11" ht="21" customHeight="1">
      <x:c r="C11" s="1" t="str">
        <x:v>Source asset aggregation difference</x:v>
      </x:c>
      <x:c r="D11" s="19" t="n">
        <x:f>SUM('SourceFacts'!D31,'SourceFacts'!D33:'SourceFacts'!D39)-'SourceFacts'!D40</x:f>
        <x:v>0</x:v>
      </x:c>
      <x:c r="E11" s="19" t="n">
        <x:f>SUM('SourceFacts'!E31,'SourceFacts'!E33:'SourceFacts'!E39)-'SourceFacts'!E40</x:f>
        <x:v>0</x:v>
      </x:c>
      <x:c r="F11" s="19" t="n">
        <x:f>SUM('SourceFacts'!F31,'SourceFacts'!F33:'SourceFacts'!F39)-'SourceFacts'!F40</x:f>
        <x:v>0</x:v>
      </x:c>
      <x:c r="G11" s="2"/>
      <x:c r="H11" s="2"/>
      <x:c r="I11" s="2"/>
    </x:row>
    <x:row r="12" ht="21" customHeight="1">
      <x:c r="C12" s="1" t="str">
        <x:v>Source liability aggregation difference</x:v>
      </x:c>
      <x:c r="D12" s="19" t="n">
        <x:f>SUM('SourceFacts'!D41:'SourceFacts'!D46)-'SourceFacts'!D47</x:f>
        <x:v>0</x:v>
      </x:c>
      <x:c r="E12" s="19" t="n">
        <x:f>SUM('SourceFacts'!E41:'SourceFacts'!E46)-'SourceFacts'!E47</x:f>
        <x:v>0</x:v>
      </x:c>
      <x:c r="F12" s="19" t="n">
        <x:f>SUM('SourceFacts'!F41:'SourceFacts'!F46)-'SourceFacts'!F47</x:f>
        <x:v>0</x:v>
      </x:c>
      <x:c r="G12" s="2"/>
      <x:c r="H12" s="2"/>
      <x:c r="I12" s="2"/>
    </x:row>
    <x:row r="13" ht="21" customHeight="1">
      <x:c r="C13" s="1" t="str">
        <x:v>Debt roll-forward difference</x:v>
      </x:c>
      <x:c r="D13" s="2"/>
      <x:c r="E13" s="2"/>
      <x:c r="F13" s="2"/>
      <x:c r="G13" s="19" t="n">
        <x:f>'FundingTaxEquity'!G10+'FundingTaxEquity'!G12+'FundingTaxEquity'!G14-'FundingTaxEquity'!G16-'FundingTaxEquity'!G18</x:f>
        <x:v>0</x:v>
      </x:c>
      <x:c r="H13" s="19" t="n">
        <x:f>'FundingTaxEquity'!H10+'FundingTaxEquity'!H12+'FundingTaxEquity'!H14-'FundingTaxEquity'!H16-'FundingTaxEquity'!H18</x:f>
        <x:v>0</x:v>
      </x:c>
      <x:c r="I13" s="19" t="n">
        <x:f>'FundingTaxEquity'!I10+'FundingTaxEquity'!I12+'FundingTaxEquity'!I14-'FundingTaxEquity'!I16-'FundingTaxEquity'!I18</x:f>
        <x:v>0</x:v>
      </x:c>
    </x:row>
    <x:row r="14" ht="21" customHeight="1">
      <x:c r="C14" s="1" t="str">
        <x:v>Tax roll-forward difference</x:v>
      </x:c>
      <x:c r="D14" s="2"/>
      <x:c r="E14" s="2"/>
      <x:c r="F14" s="2"/>
      <x:c r="G14" s="19" t="n">
        <x:f>'FundingTaxEquity'!G34+'FundingTaxEquity'!G35-'FundingTaxEquity'!G37-'FundingTaxEquity'!G38</x:f>
        <x:v>0</x:v>
      </x:c>
      <x:c r="H14" s="19" t="n">
        <x:f>'FundingTaxEquity'!H34+'FundingTaxEquity'!H35-'FundingTaxEquity'!H37-'FundingTaxEquity'!H38</x:f>
        <x:v>0</x:v>
      </x:c>
      <x:c r="I14" s="19" t="n">
        <x:f>'FundingTaxEquity'!I34+'FundingTaxEquity'!I35-'FundingTaxEquity'!I37-'FundingTaxEquity'!I38</x:f>
        <x:v>0</x:v>
      </x:c>
    </x:row>
    <x:row r="15" ht="21" customHeight="1">
      <x:c r="C15" s="1" t="str">
        <x:v>PPE roll-forward difference</x:v>
      </x:c>
      <x:c r="D15" s="2"/>
      <x:c r="E15" s="2"/>
      <x:c r="F15" s="2"/>
      <x:c r="G15" s="19" t="n">
        <x:f>'FixedAssets'!G10+'FixedAssets'!G11-'FixedAssets'!G13-'FixedAssets'!G14</x:f>
        <x:v>0</x:v>
      </x:c>
      <x:c r="H15" s="19" t="n">
        <x:f>'FixedAssets'!H10+'FixedAssets'!H11-'FixedAssets'!H13-'FixedAssets'!H14</x:f>
        <x:v>0</x:v>
      </x:c>
      <x:c r="I15" s="19" t="n">
        <x:f>'FixedAssets'!I10+'FixedAssets'!I11-'FixedAssets'!I13-'FixedAssets'!I14</x:f>
        <x:v>0</x:v>
      </x:c>
    </x:row>
    <x:row r="16" ht="21" customHeight="1">
      <x:c r="C16" s="1" t="str">
        <x:v>Intangible roll-forward difference</x:v>
      </x:c>
      <x:c r="D16" s="2"/>
      <x:c r="E16" s="2"/>
      <x:c r="F16" s="2"/>
      <x:c r="G16" s="19" t="n">
        <x:f>'FixedAssets'!G20+'FixedAssets'!G21-'FixedAssets'!G23-'FixedAssets'!G24</x:f>
        <x:v>0</x:v>
      </x:c>
      <x:c r="H16" s="19" t="n">
        <x:f>'FixedAssets'!H20+'FixedAssets'!H21-'FixedAssets'!H23-'FixedAssets'!H24</x:f>
        <x:v>0</x:v>
      </x:c>
      <x:c r="I16" s="19" t="n">
        <x:f>'FixedAssets'!I20+'FixedAssets'!I21-'FixedAssets'!I23-'FixedAssets'!I24</x:f>
        <x:v>0</x:v>
      </x:c>
    </x:row>
    <x:row r="17" ht="21" customHeight="1">
      <x:c r="C17" s="1" t="str">
        <x:v>ROU roll-forward difference</x:v>
      </x:c>
      <x:c r="D17" s="2"/>
      <x:c r="E17" s="2"/>
      <x:c r="F17" s="2"/>
      <x:c r="G17" s="19" t="n">
        <x:f>'FixedAssets'!G30+'FixedAssets'!G31-'FixedAssets'!G33-'FixedAssets'!G34</x:f>
        <x:v>0</x:v>
      </x:c>
      <x:c r="H17" s="19" t="n">
        <x:f>'FixedAssets'!H30+'FixedAssets'!H31-'FixedAssets'!H33-'FixedAssets'!H34</x:f>
        <x:v>0</x:v>
      </x:c>
      <x:c r="I17" s="19" t="n">
        <x:f>'FixedAssets'!I30+'FixedAssets'!I31-'FixedAssets'!I33-'FixedAssets'!I34</x:f>
        <x:v>0</x:v>
      </x:c>
    </x:row>
    <x:row r="18" ht="21" customHeight="1">
      <x:c r="C18" s="1" t="str">
        <x:v>Investment roll-forward difference</x:v>
      </x:c>
      <x:c r="D18" s="2"/>
      <x:c r="E18" s="2"/>
      <x:c r="F18" s="2"/>
      <x:c r="G18" s="19" t="n">
        <x:f>'FundingTaxEquity'!G22+'FundingTaxEquity'!G24-'FundingTaxEquity'!G26+'FundingTaxEquity'!G29-'FundingTaxEquity'!G31</x:f>
        <x:v>0</x:v>
      </x:c>
      <x:c r="H18" s="19" t="n">
        <x:f>'FundingTaxEquity'!H22+'FundingTaxEquity'!H24-'FundingTaxEquity'!H26+'FundingTaxEquity'!H29-'FundingTaxEquity'!H31</x:f>
        <x:v>0</x:v>
      </x:c>
      <x:c r="I18" s="19" t="n">
        <x:f>'FundingTaxEquity'!I22+'FundingTaxEquity'!I24-'FundingTaxEquity'!I26+'FundingTaxEquity'!I29-'FundingTaxEquity'!I31</x:f>
        <x:v>0</x:v>
      </x:c>
    </x:row>
    <x:row r="19" ht="21" customHeight="1">
      <x:c r="C19" s="1" t="str">
        <x:v>Retained earnings roll-forward difference</x:v>
      </x:c>
      <x:c r="D19" s="2"/>
      <x:c r="E19" s="2"/>
      <x:c r="F19" s="2"/>
      <x:c r="G19" s="19" t="n">
        <x:f>'FundingTaxEquity'!G41+'FundingTaxEquity'!G42-'FundingTaxEquity'!G44-'FundingTaxEquity'!G47-'FundingTaxEquity'!G48</x:f>
        <x:v>0</x:v>
      </x:c>
      <x:c r="H19" s="19" t="n">
        <x:f>'FundingTaxEquity'!H41+'FundingTaxEquity'!H42-'FundingTaxEquity'!H44-'FundingTaxEquity'!H47-'FundingTaxEquity'!H48</x:f>
        <x:v>0</x:v>
      </x:c>
      <x:c r="I19" s="19" t="n">
        <x:f>'FundingTaxEquity'!I41+'FundingTaxEquity'!I42-'FundingTaxEquity'!I44-'FundingTaxEquity'!I47-'FundingTaxEquity'!I48</x:f>
        <x:v>0</x:v>
      </x:c>
    </x:row>
    <x:row r="20" ht="21" customHeight="1">
      <x:c r="C20" s="1" t="str">
        <x:v>NCI roll-forward difference</x:v>
      </x:c>
      <x:c r="D20" s="2"/>
      <x:c r="E20" s="2"/>
      <x:c r="F20" s="2"/>
      <x:c r="G20" s="19" t="n">
        <x:f>'FundingTaxEquity'!G51+'FundingTaxEquity'!G52-'FundingTaxEquity'!G54-'FundingTaxEquity'!G55</x:f>
        <x:v>0</x:v>
      </x:c>
      <x:c r="H20" s="19" t="n">
        <x:f>'FundingTaxEquity'!H51+'FundingTaxEquity'!H52-'FundingTaxEquity'!H54-'FundingTaxEquity'!H55</x:f>
        <x:v>0</x:v>
      </x:c>
      <x:c r="I20" s="19" t="n">
        <x:f>'FundingTaxEquity'!I51+'FundingTaxEquity'!I52-'FundingTaxEquity'!I54-'FundingTaxEquity'!I55</x:f>
        <x:v>0</x:v>
      </x:c>
    </x:row>
    <x:row r="21" ht="21" customHeight="1">
      <x:c r="C21" s="1" t="str">
        <x:v>H1 segment total allocation difference</x:v>
      </x:c>
      <x:c r="D21" s="2"/>
      <x:c r="E21" s="2"/>
      <x:c r="F21" s="2"/>
      <x:c r="G21" s="19" t="n">
        <x:f>SUM('Interim'!E16:E22)-'Interim'!E9</x:f>
        <x:v>0</x:v>
      </x:c>
      <x:c r="H21" s="2"/>
      <x:c r="I21" s="2"/>
    </x:row>
    <x:row r="22" ht="21" customHeight="1">
      <x:c r="C22" s="1"/>
      <x:c r="D22" s="2"/>
      <x:c r="E22" s="2"/>
      <x:c r="F22" s="2"/>
      <x:c r="G22" s="2"/>
      <x:c r="H22" s="2"/>
      <x:c r="I22" s="2"/>
    </x:row>
    <x:row r="23" ht="21" customHeight="1">
      <x:c r="C23" s="12" t="str">
        <x:v>Scenario and invalid-input warnings</x:v>
      </x:c>
      <x:c r="D23" s="25"/>
      <x:c r="E23" s="25"/>
      <x:c r="F23" s="25"/>
      <x:c r="G23" s="25"/>
      <x:c r="H23" s="25"/>
      <x:c r="I23" s="25"/>
    </x:row>
    <x:row r="24" ht="21" customHeight="1">
      <x:c r="C24" s="1" t="str">
        <x:v>Cash deficit (scenario warning)</x:v>
      </x:c>
      <x:c r="D24" s="2"/>
      <x:c r="E24" s="2"/>
      <x:c r="F24" s="2"/>
      <x:c r="G24" s="19" t="n">
        <x:f>MAX(0,-'Statements'!G31)</x:f>
        <x:v>0</x:v>
      </x:c>
      <x:c r="H24" s="19" t="n">
        <x:f>MAX(0,-'Statements'!H31)</x:f>
        <x:v>0</x:v>
      </x:c>
      <x:c r="I24" s="19" t="n">
        <x:f>MAX(0,-'Statements'!I31)</x:f>
        <x:v>0</x:v>
      </x:c>
    </x:row>
    <x:row r="25" ht="21" customHeight="1">
      <x:c r="C25" s="1" t="str">
        <x:v>Invalid negative funding / equity requests</x:v>
      </x:c>
      <x:c r="D25" s="2"/>
      <x:c r="E25" s="2"/>
      <x:c r="F25" s="2"/>
      <x:c r="G25" s="19" t="n">
        <x:f>-MIN(0,'Assumptions'!G40)-MIN(0,'Assumptions'!G42)-MIN(0,'Assumptions'!G45)-MIN(0,'Assumptions'!G44)-MIN(0,'Assumptions'!G46)-MIN(0,'Assumptions'!G36)-MIN(0,'Assumptions'!G51)-MIN(0,'Assumptions'!G52)</x:f>
        <x:v>0</x:v>
      </x:c>
      <x:c r="H25" s="19" t="n">
        <x:f>-MIN(0,'Assumptions'!H40)-MIN(0,'Assumptions'!H42)-MIN(0,'Assumptions'!H45)-MIN(0,'Assumptions'!H44)-MIN(0,'Assumptions'!H46)-MIN(0,'Assumptions'!H36)-MIN(0,'Assumptions'!H51)-MIN(0,'Assumptions'!H52)</x:f>
        <x:v>0</x:v>
      </x:c>
      <x:c r="I25" s="19" t="n">
        <x:f>-MIN(0,'Assumptions'!I40)-MIN(0,'Assumptions'!I42)-MIN(0,'Assumptions'!I45)-MIN(0,'Assumptions'!I44)-MIN(0,'Assumptions'!I46)-MIN(0,'Assumptions'!I36)-MIN(0,'Assumptions'!I51)-MIN(0,'Assumptions'!I52)</x:f>
        <x:v>0</x:v>
      </x:c>
    </x:row>
    <x:row r="26" ht="21" customHeight="1">
      <x:c r="C26" s="1" t="str">
        <x:v>Capped debt repayment request</x:v>
      </x:c>
      <x:c r="D26" s="2"/>
      <x:c r="E26" s="2"/>
      <x:c r="F26" s="2"/>
      <x:c r="G26" s="19" t="n">
        <x:f>'FundingTaxEquity'!G17</x:f>
        <x:v>0</x:v>
      </x:c>
      <x:c r="H26" s="19" t="n">
        <x:f>'FundingTaxEquity'!H17</x:f>
        <x:v>0</x:v>
      </x:c>
      <x:c r="I26" s="19" t="n">
        <x:f>'FundingTaxEquity'!I17</x:f>
        <x:v>0</x:v>
      </x:c>
    </x:row>
    <x:row r="27" ht="21" customHeight="1">
      <x:c r="C27" s="1" t="str">
        <x:v>Capped investment redemption request</x:v>
      </x:c>
      <x:c r="D27" s="2"/>
      <x:c r="E27" s="2"/>
      <x:c r="F27" s="2"/>
      <x:c r="G27" s="19" t="n">
        <x:f>'FundingTaxEquity'!G27</x:f>
        <x:v>0</x:v>
      </x:c>
      <x:c r="H27" s="19" t="n">
        <x:f>'FundingTaxEquity'!H27</x:f>
        <x:v>0</x:v>
      </x:c>
      <x:c r="I27" s="19" t="n">
        <x:f>'FundingTaxEquity'!I27</x:f>
        <x:v>0</x:v>
      </x:c>
    </x:row>
    <x:row r="28" ht="21" customHeight="1">
      <x:c r="C28" s="1" t="str">
        <x:v>Capped investment loss request</x:v>
      </x:c>
      <x:c r="D28" s="2"/>
      <x:c r="E28" s="2"/>
      <x:c r="F28" s="2"/>
      <x:c r="G28" s="19" t="n">
        <x:f>'FundingTaxEquity'!G30</x:f>
        <x:v>0</x:v>
      </x:c>
      <x:c r="H28" s="19" t="n">
        <x:f>'FundingTaxEquity'!H30</x:f>
        <x:v>0</x:v>
      </x:c>
      <x:c r="I28" s="19" t="n">
        <x:f>'FundingTaxEquity'!I30</x:f>
        <x:v>0</x:v>
      </x:c>
    </x:row>
    <x:row r="29" ht="21" customHeight="1">
      <x:c r="C29" s="1" t="str">
        <x:v>Dividend request above retained earnings</x:v>
      </x:c>
      <x:c r="D29" s="2"/>
      <x:c r="E29" s="2"/>
      <x:c r="F29" s="2"/>
      <x:c r="G29" s="19" t="n">
        <x:f>'FundingTaxEquity'!G45</x:f>
        <x:v>0</x:v>
      </x:c>
      <x:c r="H29" s="19" t="n">
        <x:f>'FundingTaxEquity'!H45</x:f>
        <x:v>0</x:v>
      </x:c>
      <x:c r="I29" s="19" t="n">
        <x:f>'FundingTaxEquity'!I45</x:f>
        <x:v>0</x:v>
      </x:c>
    </x:row>
    <x:row r="30" ht="21" customHeight="1">
      <x:c r="C30" s="1" t="str">
        <x:v>FY2026 revenue below reported H1 (infeasible if revenue is nonnegative)</x:v>
      </x:c>
      <x:c r="D30" s="2"/>
      <x:c r="E30" s="2"/>
      <x:c r="F30" s="2"/>
      <x:c r="G30" s="19" t="n">
        <x:f>MAX(0,'Interim'!E9-'Statements'!G10)</x:f>
        <x:v>0</x:v>
      </x:c>
      <x:c r="H30" s="2"/>
      <x:c r="I30" s="2"/>
    </x:row>
    <x:row r="31" ht="21" customHeight="1">
      <x:c r="C31" s="1" t="str">
        <x:v>Negative working-capital days / margins outside range</x:v>
      </x:c>
      <x:c r="D31" s="2"/>
      <x:c r="E31" s="2"/>
      <x:c r="F31" s="2"/>
      <x:c r="G31" s="19" t="n">
        <x:f>-MIN(0,'Assumptions'!G22)-MIN(0,'Assumptions'!G23)-MIN(0,'Assumptions'!G24)-MIN(0,'Assumptions'!G10)+MAX(0,'Assumptions'!G10-1)</x:f>
        <x:v>0</x:v>
      </x:c>
      <x:c r="H31" s="19" t="n">
        <x:f>-MIN(0,'Assumptions'!H22)-MIN(0,'Assumptions'!H23)-MIN(0,'Assumptions'!H24)-MIN(0,'Assumptions'!H10)+MAX(0,'Assumptions'!H10-1)</x:f>
        <x:v>0</x:v>
      </x:c>
      <x:c r="I31" s="19" t="n">
        <x:f>-MIN(0,'Assumptions'!I22)-MIN(0,'Assumptions'!I23)-MIN(0,'Assumptions'!I24)-MIN(0,'Assumptions'!I10)+MAX(0,'Assumptions'!I10-1)</x:f>
        <x:v>0</x:v>
      </x:c>
    </x:row>
    <x:row r="32" ht="21" customHeight="1">
      <x:c r="C32" s="1" t="str">
        <x:v>Negative tax / interest / depreciation rate</x:v>
      </x:c>
      <x:c r="D32" s="2"/>
      <x:c r="E32" s="2"/>
      <x:c r="F32" s="2"/>
      <x:c r="G32" s="19" t="n">
        <x:f>-MIN(0,'Assumptions'!G18)-MIN(0,'Assumptions'!G17)-MIN(0,'Assumptions'!G33)-MIN(0,'Assumptions'!G34)-MIN(0,'Assumptions'!G35)</x:f>
        <x:v>0</x:v>
      </x:c>
      <x:c r="H32" s="19" t="n">
        <x:f>-MIN(0,'Assumptions'!H18)-MIN(0,'Assumptions'!H17)-MIN(0,'Assumptions'!H33)-MIN(0,'Assumptions'!H34)-MIN(0,'Assumptions'!H35)</x:f>
        <x:v>0</x:v>
      </x:c>
      <x:c r="I32" s="19" t="n">
        <x:f>-MIN(0,'Assumptions'!I18)-MIN(0,'Assumptions'!I17)-MIN(0,'Assumptions'!I33)-MIN(0,'Assumptions'!I34)-MIN(0,'Assumptions'!I35)</x:f>
        <x:v>0</x:v>
      </x:c>
    </x:row>
    <x:row r="33" ht="21" customHeight="1">
      <x:c r="C33" s="1"/>
      <x:c r="D33" s="2"/>
      <x:c r="E33" s="2"/>
      <x:c r="F33" s="2"/>
      <x:c r="G33" s="2"/>
      <x:c r="H33" s="2"/>
      <x:c r="I33" s="2"/>
    </x:row>
    <x:row r="34" ht="21" customHeight="1">
      <x:c r="C34" s="1" t="str">
        <x:v>Invalid negative PPE / intangible capex rate</x:v>
      </x:c>
      <x:c r="D34" s="2"/>
      <x:c r="E34" s="2"/>
      <x:c r="F34" s="2"/>
      <x:c r="G34" s="19" t="n">
        <x:f>MAX(0,-'Assumptions'!G31)+MAX(0,-'Assumptions'!G32)</x:f>
        <x:v>0</x:v>
      </x:c>
      <x:c r="H34" s="19" t="n">
        <x:f>MAX(0,-'Assumptions'!H31)+MAX(0,-'Assumptions'!H32)</x:f>
        <x:v>0</x:v>
      </x:c>
      <x:c r="I34" s="19" t="n">
        <x:f>MAX(0,-'Assumptions'!I31)+MAX(0,-'Assumptions'!I32)</x:f>
        <x:v>0</x:v>
      </x:c>
    </x:row>
    <x:row r="35" ht="21" customHeight="1">
      <x:c r="C35" s="1" t="str">
        <x:v>Segment revenue below observed H1 / below zero</x:v>
      </x:c>
      <x:c r="D35" s="2"/>
      <x:c r="E35" s="2"/>
      <x:c r="F35" s="2"/>
      <x:c r="G35" s="19" t="n">
        <x:f>MAX(0,'Interim'!E16-'Operating'!G12)+MAX(0,'Interim'!E17-'Operating'!G20)+MAX(0,'Interim'!E18-'Operating'!G28)+MAX(0,'Interim'!E19-'Operating'!G36)+MAX(0,'Interim'!E20-'Operating'!G44)+MAX(0,'Interim'!E21-'Operating'!G52)+MAX(0,'Interim'!E22-'Operating'!G60)</x:f>
        <x:v>0</x:v>
      </x:c>
      <x:c r="H35" s="19" t="n">
        <x:f>MAX(0,0-'Operating'!H12)+MAX(0,0-'Operating'!H20)+MAX(0,0-'Operating'!H28)+MAX(0,0-'Operating'!H36)+MAX(0,0-'Operating'!H44)+MAX(0,0-'Operating'!H52)+MAX(0,0-'Operating'!H60)</x:f>
        <x:v>0</x:v>
      </x:c>
      <x:c r="I35" s="19" t="n">
        <x:f>MAX(0,0-'Operating'!I12)+MAX(0,0-'Operating'!I20)+MAX(0,0-'Operating'!I28)+MAX(0,0-'Operating'!I36)+MAX(0,0-'Operating'!I44)+MAX(0,0-'Operating'!I52)+MAX(0,0-'Operating'!I60)</x:f>
        <x:v>0</x:v>
      </x:c>
    </x:row>
    <x:row r="36" ht="21" customHeight="1">
      <x:c r="C36" s="1" t="str">
        <x:v>Segment volume or price change below -100%</x:v>
      </x:c>
      <x:c r="D36" s="2"/>
      <x:c r="E36" s="2"/>
      <x:c r="F36" s="2"/>
      <x:c r="G36" s="19" t="n">
        <x:f>MAX(0,-1-'Assumptions'!G66)+MAX(0,-1-'Assumptions'!G67)+MAX(0,-1-'Assumptions'!G70)+MAX(0,-1-'Assumptions'!G71)+MAX(0,-1-'Assumptions'!G74)+MAX(0,-1-'Assumptions'!G75)+MAX(0,-1-'Assumptions'!G78)+MAX(0,-1-'Assumptions'!G79)+MAX(0,-1-'Assumptions'!G82)+MAX(0,-1-'Assumptions'!G83)+MAX(0,-1-'Assumptions'!G86)+MAX(0,-1-'Assumptions'!G87)+MAX(0,-1-'Assumptions'!G90)+MAX(0,-1-'Assumptions'!G91)</x:f>
        <x:v>0</x:v>
      </x:c>
      <x:c r="H36" s="19" t="n">
        <x:f>MAX(0,-1-'Assumptions'!H66)+MAX(0,-1-'Assumptions'!H67)+MAX(0,-1-'Assumptions'!H70)+MAX(0,-1-'Assumptions'!H71)+MAX(0,-1-'Assumptions'!H74)+MAX(0,-1-'Assumptions'!H75)+MAX(0,-1-'Assumptions'!H78)+MAX(0,-1-'Assumptions'!H79)+MAX(0,-1-'Assumptions'!H82)+MAX(0,-1-'Assumptions'!H83)+MAX(0,-1-'Assumptions'!H86)+MAX(0,-1-'Assumptions'!H87)+MAX(0,-1-'Assumptions'!H90)+MAX(0,-1-'Assumptions'!H91)</x:f>
        <x:v>0</x:v>
      </x:c>
      <x:c r="I36" s="19" t="n">
        <x:f>MAX(0,-1-'Assumptions'!I66)+MAX(0,-1-'Assumptions'!I67)+MAX(0,-1-'Assumptions'!I70)+MAX(0,-1-'Assumptions'!I71)+MAX(0,-1-'Assumptions'!I74)+MAX(0,-1-'Assumptions'!I75)+MAX(0,-1-'Assumptions'!I78)+MAX(0,-1-'Assumptions'!I79)+MAX(0,-1-'Assumptions'!I82)+MAX(0,-1-'Assumptions'!I83)+MAX(0,-1-'Assumptions'!I86)+MAX(0,-1-'Assumptions'!I87)+MAX(0,-1-'Assumptions'!I90)+MAX(0,-1-'Assumptions'!I91)</x:f>
        <x:v>0</x:v>
      </x:c>
    </x:row>
    <x:row r="37" ht="21" customHeight="1">
      <x:c r="C37" s="1"/>
      <x:c r="D37" s="2"/>
      <x:c r="E37" s="2"/>
      <x:c r="F37" s="2"/>
      <x:c r="G37" s="2"/>
      <x:c r="H37" s="2"/>
      <x:c r="I37" s="2"/>
    </x:row>
    <x:row r="38" ht="21" customHeight="1">
      <x:c r="C38" s="1"/>
      <x:c r="D38" s="2"/>
      <x:c r="E38" s="2"/>
      <x:c r="F38" s="2"/>
      <x:c r="G38" s="2"/>
      <x:c r="H38" s="2"/>
      <x:c r="I38" s="2"/>
    </x:row>
    <x:row r="39" ht="21" customHeight="1">
      <x:c r="C39" s="1"/>
      <x:c r="D39" s="2"/>
      <x:c r="E39" s="2"/>
      <x:c r="F39" s="2"/>
      <x:c r="G39" s="2"/>
      <x:c r="H39" s="2"/>
      <x:c r="I39" s="2"/>
    </x:row>
    <x:row r="40" ht="21" customHeight="1">
      <x:c r="C40" s="1"/>
      <x:c r="D40" s="2"/>
      <x:c r="E40" s="2"/>
      <x:c r="F40" s="2"/>
      <x:c r="G40" s="2"/>
      <x:c r="H40" s="2"/>
      <x:c r="I40" s="2"/>
    </x:row>
    <x:row r="41" ht="21" customHeight="1">
      <x:c r="C41" s="1"/>
      <x:c r="D41" s="2"/>
      <x:c r="E41" s="2"/>
      <x:c r="F41" s="2"/>
      <x:c r="G41" s="2"/>
      <x:c r="H41" s="2"/>
      <x:c r="I41" s="2"/>
    </x:row>
    <x:row r="42" ht="21" customHeight="1">
      <x:c r="C42" s="1"/>
      <x:c r="D42" s="2"/>
      <x:c r="E42" s="2"/>
      <x:c r="F42" s="2"/>
      <x:c r="G42" s="2"/>
      <x:c r="H42" s="2"/>
      <x:c r="I42" s="2"/>
    </x:row>
    <x:row r="43" ht="21" customHeight="1">
      <x:c r="C43" s="1"/>
      <x:c r="D43" s="2"/>
      <x:c r="E43" s="2"/>
      <x:c r="F43" s="2"/>
      <x:c r="G43" s="2"/>
      <x:c r="H43" s="2"/>
      <x:c r="I43" s="2"/>
    </x:row>
    <x:row r="44" ht="21" customHeight="1">
      <x:c r="C44" s="1"/>
      <x:c r="D44" s="2"/>
      <x:c r="E44" s="2"/>
      <x:c r="F44" s="2"/>
      <x:c r="G44" s="2"/>
      <x:c r="H44" s="2"/>
      <x:c r="I44" s="2"/>
    </x:row>
    <x:row r="45" ht="21" customHeight="1">
      <x:c r="C45" s="1"/>
      <x:c r="D45" s="2"/>
      <x:c r="E45" s="2"/>
      <x:c r="F45" s="2"/>
      <x:c r="G45" s="2"/>
      <x:c r="H45" s="2"/>
      <x:c r="I45" s="2"/>
    </x:row>
    <x:row r="46" ht="21" customHeight="1">
      <x:c r="C46" s="1"/>
      <x:c r="D46" s="2"/>
      <x:c r="E46" s="2"/>
      <x:c r="F46" s="2"/>
      <x:c r="G46" s="2"/>
      <x:c r="H46" s="2"/>
      <x:c r="I46" s="2"/>
    </x:row>
    <x:row r="47" ht="21" customHeight="1">
      <x:c r="C47" s="1"/>
      <x:c r="D47" s="2"/>
      <x:c r="E47" s="2"/>
      <x:c r="F47" s="2"/>
      <x:c r="G47" s="2"/>
      <x:c r="H47" s="2"/>
      <x:c r="I47" s="2"/>
    </x:row>
    <x:row r="48" ht="21" customHeight="1">
      <x:c r="C48" s="1"/>
      <x:c r="D48" s="2"/>
      <x:c r="E48" s="2"/>
      <x:c r="F48" s="2"/>
      <x:c r="G48" s="2"/>
      <x:c r="H48" s="2"/>
      <x:c r="I48" s="2"/>
    </x:row>
    <x:row r="49" ht="21" customHeight="1">
      <x:c r="C49" s="1"/>
      <x:c r="D49" s="2"/>
      <x:c r="E49" s="2"/>
      <x:c r="F49" s="2"/>
      <x:c r="G49" s="2"/>
      <x:c r="H49" s="2"/>
      <x:c r="I49" s="2"/>
    </x:row>
    <x:row r="50" ht="21" customHeight="1">
      <x:c r="C50" s="1"/>
      <x:c r="D50" s="2"/>
      <x:c r="E50" s="2"/>
      <x:c r="F50" s="2"/>
      <x:c r="G50" s="2"/>
      <x:c r="H50" s="2"/>
      <x:c r="I50" s="2"/>
    </x:row>
    <x:row r="51" ht="21" customHeight="1">
      <x:c r="C51" s="1"/>
      <x:c r="D51" s="2"/>
      <x:c r="E51" s="2"/>
      <x:c r="F51" s="2"/>
      <x:c r="G51" s="2"/>
      <x:c r="H51" s="2"/>
      <x:c r="I51" s="2"/>
    </x:row>
    <x:row r="52" ht="21" customHeight="1">
      <x:c r="C52" s="1"/>
      <x:c r="D52" s="2"/>
      <x:c r="E52" s="2"/>
      <x:c r="F52" s="2"/>
      <x:c r="G52" s="2"/>
      <x:c r="H52" s="2"/>
      <x:c r="I52" s="2"/>
    </x:row>
    <x:row r="53" ht="21" customHeight="1">
      <x:c r="C53" s="1"/>
      <x:c r="D53" s="2"/>
      <x:c r="E53" s="2"/>
      <x:c r="F53" s="2"/>
      <x:c r="G53" s="2"/>
      <x:c r="H53" s="2"/>
      <x:c r="I53" s="2"/>
    </x:row>
    <x:row r="54" ht="21" customHeight="1">
      <x:c r="C54" s="1"/>
      <x:c r="D54" s="2"/>
      <x:c r="E54" s="2"/>
      <x:c r="F54" s="2"/>
      <x:c r="G54" s="2"/>
      <x:c r="H54" s="2"/>
      <x:c r="I54" s="2"/>
    </x:row>
    <x:row r="55" ht="21" customHeight="1">
      <x:c r="C55" s="1"/>
      <x:c r="D55" s="2"/>
      <x:c r="E55" s="2"/>
      <x:c r="F55" s="2"/>
      <x:c r="G55" s="2"/>
      <x:c r="H55" s="2"/>
      <x:c r="I55" s="2"/>
    </x:row>
    <x:row r="56" ht="21" customHeight="1">
      <x:c r="C56" s="1"/>
      <x:c r="D56" s="2"/>
      <x:c r="E56" s="2"/>
      <x:c r="F56" s="2"/>
      <x:c r="G56" s="2"/>
      <x:c r="H56" s="2"/>
      <x:c r="I56" s="2"/>
    </x:row>
    <x:row r="57" ht="21" customHeight="1">
      <x:c r="C57" s="1"/>
      <x:c r="D57" s="2"/>
      <x:c r="E57" s="2"/>
      <x:c r="F57" s="2"/>
      <x:c r="G57" s="2"/>
      <x:c r="H57" s="2"/>
      <x:c r="I57" s="2"/>
    </x:row>
    <x:row r="58" ht="21" customHeight="1">
      <x:c r="C58" s="1"/>
      <x:c r="D58" s="2"/>
      <x:c r="E58" s="2"/>
      <x:c r="F58" s="2"/>
      <x:c r="G58" s="2"/>
      <x:c r="H58" s="2"/>
      <x:c r="I58" s="2"/>
    </x:row>
    <x:row r="59" ht="21" customHeight="1">
      <x:c r="C59" s="1"/>
      <x:c r="D59" s="2"/>
      <x:c r="E59" s="2"/>
      <x:c r="F59" s="2"/>
      <x:c r="G59" s="2"/>
      <x:c r="H59" s="2"/>
      <x:c r="I59" s="2"/>
    </x:row>
    <x:row r="60" ht="21" customHeight="1">
      <x:c r="C60" s="1"/>
      <x:c r="D60" s="2"/>
      <x:c r="E60" s="2"/>
      <x:c r="F60" s="2"/>
      <x:c r="G60" s="2"/>
      <x:c r="H60" s="2"/>
      <x:c r="I60" s="2"/>
    </x:row>
    <x:row r="61" ht="21" customHeight="1">
      <x:c r="C61" s="1"/>
      <x:c r="D61" s="2"/>
      <x:c r="E61" s="2"/>
      <x:c r="F61" s="2"/>
      <x:c r="G61" s="2"/>
      <x:c r="H61" s="2"/>
      <x:c r="I61" s="2"/>
    </x:row>
    <x:row r="62" ht="21" customHeight="1">
      <x:c r="C62" s="1"/>
      <x:c r="D62" s="2"/>
      <x:c r="E62" s="2"/>
      <x:c r="F62" s="2"/>
      <x:c r="G62" s="2"/>
      <x:c r="H62" s="2"/>
      <x:c r="I62" s="2"/>
    </x:row>
    <x:row r="63" ht="21" customHeight="1">
      <x:c r="C63" s="1"/>
      <x:c r="D63" s="2"/>
      <x:c r="E63" s="2"/>
      <x:c r="F63" s="2"/>
      <x:c r="G63" s="2"/>
      <x:c r="H63" s="2"/>
      <x:c r="I63" s="2"/>
    </x:row>
    <x:row r="64" ht="21" customHeight="1">
      <x:c r="C64" s="1"/>
      <x:c r="D64" s="2"/>
      <x:c r="E64" s="2"/>
      <x:c r="F64" s="2"/>
      <x:c r="G64" s="2"/>
      <x:c r="H64" s="2"/>
      <x:c r="I64" s="2"/>
    </x:row>
    <x:row r="65" ht="21" customHeight="1">
      <x:c r="C65" s="1"/>
      <x:c r="D65" s="2"/>
      <x:c r="E65" s="2"/>
      <x:c r="F65" s="2"/>
      <x:c r="G65" s="2"/>
      <x:c r="H65" s="2"/>
      <x:c r="I65" s="2"/>
    </x:row>
    <x:row r="66" ht="21" customHeight="1">
      <x:c r="C66" s="1"/>
      <x:c r="D66" s="2"/>
      <x:c r="E66" s="2"/>
      <x:c r="F66" s="2"/>
      <x:c r="G66" s="2"/>
      <x:c r="H66" s="2"/>
      <x:c r="I66" s="2"/>
    </x:row>
    <x:row r="67" ht="21" customHeight="1">
      <x:c r="C67" s="1"/>
      <x:c r="D67" s="2"/>
      <x:c r="E67" s="2"/>
      <x:c r="F67" s="2"/>
      <x:c r="G67" s="2"/>
      <x:c r="H67" s="2"/>
      <x:c r="I67" s="2"/>
    </x:row>
    <x:row r="68" ht="21" customHeight="1">
      <x:c r="C68" s="1"/>
      <x:c r="D68" s="2"/>
      <x:c r="E68" s="2"/>
      <x:c r="F68" s="2"/>
      <x:c r="G68" s="2"/>
      <x:c r="H68" s="2"/>
      <x:c r="I68" s="2"/>
    </x:row>
    <x:row r="69" ht="21" customHeight="1">
      <x:c r="C69" s="1"/>
      <x:c r="D69" s="2"/>
      <x:c r="E69" s="2"/>
      <x:c r="F69" s="2"/>
      <x:c r="G69" s="2"/>
      <x:c r="H69" s="2"/>
      <x:c r="I69" s="2"/>
    </x:row>
    <x:row r="70" ht="21" customHeight="1">
      <x:c r="C70" s="1"/>
      <x:c r="D70" s="2"/>
      <x:c r="E70" s="2"/>
      <x:c r="F70" s="2"/>
      <x:c r="G70" s="2"/>
      <x:c r="H70" s="2"/>
      <x:c r="I70" s="2"/>
    </x:row>
    <x:row r="71" ht="21" customHeight="1">
      <x:c r="C71" s="1"/>
      <x:c r="D71" s="2"/>
      <x:c r="E71" s="2"/>
      <x:c r="F71" s="2"/>
      <x:c r="G71" s="2"/>
      <x:c r="H71" s="2"/>
      <x:c r="I71" s="2"/>
    </x:row>
    <x:row r="72" ht="21" customHeight="1">
      <x:c r="C72" s="1"/>
      <x:c r="D72" s="2"/>
      <x:c r="E72" s="2"/>
      <x:c r="F72" s="2"/>
      <x:c r="G72" s="2"/>
      <x:c r="H72" s="2"/>
      <x:c r="I72" s="2"/>
    </x:row>
    <x:row r="73" ht="21" customHeight="1">
      <x:c r="C73" s="1"/>
      <x:c r="D73" s="2"/>
      <x:c r="E73" s="2"/>
      <x:c r="F73" s="2"/>
      <x:c r="G73" s="2"/>
      <x:c r="H73" s="2"/>
      <x:c r="I73" s="2"/>
    </x:row>
    <x:row r="74" ht="21" customHeight="1">
      <x:c r="C74" s="1"/>
      <x:c r="D74" s="2"/>
      <x:c r="E74" s="2"/>
      <x:c r="F74" s="2"/>
      <x:c r="G74" s="2"/>
      <x:c r="H74" s="2"/>
      <x:c r="I74" s="2"/>
    </x:row>
    <x:row r="75" ht="21" customHeight="1">
      <x:c r="C75" s="1"/>
      <x:c r="D75" s="2"/>
      <x:c r="E75" s="2"/>
      <x:c r="F75" s="2"/>
      <x:c r="G75" s="2"/>
      <x:c r="H75" s="2"/>
      <x:c r="I75" s="2"/>
    </x:row>
    <x:row r="76" ht="21" customHeight="1">
      <x:c r="C76" s="1"/>
      <x:c r="D76" s="2"/>
      <x:c r="E76" s="2"/>
      <x:c r="F76" s="2"/>
      <x:c r="G76" s="2"/>
      <x:c r="H76" s="2"/>
      <x:c r="I76" s="2"/>
    </x:row>
    <x:row r="77" ht="21" customHeight="1">
      <x:c r="C77" s="1"/>
      <x:c r="D77" s="2"/>
      <x:c r="E77" s="2"/>
      <x:c r="F77" s="2"/>
      <x:c r="G77" s="2"/>
      <x:c r="H77" s="2"/>
      <x:c r="I77" s="2"/>
    </x:row>
    <x:row r="78" ht="21" customHeight="1">
      <x:c r="C78" s="1"/>
      <x:c r="D78" s="2"/>
      <x:c r="E78" s="2"/>
      <x:c r="F78" s="2"/>
      <x:c r="G78" s="2"/>
      <x:c r="H78" s="2"/>
      <x:c r="I78" s="2"/>
    </x:row>
    <x:row r="79" ht="21" customHeight="1">
      <x:c r="C79" s="1"/>
      <x:c r="D79" s="2"/>
      <x:c r="E79" s="2"/>
      <x:c r="F79" s="2"/>
      <x:c r="G79" s="2"/>
      <x:c r="H79" s="2"/>
      <x:c r="I79" s="2"/>
    </x:row>
    <x:row r="80" ht="21" customHeight="1">
      <x:c r="C80" s="1"/>
      <x:c r="D80" s="2"/>
      <x:c r="E80" s="2"/>
      <x:c r="F80" s="2"/>
      <x:c r="G80" s="2"/>
      <x:c r="H80" s="2"/>
      <x:c r="I80" s="2"/>
    </x:row>
    <x:row r="81" ht="21" customHeight="1">
      <x:c r="C81" s="1"/>
      <x:c r="D81" s="2"/>
      <x:c r="E81" s="2"/>
      <x:c r="F81" s="2"/>
      <x:c r="G81" s="2"/>
      <x:c r="H81" s="2"/>
      <x:c r="I81" s="2"/>
    </x:row>
    <x:row r="82" ht="21" customHeight="1">
      <x:c r="C82" s="1"/>
      <x:c r="D82" s="2"/>
      <x:c r="E82" s="2"/>
      <x:c r="F82" s="2"/>
      <x:c r="G82" s="2"/>
      <x:c r="H82" s="2"/>
      <x:c r="I82" s="2"/>
    </x:row>
    <x:row r="83" ht="21" customHeight="1">
      <x:c r="C83" s="1"/>
      <x:c r="D83" s="2"/>
      <x:c r="E83" s="2"/>
      <x:c r="F83" s="2"/>
      <x:c r="G83" s="2"/>
      <x:c r="H83" s="2"/>
      <x:c r="I83" s="2"/>
    </x:row>
    <x:row r="84" ht="21" customHeight="1">
      <x:c r="C84" s="1"/>
      <x:c r="D84" s="2"/>
      <x:c r="E84" s="2"/>
      <x:c r="F84" s="2"/>
      <x:c r="G84" s="2"/>
      <x:c r="H84" s="2"/>
      <x:c r="I84" s="2"/>
    </x:row>
    <x:row r="85" ht="21" customHeight="1">
      <x:c r="C85" s="1"/>
      <x:c r="D85" s="2"/>
      <x:c r="E85" s="2"/>
      <x:c r="F85" s="2"/>
      <x:c r="G85" s="2"/>
      <x:c r="H85" s="2"/>
      <x:c r="I85" s="2"/>
    </x:row>
    <x:row r="86" ht="21" customHeight="1">
      <x:c r="C86" s="1"/>
      <x:c r="D86" s="2"/>
      <x:c r="E86" s="2"/>
      <x:c r="F86" s="2"/>
      <x:c r="G86" s="2"/>
      <x:c r="H86" s="2"/>
      <x:c r="I86" s="2"/>
    </x:row>
    <x:row r="87" ht="21" customHeight="1">
      <x:c r="C87" s="1"/>
      <x:c r="D87" s="2"/>
      <x:c r="E87" s="2"/>
      <x:c r="F87" s="2"/>
      <x:c r="G87" s="2"/>
      <x:c r="H87" s="2"/>
      <x:c r="I87" s="2"/>
    </x:row>
    <x:row r="88" ht="21" customHeight="1">
      <x:c r="C88" s="1"/>
      <x:c r="D88" s="2"/>
      <x:c r="E88" s="2"/>
      <x:c r="F88" s="2"/>
      <x:c r="G88" s="2"/>
      <x:c r="H88" s="2"/>
      <x:c r="I88" s="2"/>
    </x:row>
    <x:row r="89" ht="21" customHeight="1">
      <x:c r="C89" s="1"/>
      <x:c r="D89" s="2"/>
      <x:c r="E89" s="2"/>
      <x:c r="F89" s="2"/>
      <x:c r="G89" s="2"/>
      <x:c r="H89" s="2"/>
      <x:c r="I89" s="2"/>
    </x:row>
    <x:row r="90" ht="21" customHeight="1">
      <x:c r="C90" s="1"/>
      <x:c r="D90" s="2"/>
      <x:c r="E90" s="2"/>
      <x:c r="F90" s="2"/>
      <x:c r="G90" s="2"/>
      <x:c r="H90" s="2"/>
      <x:c r="I90" s="2"/>
    </x:row>
    <x:row r="91" ht="21" customHeight="1">
      <x:c r="C91" s="1"/>
      <x:c r="D91" s="2"/>
      <x:c r="E91" s="2"/>
      <x:c r="F91" s="2"/>
      <x:c r="G91" s="2"/>
      <x:c r="H91" s="2"/>
      <x:c r="I91" s="2"/>
    </x:row>
    <x:row r="92" ht="21" customHeight="1">
      <x:c r="C92" s="1"/>
      <x:c r="D92" s="2"/>
      <x:c r="E92" s="2"/>
      <x:c r="F92" s="2"/>
      <x:c r="G92" s="2"/>
      <x:c r="H92" s="2"/>
      <x:c r="I92" s="2"/>
    </x:row>
    <x:row r="93" ht="21" customHeight="1">
      <x:c r="C93" s="1"/>
      <x:c r="D93" s="2"/>
      <x:c r="E93" s="2"/>
      <x:c r="F93" s="2"/>
      <x:c r="G93" s="2"/>
      <x:c r="H93" s="2"/>
      <x:c r="I93" s="2"/>
    </x:row>
    <x:row r="94" ht="21" customHeight="1">
      <x:c r="C94" s="1"/>
      <x:c r="D94" s="2"/>
      <x:c r="E94" s="2"/>
      <x:c r="F94" s="2"/>
      <x:c r="G94" s="2"/>
      <x:c r="H94" s="2"/>
      <x:c r="I94" s="2"/>
    </x:row>
    <x:row r="95" ht="21" customHeight="1">
      <x:c r="C95" s="1"/>
      <x:c r="D95" s="2"/>
      <x:c r="E95" s="2"/>
      <x:c r="F95" s="2"/>
      <x:c r="G95" s="2"/>
      <x:c r="H95" s="2"/>
      <x:c r="I95" s="2"/>
    </x:row>
    <x:row r="96" ht="21" customHeight="1">
      <x:c r="C96" s="1"/>
      <x:c r="D96" s="2"/>
      <x:c r="E96" s="2"/>
      <x:c r="F96" s="2"/>
      <x:c r="G96" s="2"/>
      <x:c r="H96" s="2"/>
      <x:c r="I96" s="2"/>
    </x:row>
    <x:row r="97" ht="21" customHeight="1">
      <x:c r="C97" s="1"/>
      <x:c r="D97" s="2"/>
      <x:c r="E97" s="2"/>
      <x:c r="F97" s="2"/>
      <x:c r="G97" s="2"/>
      <x:c r="H97" s="2"/>
      <x:c r="I97" s="2"/>
    </x:row>
    <x:row r="98" ht="21" customHeight="1">
      <x:c r="C98" s="1"/>
      <x:c r="D98" s="2"/>
      <x:c r="E98" s="2"/>
      <x:c r="F98" s="2"/>
      <x:c r="G98" s="2"/>
      <x:c r="H98" s="2"/>
      <x:c r="I98" s="2"/>
    </x:row>
    <x:row r="99" ht="21" customHeight="1">
      <x:c r="C99" s="1"/>
      <x:c r="D99" s="2"/>
      <x:c r="E99" s="2"/>
      <x:c r="F99" s="2"/>
      <x:c r="G99" s="2"/>
      <x:c r="H99" s="2"/>
      <x:c r="I99" s="2"/>
    </x:row>
    <x:row r="100" ht="21" customHeight="1">
      <x:c r="C100" s="1"/>
      <x:c r="D100" s="2"/>
      <x:c r="E100" s="2"/>
      <x:c r="F100" s="2"/>
      <x:c r="G100" s="2"/>
      <x:c r="H100" s="2"/>
      <x:c r="I100" s="2"/>
    </x:row>
    <x:row r="101" ht="21" customHeight="1">
      <x:c r="C101" s="1"/>
      <x:c r="D101" s="2"/>
      <x:c r="E101" s="2"/>
      <x:c r="F101" s="2"/>
      <x:c r="G101" s="2"/>
      <x:c r="H101" s="2"/>
      <x:c r="I101" s="2"/>
    </x:row>
    <x:row r="102" ht="21" customHeight="1">
      <x:c r="C102" s="1"/>
      <x:c r="D102" s="2"/>
      <x:c r="E102" s="2"/>
      <x:c r="F102" s="2"/>
      <x:c r="G102" s="2"/>
      <x:c r="H102" s="2"/>
      <x:c r="I102" s="2"/>
    </x:row>
    <x:row r="103" ht="21" customHeight="1">
      <x:c r="C103" s="1"/>
      <x:c r="D103" s="2"/>
      <x:c r="E103" s="2"/>
      <x:c r="F103" s="2"/>
      <x:c r="G103" s="2"/>
      <x:c r="H103" s="2"/>
      <x:c r="I103" s="2"/>
    </x:row>
    <x:row r="104" ht="21" customHeight="1">
      <x:c r="C104" s="1"/>
      <x:c r="D104" s="2"/>
      <x:c r="E104" s="2"/>
      <x:c r="F104" s="2"/>
      <x:c r="G104" s="2"/>
      <x:c r="H104" s="2"/>
      <x:c r="I104" s="2"/>
    </x:row>
    <x:row r="105" ht="21" customHeight="1">
      <x:c r="C105" s="1"/>
      <x:c r="D105" s="2"/>
      <x:c r="E105" s="2"/>
      <x:c r="F105" s="2"/>
      <x:c r="G105" s="2"/>
      <x:c r="H105" s="2"/>
      <x:c r="I105" s="2"/>
    </x:row>
    <x:row r="106" ht="21" customHeight="1">
      <x:c r="C106" s="1"/>
      <x:c r="D106" s="2"/>
      <x:c r="E106" s="2"/>
      <x:c r="F106" s="2"/>
      <x:c r="G106" s="2"/>
      <x:c r="H106" s="2"/>
      <x:c r="I106" s="2"/>
    </x:row>
    <x:row r="107" ht="21" customHeight="1">
      <x:c r="C107" s="1"/>
      <x:c r="D107" s="2"/>
      <x:c r="E107" s="2"/>
      <x:c r="F107" s="2"/>
      <x:c r="G107" s="2"/>
      <x:c r="H107" s="2"/>
      <x:c r="I107" s="2"/>
    </x:row>
    <x:row r="108" ht="21" customHeight="1">
      <x:c r="C108" s="1"/>
      <x:c r="D108" s="2"/>
      <x:c r="E108" s="2"/>
      <x:c r="F108" s="2"/>
      <x:c r="G108" s="2"/>
      <x:c r="H108" s="2"/>
      <x:c r="I108" s="2"/>
    </x:row>
    <x:row r="109" ht="21" customHeight="1">
      <x:c r="C109" s="1"/>
      <x:c r="D109" s="2"/>
      <x:c r="E109" s="2"/>
      <x:c r="F109" s="2"/>
      <x:c r="G109" s="2"/>
      <x:c r="H109" s="2"/>
      <x:c r="I109" s="2"/>
    </x:row>
    <x:row r="110" ht="21" customHeight="1">
      <x:c r="C110" s="1"/>
      <x:c r="D110" s="2"/>
      <x:c r="E110" s="2"/>
      <x:c r="F110" s="2"/>
      <x:c r="G110" s="2"/>
      <x:c r="H110" s="2"/>
      <x:c r="I110" s="2"/>
    </x:row>
    <x:row r="111" ht="21" customHeight="1">
      <x:c r="C111" s="1"/>
      <x:c r="D111" s="2"/>
      <x:c r="E111" s="2"/>
      <x:c r="F111" s="2"/>
      <x:c r="G111" s="2"/>
      <x:c r="H111" s="2"/>
      <x:c r="I111" s="2"/>
    </x:row>
    <x:row r="112" ht="21" customHeight="1">
      <x:c r="C112" s="1"/>
      <x:c r="D112" s="2"/>
      <x:c r="E112" s="2"/>
      <x:c r="F112" s="2"/>
      <x:c r="G112" s="2"/>
      <x:c r="H112" s="2"/>
      <x:c r="I112" s="2"/>
    </x:row>
    <x:row r="113" ht="21" customHeight="1">
      <x:c r="C113" s="1"/>
      <x:c r="D113" s="2"/>
      <x:c r="E113" s="2"/>
      <x:c r="F113" s="2"/>
      <x:c r="G113" s="2"/>
      <x:c r="H113" s="2"/>
      <x:c r="I113" s="2"/>
    </x:row>
    <x:row r="114" ht="21" customHeight="1">
      <x:c r="C114" s="1"/>
      <x:c r="D114" s="2"/>
      <x:c r="E114" s="2"/>
      <x:c r="F114" s="2"/>
      <x:c r="G114" s="2"/>
      <x:c r="H114" s="2"/>
      <x:c r="I114" s="2"/>
    </x:row>
    <x:row r="115" ht="21" customHeight="1">
      <x:c r="C115" s="1"/>
      <x:c r="D115" s="2"/>
      <x:c r="E115" s="2"/>
      <x:c r="F115" s="2"/>
      <x:c r="G115" s="2"/>
      <x:c r="H115" s="2"/>
      <x:c r="I115" s="2"/>
    </x:row>
    <x:row r="116" ht="21" customHeight="1">
      <x:c r="C116" s="1"/>
      <x:c r="D116" s="2"/>
      <x:c r="E116" s="2"/>
      <x:c r="F116" s="2"/>
      <x:c r="G116" s="2"/>
      <x:c r="H116" s="2"/>
      <x:c r="I116" s="2"/>
    </x:row>
    <x:row r="117" ht="21" customHeight="1">
      <x:c r="C117" s="1"/>
      <x:c r="D117" s="2"/>
      <x:c r="E117" s="2"/>
      <x:c r="F117" s="2"/>
      <x:c r="G117" s="2"/>
      <x:c r="H117" s="2"/>
      <x:c r="I117" s="2"/>
    </x:row>
    <x:row r="118" ht="21" customHeight="1">
      <x:c r="C118" s="1"/>
      <x:c r="D118" s="2"/>
      <x:c r="E118" s="2"/>
      <x:c r="F118" s="2"/>
      <x:c r="G118" s="2"/>
      <x:c r="H118" s="2"/>
      <x:c r="I118" s="2"/>
    </x:row>
    <x:row r="119" ht="21" customHeight="1">
      <x:c r="C119" s="1"/>
      <x:c r="D119" s="2"/>
      <x:c r="E119" s="2"/>
      <x:c r="F119" s="2"/>
      <x:c r="G119" s="2"/>
      <x:c r="H119" s="2"/>
      <x:c r="I119" s="2"/>
    </x:row>
    <x:row r="120" ht="21" customHeight="1">
      <x:c r="C120" s="1"/>
      <x:c r="D120" s="2"/>
      <x:c r="E120" s="2"/>
      <x:c r="F120" s="2"/>
      <x:c r="G120" s="2"/>
      <x:c r="H120" s="2"/>
      <x:c r="I120" s="2"/>
    </x:row>
    <x:row r="121" ht="21" customHeight="1">
      <x:c r="C121" s="1"/>
      <x:c r="D121" s="2"/>
      <x:c r="E121" s="2"/>
      <x:c r="F121" s="2"/>
      <x:c r="G121" s="2"/>
      <x:c r="H121" s="2"/>
      <x:c r="I121" s="2"/>
    </x:row>
    <x:row r="122" ht="21" customHeight="1">
      <x:c r="C122" s="1"/>
      <x:c r="D122" s="2"/>
      <x:c r="E122" s="2"/>
      <x:c r="F122" s="2"/>
      <x:c r="G122" s="2"/>
      <x:c r="H122" s="2"/>
      <x:c r="I122" s="2"/>
    </x:row>
    <x:row r="123" ht="21" customHeight="1">
      <x:c r="C123" s="1"/>
      <x:c r="D123" s="2"/>
      <x:c r="E123" s="2"/>
      <x:c r="F123" s="2"/>
      <x:c r="G123" s="2"/>
      <x:c r="H123" s="2"/>
      <x:c r="I123" s="2"/>
    </x:row>
    <x:row r="124" ht="21" customHeight="1">
      <x:c r="C124" s="1"/>
      <x:c r="D124" s="2"/>
      <x:c r="E124" s="2"/>
      <x:c r="F124" s="2"/>
      <x:c r="G124" s="2"/>
      <x:c r="H124" s="2"/>
      <x:c r="I124" s="2"/>
    </x:row>
    <x:row r="125" ht="21" customHeight="1">
      <x:c r="C125" s="1"/>
      <x:c r="D125" s="2"/>
      <x:c r="E125" s="2"/>
      <x:c r="F125" s="2"/>
      <x:c r="G125" s="2"/>
      <x:c r="H125" s="2"/>
      <x:c r="I125" s="2"/>
    </x:row>
    <x:row r="126" ht="21" customHeight="1">
      <x:c r="C126" s="1"/>
      <x:c r="D126" s="2"/>
      <x:c r="E126" s="2"/>
      <x:c r="F126" s="2"/>
      <x:c r="G126" s="2"/>
      <x:c r="H126" s="2"/>
      <x:c r="I126" s="2"/>
    </x:row>
    <x:row r="127" ht="21" customHeight="1">
      <x:c r="C127" s="1"/>
      <x:c r="D127" s="2"/>
      <x:c r="E127" s="2"/>
      <x:c r="F127" s="2"/>
      <x:c r="G127" s="2"/>
      <x:c r="H127" s="2"/>
      <x:c r="I127" s="2"/>
    </x:row>
    <x:row r="128" ht="21" customHeight="1">
      <x:c r="C128" s="1"/>
      <x:c r="D128" s="2"/>
      <x:c r="E128" s="2"/>
      <x:c r="F128" s="2"/>
      <x:c r="G128" s="2"/>
      <x:c r="H128" s="2"/>
      <x:c r="I128" s="2"/>
    </x:row>
    <x:row r="129" ht="21" customHeight="1">
      <x:c r="C129" s="1"/>
      <x:c r="D129" s="2"/>
      <x:c r="E129" s="2"/>
      <x:c r="F129" s="2"/>
      <x:c r="G129" s="2"/>
      <x:c r="H129" s="2"/>
      <x:c r="I129" s="2"/>
    </x:row>
    <x:row r="130" ht="21" customHeight="1">
      <x:c r="C130" s="1"/>
      <x:c r="D130" s="2"/>
      <x:c r="E130" s="2"/>
      <x:c r="F130" s="2"/>
      <x:c r="G130" s="2"/>
      <x:c r="H130" s="2"/>
      <x:c r="I130" s="2"/>
    </x:row>
    <x:row r="131" ht="21" customHeight="1">
      <x:c r="C131" s="1"/>
      <x:c r="D131" s="2"/>
      <x:c r="E131" s="2"/>
      <x:c r="F131" s="2"/>
      <x:c r="G131" s="2"/>
      <x:c r="H131" s="2"/>
      <x:c r="I131" s="2"/>
    </x:row>
    <x:row r="132" ht="21" customHeight="1">
      <x:c r="C132" s="1"/>
      <x:c r="D132" s="2"/>
      <x:c r="E132" s="2"/>
      <x:c r="F132" s="2"/>
      <x:c r="G132" s="2"/>
      <x:c r="H132" s="2"/>
      <x:c r="I132" s="2"/>
    </x:row>
    <x:row r="133" ht="21" customHeight="1">
      <x:c r="C133" s="1"/>
      <x:c r="D133" s="2"/>
      <x:c r="E133" s="2"/>
      <x:c r="F133" s="2"/>
      <x:c r="G133" s="2"/>
      <x:c r="H133" s="2"/>
      <x:c r="I133" s="2"/>
    </x:row>
    <x:row r="134" ht="21" customHeight="1">
      <x:c r="C134" s="1"/>
      <x:c r="D134" s="2"/>
      <x:c r="E134" s="2"/>
      <x:c r="F134" s="2"/>
      <x:c r="G134" s="2"/>
      <x:c r="H134" s="2"/>
      <x:c r="I134" s="2"/>
    </x:row>
    <x:row r="135" ht="21" customHeight="1">
      <x:c r="C135" s="1"/>
      <x:c r="D135" s="2"/>
      <x:c r="E135" s="2"/>
      <x:c r="F135" s="2"/>
      <x:c r="G135" s="2"/>
      <x:c r="H135" s="2"/>
      <x:c r="I135" s="2"/>
    </x:row>
    <x:row r="136" ht="21" customHeight="1">
      <x:c r="C136" s="1"/>
      <x:c r="D136" s="2"/>
      <x:c r="E136" s="2"/>
      <x:c r="F136" s="2"/>
      <x:c r="G136" s="2"/>
      <x:c r="H136" s="2"/>
      <x:c r="I136" s="2"/>
    </x:row>
    <x:row r="137" ht="21" customHeight="1">
      <x:c r="C137" s="1"/>
      <x:c r="D137" s="2"/>
      <x:c r="E137" s="2"/>
      <x:c r="F137" s="2"/>
      <x:c r="G137" s="2"/>
      <x:c r="H137" s="2"/>
      <x:c r="I137" s="2"/>
    </x:row>
    <x:row r="138" ht="21" customHeight="1">
      <x:c r="C138" s="1"/>
      <x:c r="D138" s="2"/>
      <x:c r="E138" s="2"/>
      <x:c r="F138" s="2"/>
      <x:c r="G138" s="2"/>
      <x:c r="H138" s="2"/>
      <x:c r="I138" s="2"/>
    </x:row>
    <x:row r="139" ht="21" customHeight="1">
      <x:c r="C139" s="1"/>
      <x:c r="D139" s="2"/>
      <x:c r="E139" s="2"/>
      <x:c r="F139" s="2"/>
      <x:c r="G139" s="2"/>
      <x:c r="H139" s="2"/>
      <x:c r="I139" s="2"/>
    </x:row>
    <x:row r="140" ht="21" customHeight="1">
      <x:c r="C140" s="1"/>
      <x:c r="D140" s="2"/>
      <x:c r="E140" s="2"/>
      <x:c r="F140" s="2"/>
      <x:c r="G140" s="2"/>
      <x:c r="H140" s="2"/>
      <x:c r="I140" s="2"/>
    </x:row>
    <x:row r="141" ht="21" customHeight="1">
      <x:c r="C141" s="1"/>
      <x:c r="D141" s="2"/>
      <x:c r="E141" s="2"/>
      <x:c r="F141" s="2"/>
      <x:c r="G141" s="2"/>
      <x:c r="H141" s="2"/>
      <x:c r="I141" s="2"/>
    </x:row>
    <x:row r="142" ht="21" customHeight="1">
      <x:c r="C142" s="1"/>
      <x:c r="D142" s="2"/>
      <x:c r="E142" s="2"/>
      <x:c r="F142" s="2"/>
      <x:c r="G142" s="2"/>
      <x:c r="H142" s="2"/>
      <x:c r="I142" s="2"/>
    </x:row>
    <x:row r="143" ht="21" customHeight="1">
      <x:c r="C143" s="1"/>
      <x:c r="D143" s="2"/>
      <x:c r="E143" s="2"/>
      <x:c r="F143" s="2"/>
      <x:c r="G143" s="2"/>
      <x:c r="H143" s="2"/>
      <x:c r="I143" s="2"/>
    </x:row>
    <x:row r="144" ht="21" customHeight="1">
      <x:c r="C144" s="1"/>
      <x:c r="D144" s="2"/>
      <x:c r="E144" s="2"/>
      <x:c r="F144" s="2"/>
      <x:c r="G144" s="2"/>
      <x:c r="H144" s="2"/>
      <x:c r="I144" s="2"/>
    </x:row>
    <x:row r="145" ht="21" customHeight="1">
      <x:c r="C145" s="1"/>
      <x:c r="D145" s="2"/>
      <x:c r="E145" s="2"/>
      <x:c r="F145" s="2"/>
      <x:c r="G145" s="2"/>
      <x:c r="H145" s="2"/>
      <x:c r="I145" s="2"/>
    </x:row>
    <x:row r="146" ht="21" customHeight="1">
      <x:c r="C146" s="1"/>
      <x:c r="D146" s="2"/>
      <x:c r="E146" s="2"/>
      <x:c r="F146" s="2"/>
      <x:c r="G146" s="2"/>
      <x:c r="H146" s="2"/>
      <x:c r="I146" s="2"/>
    </x:row>
    <x:row r="147" ht="21" customHeight="1">
      <x:c r="C147" s="1"/>
      <x:c r="D147" s="2"/>
      <x:c r="E147" s="2"/>
      <x:c r="F147" s="2"/>
      <x:c r="G147" s="2"/>
      <x:c r="H147" s="2"/>
      <x:c r="I147" s="2"/>
    </x:row>
    <x:row r="148" ht="21" customHeight="1">
      <x:c r="C148" s="1"/>
      <x:c r="D148" s="2"/>
      <x:c r="E148" s="2"/>
      <x:c r="F148" s="2"/>
      <x:c r="G148" s="2"/>
      <x:c r="H148" s="2"/>
      <x:c r="I148" s="2"/>
    </x:row>
    <x:row r="149" ht="21" customHeight="1">
      <x:c r="C149" s="1"/>
      <x:c r="D149" s="2"/>
      <x:c r="E149" s="2"/>
      <x:c r="F149" s="2"/>
      <x:c r="G149" s="2"/>
      <x:c r="H149" s="2"/>
      <x:c r="I149" s="2"/>
    </x:row>
    <x:row r="150" ht="21" customHeight="1">
      <x:c r="C150" s="1"/>
      <x:c r="D150" s="2"/>
      <x:c r="E150" s="2"/>
      <x:c r="F150" s="2"/>
      <x:c r="G150" s="2"/>
      <x:c r="H150" s="2"/>
      <x:c r="I150" s="2"/>
    </x:row>
    <x:row r="151" ht="21" customHeight="1">
      <x:c r="C151" s="1"/>
      <x:c r="D151" s="2"/>
      <x:c r="E151" s="2"/>
      <x:c r="F151" s="2"/>
      <x:c r="G151" s="2"/>
      <x:c r="H151" s="2"/>
      <x:c r="I151" s="2"/>
    </x:row>
    <x:row r="152" ht="21" customHeight="1">
      <x:c r="C152" s="1"/>
      <x:c r="D152" s="2"/>
      <x:c r="E152" s="2"/>
      <x:c r="F152" s="2"/>
      <x:c r="G152" s="2"/>
      <x:c r="H152" s="2"/>
      <x:c r="I152" s="2"/>
    </x:row>
    <x:row r="153" ht="21" customHeight="1">
      <x:c r="C153" s="1"/>
      <x:c r="D153" s="2"/>
      <x:c r="E153" s="2"/>
      <x:c r="F153" s="2"/>
      <x:c r="G153" s="2"/>
      <x:c r="H153" s="2"/>
      <x:c r="I153" s="2"/>
    </x:row>
    <x:row r="154" ht="21" customHeight="1">
      <x:c r="C154" s="1"/>
      <x:c r="D154" s="2"/>
      <x:c r="E154" s="2"/>
      <x:c r="F154" s="2"/>
      <x:c r="G154" s="2"/>
      <x:c r="H154" s="2"/>
      <x:c r="I154" s="2"/>
    </x:row>
    <x:row r="155" ht="21" customHeight="1">
      <x:c r="C155" s="1"/>
      <x:c r="D155" s="2"/>
      <x:c r="E155" s="2"/>
      <x:c r="F155" s="2"/>
      <x:c r="G155" s="2"/>
      <x:c r="H155" s="2"/>
      <x:c r="I155" s="2"/>
    </x:row>
    <x:row r="156" ht="21" customHeight="1">
      <x:c r="C156" s="1"/>
      <x:c r="D156" s="2"/>
      <x:c r="E156" s="2"/>
      <x:c r="F156" s="2"/>
      <x:c r="G156" s="2"/>
      <x:c r="H156" s="2"/>
      <x:c r="I156" s="2"/>
    </x:row>
    <x:row r="157" ht="21" customHeight="1">
      <x:c r="C157" s="1"/>
      <x:c r="D157" s="2"/>
      <x:c r="E157" s="2"/>
      <x:c r="F157" s="2"/>
      <x:c r="G157" s="2"/>
      <x:c r="H157" s="2"/>
      <x:c r="I157" s="2"/>
    </x:row>
    <x:row r="158" ht="21" customHeight="1">
      <x:c r="C158" s="1"/>
      <x:c r="D158" s="2"/>
      <x:c r="E158" s="2"/>
      <x:c r="F158" s="2"/>
      <x:c r="G158" s="2"/>
      <x:c r="H158" s="2"/>
      <x:c r="I158" s="2"/>
    </x:row>
    <x:row r="159" ht="21" customHeight="1">
      <x:c r="C159" s="1"/>
      <x:c r="D159" s="2"/>
      <x:c r="E159" s="2"/>
      <x:c r="F159" s="2"/>
      <x:c r="G159" s="2"/>
      <x:c r="H159" s="2"/>
      <x:c r="I159" s="2"/>
    </x:row>
    <x:row r="160" ht="21" customHeight="1">
      <x:c r="C160" s="1"/>
      <x:c r="D160" s="2"/>
      <x:c r="E160" s="2"/>
      <x:c r="F160" s="2"/>
      <x:c r="G160" s="2"/>
      <x:c r="H160" s="2"/>
      <x:c r="I160" s="2"/>
    </x:row>
  </x:sheetData>
  <x:conditionalFormatting sqref="D9:I21">
    <x:cfRule type="cellIs" dxfId="0" priority="1" operator="between">
      <x:formula>-0.000001</x:formula>
      <x:formula>0.000001</x:formula>
    </x:cfRule>
  </x:conditionalFormatting>
  <x:conditionalFormatting sqref="D24:I36">
    <x:cfRule type="cellIs" dxfId="1" priority="2" operator="greaterThan">
      <x:formula>0.000001</x:formula>
    </x:cfRule>
  </x:conditionalFormatting>
  <x:pageMargins left="0.7" right="0.7" top="0.75" bottom="0.75" header="0.3" footer="0.3"/>
</x:worksheet>
</file>