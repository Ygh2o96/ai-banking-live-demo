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FM" sheetId="1" state="visible" r:id="rId3"/>
    <sheet name="Annual" sheetId="2" state="visible" r:id="rId4"/>
    <sheet name="Monthly_PL" sheetId="3" state="visible" r:id="rId5"/>
    <sheet name="Monthly_BS" sheetId="4" state="visible" r:id="rId6"/>
    <sheet name="Monthly_CF" sheetId="5" state="visible" r:id="rId7"/>
    <sheet name="Revenue" sheetId="6" state="visible" r:id="rId8"/>
    <sheet name="Production" sheetId="7" state="visible" r:id="rId9"/>
    <sheet name="Payroll" sheetId="8" state="visible" r:id="rId10"/>
    <sheet name="ExpenseDetail" sheetId="9" state="visible" r:id="rId11"/>
    <sheet name="Inventory" sheetId="10" state="visible" r:id="rId12"/>
    <sheet name="Receivables" sheetId="11" state="visible" r:id="rId13"/>
    <sheet name="Assets" sheetId="12" state="visible" r:id="rId14"/>
    <sheet name="Funding" sheetId="13" state="visible" r:id="rId15"/>
    <sheet name="TaxEquity" sheetId="14" state="visible" r:id="rId16"/>
    <sheet name="OtherBalances" sheetId="15" state="visible" r:id="rId17"/>
    <sheet name="Inputs" sheetId="16" state="visible" r:id="rId18"/>
    <sheet name="Checks" sheetId="17" state="visible" r:id="rId19"/>
    <sheet name="SourceHistory" sheetId="18" state="visible" r:id="rId20"/>
    <sheet name="SourceDetail" sheetId="19" state="visible" r:id="rId21"/>
    <sheet name="SourceAnalysis" sheetId="20" state="visible" r:id="rId22"/>
    <sheet name="SourceBS" sheetId="21" state="visible" r:id="rId23"/>
    <sheet name="HistoricalCFS" sheetId="22" state="visible" r:id="rId24"/>
    <sheet name="Interim" sheetId="23" state="visible" r:id="rId25"/>
    <sheet name="Sources" sheetId="24" state="visible" r:id="rId26"/>
    <sheet name="AssumptionRegister" sheetId="25" state="visible" r:id="rId27"/>
    <sheet name="ReadMe" sheetId="26" state="visible" r:id="rId28"/>
    <sheet name="H1Data" sheetId="27" state="visible" r:id="rId29"/>
    <sheet name="H1Actual" sheetId="28" state="visible" r:id="rId30"/>
    <sheet name="Liquidity" sheetId="29" state="visible" r:id="rId31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<sst xmlns="http://schemas.openxmlformats.org/spreadsheetml/2006/main" count="38349" uniqueCount="5312">
  <si>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PFM </t>
    </r>
    <r>
      <rPr>
        <b val="true"/>
        <sz val="19"/>
        <color rgb="FF183653"/>
        <rFont val="Noto Sans CJK SC"/>
        <family val="2"/>
        <charset val="1"/>
      </rPr>
      <t xml:space="preserve">经营驱动模型</t>
    </r>
  </si>
  <si>
    <t xml:space="preserve">r4b · Post-demo revision 2026-09-07 · 2026H1 actuals + Jul2026-Dec2028 monthly forecasts.</t>
  </si>
  <si>
    <t xml:space="preserve">2026E</t>
  </si>
  <si>
    <t xml:space="preserve">2027E</t>
  </si>
  <si>
    <t xml:space="preserve">2028E</t>
  </si>
  <si>
    <r>
      <rPr>
        <b val="true"/>
        <sz val="10"/>
        <rFont val="Arial"/>
        <family val="0"/>
        <charset val="1"/>
      </rPr>
      <t xml:space="preserve">Revenue </t>
    </r>
    <r>
      <rPr>
        <b val="true"/>
        <sz val="10"/>
        <rFont val="Noto Sans CJK SC"/>
        <family val="2"/>
        <charset val="1"/>
      </rPr>
      <t xml:space="preserve">收入</t>
    </r>
  </si>
  <si>
    <r>
      <rPr>
        <sz val="10"/>
        <rFont val="Arial"/>
        <family val="0"/>
        <charset val="1"/>
      </rPr>
      <t xml:space="preserve">Gross profit </t>
    </r>
    <r>
      <rPr>
        <sz val="10"/>
        <rFont val="Noto Sans CJK SC"/>
        <family val="2"/>
        <charset val="1"/>
      </rPr>
      <t xml:space="preserve">毛利</t>
    </r>
  </si>
  <si>
    <r>
      <rPr>
        <sz val="10"/>
        <rFont val="Arial"/>
        <family val="0"/>
        <charset val="1"/>
      </rPr>
      <t xml:space="preserve">Gross margin </t>
    </r>
    <r>
      <rPr>
        <sz val="10"/>
        <rFont val="Noto Sans CJK SC"/>
        <family val="2"/>
        <charset val="1"/>
      </rPr>
      <t xml:space="preserve">毛利率</t>
    </r>
  </si>
  <si>
    <r>
      <rPr>
        <b val="true"/>
        <sz val="10"/>
        <rFont val="Arial"/>
        <family val="0"/>
        <charset val="1"/>
      </rPr>
      <t xml:space="preserve">Net income </t>
    </r>
    <r>
      <rPr>
        <b val="true"/>
        <sz val="10"/>
        <rFont val="Noto Sans CJK SC"/>
        <family val="2"/>
        <charset val="1"/>
      </rPr>
      <t xml:space="preserve">净利润</t>
    </r>
  </si>
  <si>
    <r>
      <rPr>
        <sz val="10"/>
        <rFont val="Arial"/>
        <family val="0"/>
        <charset val="1"/>
      </rPr>
      <t xml:space="preserve">Operating cash flow </t>
    </r>
    <r>
      <rPr>
        <sz val="10"/>
        <rFont val="Noto Sans CJK SC"/>
        <family val="2"/>
        <charset val="1"/>
      </rPr>
      <t xml:space="preserve">经营现金流</t>
    </r>
  </si>
  <si>
    <r>
      <rPr>
        <b val="true"/>
        <sz val="10"/>
        <rFont val="Arial"/>
        <family val="0"/>
        <charset val="1"/>
      </rPr>
      <t xml:space="preserve">Closing cash </t>
    </r>
    <r>
      <rPr>
        <b val="true"/>
        <sz val="10"/>
        <rFont val="Noto Sans CJK SC"/>
        <family val="2"/>
        <charset val="1"/>
      </rPr>
      <t xml:space="preserve">期末现金</t>
    </r>
  </si>
  <si>
    <r>
      <rPr>
        <sz val="10"/>
        <rFont val="Arial"/>
        <family val="0"/>
        <charset val="1"/>
      </rPr>
      <t xml:space="preserve">Balance sheet difference </t>
    </r>
    <r>
      <rPr>
        <sz val="10"/>
        <rFont val="Noto Sans CJK SC"/>
        <family val="2"/>
        <charset val="1"/>
      </rPr>
      <t xml:space="preserve">资产负债差额</t>
    </r>
  </si>
  <si>
    <r>
      <rPr>
        <b val="true"/>
        <sz val="10"/>
        <rFont val="Arial"/>
        <family val="0"/>
        <charset val="1"/>
      </rPr>
      <t xml:space="preserve">Minimum monthly cash </t>
    </r>
    <r>
      <rPr>
        <b val="true"/>
        <sz val="10"/>
        <rFont val="Noto Sans CJK SC"/>
        <family val="2"/>
        <charset val="1"/>
      </rPr>
      <t xml:space="preserve">月度现金低点</t>
    </r>
  </si>
  <si>
    <r>
      <rPr>
        <b val="true"/>
        <sz val="10"/>
        <rFont val="Arial"/>
        <family val="0"/>
        <charset val="1"/>
      </rPr>
      <t xml:space="preserve">Maximum monthly BS difference </t>
    </r>
    <r>
      <rPr>
        <b val="true"/>
        <sz val="10"/>
        <rFont val="Noto Sans CJK SC"/>
        <family val="2"/>
        <charset val="1"/>
      </rPr>
      <t xml:space="preserve">月度平衡差额</t>
    </r>
  </si>
  <si>
    <r>
      <rPr>
        <b val="true"/>
        <sz val="10"/>
        <rFont val="Arial"/>
        <family val="0"/>
        <charset val="1"/>
      </rPr>
      <t xml:space="preserve">Invalid input count </t>
    </r>
    <r>
      <rPr>
        <b val="true"/>
        <sz val="10"/>
        <rFont val="Noto Sans CJK SC"/>
        <family val="2"/>
        <charset val="1"/>
      </rPr>
      <t xml:space="preserve">输入错误数</t>
    </r>
  </si>
  <si>
    <r>
      <rPr>
        <sz val="10"/>
        <rFont val="Arial"/>
        <family val="0"/>
        <charset val="1"/>
      </rPr>
      <t xml:space="preserve">Investment redemptions </t>
    </r>
    <r>
      <rPr>
        <sz val="10"/>
        <rFont val="Noto Sans CJK SC"/>
        <family val="2"/>
        <charset val="1"/>
      </rPr>
      <t xml:space="preserve">投资赎回</t>
    </r>
  </si>
  <si>
    <r>
      <rPr>
        <sz val="10"/>
        <rFont val="Arial"/>
        <family val="0"/>
        <charset val="1"/>
      </rPr>
      <t xml:space="preserve">Peak standby RCF </t>
    </r>
    <r>
      <rPr>
        <sz val="10"/>
        <rFont val="Noto Sans CJK SC"/>
        <family val="2"/>
        <charset val="1"/>
      </rPr>
      <t xml:space="preserve">备用融资峰值</t>
    </r>
  </si>
  <si>
    <t xml:space="preserve">Monthly operating build</t>
  </si>
  <si>
    <t xml:space="preserve">Product sales / net ASP; production requirement; physical FG; material consumption and purchases; weighted-average FG cost; source stock-category rolls.</t>
  </si>
  <si>
    <t xml:space="preserve">Payroll and Opex</t>
  </si>
  <si>
    <t xml:space="preserve">Four functional headcount rolls; remuneration/person; disclosed selling/admin/R&amp;D expense lines. Production payroll and manufacturing D&amp;A flow through inventory.</t>
  </si>
  <si>
    <t xml:space="preserve">Treasury and accounting</t>
  </si>
  <si>
    <t xml:space="preserve">Separate pledged/credit/long loans and leases; requested/effective funding; taxes, DTA/DTL, reserves/NCI; direct and indirect monthly CFO.</t>
  </si>
  <si>
    <t xml:space="preserve">Source and scope boundary</t>
  </si>
  <si>
    <t xml:space="preserve">H1 2026 PL/BS/CFS are reported actuals. Forecast starts July from the actual balance sheet. Investment windows and standby RCF remain planning assumptions.</t>
  </si>
  <si>
    <t xml:space="preserve">What remains unbuilt</t>
  </si>
  <si>
    <t xml:space="preserve">Open: product-level maturity and redemption terms, committed facility contracts, monthly management accounts, HKFRS and filing sufficiency work.</t>
  </si>
  <si>
    <t xml:space="preserve">→ Revenue</t>
  </si>
  <si>
    <t xml:space="preserve">→ Production</t>
  </si>
  <si>
    <t xml:space="preserve">→ Payroll</t>
  </si>
  <si>
    <t xml:space="preserve">Year</t>
  </si>
  <si>
    <t xml:space="preserve">Revenue</t>
  </si>
  <si>
    <t xml:space="preserve">Net income</t>
  </si>
  <si>
    <t xml:space="preserve">→ ExpenseDetail</t>
  </si>
  <si>
    <t xml:space="preserve">2023A</t>
  </si>
  <si>
    <t xml:space="preserve">→ Inventory</t>
  </si>
  <si>
    <t xml:space="preserve">2024A</t>
  </si>
  <si>
    <t xml:space="preserve">→ Assets</t>
  </si>
  <si>
    <t xml:space="preserve">2025A</t>
  </si>
  <si>
    <t xml:space="preserve">→ Funding</t>
  </si>
  <si>
    <t xml:space="preserve">→ Checks</t>
  </si>
  <si>
    <t xml:space="preserve">→ ReadMe</t>
  </si>
  <si>
    <t xml:space="preserve">Month</t>
  </si>
  <si>
    <t xml:space="preserve">Closing cash</t>
  </si>
  <si>
    <t xml:space="preserve">CFO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</si>
  <si>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</si>
  <si>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</si>
  <si>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</si>
  <si>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</si>
  <si>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</si>
  <si>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</si>
  <si>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</si>
  <si>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</si>
  <si>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</si>
  <si>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</si>
  <si>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</si>
  <si>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</si>
  <si>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</si>
  <si>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</si>
  <si>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</si>
  <si>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</si>
  <si>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</si>
  <si>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</si>
  <si>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</si>
  <si>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</si>
  <si>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</si>
  <si>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2027-10</t>
  </si>
  <si>
    <t xml:space="preserve">2027-11</t>
  </si>
  <si>
    <t xml:space="preserve">2027-12</t>
  </si>
  <si>
    <t xml:space="preserve">2028-01</t>
  </si>
  <si>
    <t xml:space="preserve">2028-02</t>
  </si>
  <si>
    <t xml:space="preserve">2028-03</t>
  </si>
  <si>
    <t xml:space="preserve">2028-04</t>
  </si>
  <si>
    <t xml:space="preserve">2028-05</t>
  </si>
  <si>
    <t xml:space="preserve">2028-06</t>
  </si>
  <si>
    <t xml:space="preserve">2028-07</t>
  </si>
  <si>
    <t xml:space="preserve">2028-08</t>
  </si>
  <si>
    <t xml:space="preserve">2028-09</t>
  </si>
  <si>
    <t xml:space="preserve">2028-10</t>
  </si>
  <si>
    <t xml:space="preserve">2028-11</t>
  </si>
  <si>
    <t xml:space="preserve">2028-12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</si>
  <si>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Annual</t>
    </r>
  </si>
  <si>
    <t xml:space="preserve">RMB million except units, people, RMB/person and explicit rates. Monthly forecasts, not monthly actuals.</t>
  </si>
  <si>
    <t xml:space="preserve">COGS</t>
  </si>
  <si>
    <t xml:space="preserve">Gross profit</t>
  </si>
  <si>
    <t xml:space="preserve">Selling expenses</t>
  </si>
  <si>
    <t xml:space="preserve">Administration</t>
  </si>
  <si>
    <t xml:space="preserve">R&amp;D</t>
  </si>
  <si>
    <t xml:space="preserve">Surcharges</t>
  </si>
  <si>
    <t xml:space="preserve">Credit and asset impairment</t>
  </si>
  <si>
    <t xml:space="preserve">not mapped separately</t>
  </si>
  <si>
    <t xml:space="preserve">Other pretax/investment income</t>
  </si>
  <si>
    <t xml:space="preserve">Net finance expense</t>
  </si>
  <si>
    <t xml:space="preserve">Profit before tax</t>
  </si>
  <si>
    <t xml:space="preserve">Income tax</t>
  </si>
  <si>
    <t xml:space="preserve">Consolidated net income</t>
  </si>
  <si>
    <t xml:space="preserve">Parent net income</t>
  </si>
  <si>
    <t xml:space="preserve">NCI net income</t>
  </si>
  <si>
    <t xml:space="preserve">Cash equivalents</t>
  </si>
  <si>
    <t xml:space="preserve">Other monetary balances</t>
  </si>
  <si>
    <t xml:space="preserve">Receivables and contract assets</t>
  </si>
  <si>
    <t xml:space="preserve">Inventory</t>
  </si>
  <si>
    <t xml:space="preserve">PPE / CIP / property</t>
  </si>
  <si>
    <t xml:space="preserve">Intangibles/deferred costs</t>
  </si>
  <si>
    <t xml:space="preserve">ROU</t>
  </si>
  <si>
    <t xml:space="preserve">Investments</t>
  </si>
  <si>
    <t xml:space="preserve">Other assets incl DTA and interest cohort</t>
  </si>
  <si>
    <t xml:space="preserve">Total assets</t>
  </si>
  <si>
    <t xml:space="preserve">Trade payables</t>
  </si>
  <si>
    <t xml:space="preserve">Customer advances</t>
  </si>
  <si>
    <t xml:space="preserve">Borrowings and leases</t>
  </si>
  <si>
    <t xml:space="preserve">Taxes payable</t>
  </si>
  <si>
    <t xml:space="preserve">Other liabilities incl DTL</t>
  </si>
  <si>
    <t xml:space="preserve">Finance company deposits</t>
  </si>
  <si>
    <t xml:space="preserve">Total liabilities</t>
  </si>
  <si>
    <t xml:space="preserve">Retained earnings</t>
  </si>
  <si>
    <t xml:space="preserve">Share capital and reserves</t>
  </si>
  <si>
    <t xml:space="preserve">NCI equity</t>
  </si>
  <si>
    <t xml:space="preserve">Total equity</t>
  </si>
  <si>
    <t xml:space="preserve">BS difference</t>
  </si>
  <si>
    <t xml:space="preserve">Operating cash flow</t>
  </si>
  <si>
    <t xml:space="preserve">Investing cash flow</t>
  </si>
  <si>
    <t xml:space="preserve">Financing cash flow</t>
  </si>
  <si>
    <t xml:space="preserve">FX on cash</t>
  </si>
  <si>
    <t xml:space="preserve">Opening cash</t>
  </si>
  <si>
    <t xml:space="preserve">Cash roll-forward difference</t>
  </si>
  <si>
    <t xml:space="preserve">Gross margin</t>
  </si>
  <si>
    <t xml:space="preserve">Historical noncore classifications are inherited source mappings; detailed forecast ECL/impairment is not retroactively fabricated. Forecasts are rebuilt from monthly operations and may differ from the prior annual model.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</si>
  <si>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Monthly_PL</t>
    </r>
  </si>
  <si>
    <t xml:space="preserve">RMB million except stated units. H1 2026 actual aggregate is separate; monthly forecast begins July 2026.</t>
  </si>
  <si>
    <t xml:space="preserve">Not disclosed</t>
  </si>
  <si>
    <t xml:space="preserve">2026H1A / 30-Jun</t>
  </si>
  <si>
    <t xml:space="preserve">Forecast</t>
  </si>
  <si>
    <t xml:space="preserve">Cost of goods released from FG</t>
  </si>
  <si>
    <t xml:space="preserve">Unabsorbed manufacturing cost</t>
  </si>
  <si>
    <t xml:space="preserve">Other-business COGS</t>
  </si>
  <si>
    <t xml:space="preserve">Total COGS</t>
  </si>
  <si>
    <t xml:space="preserve">Selling expenses by nature</t>
  </si>
  <si>
    <t xml:space="preserve">Administrative expenses by nature</t>
  </si>
  <si>
    <t xml:space="preserve">R&amp;D expenses by nature</t>
  </si>
  <si>
    <t xml:space="preserve">Business taxes and surcharges</t>
  </si>
  <si>
    <t xml:space="preserve">Credit impairment expense / (release)</t>
  </si>
  <si>
    <t xml:space="preserve">Asset impairment expense</t>
  </si>
  <si>
    <t xml:space="preserve">Other pretax income / (expense)</t>
  </si>
  <si>
    <t xml:space="preserve">Investment cash income</t>
  </si>
  <si>
    <t xml:space="preserve">Investment FV gain/(loss)</t>
  </si>
  <si>
    <t xml:space="preserve">Monetary interest income</t>
  </si>
  <si>
    <t xml:space="preserve">Finance costs excluding interest income</t>
  </si>
  <si>
    <t xml:space="preserve">Income-tax expense</t>
  </si>
  <si>
    <t xml:space="preserve">Total D&amp;A (memo)</t>
  </si>
  <si>
    <t xml:space="preserve">EBITDA calculation proxy</t>
  </si>
  <si>
    <t xml:space="preserve">H1 finance costs exclude interest income and include other finance charges; forecast costs here are loan/lease/RCF interest. H1 asset impairment includes inventory and contract-performance costs. Forecast other pretax income uses a separately stated cash assumption.</t>
  </si>
  <si>
    <t xml:space="preserve">EBITDA is a calculation proxy, not an issuer-defined KPI; it includes investment/other pretax income. Monthly positive-profit tax accrual does not model entity-level loss carryforwards. Interim revenue anchors do not make the monthly P&amp;L an actual management account.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</si>
  <si>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Monthly_BS</t>
    </r>
  </si>
  <si>
    <t xml:space="preserve">Cash and cash equivalents</t>
  </si>
  <si>
    <t xml:space="preserve">Other monetary balances outside CE</t>
  </si>
  <si>
    <t xml:space="preserve">Trade receivables net / bills / contract assets</t>
  </si>
  <si>
    <t xml:space="preserve">Inventories by category</t>
  </si>
  <si>
    <t xml:space="preserve">PPE/CIP/investment property group</t>
  </si>
  <si>
    <t xml:space="preserve">Intangible and deferred cost group</t>
  </si>
  <si>
    <t xml:space="preserve">ROU assets</t>
  </si>
  <si>
    <t xml:space="preserve">Financial investments</t>
  </si>
  <si>
    <t xml:space="preserve">Named other assets excluding DTA</t>
  </si>
  <si>
    <t xml:space="preserve">Post-2025 accrued interest cohort</t>
  </si>
  <si>
    <t xml:space="preserve">DTA</t>
  </si>
  <si>
    <t xml:space="preserve">Goods/construction/expense payables</t>
  </si>
  <si>
    <t xml:space="preserve">Loan principal and historic accrued interest</t>
  </si>
  <si>
    <t xml:space="preserve">Lease liabilities</t>
  </si>
  <si>
    <t xml:space="preserve">Income-tax payable</t>
  </si>
  <si>
    <t xml:space="preserve">Other taxes payable</t>
  </si>
  <si>
    <t xml:space="preserve">Named other liabilities excluding DTL</t>
  </si>
  <si>
    <t xml:space="preserve">DTL</t>
  </si>
  <si>
    <t xml:space="preserve">Finance-company deposits source balance</t>
  </si>
  <si>
    <t xml:space="preserve">Total liabilities and equity</t>
  </si>
  <si>
    <t xml:space="preserve">Balance-sheet difference</t>
  </si>
  <si>
    <t xml:space="preserve">Cash-to-CFS difference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</si>
  <si>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Monthly_CF</t>
    </r>
  </si>
  <si>
    <t xml:space="preserve">Direct operating cash flow</t>
  </si>
  <si>
    <t xml:space="preserve">Cash collections incl customer advances</t>
  </si>
  <si>
    <t xml:space="preserve">Cash other pretax income</t>
  </si>
  <si>
    <t xml:space="preserve">Cash interest income received</t>
  </si>
  <si>
    <t xml:space="preserve">Cash payments to material suppliers</t>
  </si>
  <si>
    <t xml:space="preserve">Production payroll cash</t>
  </si>
  <si>
    <t xml:space="preserve">Cash manufacturing overhead</t>
  </si>
  <si>
    <t xml:space="preserve">Additional WIP cash cost</t>
  </si>
  <si>
    <t xml:space="preserve">Cash selling/admin/R&amp;D</t>
  </si>
  <si>
    <t xml:space="preserve">Business taxes and surcharges cash</t>
  </si>
  <si>
    <t xml:space="preserve">Other business COGS cash</t>
  </si>
  <si>
    <t xml:space="preserve">Income taxes paid</t>
  </si>
  <si>
    <t xml:space="preserve">Named other asset cash movement</t>
  </si>
  <si>
    <t xml:space="preserve">Named other liability cash movement</t>
  </si>
  <si>
    <t xml:space="preserve">Direct CFO</t>
  </si>
  <si>
    <t xml:space="preserve">Cash capital expenditure</t>
  </si>
  <si>
    <t xml:space="preserve">PPE disposal proceeds</t>
  </si>
  <si>
    <t xml:space="preserve">Investment purchases</t>
  </si>
  <si>
    <t xml:space="preserve">Investment redemptions</t>
  </si>
  <si>
    <t xml:space="preserve">Cash investment income</t>
  </si>
  <si>
    <t xml:space="preserve">Net investing cash flow</t>
  </si>
  <si>
    <t xml:space="preserve">Effective loan draw</t>
  </si>
  <si>
    <t xml:space="preserve">Effective loan principal repayment</t>
  </si>
  <si>
    <t xml:space="preserve">Effective lease principal repayment</t>
  </si>
  <si>
    <t xml:space="preserve">Loan and lease interest cash paid</t>
  </si>
  <si>
    <t xml:space="preserve">Gross new equity proceeds</t>
  </si>
  <si>
    <t xml:space="preserve">Equity issuance fee</t>
  </si>
  <si>
    <t xml:space="preserve">Parent and NCI cash dividends</t>
  </si>
  <si>
    <t xml:space="preserve">Share repurchase cash</t>
  </si>
  <si>
    <t xml:space="preserve">Net financing cash flow</t>
  </si>
  <si>
    <t xml:space="preserve">Cash FX</t>
  </si>
  <si>
    <t xml:space="preserve">Net change in cash</t>
  </si>
  <si>
    <t xml:space="preserve">Opening cash equivalents</t>
  </si>
  <si>
    <t xml:space="preserve">Closing cash equivalents</t>
  </si>
  <si>
    <t xml:space="preserve">Indirect CFO: consolidated NI</t>
  </si>
  <si>
    <t xml:space="preserve">Add total D&amp;A</t>
  </si>
  <si>
    <t xml:space="preserve">Add share compensation / impairment / ECL</t>
  </si>
  <si>
    <t xml:space="preserve">Reverse investment income and FV; add finance interest</t>
  </si>
  <si>
    <t xml:space="preserve">Tax expense less cash tax paid</t>
  </si>
  <si>
    <t xml:space="preserve">Gross AR / inventory / goods AP / advances changes</t>
  </si>
  <si>
    <t xml:space="preserve">Other balances and unreceived interest changes</t>
  </si>
  <si>
    <t xml:space="preserve">Indirect CFO</t>
  </si>
  <si>
    <t xml:space="preserve">Direct minus indirect CFO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</si>
  <si>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Revenue</t>
    </r>
  </si>
  <si>
    <t xml:space="preserve">H1: see H1Actual</t>
  </si>
  <si>
    <t xml:space="preserve">电连接产品</t>
  </si>
  <si>
    <t xml:space="preserve">Sales units</t>
  </si>
  <si>
    <t xml:space="preserve">Net ASP incl mix RMB</t>
  </si>
  <si>
    <t xml:space="preserve">Product revenue</t>
  </si>
  <si>
    <t xml:space="preserve">Revenue unit/ASP check</t>
  </si>
  <si>
    <t xml:space="preserve">智能电工照明</t>
  </si>
  <si>
    <t xml:space="preserve">新能源产品</t>
  </si>
  <si>
    <t xml:space="preserve">Other business revenue (separate leaf)</t>
  </si>
  <si>
    <t xml:space="preserve">Total revenue</t>
  </si>
  <si>
    <t xml:space="preserve">Jan–Jun2026 revenues allocate the reported H1 total using FY2025 main-product mix and equal monthly weights. These are modeled product/month quantities, not monthly or product actuals. H2 and later periods respond to bottom-level inputs.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</si>
  <si>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Production</t>
    </r>
  </si>
  <si>
    <t xml:space="preserve">Opening FG physical units</t>
  </si>
  <si>
    <t xml:space="preserve">Target ending FG units</t>
  </si>
  <si>
    <t xml:space="preserve">Sales units requested</t>
  </si>
  <si>
    <t xml:space="preserve">Production units required</t>
  </si>
  <si>
    <t xml:space="preserve">Available FG units</t>
  </si>
  <si>
    <t xml:space="preserve">Closing FG units</t>
  </si>
  <si>
    <t xml:space="preserve">Physical roll-forward</t>
  </si>
  <si>
    <t xml:space="preserve">Material cost / production unit RMB</t>
  </si>
  <si>
    <t xml:space="preserve">Cash overhead / production unit RMB</t>
  </si>
  <si>
    <t xml:space="preserve">Material consumption cost</t>
  </si>
  <si>
    <t xml:space="preserve">Allocated production payroll</t>
  </si>
  <si>
    <t xml:space="preserve">Cash factory overhead</t>
  </si>
  <si>
    <t xml:space="preserve">Allocated manufacturing depreciation</t>
  </si>
  <si>
    <t xml:space="preserve">Production cost transferred into FG</t>
  </si>
  <si>
    <t xml:space="preserve">Opening FG carrying value</t>
  </si>
  <si>
    <t xml:space="preserve">WIP value released into FG</t>
  </si>
  <si>
    <t xml:space="preserve">Weighted average FG cost/unit RMB</t>
  </si>
  <si>
    <t xml:space="preserve">COGS released on sales</t>
  </si>
  <si>
    <t xml:space="preserve">Closing FG carrying value</t>
  </si>
  <si>
    <t xml:space="preserve">FG carrying-value roll-forward</t>
  </si>
  <si>
    <t xml:space="preserve">Production allocation denominator</t>
  </si>
  <si>
    <t xml:space="preserve">Material consumed</t>
  </si>
  <si>
    <t xml:space="preserve">Manufacturing payroll cash</t>
  </si>
  <si>
    <t xml:space="preserve">COGS released from finished goods</t>
  </si>
  <si>
    <t xml:space="preserve">FG carrying value total</t>
  </si>
  <si>
    <t xml:space="preserve">Unabsorbed payroll and D&amp;A when no production</t>
  </si>
  <si>
    <t xml:space="preserve">L13/L14: book FG allocated by disclosed physical stock × calculated unit COGS; this is not a disclosed product inventory valuation. Material and factory-overhead nature shares are allocated using product COGS. Production requirement is uncapped because actual usable capacity is not evidenced; do not interpret it as a capacity plan.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</si>
  <si>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Payroll</t>
    </r>
  </si>
  <si>
    <r>
      <rPr>
        <b val="true"/>
        <sz val="10"/>
        <color rgb="FFFFFFFF"/>
        <rFont val="Arial"/>
        <family val="0"/>
        <charset val="1"/>
      </rPr>
      <t xml:space="preserve">Production </t>
    </r>
    <r>
      <rPr>
        <b val="true"/>
        <sz val="10"/>
        <color rgb="FFFFFFFF"/>
        <rFont val="Noto Sans CJK SC"/>
        <family val="2"/>
        <charset val="1"/>
      </rPr>
      <t xml:space="preserve">制造</t>
    </r>
  </si>
  <si>
    <t xml:space="preserve">Opening employees</t>
  </si>
  <si>
    <t xml:space="preserve">Hires requested</t>
  </si>
  <si>
    <t xml:space="preserve">Exits effective</t>
  </si>
  <si>
    <t xml:space="preserve">Closing employees</t>
  </si>
  <si>
    <t xml:space="preserve">Average modeled employees</t>
  </si>
  <si>
    <t xml:space="preserve">Monthly remuneration/person RMB</t>
  </si>
  <si>
    <t xml:space="preserve">Payroll cost RMB million</t>
  </si>
  <si>
    <t xml:space="preserve">Headcount roll-forward</t>
  </si>
  <si>
    <r>
      <rPr>
        <b val="true"/>
        <sz val="10"/>
        <color rgb="FFFFFFFF"/>
        <rFont val="Arial"/>
        <family val="0"/>
        <charset val="1"/>
      </rPr>
      <t xml:space="preserve">Sales </t>
    </r>
    <r>
      <rPr>
        <b val="true"/>
        <sz val="10"/>
        <color rgb="FFFFFFFF"/>
        <rFont val="Noto Sans CJK SC"/>
        <family val="2"/>
        <charset val="1"/>
      </rPr>
      <t xml:space="preserve">销售</t>
    </r>
  </si>
  <si>
    <r>
      <rPr>
        <b val="true"/>
        <sz val="10"/>
        <color rgb="FFFFFFFF"/>
        <rFont val="Arial"/>
        <family val="0"/>
        <charset val="1"/>
      </rPr>
      <t xml:space="preserve">R&amp;D </t>
    </r>
    <r>
      <rPr>
        <b val="true"/>
        <sz val="10"/>
        <color rgb="FFFFFFFF"/>
        <rFont val="Noto Sans CJK SC"/>
        <family val="2"/>
        <charset val="1"/>
      </rPr>
      <t xml:space="preserve">研发</t>
    </r>
  </si>
  <si>
    <r>
      <rPr>
        <b val="true"/>
        <sz val="10"/>
        <color rgb="FFFFFFFF"/>
        <rFont val="Arial"/>
        <family val="0"/>
        <charset val="1"/>
      </rPr>
      <t xml:space="preserve">Finance/admin </t>
    </r>
    <r>
      <rPr>
        <b val="true"/>
        <sz val="10"/>
        <color rgb="FFFFFFFF"/>
        <rFont val="Noto Sans CJK SC"/>
        <family val="2"/>
        <charset val="1"/>
      </rPr>
      <t xml:space="preserve">财务行政</t>
    </r>
  </si>
  <si>
    <t xml:space="preserve">L15: payroll / year-end functional HC is a modeled remuneration proxy. Technical staff are allocated to R&amp;D; finance/admin to administration. Neither mapping is an issuer-approved payroll budget.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</si>
  <si>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ExpenseDetail</t>
    </r>
  </si>
  <si>
    <t xml:space="preserve">selling</t>
  </si>
  <si>
    <t xml:space="preserve">selling.market_promotion</t>
  </si>
  <si>
    <t xml:space="preserve">selling.payroll</t>
  </si>
  <si>
    <t xml:space="preserve">selling.advertising</t>
  </si>
  <si>
    <t xml:space="preserve">selling.travel</t>
  </si>
  <si>
    <t xml:space="preserve">selling.office</t>
  </si>
  <si>
    <t xml:space="preserve">selling.rent</t>
  </si>
  <si>
    <t xml:space="preserve">selling.other</t>
  </si>
  <si>
    <t xml:space="preserve">selling total</t>
  </si>
  <si>
    <t xml:space="preserve">admin</t>
  </si>
  <si>
    <t xml:space="preserve">admin.payroll</t>
  </si>
  <si>
    <t xml:space="preserve">admin.share_based_comp</t>
  </si>
  <si>
    <t xml:space="preserve">admin.depreciation_amortization</t>
  </si>
  <si>
    <t xml:space="preserve">admin.office</t>
  </si>
  <si>
    <t xml:space="preserve">admin.maintenance</t>
  </si>
  <si>
    <t xml:space="preserve">admin.taxes</t>
  </si>
  <si>
    <t xml:space="preserve">admin.consulting</t>
  </si>
  <si>
    <t xml:space="preserve">admin.rent</t>
  </si>
  <si>
    <t xml:space="preserve">admin.entertainment</t>
  </si>
  <si>
    <t xml:space="preserve">admin.other</t>
  </si>
  <si>
    <t xml:space="preserve">admin total</t>
  </si>
  <si>
    <t xml:space="preserve">rnd_nature</t>
  </si>
  <si>
    <t xml:space="preserve">rnd_nature.payroll</t>
  </si>
  <si>
    <t xml:space="preserve">rnd_nature.direct_inputs</t>
  </si>
  <si>
    <t xml:space="preserve">rnd_nature.depreciation_amortization</t>
  </si>
  <si>
    <t xml:space="preserve">rnd_nature.other</t>
  </si>
  <si>
    <t xml:space="preserve">rnd_nature total</t>
  </si>
  <si>
    <t xml:space="preserve">Total cash selling/admin/R&amp;D</t>
  </si>
  <si>
    <t xml:space="preserve">L26: promotion and direct R&amp;D inputs follow revenue; travel/office follow modeled functional HC; other cash lines use historical monthly base indexed2% annually. FY2025 admin.taxes is blank, not reported zero; forecast zero is a separately disclosed teaching assumption. Freight and selling D&amp;A are not separately disclosed.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</si>
  <si>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Inventory</t>
    </r>
  </si>
  <si>
    <t xml:space="preserve">Opening raw materials net</t>
  </si>
  <si>
    <t xml:space="preserve">Raw material consumed</t>
  </si>
  <si>
    <t xml:space="preserve">Target raw-material closing balance</t>
  </si>
  <si>
    <t xml:space="preserve">Raw purchases required</t>
  </si>
  <si>
    <t xml:space="preserve">Closing raw materials net</t>
  </si>
  <si>
    <t xml:space="preserve">Raw materials roll-forward</t>
  </si>
  <si>
    <t xml:space="preserve">Opening WIP</t>
  </si>
  <si>
    <t xml:space="preserve">Effective WIP release into FG</t>
  </si>
  <si>
    <t xml:space="preserve">Closing WIP</t>
  </si>
  <si>
    <t xml:space="preserve">WIP roll-forward</t>
  </si>
  <si>
    <t xml:space="preserve">Finished goods carrying value</t>
  </si>
  <si>
    <t xml:space="preserve">Dispatched goods (source carry)</t>
  </si>
  <si>
    <t xml:space="preserve">Outsourced processing (source carry)</t>
  </si>
  <si>
    <t xml:space="preserve">Consumables (source carry)</t>
  </si>
  <si>
    <t xml:space="preserve">Packaging (source carry)</t>
  </si>
  <si>
    <t xml:space="preserve">Total inventory</t>
  </si>
  <si>
    <t xml:space="preserve">Inventory change from prior month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</si>
  <si>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Receivables</t>
    </r>
  </si>
  <si>
    <t xml:space="preserve">Opening gross trade receivables</t>
  </si>
  <si>
    <t xml:space="preserve">Current-period sales invoices</t>
  </si>
  <si>
    <t xml:space="preserve">Requested ending gross AR from days</t>
  </si>
  <si>
    <t xml:space="preserve">Effective closing gross AR</t>
  </si>
  <si>
    <t xml:space="preserve">Cash customer collections</t>
  </si>
  <si>
    <t xml:space="preserve">Opening allowance</t>
  </si>
  <si>
    <t xml:space="preserve">Closing allowance</t>
  </si>
  <si>
    <t xml:space="preserve">ECL expense/(release)</t>
  </si>
  <si>
    <t xml:space="preserve">Closing net trade AR</t>
  </si>
  <si>
    <t xml:space="preserve">Bills/contract assets source carry</t>
  </si>
  <si>
    <t xml:space="preserve">Total receivables and contract assets</t>
  </si>
  <si>
    <t xml:space="preserve">Gross receivable roll-forward</t>
  </si>
  <si>
    <t xml:space="preserve">Opening goods payable</t>
  </si>
  <si>
    <t xml:space="preserve">Raw material purchase invoices</t>
  </si>
  <si>
    <t xml:space="preserve">Target closing goods AP from purchases</t>
  </si>
  <si>
    <t xml:space="preserve">Effective closing goods AP</t>
  </si>
  <si>
    <t xml:space="preserve">Cash payments to raw material suppliers</t>
  </si>
  <si>
    <t xml:space="preserve">Construction/equipment payable source carry</t>
  </si>
  <si>
    <t xml:space="preserve">Expense payable source carry</t>
  </si>
  <si>
    <t xml:space="preserve">Total trade payables</t>
  </si>
  <si>
    <t xml:space="preserve">Goods payable roll-forward</t>
  </si>
  <si>
    <t xml:space="preserve">Gross AR movement</t>
  </si>
  <si>
    <t xml:space="preserve">Goods payable movement</t>
  </si>
  <si>
    <t xml:space="preserve">Opening customer advances</t>
  </si>
  <si>
    <t xml:space="preserve">Opening advances recognised in revenue</t>
  </si>
  <si>
    <t xml:space="preserve">New customer advance cash receipts</t>
  </si>
  <si>
    <t xml:space="preserve">Closing customer advances</t>
  </si>
  <si>
    <t xml:space="preserve">Customer advance roll-forward</t>
  </si>
  <si>
    <t xml:space="preserve">Total customer cash receipts</t>
  </si>
  <si>
    <t xml:space="preserve">Customer advance balance movement</t>
  </si>
  <si>
    <t xml:space="preserve">L16: ending-balance DSO/DPO drivers, not average turnover. Gross AR cannot exceed opening balance plus invoices; AP cannot exceed opening plus purchases. Construction/equipment and expense AP remain distinct fixed source balances. Gross AR means before ECL, not a VAT-exclusive balance. Source AR/AP may include VAT while revenue/material drivers are net accounting amounts. VAT invoicing and settlement are not separately reconstructed (L28); no credit-limit or ageing-detail reconstruction claimed.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</si>
  <si>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Assets</t>
    </r>
  </si>
  <si>
    <t xml:space="preserve">buildings</t>
  </si>
  <si>
    <t xml:space="preserve">Opening net book value</t>
  </si>
  <si>
    <t xml:space="preserve">Cash capex additions</t>
  </si>
  <si>
    <t xml:space="preserve">Noncash lease additions</t>
  </si>
  <si>
    <t xml:space="preserve">Depreciation / amortisation</t>
  </si>
  <si>
    <t xml:space="preserve">Effective book-value disposal</t>
  </si>
  <si>
    <t xml:space="preserve">Effective impairment</t>
  </si>
  <si>
    <t xml:space="preserve">Closing net book value</t>
  </si>
  <si>
    <t xml:space="preserve">Asset roll-forward</t>
  </si>
  <si>
    <t xml:space="preserve">Cumulative new cash additions</t>
  </si>
  <si>
    <t xml:space="preserve">machinery</t>
  </si>
  <si>
    <t xml:space="preserve">vehicles</t>
  </si>
  <si>
    <t xml:space="preserve">electronic_other</t>
  </si>
  <si>
    <t xml:space="preserve">leasehold_improvements</t>
  </si>
  <si>
    <t xml:space="preserve">intangibles</t>
  </si>
  <si>
    <t xml:space="preserve">rou</t>
  </si>
  <si>
    <t xml:space="preserve">Source PPE bridge: CIP/property/disposal balances</t>
  </si>
  <si>
    <t xml:space="preserve">Total modeled PPE / CIP / investment-property group</t>
  </si>
  <si>
    <t xml:space="preserve">Total D&amp;A</t>
  </si>
  <si>
    <t xml:space="preserve">Cash capex</t>
  </si>
  <si>
    <t xml:space="preserve">Disposal cash proceeds at book value</t>
  </si>
  <si>
    <t xml:space="preserve">Noncash impairment</t>
  </si>
  <si>
    <t xml:space="preserve">L21/L25: useful lives for new pools: buildings30y, machinery10y, vehicles/electronics/improvements5y, intangibles10y, ROU3y. Additions enter at month-end; existing charge is historical run-rate capped by available book value. CIP/property/disposal bridge is fixed source classification, not a balancing flow. Each of five PPE classes has separate stock-capped disposal and impairment requests. Detailed commissioning dates remain missing.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</si>
  <si>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Funding</t>
    </r>
  </si>
  <si>
    <r>
      <rPr>
        <b val="true"/>
        <sz val="10"/>
        <color rgb="FFFFFFFF"/>
        <rFont val="Arial"/>
        <family val="0"/>
        <charset val="1"/>
      </rPr>
      <t xml:space="preserve">Pledged short loan </t>
    </r>
    <r>
      <rPr>
        <b val="true"/>
        <sz val="10"/>
        <color rgb="FFFFFFFF"/>
        <rFont val="Noto Sans CJK SC"/>
        <family val="2"/>
        <charset val="1"/>
      </rPr>
      <t xml:space="preserve">抵押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  <charset val="1"/>
      </rPr>
      <t xml:space="preserve">质押短贷</t>
    </r>
  </si>
  <si>
    <t xml:space="preserve">Opening principal</t>
  </si>
  <si>
    <t xml:space="preserve">Draw requested</t>
  </si>
  <si>
    <t xml:space="preserve">Effective draw</t>
  </si>
  <si>
    <t xml:space="preserve">Repayment requested</t>
  </si>
  <si>
    <t xml:space="preserve">Effective repayment</t>
  </si>
  <si>
    <t xml:space="preserve">Closing principal</t>
  </si>
  <si>
    <t xml:space="preserve">Interest on opening principal</t>
  </si>
  <si>
    <t xml:space="preserve">Unmet draw</t>
  </si>
  <si>
    <t xml:space="preserve">Unmet repayment</t>
  </si>
  <si>
    <t xml:space="preserve">Principal roll-forward</t>
  </si>
  <si>
    <r>
      <rPr>
        <b val="true"/>
        <sz val="10"/>
        <color rgb="FFFFFFFF"/>
        <rFont val="Arial"/>
        <family val="0"/>
        <charset val="1"/>
      </rPr>
      <t xml:space="preserve">Credit short loan </t>
    </r>
    <r>
      <rPr>
        <b val="true"/>
        <sz val="10"/>
        <color rgb="FFFFFFFF"/>
        <rFont val="Noto Sans CJK SC"/>
        <family val="2"/>
        <charset val="1"/>
      </rPr>
      <t xml:space="preserve">信用短贷</t>
    </r>
  </si>
  <si>
    <r>
      <rPr>
        <b val="true"/>
        <sz val="10"/>
        <color rgb="FFFFFFFF"/>
        <rFont val="Arial"/>
        <family val="0"/>
        <charset val="1"/>
      </rPr>
      <t xml:space="preserve">Long credit loan </t>
    </r>
    <r>
      <rPr>
        <b val="true"/>
        <sz val="10"/>
        <color rgb="FFFFFFFF"/>
        <rFont val="Noto Sans CJK SC"/>
        <family val="2"/>
        <charset val="1"/>
      </rPr>
      <t xml:space="preserve">长期信用贷款</t>
    </r>
  </si>
  <si>
    <t xml:space="preserve">Opening lease liability</t>
  </si>
  <si>
    <t xml:space="preserve">New noncash lease recognition</t>
  </si>
  <si>
    <t xml:space="preserve">Lease principal requested</t>
  </si>
  <si>
    <t xml:space="preserve">Closing lease liability</t>
  </si>
  <si>
    <t xml:space="preserve">Lease interest expense/cash paid</t>
  </si>
  <si>
    <t xml:space="preserve">Lease liability roll-forward</t>
  </si>
  <si>
    <t xml:space="preserve">Opening financial investments</t>
  </si>
  <si>
    <t xml:space="preserve">Investment cash purchases</t>
  </si>
  <si>
    <t xml:space="preserve">Effective investment redemptions</t>
  </si>
  <si>
    <t xml:space="preserve">Effective fair-value P&amp;L gain/(loss)</t>
  </si>
  <si>
    <t xml:space="preserve">Effective investment OCI</t>
  </si>
  <si>
    <t xml:space="preserve">Closing financial investments</t>
  </si>
  <si>
    <t xml:space="preserve">Investment roll-forward</t>
  </si>
  <si>
    <t xml:space="preserve">Interest income accrued on opening monetary balances</t>
  </si>
  <si>
    <t xml:space="preserve">Total effective loan draw</t>
  </si>
  <si>
    <t xml:space="preserve">Total effective loan principal repayment</t>
  </si>
  <si>
    <t xml:space="preserve">Total loan interest cash paid</t>
  </si>
  <si>
    <t xml:space="preserve">Total principal balance plus old accrued interest</t>
  </si>
  <si>
    <t xml:space="preserve">Historical accrued loan-interest balance (fixed)</t>
  </si>
  <si>
    <t xml:space="preserve">Net equity cash proceeds</t>
  </si>
  <si>
    <t xml:space="preserve">Total parent and NCI dividends</t>
  </si>
  <si>
    <t xml:space="preserve">Cash available for loan repayment before effective repayments</t>
  </si>
  <si>
    <t xml:space="preserve">r4: investment redemptions and finite standby RCF link to Liquidity. July opens from actual H1 balances. Requested/effective principal, interest, caps, maturity and remaining shortfalls are separate.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</si>
  <si>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TaxEquity</t>
    </r>
  </si>
  <si>
    <t xml:space="preserve">Opening income tax payable</t>
  </si>
  <si>
    <t xml:space="preserve">Current tax expense</t>
  </si>
  <si>
    <t xml:space="preserve">Income-tax cash settlement requested</t>
  </si>
  <si>
    <t xml:space="preserve">Effective cash income tax paid</t>
  </si>
  <si>
    <t xml:space="preserve">Closing income tax payable</t>
  </si>
  <si>
    <t xml:space="preserve">Income-tax payable roll-forward</t>
  </si>
  <si>
    <t xml:space="preserve">Opening DTA</t>
  </si>
  <si>
    <t xml:space="preserve">Effective DTA release</t>
  </si>
  <si>
    <t xml:space="preserve">Closing DTA</t>
  </si>
  <si>
    <t xml:space="preserve">Opening DTL</t>
  </si>
  <si>
    <t xml:space="preserve">Effective DTL release</t>
  </si>
  <si>
    <t xml:space="preserve">Closing DTL</t>
  </si>
  <si>
    <t xml:space="preserve">Deferred tax expense/(credit)</t>
  </si>
  <si>
    <t xml:space="preserve">Total income-tax expense</t>
  </si>
  <si>
    <t xml:space="preserve">Other taxes payable source carry</t>
  </si>
  <si>
    <t xml:space="preserve">Opening retained earnings</t>
  </si>
  <si>
    <t xml:space="preserve">Parent income for month</t>
  </si>
  <si>
    <t xml:space="preserve">Prior-year parent income dividend basis</t>
  </si>
  <si>
    <t xml:space="preserve">Parent dividend requested</t>
  </si>
  <si>
    <t xml:space="preserve">Effective parent dividend</t>
  </si>
  <si>
    <t xml:space="preserve">Closing retained earnings</t>
  </si>
  <si>
    <t xml:space="preserve">Opening NCI equity</t>
  </si>
  <si>
    <t xml:space="preserve">NCI income for month</t>
  </si>
  <si>
    <t xml:space="preserve">Effective NCI dividend</t>
  </si>
  <si>
    <t xml:space="preserve">Closing NCI equity</t>
  </si>
  <si>
    <t xml:space="preserve">Cash equity issuance fees</t>
  </si>
  <si>
    <t xml:space="preserve">Net new equity proceeds</t>
  </si>
  <si>
    <t xml:space="preserve">Opening share capital and other reserves</t>
  </si>
  <si>
    <t xml:space="preserve">Noncash share compensation credited to equity</t>
  </si>
  <si>
    <t xml:space="preserve">FX / investment OCI reserve movements</t>
  </si>
  <si>
    <t xml:space="preserve">Closing share capital and reserves</t>
  </si>
  <si>
    <t xml:space="preserve">Retained earnings roll-forward</t>
  </si>
  <si>
    <t xml:space="preserve">NCI roll-forward</t>
  </si>
  <si>
    <t xml:space="preserve">Reserve roll-forward</t>
  </si>
  <si>
    <t xml:space="preserve">Gross-fee-net equity bridge</t>
  </si>
  <si>
    <t xml:space="preserve">Effective share repurchase cash / reserve reduction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</si>
  <si>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OtherBalances</t>
    </r>
  </si>
  <si>
    <t xml:space="preserve">预付款项</t>
  </si>
  <si>
    <t xml:space="preserve">其他应收款</t>
  </si>
  <si>
    <t xml:space="preserve">其他流动资产</t>
  </si>
  <si>
    <t xml:space="preserve">其他非流动资产</t>
  </si>
  <si>
    <t xml:space="preserve">Named other assets excluding DTA/interest cohort</t>
  </si>
  <si>
    <t xml:space="preserve">Cash change in named other assets</t>
  </si>
  <si>
    <t xml:space="preserve">应付职工薪酬</t>
  </si>
  <si>
    <t xml:space="preserve">其他应付款</t>
  </si>
  <si>
    <t xml:space="preserve">其他流动负债</t>
  </si>
  <si>
    <t xml:space="preserve">递延收益</t>
  </si>
  <si>
    <t xml:space="preserve">其他非流动负债</t>
  </si>
  <si>
    <t xml:space="preserve">Commodity hedge derivative liability: H1 source carry</t>
  </si>
  <si>
    <t xml:space="preserve">Cash change in named other liabilities</t>
  </si>
  <si>
    <t xml:space="preserve">Opening post-2025 interest receivable cohort</t>
  </si>
  <si>
    <t xml:space="preserve">Current accrued interest not received</t>
  </si>
  <si>
    <t xml:space="preserve">Closing post-2025 interest receivable cohort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</si>
  <si>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Inputs</t>
    </r>
  </si>
  <si>
    <t xml:space="preserve">Yellow cells are editable teaching inputs. H1-anchored demand/volume/ASP cells and all sources/formulas are protected. Driver IDs, units, ranges and LEAPs: AssumptionRegister.</t>
  </si>
  <si>
    <t xml:space="preserve">Monthly demand index (H1 2026 anchored)</t>
  </si>
  <si>
    <r>
      <rPr>
        <sz val="10"/>
        <rFont val="Noto Sans CJK SC"/>
        <family val="2"/>
        <charset val="1"/>
      </rPr>
      <t xml:space="preserve">电连接产品 </t>
    </r>
    <r>
      <rPr>
        <sz val="10"/>
        <rFont val="Arial"/>
        <family val="0"/>
        <charset val="1"/>
      </rPr>
      <t xml:space="preserve">sales growth (H1 anchored)</t>
    </r>
  </si>
  <si>
    <r>
      <rPr>
        <sz val="10"/>
        <rFont val="Noto Sans CJK SC"/>
        <family val="2"/>
        <charset val="1"/>
      </rPr>
      <t xml:space="preserve">电连接产品 </t>
    </r>
    <r>
      <rPr>
        <sz val="10"/>
        <rFont val="Arial"/>
        <family val="0"/>
        <charset val="1"/>
      </rPr>
      <t xml:space="preserve">net ASP / mix growth (H1 anchored)</t>
    </r>
  </si>
  <si>
    <r>
      <rPr>
        <sz val="10"/>
        <rFont val="Noto Sans CJK SC"/>
        <family val="2"/>
        <charset val="1"/>
      </rPr>
      <t xml:space="preserve">智能电工照明 </t>
    </r>
    <r>
      <rPr>
        <sz val="10"/>
        <rFont val="Arial"/>
        <family val="0"/>
        <charset val="1"/>
      </rPr>
      <t xml:space="preserve">sales growth (H1 anchored)</t>
    </r>
  </si>
  <si>
    <r>
      <rPr>
        <sz val="10"/>
        <rFont val="Noto Sans CJK SC"/>
        <family val="2"/>
        <charset val="1"/>
      </rPr>
      <t xml:space="preserve">智能电工照明 </t>
    </r>
    <r>
      <rPr>
        <sz val="10"/>
        <rFont val="Arial"/>
        <family val="0"/>
        <charset val="1"/>
      </rPr>
      <t xml:space="preserve">net ASP / mix growth (H1 anchored)</t>
    </r>
  </si>
  <si>
    <r>
      <rPr>
        <sz val="10"/>
        <rFont val="Noto Sans CJK SC"/>
        <family val="2"/>
        <charset val="1"/>
      </rPr>
      <t xml:space="preserve">新能源产品 </t>
    </r>
    <r>
      <rPr>
        <sz val="10"/>
        <rFont val="Arial"/>
        <family val="0"/>
        <charset val="1"/>
      </rPr>
      <t xml:space="preserve">sales growth (H1 anchored)</t>
    </r>
  </si>
  <si>
    <r>
      <rPr>
        <sz val="10"/>
        <rFont val="Noto Sans CJK SC"/>
        <family val="2"/>
        <charset val="1"/>
      </rPr>
      <t xml:space="preserve">新能源产品 </t>
    </r>
    <r>
      <rPr>
        <sz val="10"/>
        <rFont val="Arial"/>
        <family val="0"/>
        <charset val="1"/>
      </rPr>
      <t xml:space="preserve">net ASP / mix growth (H1 anchored)</t>
    </r>
  </si>
  <si>
    <t xml:space="preserve">Material unit-cost increment this month</t>
  </si>
  <si>
    <t xml:space="preserve">Cash factory overhead unit-cost increment</t>
  </si>
  <si>
    <t xml:space="preserve">Salary per person increment this month</t>
  </si>
  <si>
    <r>
      <rPr>
        <sz val="10"/>
        <rFont val="Noto Sans CJK SC"/>
        <family val="2"/>
        <charset val="1"/>
      </rPr>
      <t xml:space="preserve">电连接产品 </t>
    </r>
    <r>
      <rPr>
        <sz val="10"/>
        <rFont val="Arial"/>
        <family val="0"/>
        <charset val="1"/>
      </rPr>
      <t xml:space="preserve">ending FG coverage days</t>
    </r>
  </si>
  <si>
    <r>
      <rPr>
        <sz val="10"/>
        <rFont val="Noto Sans CJK SC"/>
        <family val="2"/>
        <charset val="1"/>
      </rPr>
      <t xml:space="preserve">智能电工照明 </t>
    </r>
    <r>
      <rPr>
        <sz val="10"/>
        <rFont val="Arial"/>
        <family val="0"/>
        <charset val="1"/>
      </rPr>
      <t xml:space="preserve">ending FG coverage days</t>
    </r>
  </si>
  <si>
    <r>
      <rPr>
        <sz val="10"/>
        <rFont val="Noto Sans CJK SC"/>
        <family val="2"/>
        <charset val="1"/>
      </rPr>
      <t xml:space="preserve">新能源产品 </t>
    </r>
    <r>
      <rPr>
        <sz val="10"/>
        <rFont val="Arial"/>
        <family val="0"/>
        <charset val="1"/>
      </rPr>
      <t xml:space="preserve">ending FG coverage days</t>
    </r>
  </si>
  <si>
    <t xml:space="preserve">Raw material target days of consumption</t>
  </si>
  <si>
    <t xml:space="preserve">Trade receivable gross ending days</t>
  </si>
  <si>
    <t xml:space="preserve">Trade receivable allowance / gross AR</t>
  </si>
  <si>
    <t xml:space="preserve">Goods payable target days of raw purchases</t>
  </si>
  <si>
    <t xml:space="preserve">Additional WIP cash cost capitalised</t>
  </si>
  <si>
    <t xml:space="preserve">WIP released to FG carrying amount requested</t>
  </si>
  <si>
    <t xml:space="preserve">Current tax rate</t>
  </si>
  <si>
    <t xml:space="preserve">Tax balance cash settlement fraction</t>
  </si>
  <si>
    <t xml:space="preserve">Prior-year income dividend request fraction</t>
  </si>
  <si>
    <t xml:space="preserve">Verified / hypothetical aggregate incremental draw capacity</t>
  </si>
  <si>
    <t xml:space="preserve">Pledged short loan draw requested</t>
  </si>
  <si>
    <t xml:space="preserve">Credit short loan draw requested</t>
  </si>
  <si>
    <t xml:space="preserve">Long credit loan draw requested</t>
  </si>
  <si>
    <t xml:space="preserve">Pledged short loan principal repayment requested</t>
  </si>
  <si>
    <t xml:space="preserve">Credit short loan principal repayment requested</t>
  </si>
  <si>
    <t xml:space="preserve">Long credit loan principal repayment requested</t>
  </si>
  <si>
    <t xml:space="preserve">New lease asset and liability</t>
  </si>
  <si>
    <t xml:space="preserve">Lease principal repayment requested</t>
  </si>
  <si>
    <t xml:space="preserve">Loan annual interest rate</t>
  </si>
  <si>
    <t xml:space="preserve">Lease annual interest rate</t>
  </si>
  <si>
    <t xml:space="preserve">Cash capex commitment / disbursement</t>
  </si>
  <si>
    <t xml:space="preserve">Equity issuance fee rate</t>
  </si>
  <si>
    <t xml:space="preserve">Financial investment purchases requested</t>
  </si>
  <si>
    <t xml:space="preserve">Financial investment redemption requested</t>
  </si>
  <si>
    <t xml:space="preserve">Financial investment FV gain/(loss)</t>
  </si>
  <si>
    <t xml:space="preserve">Noncash share compensation expense</t>
  </si>
  <si>
    <t xml:space="preserve">DTA carrying value release requested</t>
  </si>
  <si>
    <t xml:space="preserve">DTL carrying value release requested</t>
  </si>
  <si>
    <t xml:space="preserve">Cash FX / translation reserve</t>
  </si>
  <si>
    <t xml:space="preserve">Investment OCI / reserve movement</t>
  </si>
  <si>
    <t xml:space="preserve">Buildings disposal at carrying value requested</t>
  </si>
  <si>
    <t xml:space="preserve">Buildings impairment requested</t>
  </si>
  <si>
    <t xml:space="preserve">Share repurchase cash request</t>
  </si>
  <si>
    <t xml:space="preserve">Production hires</t>
  </si>
  <si>
    <t xml:space="preserve">Production exits requested</t>
  </si>
  <si>
    <t xml:space="preserve">Sales hires</t>
  </si>
  <si>
    <t xml:space="preserve">Sales exits requested</t>
  </si>
  <si>
    <t xml:space="preserve">Technical/R&amp;D hires</t>
  </si>
  <si>
    <t xml:space="preserve">Technical/R&amp;D exits requested</t>
  </si>
  <si>
    <t xml:space="preserve">Finance/admin hires</t>
  </si>
  <si>
    <t xml:space="preserve">Finance/admin exits requested</t>
  </si>
  <si>
    <t xml:space="preserve">Other cash income / revenue</t>
  </si>
  <si>
    <t xml:space="preserve">Investment annual cash yield</t>
  </si>
  <si>
    <t xml:space="preserve">Cash interest annual yield</t>
  </si>
  <si>
    <t xml:space="preserve">Interest income cash receipt fraction</t>
  </si>
  <si>
    <t xml:space="preserve">Buildings new-addition useful life</t>
  </si>
  <si>
    <t xml:space="preserve">Machinery new-addition useful life</t>
  </si>
  <si>
    <t xml:space="preserve">Vehicles new-addition useful life</t>
  </si>
  <si>
    <t xml:space="preserve">Electronic/other new-addition useful life</t>
  </si>
  <si>
    <t xml:space="preserve">Improvements new-addition useful life</t>
  </si>
  <si>
    <t xml:space="preserve">Intangibles new-addition useful life</t>
  </si>
  <si>
    <t xml:space="preserve">ROU new-addition useful life</t>
  </si>
  <si>
    <t xml:space="preserve">Intangible share of cash capex</t>
  </si>
  <si>
    <t xml:space="preserve">Administrative taxes forecast (source blank)</t>
  </si>
  <si>
    <t xml:space="preserve">Customer advance target days of revenue</t>
  </si>
  <si>
    <t xml:space="preserve">Named other asset cash-balance growth</t>
  </si>
  <si>
    <t xml:space="preserve">Named other liability cash-balance growth</t>
  </si>
  <si>
    <t xml:space="preserve">Machinery disposal at carrying value requested</t>
  </si>
  <si>
    <t xml:space="preserve">Machinery impairment requested</t>
  </si>
  <si>
    <t xml:space="preserve">Vehicles disposal at carrying value requested</t>
  </si>
  <si>
    <t xml:space="preserve">Vehicles impairment requested</t>
  </si>
  <si>
    <t xml:space="preserve">Electronic/other disposal at carrying value requested</t>
  </si>
  <si>
    <t xml:space="preserve">Electronic/other impairment requested</t>
  </si>
  <si>
    <t xml:space="preserve">Improvements disposal at carrying value requested</t>
  </si>
  <si>
    <t xml:space="preserve">Improvements impairment requested</t>
  </si>
  <si>
    <t xml:space="preserve">selling.market_promotion expense intensity multiplier</t>
  </si>
  <si>
    <t xml:space="preserve">selling.advertising expense intensity multiplier</t>
  </si>
  <si>
    <t xml:space="preserve">selling.travel expense intensity multiplier</t>
  </si>
  <si>
    <t xml:space="preserve">selling.office expense intensity multiplier</t>
  </si>
  <si>
    <t xml:space="preserve">selling.rent expense intensity multiplier</t>
  </si>
  <si>
    <t xml:space="preserve">selling.other expense intensity multiplier</t>
  </si>
  <si>
    <t xml:space="preserve">admin.office expense intensity multiplier</t>
  </si>
  <si>
    <t xml:space="preserve">admin.maintenance expense intensity multiplier</t>
  </si>
  <si>
    <t xml:space="preserve">admin.consulting expense intensity multiplier</t>
  </si>
  <si>
    <t xml:space="preserve">admin.rent expense intensity multiplier</t>
  </si>
  <si>
    <t xml:space="preserve">admin.entertainment expense intensity multiplier</t>
  </si>
  <si>
    <t xml:space="preserve">admin.other expense intensity multiplier</t>
  </si>
  <si>
    <t xml:space="preserve">rnd_nature.direct_inputs expense intensity multiplier</t>
  </si>
  <si>
    <t xml:space="preserve">rnd_nature.other expense intensity multiplier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</si>
  <si>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Checks</t>
    </r>
  </si>
  <si>
    <t xml:space="preserve">Balance sheet difference</t>
  </si>
  <si>
    <t xml:space="preserve">Cash roll-forward</t>
  </si>
  <si>
    <t xml:space="preserve">Direct / indirect CFO difference</t>
  </si>
  <si>
    <t xml:space="preserve">P&amp;L tax and NI check</t>
  </si>
  <si>
    <t xml:space="preserve">Parent and NCI income check</t>
  </si>
  <si>
    <t xml:space="preserve">Physical production/stock rolls</t>
  </si>
  <si>
    <t xml:space="preserve">FG valuation rolls</t>
  </si>
  <si>
    <t xml:space="preserve">Raw and WIP stock rolls</t>
  </si>
  <si>
    <t xml:space="preserve">Trade AR/AP and advances rolls</t>
  </si>
  <si>
    <t xml:space="preserve">PPE/intangible/ROU rolls</t>
  </si>
  <si>
    <t xml:space="preserve">Loans and leases rolls</t>
  </si>
  <si>
    <t xml:space="preserve">Investment roll</t>
  </si>
  <si>
    <t xml:space="preserve">Tax and equity rolls</t>
  </si>
  <si>
    <t xml:space="preserve">Cash shortfall (scenario, not structural error)</t>
  </si>
  <si>
    <t xml:space="preserve">Unmet debt draws</t>
  </si>
  <si>
    <t xml:space="preserve">Unmet debt repayments</t>
  </si>
  <si>
    <t xml:space="preserve">Invalid numeric input count</t>
  </si>
  <si>
    <t xml:space="preserve">Calendar days</t>
  </si>
  <si>
    <t xml:space="preserve">Annual forecast BS difference at December</t>
  </si>
  <si>
    <t xml:space="preserve">Historical source reconciliation — annual and interim separately</t>
  </si>
  <si>
    <t xml:space="preserve">PBT less tax = NI</t>
  </si>
  <si>
    <t xml:space="preserve">Parent plus NCI = NI</t>
  </si>
  <si>
    <t xml:space="preserve">Historic assets - liabilities - equity</t>
  </si>
  <si>
    <t xml:space="preserve">CFO receipts</t>
  </si>
  <si>
    <t xml:space="preserve">CFO payments</t>
  </si>
  <si>
    <t xml:space="preserve">CFO subtotal</t>
  </si>
  <si>
    <t xml:space="preserve">CFI receipts</t>
  </si>
  <si>
    <t xml:space="preserve">CFI payments</t>
  </si>
  <si>
    <t xml:space="preserve">CFI subtotal</t>
  </si>
  <si>
    <t xml:space="preserve">CFF receipts excluding of-which</t>
  </si>
  <si>
    <t xml:space="preserve">CFF payments</t>
  </si>
  <si>
    <t xml:space="preserve">CFF subtotal</t>
  </si>
  <si>
    <t xml:space="preserve">Cash movement</t>
  </si>
  <si>
    <t xml:space="preserve">Opening plus movement</t>
  </si>
  <si>
    <t xml:space="preserve">Revenue leaves and units × ASP check</t>
  </si>
  <si>
    <t xml:space="preserve">Payroll headcount rolls</t>
  </si>
  <si>
    <t xml:space="preserve">Negative gross margin — economic warning</t>
  </si>
  <si>
    <t xml:space="preserve">Negative inventory/asset balance — invalid economics</t>
  </si>
  <si>
    <t xml:space="preserve">Unmet new lease principal request</t>
  </si>
  <si>
    <t xml:space="preserve">Assumed cost shares / history mapping check</t>
  </si>
  <si>
    <t xml:space="preserve">Tolerance: RMB0.01 = 0.00000001 RMB million for monetary checks; physical units tolerance0.000001. Negative cash and infeasible requests are visible scenario outcomes, not permission to disable structural equations. Blank historical report rows remain blank.</t>
  </si>
  <si>
    <t xml:space="preserve">RCF principal roll</t>
  </si>
  <si>
    <t xml:space="preserve">Treasury cash to CFS</t>
  </si>
  <si>
    <t xml:space="preserve">Unfunded cash shortage</t>
  </si>
  <si>
    <t xml:space="preserve">Matured RCF unpaid</t>
  </si>
  <si>
    <t xml:space="preserve">Invalid treasury inputs</t>
  </si>
  <si>
    <t xml:space="preserve">Unconfirmed facility outstanding</t>
  </si>
  <si>
    <t xml:space="preserve">All operating and treasury invalid inputs</t>
  </si>
  <si>
    <r>
      <rPr>
        <b val="true"/>
        <sz val="19"/>
        <color rgb="FF183653"/>
        <rFont val="Arial"/>
        <family val="0"/>
        <charset val="1"/>
      </rPr>
      <t xml:space="preserve">Historical consolidated facts </t>
    </r>
    <r>
      <rPr>
        <b val="true"/>
        <sz val="19"/>
        <color rgb="FF183653"/>
        <rFont val="Noto Sans CJK SC"/>
        <family val="2"/>
        <charset val="1"/>
      </rPr>
      <t xml:space="preserve">历史合并报表</t>
    </r>
  </si>
  <si>
    <t xml:space="preserve">Frozen FY2024/FY2025 reports and exact source ledger; derived source mappings retain original definitions.</t>
  </si>
  <si>
    <t xml:space="preserve">Cost of revenue</t>
  </si>
  <si>
    <r>
      <rPr>
        <sz val="10"/>
        <rFont val="Arial"/>
        <family val="0"/>
        <charset val="1"/>
      </rPr>
      <t xml:space="preserve">gongniu_FY2025 P080 L021 </t>
    </r>
    <r>
      <rPr>
        <sz val="10"/>
        <rFont val="Noto Sans CJK SC"/>
        <family val="2"/>
        <charset val="1"/>
      </rPr>
      <t xml:space="preserve">预付款项 </t>
    </r>
    <r>
      <rPr>
        <sz val="10"/>
        <rFont val="Arial"/>
        <family val="0"/>
        <charset val="1"/>
      </rPr>
      <t xml:space="preserve">RMB million</t>
    </r>
  </si>
  <si>
    <r>
      <rPr>
        <sz val="10"/>
        <rFont val="Arial"/>
        <family val="0"/>
        <charset val="1"/>
      </rPr>
      <t xml:space="preserve">gongniu_FY2025 P080 L025 </t>
    </r>
    <r>
      <rPr>
        <sz val="10"/>
        <rFont val="Noto Sans CJK SC"/>
        <family val="2"/>
        <charset val="1"/>
      </rPr>
      <t xml:space="preserve">其他应收款 </t>
    </r>
    <r>
      <rPr>
        <sz val="10"/>
        <rFont val="Arial"/>
        <family val="0"/>
        <charset val="1"/>
      </rPr>
      <t xml:space="preserve">RMB million</t>
    </r>
  </si>
  <si>
    <t xml:space="preserve">Administrative expenses</t>
  </si>
  <si>
    <r>
      <rPr>
        <sz val="10"/>
        <rFont val="Arial"/>
        <family val="0"/>
        <charset val="1"/>
      </rPr>
      <t xml:space="preserve">gongniu_FY2025 P080 L034 </t>
    </r>
    <r>
      <rPr>
        <sz val="10"/>
        <rFont val="Noto Sans CJK SC"/>
        <family val="2"/>
        <charset val="1"/>
      </rPr>
      <t xml:space="preserve">其他流动资产 </t>
    </r>
    <r>
      <rPr>
        <sz val="10"/>
        <rFont val="Arial"/>
        <family val="0"/>
        <charset val="1"/>
      </rPr>
      <t xml:space="preserve">RMB million</t>
    </r>
  </si>
  <si>
    <t xml:space="preserve">Research and development</t>
  </si>
  <si>
    <r>
      <rPr>
        <sz val="10"/>
        <rFont val="Arial"/>
        <family val="0"/>
        <charset val="1"/>
      </rPr>
      <t xml:space="preserve">gongniu_FY2025 P081 L008 </t>
    </r>
    <r>
      <rPr>
        <sz val="10"/>
        <rFont val="Noto Sans CJK SC"/>
        <family val="2"/>
        <charset val="1"/>
      </rPr>
      <t xml:space="preserve">其他非流动资产 </t>
    </r>
    <r>
      <rPr>
        <sz val="10"/>
        <rFont val="Arial"/>
        <family val="0"/>
        <charset val="1"/>
      </rPr>
      <t xml:space="preserve">RMB million</t>
    </r>
  </si>
  <si>
    <t xml:space="preserve">Interest expense</t>
  </si>
  <si>
    <t xml:space="preserve">Other pretax net income (source reconciliation)</t>
  </si>
  <si>
    <t xml:space="preserve">Income tax expense</t>
  </si>
  <si>
    <t xml:space="preserve">Net income attributable to parent</t>
  </si>
  <si>
    <t xml:space="preserve">Net income attributable to NCI</t>
  </si>
  <si>
    <t xml:space="preserve">Depreciation and amortization</t>
  </si>
  <si>
    <t xml:space="preserve">Foreign exchange effect on cash</t>
  </si>
  <si>
    <t xml:space="preserve">Opening cash and cash equivalents</t>
  </si>
  <si>
    <t xml:space="preserve">Cash capex including intangible additions</t>
  </si>
  <si>
    <r>
      <rPr>
        <sz val="10"/>
        <rFont val="Arial"/>
        <family val="0"/>
        <charset val="1"/>
      </rPr>
      <t xml:space="preserve">gongniu_FY2025 P081 L025 </t>
    </r>
    <r>
      <rPr>
        <sz val="10"/>
        <rFont val="Noto Sans CJK SC"/>
        <family val="2"/>
        <charset val="1"/>
      </rPr>
      <t xml:space="preserve">应付职工薪酬 </t>
    </r>
    <r>
      <rPr>
        <sz val="10"/>
        <rFont val="Arial"/>
        <family val="0"/>
        <charset val="1"/>
      </rPr>
      <t xml:space="preserve">RMB million</t>
    </r>
  </si>
  <si>
    <t xml:space="preserve">Monetary funds and interbank placements</t>
  </si>
  <si>
    <r>
      <rPr>
        <sz val="10"/>
        <rFont val="Arial"/>
        <family val="0"/>
        <charset val="1"/>
      </rPr>
      <t xml:space="preserve">gongniu_FY2025 P081 L027 </t>
    </r>
    <r>
      <rPr>
        <sz val="10"/>
        <rFont val="Noto Sans CJK SC"/>
        <family val="2"/>
        <charset val="1"/>
      </rPr>
      <t xml:space="preserve">其他应付款 </t>
    </r>
    <r>
      <rPr>
        <sz val="10"/>
        <rFont val="Arial"/>
        <family val="0"/>
        <charset val="1"/>
      </rPr>
      <t xml:space="preserve">RMB million</t>
    </r>
  </si>
  <si>
    <t xml:space="preserve">Monetary funds / placements outside cash equivalents</t>
  </si>
  <si>
    <r>
      <rPr>
        <sz val="10"/>
        <rFont val="Arial"/>
        <family val="0"/>
        <charset val="1"/>
      </rPr>
      <t xml:space="preserve">gongniu_FY2025 P081 L034 </t>
    </r>
    <r>
      <rPr>
        <sz val="10"/>
        <rFont val="Noto Sans CJK SC"/>
        <family val="2"/>
        <charset val="1"/>
      </rPr>
      <t xml:space="preserve">其他流动负债 </t>
    </r>
    <r>
      <rPr>
        <sz val="10"/>
        <rFont val="Arial"/>
        <family val="0"/>
        <charset val="1"/>
      </rPr>
      <t xml:space="preserve">RMB million</t>
    </r>
  </si>
  <si>
    <t xml:space="preserve">Receivables, bills and contract assets</t>
  </si>
  <si>
    <r>
      <rPr>
        <sz val="10"/>
        <rFont val="Arial"/>
        <family val="0"/>
        <charset val="1"/>
      </rPr>
      <t xml:space="preserve">gongniu_FY2025 P081 L046 </t>
    </r>
    <r>
      <rPr>
        <sz val="10"/>
        <rFont val="Noto Sans CJK SC"/>
        <family val="2"/>
        <charset val="1"/>
      </rPr>
      <t xml:space="preserve">递延收益 </t>
    </r>
    <r>
      <rPr>
        <sz val="10"/>
        <rFont val="Arial"/>
        <family val="0"/>
        <charset val="1"/>
      </rPr>
      <t xml:space="preserve">RMB million</t>
    </r>
  </si>
  <si>
    <r>
      <rPr>
        <sz val="10"/>
        <rFont val="Arial"/>
        <family val="0"/>
        <charset val="1"/>
      </rPr>
      <t xml:space="preserve">gongniu_FY2025 P081 L048 </t>
    </r>
    <r>
      <rPr>
        <sz val="10"/>
        <rFont val="Noto Sans CJK SC"/>
        <family val="2"/>
        <charset val="1"/>
      </rPr>
      <t xml:space="preserve">其他非流动负债 </t>
    </r>
    <r>
      <rPr>
        <sz val="10"/>
        <rFont val="Arial"/>
        <family val="0"/>
        <charset val="1"/>
      </rPr>
      <t xml:space="preserve">RMB million</t>
    </r>
  </si>
  <si>
    <t xml:space="preserve">PPE, construction in progress and investment property</t>
  </si>
  <si>
    <t xml:space="preserve">Intangibles, development and deferred costs</t>
  </si>
  <si>
    <t xml:space="preserve">Right-of-use assets</t>
  </si>
  <si>
    <t xml:space="preserve">Financial investments and finance-company loan assets</t>
  </si>
  <si>
    <t xml:space="preserve">Other assets (named components in SourceBS)</t>
  </si>
  <si>
    <t xml:space="preserve">Trade and bills payables</t>
  </si>
  <si>
    <t xml:space="preserve">Contract liabilities and customer advances</t>
  </si>
  <si>
    <t xml:space="preserve">Borrowings, current maturities and lease liabilities</t>
  </si>
  <si>
    <t xml:space="preserve">Taxes payable (income and other taxes)</t>
  </si>
  <si>
    <t xml:space="preserve">Finance-company customer deposits</t>
  </si>
  <si>
    <t xml:space="preserve">Other liabilities (named components in SourceBS)</t>
  </si>
  <si>
    <t xml:space="preserve">Retained earnings / undistributed profits</t>
  </si>
  <si>
    <t xml:space="preserve">Non-controlling interests</t>
  </si>
  <si>
    <t xml:space="preserve">Source asset mapping difference</t>
  </si>
  <si>
    <t xml:space="preserve">Source liability mapping difference</t>
  </si>
  <si>
    <t xml:space="preserve">2023 D&amp;A: FY2024 p196 comparative cash-flow reconciliation; RMB yuan / 1,000,000.</t>
  </si>
  <si>
    <t xml:space="preserve">Other pretax income is a historical reconciliation, not a forecast plug.</t>
  </si>
  <si>
    <t xml:space="preserve">Income tax payable; FY2025 p152</t>
  </si>
  <si>
    <t xml:space="preserve">DTA; FY2025 p81</t>
  </si>
  <si>
    <t xml:space="preserve">DTL; FY2025 p81</t>
  </si>
  <si>
    <t xml:space="preserve">FY2025 investment income; p162</t>
  </si>
  <si>
    <t xml:space="preserve">H1 2025 consolidated revenue; H12026 p122</t>
  </si>
  <si>
    <t xml:space="preserve">H1 2026 consolidated revenue; H12026 p122</t>
  </si>
  <si>
    <t xml:space="preserve">H1 2025 other revenue; H12026 p122</t>
  </si>
  <si>
    <t xml:space="preserve">H1 2026 other revenue; H12026 p122</t>
  </si>
  <si>
    <t xml:space="preserve">FY2025 cash interest; p165</t>
  </si>
  <si>
    <t xml:space="preserve">FY2025 P&amp;L interest income; p84</t>
  </si>
  <si>
    <t xml:space="preserve">Current income tax FY2025 p164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</si>
  <si>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SourceDetail</t>
    </r>
  </si>
  <si>
    <t xml:space="preserve">Fact ID / label</t>
  </si>
  <si>
    <t xml:space="preserve">Period</t>
  </si>
  <si>
    <t xml:space="preserve">Reported value</t>
  </si>
  <si>
    <t xml:space="preserve">Original unit</t>
  </si>
  <si>
    <t xml:space="preserve">PDF page</t>
  </si>
  <si>
    <t xml:space="preserve">Evidence status</t>
  </si>
  <si>
    <t xml:space="preserve">Original report</t>
  </si>
  <si>
    <t xml:space="preserve">SHA-256</t>
  </si>
  <si>
    <t xml:space="preserve">Official URL</t>
  </si>
  <si>
    <t xml:space="preserve">FY2025</t>
  </si>
  <si>
    <t xml:space="preserve">RMB yuan</t>
  </si>
  <si>
    <t xml:space="preserve">SOURCE_OBSERVED</t>
  </si>
  <si>
    <t xml:space="preserve">sources/public/gongniu_FY2025.pdf</t>
  </si>
  <si>
    <t xml:space="preserve">43fab5b1ec584e7f9036c8d97be30bce2e3a2371808392bd71d444814ecb7c68</t>
  </si>
  <si>
    <t xml:space="preserve">https://static.cninfo.com.cn/finalpage/2026-04-30/1225265197.PDF</t>
  </si>
  <si>
    <t xml:space="preserve">FY2024</t>
  </si>
  <si>
    <t xml:space="preserve">selling.total</t>
  </si>
  <si>
    <t xml:space="preserve">SOURCE_BLANK</t>
  </si>
  <si>
    <t xml:space="preserve">admin.total</t>
  </si>
  <si>
    <t xml:space="preserve">rnd_nature.total</t>
  </si>
  <si>
    <t xml:space="preserve">rnd_product.converter</t>
  </si>
  <si>
    <t xml:space="preserve">rnd_product.wall_switch_socket</t>
  </si>
  <si>
    <t xml:space="preserve">rnd_product.led</t>
  </si>
  <si>
    <t xml:space="preserve">rnd_product.digital_accessory</t>
  </si>
  <si>
    <t xml:space="preserve">rnd_product.household_appliance</t>
  </si>
  <si>
    <t xml:space="preserve">rnd_product.circuit_breaker</t>
  </si>
  <si>
    <t xml:space="preserve">rnd_product.smart_door_lock</t>
  </si>
  <si>
    <t xml:space="preserve">rnd_product.smart_lighting</t>
  </si>
  <si>
    <t xml:space="preserve">rnd_product.power_tools</t>
  </si>
  <si>
    <t xml:space="preserve">cogs_main_business.materials</t>
  </si>
  <si>
    <t xml:space="preserve">cogs_main_business.labour</t>
  </si>
  <si>
    <t xml:space="preserve">cogs_main_business.manufacturing_overhead</t>
  </si>
  <si>
    <t xml:space="preserve">cogs.main</t>
  </si>
  <si>
    <t xml:space="preserve">cogs.other_business</t>
  </si>
  <si>
    <t xml:space="preserve">cogs.total</t>
  </si>
  <si>
    <t xml:space="preserve">inventory.raw_gross</t>
  </si>
  <si>
    <t xml:space="preserve">2025-12-31</t>
  </si>
  <si>
    <t xml:space="preserve">2024-12-31</t>
  </si>
  <si>
    <t xml:space="preserve">inventory.raw_allowance</t>
  </si>
  <si>
    <t xml:space="preserve">inventory.raw_net</t>
  </si>
  <si>
    <t xml:space="preserve">inventory.wip_net</t>
  </si>
  <si>
    <t xml:space="preserve">inventory.finished_gross</t>
  </si>
  <si>
    <t xml:space="preserve">inventory.finished_allowance</t>
  </si>
  <si>
    <t xml:space="preserve">inventory.finished_net</t>
  </si>
  <si>
    <t xml:space="preserve">inventory.dispatched_net</t>
  </si>
  <si>
    <t xml:space="preserve">inventory.outsourced_processing_net</t>
  </si>
  <si>
    <t xml:space="preserve">inventory.consumables_net</t>
  </si>
  <si>
    <t xml:space="preserve">inventory.packaging_net</t>
  </si>
  <si>
    <t xml:space="preserve">ar.gross</t>
  </si>
  <si>
    <t xml:space="preserve">ar.allowance</t>
  </si>
  <si>
    <t xml:space="preserve">ar.net</t>
  </si>
  <si>
    <t xml:space="preserve">ap.goods</t>
  </si>
  <si>
    <t xml:space="preserve">ap.construction_equipment</t>
  </si>
  <si>
    <t xml:space="preserve">ap.expenses</t>
  </si>
  <si>
    <t xml:space="preserve">ap.total</t>
  </si>
  <si>
    <t xml:space="preserve">debt_short.pledged_principal</t>
  </si>
  <si>
    <t xml:space="preserve">debt_short.credit_principal</t>
  </si>
  <si>
    <t xml:space="preserve">debt_short.accrued_interest</t>
  </si>
  <si>
    <t xml:space="preserve">debt_short.total</t>
  </si>
  <si>
    <t xml:space="preserve">debt_long.credit_principal</t>
  </si>
  <si>
    <t xml:space="preserve">lease.current</t>
  </si>
  <si>
    <t xml:space="preserve">lease.noncurrent_gross_payments</t>
  </si>
  <si>
    <t xml:space="preserve">lease.noncurrent_unearned_finance</t>
  </si>
  <si>
    <t xml:space="preserve">lease.noncurrent_net</t>
  </si>
  <si>
    <t xml:space="preserve">rou.gross</t>
  </si>
  <si>
    <t xml:space="preserve">rou.accum_depreciation</t>
  </si>
  <si>
    <t xml:space="preserve">rou.net</t>
  </si>
  <si>
    <t xml:space="preserve">rou.additions</t>
  </si>
  <si>
    <t xml:space="preserve">rou.gross_disposals</t>
  </si>
  <si>
    <t xml:space="preserve">rou.depreciation</t>
  </si>
  <si>
    <t xml:space="preserve">rou.disposal_accum_depreciation</t>
  </si>
  <si>
    <t xml:space="preserve">ppe_net.buildings</t>
  </si>
  <si>
    <t xml:space="preserve">ppe_net.machinery</t>
  </si>
  <si>
    <t xml:space="preserve">ppe_net.vehicles</t>
  </si>
  <si>
    <t xml:space="preserve">ppe_net.electronic_other</t>
  </si>
  <si>
    <t xml:space="preserve">ppe_net.leasehold_improvements</t>
  </si>
  <si>
    <t xml:space="preserve">ppe_net.total</t>
  </si>
  <si>
    <t xml:space="preserve">ppe_gross.buildings</t>
  </si>
  <si>
    <t xml:space="preserve">ppe_gross.machinery</t>
  </si>
  <si>
    <t xml:space="preserve">ppe_gross.vehicles</t>
  </si>
  <si>
    <t xml:space="preserve">ppe_gross.electronic_other</t>
  </si>
  <si>
    <t xml:space="preserve">ppe_gross.leasehold_improvements</t>
  </si>
  <si>
    <t xml:space="preserve">ppe_gross.total</t>
  </si>
  <si>
    <t xml:space="preserve">ppe_depreciation.buildings</t>
  </si>
  <si>
    <t xml:space="preserve">ppe_depreciation.machinery</t>
  </si>
  <si>
    <t xml:space="preserve">ppe_depreciation.vehicles</t>
  </si>
  <si>
    <t xml:space="preserve">ppe_depreciation.electronic_other</t>
  </si>
  <si>
    <t xml:space="preserve">ppe_depreciation.leasehold_improvements</t>
  </si>
  <si>
    <t xml:space="preserve">ppe_depreciation.total</t>
  </si>
  <si>
    <t xml:space="preserve">ppe_flow.additions</t>
  </si>
  <si>
    <t xml:space="preserve">ppe_flow.purchases</t>
  </si>
  <si>
    <t xml:space="preserve">ppe_flow.cip_transfers</t>
  </si>
  <si>
    <t xml:space="preserve">ppe_flow.gross_disposals</t>
  </si>
  <si>
    <t xml:space="preserve">ppe_flow.disposal_accum_depreciation</t>
  </si>
  <si>
    <t xml:space="preserve">ppe_flow.opening_impairment</t>
  </si>
  <si>
    <t xml:space="preserve">ppe_flow.closing_impairment</t>
  </si>
  <si>
    <t xml:space="preserve">ppe_flow.impairment_disposal</t>
  </si>
  <si>
    <t xml:space="preserve">volume.electrical_connection.production</t>
  </si>
  <si>
    <r>
      <rPr>
        <sz val="11"/>
        <rFont val="Calibri"/>
        <family val="0"/>
        <charset val="1"/>
      </rPr>
      <t xml:space="preserve">10,000 pieces (</t>
    </r>
    <r>
      <rPr>
        <sz val="11"/>
        <rFont val="Noto Sans CJK SC"/>
        <family val="2"/>
        <charset val="1"/>
      </rPr>
      <t xml:space="preserve">万件</t>
    </r>
    <r>
      <rPr>
        <sz val="11"/>
        <rFont val="Calibri"/>
        <family val="0"/>
        <charset val="1"/>
      </rPr>
      <t xml:space="preserve">)</t>
    </r>
  </si>
  <si>
    <t xml:space="preserve">volume.electrical_connection.sales</t>
  </si>
  <si>
    <t xml:space="preserve">volume.electrical_connection.closing_inventory</t>
  </si>
  <si>
    <t xml:space="preserve">volume.smart_electrical_lighting.production</t>
  </si>
  <si>
    <t xml:space="preserve">volume.smart_electrical_lighting.sales</t>
  </si>
  <si>
    <t xml:space="preserve">volume.smart_electrical_lighting.closing_inventory</t>
  </si>
  <si>
    <t xml:space="preserve">volume.new_energy.production</t>
  </si>
  <si>
    <t xml:space="preserve">volume.new_energy.sales</t>
  </si>
  <si>
    <t xml:space="preserve">volume.new_energy.closing_inventory</t>
  </si>
  <si>
    <t xml:space="preserve">headcount.parent</t>
  </si>
  <si>
    <t xml:space="preserve">people</t>
  </si>
  <si>
    <t xml:space="preserve">headcount.subsidiaries</t>
  </si>
  <si>
    <t xml:space="preserve">headcount.total</t>
  </si>
  <si>
    <t xml:space="preserve">headcount.production</t>
  </si>
  <si>
    <t xml:space="preserve">headcount.sales</t>
  </si>
  <si>
    <t xml:space="preserve">headcount.technical</t>
  </si>
  <si>
    <t xml:space="preserve">headcount.finance</t>
  </si>
  <si>
    <t xml:space="preserve">headcount.administrative</t>
  </si>
  <si>
    <t xml:space="preserve">product.electrical_connection.revenue</t>
  </si>
  <si>
    <t xml:space="preserve">product.electrical_connection.cogs</t>
  </si>
  <si>
    <t xml:space="preserve">product.smart_electrical_lighting.revenue</t>
  </si>
  <si>
    <t xml:space="preserve">product.smart_electrical_lighting.cogs</t>
  </si>
  <si>
    <t xml:space="preserve">product.new_energy.revenue</t>
  </si>
  <si>
    <t xml:space="preserve">product.new_energy.cogs</t>
  </si>
  <si>
    <t xml:space="preserve">geography.domestic.revenue</t>
  </si>
  <si>
    <t xml:space="preserve">geography.domestic.cogs</t>
  </si>
  <si>
    <t xml:space="preserve">geography.overseas.revenue</t>
  </si>
  <si>
    <t xml:space="preserve">geography.overseas.cogs</t>
  </si>
  <si>
    <t xml:space="preserve">volume.electrical_connection.production.yoy_change</t>
  </si>
  <si>
    <t xml:space="preserve">%</t>
  </si>
  <si>
    <t xml:space="preserve">volume.electrical_connection.sales.yoy_change</t>
  </si>
  <si>
    <t xml:space="preserve">volume.electrical_connection.closing_inventory.yoy_change</t>
  </si>
  <si>
    <t xml:space="preserve">volume.smart_electrical_lighting.production.yoy_change</t>
  </si>
  <si>
    <t xml:space="preserve">volume.smart_electrical_lighting.sales.yoy_change</t>
  </si>
  <si>
    <t xml:space="preserve">volume.smart_electrical_lighting.closing_inventory.yoy_change</t>
  </si>
  <si>
    <t xml:space="preserve">volume.new_energy.production.yoy_change</t>
  </si>
  <si>
    <t xml:space="preserve">volume.new_energy.sales.yoy_change</t>
  </si>
  <si>
    <t xml:space="preserve">volume.new_energy.closing_inventory.yoy_change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</si>
  <si>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SourceAnalysis</t>
    </r>
  </si>
  <si>
    <t xml:space="preserve">Source bridge / metric</t>
  </si>
  <si>
    <t xml:space="preserve">2025 source</t>
  </si>
  <si>
    <t xml:space="preserve">Model proxy / ratio</t>
  </si>
  <si>
    <t xml:space="preserve">Unit</t>
  </si>
  <si>
    <t xml:space="preserve">Basis</t>
  </si>
  <si>
    <t xml:space="preserve">Open issue</t>
  </si>
  <si>
    <t xml:space="preserve">electrical_connection revenue</t>
  </si>
  <si>
    <t xml:space="preserve">RMB million</t>
  </si>
  <si>
    <t xml:space="preserve">FY2025 p24</t>
  </si>
  <si>
    <t xml:space="preserve">electrical_connection COGS</t>
  </si>
  <si>
    <t xml:space="preserve">electrical_connection sales units</t>
  </si>
  <si>
    <t xml:space="preserve">units</t>
  </si>
  <si>
    <r>
      <rPr>
        <sz val="10"/>
        <rFont val="Arial"/>
        <family val="0"/>
        <charset val="1"/>
      </rPr>
      <t xml:space="preserve">FY2025 p24: </t>
    </r>
    <r>
      <rPr>
        <sz val="10"/>
        <rFont val="Noto Sans CJK SC"/>
        <family val="2"/>
        <charset val="1"/>
      </rPr>
      <t xml:space="preserve">万件 </t>
    </r>
    <r>
      <rPr>
        <sz val="10"/>
        <rFont val="Arial"/>
        <family val="0"/>
        <charset val="1"/>
      </rPr>
      <t xml:space="preserve">×10,000</t>
    </r>
  </si>
  <si>
    <t xml:space="preserve">electrical_connection physical closing inventory</t>
  </si>
  <si>
    <t xml:space="preserve">Physical stock is not independently matched to accounting FG by product</t>
  </si>
  <si>
    <t xml:space="preserve">electrical_connection calculated net revenue/unit</t>
  </si>
  <si>
    <t xml:space="preserve">RMB/unit</t>
  </si>
  <si>
    <t xml:space="preserve">Calculated from source revenue and sales units, includes mix</t>
  </si>
  <si>
    <t xml:space="preserve">smart_electrical_lighting revenue</t>
  </si>
  <si>
    <t xml:space="preserve">smart_electrical_lighting COGS</t>
  </si>
  <si>
    <t xml:space="preserve">smart_electrical_lighting sales units</t>
  </si>
  <si>
    <t xml:space="preserve">smart_electrical_lighting physical closing inventory</t>
  </si>
  <si>
    <t xml:space="preserve">smart_electrical_lighting calculated net revenue/unit</t>
  </si>
  <si>
    <t xml:space="preserve">new_energy revenue</t>
  </si>
  <si>
    <t xml:space="preserve">new_energy COGS</t>
  </si>
  <si>
    <t xml:space="preserve">new_energy sales units</t>
  </si>
  <si>
    <t xml:space="preserve">new_energy physical closing inventory</t>
  </si>
  <si>
    <t xml:space="preserve">new_energy calculated net revenue/unit</t>
  </si>
  <si>
    <t xml:space="preserve">Main business revenue</t>
  </si>
  <si>
    <t xml:space="preserve">Only three mutually exclusive product leaves</t>
  </si>
  <si>
    <t xml:space="preserve">Main COGS material share</t>
  </si>
  <si>
    <t xml:space="preserve">fraction</t>
  </si>
  <si>
    <t xml:space="preserve">Main-business denominator, not consolidated total</t>
  </si>
  <si>
    <t xml:space="preserve">Admin D&amp;A share</t>
  </si>
  <si>
    <t xml:space="preserve">L25: future functional D&amp;A allocation using source expense note</t>
  </si>
  <si>
    <t xml:space="preserve">R&amp;D D&amp;A share</t>
  </si>
  <si>
    <t xml:space="preserve">L25: nature disclosure; product R&amp;D is parallel</t>
  </si>
  <si>
    <t xml:space="preserve">Manufacturing D&amp;A allocation share</t>
  </si>
  <si>
    <t xml:space="preserve">L25: selling D&amp;A not separately disclosed; residual allocation is an assumption, not a balancing account</t>
  </si>
  <si>
    <t xml:space="preserve">Manufacturing overhead excluding allocated D&amp;A</t>
  </si>
  <si>
    <t xml:space="preserve">L14/L25: nature allocation across products is not disclosed</t>
  </si>
  <si>
    <t xml:space="preserve">Seven inventory categories to BS</t>
  </si>
  <si>
    <t xml:space="preserve">RMB million difference</t>
  </si>
  <si>
    <t xml:space="preserve">Independent historical source reconciliation</t>
  </si>
  <si>
    <t xml:space="preserve">Geography main-revenue parallel tie</t>
  </si>
  <si>
    <t xml:space="preserve">Do not add geography to product revenue</t>
  </si>
  <si>
    <t xml:space="preserve">Main COGS nature tie</t>
  </si>
  <si>
    <t xml:space="preserve">Materials/labour/manufacturing are additive within main COGS only</t>
  </si>
  <si>
    <t xml:space="preserve">Material share range check</t>
  </si>
  <si>
    <t xml:space="preserve">Manufacturing nature + payroll source check</t>
  </si>
  <si>
    <t xml:space="preserve">H1 2026 modeled revenue to disclosed anchor</t>
  </si>
  <si>
    <t xml:space="preserve">Disclosed expense nature → modeled annual totals</t>
  </si>
  <si>
    <t xml:space="preserve">Expense nature</t>
  </si>
  <si>
    <t xml:space="preserve">2024 source</t>
  </si>
  <si>
    <t xml:space="preserve">NOT DISCLOSED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</si>
  <si>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Gongniu</t>
    </r>
  </si>
  <si>
    <t xml:space="preserve">SourceBS · RMB million · December year-end</t>
  </si>
  <si>
    <t xml:space="preserve">Reported line</t>
  </si>
  <si>
    <t xml:space="preserve">Model group</t>
  </si>
  <si>
    <t xml:space="preserve">Source page / line</t>
  </si>
  <si>
    <t xml:space="preserve">货币资金</t>
  </si>
  <si>
    <t xml:space="preserve">bankPool</t>
  </si>
  <si>
    <t xml:space="preserve">2023: gongniu_FY2024 P091 L013; 2024: gongniu_FY2025 P080 L013; 2025: gongniu_FY2025 P080 L013</t>
  </si>
  <si>
    <t xml:space="preserve">交易性金融资产</t>
  </si>
  <si>
    <t xml:space="preserve">investments</t>
  </si>
  <si>
    <t xml:space="preserve">2023: gongniu_FY2024 P091 L016; 2024: gongniu_FY2025 P080 L016; 2025: gongniu_FY2025 P080 L016</t>
  </si>
  <si>
    <t xml:space="preserve">衍生金融资产</t>
  </si>
  <si>
    <t xml:space="preserve">2023: gongniu_FY2024 P091 L017; 2024: gongniu_FY2025 P080 L017; 2025: gongniu_FY2025 P080 L017</t>
  </si>
  <si>
    <t xml:space="preserve">应收票据</t>
  </si>
  <si>
    <t xml:space="preserve">ar</t>
  </si>
  <si>
    <t xml:space="preserve">2023: gongniu_FY2024 P091 L018; 2024: gongniu_FY2025 P080 L018; 2025: gongniu_FY2025 P080 L018</t>
  </si>
  <si>
    <t xml:space="preserve">应收账款</t>
  </si>
  <si>
    <t xml:space="preserve">2023: gongniu_FY2024 P091 L019; 2024: gongniu_FY2025 P080 L019; 2025: gongniu_FY2025 P080 L019</t>
  </si>
  <si>
    <t xml:space="preserve">应收款项融资</t>
  </si>
  <si>
    <t xml:space="preserve">2023: gongniu_FY2024 P091 L020; 2024: gongniu_FY2025 P080 L020; 2025: gongniu_FY2025 P080 L020</t>
  </si>
  <si>
    <t xml:space="preserve">otherAssets</t>
  </si>
  <si>
    <t xml:space="preserve">2023: gongniu_FY2024 P091 L021; 2024: gongniu_FY2025 P080 L021; 2025: gongniu_FY2025 P080 L021</t>
  </si>
  <si>
    <t xml:space="preserve">2023: gongniu_FY2024 P091 L025; 2024: gongniu_FY2025 P080 L025; 2025: gongniu_FY2025 P080 L025</t>
  </si>
  <si>
    <t xml:space="preserve">存货</t>
  </si>
  <si>
    <t xml:space="preserve">inventory</t>
  </si>
  <si>
    <t xml:space="preserve">2023: gongniu_FY2024 P091 L029; 2024: gongniu_FY2025 P080 L029; 2025: gongniu_FY2025 P080 L029</t>
  </si>
  <si>
    <t xml:space="preserve">2023: gongniu_FY2024 P091 L034; 2024: gongniu_FY2025 P080 L034; 2025: gongniu_FY2025 P080 L034</t>
  </si>
  <si>
    <t xml:space="preserve">固定资产</t>
  </si>
  <si>
    <t xml:space="preserve">ppe</t>
  </si>
  <si>
    <t xml:space="preserve">2023: gongniu_FY2024 P091 L045; 2024: gongniu_FY2025 P080 L045; 2025: gongniu_FY2025 P080 L045</t>
  </si>
  <si>
    <t xml:space="preserve">在建工程</t>
  </si>
  <si>
    <t xml:space="preserve">2023: gongniu_FY2024 P091 L046; 2024: gongniu_FY2025 P080 L046; 2025: gongniu_FY2025 P080 L046</t>
  </si>
  <si>
    <t xml:space="preserve">使用权资产</t>
  </si>
  <si>
    <t xml:space="preserve">2023: gongniu_FY2024 P091 L049; 2024: gongniu_FY2025 P080 L049; 2025: gongniu_FY2025 P080 L049</t>
  </si>
  <si>
    <t xml:space="preserve">无形资产</t>
  </si>
  <si>
    <t xml:space="preserve">intang</t>
  </si>
  <si>
    <t xml:space="preserve">2023: gongniu_FY2024 P091 L050; 2024: gongniu_FY2025 P080 L050; 2025: gongniu_FY2025 P080 L050</t>
  </si>
  <si>
    <t xml:space="preserve">长期待摊费用</t>
  </si>
  <si>
    <t xml:space="preserve">2023: gongniu_FY2024 P092 L006; 2024: gongniu_FY2025 P081 L006; 2025: gongniu_FY2025 P081 L006</t>
  </si>
  <si>
    <t xml:space="preserve">递延所得税资产</t>
  </si>
  <si>
    <t xml:space="preserve">2023: gongniu_FY2024 P092 L007; 2024: gongniu_FY2025 P081 L007; 2025: gongniu_FY2025 P081 L007</t>
  </si>
  <si>
    <t xml:space="preserve">2023: gongniu_FY2024 P092 L008; 2024: gongniu_FY2025 P081 L008; 2025: gongniu_FY2025 P081 L008</t>
  </si>
  <si>
    <t xml:space="preserve">短期借款</t>
  </si>
  <si>
    <t xml:space="preserve">debt</t>
  </si>
  <si>
    <t xml:space="preserve">2023: gongniu_FY2024 P092 L012; 2024: gongniu_FY2025 P081 L012; 2025: gongniu_FY2025 P081 L012</t>
  </si>
  <si>
    <t xml:space="preserve">应付账款</t>
  </si>
  <si>
    <t xml:space="preserve">ap</t>
  </si>
  <si>
    <t xml:space="preserve">2023: gongniu_FY2024 P092 L018; 2024: gongniu_FY2025 P081 L018; 2025: gongniu_FY2025 P081 L018</t>
  </si>
  <si>
    <t xml:space="preserve">合同负债</t>
  </si>
  <si>
    <t xml:space="preserve">contract</t>
  </si>
  <si>
    <t xml:space="preserve">2023: gongniu_FY2024 P092 L020; 2024: gongniu_FY2025 P081 L020; 2025: gongniu_FY2025 P081 L020</t>
  </si>
  <si>
    <t xml:space="preserve">otherLiabilities</t>
  </si>
  <si>
    <t xml:space="preserve">2023: gongniu_FY2024 P092 L025; 2024: gongniu_FY2025 P081 L025; 2025: gongniu_FY2025 P081 L025</t>
  </si>
  <si>
    <t xml:space="preserve">应交税费</t>
  </si>
  <si>
    <t xml:space="preserve">taxPayable</t>
  </si>
  <si>
    <t xml:space="preserve">2023: gongniu_FY2024 P092 L026; 2024: gongniu_FY2025 P081 L026; 2025: gongniu_FY2025 P081 L026</t>
  </si>
  <si>
    <t xml:space="preserve">2023: gongniu_FY2024 P092 L027; 2024: gongniu_FY2025 P081 L027; 2025: gongniu_FY2025 P081 L027</t>
  </si>
  <si>
    <t xml:space="preserve">一年内到期的非流动负债</t>
  </si>
  <si>
    <t xml:space="preserve">2023: gongniu_FY2024 P092 L033; 2024: gongniu_FY2025 P081 L033; 2025: gongniu_FY2025 P081 L033</t>
  </si>
  <si>
    <t xml:space="preserve">2023: gongniu_FY2024 P092 L034; 2024: gongniu_FY2025 P081 L034; 2025: gongniu_FY2025 P081 L034</t>
  </si>
  <si>
    <t xml:space="preserve">租赁负债</t>
  </si>
  <si>
    <t xml:space="preserve">2023: gongniu_FY2024 P092 L042; 2024: gongniu_FY2025 P081 L042; 2025: gongniu_FY2025 P081 L042</t>
  </si>
  <si>
    <t xml:space="preserve">2023: gongniu_FY2024 P092 L046; 2024: gongniu_FY2025 P081 L046; 2025: gongniu_FY2025 P081 L046</t>
  </si>
  <si>
    <t xml:space="preserve">递延所得税负债</t>
  </si>
  <si>
    <t xml:space="preserve">2023: gongniu_FY2024 P092 L047; 2024: gongniu_FY2025 P081 L047; 2025: gongniu_FY2025 P081 L047</t>
  </si>
  <si>
    <t xml:space="preserve">2023: gongniu_FY2024 P092 L048; 2024: gongniu_FY2025 P081 L048; 2025: gongniu_FY2025 P081 L048</t>
  </si>
  <si>
    <t xml:space="preserve">长期借款</t>
  </si>
  <si>
    <t xml:space="preserve">2024: gongniu_FY2025 P081 L038; 2025: gongniu_FY2025 P081 L038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</si>
  <si>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/ 603195.SH</t>
    </r>
  </si>
  <si>
    <t xml:space="preserve">Direct consolidated CFS | RMB million | Blank source rows remain blank; annual and interim are separate.</t>
  </si>
  <si>
    <t xml:space="preserve">Source row</t>
  </si>
  <si>
    <t xml:space="preserve">H12025A</t>
  </si>
  <si>
    <t xml:space="preserve">H12026A</t>
  </si>
  <si>
    <t xml:space="preserve">Evidence</t>
  </si>
  <si>
    <t xml:space="preserve">一、经营活动产生的现金流量：</t>
  </si>
  <si>
    <t xml:space="preserve">gongniu_FY2024 p99 columns 2024/2023; gongniu_FY2025 p88 columns 2025/2024; gongniu_H12026 p46 columns H12026/H12025</t>
  </si>
  <si>
    <t xml:space="preserve">销售商品、提供劳务收到的现金</t>
  </si>
  <si>
    <t xml:space="preserve">客户存款和同业存放款项净增加额</t>
  </si>
  <si>
    <t xml:space="preserve">向中央银行借款净增加额</t>
  </si>
  <si>
    <t xml:space="preserve">向其他金融机构拆入资金净增加额</t>
  </si>
  <si>
    <t xml:space="preserve">收到原保险合同保费取得的现金</t>
  </si>
  <si>
    <t xml:space="preserve">收到再保业务现金净额</t>
  </si>
  <si>
    <t xml:space="preserve">保户储金及投资款净增加额</t>
  </si>
  <si>
    <t xml:space="preserve">收取利息、手续费及佣金的现金</t>
  </si>
  <si>
    <t xml:space="preserve">拆入资金净增加额</t>
  </si>
  <si>
    <t xml:space="preserve">回购业务资金净增加额</t>
  </si>
  <si>
    <t xml:space="preserve">代理买卖证券收到的现金净额</t>
  </si>
  <si>
    <t xml:space="preserve">收到的税费返还</t>
  </si>
  <si>
    <t xml:space="preserve">收到其他与经营活动有关的现金</t>
  </si>
  <si>
    <t xml:space="preserve">经营活动现金流入小计</t>
  </si>
  <si>
    <t xml:space="preserve">gongniu_FY2024 p99 columns 2024/2023; gongniu_FY2025 p88 columns 2025/2024; gongniu_H12026 p47 columns H12026/H12025</t>
  </si>
  <si>
    <t xml:space="preserve">购买商品、接受劳务支付的现金</t>
  </si>
  <si>
    <t xml:space="preserve">客户贷款及垫款净增加额</t>
  </si>
  <si>
    <t xml:space="preserve">存放中央银行和同业款项净增加额</t>
  </si>
  <si>
    <t xml:space="preserve">支付原保险合同赔付款项的现金</t>
  </si>
  <si>
    <t xml:space="preserve">拆出资金净增加额</t>
  </si>
  <si>
    <t xml:space="preserve">支付利息、手续费及佣金的现金</t>
  </si>
  <si>
    <t xml:space="preserve">支付保单红利的现金</t>
  </si>
  <si>
    <t xml:space="preserve">支付给职工及为职工支付的现金</t>
  </si>
  <si>
    <t xml:space="preserve">支付的各项税费</t>
  </si>
  <si>
    <t xml:space="preserve">支付其他与经营活动有关的现金</t>
  </si>
  <si>
    <t xml:space="preserve">经营活动现金流出小计</t>
  </si>
  <si>
    <t xml:space="preserve">经营活动产生的现金流量净额</t>
  </si>
  <si>
    <t xml:space="preserve">二、投资活动产生的现金流量：</t>
  </si>
  <si>
    <t xml:space="preserve">收回投资收到的现金</t>
  </si>
  <si>
    <t xml:space="preserve">取得投资收益收到的现金</t>
  </si>
  <si>
    <t xml:space="preserve">gongniu_FY2024 p99 columns 2024/2023; gongniu_FY2025 p89 columns 2025/2024; gongniu_H12026 p47 columns H12026/H12025</t>
  </si>
  <si>
    <t xml:space="preserve">处置固定资产、无形资产和其他长期资产收回的现金净额</t>
  </si>
  <si>
    <t xml:space="preserve">处置子公司及其他营业单位收到的现金净额</t>
  </si>
  <si>
    <t xml:space="preserve">gongniu_FY2024 p100 columns 2024/2023; gongniu_FY2025 p89 columns 2025/2024; gongniu_H12026 p47 columns H12026/H12025</t>
  </si>
  <si>
    <t xml:space="preserve">收到其他与投资活动有关的现金</t>
  </si>
  <si>
    <t xml:space="preserve">投资活动现金流入小计</t>
  </si>
  <si>
    <t xml:space="preserve">购建固定资产、无形资产和其他长期资产支付的现金</t>
  </si>
  <si>
    <t xml:space="preserve">投资支付的现金</t>
  </si>
  <si>
    <t xml:space="preserve">质押贷款净增加额</t>
  </si>
  <si>
    <t xml:space="preserve">取得子公司及其他营业单位支付的现金净额</t>
  </si>
  <si>
    <t xml:space="preserve">支付其他与投资活动有关的现金</t>
  </si>
  <si>
    <t xml:space="preserve">投资活动现金流出小计</t>
  </si>
  <si>
    <t xml:space="preserve">投资活动产生的现金流量净额</t>
  </si>
  <si>
    <t xml:space="preserve">三、筹资活动产生的现金流量：</t>
  </si>
  <si>
    <t xml:space="preserve">吸收投资收到的现金</t>
  </si>
  <si>
    <t xml:space="preserve">gongniu_FY2024 p100 columns 2024/2023</t>
  </si>
  <si>
    <t xml:space="preserve">取得借款收到的现金</t>
  </si>
  <si>
    <t xml:space="preserve">收到其他与筹资活动有关的现金</t>
  </si>
  <si>
    <t xml:space="preserve">筹资活动现金流入小计</t>
  </si>
  <si>
    <t xml:space="preserve">gongniu_FY2024 p100 columns 2024/2023; gongniu_FY2025 p89 columns 2025/2024; gongniu_H12026 p48 columns H12026/H12025</t>
  </si>
  <si>
    <t xml:space="preserve">偿还债务支付的现金</t>
  </si>
  <si>
    <t xml:space="preserve">分配股利、利润或偿付利息支付的现金</t>
  </si>
  <si>
    <t xml:space="preserve">支付其他与筹资活动有关的现金</t>
  </si>
  <si>
    <t xml:space="preserve">筹资活动现金流出小计</t>
  </si>
  <si>
    <t xml:space="preserve">筹资活动产生的现金流量净额</t>
  </si>
  <si>
    <t xml:space="preserve">四、汇率变动对现金及现金等价物的影响</t>
  </si>
  <si>
    <t xml:space="preserve">五、现金及现金等价物净增加额</t>
  </si>
  <si>
    <t xml:space="preserve">加：期初现金及现金等价物余额</t>
  </si>
  <si>
    <t xml:space="preserve">六、期末现金及现金等价物余额</t>
  </si>
  <si>
    <t xml:space="preserve">其中：子公司吸收少数股东投资收到的现金</t>
  </si>
  <si>
    <t xml:space="preserve">gongniu_FY2025 p89 columns 2025/2024; gongniu_H12026 p47 columns H12026/H12025</t>
  </si>
  <si>
    <t xml:space="preserve">其中：子公司支付给少数股东的股利、利润</t>
  </si>
  <si>
    <t xml:space="preserve">gongniu_FY2025 p89 columns 2025/2024; gongniu_H12026 p48 columns H12026/H12025</t>
  </si>
  <si>
    <t xml:space="preserve">Blank source template values stay blank. SUM uses only disclosed numeric amounts.</t>
  </si>
  <si>
    <t xml:space="preserve">Source memo / of-which rows are not added a second time. FY2024 p100 unlabeled 2023 memo amount retained at row52; subtotal ties without double counting.</t>
  </si>
  <si>
    <t xml:space="preserve">Interim · RMB million · December year-end</t>
  </si>
  <si>
    <t xml:space="preserve">H1 2025A</t>
  </si>
  <si>
    <t xml:space="preserve">H1 2026A</t>
  </si>
  <si>
    <t xml:space="preserve">H1 2025 / H1 2026 are disclosed consolidated income anchors. Model months are estimates, not an actual H1 full three-statement package. See HistoricalCFS for separately sourced direct interim cash-flow columns; no invented interim BS.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</si>
  <si>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Sources</t>
    </r>
  </si>
  <si>
    <t xml:space="preserve">source_id</t>
  </si>
  <si>
    <t xml:space="preserve">file</t>
  </si>
  <si>
    <t xml:space="preserve">published</t>
  </si>
  <si>
    <t xml:space="preserve">original_retrieved_utc</t>
  </si>
  <si>
    <t xml:space="preserve">live_retrieved_utc</t>
  </si>
  <si>
    <t xml:space="preserve">sha256</t>
  </si>
  <si>
    <t xml:space="preserve">page</t>
  </si>
  <si>
    <t xml:space="preserve">table</t>
  </si>
  <si>
    <t xml:space="preserve">row</t>
  </si>
  <si>
    <t xml:space="preserve">column</t>
  </si>
  <si>
    <t xml:space="preserve">period</t>
  </si>
  <si>
    <t xml:space="preserve">currency</t>
  </si>
  <si>
    <t xml:space="preserve">original_unit</t>
  </si>
  <si>
    <t xml:space="preserve">original_value</t>
  </si>
  <si>
    <t xml:space="preserve">model_unit</t>
  </si>
  <si>
    <t xml:space="preserve">model_value</t>
  </si>
  <si>
    <t xml:space="preserve">url</t>
  </si>
  <si>
    <t xml:space="preserve">gongniu_FY2024</t>
  </si>
  <si>
    <t xml:space="preserve">sources/public/gongniu_FY2024.pdf</t>
  </si>
  <si>
    <t xml:space="preserve">2025-04-25</t>
  </si>
  <si>
    <t xml:space="preserve">not refreshed</t>
  </si>
  <si>
    <t xml:space="preserve">a99c2b87f0157db947574d0b037c9525741fccef41f32b2bd4ccf7eebe5f3ebc</t>
  </si>
  <si>
    <t xml:space="preserve">194</t>
  </si>
  <si>
    <t xml:space="preserve">所得税费用表</t>
  </si>
  <si>
    <t xml:space="preserve">当期所得税费用</t>
  </si>
  <si>
    <t xml:space="preserve">2024</t>
  </si>
  <si>
    <t xml:space="preserve">RMB</t>
  </si>
  <si>
    <t xml:space="preserve">811352201.94</t>
  </si>
  <si>
    <t xml:space="preserve">811.35220194</t>
  </si>
  <si>
    <t xml:space="preserve">https://static.cninfo.com.cn/finalpage/2025-04-25/1223284030.PDF</t>
  </si>
  <si>
    <t xml:space="preserve">2023</t>
  </si>
  <si>
    <t xml:space="preserve">696800556.63</t>
  </si>
  <si>
    <t xml:space="preserve">696.80055663</t>
  </si>
  <si>
    <t xml:space="preserve">递延所得税费用</t>
  </si>
  <si>
    <t xml:space="preserve">-72192.44</t>
  </si>
  <si>
    <t xml:space="preserve">-0.07219244</t>
  </si>
  <si>
    <t xml:space="preserve">-24792095.68</t>
  </si>
  <si>
    <t xml:space="preserve">-24.79209568</t>
  </si>
  <si>
    <t xml:space="preserve">gongniu_FY2025</t>
  </si>
  <si>
    <t xml:space="preserve">2026-04-30</t>
  </si>
  <si>
    <t xml:space="preserve">164</t>
  </si>
  <si>
    <t xml:space="preserve">2025</t>
  </si>
  <si>
    <t xml:space="preserve">861587947.30</t>
  </si>
  <si>
    <t xml:space="preserve">861.5879473</t>
  </si>
  <si>
    <t xml:space="preserve">-32508013.64</t>
  </si>
  <si>
    <t xml:space="preserve">-32.50801364</t>
  </si>
  <si>
    <t xml:space="preserve">gongniu_H12026</t>
  </si>
  <si>
    <t xml:space="preserve">sources/public/gongniu_H12026.pdf</t>
  </si>
  <si>
    <t xml:space="preserve">2026-08-28</t>
  </si>
  <si>
    <t xml:space="preserve">2bcce8a397d72ad7bdb9a414a357246bddbc842e5c1afbe3bc384238be4aad8a</t>
  </si>
  <si>
    <t xml:space="preserve">126</t>
  </si>
  <si>
    <t xml:space="preserve">H12026</t>
  </si>
  <si>
    <t xml:space="preserve">454666377.03</t>
  </si>
  <si>
    <t xml:space="preserve">454.66637703</t>
  </si>
  <si>
    <t xml:space="preserve">https://static.cninfo.com.cn/finalpage/2026-08-28/1225516226.PDF</t>
  </si>
  <si>
    <t xml:space="preserve">H12025</t>
  </si>
  <si>
    <t xml:space="preserve">416017992.34</t>
  </si>
  <si>
    <t xml:space="preserve">416.01799234</t>
  </si>
  <si>
    <t xml:space="preserve">-13696627.74</t>
  </si>
  <si>
    <t xml:space="preserve">-13.69662774</t>
  </si>
  <si>
    <t xml:space="preserve">10089318.97</t>
  </si>
  <si>
    <t xml:space="preserve">10.08931897</t>
  </si>
  <si>
    <t xml:space="preserve">179</t>
  </si>
  <si>
    <t xml:space="preserve">企业所得税</t>
  </si>
  <si>
    <t xml:space="preserve">270018312.65</t>
  </si>
  <si>
    <t xml:space="preserve">270.01831265</t>
  </si>
  <si>
    <t xml:space="preserve">187097927.11</t>
  </si>
  <si>
    <t xml:space="preserve">187.09792711</t>
  </si>
  <si>
    <t xml:space="preserve">152</t>
  </si>
  <si>
    <t xml:space="preserve">286940857.17</t>
  </si>
  <si>
    <t xml:space="preserve">286.94085717</t>
  </si>
  <si>
    <t xml:space="preserve">114</t>
  </si>
  <si>
    <t xml:space="preserve">261729825.83</t>
  </si>
  <si>
    <t xml:space="preserve">261.72982583</t>
  </si>
  <si>
    <t xml:space="preserve">196</t>
  </si>
  <si>
    <t xml:space="preserve">现金流量表补充资料</t>
  </si>
  <si>
    <t xml:space="preserve">固定资产折旧、油气资产折耗、生产性生物资产折旧</t>
  </si>
  <si>
    <t xml:space="preserve">249347395.38</t>
  </si>
  <si>
    <t xml:space="preserve">249.34739538</t>
  </si>
  <si>
    <t xml:space="preserve">241517224.94</t>
  </si>
  <si>
    <t xml:space="preserve">241.51722494</t>
  </si>
  <si>
    <t xml:space="preserve">使用权资产摊销</t>
  </si>
  <si>
    <t xml:space="preserve">15177575.94</t>
  </si>
  <si>
    <t xml:space="preserve">15.17757594</t>
  </si>
  <si>
    <t xml:space="preserve">13680373.05</t>
  </si>
  <si>
    <t xml:space="preserve">13.68037305</t>
  </si>
  <si>
    <t xml:space="preserve">无形资产摊销</t>
  </si>
  <si>
    <t xml:space="preserve">12408400.51</t>
  </si>
  <si>
    <t xml:space="preserve">12.40840051</t>
  </si>
  <si>
    <t xml:space="preserve">19490904.94</t>
  </si>
  <si>
    <t xml:space="preserve">19.49090494</t>
  </si>
  <si>
    <t xml:space="preserve">长期待摊费用摊销</t>
  </si>
  <si>
    <t xml:space="preserve">578929.57</t>
  </si>
  <si>
    <t xml:space="preserve">0.57892957</t>
  </si>
  <si>
    <t xml:space="preserve">8201353.62</t>
  </si>
  <si>
    <t xml:space="preserve">8.20135362</t>
  </si>
  <si>
    <t xml:space="preserve">167</t>
  </si>
  <si>
    <t xml:space="preserve">284887869.73</t>
  </si>
  <si>
    <t xml:space="preserve">284.88786973</t>
  </si>
  <si>
    <t xml:space="preserve">17743951.02</t>
  </si>
  <si>
    <t xml:space="preserve">17.74395102</t>
  </si>
  <si>
    <t xml:space="preserve">11289678.79</t>
  </si>
  <si>
    <t xml:space="preserve">11.28967879</t>
  </si>
  <si>
    <t xml:space="preserve">17417500.74</t>
  </si>
  <si>
    <t xml:space="preserve">17.41750074</t>
  </si>
  <si>
    <t xml:space="preserve">25</t>
  </si>
  <si>
    <t xml:space="preserve">主营业务分产品情况</t>
  </si>
  <si>
    <t xml:space="preserve">营业收入</t>
  </si>
  <si>
    <t xml:space="preserve">7683488616.28</t>
  </si>
  <si>
    <t xml:space="preserve">7683.48861628</t>
  </si>
  <si>
    <t xml:space="preserve">营业成本</t>
  </si>
  <si>
    <t xml:space="preserve">4535787243.96</t>
  </si>
  <si>
    <t xml:space="preserve">4535.78724396</t>
  </si>
  <si>
    <t xml:space="preserve">智能电工照明产品</t>
  </si>
  <si>
    <t xml:space="preserve">8330943960.24</t>
  </si>
  <si>
    <t xml:space="preserve">8330.94396024</t>
  </si>
  <si>
    <t xml:space="preserve">4483681242.98</t>
  </si>
  <si>
    <t xml:space="preserve">4483.68124298</t>
  </si>
  <si>
    <t xml:space="preserve">777445713.13</t>
  </si>
  <si>
    <t xml:space="preserve">777.44571313</t>
  </si>
  <si>
    <t xml:space="preserve">506839414.32</t>
  </si>
  <si>
    <t xml:space="preserve">506.83941432</t>
  </si>
  <si>
    <t xml:space="preserve">24</t>
  </si>
  <si>
    <t xml:space="preserve">7076551275.31</t>
  </si>
  <si>
    <t xml:space="preserve">7076.55127531</t>
  </si>
  <si>
    <t xml:space="preserve">4166704001.71</t>
  </si>
  <si>
    <t xml:space="preserve">4166.70400171</t>
  </si>
  <si>
    <t xml:space="preserve">8097778712.42</t>
  </si>
  <si>
    <t xml:space="preserve">8097.77871242</t>
  </si>
  <si>
    <t xml:space="preserve">4349329105.14</t>
  </si>
  <si>
    <t xml:space="preserve">4349.32910514</t>
  </si>
  <si>
    <t xml:space="preserve">821824954.31</t>
  </si>
  <si>
    <t xml:space="preserve">821.82495431</t>
  </si>
  <si>
    <t xml:space="preserve">579008380.77</t>
  </si>
  <si>
    <t xml:space="preserve">579.00838077</t>
  </si>
  <si>
    <t xml:space="preserve">26</t>
  </si>
  <si>
    <t xml:space="preserve">产销量情况分析表</t>
  </si>
  <si>
    <t xml:space="preserve">销售量</t>
  </si>
  <si>
    <t xml:space="preserve">not applicable</t>
  </si>
  <si>
    <t xml:space="preserve">万件</t>
  </si>
  <si>
    <t xml:space="preserve">58552.7</t>
  </si>
  <si>
    <t xml:space="preserve">585527000.0</t>
  </si>
  <si>
    <t xml:space="preserve">97211.04</t>
  </si>
  <si>
    <t xml:space="preserve">972110400.0</t>
  </si>
  <si>
    <t xml:space="preserve">126.04</t>
  </si>
  <si>
    <t xml:space="preserve">1260400.0</t>
  </si>
  <si>
    <t xml:space="preserve">57918.15</t>
  </si>
  <si>
    <t xml:space="preserve">579181500.0</t>
  </si>
  <si>
    <t xml:space="preserve">105115.84</t>
  </si>
  <si>
    <t xml:space="preserve">1051158400.0</t>
  </si>
  <si>
    <t xml:space="preserve">129.69</t>
  </si>
  <si>
    <t xml:space="preserve">1296900.0</t>
  </si>
  <si>
    <t xml:space="preserve">122</t>
  </si>
  <si>
    <t xml:space="preserve">营业收入和营业成本</t>
  </si>
  <si>
    <t xml:space="preserve">主营业务收入</t>
  </si>
  <si>
    <t xml:space="preserve">8365228498.6</t>
  </si>
  <si>
    <t xml:space="preserve">8365.2284986</t>
  </si>
  <si>
    <t xml:space="preserve">8142344477.97</t>
  </si>
  <si>
    <t xml:space="preserve">8142.34447797</t>
  </si>
  <si>
    <t xml:space="preserve">主营业务成本</t>
  </si>
  <si>
    <t xml:space="preserve">4880314911.27</t>
  </si>
  <si>
    <t xml:space="preserve">4880.31491127</t>
  </si>
  <si>
    <t xml:space="preserve">4703434220.66</t>
  </si>
  <si>
    <t xml:space="preserve">4703.43422066</t>
  </si>
  <si>
    <t xml:space="preserve">其他业务收入</t>
  </si>
  <si>
    <t xml:space="preserve">28562615.14</t>
  </si>
  <si>
    <t xml:space="preserve">28.56261514</t>
  </si>
  <si>
    <t xml:space="preserve">25582870.94</t>
  </si>
  <si>
    <t xml:space="preserve">25.58287094</t>
  </si>
  <si>
    <t xml:space="preserve">其他业务成本</t>
  </si>
  <si>
    <t xml:space="preserve">12339710.84</t>
  </si>
  <si>
    <t xml:space="preserve">12.33971084</t>
  </si>
  <si>
    <t xml:space="preserve">7300179.79</t>
  </si>
  <si>
    <t xml:space="preserve">7.30017979</t>
  </si>
  <si>
    <t xml:space="preserve">161</t>
  </si>
  <si>
    <t xml:space="preserve">财务费用</t>
  </si>
  <si>
    <t xml:space="preserve">利息支出</t>
  </si>
  <si>
    <t xml:space="preserve">16216500.05</t>
  </si>
  <si>
    <t xml:space="preserve">16.21650005</t>
  </si>
  <si>
    <t xml:space="preserve">17642919.79</t>
  </si>
  <si>
    <t xml:space="preserve">17.64291979</t>
  </si>
  <si>
    <t xml:space="preserve">利息收入</t>
  </si>
  <si>
    <t xml:space="preserve">-112150814.86</t>
  </si>
  <si>
    <t xml:space="preserve">-112.15081486</t>
  </si>
  <si>
    <t xml:space="preserve">-135627737.79</t>
  </si>
  <si>
    <t xml:space="preserve">-135.62773779</t>
  </si>
  <si>
    <t xml:space="preserve">162</t>
  </si>
  <si>
    <t xml:space="preserve">投资收益</t>
  </si>
  <si>
    <t xml:space="preserve">银行理财等投资收益</t>
  </si>
  <si>
    <t xml:space="preserve">376870519.52</t>
  </si>
  <si>
    <t xml:space="preserve">376.87051952</t>
  </si>
  <si>
    <t xml:space="preserve">540843952.06</t>
  </si>
  <si>
    <t xml:space="preserve">540.84395206</t>
  </si>
  <si>
    <t xml:space="preserve">处置金融工具取得的投资收益</t>
  </si>
  <si>
    <t xml:space="preserve">14187137.16</t>
  </si>
  <si>
    <t xml:space="preserve">14.18713716</t>
  </si>
  <si>
    <t xml:space="preserve">8316155.0</t>
  </si>
  <si>
    <t xml:space="preserve">8.316155</t>
  </si>
  <si>
    <t xml:space="preserve">投资收益合计</t>
  </si>
  <si>
    <t xml:space="preserve">391057656.68</t>
  </si>
  <si>
    <t xml:space="preserve">391.05765668</t>
  </si>
  <si>
    <t xml:space="preserve">549160107.06</t>
  </si>
  <si>
    <t xml:space="preserve">549.16010706</t>
  </si>
  <si>
    <t xml:space="preserve">95</t>
  </si>
  <si>
    <t xml:space="preserve">Consolidated financial statement / note</t>
  </si>
  <si>
    <t xml:space="preserve">一、营业总收入</t>
  </si>
  <si>
    <t xml:space="preserve">16830541086.13</t>
  </si>
  <si>
    <t xml:space="preserve">16830.54108613</t>
  </si>
  <si>
    <t xml:space="preserve">15694755606.24</t>
  </si>
  <si>
    <t xml:space="preserve">15694.75560624</t>
  </si>
  <si>
    <t xml:space="preserve">96</t>
  </si>
  <si>
    <t xml:space="preserve">四、利润总额</t>
  </si>
  <si>
    <t xml:space="preserve">5080455920.70</t>
  </si>
  <si>
    <t xml:space="preserve">5080.4559207</t>
  </si>
  <si>
    <t xml:space="preserve">4536334952.36</t>
  </si>
  <si>
    <t xml:space="preserve">4536.33495236</t>
  </si>
  <si>
    <t xml:space="preserve">减：所得税费用</t>
  </si>
  <si>
    <t xml:space="preserve">811280009.50</t>
  </si>
  <si>
    <t xml:space="preserve">811.2800095</t>
  </si>
  <si>
    <t xml:space="preserve">672008460.95</t>
  </si>
  <si>
    <t xml:space="preserve">672.00846095</t>
  </si>
  <si>
    <t xml:space="preserve">五、净利润</t>
  </si>
  <si>
    <t xml:space="preserve">4269175911.20</t>
  </si>
  <si>
    <t xml:space="preserve">4269.1759112</t>
  </si>
  <si>
    <t xml:space="preserve">3864326491.41</t>
  </si>
  <si>
    <t xml:space="preserve">3864.32649141</t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</si>
  <si>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  <charset val="1"/>
      </rPr>
      <t xml:space="preserve">归属于母公司股东的净利润</t>
    </r>
  </si>
  <si>
    <t xml:space="preserve">4272204565.03</t>
  </si>
  <si>
    <t xml:space="preserve">4272.20456503</t>
  </si>
  <si>
    <t xml:space="preserve">3870135376.47</t>
  </si>
  <si>
    <t xml:space="preserve">3870.13537647</t>
  </si>
  <si>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  <charset val="1"/>
      </rPr>
      <t xml:space="preserve">少数股东损益</t>
    </r>
  </si>
  <si>
    <t xml:space="preserve">-3028653.83</t>
  </si>
  <si>
    <t xml:space="preserve">-3.02865383</t>
  </si>
  <si>
    <t xml:space="preserve">-5808885.06</t>
  </si>
  <si>
    <t xml:space="preserve">-5.80888506</t>
  </si>
  <si>
    <t xml:space="preserve">99</t>
  </si>
  <si>
    <t xml:space="preserve">3730346896.27</t>
  </si>
  <si>
    <t xml:space="preserve">3730.34689627</t>
  </si>
  <si>
    <t xml:space="preserve">4827282098.55</t>
  </si>
  <si>
    <t xml:space="preserve">4827.28209855</t>
  </si>
  <si>
    <t xml:space="preserve">100</t>
  </si>
  <si>
    <t xml:space="preserve">-706309760.89</t>
  </si>
  <si>
    <t xml:space="preserve">-706.30976089</t>
  </si>
  <si>
    <t xml:space="preserve">-3434383521.90</t>
  </si>
  <si>
    <t xml:space="preserve">-3434.3835219</t>
  </si>
  <si>
    <t xml:space="preserve">-3522305034.80</t>
  </si>
  <si>
    <t xml:space="preserve">-3522.3050348</t>
  </si>
  <si>
    <t xml:space="preserve">-1987046180.27</t>
  </si>
  <si>
    <t xml:space="preserve">-1987.04618027</t>
  </si>
  <si>
    <t xml:space="preserve">2396099.03</t>
  </si>
  <si>
    <t xml:space="preserve">2.39609903</t>
  </si>
  <si>
    <t xml:space="preserve">990633.94</t>
  </si>
  <si>
    <t xml:space="preserve">0.99063394</t>
  </si>
  <si>
    <t xml:space="preserve">1332186205.30</t>
  </si>
  <si>
    <t xml:space="preserve">1332.1862053</t>
  </si>
  <si>
    <t xml:space="preserve">1925343174.98</t>
  </si>
  <si>
    <t xml:space="preserve">1925.34317498</t>
  </si>
  <si>
    <t xml:space="preserve">836314404.91</t>
  </si>
  <si>
    <t xml:space="preserve">836.31440491</t>
  </si>
  <si>
    <t xml:space="preserve">92</t>
  </si>
  <si>
    <t xml:space="preserve">资产总计</t>
  </si>
  <si>
    <t xml:space="preserve">20494034490.68</t>
  </si>
  <si>
    <t xml:space="preserve">20494.03449068</t>
  </si>
  <si>
    <t xml:space="preserve">19762205724.93</t>
  </si>
  <si>
    <t xml:space="preserve">19762.20572493</t>
  </si>
  <si>
    <t xml:space="preserve">负债合计</t>
  </si>
  <si>
    <t xml:space="preserve">4619054119.92</t>
  </si>
  <si>
    <t xml:space="preserve">4619.05411992</t>
  </si>
  <si>
    <t xml:space="preserve">5301794179.20</t>
  </si>
  <si>
    <t xml:space="preserve">5301.7941792</t>
  </si>
  <si>
    <t xml:space="preserve">93</t>
  </si>
  <si>
    <t xml:space="preserve">所有者权益（或股东权益）合计</t>
  </si>
  <si>
    <t xml:space="preserve">15874980370.76</t>
  </si>
  <si>
    <t xml:space="preserve">15874.98037076</t>
  </si>
  <si>
    <t xml:space="preserve">14460411545.73</t>
  </si>
  <si>
    <t xml:space="preserve">14460.41154573</t>
  </si>
  <si>
    <t xml:space="preserve">未分配利润</t>
  </si>
  <si>
    <t xml:space="preserve">10808301315.08</t>
  </si>
  <si>
    <t xml:space="preserve">10808.30131508</t>
  </si>
  <si>
    <t xml:space="preserve">9383734874.02</t>
  </si>
  <si>
    <t xml:space="preserve">9383.73487402</t>
  </si>
  <si>
    <t xml:space="preserve">166544345.16</t>
  </si>
  <si>
    <t xml:space="preserve">166.54434516</t>
  </si>
  <si>
    <t xml:space="preserve">185493645.53</t>
  </si>
  <si>
    <t xml:space="preserve">185.49364553</t>
  </si>
  <si>
    <t xml:space="preserve">53168103.95</t>
  </si>
  <si>
    <t xml:space="preserve">53.16810395</t>
  </si>
  <si>
    <t xml:space="preserve">72166350.39</t>
  </si>
  <si>
    <t xml:space="preserve">72.16635039</t>
  </si>
  <si>
    <t xml:space="preserve">84</t>
  </si>
  <si>
    <t xml:space="preserve">16026312556.45</t>
  </si>
  <si>
    <t xml:space="preserve">16026.31255645</t>
  </si>
  <si>
    <t xml:space="preserve">85</t>
  </si>
  <si>
    <t xml:space="preserve">4905381965.08</t>
  </si>
  <si>
    <t xml:space="preserve">4905.38196508</t>
  </si>
  <si>
    <t xml:space="preserve">829079933.66</t>
  </si>
  <si>
    <t xml:space="preserve">829.07993366</t>
  </si>
  <si>
    <t xml:space="preserve">4076302031.42</t>
  </si>
  <si>
    <t xml:space="preserve">4076.30203142</t>
  </si>
  <si>
    <t xml:space="preserve">4070632747.77</t>
  </si>
  <si>
    <t xml:space="preserve">4070.63274777</t>
  </si>
  <si>
    <t xml:space="preserve">5669283.65</t>
  </si>
  <si>
    <t xml:space="preserve">5.66928365</t>
  </si>
  <si>
    <t xml:space="preserve">88</t>
  </si>
  <si>
    <t xml:space="preserve">4743692351.84</t>
  </si>
  <si>
    <t xml:space="preserve">4743.69235184</t>
  </si>
  <si>
    <t xml:space="preserve">89</t>
  </si>
  <si>
    <t xml:space="preserve">-2062252622.29</t>
  </si>
  <si>
    <t xml:space="preserve">-2062.25262229</t>
  </si>
  <si>
    <t xml:space="preserve">-2798884480.25</t>
  </si>
  <si>
    <t xml:space="preserve">-2798.88448025</t>
  </si>
  <si>
    <t xml:space="preserve">2174931.25</t>
  </si>
  <si>
    <t xml:space="preserve">2.17493125</t>
  </si>
  <si>
    <t xml:space="preserve">721044585.46</t>
  </si>
  <si>
    <t xml:space="preserve">721.04458546</t>
  </si>
  <si>
    <t xml:space="preserve">81</t>
  </si>
  <si>
    <t xml:space="preserve">22556242542.63</t>
  </si>
  <si>
    <t xml:space="preserve">22556.24254263</t>
  </si>
  <si>
    <t xml:space="preserve">5747672525.30</t>
  </si>
  <si>
    <t xml:space="preserve">5747.6725253</t>
  </si>
  <si>
    <t xml:space="preserve">82</t>
  </si>
  <si>
    <t xml:space="preserve">16808570017.33</t>
  </si>
  <si>
    <t xml:space="preserve">16808.57001733</t>
  </si>
  <si>
    <t xml:space="preserve">11553520442.57</t>
  </si>
  <si>
    <t xml:space="preserve">11553.52044257</t>
  </si>
  <si>
    <t xml:space="preserve">229571435.71</t>
  </si>
  <si>
    <t xml:space="preserve">229.57143571</t>
  </si>
  <si>
    <t xml:space="preserve">83687180.86</t>
  </si>
  <si>
    <t xml:space="preserve">83.68718086</t>
  </si>
  <si>
    <t xml:space="preserve">42</t>
  </si>
  <si>
    <t xml:space="preserve">8393791113.74</t>
  </si>
  <si>
    <t xml:space="preserve">8393.79111374</t>
  </si>
  <si>
    <t xml:space="preserve">8167927348.91</t>
  </si>
  <si>
    <t xml:space="preserve">8167.92734891</t>
  </si>
  <si>
    <t xml:space="preserve">43</t>
  </si>
  <si>
    <t xml:space="preserve">2595969175.86</t>
  </si>
  <si>
    <t xml:space="preserve">2595.96917586</t>
  </si>
  <si>
    <t xml:space="preserve">2489256826.19</t>
  </si>
  <si>
    <t xml:space="preserve">2489.25682619</t>
  </si>
  <si>
    <t xml:space="preserve">440969749.29</t>
  </si>
  <si>
    <t xml:space="preserve">440.96974929</t>
  </si>
  <si>
    <t xml:space="preserve">426107311.31</t>
  </si>
  <si>
    <t xml:space="preserve">426.10731131</t>
  </si>
  <si>
    <t xml:space="preserve">2154999426.57</t>
  </si>
  <si>
    <t xml:space="preserve">2154.99942657</t>
  </si>
  <si>
    <t xml:space="preserve">2063149514.88</t>
  </si>
  <si>
    <t xml:space="preserve">2063.14951488</t>
  </si>
  <si>
    <t xml:space="preserve">2150989185.45</t>
  </si>
  <si>
    <t xml:space="preserve">2150.98918545</t>
  </si>
  <si>
    <t xml:space="preserve">2059627603.63</t>
  </si>
  <si>
    <t xml:space="preserve">2059.62760363</t>
  </si>
  <si>
    <t xml:space="preserve">4010241.12</t>
  </si>
  <si>
    <t xml:space="preserve">4.01024112</t>
  </si>
  <si>
    <t xml:space="preserve">3521911.25</t>
  </si>
  <si>
    <t xml:space="preserve">3.52191125</t>
  </si>
  <si>
    <t xml:space="preserve">47</t>
  </si>
  <si>
    <t xml:space="preserve">2235882405.13</t>
  </si>
  <si>
    <t xml:space="preserve">2235.88240513</t>
  </si>
  <si>
    <t xml:space="preserve">2377802849.73</t>
  </si>
  <si>
    <t xml:space="preserve">2377.80284973</t>
  </si>
  <si>
    <t xml:space="preserve">1612029287.10</t>
  </si>
  <si>
    <t xml:space="preserve">1612.0292871</t>
  </si>
  <si>
    <t xml:space="preserve">258725060.20</t>
  </si>
  <si>
    <t xml:space="preserve">258.7250602</t>
  </si>
  <si>
    <t xml:space="preserve">48</t>
  </si>
  <si>
    <t xml:space="preserve">-3503358789.07</t>
  </si>
  <si>
    <t xml:space="preserve">-3503.35878907</t>
  </si>
  <si>
    <t xml:space="preserve">-2227005353.46</t>
  </si>
  <si>
    <t xml:space="preserve">-2227.00535346</t>
  </si>
  <si>
    <t xml:space="preserve">-7098804.88</t>
  </si>
  <si>
    <t xml:space="preserve">-7.09880488</t>
  </si>
  <si>
    <t xml:space="preserve">2342909.72</t>
  </si>
  <si>
    <t xml:space="preserve">2.34290972</t>
  </si>
  <si>
    <t xml:space="preserve">1058498683.74</t>
  </si>
  <si>
    <t xml:space="preserve">1058.49868374</t>
  </si>
  <si>
    <t xml:space="preserve">1248179871.10</t>
  </si>
  <si>
    <t xml:space="preserve">1248.1798711</t>
  </si>
  <si>
    <t xml:space="preserve">39</t>
  </si>
  <si>
    <t xml:space="preserve">21435024276.54</t>
  </si>
  <si>
    <t xml:space="preserve">21435.02427654</t>
  </si>
  <si>
    <t xml:space="preserve">40</t>
  </si>
  <si>
    <t xml:space="preserve">6226795801.33</t>
  </si>
  <si>
    <t xml:space="preserve">6226.79580133</t>
  </si>
  <si>
    <t xml:space="preserve">15208228475.21</t>
  </si>
  <si>
    <t xml:space="preserve">15208.22847521</t>
  </si>
  <si>
    <t xml:space="preserve">10269481505.82</t>
  </si>
  <si>
    <t xml:space="preserve">10269.48150582</t>
  </si>
  <si>
    <t xml:space="preserve">245682979.72</t>
  </si>
  <si>
    <t xml:space="preserve">245.68297972</t>
  </si>
  <si>
    <t xml:space="preserve">86102097.13</t>
  </si>
  <si>
    <t xml:space="preserve">86.10209713</t>
  </si>
  <si>
    <t xml:space="preserve">188</t>
  </si>
  <si>
    <t xml:space="preserve">调整后期初未分配利润</t>
  </si>
  <si>
    <t xml:space="preserve">7756575284.95</t>
  </si>
  <si>
    <t xml:space="preserve">7756.57528495</t>
  </si>
  <si>
    <t xml:space="preserve">本期归属于母公司所有者的净利润</t>
  </si>
  <si>
    <t xml:space="preserve">提取法定盈余公积</t>
  </si>
  <si>
    <t xml:space="preserve">83861554.07</t>
  </si>
  <si>
    <t xml:space="preserve">83.86155407</t>
  </si>
  <si>
    <t xml:space="preserve">259419892.20</t>
  </si>
  <si>
    <t xml:space="preserve">259.4198922</t>
  </si>
  <si>
    <t xml:space="preserve">应付普通股股利</t>
  </si>
  <si>
    <t xml:space="preserve">2763776569.90</t>
  </si>
  <si>
    <t xml:space="preserve">2763.7765699</t>
  </si>
  <si>
    <t xml:space="preserve">1983555895.20</t>
  </si>
  <si>
    <t xml:space="preserve">1983.5558952</t>
  </si>
  <si>
    <t xml:space="preserve">期末未分配利润</t>
  </si>
  <si>
    <t xml:space="preserve">159</t>
  </si>
  <si>
    <t xml:space="preserve">224232459.48</t>
  </si>
  <si>
    <t xml:space="preserve">224.23245948</t>
  </si>
  <si>
    <t xml:space="preserve">3101181160.80</t>
  </si>
  <si>
    <t xml:space="preserve">3101.1811608</t>
  </si>
  <si>
    <t xml:space="preserve">合并现金流量表</t>
  </si>
  <si>
    <t xml:space="preserve">18,601,142,796.67</t>
  </si>
  <si>
    <t xml:space="preserve">18601.14279667</t>
  </si>
  <si>
    <t xml:space="preserve">17,836,040,227.21</t>
  </si>
  <si>
    <t xml:space="preserve">17836.04022721</t>
  </si>
  <si>
    <t xml:space="preserve">15,786,459.02</t>
  </si>
  <si>
    <t xml:space="preserve">15.78645902</t>
  </si>
  <si>
    <t xml:space="preserve">15,375,947.44</t>
  </si>
  <si>
    <t xml:space="preserve">15.37594744</t>
  </si>
  <si>
    <t xml:space="preserve">355,145,443.10</t>
  </si>
  <si>
    <t xml:space="preserve">355.1454431</t>
  </si>
  <si>
    <t xml:space="preserve">484,470,792.10</t>
  </si>
  <si>
    <t xml:space="preserve">484.4707921</t>
  </si>
  <si>
    <t xml:space="preserve">18,972,074,698.79</t>
  </si>
  <si>
    <t xml:space="preserve">18972.07469879</t>
  </si>
  <si>
    <t xml:space="preserve">18,335,886,966.75</t>
  </si>
  <si>
    <t xml:space="preserve">18335.88696675</t>
  </si>
  <si>
    <t xml:space="preserve">9,726,711,927.75</t>
  </si>
  <si>
    <t xml:space="preserve">9726.71192775</t>
  </si>
  <si>
    <t xml:space="preserve">8,552,858,075.92</t>
  </si>
  <si>
    <t xml:space="preserve">8552.85807592</t>
  </si>
  <si>
    <t xml:space="preserve">2,423,958,676.60</t>
  </si>
  <si>
    <t xml:space="preserve">2423.9586766</t>
  </si>
  <si>
    <t xml:space="preserve">2,078,209,390.40</t>
  </si>
  <si>
    <t xml:space="preserve">2078.2093904</t>
  </si>
  <si>
    <t xml:space="preserve">1,855,102,751.85</t>
  </si>
  <si>
    <t xml:space="preserve">1855.10275185</t>
  </si>
  <si>
    <t xml:space="preserve">1,674,790,028.26</t>
  </si>
  <si>
    <t xml:space="preserve">1674.79002826</t>
  </si>
  <si>
    <t xml:space="preserve">1,235,954,446.32</t>
  </si>
  <si>
    <t xml:space="preserve">1235.95444632</t>
  </si>
  <si>
    <t xml:space="preserve">1,202,747,373.62</t>
  </si>
  <si>
    <t xml:space="preserve">1202.74737362</t>
  </si>
  <si>
    <t xml:space="preserve">15,241,727,802.52</t>
  </si>
  <si>
    <t xml:space="preserve">15241.72780252</t>
  </si>
  <si>
    <t xml:space="preserve">13,508,604,868.20</t>
  </si>
  <si>
    <t xml:space="preserve">13508.6048682</t>
  </si>
  <si>
    <t xml:space="preserve">3,730,346,896.27</t>
  </si>
  <si>
    <t xml:space="preserve">4,827,282,098.55</t>
  </si>
  <si>
    <t xml:space="preserve">541,099,431.51</t>
  </si>
  <si>
    <t xml:space="preserve">541.09943151</t>
  </si>
  <si>
    <t xml:space="preserve">194,153,746.50</t>
  </si>
  <si>
    <t xml:space="preserve">194.1537465</t>
  </si>
  <si>
    <t xml:space="preserve">8,297,330.40</t>
  </si>
  <si>
    <t xml:space="preserve">8.2973304</t>
  </si>
  <si>
    <t xml:space="preserve">2,648,921.84</t>
  </si>
  <si>
    <t xml:space="preserve">2.64892184</t>
  </si>
  <si>
    <t xml:space="preserve">18,922,934,976.07</t>
  </si>
  <si>
    <t xml:space="preserve">18922.93497607</t>
  </si>
  <si>
    <t xml:space="preserve">9,076,568,830.88</t>
  </si>
  <si>
    <t xml:space="preserve">9076.56883088</t>
  </si>
  <si>
    <t xml:space="preserve">19,472,331,737.98</t>
  </si>
  <si>
    <t xml:space="preserve">19472.33173798</t>
  </si>
  <si>
    <t xml:space="preserve">9,273,371,499.22</t>
  </si>
  <si>
    <t xml:space="preserve">9273.37149922</t>
  </si>
  <si>
    <t xml:space="preserve">938,519,618.43</t>
  </si>
  <si>
    <t xml:space="preserve">938.51961843</t>
  </si>
  <si>
    <t xml:space="preserve">655,201,996.12</t>
  </si>
  <si>
    <t xml:space="preserve">655.20199612</t>
  </si>
  <si>
    <t xml:space="preserve">31,308,628.23</t>
  </si>
  <si>
    <t xml:space="preserve">31.30862823</t>
  </si>
  <si>
    <t xml:space="preserve">19,208,813,252.21</t>
  </si>
  <si>
    <t xml:space="preserve">19208.81325221</t>
  </si>
  <si>
    <t xml:space="preserve">12,052,553,025.00</t>
  </si>
  <si>
    <t xml:space="preserve">12052.553025</t>
  </si>
  <si>
    <t xml:space="preserve">20,178,641,498.87</t>
  </si>
  <si>
    <t xml:space="preserve">20178.64149887</t>
  </si>
  <si>
    <t xml:space="preserve">12,707,755,021.12</t>
  </si>
  <si>
    <t xml:space="preserve">12707.75502112</t>
  </si>
  <si>
    <t xml:space="preserve">-706,309,760.89</t>
  </si>
  <si>
    <t xml:space="preserve">-3,434,383,521.90</t>
  </si>
  <si>
    <t xml:space="preserve">120,093,721.20</t>
  </si>
  <si>
    <t xml:space="preserve">120.0937212</t>
  </si>
  <si>
    <t xml:space="preserve">110,993,059.60</t>
  </si>
  <si>
    <t xml:space="preserve">110.9930596</t>
  </si>
  <si>
    <t xml:space="preserve">3,800,000.00</t>
  </si>
  <si>
    <t xml:space="preserve">3.8</t>
  </si>
  <si>
    <t xml:space="preserve">384,244,915.37</t>
  </si>
  <si>
    <t xml:space="preserve">384.24491537</t>
  </si>
  <si>
    <t xml:space="preserve">1,448,972,102.34</t>
  </si>
  <si>
    <t xml:space="preserve">1448.97210234</t>
  </si>
  <si>
    <t xml:space="preserve">200,662,465.75</t>
  </si>
  <si>
    <t xml:space="preserve">200.66246575</t>
  </si>
  <si>
    <t xml:space="preserve">705,001,102.32</t>
  </si>
  <si>
    <t xml:space="preserve">705.00110232</t>
  </si>
  <si>
    <t xml:space="preserve">1,559,965,161.94</t>
  </si>
  <si>
    <t xml:space="preserve">1559.96516194</t>
  </si>
  <si>
    <t xml:space="preserve">1,084,824,646.03</t>
  </si>
  <si>
    <t xml:space="preserve">1084.82464603</t>
  </si>
  <si>
    <t xml:space="preserve">1,312,000,000.00</t>
  </si>
  <si>
    <t xml:space="preserve">1312.0</t>
  </si>
  <si>
    <t xml:space="preserve">2,778,937,711.08</t>
  </si>
  <si>
    <t xml:space="preserve">2778.93771108</t>
  </si>
  <si>
    <t xml:space="preserve">2,011,974,345.06</t>
  </si>
  <si>
    <t xml:space="preserve">2011.97434506</t>
  </si>
  <si>
    <t xml:space="preserve">363,543,780.01</t>
  </si>
  <si>
    <t xml:space="preserve">363.54378001</t>
  </si>
  <si>
    <t xml:space="preserve">223,036,997.15</t>
  </si>
  <si>
    <t xml:space="preserve">223.03699715</t>
  </si>
  <si>
    <t xml:space="preserve">4,227,306,137.12</t>
  </si>
  <si>
    <t xml:space="preserve">4227.30613712</t>
  </si>
  <si>
    <t xml:space="preserve">3,547,011,342.21</t>
  </si>
  <si>
    <t xml:space="preserve">3547.01134221</t>
  </si>
  <si>
    <t xml:space="preserve">-3,522,305,034.80</t>
  </si>
  <si>
    <t xml:space="preserve">-1,987,046,180.27</t>
  </si>
  <si>
    <t xml:space="preserve">2,396,099.03</t>
  </si>
  <si>
    <t xml:space="preserve">990,633.94</t>
  </si>
  <si>
    <t xml:space="preserve">-495,871,800.39</t>
  </si>
  <si>
    <t xml:space="preserve">-495.87180039</t>
  </si>
  <si>
    <t xml:space="preserve">-593,156,969.68</t>
  </si>
  <si>
    <t xml:space="preserve">-593.15696968</t>
  </si>
  <si>
    <t xml:space="preserve">1,332,186,205.30</t>
  </si>
  <si>
    <t xml:space="preserve">1,925,343,174.98</t>
  </si>
  <si>
    <t xml:space="preserve">836,314,404.91</t>
  </si>
  <si>
    <t xml:space="preserve">18,633,526,205.40</t>
  </si>
  <si>
    <t xml:space="preserve">18633.5262054</t>
  </si>
  <si>
    <t xml:space="preserve">11,393,925.78</t>
  </si>
  <si>
    <t xml:space="preserve">11.39392578</t>
  </si>
  <si>
    <t xml:space="preserve">400,864,911.96</t>
  </si>
  <si>
    <t xml:space="preserve">400.86491196</t>
  </si>
  <si>
    <t xml:space="preserve">19,045,785,043.14</t>
  </si>
  <si>
    <t xml:space="preserve">19045.78504314</t>
  </si>
  <si>
    <t xml:space="preserve">9,097,363,066.72</t>
  </si>
  <si>
    <t xml:space="preserve">9097.36306672</t>
  </si>
  <si>
    <t xml:space="preserve">2,323,469,285.41</t>
  </si>
  <si>
    <t xml:space="preserve">2323.46928541</t>
  </si>
  <si>
    <t xml:space="preserve">1,820,016,527.81</t>
  </si>
  <si>
    <t xml:space="preserve">1820.01652781</t>
  </si>
  <si>
    <t xml:space="preserve">1,061,243,811.36</t>
  </si>
  <si>
    <t xml:space="preserve">1061.24381136</t>
  </si>
  <si>
    <t xml:space="preserve">14,302,092,691.30</t>
  </si>
  <si>
    <t xml:space="preserve">14302.0926913</t>
  </si>
  <si>
    <t xml:space="preserve">4,743,692,351.84</t>
  </si>
  <si>
    <t xml:space="preserve">391,057,656.68</t>
  </si>
  <si>
    <t xml:space="preserve">6,814,361.33</t>
  </si>
  <si>
    <t xml:space="preserve">6.81436133</t>
  </si>
  <si>
    <t xml:space="preserve">18,215,867,956.25</t>
  </si>
  <si>
    <t xml:space="preserve">18215.86795625</t>
  </si>
  <si>
    <t xml:space="preserve">18,613,739,974.26</t>
  </si>
  <si>
    <t xml:space="preserve">18613.73997426</t>
  </si>
  <si>
    <t xml:space="preserve">500,139,110.24</t>
  </si>
  <si>
    <t xml:space="preserve">500.13911024</t>
  </si>
  <si>
    <t xml:space="preserve">20,175,853,486.31</t>
  </si>
  <si>
    <t xml:space="preserve">20175.85348631</t>
  </si>
  <si>
    <t xml:space="preserve">20,675,992,596.55</t>
  </si>
  <si>
    <t xml:space="preserve">20675.99259655</t>
  </si>
  <si>
    <t xml:space="preserve">-2,062,252,622.29</t>
  </si>
  <si>
    <t xml:space="preserve">121,877,654.37</t>
  </si>
  <si>
    <t xml:space="preserve">121.87765437</t>
  </si>
  <si>
    <t xml:space="preserve">1,712,624,081.26</t>
  </si>
  <si>
    <t xml:space="preserve">1712.62408126</t>
  </si>
  <si>
    <t xml:space="preserve">1,834,501,735.63</t>
  </si>
  <si>
    <t xml:space="preserve">1834.50173563</t>
  </si>
  <si>
    <t xml:space="preserve">1,227,701,482.79</t>
  </si>
  <si>
    <t xml:space="preserve">1227.70148279</t>
  </si>
  <si>
    <t xml:space="preserve">3,108,832,113.40</t>
  </si>
  <si>
    <t xml:space="preserve">3108.8321134</t>
  </si>
  <si>
    <t xml:space="preserve">296,852,619.69</t>
  </si>
  <si>
    <t xml:space="preserve">296.85261969</t>
  </si>
  <si>
    <t xml:space="preserve">4,633,386,215.88</t>
  </si>
  <si>
    <t xml:space="preserve">4633.38621588</t>
  </si>
  <si>
    <t xml:space="preserve">-2,798,884,480.25</t>
  </si>
  <si>
    <t xml:space="preserve">2,174,931.25</t>
  </si>
  <si>
    <t xml:space="preserve">-115,269,819.45</t>
  </si>
  <si>
    <t xml:space="preserve">-115.26981945</t>
  </si>
  <si>
    <t xml:space="preserve">721,044,585.46</t>
  </si>
  <si>
    <t xml:space="preserve">46</t>
  </si>
  <si>
    <t xml:space="preserve">9,831,227,777.80</t>
  </si>
  <si>
    <t xml:space="preserve">9831.2277778</t>
  </si>
  <si>
    <t xml:space="preserve">9,548,401,827.59</t>
  </si>
  <si>
    <t xml:space="preserve">9548.40182759</t>
  </si>
  <si>
    <t xml:space="preserve">14,433,035.11</t>
  </si>
  <si>
    <t xml:space="preserve">14.43303511</t>
  </si>
  <si>
    <t xml:space="preserve">9,215,232.95</t>
  </si>
  <si>
    <t xml:space="preserve">9.21523295</t>
  </si>
  <si>
    <t xml:space="preserve">127,629,096.10</t>
  </si>
  <si>
    <t xml:space="preserve">127.6290961</t>
  </si>
  <si>
    <t xml:space="preserve">193,302,420.87</t>
  </si>
  <si>
    <t xml:space="preserve">193.30242087</t>
  </si>
  <si>
    <t xml:space="preserve">9,973,289,909.01</t>
  </si>
  <si>
    <t xml:space="preserve">9973.28990901</t>
  </si>
  <si>
    <t xml:space="preserve">9,750,919,481.41</t>
  </si>
  <si>
    <t xml:space="preserve">9750.91948141</t>
  </si>
  <si>
    <t xml:space="preserve">4,776,186,605.39</t>
  </si>
  <si>
    <t xml:space="preserve">4776.18660539</t>
  </si>
  <si>
    <t xml:space="preserve">4,459,177,588.36</t>
  </si>
  <si>
    <t xml:space="preserve">4459.17758836</t>
  </si>
  <si>
    <t xml:space="preserve">1,242,926,292.10</t>
  </si>
  <si>
    <t xml:space="preserve">1242.9262921</t>
  </si>
  <si>
    <t xml:space="preserve">1,271,042,813.78</t>
  </si>
  <si>
    <t xml:space="preserve">1271.04281378</t>
  </si>
  <si>
    <t xml:space="preserve">1,050,576,296.48</t>
  </si>
  <si>
    <t xml:space="preserve">1050.57629648</t>
  </si>
  <si>
    <t xml:space="preserve">963,688,760.90</t>
  </si>
  <si>
    <t xml:space="preserve">963.6887609</t>
  </si>
  <si>
    <t xml:space="preserve">667,718,309.91</t>
  </si>
  <si>
    <t xml:space="preserve">667.71830991</t>
  </si>
  <si>
    <t xml:space="preserve">679,207,468.64</t>
  </si>
  <si>
    <t xml:space="preserve">679.20746864</t>
  </si>
  <si>
    <t xml:space="preserve">7,737,407,503.88</t>
  </si>
  <si>
    <t xml:space="preserve">7737.40750388</t>
  </si>
  <si>
    <t xml:space="preserve">7,373,116,631.68</t>
  </si>
  <si>
    <t xml:space="preserve">7373.11663168</t>
  </si>
  <si>
    <t xml:space="preserve">2,235,882,405.13</t>
  </si>
  <si>
    <t xml:space="preserve">2,377,802,849.73</t>
  </si>
  <si>
    <t xml:space="preserve">257,057,637.04</t>
  </si>
  <si>
    <t xml:space="preserve">257.05763704</t>
  </si>
  <si>
    <t xml:space="preserve">185,130,814.32</t>
  </si>
  <si>
    <t xml:space="preserve">185.13081432</t>
  </si>
  <si>
    <t xml:space="preserve">174,600.00</t>
  </si>
  <si>
    <t xml:space="preserve">0.1746</t>
  </si>
  <si>
    <t xml:space="preserve">124,955.00</t>
  </si>
  <si>
    <t xml:space="preserve">0.124955</t>
  </si>
  <si>
    <t xml:space="preserve">12,023,439,368.98</t>
  </si>
  <si>
    <t xml:space="preserve">12023.43936898</t>
  </si>
  <si>
    <t xml:space="preserve">9,448,980,855.36</t>
  </si>
  <si>
    <t xml:space="preserve">9448.98085536</t>
  </si>
  <si>
    <t xml:space="preserve">12,280,671,606.02</t>
  </si>
  <si>
    <t xml:space="preserve">12280.67160602</t>
  </si>
  <si>
    <t xml:space="preserve">9,634,236,624.68</t>
  </si>
  <si>
    <t xml:space="preserve">9634.23662468</t>
  </si>
  <si>
    <t xml:space="preserve">164,970,093.67</t>
  </si>
  <si>
    <t xml:space="preserve">164.97009367</t>
  </si>
  <si>
    <t xml:space="preserve">335,243,272.27</t>
  </si>
  <si>
    <t xml:space="preserve">335.24327227</t>
  </si>
  <si>
    <t xml:space="preserve">10,503,672,225.25</t>
  </si>
  <si>
    <t xml:space="preserve">10503.67222525</t>
  </si>
  <si>
    <t xml:space="preserve">9,040,268,292.21</t>
  </si>
  <si>
    <t xml:space="preserve">9040.26829221</t>
  </si>
  <si>
    <t xml:space="preserve">10,668,642,318.92</t>
  </si>
  <si>
    <t xml:space="preserve">10668.64231892</t>
  </si>
  <si>
    <t xml:space="preserve">9,375,511,564.48</t>
  </si>
  <si>
    <t xml:space="preserve">9375.51156448</t>
  </si>
  <si>
    <t xml:space="preserve">1,612,029,287.10</t>
  </si>
  <si>
    <t xml:space="preserve">258,725,060.20</t>
  </si>
  <si>
    <t xml:space="preserve">116,885,771.10</t>
  </si>
  <si>
    <t xml:space="preserve">116.8857711</t>
  </si>
  <si>
    <t xml:space="preserve">116,614,655.95</t>
  </si>
  <si>
    <t xml:space="preserve">116.61465595</t>
  </si>
  <si>
    <t xml:space="preserve">1,975,843,166.69</t>
  </si>
  <si>
    <t xml:space="preserve">1975.84316669</t>
  </si>
  <si>
    <t xml:space="preserve">1,270,000,000.00</t>
  </si>
  <si>
    <t xml:space="preserve">1270.0</t>
  </si>
  <si>
    <t xml:space="preserve">2,092,728,937.79</t>
  </si>
  <si>
    <t xml:space="preserve">2092.72893779</t>
  </si>
  <si>
    <t xml:space="preserve">1,386,614,655.95</t>
  </si>
  <si>
    <t xml:space="preserve">1386.61465595</t>
  </si>
  <si>
    <t xml:space="preserve">1,829,950,000.00</t>
  </si>
  <si>
    <t xml:space="preserve">1829.95</t>
  </si>
  <si>
    <t xml:space="preserve">248,651,482.79</t>
  </si>
  <si>
    <t xml:space="preserve">248.65148279</t>
  </si>
  <si>
    <t xml:space="preserve">3,440,577,540.23</t>
  </si>
  <si>
    <t xml:space="preserve">3440.57754023</t>
  </si>
  <si>
    <t xml:space="preserve">3,103,951,810.63</t>
  </si>
  <si>
    <t xml:space="preserve">3103.95181063</t>
  </si>
  <si>
    <t xml:space="preserve">325,560,186.63</t>
  </si>
  <si>
    <t xml:space="preserve">325.56018663</t>
  </si>
  <si>
    <t xml:space="preserve">261,016,715.99</t>
  </si>
  <si>
    <t xml:space="preserve">261.01671599</t>
  </si>
  <si>
    <t xml:space="preserve">5,596,087,726.86</t>
  </si>
  <si>
    <t xml:space="preserve">5596.08772686</t>
  </si>
  <si>
    <t xml:space="preserve">3,613,620,009.41</t>
  </si>
  <si>
    <t xml:space="preserve">3613.62000941</t>
  </si>
  <si>
    <t xml:space="preserve">-3,503,358,789.07</t>
  </si>
  <si>
    <t xml:space="preserve">-2,227,005,353.46</t>
  </si>
  <si>
    <t xml:space="preserve">-7,098,804.88</t>
  </si>
  <si>
    <t xml:space="preserve">2,342,909.72</t>
  </si>
  <si>
    <t xml:space="preserve">337,454,098.28</t>
  </si>
  <si>
    <t xml:space="preserve">337.45409828</t>
  </si>
  <si>
    <t xml:space="preserve">411,865,466.19</t>
  </si>
  <si>
    <t xml:space="preserve">411.86546619</t>
  </si>
  <si>
    <t xml:space="preserve">1,058,498,683.74</t>
  </si>
  <si>
    <t xml:space="preserve">1,248,179,871.10</t>
  </si>
  <si>
    <r>
      <rPr>
        <b val="true"/>
        <sz val="19"/>
        <color rgb="FF183653"/>
        <rFont val="Noto Sans CJK SC"/>
        <family val="2"/>
        <charset val="1"/>
      </rPr>
      <t xml:space="preserve">公牛集团 </t>
    </r>
    <r>
      <rPr>
        <b val="true"/>
        <sz val="19"/>
        <color rgb="FF183653"/>
        <rFont val="Arial"/>
        <family val="0"/>
        <charset val="1"/>
      </rPr>
      <t xml:space="preserve">AssumptionRegister</t>
    </r>
  </si>
  <si>
    <t xml:space="preserve">Driver ID / cell</t>
  </si>
  <si>
    <t xml:space="preserve">Base input</t>
  </si>
  <si>
    <t xml:space="preserve">Basis / LEAP</t>
  </si>
  <si>
    <t xml:space="preserve">Permitted range</t>
  </si>
  <si>
    <t xml:space="preserve">Downstream</t>
  </si>
  <si>
    <t xml:space="preserve">Evidence owner</t>
  </si>
  <si>
    <t xml:space="preserve">Status / expiry</t>
  </si>
  <si>
    <t xml:space="preserve">D-5-7 J5</t>
  </si>
  <si>
    <t xml:space="preserve">2026-07-31</t>
  </si>
  <si>
    <t xml:space="preserve">index</t>
  </si>
  <si>
    <t xml:space="preserve">L12: no disclosed monthly seasonality</t>
  </si>
  <si>
    <t xml:space="preserve">numeric &gt;=0</t>
  </si>
  <si>
    <t xml:space="preserve">Operating/support -&gt; monthly PL/CF/BS -&gt; annual</t>
  </si>
  <si>
    <t xml:space="preserve">Teaching model author; issuer/treasury evidence required before reliance</t>
  </si>
  <si>
    <t xml:space="preserve">OPEN teaching assumption; resolve before reliance</t>
  </si>
  <si>
    <t xml:space="preserve">D-5-8 K5</t>
  </si>
  <si>
    <t xml:space="preserve">2026-08-31</t>
  </si>
  <si>
    <t xml:space="preserve">D-5-9 L5</t>
  </si>
  <si>
    <t xml:space="preserve">2026-09-30</t>
  </si>
  <si>
    <t xml:space="preserve">D-5-10 M5</t>
  </si>
  <si>
    <t xml:space="preserve">2026-10-31</t>
  </si>
  <si>
    <t xml:space="preserve">D-5-11 N5</t>
  </si>
  <si>
    <t xml:space="preserve">2026-11-30</t>
  </si>
  <si>
    <t xml:space="preserve">D-5-12 O5</t>
  </si>
  <si>
    <t xml:space="preserve">2026-12-31</t>
  </si>
  <si>
    <t xml:space="preserve">D-5-13 P5</t>
  </si>
  <si>
    <t xml:space="preserve">2027-01-31</t>
  </si>
  <si>
    <t xml:space="preserve">D-5-14 Q5</t>
  </si>
  <si>
    <t xml:space="preserve">2027-02-28</t>
  </si>
  <si>
    <t xml:space="preserve">D-5-15 R5</t>
  </si>
  <si>
    <t xml:space="preserve">2027-03-31</t>
  </si>
  <si>
    <t xml:space="preserve">D-5-16 S5</t>
  </si>
  <si>
    <t xml:space="preserve">2027-04-30</t>
  </si>
  <si>
    <t xml:space="preserve">D-5-17 T5</t>
  </si>
  <si>
    <t xml:space="preserve">2027-05-31</t>
  </si>
  <si>
    <t xml:space="preserve">D-5-18 U5</t>
  </si>
  <si>
    <t xml:space="preserve">2027-06-30</t>
  </si>
  <si>
    <t xml:space="preserve">D-5-19 V5</t>
  </si>
  <si>
    <t xml:space="preserve">2027-07-31</t>
  </si>
  <si>
    <t xml:space="preserve">D-5-20 W5</t>
  </si>
  <si>
    <t xml:space="preserve">2027-08-31</t>
  </si>
  <si>
    <t xml:space="preserve">D-5-21 X5</t>
  </si>
  <si>
    <t xml:space="preserve">2027-09-30</t>
  </si>
  <si>
    <t xml:space="preserve">D-5-22 Y5</t>
  </si>
  <si>
    <t xml:space="preserve">2027-10-31</t>
  </si>
  <si>
    <t xml:space="preserve">D-5-23 Z5</t>
  </si>
  <si>
    <t xml:space="preserve">2027-11-30</t>
  </si>
  <si>
    <t xml:space="preserve">D-5-24 AA5</t>
  </si>
  <si>
    <t xml:space="preserve">2027-12-31</t>
  </si>
  <si>
    <t xml:space="preserve">D-5-25 AB5</t>
  </si>
  <si>
    <t xml:space="preserve">2028-01-31</t>
  </si>
  <si>
    <t xml:space="preserve">D-5-26 AC5</t>
  </si>
  <si>
    <t xml:space="preserve">2028-02-29</t>
  </si>
  <si>
    <t xml:space="preserve">D-5-27 AD5</t>
  </si>
  <si>
    <t xml:space="preserve">2028-03-31</t>
  </si>
  <si>
    <t xml:space="preserve">D-5-28 AE5</t>
  </si>
  <si>
    <t xml:space="preserve">2028-04-30</t>
  </si>
  <si>
    <t xml:space="preserve">D-5-29 AF5</t>
  </si>
  <si>
    <t xml:space="preserve">2028-05-31</t>
  </si>
  <si>
    <t xml:space="preserve">D-5-30 AG5</t>
  </si>
  <si>
    <t xml:space="preserve">2028-06-30</t>
  </si>
  <si>
    <t xml:space="preserve">D-5-31 AH5</t>
  </si>
  <si>
    <t xml:space="preserve">2028-07-31</t>
  </si>
  <si>
    <t xml:space="preserve">D-5-32 AI5</t>
  </si>
  <si>
    <t xml:space="preserve">2028-08-31</t>
  </si>
  <si>
    <t xml:space="preserve">D-5-33 AJ5</t>
  </si>
  <si>
    <t xml:space="preserve">2028-09-30</t>
  </si>
  <si>
    <t xml:space="preserve">D-5-34 AK5</t>
  </si>
  <si>
    <t xml:space="preserve">2028-10-31</t>
  </si>
  <si>
    <t xml:space="preserve">D-5-35 AL5</t>
  </si>
  <si>
    <t xml:space="preserve">2028-11-30</t>
  </si>
  <si>
    <t xml:space="preserve">D-5-36 AM5</t>
  </si>
  <si>
    <t xml:space="preserve">2028-12-31</t>
  </si>
  <si>
    <t xml:space="preserve">D-9-7 J9</t>
  </si>
  <si>
    <t xml:space="preserve">L02: educational monthly YoY growth; 2026 H2 vs inferred prior H2</t>
  </si>
  <si>
    <t xml:space="preserve">&gt;= -100%</t>
  </si>
  <si>
    <t xml:space="preserve">D-9-8 K9</t>
  </si>
  <si>
    <t xml:space="preserve">D-9-9 L9</t>
  </si>
  <si>
    <t xml:space="preserve">D-9-10 M9</t>
  </si>
  <si>
    <t xml:space="preserve">D-9-11 N9</t>
  </si>
  <si>
    <t xml:space="preserve">D-9-12 O9</t>
  </si>
  <si>
    <t xml:space="preserve">D-9-13 P9</t>
  </si>
  <si>
    <t xml:space="preserve">D-9-14 Q9</t>
  </si>
  <si>
    <t xml:space="preserve">D-9-15 R9</t>
  </si>
  <si>
    <t xml:space="preserve">D-9-16 S9</t>
  </si>
  <si>
    <t xml:space="preserve">D-9-17 T9</t>
  </si>
  <si>
    <t xml:space="preserve">D-9-18 U9</t>
  </si>
  <si>
    <t xml:space="preserve">D-9-19 V9</t>
  </si>
  <si>
    <t xml:space="preserve">D-9-20 W9</t>
  </si>
  <si>
    <t xml:space="preserve">D-9-21 X9</t>
  </si>
  <si>
    <t xml:space="preserve">D-9-22 Y9</t>
  </si>
  <si>
    <t xml:space="preserve">D-9-23 Z9</t>
  </si>
  <si>
    <t xml:space="preserve">D-9-24 AA9</t>
  </si>
  <si>
    <t xml:space="preserve">D-9-25 AB9</t>
  </si>
  <si>
    <t xml:space="preserve">D-9-26 AC9</t>
  </si>
  <si>
    <t xml:space="preserve">D-9-27 AD9</t>
  </si>
  <si>
    <t xml:space="preserve">D-9-28 AE9</t>
  </si>
  <si>
    <t xml:space="preserve">D-9-29 AF9</t>
  </si>
  <si>
    <t xml:space="preserve">D-9-30 AG9</t>
  </si>
  <si>
    <t xml:space="preserve">D-9-31 AH9</t>
  </si>
  <si>
    <t xml:space="preserve">D-9-32 AI9</t>
  </si>
  <si>
    <t xml:space="preserve">D-9-33 AJ9</t>
  </si>
  <si>
    <t xml:space="preserve">D-9-34 AK9</t>
  </si>
  <si>
    <t xml:space="preserve">D-9-35 AL9</t>
  </si>
  <si>
    <t xml:space="preserve">D-9-36 AM9</t>
  </si>
  <si>
    <t xml:space="preserve">D-10-7 J10</t>
  </si>
  <si>
    <t xml:space="preserve">L02: no duplicate mix multiplier</t>
  </si>
  <si>
    <t xml:space="preserve">D-10-8 K10</t>
  </si>
  <si>
    <t xml:space="preserve">D-10-9 L10</t>
  </si>
  <si>
    <t xml:space="preserve">D-10-10 M10</t>
  </si>
  <si>
    <t xml:space="preserve">D-10-11 N10</t>
  </si>
  <si>
    <t xml:space="preserve">D-10-12 O10</t>
  </si>
  <si>
    <t xml:space="preserve">D-10-13 P10</t>
  </si>
  <si>
    <t xml:space="preserve">D-10-14 Q10</t>
  </si>
  <si>
    <t xml:space="preserve">D-10-15 R10</t>
  </si>
  <si>
    <t xml:space="preserve">D-10-16 S10</t>
  </si>
  <si>
    <t xml:space="preserve">D-10-17 T10</t>
  </si>
  <si>
    <t xml:space="preserve">D-10-18 U10</t>
  </si>
  <si>
    <t xml:space="preserve">D-10-19 V10</t>
  </si>
  <si>
    <t xml:space="preserve">D-10-20 W10</t>
  </si>
  <si>
    <t xml:space="preserve">D-10-21 X10</t>
  </si>
  <si>
    <t xml:space="preserve">D-10-22 Y10</t>
  </si>
  <si>
    <t xml:space="preserve">D-10-23 Z10</t>
  </si>
  <si>
    <t xml:space="preserve">D-10-24 AA10</t>
  </si>
  <si>
    <t xml:space="preserve">D-10-25 AB10</t>
  </si>
  <si>
    <t xml:space="preserve">D-10-26 AC10</t>
  </si>
  <si>
    <t xml:space="preserve">D-10-27 AD10</t>
  </si>
  <si>
    <t xml:space="preserve">D-10-28 AE10</t>
  </si>
  <si>
    <t xml:space="preserve">D-10-29 AF10</t>
  </si>
  <si>
    <t xml:space="preserve">D-10-30 AG10</t>
  </si>
  <si>
    <t xml:space="preserve">D-10-31 AH10</t>
  </si>
  <si>
    <t xml:space="preserve">D-10-32 AI10</t>
  </si>
  <si>
    <t xml:space="preserve">D-10-33 AJ10</t>
  </si>
  <si>
    <t xml:space="preserve">D-10-34 AK10</t>
  </si>
  <si>
    <t xml:space="preserve">D-10-35 AL10</t>
  </si>
  <si>
    <t xml:space="preserve">D-10-36 AM10</t>
  </si>
  <si>
    <t xml:space="preserve">D-25-1 D25</t>
  </si>
  <si>
    <t xml:space="preserve">2026-01-31</t>
  </si>
  <si>
    <t xml:space="preserve">days</t>
  </si>
  <si>
    <t xml:space="preserve">L13: reported year-end units / reported annual sales ×365; ending coverage, not average DIO</t>
  </si>
  <si>
    <t xml:space="preserve">D-25-2 E25</t>
  </si>
  <si>
    <t xml:space="preserve">2026-02-28</t>
  </si>
  <si>
    <t xml:space="preserve">D-25-3 F25</t>
  </si>
  <si>
    <t xml:space="preserve">2026-03-31</t>
  </si>
  <si>
    <t xml:space="preserve">D-25-4 G25</t>
  </si>
  <si>
    <t xml:space="preserve">D-25-5 H25</t>
  </si>
  <si>
    <t xml:space="preserve">2026-05-31</t>
  </si>
  <si>
    <t xml:space="preserve">D-25-6 I25</t>
  </si>
  <si>
    <t xml:space="preserve">2026-06-30</t>
  </si>
  <si>
    <t xml:space="preserve">D-25-7 J25</t>
  </si>
  <si>
    <t xml:space="preserve">D-25-8 K25</t>
  </si>
  <si>
    <t xml:space="preserve">D-25-9 L25</t>
  </si>
  <si>
    <t xml:space="preserve">D-25-10 M25</t>
  </si>
  <si>
    <t xml:space="preserve">D-25-11 N25</t>
  </si>
  <si>
    <t xml:space="preserve">D-25-12 O25</t>
  </si>
  <si>
    <t xml:space="preserve">D-25-13 P25</t>
  </si>
  <si>
    <t xml:space="preserve">D-25-14 Q25</t>
  </si>
  <si>
    <t xml:space="preserve">D-25-15 R25</t>
  </si>
  <si>
    <t xml:space="preserve">D-25-16 S25</t>
  </si>
  <si>
    <t xml:space="preserve">D-25-17 T25</t>
  </si>
  <si>
    <t xml:space="preserve">D-25-18 U25</t>
  </si>
  <si>
    <t xml:space="preserve">D-25-19 V25</t>
  </si>
  <si>
    <t xml:space="preserve">D-25-20 W25</t>
  </si>
  <si>
    <t xml:space="preserve">D-25-21 X25</t>
  </si>
  <si>
    <t xml:space="preserve">D-25-22 Y25</t>
  </si>
  <si>
    <t xml:space="preserve">D-25-23 Z25</t>
  </si>
  <si>
    <t xml:space="preserve">D-25-24 AA25</t>
  </si>
  <si>
    <t xml:space="preserve">D-25-25 AB25</t>
  </si>
  <si>
    <t xml:space="preserve">D-25-26 AC25</t>
  </si>
  <si>
    <t xml:space="preserve">D-25-27 AD25</t>
  </si>
  <si>
    <t xml:space="preserve">D-25-28 AE25</t>
  </si>
  <si>
    <t xml:space="preserve">D-25-29 AF25</t>
  </si>
  <si>
    <t xml:space="preserve">D-25-30 AG25</t>
  </si>
  <si>
    <t xml:space="preserve">D-25-31 AH25</t>
  </si>
  <si>
    <t xml:space="preserve">D-25-32 AI25</t>
  </si>
  <si>
    <t xml:space="preserve">D-25-33 AJ25</t>
  </si>
  <si>
    <t xml:space="preserve">D-25-34 AK25</t>
  </si>
  <si>
    <t xml:space="preserve">D-25-35 AL25</t>
  </si>
  <si>
    <t xml:space="preserve">D-25-36 AM25</t>
  </si>
  <si>
    <t xml:space="preserve">D-13-7 J13</t>
  </si>
  <si>
    <t xml:space="preserve">D-13-8 K13</t>
  </si>
  <si>
    <t xml:space="preserve">D-13-9 L13</t>
  </si>
  <si>
    <t xml:space="preserve">D-13-10 M13</t>
  </si>
  <si>
    <t xml:space="preserve">D-13-11 N13</t>
  </si>
  <si>
    <t xml:space="preserve">D-13-12 O13</t>
  </si>
  <si>
    <t xml:space="preserve">D-13-13 P13</t>
  </si>
  <si>
    <t xml:space="preserve">D-13-14 Q13</t>
  </si>
  <si>
    <t xml:space="preserve">D-13-15 R13</t>
  </si>
  <si>
    <t xml:space="preserve">D-13-16 S13</t>
  </si>
  <si>
    <t xml:space="preserve">D-13-17 T13</t>
  </si>
  <si>
    <t xml:space="preserve">D-13-18 U13</t>
  </si>
  <si>
    <t xml:space="preserve">D-13-19 V13</t>
  </si>
  <si>
    <t xml:space="preserve">D-13-20 W13</t>
  </si>
  <si>
    <t xml:space="preserve">D-13-21 X13</t>
  </si>
  <si>
    <t xml:space="preserve">D-13-22 Y13</t>
  </si>
  <si>
    <t xml:space="preserve">D-13-23 Z13</t>
  </si>
  <si>
    <t xml:space="preserve">D-13-24 AA13</t>
  </si>
  <si>
    <t xml:space="preserve">D-13-25 AB13</t>
  </si>
  <si>
    <t xml:space="preserve">D-13-26 AC13</t>
  </si>
  <si>
    <t xml:space="preserve">D-13-27 AD13</t>
  </si>
  <si>
    <t xml:space="preserve">D-13-28 AE13</t>
  </si>
  <si>
    <t xml:space="preserve">D-13-29 AF13</t>
  </si>
  <si>
    <t xml:space="preserve">D-13-30 AG13</t>
  </si>
  <si>
    <t xml:space="preserve">D-13-31 AH13</t>
  </si>
  <si>
    <t xml:space="preserve">D-13-32 AI13</t>
  </si>
  <si>
    <t xml:space="preserve">D-13-33 AJ13</t>
  </si>
  <si>
    <t xml:space="preserve">D-13-34 AK13</t>
  </si>
  <si>
    <t xml:space="preserve">D-13-35 AL13</t>
  </si>
  <si>
    <t xml:space="preserve">D-13-36 AM13</t>
  </si>
  <si>
    <t xml:space="preserve">D-14-7 J14</t>
  </si>
  <si>
    <t xml:space="preserve">D-14-8 K14</t>
  </si>
  <si>
    <t xml:space="preserve">D-14-9 L14</t>
  </si>
  <si>
    <t xml:space="preserve">D-14-10 M14</t>
  </si>
  <si>
    <t xml:space="preserve">D-14-11 N14</t>
  </si>
  <si>
    <t xml:space="preserve">D-14-12 O14</t>
  </si>
  <si>
    <t xml:space="preserve">D-14-13 P14</t>
  </si>
  <si>
    <t xml:space="preserve">D-14-14 Q14</t>
  </si>
  <si>
    <t xml:space="preserve">D-14-15 R14</t>
  </si>
  <si>
    <t xml:space="preserve">D-14-16 S14</t>
  </si>
  <si>
    <t xml:space="preserve">D-14-17 T14</t>
  </si>
  <si>
    <t xml:space="preserve">D-14-18 U14</t>
  </si>
  <si>
    <t xml:space="preserve">D-14-19 V14</t>
  </si>
  <si>
    <t xml:space="preserve">D-14-20 W14</t>
  </si>
  <si>
    <t xml:space="preserve">D-14-21 X14</t>
  </si>
  <si>
    <t xml:space="preserve">D-14-22 Y14</t>
  </si>
  <si>
    <t xml:space="preserve">D-14-23 Z14</t>
  </si>
  <si>
    <t xml:space="preserve">D-14-24 AA14</t>
  </si>
  <si>
    <t xml:space="preserve">D-14-25 AB14</t>
  </si>
  <si>
    <t xml:space="preserve">D-14-26 AC14</t>
  </si>
  <si>
    <t xml:space="preserve">D-14-27 AD14</t>
  </si>
  <si>
    <t xml:space="preserve">D-14-28 AE14</t>
  </si>
  <si>
    <t xml:space="preserve">D-14-29 AF14</t>
  </si>
  <si>
    <t xml:space="preserve">D-14-30 AG14</t>
  </si>
  <si>
    <t xml:space="preserve">D-14-31 AH14</t>
  </si>
  <si>
    <t xml:space="preserve">D-14-32 AI14</t>
  </si>
  <si>
    <t xml:space="preserve">D-14-33 AJ14</t>
  </si>
  <si>
    <t xml:space="preserve">D-14-34 AK14</t>
  </si>
  <si>
    <t xml:space="preserve">D-14-35 AL14</t>
  </si>
  <si>
    <t xml:space="preserve">D-14-36 AM14</t>
  </si>
  <si>
    <t xml:space="preserve">D-26-1 D26</t>
  </si>
  <si>
    <t xml:space="preserve">D-26-2 E26</t>
  </si>
  <si>
    <t xml:space="preserve">D-26-3 F26</t>
  </si>
  <si>
    <t xml:space="preserve">D-26-4 G26</t>
  </si>
  <si>
    <t xml:space="preserve">D-26-5 H26</t>
  </si>
  <si>
    <t xml:space="preserve">D-26-6 I26</t>
  </si>
  <si>
    <t xml:space="preserve">D-26-7 J26</t>
  </si>
  <si>
    <t xml:space="preserve">D-26-8 K26</t>
  </si>
  <si>
    <t xml:space="preserve">D-26-9 L26</t>
  </si>
  <si>
    <t xml:space="preserve">D-26-10 M26</t>
  </si>
  <si>
    <t xml:space="preserve">D-26-11 N26</t>
  </si>
  <si>
    <t xml:space="preserve">D-26-12 O26</t>
  </si>
  <si>
    <t xml:space="preserve">D-26-13 P26</t>
  </si>
  <si>
    <t xml:space="preserve">D-26-14 Q26</t>
  </si>
  <si>
    <t xml:space="preserve">D-26-15 R26</t>
  </si>
  <si>
    <t xml:space="preserve">D-26-16 S26</t>
  </si>
  <si>
    <t xml:space="preserve">D-26-17 T26</t>
  </si>
  <si>
    <t xml:space="preserve">D-26-18 U26</t>
  </si>
  <si>
    <t xml:space="preserve">D-26-19 V26</t>
  </si>
  <si>
    <t xml:space="preserve">D-26-20 W26</t>
  </si>
  <si>
    <t xml:space="preserve">D-26-21 X26</t>
  </si>
  <si>
    <t xml:space="preserve">D-26-22 Y26</t>
  </si>
  <si>
    <t xml:space="preserve">D-26-23 Z26</t>
  </si>
  <si>
    <t xml:space="preserve">D-26-24 AA26</t>
  </si>
  <si>
    <t xml:space="preserve">D-26-25 AB26</t>
  </si>
  <si>
    <t xml:space="preserve">D-26-26 AC26</t>
  </si>
  <si>
    <t xml:space="preserve">D-26-27 AD26</t>
  </si>
  <si>
    <t xml:space="preserve">D-26-28 AE26</t>
  </si>
  <si>
    <t xml:space="preserve">D-26-29 AF26</t>
  </si>
  <si>
    <t xml:space="preserve">D-26-30 AG26</t>
  </si>
  <si>
    <t xml:space="preserve">D-26-31 AH26</t>
  </si>
  <si>
    <t xml:space="preserve">D-26-32 AI26</t>
  </si>
  <si>
    <t xml:space="preserve">D-26-33 AJ26</t>
  </si>
  <si>
    <t xml:space="preserve">D-26-34 AK26</t>
  </si>
  <si>
    <t xml:space="preserve">D-26-35 AL26</t>
  </si>
  <si>
    <t xml:space="preserve">D-26-36 AM26</t>
  </si>
  <si>
    <t xml:space="preserve">D-17-7 J17</t>
  </si>
  <si>
    <t xml:space="preserve">D-17-8 K17</t>
  </si>
  <si>
    <t xml:space="preserve">D-17-9 L17</t>
  </si>
  <si>
    <t xml:space="preserve">D-17-10 M17</t>
  </si>
  <si>
    <t xml:space="preserve">D-17-11 N17</t>
  </si>
  <si>
    <t xml:space="preserve">D-17-12 O17</t>
  </si>
  <si>
    <t xml:space="preserve">D-17-13 P17</t>
  </si>
  <si>
    <t xml:space="preserve">D-17-14 Q17</t>
  </si>
  <si>
    <t xml:space="preserve">D-17-15 R17</t>
  </si>
  <si>
    <t xml:space="preserve">D-17-16 S17</t>
  </si>
  <si>
    <t xml:space="preserve">D-17-17 T17</t>
  </si>
  <si>
    <t xml:space="preserve">D-17-18 U17</t>
  </si>
  <si>
    <t xml:space="preserve">D-17-19 V17</t>
  </si>
  <si>
    <t xml:space="preserve">D-17-20 W17</t>
  </si>
  <si>
    <t xml:space="preserve">D-17-21 X17</t>
  </si>
  <si>
    <t xml:space="preserve">D-17-22 Y17</t>
  </si>
  <si>
    <t xml:space="preserve">D-17-23 Z17</t>
  </si>
  <si>
    <t xml:space="preserve">D-17-24 AA17</t>
  </si>
  <si>
    <t xml:space="preserve">D-17-25 AB17</t>
  </si>
  <si>
    <t xml:space="preserve">D-17-26 AC17</t>
  </si>
  <si>
    <t xml:space="preserve">D-17-27 AD17</t>
  </si>
  <si>
    <t xml:space="preserve">D-17-28 AE17</t>
  </si>
  <si>
    <t xml:space="preserve">D-17-29 AF17</t>
  </si>
  <si>
    <t xml:space="preserve">D-17-30 AG17</t>
  </si>
  <si>
    <t xml:space="preserve">D-17-31 AH17</t>
  </si>
  <si>
    <t xml:space="preserve">D-17-32 AI17</t>
  </si>
  <si>
    <t xml:space="preserve">D-17-33 AJ17</t>
  </si>
  <si>
    <t xml:space="preserve">D-17-34 AK17</t>
  </si>
  <si>
    <t xml:space="preserve">D-17-35 AL17</t>
  </si>
  <si>
    <t xml:space="preserve">D-17-36 AM17</t>
  </si>
  <si>
    <t xml:space="preserve">D-18-7 J18</t>
  </si>
  <si>
    <t xml:space="preserve">D-18-8 K18</t>
  </si>
  <si>
    <t xml:space="preserve">D-18-9 L18</t>
  </si>
  <si>
    <t xml:space="preserve">D-18-10 M18</t>
  </si>
  <si>
    <t xml:space="preserve">D-18-11 N18</t>
  </si>
  <si>
    <t xml:space="preserve">D-18-12 O18</t>
  </si>
  <si>
    <t xml:space="preserve">D-18-13 P18</t>
  </si>
  <si>
    <t xml:space="preserve">D-18-14 Q18</t>
  </si>
  <si>
    <t xml:space="preserve">D-18-15 R18</t>
  </si>
  <si>
    <t xml:space="preserve">D-18-16 S18</t>
  </si>
  <si>
    <t xml:space="preserve">D-18-17 T18</t>
  </si>
  <si>
    <t xml:space="preserve">D-18-18 U18</t>
  </si>
  <si>
    <t xml:space="preserve">D-18-19 V18</t>
  </si>
  <si>
    <t xml:space="preserve">D-18-20 W18</t>
  </si>
  <si>
    <t xml:space="preserve">D-18-21 X18</t>
  </si>
  <si>
    <t xml:space="preserve">D-18-22 Y18</t>
  </si>
  <si>
    <t xml:space="preserve">D-18-23 Z18</t>
  </si>
  <si>
    <t xml:space="preserve">D-18-24 AA18</t>
  </si>
  <si>
    <t xml:space="preserve">D-18-25 AB18</t>
  </si>
  <si>
    <t xml:space="preserve">D-18-26 AC18</t>
  </si>
  <si>
    <t xml:space="preserve">D-18-27 AD18</t>
  </si>
  <si>
    <t xml:space="preserve">D-18-28 AE18</t>
  </si>
  <si>
    <t xml:space="preserve">D-18-29 AF18</t>
  </si>
  <si>
    <t xml:space="preserve">D-18-30 AG18</t>
  </si>
  <si>
    <t xml:space="preserve">D-18-31 AH18</t>
  </si>
  <si>
    <t xml:space="preserve">D-18-32 AI18</t>
  </si>
  <si>
    <t xml:space="preserve">D-18-33 AJ18</t>
  </si>
  <si>
    <t xml:space="preserve">D-18-34 AK18</t>
  </si>
  <si>
    <t xml:space="preserve">D-18-35 AL18</t>
  </si>
  <si>
    <t xml:space="preserve">D-18-36 AM18</t>
  </si>
  <si>
    <t xml:space="preserve">D-27-1 D27</t>
  </si>
  <si>
    <t xml:space="preserve">D-27-2 E27</t>
  </si>
  <si>
    <t xml:space="preserve">D-27-3 F27</t>
  </si>
  <si>
    <t xml:space="preserve">D-27-4 G27</t>
  </si>
  <si>
    <t xml:space="preserve">D-27-5 H27</t>
  </si>
  <si>
    <t xml:space="preserve">D-27-6 I27</t>
  </si>
  <si>
    <t xml:space="preserve">D-27-7 J27</t>
  </si>
  <si>
    <t xml:space="preserve">D-27-8 K27</t>
  </si>
  <si>
    <t xml:space="preserve">D-27-9 L27</t>
  </si>
  <si>
    <t xml:space="preserve">D-27-10 M27</t>
  </si>
  <si>
    <t xml:space="preserve">D-27-11 N27</t>
  </si>
  <si>
    <t xml:space="preserve">D-27-12 O27</t>
  </si>
  <si>
    <t xml:space="preserve">D-27-13 P27</t>
  </si>
  <si>
    <t xml:space="preserve">D-27-14 Q27</t>
  </si>
  <si>
    <t xml:space="preserve">D-27-15 R27</t>
  </si>
  <si>
    <t xml:space="preserve">D-27-16 S27</t>
  </si>
  <si>
    <t xml:space="preserve">D-27-17 T27</t>
  </si>
  <si>
    <t xml:space="preserve">D-27-18 U27</t>
  </si>
  <si>
    <t xml:space="preserve">D-27-19 V27</t>
  </si>
  <si>
    <t xml:space="preserve">D-27-20 W27</t>
  </si>
  <si>
    <t xml:space="preserve">D-27-21 X27</t>
  </si>
  <si>
    <t xml:space="preserve">D-27-22 Y27</t>
  </si>
  <si>
    <t xml:space="preserve">D-27-23 Z27</t>
  </si>
  <si>
    <t xml:space="preserve">D-27-24 AA27</t>
  </si>
  <si>
    <t xml:space="preserve">D-27-25 AB27</t>
  </si>
  <si>
    <t xml:space="preserve">D-27-26 AC27</t>
  </si>
  <si>
    <t xml:space="preserve">D-27-27 AD27</t>
  </si>
  <si>
    <t xml:space="preserve">D-27-28 AE27</t>
  </si>
  <si>
    <t xml:space="preserve">D-27-29 AF27</t>
  </si>
  <si>
    <t xml:space="preserve">D-27-30 AG27</t>
  </si>
  <si>
    <t xml:space="preserve">D-27-31 AH27</t>
  </si>
  <si>
    <t xml:space="preserve">D-27-32 AI27</t>
  </si>
  <si>
    <t xml:space="preserve">D-27-33 AJ27</t>
  </si>
  <si>
    <t xml:space="preserve">D-27-34 AK27</t>
  </si>
  <si>
    <t xml:space="preserve">D-27-35 AL27</t>
  </si>
  <si>
    <t xml:space="preserve">D-27-36 AM27</t>
  </si>
  <si>
    <t xml:space="preserve">D-21-1 D21</t>
  </si>
  <si>
    <t xml:space="preserve">L14: price increment compounds monthly; January +2%</t>
  </si>
  <si>
    <t xml:space="preserve">D-21-2 E21</t>
  </si>
  <si>
    <t xml:space="preserve">D-21-3 F21</t>
  </si>
  <si>
    <t xml:space="preserve">D-21-4 G21</t>
  </si>
  <si>
    <t xml:space="preserve">D-21-5 H21</t>
  </si>
  <si>
    <t xml:space="preserve">D-21-6 I21</t>
  </si>
  <si>
    <t xml:space="preserve">D-21-7 J21</t>
  </si>
  <si>
    <t xml:space="preserve">D-21-8 K21</t>
  </si>
  <si>
    <t xml:space="preserve">D-21-9 L21</t>
  </si>
  <si>
    <t xml:space="preserve">D-21-10 M21</t>
  </si>
  <si>
    <t xml:space="preserve">D-21-11 N21</t>
  </si>
  <si>
    <t xml:space="preserve">D-21-12 O21</t>
  </si>
  <si>
    <t xml:space="preserve">D-21-13 P21</t>
  </si>
  <si>
    <t xml:space="preserve">D-21-14 Q21</t>
  </si>
  <si>
    <t xml:space="preserve">D-21-15 R21</t>
  </si>
  <si>
    <t xml:space="preserve">D-21-16 S21</t>
  </si>
  <si>
    <t xml:space="preserve">D-21-17 T21</t>
  </si>
  <si>
    <t xml:space="preserve">D-21-18 U21</t>
  </si>
  <si>
    <t xml:space="preserve">D-21-19 V21</t>
  </si>
  <si>
    <t xml:space="preserve">D-21-20 W21</t>
  </si>
  <si>
    <t xml:space="preserve">D-21-21 X21</t>
  </si>
  <si>
    <t xml:space="preserve">D-21-22 Y21</t>
  </si>
  <si>
    <t xml:space="preserve">D-21-23 Z21</t>
  </si>
  <si>
    <t xml:space="preserve">D-21-24 AA21</t>
  </si>
  <si>
    <t xml:space="preserve">D-21-25 AB21</t>
  </si>
  <si>
    <t xml:space="preserve">D-21-26 AC21</t>
  </si>
  <si>
    <t xml:space="preserve">D-21-27 AD21</t>
  </si>
  <si>
    <t xml:space="preserve">D-21-28 AE21</t>
  </si>
  <si>
    <t xml:space="preserve">D-21-29 AF21</t>
  </si>
  <si>
    <t xml:space="preserve">D-21-30 AG21</t>
  </si>
  <si>
    <t xml:space="preserve">D-21-31 AH21</t>
  </si>
  <si>
    <t xml:space="preserve">D-21-32 AI21</t>
  </si>
  <si>
    <t xml:space="preserve">D-21-33 AJ21</t>
  </si>
  <si>
    <t xml:space="preserve">D-21-34 AK21</t>
  </si>
  <si>
    <t xml:space="preserve">D-21-35 AL21</t>
  </si>
  <si>
    <t xml:space="preserve">D-21-36 AM21</t>
  </si>
  <si>
    <t xml:space="preserve">D-22-1 D22</t>
  </si>
  <si>
    <t xml:space="preserve">L14: variable overhead proxy; January +2%</t>
  </si>
  <si>
    <t xml:space="preserve">D-22-2 E22</t>
  </si>
  <si>
    <t xml:space="preserve">D-22-3 F22</t>
  </si>
  <si>
    <t xml:space="preserve">D-22-4 G22</t>
  </si>
  <si>
    <t xml:space="preserve">D-22-5 H22</t>
  </si>
  <si>
    <t xml:space="preserve">D-22-6 I22</t>
  </si>
  <si>
    <t xml:space="preserve">D-22-7 J22</t>
  </si>
  <si>
    <t xml:space="preserve">D-22-8 K22</t>
  </si>
  <si>
    <t xml:space="preserve">D-22-9 L22</t>
  </si>
  <si>
    <t xml:space="preserve">D-22-10 M22</t>
  </si>
  <si>
    <t xml:space="preserve">D-22-11 N22</t>
  </si>
  <si>
    <t xml:space="preserve">D-22-12 O22</t>
  </si>
  <si>
    <t xml:space="preserve">D-22-13 P22</t>
  </si>
  <si>
    <t xml:space="preserve">D-22-14 Q22</t>
  </si>
  <si>
    <t xml:space="preserve">D-22-15 R22</t>
  </si>
  <si>
    <t xml:space="preserve">D-22-16 S22</t>
  </si>
  <si>
    <t xml:space="preserve">D-22-17 T22</t>
  </si>
  <si>
    <t xml:space="preserve">D-22-18 U22</t>
  </si>
  <si>
    <t xml:space="preserve">D-22-19 V22</t>
  </si>
  <si>
    <t xml:space="preserve">D-22-20 W22</t>
  </si>
  <si>
    <t xml:space="preserve">D-22-21 X22</t>
  </si>
  <si>
    <t xml:space="preserve">D-22-22 Y22</t>
  </si>
  <si>
    <t xml:space="preserve">D-22-23 Z22</t>
  </si>
  <si>
    <t xml:space="preserve">D-22-24 AA22</t>
  </si>
  <si>
    <t xml:space="preserve">D-22-25 AB22</t>
  </si>
  <si>
    <t xml:space="preserve">D-22-26 AC22</t>
  </si>
  <si>
    <t xml:space="preserve">D-22-27 AD22</t>
  </si>
  <si>
    <t xml:space="preserve">D-22-28 AE22</t>
  </si>
  <si>
    <t xml:space="preserve">D-22-29 AF22</t>
  </si>
  <si>
    <t xml:space="preserve">D-22-30 AG22</t>
  </si>
  <si>
    <t xml:space="preserve">D-22-31 AH22</t>
  </si>
  <si>
    <t xml:space="preserve">D-22-32 AI22</t>
  </si>
  <si>
    <t xml:space="preserve">D-22-33 AJ22</t>
  </si>
  <si>
    <t xml:space="preserve">D-22-34 AK22</t>
  </si>
  <si>
    <t xml:space="preserve">D-22-35 AL22</t>
  </si>
  <si>
    <t xml:space="preserve">D-22-36 AM22</t>
  </si>
  <si>
    <t xml:space="preserve">D-23-1 D23</t>
  </si>
  <si>
    <t xml:space="preserve">L15: gross remuneration / year-end HC is a proxy, not disclosed average salary</t>
  </si>
  <si>
    <t xml:space="preserve">D-23-2 E23</t>
  </si>
  <si>
    <t xml:space="preserve">D-23-3 F23</t>
  </si>
  <si>
    <t xml:space="preserve">D-23-4 G23</t>
  </si>
  <si>
    <t xml:space="preserve">D-23-5 H23</t>
  </si>
  <si>
    <t xml:space="preserve">D-23-6 I23</t>
  </si>
  <si>
    <t xml:space="preserve">D-23-7 J23</t>
  </si>
  <si>
    <t xml:space="preserve">D-23-8 K23</t>
  </si>
  <si>
    <t xml:space="preserve">D-23-9 L23</t>
  </si>
  <si>
    <t xml:space="preserve">D-23-10 M23</t>
  </si>
  <si>
    <t xml:space="preserve">D-23-11 N23</t>
  </si>
  <si>
    <t xml:space="preserve">D-23-12 O23</t>
  </si>
  <si>
    <t xml:space="preserve">D-23-13 P23</t>
  </si>
  <si>
    <t xml:space="preserve">D-23-14 Q23</t>
  </si>
  <si>
    <t xml:space="preserve">D-23-15 R23</t>
  </si>
  <si>
    <t xml:space="preserve">D-23-16 S23</t>
  </si>
  <si>
    <t xml:space="preserve">D-23-17 T23</t>
  </si>
  <si>
    <t xml:space="preserve">D-23-18 U23</t>
  </si>
  <si>
    <t xml:space="preserve">D-23-19 V23</t>
  </si>
  <si>
    <t xml:space="preserve">D-23-20 W23</t>
  </si>
  <si>
    <t xml:space="preserve">D-23-21 X23</t>
  </si>
  <si>
    <t xml:space="preserve">D-23-22 Y23</t>
  </si>
  <si>
    <t xml:space="preserve">D-23-23 Z23</t>
  </si>
  <si>
    <t xml:space="preserve">D-23-24 AA23</t>
  </si>
  <si>
    <t xml:space="preserve">D-23-25 AB23</t>
  </si>
  <si>
    <t xml:space="preserve">D-23-26 AC23</t>
  </si>
  <si>
    <t xml:space="preserve">D-23-27 AD23</t>
  </si>
  <si>
    <t xml:space="preserve">D-23-28 AE23</t>
  </si>
  <si>
    <t xml:space="preserve">D-23-29 AF23</t>
  </si>
  <si>
    <t xml:space="preserve">D-23-30 AG23</t>
  </si>
  <si>
    <t xml:space="preserve">D-23-31 AH23</t>
  </si>
  <si>
    <t xml:space="preserve">D-23-32 AI23</t>
  </si>
  <si>
    <t xml:space="preserve">D-23-33 AJ23</t>
  </si>
  <si>
    <t xml:space="preserve">D-23-34 AK23</t>
  </si>
  <si>
    <t xml:space="preserve">D-23-35 AL23</t>
  </si>
  <si>
    <t xml:space="preserve">D-23-36 AM23</t>
  </si>
  <si>
    <t xml:space="preserve">D-29-1 D29</t>
  </si>
  <si>
    <t xml:space="preserve">L13: period-end RM value / annual main-business material cost</t>
  </si>
  <si>
    <t xml:space="preserve">D-29-2 E29</t>
  </si>
  <si>
    <t xml:space="preserve">D-29-3 F29</t>
  </si>
  <si>
    <t xml:space="preserve">D-29-4 G29</t>
  </si>
  <si>
    <t xml:space="preserve">D-29-5 H29</t>
  </si>
  <si>
    <t xml:space="preserve">D-29-6 I29</t>
  </si>
  <si>
    <t xml:space="preserve">D-29-7 J29</t>
  </si>
  <si>
    <t xml:space="preserve">D-29-8 K29</t>
  </si>
  <si>
    <t xml:space="preserve">D-29-9 L29</t>
  </si>
  <si>
    <t xml:space="preserve">D-29-10 M29</t>
  </si>
  <si>
    <t xml:space="preserve">D-29-11 N29</t>
  </si>
  <si>
    <t xml:space="preserve">D-29-12 O29</t>
  </si>
  <si>
    <t xml:space="preserve">D-29-13 P29</t>
  </si>
  <si>
    <t xml:space="preserve">D-29-14 Q29</t>
  </si>
  <si>
    <t xml:space="preserve">D-29-15 R29</t>
  </si>
  <si>
    <t xml:space="preserve">D-29-16 S29</t>
  </si>
  <si>
    <t xml:space="preserve">D-29-17 T29</t>
  </si>
  <si>
    <t xml:space="preserve">D-29-18 U29</t>
  </si>
  <si>
    <t xml:space="preserve">D-29-19 V29</t>
  </si>
  <si>
    <t xml:space="preserve">D-29-20 W29</t>
  </si>
  <si>
    <t xml:space="preserve">D-29-21 X29</t>
  </si>
  <si>
    <t xml:space="preserve">D-29-22 Y29</t>
  </si>
  <si>
    <t xml:space="preserve">D-29-23 Z29</t>
  </si>
  <si>
    <t xml:space="preserve">D-29-24 AA29</t>
  </si>
  <si>
    <t xml:space="preserve">D-29-25 AB29</t>
  </si>
  <si>
    <t xml:space="preserve">D-29-26 AC29</t>
  </si>
  <si>
    <t xml:space="preserve">D-29-27 AD29</t>
  </si>
  <si>
    <t xml:space="preserve">D-29-28 AE29</t>
  </si>
  <si>
    <t xml:space="preserve">D-29-29 AF29</t>
  </si>
  <si>
    <t xml:space="preserve">D-29-30 AG29</t>
  </si>
  <si>
    <t xml:space="preserve">D-29-31 AH29</t>
  </si>
  <si>
    <t xml:space="preserve">D-29-32 AI29</t>
  </si>
  <si>
    <t xml:space="preserve">D-29-33 AJ29</t>
  </si>
  <si>
    <t xml:space="preserve">D-29-34 AK29</t>
  </si>
  <si>
    <t xml:space="preserve">D-29-35 AL29</t>
  </si>
  <si>
    <t xml:space="preserve">D-29-36 AM29</t>
  </si>
  <si>
    <t xml:space="preserve">D-30-1 D30</t>
  </si>
  <si>
    <t xml:space="preserve">L16: gross trade receivable / annual revenue; bills and contract assets carried separately</t>
  </si>
  <si>
    <t xml:space="preserve">D-30-2 E30</t>
  </si>
  <si>
    <t xml:space="preserve">D-30-3 F30</t>
  </si>
  <si>
    <t xml:space="preserve">D-30-4 G30</t>
  </si>
  <si>
    <t xml:space="preserve">D-30-5 H30</t>
  </si>
  <si>
    <t xml:space="preserve">D-30-6 I30</t>
  </si>
  <si>
    <t xml:space="preserve">D-30-7 J30</t>
  </si>
  <si>
    <t xml:space="preserve">D-30-8 K30</t>
  </si>
  <si>
    <t xml:space="preserve">D-30-9 L30</t>
  </si>
  <si>
    <t xml:space="preserve">D-30-10 M30</t>
  </si>
  <si>
    <t xml:space="preserve">D-30-11 N30</t>
  </si>
  <si>
    <t xml:space="preserve">D-30-12 O30</t>
  </si>
  <si>
    <t xml:space="preserve">D-30-13 P30</t>
  </si>
  <si>
    <t xml:space="preserve">D-30-14 Q30</t>
  </si>
  <si>
    <t xml:space="preserve">D-30-15 R30</t>
  </si>
  <si>
    <t xml:space="preserve">D-30-16 S30</t>
  </si>
  <si>
    <t xml:space="preserve">D-30-17 T30</t>
  </si>
  <si>
    <t xml:space="preserve">D-30-18 U30</t>
  </si>
  <si>
    <t xml:space="preserve">D-30-19 V30</t>
  </si>
  <si>
    <t xml:space="preserve">D-30-20 W30</t>
  </si>
  <si>
    <t xml:space="preserve">D-30-21 X30</t>
  </si>
  <si>
    <t xml:space="preserve">D-30-22 Y30</t>
  </si>
  <si>
    <t xml:space="preserve">D-30-23 Z30</t>
  </si>
  <si>
    <t xml:space="preserve">D-30-24 AA30</t>
  </si>
  <si>
    <t xml:space="preserve">D-30-25 AB30</t>
  </si>
  <si>
    <t xml:space="preserve">D-30-26 AC30</t>
  </si>
  <si>
    <t xml:space="preserve">D-30-27 AD30</t>
  </si>
  <si>
    <t xml:space="preserve">D-30-28 AE30</t>
  </si>
  <si>
    <t xml:space="preserve">D-30-29 AF30</t>
  </si>
  <si>
    <t xml:space="preserve">D-30-30 AG30</t>
  </si>
  <si>
    <t xml:space="preserve">D-30-31 AH30</t>
  </si>
  <si>
    <t xml:space="preserve">D-30-32 AI30</t>
  </si>
  <si>
    <t xml:space="preserve">D-30-33 AJ30</t>
  </si>
  <si>
    <t xml:space="preserve">D-30-34 AK30</t>
  </si>
  <si>
    <t xml:space="preserve">D-30-35 AL30</t>
  </si>
  <si>
    <t xml:space="preserve">D-30-36 AM30</t>
  </si>
  <si>
    <t xml:space="preserve">D-31-1 D31</t>
  </si>
  <si>
    <t xml:space="preserve">FY2025 p124 ratio; forecast ECL approximation</t>
  </si>
  <si>
    <t xml:space="preserve">0 to100%</t>
  </si>
  <si>
    <t xml:space="preserve">D-31-2 E31</t>
  </si>
  <si>
    <t xml:space="preserve">D-31-3 F31</t>
  </si>
  <si>
    <t xml:space="preserve">D-31-4 G31</t>
  </si>
  <si>
    <t xml:space="preserve">D-31-5 H31</t>
  </si>
  <si>
    <t xml:space="preserve">D-31-6 I31</t>
  </si>
  <si>
    <t xml:space="preserve">D-31-7 J31</t>
  </si>
  <si>
    <t xml:space="preserve">D-31-8 K31</t>
  </si>
  <si>
    <t xml:space="preserve">D-31-9 L31</t>
  </si>
  <si>
    <t xml:space="preserve">D-31-10 M31</t>
  </si>
  <si>
    <t xml:space="preserve">D-31-11 N31</t>
  </si>
  <si>
    <t xml:space="preserve">D-31-12 O31</t>
  </si>
  <si>
    <t xml:space="preserve">D-31-13 P31</t>
  </si>
  <si>
    <t xml:space="preserve">D-31-14 Q31</t>
  </si>
  <si>
    <t xml:space="preserve">D-31-15 R31</t>
  </si>
  <si>
    <t xml:space="preserve">D-31-16 S31</t>
  </si>
  <si>
    <t xml:space="preserve">D-31-17 T31</t>
  </si>
  <si>
    <t xml:space="preserve">D-31-18 U31</t>
  </si>
  <si>
    <t xml:space="preserve">D-31-19 V31</t>
  </si>
  <si>
    <t xml:space="preserve">D-31-20 W31</t>
  </si>
  <si>
    <t xml:space="preserve">D-31-21 X31</t>
  </si>
  <si>
    <t xml:space="preserve">D-31-22 Y31</t>
  </si>
  <si>
    <t xml:space="preserve">D-31-23 Z31</t>
  </si>
  <si>
    <t xml:space="preserve">D-31-24 AA31</t>
  </si>
  <si>
    <t xml:space="preserve">D-31-25 AB31</t>
  </si>
  <si>
    <t xml:space="preserve">D-31-26 AC31</t>
  </si>
  <si>
    <t xml:space="preserve">D-31-27 AD31</t>
  </si>
  <si>
    <t xml:space="preserve">D-31-28 AE31</t>
  </si>
  <si>
    <t xml:space="preserve">D-31-29 AF31</t>
  </si>
  <si>
    <t xml:space="preserve">D-31-30 AG31</t>
  </si>
  <si>
    <t xml:space="preserve">D-31-31 AH31</t>
  </si>
  <si>
    <t xml:space="preserve">D-31-32 AI31</t>
  </si>
  <si>
    <t xml:space="preserve">D-31-33 AJ31</t>
  </si>
  <si>
    <t xml:space="preserve">D-31-34 AK31</t>
  </si>
  <si>
    <t xml:space="preserve">D-31-35 AL31</t>
  </si>
  <si>
    <t xml:space="preserve">D-31-36 AM31</t>
  </si>
  <si>
    <t xml:space="preserve">D-32-1 D32</t>
  </si>
  <si>
    <t xml:space="preserve">L16: material cost is opening proxy for purchases; forecast denominator is actual modeled RM purchases</t>
  </si>
  <si>
    <t xml:space="preserve">D-32-2 E32</t>
  </si>
  <si>
    <t xml:space="preserve">D-32-3 F32</t>
  </si>
  <si>
    <t xml:space="preserve">D-32-4 G32</t>
  </si>
  <si>
    <t xml:space="preserve">D-32-5 H32</t>
  </si>
  <si>
    <t xml:space="preserve">D-32-6 I32</t>
  </si>
  <si>
    <t xml:space="preserve">D-32-7 J32</t>
  </si>
  <si>
    <t xml:space="preserve">D-32-8 K32</t>
  </si>
  <si>
    <t xml:space="preserve">D-32-9 L32</t>
  </si>
  <si>
    <t xml:space="preserve">D-32-10 M32</t>
  </si>
  <si>
    <t xml:space="preserve">D-32-11 N32</t>
  </si>
  <si>
    <t xml:space="preserve">D-32-12 O32</t>
  </si>
  <si>
    <t xml:space="preserve">D-32-13 P32</t>
  </si>
  <si>
    <t xml:space="preserve">D-32-14 Q32</t>
  </si>
  <si>
    <t xml:space="preserve">D-32-15 R32</t>
  </si>
  <si>
    <t xml:space="preserve">D-32-16 S32</t>
  </si>
  <si>
    <t xml:space="preserve">D-32-17 T32</t>
  </si>
  <si>
    <t xml:space="preserve">D-32-18 U32</t>
  </si>
  <si>
    <t xml:space="preserve">D-32-19 V32</t>
  </si>
  <si>
    <t xml:space="preserve">D-32-20 W32</t>
  </si>
  <si>
    <t xml:space="preserve">D-32-21 X32</t>
  </si>
  <si>
    <t xml:space="preserve">D-32-22 Y32</t>
  </si>
  <si>
    <t xml:space="preserve">D-32-23 Z32</t>
  </si>
  <si>
    <t xml:space="preserve">D-32-24 AA32</t>
  </si>
  <si>
    <t xml:space="preserve">D-32-25 AB32</t>
  </si>
  <si>
    <t xml:space="preserve">D-32-26 AC32</t>
  </si>
  <si>
    <t xml:space="preserve">D-32-27 AD32</t>
  </si>
  <si>
    <t xml:space="preserve">D-32-28 AE32</t>
  </si>
  <si>
    <t xml:space="preserve">D-32-29 AF32</t>
  </si>
  <si>
    <t xml:space="preserve">D-32-30 AG32</t>
  </si>
  <si>
    <t xml:space="preserve">D-32-31 AH32</t>
  </si>
  <si>
    <t xml:space="preserve">D-32-32 AI32</t>
  </si>
  <si>
    <t xml:space="preserve">D-32-33 AJ32</t>
  </si>
  <si>
    <t xml:space="preserve">D-32-34 AK32</t>
  </si>
  <si>
    <t xml:space="preserve">D-32-35 AL32</t>
  </si>
  <si>
    <t xml:space="preserve">D-32-36 AM32</t>
  </si>
  <si>
    <t xml:space="preserve">D-33-1 D33</t>
  </si>
  <si>
    <t xml:space="preserve">L13: explicit incremental WIP cost request; no hidden balancing</t>
  </si>
  <si>
    <t xml:space="preserve">D-33-2 E33</t>
  </si>
  <si>
    <t xml:space="preserve">D-33-3 F33</t>
  </si>
  <si>
    <t xml:space="preserve">D-33-4 G33</t>
  </si>
  <si>
    <t xml:space="preserve">D-33-5 H33</t>
  </si>
  <si>
    <t xml:space="preserve">D-33-6 I33</t>
  </si>
  <si>
    <t xml:space="preserve">D-33-7 J33</t>
  </si>
  <si>
    <t xml:space="preserve">D-33-8 K33</t>
  </si>
  <si>
    <t xml:space="preserve">D-33-9 L33</t>
  </si>
  <si>
    <t xml:space="preserve">D-33-10 M33</t>
  </si>
  <si>
    <t xml:space="preserve">D-33-11 N33</t>
  </si>
  <si>
    <t xml:space="preserve">D-33-12 O33</t>
  </si>
  <si>
    <t xml:space="preserve">D-33-13 P33</t>
  </si>
  <si>
    <t xml:space="preserve">D-33-14 Q33</t>
  </si>
  <si>
    <t xml:space="preserve">D-33-15 R33</t>
  </si>
  <si>
    <t xml:space="preserve">D-33-16 S33</t>
  </si>
  <si>
    <t xml:space="preserve">D-33-17 T33</t>
  </si>
  <si>
    <t xml:space="preserve">D-33-18 U33</t>
  </si>
  <si>
    <t xml:space="preserve">D-33-19 V33</t>
  </si>
  <si>
    <t xml:space="preserve">D-33-20 W33</t>
  </si>
  <si>
    <t xml:space="preserve">D-33-21 X33</t>
  </si>
  <si>
    <t xml:space="preserve">D-33-22 Y33</t>
  </si>
  <si>
    <t xml:space="preserve">D-33-23 Z33</t>
  </si>
  <si>
    <t xml:space="preserve">D-33-24 AA33</t>
  </si>
  <si>
    <t xml:space="preserve">D-33-25 AB33</t>
  </si>
  <si>
    <t xml:space="preserve">D-33-26 AC33</t>
  </si>
  <si>
    <t xml:space="preserve">D-33-27 AD33</t>
  </si>
  <si>
    <t xml:space="preserve">D-33-28 AE33</t>
  </si>
  <si>
    <t xml:space="preserve">D-33-29 AF33</t>
  </si>
  <si>
    <t xml:space="preserve">D-33-30 AG33</t>
  </si>
  <si>
    <t xml:space="preserve">D-33-31 AH33</t>
  </si>
  <si>
    <t xml:space="preserve">D-33-32 AI33</t>
  </si>
  <si>
    <t xml:space="preserve">D-33-33 AJ33</t>
  </si>
  <si>
    <t xml:space="preserve">D-33-34 AK33</t>
  </si>
  <si>
    <t xml:space="preserve">D-33-35 AL33</t>
  </si>
  <si>
    <t xml:space="preserve">D-33-36 AM33</t>
  </si>
  <si>
    <t xml:space="preserve">D-34-1 D34</t>
  </si>
  <si>
    <t xml:space="preserve">L13: release limited by opening WIP plus additions</t>
  </si>
  <si>
    <t xml:space="preserve">D-34-2 E34</t>
  </si>
  <si>
    <t xml:space="preserve">D-34-3 F34</t>
  </si>
  <si>
    <t xml:space="preserve">D-34-4 G34</t>
  </si>
  <si>
    <t xml:space="preserve">D-34-5 H34</t>
  </si>
  <si>
    <t xml:space="preserve">D-34-6 I34</t>
  </si>
  <si>
    <t xml:space="preserve">D-34-7 J34</t>
  </si>
  <si>
    <t xml:space="preserve">D-34-8 K34</t>
  </si>
  <si>
    <t xml:space="preserve">D-34-9 L34</t>
  </si>
  <si>
    <t xml:space="preserve">D-34-10 M34</t>
  </si>
  <si>
    <t xml:space="preserve">D-34-11 N34</t>
  </si>
  <si>
    <t xml:space="preserve">D-34-12 O34</t>
  </si>
  <si>
    <t xml:space="preserve">D-34-13 P34</t>
  </si>
  <si>
    <t xml:space="preserve">D-34-14 Q34</t>
  </si>
  <si>
    <t xml:space="preserve">D-34-15 R34</t>
  </si>
  <si>
    <t xml:space="preserve">D-34-16 S34</t>
  </si>
  <si>
    <t xml:space="preserve">D-34-17 T34</t>
  </si>
  <si>
    <t xml:space="preserve">D-34-18 U34</t>
  </si>
  <si>
    <t xml:space="preserve">D-34-19 V34</t>
  </si>
  <si>
    <t xml:space="preserve">D-34-20 W34</t>
  </si>
  <si>
    <t xml:space="preserve">D-34-21 X34</t>
  </si>
  <si>
    <t xml:space="preserve">D-34-22 Y34</t>
  </si>
  <si>
    <t xml:space="preserve">D-34-23 Z34</t>
  </si>
  <si>
    <t xml:space="preserve">D-34-24 AA34</t>
  </si>
  <si>
    <t xml:space="preserve">D-34-25 AB34</t>
  </si>
  <si>
    <t xml:space="preserve">D-34-26 AC34</t>
  </si>
  <si>
    <t xml:space="preserve">D-34-27 AD34</t>
  </si>
  <si>
    <t xml:space="preserve">D-34-28 AE34</t>
  </si>
  <si>
    <t xml:space="preserve">D-34-29 AF34</t>
  </si>
  <si>
    <t xml:space="preserve">D-34-30 AG34</t>
  </si>
  <si>
    <t xml:space="preserve">D-34-31 AH34</t>
  </si>
  <si>
    <t xml:space="preserve">D-34-32 AI34</t>
  </si>
  <si>
    <t xml:space="preserve">D-34-33 AJ34</t>
  </si>
  <si>
    <t xml:space="preserve">D-34-34 AK34</t>
  </si>
  <si>
    <t xml:space="preserve">D-34-35 AL34</t>
  </si>
  <si>
    <t xml:space="preserve">D-34-36 AM34</t>
  </si>
  <si>
    <t xml:space="preserve">D-35-1 D35</t>
  </si>
  <si>
    <t xml:space="preserve">FY2025 current tax / PBT; L17 teaching monthly tax, no tax-loss carryforward</t>
  </si>
  <si>
    <t xml:space="preserve">D-35-2 E35</t>
  </si>
  <si>
    <t xml:space="preserve">D-35-3 F35</t>
  </si>
  <si>
    <t xml:space="preserve">D-35-4 G35</t>
  </si>
  <si>
    <t xml:space="preserve">D-35-5 H35</t>
  </si>
  <si>
    <t xml:space="preserve">D-35-6 I35</t>
  </si>
  <si>
    <t xml:space="preserve">D-35-7 J35</t>
  </si>
  <si>
    <t xml:space="preserve">D-35-8 K35</t>
  </si>
  <si>
    <t xml:space="preserve">D-35-9 L35</t>
  </si>
  <si>
    <t xml:space="preserve">D-35-10 M35</t>
  </si>
  <si>
    <t xml:space="preserve">D-35-11 N35</t>
  </si>
  <si>
    <t xml:space="preserve">D-35-12 O35</t>
  </si>
  <si>
    <t xml:space="preserve">D-35-13 P35</t>
  </si>
  <si>
    <t xml:space="preserve">D-35-14 Q35</t>
  </si>
  <si>
    <t xml:space="preserve">D-35-15 R35</t>
  </si>
  <si>
    <t xml:space="preserve">D-35-16 S35</t>
  </si>
  <si>
    <t xml:space="preserve">D-35-17 T35</t>
  </si>
  <si>
    <t xml:space="preserve">D-35-18 U35</t>
  </si>
  <si>
    <t xml:space="preserve">D-35-19 V35</t>
  </si>
  <si>
    <t xml:space="preserve">D-35-20 W35</t>
  </si>
  <si>
    <t xml:space="preserve">D-35-21 X35</t>
  </si>
  <si>
    <t xml:space="preserve">D-35-22 Y35</t>
  </si>
  <si>
    <t xml:space="preserve">D-35-23 Z35</t>
  </si>
  <si>
    <t xml:space="preserve">D-35-24 AA35</t>
  </si>
  <si>
    <t xml:space="preserve">D-35-25 AB35</t>
  </si>
  <si>
    <t xml:space="preserve">D-35-26 AC35</t>
  </si>
  <si>
    <t xml:space="preserve">D-35-27 AD35</t>
  </si>
  <si>
    <t xml:space="preserve">D-35-28 AE35</t>
  </si>
  <si>
    <t xml:space="preserve">D-35-29 AF35</t>
  </si>
  <si>
    <t xml:space="preserve">D-35-30 AG35</t>
  </si>
  <si>
    <t xml:space="preserve">D-35-31 AH35</t>
  </si>
  <si>
    <t xml:space="preserve">D-35-32 AI35</t>
  </si>
  <si>
    <t xml:space="preserve">D-35-33 AJ35</t>
  </si>
  <si>
    <t xml:space="preserve">D-35-34 AK35</t>
  </si>
  <si>
    <t xml:space="preserve">D-35-35 AL35</t>
  </si>
  <si>
    <t xml:space="preserve">D-35-36 AM35</t>
  </si>
  <si>
    <t xml:space="preserve">D-36-1 D36</t>
  </si>
  <si>
    <t xml:space="preserve">L17: quarterly full cash settlement, not issuer payment calendar</t>
  </si>
  <si>
    <t xml:space="preserve">D-36-2 E36</t>
  </si>
  <si>
    <t xml:space="preserve">D-36-3 F36</t>
  </si>
  <si>
    <t xml:space="preserve">D-36-4 G36</t>
  </si>
  <si>
    <t xml:space="preserve">D-36-5 H36</t>
  </si>
  <si>
    <t xml:space="preserve">D-36-6 I36</t>
  </si>
  <si>
    <t xml:space="preserve">D-36-7 J36</t>
  </si>
  <si>
    <t xml:space="preserve">D-36-8 K36</t>
  </si>
  <si>
    <t xml:space="preserve">D-36-9 L36</t>
  </si>
  <si>
    <t xml:space="preserve">D-36-10 M36</t>
  </si>
  <si>
    <t xml:space="preserve">D-36-11 N36</t>
  </si>
  <si>
    <t xml:space="preserve">D-36-12 O36</t>
  </si>
  <si>
    <t xml:space="preserve">D-36-13 P36</t>
  </si>
  <si>
    <t xml:space="preserve">D-36-14 Q36</t>
  </si>
  <si>
    <t xml:space="preserve">D-36-15 R36</t>
  </si>
  <si>
    <t xml:space="preserve">D-36-16 S36</t>
  </si>
  <si>
    <t xml:space="preserve">D-36-17 T36</t>
  </si>
  <si>
    <t xml:space="preserve">D-36-18 U36</t>
  </si>
  <si>
    <t xml:space="preserve">D-36-19 V36</t>
  </si>
  <si>
    <t xml:space="preserve">D-36-20 W36</t>
  </si>
  <si>
    <t xml:space="preserve">D-36-21 X36</t>
  </si>
  <si>
    <t xml:space="preserve">D-36-22 Y36</t>
  </si>
  <si>
    <t xml:space="preserve">D-36-23 Z36</t>
  </si>
  <si>
    <t xml:space="preserve">D-36-24 AA36</t>
  </si>
  <si>
    <t xml:space="preserve">D-36-25 AB36</t>
  </si>
  <si>
    <t xml:space="preserve">D-36-26 AC36</t>
  </si>
  <si>
    <t xml:space="preserve">D-36-27 AD36</t>
  </si>
  <si>
    <t xml:space="preserve">D-36-28 AE36</t>
  </si>
  <si>
    <t xml:space="preserve">D-36-29 AF36</t>
  </si>
  <si>
    <t xml:space="preserve">D-36-30 AG36</t>
  </si>
  <si>
    <t xml:space="preserve">D-36-31 AH36</t>
  </si>
  <si>
    <t xml:space="preserve">D-36-32 AI36</t>
  </si>
  <si>
    <t xml:space="preserve">D-36-33 AJ36</t>
  </si>
  <si>
    <t xml:space="preserve">D-36-34 AK36</t>
  </si>
  <si>
    <t xml:space="preserve">D-36-35 AL36</t>
  </si>
  <si>
    <t xml:space="preserve">D-36-36 AM36</t>
  </si>
  <si>
    <t xml:space="preserve">D-37-1 D37</t>
  </si>
  <si>
    <t xml:space="preserve">L18: June distribution of 90% prior-year profit, capped by retained earnings; not a legal opinion</t>
  </si>
  <si>
    <t xml:space="preserve">D-37-2 E37</t>
  </si>
  <si>
    <t xml:space="preserve">D-37-3 F37</t>
  </si>
  <si>
    <t xml:space="preserve">D-37-4 G37</t>
  </si>
  <si>
    <t xml:space="preserve">D-37-5 H37</t>
  </si>
  <si>
    <t xml:space="preserve">D-37-6 I37</t>
  </si>
  <si>
    <t xml:space="preserve">D-37-7 J37</t>
  </si>
  <si>
    <t xml:space="preserve">D-37-8 K37</t>
  </si>
  <si>
    <t xml:space="preserve">D-37-9 L37</t>
  </si>
  <si>
    <t xml:space="preserve">D-37-10 M37</t>
  </si>
  <si>
    <t xml:space="preserve">D-37-11 N37</t>
  </si>
  <si>
    <t xml:space="preserve">D-37-12 O37</t>
  </si>
  <si>
    <t xml:space="preserve">D-37-13 P37</t>
  </si>
  <si>
    <t xml:space="preserve">D-37-14 Q37</t>
  </si>
  <si>
    <t xml:space="preserve">D-37-15 R37</t>
  </si>
  <si>
    <t xml:space="preserve">D-37-16 S37</t>
  </si>
  <si>
    <t xml:space="preserve">D-37-17 T37</t>
  </si>
  <si>
    <t xml:space="preserve">D-37-18 U37</t>
  </si>
  <si>
    <t xml:space="preserve">D-37-19 V37</t>
  </si>
  <si>
    <t xml:space="preserve">D-37-20 W37</t>
  </si>
  <si>
    <t xml:space="preserve">D-37-21 X37</t>
  </si>
  <si>
    <t xml:space="preserve">D-37-22 Y37</t>
  </si>
  <si>
    <t xml:space="preserve">D-37-23 Z37</t>
  </si>
  <si>
    <t xml:space="preserve">D-37-24 AA37</t>
  </si>
  <si>
    <t xml:space="preserve">D-37-25 AB37</t>
  </si>
  <si>
    <t xml:space="preserve">D-37-26 AC37</t>
  </si>
  <si>
    <t xml:space="preserve">D-37-27 AD37</t>
  </si>
  <si>
    <t xml:space="preserve">D-37-28 AE37</t>
  </si>
  <si>
    <t xml:space="preserve">D-37-29 AF37</t>
  </si>
  <si>
    <t xml:space="preserve">D-37-30 AG37</t>
  </si>
  <si>
    <t xml:space="preserve">D-37-31 AH37</t>
  </si>
  <si>
    <t xml:space="preserve">D-37-32 AI37</t>
  </si>
  <si>
    <t xml:space="preserve">D-37-33 AJ37</t>
  </si>
  <si>
    <t xml:space="preserve">D-37-34 AK37</t>
  </si>
  <si>
    <t xml:space="preserve">D-37-35 AL37</t>
  </si>
  <si>
    <t xml:space="preserve">D-37-36 AM37</t>
  </si>
  <si>
    <t xml:space="preserve">D-38-1 D38</t>
  </si>
  <si>
    <t xml:space="preserve">L04: UNKNOWN official capacity; baseline zero verified headroom. Positive entries are hypothetical until sourced</t>
  </si>
  <si>
    <t xml:space="preserve">D-38-2 E38</t>
  </si>
  <si>
    <t xml:space="preserve">D-38-3 F38</t>
  </si>
  <si>
    <t xml:space="preserve">D-38-4 G38</t>
  </si>
  <si>
    <t xml:space="preserve">D-38-5 H38</t>
  </si>
  <si>
    <t xml:space="preserve">D-38-6 I38</t>
  </si>
  <si>
    <t xml:space="preserve">D-38-7 J38</t>
  </si>
  <si>
    <t xml:space="preserve">D-38-8 K38</t>
  </si>
  <si>
    <t xml:space="preserve">D-38-9 L38</t>
  </si>
  <si>
    <t xml:space="preserve">D-38-10 M38</t>
  </si>
  <si>
    <t xml:space="preserve">D-38-11 N38</t>
  </si>
  <si>
    <t xml:space="preserve">D-38-12 O38</t>
  </si>
  <si>
    <t xml:space="preserve">D-38-13 P38</t>
  </si>
  <si>
    <t xml:space="preserve">D-38-14 Q38</t>
  </si>
  <si>
    <t xml:space="preserve">D-38-15 R38</t>
  </si>
  <si>
    <t xml:space="preserve">D-38-16 S38</t>
  </si>
  <si>
    <t xml:space="preserve">D-38-17 T38</t>
  </si>
  <si>
    <t xml:space="preserve">D-38-18 U38</t>
  </si>
  <si>
    <t xml:space="preserve">D-38-19 V38</t>
  </si>
  <si>
    <t xml:space="preserve">D-38-20 W38</t>
  </si>
  <si>
    <t xml:space="preserve">D-38-21 X38</t>
  </si>
  <si>
    <t xml:space="preserve">D-38-22 Y38</t>
  </si>
  <si>
    <t xml:space="preserve">D-38-23 Z38</t>
  </si>
  <si>
    <t xml:space="preserve">D-38-24 AA38</t>
  </si>
  <si>
    <t xml:space="preserve">D-38-25 AB38</t>
  </si>
  <si>
    <t xml:space="preserve">D-38-26 AC38</t>
  </si>
  <si>
    <t xml:space="preserve">D-38-27 AD38</t>
  </si>
  <si>
    <t xml:space="preserve">D-38-28 AE38</t>
  </si>
  <si>
    <t xml:space="preserve">D-38-29 AF38</t>
  </si>
  <si>
    <t xml:space="preserve">D-38-30 AG38</t>
  </si>
  <si>
    <t xml:space="preserve">D-38-31 AH38</t>
  </si>
  <si>
    <t xml:space="preserve">D-38-32 AI38</t>
  </si>
  <si>
    <t xml:space="preserve">D-38-33 AJ38</t>
  </si>
  <si>
    <t xml:space="preserve">D-38-34 AK38</t>
  </si>
  <si>
    <t xml:space="preserve">D-38-35 AL38</t>
  </si>
  <si>
    <t xml:space="preserve">D-38-36 AM38</t>
  </si>
  <si>
    <t xml:space="preserve">D-41-1 D41</t>
  </si>
  <si>
    <t xml:space="preserve">L19: not evidenced facility approval</t>
  </si>
  <si>
    <t xml:space="preserve">D-41-2 E41</t>
  </si>
  <si>
    <t xml:space="preserve">D-41-3 F41</t>
  </si>
  <si>
    <t xml:space="preserve">D-41-4 G41</t>
  </si>
  <si>
    <t xml:space="preserve">D-41-5 H41</t>
  </si>
  <si>
    <t xml:space="preserve">D-41-6 I41</t>
  </si>
  <si>
    <t xml:space="preserve">D-41-7 J41</t>
  </si>
  <si>
    <t xml:space="preserve">D-41-8 K41</t>
  </si>
  <si>
    <t xml:space="preserve">D-41-9 L41</t>
  </si>
  <si>
    <t xml:space="preserve">D-41-10 M41</t>
  </si>
  <si>
    <t xml:space="preserve">D-41-11 N41</t>
  </si>
  <si>
    <t xml:space="preserve">D-41-12 O41</t>
  </si>
  <si>
    <t xml:space="preserve">D-41-13 P41</t>
  </si>
  <si>
    <t xml:space="preserve">D-41-14 Q41</t>
  </si>
  <si>
    <t xml:space="preserve">D-41-15 R41</t>
  </si>
  <si>
    <t xml:space="preserve">D-41-16 S41</t>
  </si>
  <si>
    <t xml:space="preserve">D-41-17 T41</t>
  </si>
  <si>
    <t xml:space="preserve">D-41-18 U41</t>
  </si>
  <si>
    <t xml:space="preserve">D-41-19 V41</t>
  </si>
  <si>
    <t xml:space="preserve">D-41-20 W41</t>
  </si>
  <si>
    <t xml:space="preserve">D-41-21 X41</t>
  </si>
  <si>
    <t xml:space="preserve">D-41-22 Y41</t>
  </si>
  <si>
    <t xml:space="preserve">D-41-23 Z41</t>
  </si>
  <si>
    <t xml:space="preserve">D-41-24 AA41</t>
  </si>
  <si>
    <t xml:space="preserve">D-41-25 AB41</t>
  </si>
  <si>
    <t xml:space="preserve">D-41-26 AC41</t>
  </si>
  <si>
    <t xml:space="preserve">D-41-27 AD41</t>
  </si>
  <si>
    <t xml:space="preserve">D-41-28 AE41</t>
  </si>
  <si>
    <t xml:space="preserve">D-41-29 AF41</t>
  </si>
  <si>
    <t xml:space="preserve">D-41-30 AG41</t>
  </si>
  <si>
    <t xml:space="preserve">D-41-31 AH41</t>
  </si>
  <si>
    <t xml:space="preserve">D-41-32 AI41</t>
  </si>
  <si>
    <t xml:space="preserve">D-41-33 AJ41</t>
  </si>
  <si>
    <t xml:space="preserve">D-41-34 AK41</t>
  </si>
  <si>
    <t xml:space="preserve">D-41-35 AL41</t>
  </si>
  <si>
    <t xml:space="preserve">D-41-36 AM41</t>
  </si>
  <si>
    <t xml:space="preserve">D-44-1 D44</t>
  </si>
  <si>
    <t xml:space="preserve">L19: illustrative June repayment schedule; actual tenor not disclosed in reviewed detail</t>
  </si>
  <si>
    <t xml:space="preserve">D-44-2 E44</t>
  </si>
  <si>
    <t xml:space="preserve">D-44-3 F44</t>
  </si>
  <si>
    <t xml:space="preserve">D-44-4 G44</t>
  </si>
  <si>
    <t xml:space="preserve">D-44-5 H44</t>
  </si>
  <si>
    <t xml:space="preserve">D-44-6 I44</t>
  </si>
  <si>
    <t xml:space="preserve">D-44-7 J44</t>
  </si>
  <si>
    <t xml:space="preserve">D-44-8 K44</t>
  </si>
  <si>
    <t xml:space="preserve">D-44-9 L44</t>
  </si>
  <si>
    <t xml:space="preserve">D-44-10 M44</t>
  </si>
  <si>
    <t xml:space="preserve">D-44-11 N44</t>
  </si>
  <si>
    <t xml:space="preserve">D-44-12 O44</t>
  </si>
  <si>
    <t xml:space="preserve">D-44-13 P44</t>
  </si>
  <si>
    <t xml:space="preserve">D-44-14 Q44</t>
  </si>
  <si>
    <t xml:space="preserve">D-44-15 R44</t>
  </si>
  <si>
    <t xml:space="preserve">D-44-16 S44</t>
  </si>
  <si>
    <t xml:space="preserve">D-44-17 T44</t>
  </si>
  <si>
    <t xml:space="preserve">D-44-18 U44</t>
  </si>
  <si>
    <t xml:space="preserve">D-44-19 V44</t>
  </si>
  <si>
    <t xml:space="preserve">D-44-20 W44</t>
  </si>
  <si>
    <t xml:space="preserve">D-44-21 X44</t>
  </si>
  <si>
    <t xml:space="preserve">D-44-22 Y44</t>
  </si>
  <si>
    <t xml:space="preserve">D-44-23 Z44</t>
  </si>
  <si>
    <t xml:space="preserve">D-44-24 AA44</t>
  </si>
  <si>
    <t xml:space="preserve">D-44-25 AB44</t>
  </si>
  <si>
    <t xml:space="preserve">D-44-26 AC44</t>
  </si>
  <si>
    <t xml:space="preserve">D-44-27 AD44</t>
  </si>
  <si>
    <t xml:space="preserve">D-44-28 AE44</t>
  </si>
  <si>
    <t xml:space="preserve">D-44-29 AF44</t>
  </si>
  <si>
    <t xml:space="preserve">D-44-30 AG44</t>
  </si>
  <si>
    <t xml:space="preserve">D-44-31 AH44</t>
  </si>
  <si>
    <t xml:space="preserve">D-44-32 AI44</t>
  </si>
  <si>
    <t xml:space="preserve">D-44-33 AJ44</t>
  </si>
  <si>
    <t xml:space="preserve">D-44-34 AK44</t>
  </si>
  <si>
    <t xml:space="preserve">D-44-35 AL44</t>
  </si>
  <si>
    <t xml:space="preserve">D-44-36 AM44</t>
  </si>
  <si>
    <t xml:space="preserve">D-42-1 D42</t>
  </si>
  <si>
    <t xml:space="preserve">D-42-2 E42</t>
  </si>
  <si>
    <t xml:space="preserve">D-42-3 F42</t>
  </si>
  <si>
    <t xml:space="preserve">D-42-4 G42</t>
  </si>
  <si>
    <t xml:space="preserve">D-42-5 H42</t>
  </si>
  <si>
    <t xml:space="preserve">D-42-6 I42</t>
  </si>
  <si>
    <t xml:space="preserve">D-42-7 J42</t>
  </si>
  <si>
    <t xml:space="preserve">D-42-8 K42</t>
  </si>
  <si>
    <t xml:space="preserve">D-42-9 L42</t>
  </si>
  <si>
    <t xml:space="preserve">D-42-10 M42</t>
  </si>
  <si>
    <t xml:space="preserve">D-42-11 N42</t>
  </si>
  <si>
    <t xml:space="preserve">D-42-12 O42</t>
  </si>
  <si>
    <t xml:space="preserve">D-42-13 P42</t>
  </si>
  <si>
    <t xml:space="preserve">D-42-14 Q42</t>
  </si>
  <si>
    <t xml:space="preserve">D-42-15 R42</t>
  </si>
  <si>
    <t xml:space="preserve">D-42-16 S42</t>
  </si>
  <si>
    <t xml:space="preserve">D-42-17 T42</t>
  </si>
  <si>
    <t xml:space="preserve">D-42-18 U42</t>
  </si>
  <si>
    <t xml:space="preserve">D-42-19 V42</t>
  </si>
  <si>
    <t xml:space="preserve">D-42-20 W42</t>
  </si>
  <si>
    <t xml:space="preserve">D-42-21 X42</t>
  </si>
  <si>
    <t xml:space="preserve">D-42-22 Y42</t>
  </si>
  <si>
    <t xml:space="preserve">D-42-23 Z42</t>
  </si>
  <si>
    <t xml:space="preserve">D-42-24 AA42</t>
  </si>
  <si>
    <t xml:space="preserve">D-42-25 AB42</t>
  </si>
  <si>
    <t xml:space="preserve">D-42-26 AC42</t>
  </si>
  <si>
    <t xml:space="preserve">D-42-27 AD42</t>
  </si>
  <si>
    <t xml:space="preserve">D-42-28 AE42</t>
  </si>
  <si>
    <t xml:space="preserve">D-42-29 AF42</t>
  </si>
  <si>
    <t xml:space="preserve">D-42-30 AG42</t>
  </si>
  <si>
    <t xml:space="preserve">D-42-31 AH42</t>
  </si>
  <si>
    <t xml:space="preserve">D-42-32 AI42</t>
  </si>
  <si>
    <t xml:space="preserve">D-42-33 AJ42</t>
  </si>
  <si>
    <t xml:space="preserve">D-42-34 AK42</t>
  </si>
  <si>
    <t xml:space="preserve">D-42-35 AL42</t>
  </si>
  <si>
    <t xml:space="preserve">D-42-36 AM42</t>
  </si>
  <si>
    <t xml:space="preserve">D-45-1 D45</t>
  </si>
  <si>
    <t xml:space="preserve">D-45-2 E45</t>
  </si>
  <si>
    <t xml:space="preserve">D-45-3 F45</t>
  </si>
  <si>
    <t xml:space="preserve">D-45-4 G45</t>
  </si>
  <si>
    <t xml:space="preserve">D-45-5 H45</t>
  </si>
  <si>
    <t xml:space="preserve">D-45-6 I45</t>
  </si>
  <si>
    <t xml:space="preserve">D-45-7 J45</t>
  </si>
  <si>
    <t xml:space="preserve">D-45-8 K45</t>
  </si>
  <si>
    <t xml:space="preserve">D-45-9 L45</t>
  </si>
  <si>
    <t xml:space="preserve">D-45-10 M45</t>
  </si>
  <si>
    <t xml:space="preserve">D-45-11 N45</t>
  </si>
  <si>
    <t xml:space="preserve">D-45-12 O45</t>
  </si>
  <si>
    <t xml:space="preserve">D-45-13 P45</t>
  </si>
  <si>
    <t xml:space="preserve">D-45-14 Q45</t>
  </si>
  <si>
    <t xml:space="preserve">D-45-15 R45</t>
  </si>
  <si>
    <t xml:space="preserve">D-45-16 S45</t>
  </si>
  <si>
    <t xml:space="preserve">D-45-17 T45</t>
  </si>
  <si>
    <t xml:space="preserve">D-45-18 U45</t>
  </si>
  <si>
    <t xml:space="preserve">D-45-19 V45</t>
  </si>
  <si>
    <t xml:space="preserve">D-45-20 W45</t>
  </si>
  <si>
    <t xml:space="preserve">D-45-21 X45</t>
  </si>
  <si>
    <t xml:space="preserve">D-45-22 Y45</t>
  </si>
  <si>
    <t xml:space="preserve">D-45-23 Z45</t>
  </si>
  <si>
    <t xml:space="preserve">D-45-24 AA45</t>
  </si>
  <si>
    <t xml:space="preserve">D-45-25 AB45</t>
  </si>
  <si>
    <t xml:space="preserve">D-45-26 AC45</t>
  </si>
  <si>
    <t xml:space="preserve">D-45-27 AD45</t>
  </si>
  <si>
    <t xml:space="preserve">D-45-28 AE45</t>
  </si>
  <si>
    <t xml:space="preserve">D-45-29 AF45</t>
  </si>
  <si>
    <t xml:space="preserve">D-45-30 AG45</t>
  </si>
  <si>
    <t xml:space="preserve">D-45-31 AH45</t>
  </si>
  <si>
    <t xml:space="preserve">D-45-32 AI45</t>
  </si>
  <si>
    <t xml:space="preserve">D-45-33 AJ45</t>
  </si>
  <si>
    <t xml:space="preserve">D-45-34 AK45</t>
  </si>
  <si>
    <t xml:space="preserve">D-45-35 AL45</t>
  </si>
  <si>
    <t xml:space="preserve">D-45-36 AM45</t>
  </si>
  <si>
    <t xml:space="preserve">D-43-1 D43</t>
  </si>
  <si>
    <t xml:space="preserve">D-43-2 E43</t>
  </si>
  <si>
    <t xml:space="preserve">D-43-3 F43</t>
  </si>
  <si>
    <t xml:space="preserve">D-43-4 G43</t>
  </si>
  <si>
    <t xml:space="preserve">D-43-5 H43</t>
  </si>
  <si>
    <t xml:space="preserve">D-43-6 I43</t>
  </si>
  <si>
    <t xml:space="preserve">D-43-7 J43</t>
  </si>
  <si>
    <t xml:space="preserve">D-43-8 K43</t>
  </si>
  <si>
    <t xml:space="preserve">D-43-9 L43</t>
  </si>
  <si>
    <t xml:space="preserve">D-43-10 M43</t>
  </si>
  <si>
    <t xml:space="preserve">D-43-11 N43</t>
  </si>
  <si>
    <t xml:space="preserve">D-43-12 O43</t>
  </si>
  <si>
    <t xml:space="preserve">D-43-13 P43</t>
  </si>
  <si>
    <t xml:space="preserve">D-43-14 Q43</t>
  </si>
  <si>
    <t xml:space="preserve">D-43-15 R43</t>
  </si>
  <si>
    <t xml:space="preserve">D-43-16 S43</t>
  </si>
  <si>
    <t xml:space="preserve">D-43-17 T43</t>
  </si>
  <si>
    <t xml:space="preserve">D-43-18 U43</t>
  </si>
  <si>
    <t xml:space="preserve">D-43-19 V43</t>
  </si>
  <si>
    <t xml:space="preserve">D-43-20 W43</t>
  </si>
  <si>
    <t xml:space="preserve">D-43-21 X43</t>
  </si>
  <si>
    <t xml:space="preserve">D-43-22 Y43</t>
  </si>
  <si>
    <t xml:space="preserve">D-43-23 Z43</t>
  </si>
  <si>
    <t xml:space="preserve">D-43-24 AA43</t>
  </si>
  <si>
    <t xml:space="preserve">D-43-25 AB43</t>
  </si>
  <si>
    <t xml:space="preserve">D-43-26 AC43</t>
  </si>
  <si>
    <t xml:space="preserve">D-43-27 AD43</t>
  </si>
  <si>
    <t xml:space="preserve">D-43-28 AE43</t>
  </si>
  <si>
    <t xml:space="preserve">D-43-29 AF43</t>
  </si>
  <si>
    <t xml:space="preserve">D-43-30 AG43</t>
  </si>
  <si>
    <t xml:space="preserve">D-43-31 AH43</t>
  </si>
  <si>
    <t xml:space="preserve">D-43-32 AI43</t>
  </si>
  <si>
    <t xml:space="preserve">D-43-33 AJ43</t>
  </si>
  <si>
    <t xml:space="preserve">D-43-34 AK43</t>
  </si>
  <si>
    <t xml:space="preserve">D-43-35 AL43</t>
  </si>
  <si>
    <t xml:space="preserve">D-43-36 AM43</t>
  </si>
  <si>
    <t xml:space="preserve">D-46-1 D46</t>
  </si>
  <si>
    <t xml:space="preserve">D-46-2 E46</t>
  </si>
  <si>
    <t xml:space="preserve">D-46-3 F46</t>
  </si>
  <si>
    <t xml:space="preserve">D-46-4 G46</t>
  </si>
  <si>
    <t xml:space="preserve">D-46-5 H46</t>
  </si>
  <si>
    <t xml:space="preserve">D-46-6 I46</t>
  </si>
  <si>
    <t xml:space="preserve">D-46-7 J46</t>
  </si>
  <si>
    <t xml:space="preserve">D-46-8 K46</t>
  </si>
  <si>
    <t xml:space="preserve">D-46-9 L46</t>
  </si>
  <si>
    <t xml:space="preserve">D-46-10 M46</t>
  </si>
  <si>
    <t xml:space="preserve">D-46-11 N46</t>
  </si>
  <si>
    <t xml:space="preserve">D-46-12 O46</t>
  </si>
  <si>
    <t xml:space="preserve">D-46-13 P46</t>
  </si>
  <si>
    <t xml:space="preserve">D-46-14 Q46</t>
  </si>
  <si>
    <t xml:space="preserve">D-46-15 R46</t>
  </si>
  <si>
    <t xml:space="preserve">D-46-16 S46</t>
  </si>
  <si>
    <t xml:space="preserve">D-46-17 T46</t>
  </si>
  <si>
    <t xml:space="preserve">D-46-18 U46</t>
  </si>
  <si>
    <t xml:space="preserve">D-46-19 V46</t>
  </si>
  <si>
    <t xml:space="preserve">D-46-20 W46</t>
  </si>
  <si>
    <t xml:space="preserve">D-46-21 X46</t>
  </si>
  <si>
    <t xml:space="preserve">D-46-22 Y46</t>
  </si>
  <si>
    <t xml:space="preserve">D-46-23 Z46</t>
  </si>
  <si>
    <t xml:space="preserve">D-46-24 AA46</t>
  </si>
  <si>
    <t xml:space="preserve">D-46-25 AB46</t>
  </si>
  <si>
    <t xml:space="preserve">D-46-26 AC46</t>
  </si>
  <si>
    <t xml:space="preserve">D-46-27 AD46</t>
  </si>
  <si>
    <t xml:space="preserve">D-46-28 AE46</t>
  </si>
  <si>
    <t xml:space="preserve">D-46-29 AF46</t>
  </si>
  <si>
    <t xml:space="preserve">D-46-30 AG46</t>
  </si>
  <si>
    <t xml:space="preserve">D-46-31 AH46</t>
  </si>
  <si>
    <t xml:space="preserve">D-46-32 AI46</t>
  </si>
  <si>
    <t xml:space="preserve">D-46-33 AJ46</t>
  </si>
  <si>
    <t xml:space="preserve">D-46-34 AK46</t>
  </si>
  <si>
    <t xml:space="preserve">D-46-35 AL46</t>
  </si>
  <si>
    <t xml:space="preserve">D-46-36 AM46</t>
  </si>
  <si>
    <t xml:space="preserve">D-47-1 D47</t>
  </si>
  <si>
    <t xml:space="preserve">L20: future new leases not evidenced; additions occur at month-end</t>
  </si>
  <si>
    <t xml:space="preserve">D-47-2 E47</t>
  </si>
  <si>
    <t xml:space="preserve">D-47-3 F47</t>
  </si>
  <si>
    <t xml:space="preserve">D-47-4 G47</t>
  </si>
  <si>
    <t xml:space="preserve">D-47-5 H47</t>
  </si>
  <si>
    <t xml:space="preserve">D-47-6 I47</t>
  </si>
  <si>
    <t xml:space="preserve">D-47-7 J47</t>
  </si>
  <si>
    <t xml:space="preserve">D-47-8 K47</t>
  </si>
  <si>
    <t xml:space="preserve">D-47-9 L47</t>
  </si>
  <si>
    <t xml:space="preserve">D-47-10 M47</t>
  </si>
  <si>
    <t xml:space="preserve">D-47-11 N47</t>
  </si>
  <si>
    <t xml:space="preserve">D-47-12 O47</t>
  </si>
  <si>
    <t xml:space="preserve">D-47-13 P47</t>
  </si>
  <si>
    <t xml:space="preserve">D-47-14 Q47</t>
  </si>
  <si>
    <t xml:space="preserve">D-47-15 R47</t>
  </si>
  <si>
    <t xml:space="preserve">D-47-16 S47</t>
  </si>
  <si>
    <t xml:space="preserve">D-47-17 T47</t>
  </si>
  <si>
    <t xml:space="preserve">D-47-18 U47</t>
  </si>
  <si>
    <t xml:space="preserve">D-47-19 V47</t>
  </si>
  <si>
    <t xml:space="preserve">D-47-20 W47</t>
  </si>
  <si>
    <t xml:space="preserve">D-47-21 X47</t>
  </si>
  <si>
    <t xml:space="preserve">D-47-22 Y47</t>
  </si>
  <si>
    <t xml:space="preserve">D-47-23 Z47</t>
  </si>
  <si>
    <t xml:space="preserve">D-47-24 AA47</t>
  </si>
  <si>
    <t xml:space="preserve">D-47-25 AB47</t>
  </si>
  <si>
    <t xml:space="preserve">D-47-26 AC47</t>
  </si>
  <si>
    <t xml:space="preserve">D-47-27 AD47</t>
  </si>
  <si>
    <t xml:space="preserve">D-47-28 AE47</t>
  </si>
  <si>
    <t xml:space="preserve">D-47-29 AF47</t>
  </si>
  <si>
    <t xml:space="preserve">D-47-30 AG47</t>
  </si>
  <si>
    <t xml:space="preserve">D-47-31 AH47</t>
  </si>
  <si>
    <t xml:space="preserve">D-47-32 AI47</t>
  </si>
  <si>
    <t xml:space="preserve">D-47-33 AJ47</t>
  </si>
  <si>
    <t xml:space="preserve">D-47-34 AK47</t>
  </si>
  <si>
    <t xml:space="preserve">D-47-35 AL47</t>
  </si>
  <si>
    <t xml:space="preserve">D-47-36 AM47</t>
  </si>
  <si>
    <t xml:space="preserve">D-48-1 D48</t>
  </si>
  <si>
    <t xml:space="preserve">L20: FY2025 current lease liability spread over12 months as teaching schedule; capped by balance</t>
  </si>
  <si>
    <t xml:space="preserve">D-48-2 E48</t>
  </si>
  <si>
    <t xml:space="preserve">D-48-3 F48</t>
  </si>
  <si>
    <t xml:space="preserve">D-48-4 G48</t>
  </si>
  <si>
    <t xml:space="preserve">D-48-5 H48</t>
  </si>
  <si>
    <t xml:space="preserve">D-48-6 I48</t>
  </si>
  <si>
    <t xml:space="preserve">D-48-7 J48</t>
  </si>
  <si>
    <t xml:space="preserve">D-48-8 K48</t>
  </si>
  <si>
    <t xml:space="preserve">D-48-9 L48</t>
  </si>
  <si>
    <t xml:space="preserve">D-48-10 M48</t>
  </si>
  <si>
    <t xml:space="preserve">D-48-11 N48</t>
  </si>
  <si>
    <t xml:space="preserve">D-48-12 O48</t>
  </si>
  <si>
    <t xml:space="preserve">D-48-13 P48</t>
  </si>
  <si>
    <t xml:space="preserve">D-48-14 Q48</t>
  </si>
  <si>
    <t xml:space="preserve">D-48-15 R48</t>
  </si>
  <si>
    <t xml:space="preserve">D-48-16 S48</t>
  </si>
  <si>
    <t xml:space="preserve">D-48-17 T48</t>
  </si>
  <si>
    <t xml:space="preserve">D-48-18 U48</t>
  </si>
  <si>
    <t xml:space="preserve">D-48-19 V48</t>
  </si>
  <si>
    <t xml:space="preserve">D-48-20 W48</t>
  </si>
  <si>
    <t xml:space="preserve">D-48-21 X48</t>
  </si>
  <si>
    <t xml:space="preserve">D-48-22 Y48</t>
  </si>
  <si>
    <t xml:space="preserve">D-48-23 Z48</t>
  </si>
  <si>
    <t xml:space="preserve">D-48-24 AA48</t>
  </si>
  <si>
    <t xml:space="preserve">D-48-25 AB48</t>
  </si>
  <si>
    <t xml:space="preserve">D-48-26 AC48</t>
  </si>
  <si>
    <t xml:space="preserve">D-48-27 AD48</t>
  </si>
  <si>
    <t xml:space="preserve">D-48-28 AE48</t>
  </si>
  <si>
    <t xml:space="preserve">D-48-29 AF48</t>
  </si>
  <si>
    <t xml:space="preserve">D-48-30 AG48</t>
  </si>
  <si>
    <t xml:space="preserve">D-48-31 AH48</t>
  </si>
  <si>
    <t xml:space="preserve">D-48-32 AI48</t>
  </si>
  <si>
    <t xml:space="preserve">D-48-33 AJ48</t>
  </si>
  <si>
    <t xml:space="preserve">D-48-34 AK48</t>
  </si>
  <si>
    <t xml:space="preserve">D-48-35 AL48</t>
  </si>
  <si>
    <t xml:space="preserve">D-48-36 AM48</t>
  </si>
  <si>
    <t xml:space="preserve">D-49-1 D49</t>
  </si>
  <si>
    <t xml:space="preserve">L19: prior model source-derived proxy; interest on opening principal, paid at month-end</t>
  </si>
  <si>
    <t xml:space="preserve">D-49-2 E49</t>
  </si>
  <si>
    <t xml:space="preserve">D-49-3 F49</t>
  </si>
  <si>
    <t xml:space="preserve">D-49-4 G49</t>
  </si>
  <si>
    <t xml:space="preserve">D-49-5 H49</t>
  </si>
  <si>
    <t xml:space="preserve">D-49-6 I49</t>
  </si>
  <si>
    <t xml:space="preserve">D-49-7 J49</t>
  </si>
  <si>
    <t xml:space="preserve">D-49-8 K49</t>
  </si>
  <si>
    <t xml:space="preserve">D-49-9 L49</t>
  </si>
  <si>
    <t xml:space="preserve">D-49-10 M49</t>
  </si>
  <si>
    <t xml:space="preserve">D-49-11 N49</t>
  </si>
  <si>
    <t xml:space="preserve">D-49-12 O49</t>
  </si>
  <si>
    <t xml:space="preserve">D-49-13 P49</t>
  </si>
  <si>
    <t xml:space="preserve">D-49-14 Q49</t>
  </si>
  <si>
    <t xml:space="preserve">D-49-15 R49</t>
  </si>
  <si>
    <t xml:space="preserve">D-49-16 S49</t>
  </si>
  <si>
    <t xml:space="preserve">D-49-17 T49</t>
  </si>
  <si>
    <t xml:space="preserve">D-49-18 U49</t>
  </si>
  <si>
    <t xml:space="preserve">D-49-19 V49</t>
  </si>
  <si>
    <t xml:space="preserve">D-49-20 W49</t>
  </si>
  <si>
    <t xml:space="preserve">D-49-21 X49</t>
  </si>
  <si>
    <t xml:space="preserve">D-49-22 Y49</t>
  </si>
  <si>
    <t xml:space="preserve">D-49-23 Z49</t>
  </si>
  <si>
    <t xml:space="preserve">D-49-24 AA49</t>
  </si>
  <si>
    <t xml:space="preserve">D-49-25 AB49</t>
  </si>
  <si>
    <t xml:space="preserve">D-49-26 AC49</t>
  </si>
  <si>
    <t xml:space="preserve">D-49-27 AD49</t>
  </si>
  <si>
    <t xml:space="preserve">D-49-28 AE49</t>
  </si>
  <si>
    <t xml:space="preserve">D-49-29 AF49</t>
  </si>
  <si>
    <t xml:space="preserve">D-49-30 AG49</t>
  </si>
  <si>
    <t xml:space="preserve">D-49-31 AH49</t>
  </si>
  <si>
    <t xml:space="preserve">D-49-32 AI49</t>
  </si>
  <si>
    <t xml:space="preserve">D-49-33 AJ49</t>
  </si>
  <si>
    <t xml:space="preserve">D-49-34 AK49</t>
  </si>
  <si>
    <t xml:space="preserve">D-49-35 AL49</t>
  </si>
  <si>
    <t xml:space="preserve">D-49-36 AM49</t>
  </si>
  <si>
    <t xml:space="preserve">D-50-1 D50</t>
  </si>
  <si>
    <t xml:space="preserve">L20: teaching assumption; not issuer IBR</t>
  </si>
  <si>
    <t xml:space="preserve">D-50-2 E50</t>
  </si>
  <si>
    <t xml:space="preserve">D-50-3 F50</t>
  </si>
  <si>
    <t xml:space="preserve">D-50-4 G50</t>
  </si>
  <si>
    <t xml:space="preserve">D-50-5 H50</t>
  </si>
  <si>
    <t xml:space="preserve">D-50-6 I50</t>
  </si>
  <si>
    <t xml:space="preserve">D-50-7 J50</t>
  </si>
  <si>
    <t xml:space="preserve">D-50-8 K50</t>
  </si>
  <si>
    <t xml:space="preserve">D-50-9 L50</t>
  </si>
  <si>
    <t xml:space="preserve">D-50-10 M50</t>
  </si>
  <si>
    <t xml:space="preserve">D-50-11 N50</t>
  </si>
  <si>
    <t xml:space="preserve">D-50-12 O50</t>
  </si>
  <si>
    <t xml:space="preserve">D-50-13 P50</t>
  </si>
  <si>
    <t xml:space="preserve">D-50-14 Q50</t>
  </si>
  <si>
    <t xml:space="preserve">D-50-15 R50</t>
  </si>
  <si>
    <t xml:space="preserve">D-50-16 S50</t>
  </si>
  <si>
    <t xml:space="preserve">D-50-17 T50</t>
  </si>
  <si>
    <t xml:space="preserve">D-50-18 U50</t>
  </si>
  <si>
    <t xml:space="preserve">D-50-19 V50</t>
  </si>
  <si>
    <t xml:space="preserve">D-50-20 W50</t>
  </si>
  <si>
    <t xml:space="preserve">D-50-21 X50</t>
  </si>
  <si>
    <t xml:space="preserve">D-50-22 Y50</t>
  </si>
  <si>
    <t xml:space="preserve">D-50-23 Z50</t>
  </si>
  <si>
    <t xml:space="preserve">D-50-24 AA50</t>
  </si>
  <si>
    <t xml:space="preserve">D-50-25 AB50</t>
  </si>
  <si>
    <t xml:space="preserve">D-50-26 AC50</t>
  </si>
  <si>
    <t xml:space="preserve">D-50-27 AD50</t>
  </si>
  <si>
    <t xml:space="preserve">D-50-28 AE50</t>
  </si>
  <si>
    <t xml:space="preserve">D-50-29 AF50</t>
  </si>
  <si>
    <t xml:space="preserve">D-50-30 AG50</t>
  </si>
  <si>
    <t xml:space="preserve">D-50-31 AH50</t>
  </si>
  <si>
    <t xml:space="preserve">D-50-32 AI50</t>
  </si>
  <si>
    <t xml:space="preserve">D-50-33 AJ50</t>
  </si>
  <si>
    <t xml:space="preserve">D-50-34 AK50</t>
  </si>
  <si>
    <t xml:space="preserve">D-50-35 AL50</t>
  </si>
  <si>
    <t xml:space="preserve">D-50-36 AM50</t>
  </si>
  <si>
    <t xml:space="preserve">D-51-1 D51</t>
  </si>
  <si>
    <t xml:space="preserve">L21: FY2025 cash capex indexed5% annually; editable actual month disbursement</t>
  </si>
  <si>
    <t xml:space="preserve">D-51-2 E51</t>
  </si>
  <si>
    <t xml:space="preserve">D-51-3 F51</t>
  </si>
  <si>
    <t xml:space="preserve">D-51-4 G51</t>
  </si>
  <si>
    <t xml:space="preserve">D-51-5 H51</t>
  </si>
  <si>
    <t xml:space="preserve">D-51-6 I51</t>
  </si>
  <si>
    <t xml:space="preserve">D-51-7 J51</t>
  </si>
  <si>
    <t xml:space="preserve">D-51-8 K51</t>
  </si>
  <si>
    <t xml:space="preserve">D-51-9 L51</t>
  </si>
  <si>
    <t xml:space="preserve">D-51-10 M51</t>
  </si>
  <si>
    <t xml:space="preserve">D-51-11 N51</t>
  </si>
  <si>
    <t xml:space="preserve">D-51-12 O51</t>
  </si>
  <si>
    <t xml:space="preserve">D-51-13 P51</t>
  </si>
  <si>
    <t xml:space="preserve">D-51-14 Q51</t>
  </si>
  <si>
    <t xml:space="preserve">D-51-15 R51</t>
  </si>
  <si>
    <t xml:space="preserve">D-51-16 S51</t>
  </si>
  <si>
    <t xml:space="preserve">D-51-17 T51</t>
  </si>
  <si>
    <t xml:space="preserve">D-51-18 U51</t>
  </si>
  <si>
    <t xml:space="preserve">D-51-19 V51</t>
  </si>
  <si>
    <t xml:space="preserve">D-51-20 W51</t>
  </si>
  <si>
    <t xml:space="preserve">D-51-21 X51</t>
  </si>
  <si>
    <t xml:space="preserve">D-51-22 Y51</t>
  </si>
  <si>
    <t xml:space="preserve">D-51-23 Z51</t>
  </si>
  <si>
    <t xml:space="preserve">D-51-24 AA51</t>
  </si>
  <si>
    <t xml:space="preserve">D-51-25 AB51</t>
  </si>
  <si>
    <t xml:space="preserve">D-51-26 AC51</t>
  </si>
  <si>
    <t xml:space="preserve">D-51-27 AD51</t>
  </si>
  <si>
    <t xml:space="preserve">D-51-28 AE51</t>
  </si>
  <si>
    <t xml:space="preserve">D-51-29 AF51</t>
  </si>
  <si>
    <t xml:space="preserve">D-51-30 AG51</t>
  </si>
  <si>
    <t xml:space="preserve">D-51-31 AH51</t>
  </si>
  <si>
    <t xml:space="preserve">D-51-32 AI51</t>
  </si>
  <si>
    <t xml:space="preserve">D-51-33 AJ51</t>
  </si>
  <si>
    <t xml:space="preserve">D-51-34 AK51</t>
  </si>
  <si>
    <t xml:space="preserve">D-51-35 AL51</t>
  </si>
  <si>
    <t xml:space="preserve">D-51-36 AM51</t>
  </si>
  <si>
    <t xml:space="preserve">D-53-1 D53</t>
  </si>
  <si>
    <t xml:space="preserve">L18: generic new-equity lever, no IPO plan</t>
  </si>
  <si>
    <t xml:space="preserve">D-53-2 E53</t>
  </si>
  <si>
    <t xml:space="preserve">D-53-3 F53</t>
  </si>
  <si>
    <t xml:space="preserve">D-53-4 G53</t>
  </si>
  <si>
    <t xml:space="preserve">D-53-5 H53</t>
  </si>
  <si>
    <t xml:space="preserve">D-53-6 I53</t>
  </si>
  <si>
    <t xml:space="preserve">D-53-7 J53</t>
  </si>
  <si>
    <t xml:space="preserve">D-53-8 K53</t>
  </si>
  <si>
    <t xml:space="preserve">D-53-9 L53</t>
  </si>
  <si>
    <t xml:space="preserve">D-53-10 M53</t>
  </si>
  <si>
    <t xml:space="preserve">D-53-11 N53</t>
  </si>
  <si>
    <t xml:space="preserve">D-53-12 O53</t>
  </si>
  <si>
    <t xml:space="preserve">D-53-13 P53</t>
  </si>
  <si>
    <t xml:space="preserve">D-53-14 Q53</t>
  </si>
  <si>
    <t xml:space="preserve">D-53-15 R53</t>
  </si>
  <si>
    <t xml:space="preserve">D-53-16 S53</t>
  </si>
  <si>
    <t xml:space="preserve">D-53-17 T53</t>
  </si>
  <si>
    <t xml:space="preserve">D-53-18 U53</t>
  </si>
  <si>
    <t xml:space="preserve">D-53-19 V53</t>
  </si>
  <si>
    <t xml:space="preserve">D-53-20 W53</t>
  </si>
  <si>
    <t xml:space="preserve">D-53-21 X53</t>
  </si>
  <si>
    <t xml:space="preserve">D-53-22 Y53</t>
  </si>
  <si>
    <t xml:space="preserve">D-53-23 Z53</t>
  </si>
  <si>
    <t xml:space="preserve">D-53-24 AA53</t>
  </si>
  <si>
    <t xml:space="preserve">D-53-25 AB53</t>
  </si>
  <si>
    <t xml:space="preserve">D-53-26 AC53</t>
  </si>
  <si>
    <t xml:space="preserve">D-53-27 AD53</t>
  </si>
  <si>
    <t xml:space="preserve">D-53-28 AE53</t>
  </si>
  <si>
    <t xml:space="preserve">D-53-29 AF53</t>
  </si>
  <si>
    <t xml:space="preserve">D-53-30 AG53</t>
  </si>
  <si>
    <t xml:space="preserve">D-53-31 AH53</t>
  </si>
  <si>
    <t xml:space="preserve">D-53-32 AI53</t>
  </si>
  <si>
    <t xml:space="preserve">D-53-33 AJ53</t>
  </si>
  <si>
    <t xml:space="preserve">D-53-34 AK53</t>
  </si>
  <si>
    <t xml:space="preserve">D-53-35 AL53</t>
  </si>
  <si>
    <t xml:space="preserve">D-53-36 AM53</t>
  </si>
  <si>
    <t xml:space="preserve">D-54-1 D54</t>
  </si>
  <si>
    <t xml:space="preserve">L18: fees deducted from reserves/proceeds</t>
  </si>
  <si>
    <t xml:space="preserve">D-54-2 E54</t>
  </si>
  <si>
    <t xml:space="preserve">D-54-3 F54</t>
  </si>
  <si>
    <t xml:space="preserve">D-54-4 G54</t>
  </si>
  <si>
    <t xml:space="preserve">D-54-5 H54</t>
  </si>
  <si>
    <t xml:space="preserve">D-54-6 I54</t>
  </si>
  <si>
    <t xml:space="preserve">D-54-7 J54</t>
  </si>
  <si>
    <t xml:space="preserve">D-54-8 K54</t>
  </si>
  <si>
    <t xml:space="preserve">D-54-9 L54</t>
  </si>
  <si>
    <t xml:space="preserve">D-54-10 M54</t>
  </si>
  <si>
    <t xml:space="preserve">D-54-11 N54</t>
  </si>
  <si>
    <t xml:space="preserve">D-54-12 O54</t>
  </si>
  <si>
    <t xml:space="preserve">D-54-13 P54</t>
  </si>
  <si>
    <t xml:space="preserve">D-54-14 Q54</t>
  </si>
  <si>
    <t xml:space="preserve">D-54-15 R54</t>
  </si>
  <si>
    <t xml:space="preserve">D-54-16 S54</t>
  </si>
  <si>
    <t xml:space="preserve">D-54-17 T54</t>
  </si>
  <si>
    <t xml:space="preserve">D-54-18 U54</t>
  </si>
  <si>
    <t xml:space="preserve">D-54-19 V54</t>
  </si>
  <si>
    <t xml:space="preserve">D-54-20 W54</t>
  </si>
  <si>
    <t xml:space="preserve">D-54-21 X54</t>
  </si>
  <si>
    <t xml:space="preserve">D-54-22 Y54</t>
  </si>
  <si>
    <t xml:space="preserve">D-54-23 Z54</t>
  </si>
  <si>
    <t xml:space="preserve">D-54-24 AA54</t>
  </si>
  <si>
    <t xml:space="preserve">D-54-25 AB54</t>
  </si>
  <si>
    <t xml:space="preserve">D-54-26 AC54</t>
  </si>
  <si>
    <t xml:space="preserve">D-54-27 AD54</t>
  </si>
  <si>
    <t xml:space="preserve">D-54-28 AE54</t>
  </si>
  <si>
    <t xml:space="preserve">D-54-29 AF54</t>
  </si>
  <si>
    <t xml:space="preserve">D-54-30 AG54</t>
  </si>
  <si>
    <t xml:space="preserve">D-54-31 AH54</t>
  </si>
  <si>
    <t xml:space="preserve">D-54-32 AI54</t>
  </si>
  <si>
    <t xml:space="preserve">D-54-33 AJ54</t>
  </si>
  <si>
    <t xml:space="preserve">D-54-34 AK54</t>
  </si>
  <si>
    <t xml:space="preserve">D-54-35 AL54</t>
  </si>
  <si>
    <t xml:space="preserve">D-54-36 AM54</t>
  </si>
  <si>
    <t xml:space="preserve">D-55-1 D55</t>
  </si>
  <si>
    <t xml:space="preserve">L22: explicit cash subscription</t>
  </si>
  <si>
    <t xml:space="preserve">D-55-2 E55</t>
  </si>
  <si>
    <t xml:space="preserve">D-55-3 F55</t>
  </si>
  <si>
    <t xml:space="preserve">D-55-4 G55</t>
  </si>
  <si>
    <t xml:space="preserve">D-55-5 H55</t>
  </si>
  <si>
    <t xml:space="preserve">D-55-6 I55</t>
  </si>
  <si>
    <t xml:space="preserve">D-55-7 J55</t>
  </si>
  <si>
    <t xml:space="preserve">D-55-8 K55</t>
  </si>
  <si>
    <t xml:space="preserve">D-55-9 L55</t>
  </si>
  <si>
    <t xml:space="preserve">D-55-10 M55</t>
  </si>
  <si>
    <t xml:space="preserve">D-55-11 N55</t>
  </si>
  <si>
    <t xml:space="preserve">D-55-12 O55</t>
  </si>
  <si>
    <t xml:space="preserve">D-55-13 P55</t>
  </si>
  <si>
    <t xml:space="preserve">D-55-14 Q55</t>
  </si>
  <si>
    <t xml:space="preserve">D-55-15 R55</t>
  </si>
  <si>
    <t xml:space="preserve">D-55-16 S55</t>
  </si>
  <si>
    <t xml:space="preserve">D-55-17 T55</t>
  </si>
  <si>
    <t xml:space="preserve">D-55-18 U55</t>
  </si>
  <si>
    <t xml:space="preserve">D-55-19 V55</t>
  </si>
  <si>
    <t xml:space="preserve">D-55-20 W55</t>
  </si>
  <si>
    <t xml:space="preserve">D-55-21 X55</t>
  </si>
  <si>
    <t xml:space="preserve">D-55-22 Y55</t>
  </si>
  <si>
    <t xml:space="preserve">D-55-23 Z55</t>
  </si>
  <si>
    <t xml:space="preserve">D-55-24 AA55</t>
  </si>
  <si>
    <t xml:space="preserve">D-55-25 AB55</t>
  </si>
  <si>
    <t xml:space="preserve">D-55-26 AC55</t>
  </si>
  <si>
    <t xml:space="preserve">D-55-27 AD55</t>
  </si>
  <si>
    <t xml:space="preserve">D-55-28 AE55</t>
  </si>
  <si>
    <t xml:space="preserve">D-55-29 AF55</t>
  </si>
  <si>
    <t xml:space="preserve">D-55-30 AG55</t>
  </si>
  <si>
    <t xml:space="preserve">D-55-31 AH55</t>
  </si>
  <si>
    <t xml:space="preserve">D-55-32 AI55</t>
  </si>
  <si>
    <t xml:space="preserve">D-55-33 AJ55</t>
  </si>
  <si>
    <t xml:space="preserve">D-55-34 AK55</t>
  </si>
  <si>
    <t xml:space="preserve">D-55-35 AL55</t>
  </si>
  <si>
    <t xml:space="preserve">D-55-36 AM55</t>
  </si>
  <si>
    <t xml:space="preserve">D-56-1 D56</t>
  </si>
  <si>
    <t xml:space="preserve">L22: capped at available holding</t>
  </si>
  <si>
    <t xml:space="preserve">D-56-2 E56</t>
  </si>
  <si>
    <t xml:space="preserve">D-56-3 F56</t>
  </si>
  <si>
    <t xml:space="preserve">D-56-4 G56</t>
  </si>
  <si>
    <t xml:space="preserve">D-56-5 H56</t>
  </si>
  <si>
    <t xml:space="preserve">D-56-6 I56</t>
  </si>
  <si>
    <t xml:space="preserve">D-56-7 J56</t>
  </si>
  <si>
    <t xml:space="preserve">D-56-8 K56</t>
  </si>
  <si>
    <t xml:space="preserve">D-56-9 L56</t>
  </si>
  <si>
    <t xml:space="preserve">D-56-10 M56</t>
  </si>
  <si>
    <t xml:space="preserve">D-56-11 N56</t>
  </si>
  <si>
    <t xml:space="preserve">D-56-12 O56</t>
  </si>
  <si>
    <t xml:space="preserve">D-56-13 P56</t>
  </si>
  <si>
    <t xml:space="preserve">D-56-14 Q56</t>
  </si>
  <si>
    <t xml:space="preserve">D-56-15 R56</t>
  </si>
  <si>
    <t xml:space="preserve">D-56-16 S56</t>
  </si>
  <si>
    <t xml:space="preserve">D-56-17 T56</t>
  </si>
  <si>
    <t xml:space="preserve">D-56-18 U56</t>
  </si>
  <si>
    <t xml:space="preserve">D-56-19 V56</t>
  </si>
  <si>
    <t xml:space="preserve">D-56-20 W56</t>
  </si>
  <si>
    <t xml:space="preserve">D-56-21 X56</t>
  </si>
  <si>
    <t xml:space="preserve">D-56-22 Y56</t>
  </si>
  <si>
    <t xml:space="preserve">D-56-23 Z56</t>
  </si>
  <si>
    <t xml:space="preserve">D-56-24 AA56</t>
  </si>
  <si>
    <t xml:space="preserve">D-56-25 AB56</t>
  </si>
  <si>
    <t xml:space="preserve">D-56-26 AC56</t>
  </si>
  <si>
    <t xml:space="preserve">D-56-27 AD56</t>
  </si>
  <si>
    <t xml:space="preserve">D-56-28 AE56</t>
  </si>
  <si>
    <t xml:space="preserve">D-56-29 AF56</t>
  </si>
  <si>
    <t xml:space="preserve">D-56-30 AG56</t>
  </si>
  <si>
    <t xml:space="preserve">D-56-31 AH56</t>
  </si>
  <si>
    <t xml:space="preserve">D-56-32 AI56</t>
  </si>
  <si>
    <t xml:space="preserve">D-56-33 AJ56</t>
  </si>
  <si>
    <t xml:space="preserve">D-56-34 AK56</t>
  </si>
  <si>
    <t xml:space="preserve">D-56-35 AL56</t>
  </si>
  <si>
    <t xml:space="preserve">D-56-36 AM56</t>
  </si>
  <si>
    <t xml:space="preserve">D-57-1 D57</t>
  </si>
  <si>
    <t xml:space="preserve">L22: loss capped at holding; noncash P&amp;L and investment counterpart</t>
  </si>
  <si>
    <t xml:space="preserve">signed</t>
  </si>
  <si>
    <t xml:space="preserve">D-57-2 E57</t>
  </si>
  <si>
    <t xml:space="preserve">D-57-3 F57</t>
  </si>
  <si>
    <t xml:space="preserve">D-57-4 G57</t>
  </si>
  <si>
    <t xml:space="preserve">D-57-5 H57</t>
  </si>
  <si>
    <t xml:space="preserve">D-57-6 I57</t>
  </si>
  <si>
    <t xml:space="preserve">D-57-7 J57</t>
  </si>
  <si>
    <t xml:space="preserve">D-57-8 K57</t>
  </si>
  <si>
    <t xml:space="preserve">D-57-9 L57</t>
  </si>
  <si>
    <t xml:space="preserve">D-57-10 M57</t>
  </si>
  <si>
    <t xml:space="preserve">D-57-11 N57</t>
  </si>
  <si>
    <t xml:space="preserve">D-57-12 O57</t>
  </si>
  <si>
    <t xml:space="preserve">D-57-13 P57</t>
  </si>
  <si>
    <t xml:space="preserve">D-57-14 Q57</t>
  </si>
  <si>
    <t xml:space="preserve">D-57-15 R57</t>
  </si>
  <si>
    <t xml:space="preserve">D-57-16 S57</t>
  </si>
  <si>
    <t xml:space="preserve">D-57-17 T57</t>
  </si>
  <si>
    <t xml:space="preserve">D-57-18 U57</t>
  </si>
  <si>
    <t xml:space="preserve">D-57-19 V57</t>
  </si>
  <si>
    <t xml:space="preserve">D-57-20 W57</t>
  </si>
  <si>
    <t xml:space="preserve">D-57-21 X57</t>
  </si>
  <si>
    <t xml:space="preserve">D-57-22 Y57</t>
  </si>
  <si>
    <t xml:space="preserve">D-57-23 Z57</t>
  </si>
  <si>
    <t xml:space="preserve">D-57-24 AA57</t>
  </si>
  <si>
    <t xml:space="preserve">D-57-25 AB57</t>
  </si>
  <si>
    <t xml:space="preserve">D-57-26 AC57</t>
  </si>
  <si>
    <t xml:space="preserve">D-57-27 AD57</t>
  </si>
  <si>
    <t xml:space="preserve">D-57-28 AE57</t>
  </si>
  <si>
    <t xml:space="preserve">D-57-29 AF57</t>
  </si>
  <si>
    <t xml:space="preserve">D-57-30 AG57</t>
  </si>
  <si>
    <t xml:space="preserve">D-57-31 AH57</t>
  </si>
  <si>
    <t xml:space="preserve">D-57-32 AI57</t>
  </si>
  <si>
    <t xml:space="preserve">D-57-33 AJ57</t>
  </si>
  <si>
    <t xml:space="preserve">D-57-34 AK57</t>
  </si>
  <si>
    <t xml:space="preserve">D-57-35 AL57</t>
  </si>
  <si>
    <t xml:space="preserve">D-57-36 AM57</t>
  </si>
  <si>
    <t xml:space="preserve">D-58-1 D58</t>
  </si>
  <si>
    <t xml:space="preserve">L18: annual historical run-rate, not future grant approval</t>
  </si>
  <si>
    <t xml:space="preserve">D-58-2 E58</t>
  </si>
  <si>
    <t xml:space="preserve">D-58-3 F58</t>
  </si>
  <si>
    <t xml:space="preserve">D-58-4 G58</t>
  </si>
  <si>
    <t xml:space="preserve">D-58-5 H58</t>
  </si>
  <si>
    <t xml:space="preserve">D-58-6 I58</t>
  </si>
  <si>
    <t xml:space="preserve">D-58-7 J58</t>
  </si>
  <si>
    <t xml:space="preserve">D-58-8 K58</t>
  </si>
  <si>
    <t xml:space="preserve">D-58-9 L58</t>
  </si>
  <si>
    <t xml:space="preserve">D-58-10 M58</t>
  </si>
  <si>
    <t xml:space="preserve">D-58-11 N58</t>
  </si>
  <si>
    <t xml:space="preserve">D-58-12 O58</t>
  </si>
  <si>
    <t xml:space="preserve">D-58-13 P58</t>
  </si>
  <si>
    <t xml:space="preserve">D-58-14 Q58</t>
  </si>
  <si>
    <t xml:space="preserve">D-58-15 R58</t>
  </si>
  <si>
    <t xml:space="preserve">D-58-16 S58</t>
  </si>
  <si>
    <t xml:space="preserve">D-58-17 T58</t>
  </si>
  <si>
    <t xml:space="preserve">D-58-18 U58</t>
  </si>
  <si>
    <t xml:space="preserve">D-58-19 V58</t>
  </si>
  <si>
    <t xml:space="preserve">D-58-20 W58</t>
  </si>
  <si>
    <t xml:space="preserve">D-58-21 X58</t>
  </si>
  <si>
    <t xml:space="preserve">D-58-22 Y58</t>
  </si>
  <si>
    <t xml:space="preserve">D-58-23 Z58</t>
  </si>
  <si>
    <t xml:space="preserve">D-58-24 AA58</t>
  </si>
  <si>
    <t xml:space="preserve">D-58-25 AB58</t>
  </si>
  <si>
    <t xml:space="preserve">D-58-26 AC58</t>
  </si>
  <si>
    <t xml:space="preserve">D-58-27 AD58</t>
  </si>
  <si>
    <t xml:space="preserve">D-58-28 AE58</t>
  </si>
  <si>
    <t xml:space="preserve">D-58-29 AF58</t>
  </si>
  <si>
    <t xml:space="preserve">D-58-30 AG58</t>
  </si>
  <si>
    <t xml:space="preserve">D-58-31 AH58</t>
  </si>
  <si>
    <t xml:space="preserve">D-58-32 AI58</t>
  </si>
  <si>
    <t xml:space="preserve">D-58-33 AJ58</t>
  </si>
  <si>
    <t xml:space="preserve">D-58-34 AK58</t>
  </si>
  <si>
    <t xml:space="preserve">D-58-35 AL58</t>
  </si>
  <si>
    <t xml:space="preserve">D-58-36 AM58</t>
  </si>
  <si>
    <t xml:space="preserve">D-59-1 D59</t>
  </si>
  <si>
    <t xml:space="preserve">L17: expense counterpart, noncash</t>
  </si>
  <si>
    <t xml:space="preserve">D-59-2 E59</t>
  </si>
  <si>
    <t xml:space="preserve">D-59-3 F59</t>
  </si>
  <si>
    <t xml:space="preserve">D-59-4 G59</t>
  </si>
  <si>
    <t xml:space="preserve">D-59-5 H59</t>
  </si>
  <si>
    <t xml:space="preserve">D-59-6 I59</t>
  </si>
  <si>
    <t xml:space="preserve">D-59-7 J59</t>
  </si>
  <si>
    <t xml:space="preserve">D-59-8 K59</t>
  </si>
  <si>
    <t xml:space="preserve">D-59-9 L59</t>
  </si>
  <si>
    <t xml:space="preserve">D-59-10 M59</t>
  </si>
  <si>
    <t xml:space="preserve">D-59-11 N59</t>
  </si>
  <si>
    <t xml:space="preserve">D-59-12 O59</t>
  </si>
  <si>
    <t xml:space="preserve">D-59-13 P59</t>
  </si>
  <si>
    <t xml:space="preserve">D-59-14 Q59</t>
  </si>
  <si>
    <t xml:space="preserve">D-59-15 R59</t>
  </si>
  <si>
    <t xml:space="preserve">D-59-16 S59</t>
  </si>
  <si>
    <t xml:space="preserve">D-59-17 T59</t>
  </si>
  <si>
    <t xml:space="preserve">D-59-18 U59</t>
  </si>
  <si>
    <t xml:space="preserve">D-59-19 V59</t>
  </si>
  <si>
    <t xml:space="preserve">D-59-20 W59</t>
  </si>
  <si>
    <t xml:space="preserve">D-59-21 X59</t>
  </si>
  <si>
    <t xml:space="preserve">D-59-22 Y59</t>
  </si>
  <si>
    <t xml:space="preserve">D-59-23 Z59</t>
  </si>
  <si>
    <t xml:space="preserve">D-59-24 AA59</t>
  </si>
  <si>
    <t xml:space="preserve">D-59-25 AB59</t>
  </si>
  <si>
    <t xml:space="preserve">D-59-26 AC59</t>
  </si>
  <si>
    <t xml:space="preserve">D-59-27 AD59</t>
  </si>
  <si>
    <t xml:space="preserve">D-59-28 AE59</t>
  </si>
  <si>
    <t xml:space="preserve">D-59-29 AF59</t>
  </si>
  <si>
    <t xml:space="preserve">D-59-30 AG59</t>
  </si>
  <si>
    <t xml:space="preserve">D-59-31 AH59</t>
  </si>
  <si>
    <t xml:space="preserve">D-59-32 AI59</t>
  </si>
  <si>
    <t xml:space="preserve">D-59-33 AJ59</t>
  </si>
  <si>
    <t xml:space="preserve">D-59-34 AK59</t>
  </si>
  <si>
    <t xml:space="preserve">D-59-35 AL59</t>
  </si>
  <si>
    <t xml:space="preserve">D-59-36 AM59</t>
  </si>
  <si>
    <t xml:space="preserve">D-60-1 D60</t>
  </si>
  <si>
    <t xml:space="preserve">L17: tax credit counterpart, noncash</t>
  </si>
  <si>
    <t xml:space="preserve">D-60-2 E60</t>
  </si>
  <si>
    <t xml:space="preserve">D-60-3 F60</t>
  </si>
  <si>
    <t xml:space="preserve">D-60-4 G60</t>
  </si>
  <si>
    <t xml:space="preserve">D-60-5 H60</t>
  </si>
  <si>
    <t xml:space="preserve">D-60-6 I60</t>
  </si>
  <si>
    <t xml:space="preserve">D-60-7 J60</t>
  </si>
  <si>
    <t xml:space="preserve">D-60-8 K60</t>
  </si>
  <si>
    <t xml:space="preserve">D-60-9 L60</t>
  </si>
  <si>
    <t xml:space="preserve">D-60-10 M60</t>
  </si>
  <si>
    <t xml:space="preserve">D-60-11 N60</t>
  </si>
  <si>
    <t xml:space="preserve">D-60-12 O60</t>
  </si>
  <si>
    <t xml:space="preserve">D-60-13 P60</t>
  </si>
  <si>
    <t xml:space="preserve">D-60-14 Q60</t>
  </si>
  <si>
    <t xml:space="preserve">D-60-15 R60</t>
  </si>
  <si>
    <t xml:space="preserve">D-60-16 S60</t>
  </si>
  <si>
    <t xml:space="preserve">D-60-17 T60</t>
  </si>
  <si>
    <t xml:space="preserve">D-60-18 U60</t>
  </si>
  <si>
    <t xml:space="preserve">D-60-19 V60</t>
  </si>
  <si>
    <t xml:space="preserve">D-60-20 W60</t>
  </si>
  <si>
    <t xml:space="preserve">D-60-21 X60</t>
  </si>
  <si>
    <t xml:space="preserve">D-60-22 Y60</t>
  </si>
  <si>
    <t xml:space="preserve">D-60-23 Z60</t>
  </si>
  <si>
    <t xml:space="preserve">D-60-24 AA60</t>
  </si>
  <si>
    <t xml:space="preserve">D-60-25 AB60</t>
  </si>
  <si>
    <t xml:space="preserve">D-60-26 AC60</t>
  </si>
  <si>
    <t xml:space="preserve">D-60-27 AD60</t>
  </si>
  <si>
    <t xml:space="preserve">D-60-28 AE60</t>
  </si>
  <si>
    <t xml:space="preserve">D-60-29 AF60</t>
  </si>
  <si>
    <t xml:space="preserve">D-60-30 AG60</t>
  </si>
  <si>
    <t xml:space="preserve">D-60-31 AH60</t>
  </si>
  <si>
    <t xml:space="preserve">D-60-32 AI60</t>
  </si>
  <si>
    <t xml:space="preserve">D-60-33 AJ60</t>
  </si>
  <si>
    <t xml:space="preserve">D-60-34 AK60</t>
  </si>
  <si>
    <t xml:space="preserve">D-60-35 AL60</t>
  </si>
  <si>
    <t xml:space="preserve">D-60-36 AM60</t>
  </si>
  <si>
    <t xml:space="preserve">D-61-1 D61</t>
  </si>
  <si>
    <t xml:space="preserve">L23: exposure and tax unmodeled; signed cash/reserve counterpart</t>
  </si>
  <si>
    <t xml:space="preserve">D-61-2 E61</t>
  </si>
  <si>
    <t xml:space="preserve">D-61-3 F61</t>
  </si>
  <si>
    <t xml:space="preserve">D-61-4 G61</t>
  </si>
  <si>
    <t xml:space="preserve">D-61-5 H61</t>
  </si>
  <si>
    <t xml:space="preserve">D-61-6 I61</t>
  </si>
  <si>
    <t xml:space="preserve">D-61-7 J61</t>
  </si>
  <si>
    <t xml:space="preserve">D-61-8 K61</t>
  </si>
  <si>
    <t xml:space="preserve">D-61-9 L61</t>
  </si>
  <si>
    <t xml:space="preserve">D-61-10 M61</t>
  </si>
  <si>
    <t xml:space="preserve">D-61-11 N61</t>
  </si>
  <si>
    <t xml:space="preserve">D-61-12 O61</t>
  </si>
  <si>
    <t xml:space="preserve">D-61-13 P61</t>
  </si>
  <si>
    <t xml:space="preserve">D-61-14 Q61</t>
  </si>
  <si>
    <t xml:space="preserve">D-61-15 R61</t>
  </si>
  <si>
    <t xml:space="preserve">D-61-16 S61</t>
  </si>
  <si>
    <t xml:space="preserve">D-61-17 T61</t>
  </si>
  <si>
    <t xml:space="preserve">D-61-18 U61</t>
  </si>
  <si>
    <t xml:space="preserve">D-61-19 V61</t>
  </si>
  <si>
    <t xml:space="preserve">D-61-20 W61</t>
  </si>
  <si>
    <t xml:space="preserve">D-61-21 X61</t>
  </si>
  <si>
    <t xml:space="preserve">D-61-22 Y61</t>
  </si>
  <si>
    <t xml:space="preserve">D-61-23 Z61</t>
  </si>
  <si>
    <t xml:space="preserve">D-61-24 AA61</t>
  </si>
  <si>
    <t xml:space="preserve">D-61-25 AB61</t>
  </si>
  <si>
    <t xml:space="preserve">D-61-26 AC61</t>
  </si>
  <si>
    <t xml:space="preserve">D-61-27 AD61</t>
  </si>
  <si>
    <t xml:space="preserve">D-61-28 AE61</t>
  </si>
  <si>
    <t xml:space="preserve">D-61-29 AF61</t>
  </si>
  <si>
    <t xml:space="preserve">D-61-30 AG61</t>
  </si>
  <si>
    <t xml:space="preserve">D-61-31 AH61</t>
  </si>
  <si>
    <t xml:space="preserve">D-61-32 AI61</t>
  </si>
  <si>
    <t xml:space="preserve">D-61-33 AJ61</t>
  </si>
  <si>
    <t xml:space="preserve">D-61-34 AK61</t>
  </si>
  <si>
    <t xml:space="preserve">D-61-35 AL61</t>
  </si>
  <si>
    <t xml:space="preserve">D-61-36 AM61</t>
  </si>
  <si>
    <t xml:space="preserve">D-62-1 D62</t>
  </si>
  <si>
    <t xml:space="preserve">L23: no P&amp;L or cash, losses capped at available investment</t>
  </si>
  <si>
    <t xml:space="preserve">D-62-2 E62</t>
  </si>
  <si>
    <t xml:space="preserve">D-62-3 F62</t>
  </si>
  <si>
    <t xml:space="preserve">D-62-4 G62</t>
  </si>
  <si>
    <t xml:space="preserve">D-62-5 H62</t>
  </si>
  <si>
    <t xml:space="preserve">D-62-6 I62</t>
  </si>
  <si>
    <t xml:space="preserve">D-62-7 J62</t>
  </si>
  <si>
    <t xml:space="preserve">D-62-8 K62</t>
  </si>
  <si>
    <t xml:space="preserve">D-62-9 L62</t>
  </si>
  <si>
    <t xml:space="preserve">D-62-10 M62</t>
  </si>
  <si>
    <t xml:space="preserve">D-62-11 N62</t>
  </si>
  <si>
    <t xml:space="preserve">D-62-12 O62</t>
  </si>
  <si>
    <t xml:space="preserve">D-62-13 P62</t>
  </si>
  <si>
    <t xml:space="preserve">D-62-14 Q62</t>
  </si>
  <si>
    <t xml:space="preserve">D-62-15 R62</t>
  </si>
  <si>
    <t xml:space="preserve">D-62-16 S62</t>
  </si>
  <si>
    <t xml:space="preserve">D-62-17 T62</t>
  </si>
  <si>
    <t xml:space="preserve">D-62-18 U62</t>
  </si>
  <si>
    <t xml:space="preserve">D-62-19 V62</t>
  </si>
  <si>
    <t xml:space="preserve">D-62-20 W62</t>
  </si>
  <si>
    <t xml:space="preserve">D-62-21 X62</t>
  </si>
  <si>
    <t xml:space="preserve">D-62-22 Y62</t>
  </si>
  <si>
    <t xml:space="preserve">D-62-23 Z62</t>
  </si>
  <si>
    <t xml:space="preserve">D-62-24 AA62</t>
  </si>
  <si>
    <t xml:space="preserve">D-62-25 AB62</t>
  </si>
  <si>
    <t xml:space="preserve">D-62-26 AC62</t>
  </si>
  <si>
    <t xml:space="preserve">D-62-27 AD62</t>
  </si>
  <si>
    <t xml:space="preserve">D-62-28 AE62</t>
  </si>
  <si>
    <t xml:space="preserve">D-62-29 AF62</t>
  </si>
  <si>
    <t xml:space="preserve">D-62-30 AG62</t>
  </si>
  <si>
    <t xml:space="preserve">D-62-31 AH62</t>
  </si>
  <si>
    <t xml:space="preserve">D-62-32 AI62</t>
  </si>
  <si>
    <t xml:space="preserve">D-62-33 AJ62</t>
  </si>
  <si>
    <t xml:space="preserve">D-62-34 AK62</t>
  </si>
  <si>
    <t xml:space="preserve">D-62-35 AL62</t>
  </si>
  <si>
    <t xml:space="preserve">D-62-36 AM62</t>
  </si>
  <si>
    <t xml:space="preserve">D-63-1 D63</t>
  </si>
  <si>
    <t xml:space="preserve">L21: no modeled disposal gain or loss</t>
  </si>
  <si>
    <t xml:space="preserve">D-63-2 E63</t>
  </si>
  <si>
    <t xml:space="preserve">D-63-3 F63</t>
  </si>
  <si>
    <t xml:space="preserve">D-63-4 G63</t>
  </si>
  <si>
    <t xml:space="preserve">D-63-5 H63</t>
  </si>
  <si>
    <t xml:space="preserve">D-63-6 I63</t>
  </si>
  <si>
    <t xml:space="preserve">D-63-7 J63</t>
  </si>
  <si>
    <t xml:space="preserve">D-63-8 K63</t>
  </si>
  <si>
    <t xml:space="preserve">D-63-9 L63</t>
  </si>
  <si>
    <t xml:space="preserve">D-63-10 M63</t>
  </si>
  <si>
    <t xml:space="preserve">D-63-11 N63</t>
  </si>
  <si>
    <t xml:space="preserve">D-63-12 O63</t>
  </si>
  <si>
    <t xml:space="preserve">D-63-13 P63</t>
  </si>
  <si>
    <t xml:space="preserve">D-63-14 Q63</t>
  </si>
  <si>
    <t xml:space="preserve">D-63-15 R63</t>
  </si>
  <si>
    <t xml:space="preserve">D-63-16 S63</t>
  </si>
  <si>
    <t xml:space="preserve">D-63-17 T63</t>
  </si>
  <si>
    <t xml:space="preserve">D-63-18 U63</t>
  </si>
  <si>
    <t xml:space="preserve">D-63-19 V63</t>
  </si>
  <si>
    <t xml:space="preserve">D-63-20 W63</t>
  </si>
  <si>
    <t xml:space="preserve">D-63-21 X63</t>
  </si>
  <si>
    <t xml:space="preserve">D-63-22 Y63</t>
  </si>
  <si>
    <t xml:space="preserve">D-63-23 Z63</t>
  </si>
  <si>
    <t xml:space="preserve">D-63-24 AA63</t>
  </si>
  <si>
    <t xml:space="preserve">D-63-25 AB63</t>
  </si>
  <si>
    <t xml:space="preserve">D-63-26 AC63</t>
  </si>
  <si>
    <t xml:space="preserve">D-63-27 AD63</t>
  </si>
  <si>
    <t xml:space="preserve">D-63-28 AE63</t>
  </si>
  <si>
    <t xml:space="preserve">D-63-29 AF63</t>
  </si>
  <si>
    <t xml:space="preserve">D-63-30 AG63</t>
  </si>
  <si>
    <t xml:space="preserve">D-63-31 AH63</t>
  </si>
  <si>
    <t xml:space="preserve">D-63-32 AI63</t>
  </si>
  <si>
    <t xml:space="preserve">D-63-33 AJ63</t>
  </si>
  <si>
    <t xml:space="preserve">D-63-34 AK63</t>
  </si>
  <si>
    <t xml:space="preserve">D-63-35 AL63</t>
  </si>
  <si>
    <t xml:space="preserve">D-63-36 AM63</t>
  </si>
  <si>
    <t xml:space="preserve">D-64-1 D64</t>
  </si>
  <si>
    <t xml:space="preserve">L21: noncash expense and PPE reduction</t>
  </si>
  <si>
    <t xml:space="preserve">D-64-2 E64</t>
  </si>
  <si>
    <t xml:space="preserve">D-64-3 F64</t>
  </si>
  <si>
    <t xml:space="preserve">D-64-4 G64</t>
  </si>
  <si>
    <t xml:space="preserve">D-64-5 H64</t>
  </si>
  <si>
    <t xml:space="preserve">D-64-6 I64</t>
  </si>
  <si>
    <t xml:space="preserve">D-64-7 J64</t>
  </si>
  <si>
    <t xml:space="preserve">D-64-8 K64</t>
  </si>
  <si>
    <t xml:space="preserve">D-64-9 L64</t>
  </si>
  <si>
    <t xml:space="preserve">D-64-10 M64</t>
  </si>
  <si>
    <t xml:space="preserve">D-64-11 N64</t>
  </si>
  <si>
    <t xml:space="preserve">D-64-12 O64</t>
  </si>
  <si>
    <t xml:space="preserve">D-64-13 P64</t>
  </si>
  <si>
    <t xml:space="preserve">D-64-14 Q64</t>
  </si>
  <si>
    <t xml:space="preserve">D-64-15 R64</t>
  </si>
  <si>
    <t xml:space="preserve">D-64-16 S64</t>
  </si>
  <si>
    <t xml:space="preserve">D-64-17 T64</t>
  </si>
  <si>
    <t xml:space="preserve">D-64-18 U64</t>
  </si>
  <si>
    <t xml:space="preserve">D-64-19 V64</t>
  </si>
  <si>
    <t xml:space="preserve">D-64-20 W64</t>
  </si>
  <si>
    <t xml:space="preserve">D-64-21 X64</t>
  </si>
  <si>
    <t xml:space="preserve">D-64-22 Y64</t>
  </si>
  <si>
    <t xml:space="preserve">D-64-23 Z64</t>
  </si>
  <si>
    <t xml:space="preserve">D-64-24 AA64</t>
  </si>
  <si>
    <t xml:space="preserve">D-64-25 AB64</t>
  </si>
  <si>
    <t xml:space="preserve">D-64-26 AC64</t>
  </si>
  <si>
    <t xml:space="preserve">D-64-27 AD64</t>
  </si>
  <si>
    <t xml:space="preserve">D-64-28 AE64</t>
  </si>
  <si>
    <t xml:space="preserve">D-64-29 AF64</t>
  </si>
  <si>
    <t xml:space="preserve">D-64-30 AG64</t>
  </si>
  <si>
    <t xml:space="preserve">D-64-31 AH64</t>
  </si>
  <si>
    <t xml:space="preserve">D-64-32 AI64</t>
  </si>
  <si>
    <t xml:space="preserve">D-64-33 AJ64</t>
  </si>
  <si>
    <t xml:space="preserve">D-64-34 AK64</t>
  </si>
  <si>
    <t xml:space="preserve">D-64-35 AL64</t>
  </si>
  <si>
    <t xml:space="preserve">D-64-36 AM64</t>
  </si>
  <si>
    <t xml:space="preserve">D-65-1 D65</t>
  </si>
  <si>
    <t xml:space="preserve">L18: teaching share repurchase charged against reserves, capped at available positive reserves; no issuer approval</t>
  </si>
  <si>
    <t xml:space="preserve">D-65-2 E65</t>
  </si>
  <si>
    <t xml:space="preserve">D-65-3 F65</t>
  </si>
  <si>
    <t xml:space="preserve">D-65-4 G65</t>
  </si>
  <si>
    <t xml:space="preserve">D-65-5 H65</t>
  </si>
  <si>
    <t xml:space="preserve">D-65-6 I65</t>
  </si>
  <si>
    <t xml:space="preserve">D-65-7 J65</t>
  </si>
  <si>
    <t xml:space="preserve">D-65-8 K65</t>
  </si>
  <si>
    <t xml:space="preserve">D-65-9 L65</t>
  </si>
  <si>
    <t xml:space="preserve">D-65-10 M65</t>
  </si>
  <si>
    <t xml:space="preserve">D-65-11 N65</t>
  </si>
  <si>
    <t xml:space="preserve">D-65-12 O65</t>
  </si>
  <si>
    <t xml:space="preserve">D-65-13 P65</t>
  </si>
  <si>
    <t xml:space="preserve">D-65-14 Q65</t>
  </si>
  <si>
    <t xml:space="preserve">D-65-15 R65</t>
  </si>
  <si>
    <t xml:space="preserve">D-65-16 S65</t>
  </si>
  <si>
    <t xml:space="preserve">D-65-17 T65</t>
  </si>
  <si>
    <t xml:space="preserve">D-65-18 U65</t>
  </si>
  <si>
    <t xml:space="preserve">D-65-19 V65</t>
  </si>
  <si>
    <t xml:space="preserve">D-65-20 W65</t>
  </si>
  <si>
    <t xml:space="preserve">D-65-21 X65</t>
  </si>
  <si>
    <t xml:space="preserve">D-65-22 Y65</t>
  </si>
  <si>
    <t xml:space="preserve">D-65-23 Z65</t>
  </si>
  <si>
    <t xml:space="preserve">D-65-24 AA65</t>
  </si>
  <si>
    <t xml:space="preserve">D-65-25 AB65</t>
  </si>
  <si>
    <t xml:space="preserve">D-65-26 AC65</t>
  </si>
  <si>
    <t xml:space="preserve">D-65-27 AD65</t>
  </si>
  <si>
    <t xml:space="preserve">D-65-28 AE65</t>
  </si>
  <si>
    <t xml:space="preserve">D-65-29 AF65</t>
  </si>
  <si>
    <t xml:space="preserve">D-65-30 AG65</t>
  </si>
  <si>
    <t xml:space="preserve">D-65-31 AH65</t>
  </si>
  <si>
    <t xml:space="preserve">D-65-32 AI65</t>
  </si>
  <si>
    <t xml:space="preserve">D-65-33 AJ65</t>
  </si>
  <si>
    <t xml:space="preserve">D-65-34 AK65</t>
  </si>
  <si>
    <t xml:space="preserve">D-65-35 AL65</t>
  </si>
  <si>
    <t xml:space="preserve">D-65-36 AM65</t>
  </si>
  <si>
    <t xml:space="preserve">D-70-1 D70</t>
  </si>
  <si>
    <t xml:space="preserve">L15: monthly additions to functional FTE</t>
  </si>
  <si>
    <t xml:space="preserve">whole number &gt;=0</t>
  </si>
  <si>
    <t xml:space="preserve">D-70-2 E70</t>
  </si>
  <si>
    <t xml:space="preserve">D-70-3 F70</t>
  </si>
  <si>
    <t xml:space="preserve">D-70-4 G70</t>
  </si>
  <si>
    <t xml:space="preserve">D-70-5 H70</t>
  </si>
  <si>
    <t xml:space="preserve">D-70-6 I70</t>
  </si>
  <si>
    <t xml:space="preserve">D-70-7 J70</t>
  </si>
  <si>
    <t xml:space="preserve">D-70-8 K70</t>
  </si>
  <si>
    <t xml:space="preserve">D-70-9 L70</t>
  </si>
  <si>
    <t xml:space="preserve">D-70-10 M70</t>
  </si>
  <si>
    <t xml:space="preserve">D-70-11 N70</t>
  </si>
  <si>
    <t xml:space="preserve">D-70-12 O70</t>
  </si>
  <si>
    <t xml:space="preserve">D-70-13 P70</t>
  </si>
  <si>
    <t xml:space="preserve">D-70-14 Q70</t>
  </si>
  <si>
    <t xml:space="preserve">D-70-15 R70</t>
  </si>
  <si>
    <t xml:space="preserve">D-70-16 S70</t>
  </si>
  <si>
    <t xml:space="preserve">D-70-17 T70</t>
  </si>
  <si>
    <t xml:space="preserve">D-70-18 U70</t>
  </si>
  <si>
    <t xml:space="preserve">D-70-19 V70</t>
  </si>
  <si>
    <t xml:space="preserve">D-70-20 W70</t>
  </si>
  <si>
    <t xml:space="preserve">D-70-21 X70</t>
  </si>
  <si>
    <t xml:space="preserve">D-70-22 Y70</t>
  </si>
  <si>
    <t xml:space="preserve">D-70-23 Z70</t>
  </si>
  <si>
    <t xml:space="preserve">D-70-24 AA70</t>
  </si>
  <si>
    <t xml:space="preserve">D-70-25 AB70</t>
  </si>
  <si>
    <t xml:space="preserve">D-70-26 AC70</t>
  </si>
  <si>
    <t xml:space="preserve">D-70-27 AD70</t>
  </si>
  <si>
    <t xml:space="preserve">D-70-28 AE70</t>
  </si>
  <si>
    <t xml:space="preserve">D-70-29 AF70</t>
  </si>
  <si>
    <t xml:space="preserve">D-70-30 AG70</t>
  </si>
  <si>
    <t xml:space="preserve">D-70-31 AH70</t>
  </si>
  <si>
    <t xml:space="preserve">D-70-32 AI70</t>
  </si>
  <si>
    <t xml:space="preserve">D-70-33 AJ70</t>
  </si>
  <si>
    <t xml:space="preserve">D-70-34 AK70</t>
  </si>
  <si>
    <t xml:space="preserve">D-70-35 AL70</t>
  </si>
  <si>
    <t xml:space="preserve">D-70-36 AM70</t>
  </si>
  <si>
    <t xml:space="preserve">D-71-1 D71</t>
  </si>
  <si>
    <t xml:space="preserve">L15: limited by available employees</t>
  </si>
  <si>
    <t xml:space="preserve">D-71-2 E71</t>
  </si>
  <si>
    <t xml:space="preserve">D-71-3 F71</t>
  </si>
  <si>
    <t xml:space="preserve">D-71-4 G71</t>
  </si>
  <si>
    <t xml:space="preserve">D-71-5 H71</t>
  </si>
  <si>
    <t xml:space="preserve">D-71-6 I71</t>
  </si>
  <si>
    <t xml:space="preserve">D-71-7 J71</t>
  </si>
  <si>
    <t xml:space="preserve">D-71-8 K71</t>
  </si>
  <si>
    <t xml:space="preserve">D-71-9 L71</t>
  </si>
  <si>
    <t xml:space="preserve">D-71-10 M71</t>
  </si>
  <si>
    <t xml:space="preserve">D-71-11 N71</t>
  </si>
  <si>
    <t xml:space="preserve">D-71-12 O71</t>
  </si>
  <si>
    <t xml:space="preserve">D-71-13 P71</t>
  </si>
  <si>
    <t xml:space="preserve">D-71-14 Q71</t>
  </si>
  <si>
    <t xml:space="preserve">D-71-15 R71</t>
  </si>
  <si>
    <t xml:space="preserve">D-71-16 S71</t>
  </si>
  <si>
    <t xml:space="preserve">D-71-17 T71</t>
  </si>
  <si>
    <t xml:space="preserve">D-71-18 U71</t>
  </si>
  <si>
    <t xml:space="preserve">D-71-19 V71</t>
  </si>
  <si>
    <t xml:space="preserve">D-71-20 W71</t>
  </si>
  <si>
    <t xml:space="preserve">D-71-21 X71</t>
  </si>
  <si>
    <t xml:space="preserve">D-71-22 Y71</t>
  </si>
  <si>
    <t xml:space="preserve">D-71-23 Z71</t>
  </si>
  <si>
    <t xml:space="preserve">D-71-24 AA71</t>
  </si>
  <si>
    <t xml:space="preserve">D-71-25 AB71</t>
  </si>
  <si>
    <t xml:space="preserve">D-71-26 AC71</t>
  </si>
  <si>
    <t xml:space="preserve">D-71-27 AD71</t>
  </si>
  <si>
    <t xml:space="preserve">D-71-28 AE71</t>
  </si>
  <si>
    <t xml:space="preserve">D-71-29 AF71</t>
  </si>
  <si>
    <t xml:space="preserve">D-71-30 AG71</t>
  </si>
  <si>
    <t xml:space="preserve">D-71-31 AH71</t>
  </si>
  <si>
    <t xml:space="preserve">D-71-32 AI71</t>
  </si>
  <si>
    <t xml:space="preserve">D-71-33 AJ71</t>
  </si>
  <si>
    <t xml:space="preserve">D-71-34 AK71</t>
  </si>
  <si>
    <t xml:space="preserve">D-71-35 AL71</t>
  </si>
  <si>
    <t xml:space="preserve">D-71-36 AM71</t>
  </si>
  <si>
    <t xml:space="preserve">D-72-1 D72</t>
  </si>
  <si>
    <t xml:space="preserve">D-72-2 E72</t>
  </si>
  <si>
    <t xml:space="preserve">D-72-3 F72</t>
  </si>
  <si>
    <t xml:space="preserve">D-72-4 G72</t>
  </si>
  <si>
    <t xml:space="preserve">D-72-5 H72</t>
  </si>
  <si>
    <t xml:space="preserve">D-72-6 I72</t>
  </si>
  <si>
    <t xml:space="preserve">D-72-7 J72</t>
  </si>
  <si>
    <t xml:space="preserve">D-72-8 K72</t>
  </si>
  <si>
    <t xml:space="preserve">D-72-9 L72</t>
  </si>
  <si>
    <t xml:space="preserve">D-72-10 M72</t>
  </si>
  <si>
    <t xml:space="preserve">D-72-11 N72</t>
  </si>
  <si>
    <t xml:space="preserve">D-72-12 O72</t>
  </si>
  <si>
    <t xml:space="preserve">D-72-13 P72</t>
  </si>
  <si>
    <t xml:space="preserve">D-72-14 Q72</t>
  </si>
  <si>
    <t xml:space="preserve">D-72-15 R72</t>
  </si>
  <si>
    <t xml:space="preserve">D-72-16 S72</t>
  </si>
  <si>
    <t xml:space="preserve">D-72-17 T72</t>
  </si>
  <si>
    <t xml:space="preserve">D-72-18 U72</t>
  </si>
  <si>
    <t xml:space="preserve">D-72-19 V72</t>
  </si>
  <si>
    <t xml:space="preserve">D-72-20 W72</t>
  </si>
  <si>
    <t xml:space="preserve">D-72-21 X72</t>
  </si>
  <si>
    <t xml:space="preserve">D-72-22 Y72</t>
  </si>
  <si>
    <t xml:space="preserve">D-72-23 Z72</t>
  </si>
  <si>
    <t xml:space="preserve">D-72-24 AA72</t>
  </si>
  <si>
    <t xml:space="preserve">D-72-25 AB72</t>
  </si>
  <si>
    <t xml:space="preserve">D-72-26 AC72</t>
  </si>
  <si>
    <t xml:space="preserve">D-72-27 AD72</t>
  </si>
  <si>
    <t xml:space="preserve">D-72-28 AE72</t>
  </si>
  <si>
    <t xml:space="preserve">D-72-29 AF72</t>
  </si>
  <si>
    <t xml:space="preserve">D-72-30 AG72</t>
  </si>
  <si>
    <t xml:space="preserve">D-72-31 AH72</t>
  </si>
  <si>
    <t xml:space="preserve">D-72-32 AI72</t>
  </si>
  <si>
    <t xml:space="preserve">D-72-33 AJ72</t>
  </si>
  <si>
    <t xml:space="preserve">D-72-34 AK72</t>
  </si>
  <si>
    <t xml:space="preserve">D-72-35 AL72</t>
  </si>
  <si>
    <t xml:space="preserve">D-72-36 AM72</t>
  </si>
  <si>
    <t xml:space="preserve">D-73-1 D73</t>
  </si>
  <si>
    <t xml:space="preserve">D-73-2 E73</t>
  </si>
  <si>
    <t xml:space="preserve">D-73-3 F73</t>
  </si>
  <si>
    <t xml:space="preserve">D-73-4 G73</t>
  </si>
  <si>
    <t xml:space="preserve">D-73-5 H73</t>
  </si>
  <si>
    <t xml:space="preserve">D-73-6 I73</t>
  </si>
  <si>
    <t xml:space="preserve">D-73-7 J73</t>
  </si>
  <si>
    <t xml:space="preserve">D-73-8 K73</t>
  </si>
  <si>
    <t xml:space="preserve">D-73-9 L73</t>
  </si>
  <si>
    <t xml:space="preserve">D-73-10 M73</t>
  </si>
  <si>
    <t xml:space="preserve">D-73-11 N73</t>
  </si>
  <si>
    <t xml:space="preserve">D-73-12 O73</t>
  </si>
  <si>
    <t xml:space="preserve">D-73-13 P73</t>
  </si>
  <si>
    <t xml:space="preserve">D-73-14 Q73</t>
  </si>
  <si>
    <t xml:space="preserve">D-73-15 R73</t>
  </si>
  <si>
    <t xml:space="preserve">D-73-16 S73</t>
  </si>
  <si>
    <t xml:space="preserve">D-73-17 T73</t>
  </si>
  <si>
    <t xml:space="preserve">D-73-18 U73</t>
  </si>
  <si>
    <t xml:space="preserve">D-73-19 V73</t>
  </si>
  <si>
    <t xml:space="preserve">D-73-20 W73</t>
  </si>
  <si>
    <t xml:space="preserve">D-73-21 X73</t>
  </si>
  <si>
    <t xml:space="preserve">D-73-22 Y73</t>
  </si>
  <si>
    <t xml:space="preserve">D-73-23 Z73</t>
  </si>
  <si>
    <t xml:space="preserve">D-73-24 AA73</t>
  </si>
  <si>
    <t xml:space="preserve">D-73-25 AB73</t>
  </si>
  <si>
    <t xml:space="preserve">D-73-26 AC73</t>
  </si>
  <si>
    <t xml:space="preserve">D-73-27 AD73</t>
  </si>
  <si>
    <t xml:space="preserve">D-73-28 AE73</t>
  </si>
  <si>
    <t xml:space="preserve">D-73-29 AF73</t>
  </si>
  <si>
    <t xml:space="preserve">D-73-30 AG73</t>
  </si>
  <si>
    <t xml:space="preserve">D-73-31 AH73</t>
  </si>
  <si>
    <t xml:space="preserve">D-73-32 AI73</t>
  </si>
  <si>
    <t xml:space="preserve">D-73-33 AJ73</t>
  </si>
  <si>
    <t xml:space="preserve">D-73-34 AK73</t>
  </si>
  <si>
    <t xml:space="preserve">D-73-35 AL73</t>
  </si>
  <si>
    <t xml:space="preserve">D-73-36 AM73</t>
  </si>
  <si>
    <t xml:space="preserve">D-74-1 D74</t>
  </si>
  <si>
    <t xml:space="preserve">D-74-2 E74</t>
  </si>
  <si>
    <t xml:space="preserve">D-74-3 F74</t>
  </si>
  <si>
    <t xml:space="preserve">D-74-4 G74</t>
  </si>
  <si>
    <t xml:space="preserve">D-74-5 H74</t>
  </si>
  <si>
    <t xml:space="preserve">D-74-6 I74</t>
  </si>
  <si>
    <t xml:space="preserve">D-74-7 J74</t>
  </si>
  <si>
    <t xml:space="preserve">D-74-8 K74</t>
  </si>
  <si>
    <t xml:space="preserve">D-74-9 L74</t>
  </si>
  <si>
    <t xml:space="preserve">D-74-10 M74</t>
  </si>
  <si>
    <t xml:space="preserve">D-74-11 N74</t>
  </si>
  <si>
    <t xml:space="preserve">D-74-12 O74</t>
  </si>
  <si>
    <t xml:space="preserve">D-74-13 P74</t>
  </si>
  <si>
    <t xml:space="preserve">D-74-14 Q74</t>
  </si>
  <si>
    <t xml:space="preserve">D-74-15 R74</t>
  </si>
  <si>
    <t xml:space="preserve">D-74-16 S74</t>
  </si>
  <si>
    <t xml:space="preserve">D-74-17 T74</t>
  </si>
  <si>
    <t xml:space="preserve">D-74-18 U74</t>
  </si>
  <si>
    <t xml:space="preserve">D-74-19 V74</t>
  </si>
  <si>
    <t xml:space="preserve">D-74-20 W74</t>
  </si>
  <si>
    <t xml:space="preserve">D-74-21 X74</t>
  </si>
  <si>
    <t xml:space="preserve">D-74-22 Y74</t>
  </si>
  <si>
    <t xml:space="preserve">D-74-23 Z74</t>
  </si>
  <si>
    <t xml:space="preserve">D-74-24 AA74</t>
  </si>
  <si>
    <t xml:space="preserve">D-74-25 AB74</t>
  </si>
  <si>
    <t xml:space="preserve">D-74-26 AC74</t>
  </si>
  <si>
    <t xml:space="preserve">D-74-27 AD74</t>
  </si>
  <si>
    <t xml:space="preserve">D-74-28 AE74</t>
  </si>
  <si>
    <t xml:space="preserve">D-74-29 AF74</t>
  </si>
  <si>
    <t xml:space="preserve">D-74-30 AG74</t>
  </si>
  <si>
    <t xml:space="preserve">D-74-31 AH74</t>
  </si>
  <si>
    <t xml:space="preserve">D-74-32 AI74</t>
  </si>
  <si>
    <t xml:space="preserve">D-74-33 AJ74</t>
  </si>
  <si>
    <t xml:space="preserve">D-74-34 AK74</t>
  </si>
  <si>
    <t xml:space="preserve">D-74-35 AL74</t>
  </si>
  <si>
    <t xml:space="preserve">D-74-36 AM74</t>
  </si>
  <si>
    <t xml:space="preserve">D-75-1 D75</t>
  </si>
  <si>
    <t xml:space="preserve">D-75-2 E75</t>
  </si>
  <si>
    <t xml:space="preserve">D-75-3 F75</t>
  </si>
  <si>
    <t xml:space="preserve">D-75-4 G75</t>
  </si>
  <si>
    <t xml:space="preserve">D-75-5 H75</t>
  </si>
  <si>
    <t xml:space="preserve">D-75-6 I75</t>
  </si>
  <si>
    <t xml:space="preserve">D-75-7 J75</t>
  </si>
  <si>
    <t xml:space="preserve">D-75-8 K75</t>
  </si>
  <si>
    <t xml:space="preserve">D-75-9 L75</t>
  </si>
  <si>
    <t xml:space="preserve">D-75-10 M75</t>
  </si>
  <si>
    <t xml:space="preserve">D-75-11 N75</t>
  </si>
  <si>
    <t xml:space="preserve">D-75-12 O75</t>
  </si>
  <si>
    <t xml:space="preserve">D-75-13 P75</t>
  </si>
  <si>
    <t xml:space="preserve">D-75-14 Q75</t>
  </si>
  <si>
    <t xml:space="preserve">D-75-15 R75</t>
  </si>
  <si>
    <t xml:space="preserve">D-75-16 S75</t>
  </si>
  <si>
    <t xml:space="preserve">D-75-17 T75</t>
  </si>
  <si>
    <t xml:space="preserve">D-75-18 U75</t>
  </si>
  <si>
    <t xml:space="preserve">D-75-19 V75</t>
  </si>
  <si>
    <t xml:space="preserve">D-75-20 W75</t>
  </si>
  <si>
    <t xml:space="preserve">D-75-21 X75</t>
  </si>
  <si>
    <t xml:space="preserve">D-75-22 Y75</t>
  </si>
  <si>
    <t xml:space="preserve">D-75-23 Z75</t>
  </si>
  <si>
    <t xml:space="preserve">D-75-24 AA75</t>
  </si>
  <si>
    <t xml:space="preserve">D-75-25 AB75</t>
  </si>
  <si>
    <t xml:space="preserve">D-75-26 AC75</t>
  </si>
  <si>
    <t xml:space="preserve">D-75-27 AD75</t>
  </si>
  <si>
    <t xml:space="preserve">D-75-28 AE75</t>
  </si>
  <si>
    <t xml:space="preserve">D-75-29 AF75</t>
  </si>
  <si>
    <t xml:space="preserve">D-75-30 AG75</t>
  </si>
  <si>
    <t xml:space="preserve">D-75-31 AH75</t>
  </si>
  <si>
    <t xml:space="preserve">D-75-32 AI75</t>
  </si>
  <si>
    <t xml:space="preserve">D-75-33 AJ75</t>
  </si>
  <si>
    <t xml:space="preserve">D-75-34 AK75</t>
  </si>
  <si>
    <t xml:space="preserve">D-75-35 AL75</t>
  </si>
  <si>
    <t xml:space="preserve">D-75-36 AM75</t>
  </si>
  <si>
    <t xml:space="preserve">D-76-1 D76</t>
  </si>
  <si>
    <t xml:space="preserve">D-76-2 E76</t>
  </si>
  <si>
    <t xml:space="preserve">D-76-3 F76</t>
  </si>
  <si>
    <t xml:space="preserve">D-76-4 G76</t>
  </si>
  <si>
    <t xml:space="preserve">D-76-5 H76</t>
  </si>
  <si>
    <t xml:space="preserve">D-76-6 I76</t>
  </si>
  <si>
    <t xml:space="preserve">D-76-7 J76</t>
  </si>
  <si>
    <t xml:space="preserve">D-76-8 K76</t>
  </si>
  <si>
    <t xml:space="preserve">D-76-9 L76</t>
  </si>
  <si>
    <t xml:space="preserve">D-76-10 M76</t>
  </si>
  <si>
    <t xml:space="preserve">D-76-11 N76</t>
  </si>
  <si>
    <t xml:space="preserve">D-76-12 O76</t>
  </si>
  <si>
    <t xml:space="preserve">D-76-13 P76</t>
  </si>
  <si>
    <t xml:space="preserve">D-76-14 Q76</t>
  </si>
  <si>
    <t xml:space="preserve">D-76-15 R76</t>
  </si>
  <si>
    <t xml:space="preserve">D-76-16 S76</t>
  </si>
  <si>
    <t xml:space="preserve">D-76-17 T76</t>
  </si>
  <si>
    <t xml:space="preserve">D-76-18 U76</t>
  </si>
  <si>
    <t xml:space="preserve">D-76-19 V76</t>
  </si>
  <si>
    <t xml:space="preserve">D-76-20 W76</t>
  </si>
  <si>
    <t xml:space="preserve">D-76-21 X76</t>
  </si>
  <si>
    <t xml:space="preserve">D-76-22 Y76</t>
  </si>
  <si>
    <t xml:space="preserve">D-76-23 Z76</t>
  </si>
  <si>
    <t xml:space="preserve">D-76-24 AA76</t>
  </si>
  <si>
    <t xml:space="preserve">D-76-25 AB76</t>
  </si>
  <si>
    <t xml:space="preserve">D-76-26 AC76</t>
  </si>
  <si>
    <t xml:space="preserve">D-76-27 AD76</t>
  </si>
  <si>
    <t xml:space="preserve">D-76-28 AE76</t>
  </si>
  <si>
    <t xml:space="preserve">D-76-29 AF76</t>
  </si>
  <si>
    <t xml:space="preserve">D-76-30 AG76</t>
  </si>
  <si>
    <t xml:space="preserve">D-76-31 AH76</t>
  </si>
  <si>
    <t xml:space="preserve">D-76-32 AI76</t>
  </si>
  <si>
    <t xml:space="preserve">D-76-33 AJ76</t>
  </si>
  <si>
    <t xml:space="preserve">D-76-34 AK76</t>
  </si>
  <si>
    <t xml:space="preserve">D-76-35 AL76</t>
  </si>
  <si>
    <t xml:space="preserve">D-76-36 AM76</t>
  </si>
  <si>
    <t xml:space="preserve">D-77-1 D77</t>
  </si>
  <si>
    <t xml:space="preserve">D-77-2 E77</t>
  </si>
  <si>
    <t xml:space="preserve">D-77-3 F77</t>
  </si>
  <si>
    <t xml:space="preserve">D-77-4 G77</t>
  </si>
  <si>
    <t xml:space="preserve">D-77-5 H77</t>
  </si>
  <si>
    <t xml:space="preserve">D-77-6 I77</t>
  </si>
  <si>
    <t xml:space="preserve">D-77-7 J77</t>
  </si>
  <si>
    <t xml:space="preserve">D-77-8 K77</t>
  </si>
  <si>
    <t xml:space="preserve">D-77-9 L77</t>
  </si>
  <si>
    <t xml:space="preserve">D-77-10 M77</t>
  </si>
  <si>
    <t xml:space="preserve">D-77-11 N77</t>
  </si>
  <si>
    <t xml:space="preserve">D-77-12 O77</t>
  </si>
  <si>
    <t xml:space="preserve">D-77-13 P77</t>
  </si>
  <si>
    <t xml:space="preserve">D-77-14 Q77</t>
  </si>
  <si>
    <t xml:space="preserve">D-77-15 R77</t>
  </si>
  <si>
    <t xml:space="preserve">D-77-16 S77</t>
  </si>
  <si>
    <t xml:space="preserve">D-77-17 T77</t>
  </si>
  <si>
    <t xml:space="preserve">D-77-18 U77</t>
  </si>
  <si>
    <t xml:space="preserve">D-77-19 V77</t>
  </si>
  <si>
    <t xml:space="preserve">D-77-20 W77</t>
  </si>
  <si>
    <t xml:space="preserve">D-77-21 X77</t>
  </si>
  <si>
    <t xml:space="preserve">D-77-22 Y77</t>
  </si>
  <si>
    <t xml:space="preserve">D-77-23 Z77</t>
  </si>
  <si>
    <t xml:space="preserve">D-77-24 AA77</t>
  </si>
  <si>
    <t xml:space="preserve">D-77-25 AB77</t>
  </si>
  <si>
    <t xml:space="preserve">D-77-26 AC77</t>
  </si>
  <si>
    <t xml:space="preserve">D-77-27 AD77</t>
  </si>
  <si>
    <t xml:space="preserve">D-77-28 AE77</t>
  </si>
  <si>
    <t xml:space="preserve">D-77-29 AF77</t>
  </si>
  <si>
    <t xml:space="preserve">D-77-30 AG77</t>
  </si>
  <si>
    <t xml:space="preserve">D-77-31 AH77</t>
  </si>
  <si>
    <t xml:space="preserve">D-77-32 AI77</t>
  </si>
  <si>
    <t xml:space="preserve">D-77-33 AJ77</t>
  </si>
  <si>
    <t xml:space="preserve">D-77-34 AK77</t>
  </si>
  <si>
    <t xml:space="preserve">D-77-35 AL77</t>
  </si>
  <si>
    <t xml:space="preserve">D-77-36 AM77</t>
  </si>
  <si>
    <t xml:space="preserve">D-80-1 D80</t>
  </si>
  <si>
    <t xml:space="preserve">L24: historical other pretax less investment income, cash classification assumption</t>
  </si>
  <si>
    <t xml:space="preserve">D-80-2 E80</t>
  </si>
  <si>
    <t xml:space="preserve">D-80-3 F80</t>
  </si>
  <si>
    <t xml:space="preserve">D-80-4 G80</t>
  </si>
  <si>
    <t xml:space="preserve">D-80-5 H80</t>
  </si>
  <si>
    <t xml:space="preserve">D-80-6 I80</t>
  </si>
  <si>
    <t xml:space="preserve">D-80-7 J80</t>
  </si>
  <si>
    <t xml:space="preserve">D-80-8 K80</t>
  </si>
  <si>
    <t xml:space="preserve">D-80-9 L80</t>
  </si>
  <si>
    <t xml:space="preserve">D-80-10 M80</t>
  </si>
  <si>
    <t xml:space="preserve">D-80-11 N80</t>
  </si>
  <si>
    <t xml:space="preserve">D-80-12 O80</t>
  </si>
  <si>
    <t xml:space="preserve">D-80-13 P80</t>
  </si>
  <si>
    <t xml:space="preserve">D-80-14 Q80</t>
  </si>
  <si>
    <t xml:space="preserve">D-80-15 R80</t>
  </si>
  <si>
    <t xml:space="preserve">D-80-16 S80</t>
  </si>
  <si>
    <t xml:space="preserve">D-80-17 T80</t>
  </si>
  <si>
    <t xml:space="preserve">D-80-18 U80</t>
  </si>
  <si>
    <t xml:space="preserve">D-80-19 V80</t>
  </si>
  <si>
    <t xml:space="preserve">D-80-20 W80</t>
  </si>
  <si>
    <t xml:space="preserve">D-80-21 X80</t>
  </si>
  <si>
    <t xml:space="preserve">D-80-22 Y80</t>
  </si>
  <si>
    <t xml:space="preserve">D-80-23 Z80</t>
  </si>
  <si>
    <t xml:space="preserve">D-80-24 AA80</t>
  </si>
  <si>
    <t xml:space="preserve">D-80-25 AB80</t>
  </si>
  <si>
    <t xml:space="preserve">D-80-26 AC80</t>
  </si>
  <si>
    <t xml:space="preserve">D-80-27 AD80</t>
  </si>
  <si>
    <t xml:space="preserve">D-80-28 AE80</t>
  </si>
  <si>
    <t xml:space="preserve">D-80-29 AF80</t>
  </si>
  <si>
    <t xml:space="preserve">D-80-30 AG80</t>
  </si>
  <si>
    <t xml:space="preserve">D-80-31 AH80</t>
  </si>
  <si>
    <t xml:space="preserve">D-80-32 AI80</t>
  </si>
  <si>
    <t xml:space="preserve">D-80-33 AJ80</t>
  </si>
  <si>
    <t xml:space="preserve">D-80-34 AK80</t>
  </si>
  <si>
    <t xml:space="preserve">D-80-35 AL80</t>
  </si>
  <si>
    <t xml:space="preserve">D-80-36 AM80</t>
  </si>
  <si>
    <t xml:space="preserve">D-81-1 D81</t>
  </si>
  <si>
    <t xml:space="preserve">L22: FY2025 income / prior holding proxy</t>
  </si>
  <si>
    <t xml:space="preserve">D-81-2 E81</t>
  </si>
  <si>
    <t xml:space="preserve">D-81-3 F81</t>
  </si>
  <si>
    <t xml:space="preserve">D-81-4 G81</t>
  </si>
  <si>
    <t xml:space="preserve">D-81-5 H81</t>
  </si>
  <si>
    <t xml:space="preserve">D-81-6 I81</t>
  </si>
  <si>
    <t xml:space="preserve">D-81-7 J81</t>
  </si>
  <si>
    <t xml:space="preserve">D-81-8 K81</t>
  </si>
  <si>
    <t xml:space="preserve">D-81-9 L81</t>
  </si>
  <si>
    <t xml:space="preserve">D-81-10 M81</t>
  </si>
  <si>
    <t xml:space="preserve">D-81-11 N81</t>
  </si>
  <si>
    <t xml:space="preserve">D-81-12 O81</t>
  </si>
  <si>
    <t xml:space="preserve">D-81-13 P81</t>
  </si>
  <si>
    <t xml:space="preserve">D-81-14 Q81</t>
  </si>
  <si>
    <t xml:space="preserve">D-81-15 R81</t>
  </si>
  <si>
    <t xml:space="preserve">D-81-16 S81</t>
  </si>
  <si>
    <t xml:space="preserve">D-81-17 T81</t>
  </si>
  <si>
    <t xml:space="preserve">D-81-18 U81</t>
  </si>
  <si>
    <t xml:space="preserve">D-81-19 V81</t>
  </si>
  <si>
    <t xml:space="preserve">D-81-20 W81</t>
  </si>
  <si>
    <t xml:space="preserve">D-81-21 X81</t>
  </si>
  <si>
    <t xml:space="preserve">D-81-22 Y81</t>
  </si>
  <si>
    <t xml:space="preserve">D-81-23 Z81</t>
  </si>
  <si>
    <t xml:space="preserve">D-81-24 AA81</t>
  </si>
  <si>
    <t xml:space="preserve">D-81-25 AB81</t>
  </si>
  <si>
    <t xml:space="preserve">D-81-26 AC81</t>
  </si>
  <si>
    <t xml:space="preserve">D-81-27 AD81</t>
  </si>
  <si>
    <t xml:space="preserve">D-81-28 AE81</t>
  </si>
  <si>
    <t xml:space="preserve">D-81-29 AF81</t>
  </si>
  <si>
    <t xml:space="preserve">D-81-30 AG81</t>
  </si>
  <si>
    <t xml:space="preserve">D-81-31 AH81</t>
  </si>
  <si>
    <t xml:space="preserve">D-81-32 AI81</t>
  </si>
  <si>
    <t xml:space="preserve">D-81-33 AJ81</t>
  </si>
  <si>
    <t xml:space="preserve">D-81-34 AK81</t>
  </si>
  <si>
    <t xml:space="preserve">D-81-35 AL81</t>
  </si>
  <si>
    <t xml:space="preserve">D-81-36 AM81</t>
  </si>
  <si>
    <t xml:space="preserve">D-82-1 D82</t>
  </si>
  <si>
    <t xml:space="preserve">L24: opening monetary pool yield proxy</t>
  </si>
  <si>
    <t xml:space="preserve">D-82-2 E82</t>
  </si>
  <si>
    <t xml:space="preserve">D-82-3 F82</t>
  </si>
  <si>
    <t xml:space="preserve">D-82-4 G82</t>
  </si>
  <si>
    <t xml:space="preserve">D-82-5 H82</t>
  </si>
  <si>
    <t xml:space="preserve">D-82-6 I82</t>
  </si>
  <si>
    <t xml:space="preserve">D-82-7 J82</t>
  </si>
  <si>
    <t xml:space="preserve">D-82-8 K82</t>
  </si>
  <si>
    <t xml:space="preserve">D-82-9 L82</t>
  </si>
  <si>
    <t xml:space="preserve">D-82-10 M82</t>
  </si>
  <si>
    <t xml:space="preserve">D-82-11 N82</t>
  </si>
  <si>
    <t xml:space="preserve">D-82-12 O82</t>
  </si>
  <si>
    <t xml:space="preserve">D-82-13 P82</t>
  </si>
  <si>
    <t xml:space="preserve">D-82-14 Q82</t>
  </si>
  <si>
    <t xml:space="preserve">D-82-15 R82</t>
  </si>
  <si>
    <t xml:space="preserve">D-82-16 S82</t>
  </si>
  <si>
    <t xml:space="preserve">D-82-17 T82</t>
  </si>
  <si>
    <t xml:space="preserve">D-82-18 U82</t>
  </si>
  <si>
    <t xml:space="preserve">D-82-19 V82</t>
  </si>
  <si>
    <t xml:space="preserve">D-82-20 W82</t>
  </si>
  <si>
    <t xml:space="preserve">D-82-21 X82</t>
  </si>
  <si>
    <t xml:space="preserve">D-82-22 Y82</t>
  </si>
  <si>
    <t xml:space="preserve">D-82-23 Z82</t>
  </si>
  <si>
    <t xml:space="preserve">D-82-24 AA82</t>
  </si>
  <si>
    <t xml:space="preserve">D-82-25 AB82</t>
  </si>
  <si>
    <t xml:space="preserve">D-82-26 AC82</t>
  </si>
  <si>
    <t xml:space="preserve">D-82-27 AD82</t>
  </si>
  <si>
    <t xml:space="preserve">D-82-28 AE82</t>
  </si>
  <si>
    <t xml:space="preserve">D-82-29 AF82</t>
  </si>
  <si>
    <t xml:space="preserve">D-82-30 AG82</t>
  </si>
  <si>
    <t xml:space="preserve">D-82-31 AH82</t>
  </si>
  <si>
    <t xml:space="preserve">D-82-32 AI82</t>
  </si>
  <si>
    <t xml:space="preserve">D-82-33 AJ82</t>
  </si>
  <si>
    <t xml:space="preserve">D-82-34 AK82</t>
  </si>
  <si>
    <t xml:space="preserve">D-82-35 AL82</t>
  </si>
  <si>
    <t xml:space="preserve">D-82-36 AM82</t>
  </si>
  <si>
    <t xml:space="preserve">D-83-1 D83</t>
  </si>
  <si>
    <t xml:space="preserve">L24: historical disclosed cash/P&amp;L ratio is only a forecast timing assumption</t>
  </si>
  <si>
    <t xml:space="preserve">D-83-2 E83</t>
  </si>
  <si>
    <t xml:space="preserve">D-83-3 F83</t>
  </si>
  <si>
    <t xml:space="preserve">D-83-4 G83</t>
  </si>
  <si>
    <t xml:space="preserve">D-83-5 H83</t>
  </si>
  <si>
    <t xml:space="preserve">D-83-6 I83</t>
  </si>
  <si>
    <t xml:space="preserve">D-83-7 J83</t>
  </si>
  <si>
    <t xml:space="preserve">D-83-8 K83</t>
  </si>
  <si>
    <t xml:space="preserve">D-83-9 L83</t>
  </si>
  <si>
    <t xml:space="preserve">D-83-10 M83</t>
  </si>
  <si>
    <t xml:space="preserve">D-83-11 N83</t>
  </si>
  <si>
    <t xml:space="preserve">D-83-12 O83</t>
  </si>
  <si>
    <t xml:space="preserve">D-83-13 P83</t>
  </si>
  <si>
    <t xml:space="preserve">D-83-14 Q83</t>
  </si>
  <si>
    <t xml:space="preserve">D-83-15 R83</t>
  </si>
  <si>
    <t xml:space="preserve">D-83-16 S83</t>
  </si>
  <si>
    <t xml:space="preserve">D-83-17 T83</t>
  </si>
  <si>
    <t xml:space="preserve">D-83-18 U83</t>
  </si>
  <si>
    <t xml:space="preserve">D-83-19 V83</t>
  </si>
  <si>
    <t xml:space="preserve">D-83-20 W83</t>
  </si>
  <si>
    <t xml:space="preserve">D-83-21 X83</t>
  </si>
  <si>
    <t xml:space="preserve">D-83-22 Y83</t>
  </si>
  <si>
    <t xml:space="preserve">D-83-23 Z83</t>
  </si>
  <si>
    <t xml:space="preserve">D-83-24 AA83</t>
  </si>
  <si>
    <t xml:space="preserve">D-83-25 AB83</t>
  </si>
  <si>
    <t xml:space="preserve">D-83-26 AC83</t>
  </si>
  <si>
    <t xml:space="preserve">D-83-27 AD83</t>
  </si>
  <si>
    <t xml:space="preserve">D-83-28 AE83</t>
  </si>
  <si>
    <t xml:space="preserve">D-83-29 AF83</t>
  </si>
  <si>
    <t xml:space="preserve">D-83-30 AG83</t>
  </si>
  <si>
    <t xml:space="preserve">D-83-31 AH83</t>
  </si>
  <si>
    <t xml:space="preserve">D-83-32 AI83</t>
  </si>
  <si>
    <t xml:space="preserve">D-83-33 AJ83</t>
  </si>
  <si>
    <t xml:space="preserve">D-83-34 AK83</t>
  </si>
  <si>
    <t xml:space="preserve">D-83-35 AL83</t>
  </si>
  <si>
    <t xml:space="preserve">D-83-36 AM83</t>
  </si>
  <si>
    <t xml:space="preserve">D-90-1 D90</t>
  </si>
  <si>
    <t xml:space="preserve">years</t>
  </si>
  <si>
    <t xml:space="preserve">L21: teaching useful-life estimate, prospective pooled new-capex depreciation</t>
  </si>
  <si>
    <t xml:space="preserve">numeric &gt;0</t>
  </si>
  <si>
    <t xml:space="preserve">D-90-2 E90</t>
  </si>
  <si>
    <t xml:space="preserve">D-90-3 F90</t>
  </si>
  <si>
    <t xml:space="preserve">D-90-4 G90</t>
  </si>
  <si>
    <t xml:space="preserve">D-90-5 H90</t>
  </si>
  <si>
    <t xml:space="preserve">D-90-6 I90</t>
  </si>
  <si>
    <t xml:space="preserve">D-90-7 J90</t>
  </si>
  <si>
    <t xml:space="preserve">D-90-8 K90</t>
  </si>
  <si>
    <t xml:space="preserve">D-90-9 L90</t>
  </si>
  <si>
    <t xml:space="preserve">D-90-10 M90</t>
  </si>
  <si>
    <t xml:space="preserve">D-90-11 N90</t>
  </si>
  <si>
    <t xml:space="preserve">D-90-12 O90</t>
  </si>
  <si>
    <t xml:space="preserve">D-90-13 P90</t>
  </si>
  <si>
    <t xml:space="preserve">D-90-14 Q90</t>
  </si>
  <si>
    <t xml:space="preserve">D-90-15 R90</t>
  </si>
  <si>
    <t xml:space="preserve">D-90-16 S90</t>
  </si>
  <si>
    <t xml:space="preserve">D-90-17 T90</t>
  </si>
  <si>
    <t xml:space="preserve">D-90-18 U90</t>
  </si>
  <si>
    <t xml:space="preserve">D-90-19 V90</t>
  </si>
  <si>
    <t xml:space="preserve">D-90-20 W90</t>
  </si>
  <si>
    <t xml:space="preserve">D-90-21 X90</t>
  </si>
  <si>
    <t xml:space="preserve">D-90-22 Y90</t>
  </si>
  <si>
    <t xml:space="preserve">D-90-23 Z90</t>
  </si>
  <si>
    <t xml:space="preserve">D-90-24 AA90</t>
  </si>
  <si>
    <t xml:space="preserve">D-90-25 AB90</t>
  </si>
  <si>
    <t xml:space="preserve">D-90-26 AC90</t>
  </si>
  <si>
    <t xml:space="preserve">D-90-27 AD90</t>
  </si>
  <si>
    <t xml:space="preserve">D-90-28 AE90</t>
  </si>
  <si>
    <t xml:space="preserve">D-90-29 AF90</t>
  </si>
  <si>
    <t xml:space="preserve">D-90-30 AG90</t>
  </si>
  <si>
    <t xml:space="preserve">D-90-31 AH90</t>
  </si>
  <si>
    <t xml:space="preserve">D-90-32 AI90</t>
  </si>
  <si>
    <t xml:space="preserve">D-90-33 AJ90</t>
  </si>
  <si>
    <t xml:space="preserve">D-90-34 AK90</t>
  </si>
  <si>
    <t xml:space="preserve">D-90-35 AL90</t>
  </si>
  <si>
    <t xml:space="preserve">D-90-36 AM90</t>
  </si>
  <si>
    <t xml:space="preserve">D-91-1 D91</t>
  </si>
  <si>
    <t xml:space="preserve">D-91-2 E91</t>
  </si>
  <si>
    <t xml:space="preserve">D-91-3 F91</t>
  </si>
  <si>
    <t xml:space="preserve">D-91-4 G91</t>
  </si>
  <si>
    <t xml:space="preserve">D-91-5 H91</t>
  </si>
  <si>
    <t xml:space="preserve">D-91-6 I91</t>
  </si>
  <si>
    <t xml:space="preserve">D-91-7 J91</t>
  </si>
  <si>
    <t xml:space="preserve">D-91-8 K91</t>
  </si>
  <si>
    <t xml:space="preserve">D-91-9 L91</t>
  </si>
  <si>
    <t xml:space="preserve">D-91-10 M91</t>
  </si>
  <si>
    <t xml:space="preserve">D-91-11 N91</t>
  </si>
  <si>
    <t xml:space="preserve">D-91-12 O91</t>
  </si>
  <si>
    <t xml:space="preserve">D-91-13 P91</t>
  </si>
  <si>
    <t xml:space="preserve">D-91-14 Q91</t>
  </si>
  <si>
    <t xml:space="preserve">D-91-15 R91</t>
  </si>
  <si>
    <t xml:space="preserve">D-91-16 S91</t>
  </si>
  <si>
    <t xml:space="preserve">D-91-17 T91</t>
  </si>
  <si>
    <t xml:space="preserve">D-91-18 U91</t>
  </si>
  <si>
    <t xml:space="preserve">D-91-19 V91</t>
  </si>
  <si>
    <t xml:space="preserve">D-91-20 W91</t>
  </si>
  <si>
    <t xml:space="preserve">D-91-21 X91</t>
  </si>
  <si>
    <t xml:space="preserve">D-91-22 Y91</t>
  </si>
  <si>
    <t xml:space="preserve">D-91-23 Z91</t>
  </si>
  <si>
    <t xml:space="preserve">D-91-24 AA91</t>
  </si>
  <si>
    <t xml:space="preserve">D-91-25 AB91</t>
  </si>
  <si>
    <t xml:space="preserve">D-91-26 AC91</t>
  </si>
  <si>
    <t xml:space="preserve">D-91-27 AD91</t>
  </si>
  <si>
    <t xml:space="preserve">D-91-28 AE91</t>
  </si>
  <si>
    <t xml:space="preserve">D-91-29 AF91</t>
  </si>
  <si>
    <t xml:space="preserve">D-91-30 AG91</t>
  </si>
  <si>
    <t xml:space="preserve">D-91-31 AH91</t>
  </si>
  <si>
    <t xml:space="preserve">D-91-32 AI91</t>
  </si>
  <si>
    <t xml:space="preserve">D-91-33 AJ91</t>
  </si>
  <si>
    <t xml:space="preserve">D-91-34 AK91</t>
  </si>
  <si>
    <t xml:space="preserve">D-91-35 AL91</t>
  </si>
  <si>
    <t xml:space="preserve">D-91-36 AM91</t>
  </si>
  <si>
    <t xml:space="preserve">D-92-1 D92</t>
  </si>
  <si>
    <t xml:space="preserve">D-92-2 E92</t>
  </si>
  <si>
    <t xml:space="preserve">D-92-3 F92</t>
  </si>
  <si>
    <t xml:space="preserve">D-92-4 G92</t>
  </si>
  <si>
    <t xml:space="preserve">D-92-5 H92</t>
  </si>
  <si>
    <t xml:space="preserve">D-92-6 I92</t>
  </si>
  <si>
    <t xml:space="preserve">D-92-7 J92</t>
  </si>
  <si>
    <t xml:space="preserve">D-92-8 K92</t>
  </si>
  <si>
    <t xml:space="preserve">D-92-9 L92</t>
  </si>
  <si>
    <t xml:space="preserve">D-92-10 M92</t>
  </si>
  <si>
    <t xml:space="preserve">D-92-11 N92</t>
  </si>
  <si>
    <t xml:space="preserve">D-92-12 O92</t>
  </si>
  <si>
    <t xml:space="preserve">D-92-13 P92</t>
  </si>
  <si>
    <t xml:space="preserve">D-92-14 Q92</t>
  </si>
  <si>
    <t xml:space="preserve">D-92-15 R92</t>
  </si>
  <si>
    <t xml:space="preserve">D-92-16 S92</t>
  </si>
  <si>
    <t xml:space="preserve">D-92-17 T92</t>
  </si>
  <si>
    <t xml:space="preserve">D-92-18 U92</t>
  </si>
  <si>
    <t xml:space="preserve">D-92-19 V92</t>
  </si>
  <si>
    <t xml:space="preserve">D-92-20 W92</t>
  </si>
  <si>
    <t xml:space="preserve">D-92-21 X92</t>
  </si>
  <si>
    <t xml:space="preserve">D-92-22 Y92</t>
  </si>
  <si>
    <t xml:space="preserve">D-92-23 Z92</t>
  </si>
  <si>
    <t xml:space="preserve">D-92-24 AA92</t>
  </si>
  <si>
    <t xml:space="preserve">D-92-25 AB92</t>
  </si>
  <si>
    <t xml:space="preserve">D-92-26 AC92</t>
  </si>
  <si>
    <t xml:space="preserve">D-92-27 AD92</t>
  </si>
  <si>
    <t xml:space="preserve">D-92-28 AE92</t>
  </si>
  <si>
    <t xml:space="preserve">D-92-29 AF92</t>
  </si>
  <si>
    <t xml:space="preserve">D-92-30 AG92</t>
  </si>
  <si>
    <t xml:space="preserve">D-92-31 AH92</t>
  </si>
  <si>
    <t xml:space="preserve">D-92-32 AI92</t>
  </si>
  <si>
    <t xml:space="preserve">D-92-33 AJ92</t>
  </si>
  <si>
    <t xml:space="preserve">D-92-34 AK92</t>
  </si>
  <si>
    <t xml:space="preserve">D-92-35 AL92</t>
  </si>
  <si>
    <t xml:space="preserve">D-92-36 AM92</t>
  </si>
  <si>
    <t xml:space="preserve">D-93-1 D93</t>
  </si>
  <si>
    <t xml:space="preserve">D-93-2 E93</t>
  </si>
  <si>
    <t xml:space="preserve">D-93-3 F93</t>
  </si>
  <si>
    <t xml:space="preserve">D-93-4 G93</t>
  </si>
  <si>
    <t xml:space="preserve">D-93-5 H93</t>
  </si>
  <si>
    <t xml:space="preserve">D-93-6 I93</t>
  </si>
  <si>
    <t xml:space="preserve">D-93-7 J93</t>
  </si>
  <si>
    <t xml:space="preserve">D-93-8 K93</t>
  </si>
  <si>
    <t xml:space="preserve">D-93-9 L93</t>
  </si>
  <si>
    <t xml:space="preserve">D-93-10 M93</t>
  </si>
  <si>
    <t xml:space="preserve">D-93-11 N93</t>
  </si>
  <si>
    <t xml:space="preserve">D-93-12 O93</t>
  </si>
  <si>
    <t xml:space="preserve">D-93-13 P93</t>
  </si>
  <si>
    <t xml:space="preserve">D-93-14 Q93</t>
  </si>
  <si>
    <t xml:space="preserve">D-93-15 R93</t>
  </si>
  <si>
    <t xml:space="preserve">D-93-16 S93</t>
  </si>
  <si>
    <t xml:space="preserve">D-93-17 T93</t>
  </si>
  <si>
    <t xml:space="preserve">D-93-18 U93</t>
  </si>
  <si>
    <t xml:space="preserve">D-93-19 V93</t>
  </si>
  <si>
    <t xml:space="preserve">D-93-20 W93</t>
  </si>
  <si>
    <t xml:space="preserve">D-93-21 X93</t>
  </si>
  <si>
    <t xml:space="preserve">D-93-22 Y93</t>
  </si>
  <si>
    <t xml:space="preserve">D-93-23 Z93</t>
  </si>
  <si>
    <t xml:space="preserve">D-93-24 AA93</t>
  </si>
  <si>
    <t xml:space="preserve">D-93-25 AB93</t>
  </si>
  <si>
    <t xml:space="preserve">D-93-26 AC93</t>
  </si>
  <si>
    <t xml:space="preserve">D-93-27 AD93</t>
  </si>
  <si>
    <t xml:space="preserve">D-93-28 AE93</t>
  </si>
  <si>
    <t xml:space="preserve">D-93-29 AF93</t>
  </si>
  <si>
    <t xml:space="preserve">D-93-30 AG93</t>
  </si>
  <si>
    <t xml:space="preserve">D-93-31 AH93</t>
  </si>
  <si>
    <t xml:space="preserve">D-93-32 AI93</t>
  </si>
  <si>
    <t xml:space="preserve">D-93-33 AJ93</t>
  </si>
  <si>
    <t xml:space="preserve">D-93-34 AK93</t>
  </si>
  <si>
    <t xml:space="preserve">D-93-35 AL93</t>
  </si>
  <si>
    <t xml:space="preserve">D-93-36 AM93</t>
  </si>
  <si>
    <t xml:space="preserve">D-94-1 D94</t>
  </si>
  <si>
    <t xml:space="preserve">D-94-2 E94</t>
  </si>
  <si>
    <t xml:space="preserve">D-94-3 F94</t>
  </si>
  <si>
    <t xml:space="preserve">D-94-4 G94</t>
  </si>
  <si>
    <t xml:space="preserve">D-94-5 H94</t>
  </si>
  <si>
    <t xml:space="preserve">D-94-6 I94</t>
  </si>
  <si>
    <t xml:space="preserve">D-94-7 J94</t>
  </si>
  <si>
    <t xml:space="preserve">D-94-8 K94</t>
  </si>
  <si>
    <t xml:space="preserve">D-94-9 L94</t>
  </si>
  <si>
    <t xml:space="preserve">D-94-10 M94</t>
  </si>
  <si>
    <t xml:space="preserve">D-94-11 N94</t>
  </si>
  <si>
    <t xml:space="preserve">D-94-12 O94</t>
  </si>
  <si>
    <t xml:space="preserve">D-94-13 P94</t>
  </si>
  <si>
    <t xml:space="preserve">D-94-14 Q94</t>
  </si>
  <si>
    <t xml:space="preserve">D-94-15 R94</t>
  </si>
  <si>
    <t xml:space="preserve">D-94-16 S94</t>
  </si>
  <si>
    <t xml:space="preserve">D-94-17 T94</t>
  </si>
  <si>
    <t xml:space="preserve">D-94-18 U94</t>
  </si>
  <si>
    <t xml:space="preserve">D-94-19 V94</t>
  </si>
  <si>
    <t xml:space="preserve">D-94-20 W94</t>
  </si>
  <si>
    <t xml:space="preserve">D-94-21 X94</t>
  </si>
  <si>
    <t xml:space="preserve">D-94-22 Y94</t>
  </si>
  <si>
    <t xml:space="preserve">D-94-23 Z94</t>
  </si>
  <si>
    <t xml:space="preserve">D-94-24 AA94</t>
  </si>
  <si>
    <t xml:space="preserve">D-94-25 AB94</t>
  </si>
  <si>
    <t xml:space="preserve">D-94-26 AC94</t>
  </si>
  <si>
    <t xml:space="preserve">D-94-27 AD94</t>
  </si>
  <si>
    <t xml:space="preserve">D-94-28 AE94</t>
  </si>
  <si>
    <t xml:space="preserve">D-94-29 AF94</t>
  </si>
  <si>
    <t xml:space="preserve">D-94-30 AG94</t>
  </si>
  <si>
    <t xml:space="preserve">D-94-31 AH94</t>
  </si>
  <si>
    <t xml:space="preserve">D-94-32 AI94</t>
  </si>
  <si>
    <t xml:space="preserve">D-94-33 AJ94</t>
  </si>
  <si>
    <t xml:space="preserve">D-94-34 AK94</t>
  </si>
  <si>
    <t xml:space="preserve">D-94-35 AL94</t>
  </si>
  <si>
    <t xml:space="preserve">D-94-36 AM94</t>
  </si>
  <si>
    <t xml:space="preserve">D-95-1 D95</t>
  </si>
  <si>
    <t xml:space="preserve">D-95-2 E95</t>
  </si>
  <si>
    <t xml:space="preserve">D-95-3 F95</t>
  </si>
  <si>
    <t xml:space="preserve">D-95-4 G95</t>
  </si>
  <si>
    <t xml:space="preserve">D-95-5 H95</t>
  </si>
  <si>
    <t xml:space="preserve">D-95-6 I95</t>
  </si>
  <si>
    <t xml:space="preserve">D-95-7 J95</t>
  </si>
  <si>
    <t xml:space="preserve">D-95-8 K95</t>
  </si>
  <si>
    <t xml:space="preserve">D-95-9 L95</t>
  </si>
  <si>
    <t xml:space="preserve">D-95-10 M95</t>
  </si>
  <si>
    <t xml:space="preserve">D-95-11 N95</t>
  </si>
  <si>
    <t xml:space="preserve">D-95-12 O95</t>
  </si>
  <si>
    <t xml:space="preserve">D-95-13 P95</t>
  </si>
  <si>
    <t xml:space="preserve">D-95-14 Q95</t>
  </si>
  <si>
    <t xml:space="preserve">D-95-15 R95</t>
  </si>
  <si>
    <t xml:space="preserve">D-95-16 S95</t>
  </si>
  <si>
    <t xml:space="preserve">D-95-17 T95</t>
  </si>
  <si>
    <t xml:space="preserve">D-95-18 U95</t>
  </si>
  <si>
    <t xml:space="preserve">D-95-19 V95</t>
  </si>
  <si>
    <t xml:space="preserve">D-95-20 W95</t>
  </si>
  <si>
    <t xml:space="preserve">D-95-21 X95</t>
  </si>
  <si>
    <t xml:space="preserve">D-95-22 Y95</t>
  </si>
  <si>
    <t xml:space="preserve">D-95-23 Z95</t>
  </si>
  <si>
    <t xml:space="preserve">D-95-24 AA95</t>
  </si>
  <si>
    <t xml:space="preserve">D-95-25 AB95</t>
  </si>
  <si>
    <t xml:space="preserve">D-95-26 AC95</t>
  </si>
  <si>
    <t xml:space="preserve">D-95-27 AD95</t>
  </si>
  <si>
    <t xml:space="preserve">D-95-28 AE95</t>
  </si>
  <si>
    <t xml:space="preserve">D-95-29 AF95</t>
  </si>
  <si>
    <t xml:space="preserve">D-95-30 AG95</t>
  </si>
  <si>
    <t xml:space="preserve">D-95-31 AH95</t>
  </si>
  <si>
    <t xml:space="preserve">D-95-32 AI95</t>
  </si>
  <si>
    <t xml:space="preserve">D-95-33 AJ95</t>
  </si>
  <si>
    <t xml:space="preserve">D-95-34 AK95</t>
  </si>
  <si>
    <t xml:space="preserve">D-95-35 AL95</t>
  </si>
  <si>
    <t xml:space="preserve">D-95-36 AM95</t>
  </si>
  <si>
    <t xml:space="preserve">D-96-1 D96</t>
  </si>
  <si>
    <t xml:space="preserve">D-96-2 E96</t>
  </si>
  <si>
    <t xml:space="preserve">D-96-3 F96</t>
  </si>
  <si>
    <t xml:space="preserve">D-96-4 G96</t>
  </si>
  <si>
    <t xml:space="preserve">D-96-5 H96</t>
  </si>
  <si>
    <t xml:space="preserve">D-96-6 I96</t>
  </si>
  <si>
    <t xml:space="preserve">D-96-7 J96</t>
  </si>
  <si>
    <t xml:space="preserve">D-96-8 K96</t>
  </si>
  <si>
    <t xml:space="preserve">D-96-9 L96</t>
  </si>
  <si>
    <t xml:space="preserve">D-96-10 M96</t>
  </si>
  <si>
    <t xml:space="preserve">D-96-11 N96</t>
  </si>
  <si>
    <t xml:space="preserve">D-96-12 O96</t>
  </si>
  <si>
    <t xml:space="preserve">D-96-13 P96</t>
  </si>
  <si>
    <t xml:space="preserve">D-96-14 Q96</t>
  </si>
  <si>
    <t xml:space="preserve">D-96-15 R96</t>
  </si>
  <si>
    <t xml:space="preserve">D-96-16 S96</t>
  </si>
  <si>
    <t xml:space="preserve">D-96-17 T96</t>
  </si>
  <si>
    <t xml:space="preserve">D-96-18 U96</t>
  </si>
  <si>
    <t xml:space="preserve">D-96-19 V96</t>
  </si>
  <si>
    <t xml:space="preserve">D-96-20 W96</t>
  </si>
  <si>
    <t xml:space="preserve">D-96-21 X96</t>
  </si>
  <si>
    <t xml:space="preserve">D-96-22 Y96</t>
  </si>
  <si>
    <t xml:space="preserve">D-96-23 Z96</t>
  </si>
  <si>
    <t xml:space="preserve">D-96-24 AA96</t>
  </si>
  <si>
    <t xml:space="preserve">D-96-25 AB96</t>
  </si>
  <si>
    <t xml:space="preserve">D-96-26 AC96</t>
  </si>
  <si>
    <t xml:space="preserve">D-96-27 AD96</t>
  </si>
  <si>
    <t xml:space="preserve">D-96-28 AE96</t>
  </si>
  <si>
    <t xml:space="preserve">D-96-29 AF96</t>
  </si>
  <si>
    <t xml:space="preserve">D-96-30 AG96</t>
  </si>
  <si>
    <t xml:space="preserve">D-96-31 AH96</t>
  </si>
  <si>
    <t xml:space="preserve">D-96-32 AI96</t>
  </si>
  <si>
    <t xml:space="preserve">D-96-33 AJ96</t>
  </si>
  <si>
    <t xml:space="preserve">D-96-34 AK96</t>
  </si>
  <si>
    <t xml:space="preserve">D-96-35 AL96</t>
  </si>
  <si>
    <t xml:space="preserve">D-96-36 AM96</t>
  </si>
  <si>
    <t xml:space="preserve">D-98-1 D98</t>
  </si>
  <si>
    <t xml:space="preserve">L21: allocation assumption; remaining capex allocated to PPE classes by source carrying-value weights</t>
  </si>
  <si>
    <t xml:space="preserve">D-98-2 E98</t>
  </si>
  <si>
    <t xml:space="preserve">D-98-3 F98</t>
  </si>
  <si>
    <t xml:space="preserve">D-98-4 G98</t>
  </si>
  <si>
    <t xml:space="preserve">D-98-5 H98</t>
  </si>
  <si>
    <t xml:space="preserve">D-98-6 I98</t>
  </si>
  <si>
    <t xml:space="preserve">D-98-7 J98</t>
  </si>
  <si>
    <t xml:space="preserve">D-98-8 K98</t>
  </si>
  <si>
    <t xml:space="preserve">D-98-9 L98</t>
  </si>
  <si>
    <t xml:space="preserve">D-98-10 M98</t>
  </si>
  <si>
    <t xml:space="preserve">D-98-11 N98</t>
  </si>
  <si>
    <t xml:space="preserve">D-98-12 O98</t>
  </si>
  <si>
    <t xml:space="preserve">D-98-13 P98</t>
  </si>
  <si>
    <t xml:space="preserve">D-98-14 Q98</t>
  </si>
  <si>
    <t xml:space="preserve">D-98-15 R98</t>
  </si>
  <si>
    <t xml:space="preserve">D-98-16 S98</t>
  </si>
  <si>
    <t xml:space="preserve">D-98-17 T98</t>
  </si>
  <si>
    <t xml:space="preserve">D-98-18 U98</t>
  </si>
  <si>
    <t xml:space="preserve">D-98-19 V98</t>
  </si>
  <si>
    <t xml:space="preserve">D-98-20 W98</t>
  </si>
  <si>
    <t xml:space="preserve">D-98-21 X98</t>
  </si>
  <si>
    <t xml:space="preserve">D-98-22 Y98</t>
  </si>
  <si>
    <t xml:space="preserve">D-98-23 Z98</t>
  </si>
  <si>
    <t xml:space="preserve">D-98-24 AA98</t>
  </si>
  <si>
    <t xml:space="preserve">D-98-25 AB98</t>
  </si>
  <si>
    <t xml:space="preserve">D-98-26 AC98</t>
  </si>
  <si>
    <t xml:space="preserve">D-98-27 AD98</t>
  </si>
  <si>
    <t xml:space="preserve">D-98-28 AE98</t>
  </si>
  <si>
    <t xml:space="preserve">D-98-29 AF98</t>
  </si>
  <si>
    <t xml:space="preserve">D-98-30 AG98</t>
  </si>
  <si>
    <t xml:space="preserve">D-98-31 AH98</t>
  </si>
  <si>
    <t xml:space="preserve">D-98-32 AI98</t>
  </si>
  <si>
    <t xml:space="preserve">D-98-33 AJ98</t>
  </si>
  <si>
    <t xml:space="preserve">D-98-34 AK98</t>
  </si>
  <si>
    <t xml:space="preserve">D-98-35 AL98</t>
  </si>
  <si>
    <t xml:space="preserve">D-98-36 AM98</t>
  </si>
  <si>
    <t xml:space="preserve">D-99-1 D99</t>
  </si>
  <si>
    <t xml:space="preserve">L26: FY2025 note is blank; forecast zero is an explicit teaching assumption, not a reported value</t>
  </si>
  <si>
    <t xml:space="preserve">D-99-2 E99</t>
  </si>
  <si>
    <t xml:space="preserve">D-99-3 F99</t>
  </si>
  <si>
    <t xml:space="preserve">D-99-4 G99</t>
  </si>
  <si>
    <t xml:space="preserve">D-99-5 H99</t>
  </si>
  <si>
    <t xml:space="preserve">D-99-6 I99</t>
  </si>
  <si>
    <t xml:space="preserve">D-99-7 J99</t>
  </si>
  <si>
    <t xml:space="preserve">D-99-8 K99</t>
  </si>
  <si>
    <t xml:space="preserve">D-99-9 L99</t>
  </si>
  <si>
    <t xml:space="preserve">D-99-10 M99</t>
  </si>
  <si>
    <t xml:space="preserve">D-99-11 N99</t>
  </si>
  <si>
    <t xml:space="preserve">D-99-12 O99</t>
  </si>
  <si>
    <t xml:space="preserve">D-99-13 P99</t>
  </si>
  <si>
    <t xml:space="preserve">D-99-14 Q99</t>
  </si>
  <si>
    <t xml:space="preserve">D-99-15 R99</t>
  </si>
  <si>
    <t xml:space="preserve">D-99-16 S99</t>
  </si>
  <si>
    <t xml:space="preserve">D-99-17 T99</t>
  </si>
  <si>
    <t xml:space="preserve">D-99-18 U99</t>
  </si>
  <si>
    <t xml:space="preserve">D-99-19 V99</t>
  </si>
  <si>
    <t xml:space="preserve">D-99-20 W99</t>
  </si>
  <si>
    <t xml:space="preserve">D-99-21 X99</t>
  </si>
  <si>
    <t xml:space="preserve">D-99-22 Y99</t>
  </si>
  <si>
    <t xml:space="preserve">D-99-23 Z99</t>
  </si>
  <si>
    <t xml:space="preserve">D-99-24 AA99</t>
  </si>
  <si>
    <t xml:space="preserve">D-99-25 AB99</t>
  </si>
  <si>
    <t xml:space="preserve">D-99-26 AC99</t>
  </si>
  <si>
    <t xml:space="preserve">D-99-27 AD99</t>
  </si>
  <si>
    <t xml:space="preserve">D-99-28 AE99</t>
  </si>
  <si>
    <t xml:space="preserve">D-99-29 AF99</t>
  </si>
  <si>
    <t xml:space="preserve">D-99-30 AG99</t>
  </si>
  <si>
    <t xml:space="preserve">D-99-31 AH99</t>
  </si>
  <si>
    <t xml:space="preserve">D-99-32 AI99</t>
  </si>
  <si>
    <t xml:space="preserve">D-99-33 AJ99</t>
  </si>
  <si>
    <t xml:space="preserve">D-99-34 AK99</t>
  </si>
  <si>
    <t xml:space="preserve">D-99-35 AL99</t>
  </si>
  <si>
    <t xml:space="preserve">D-99-36 AM99</t>
  </si>
  <si>
    <t xml:space="preserve">D-100-1 D100</t>
  </si>
  <si>
    <t xml:space="preserve">L16: source ending contract liability / revenue; prior advances recognised before new cash advances</t>
  </si>
  <si>
    <t xml:space="preserve">D-100-2 E100</t>
  </si>
  <si>
    <t xml:space="preserve">D-100-3 F100</t>
  </si>
  <si>
    <t xml:space="preserve">D-100-4 G100</t>
  </si>
  <si>
    <t xml:space="preserve">D-100-5 H100</t>
  </si>
  <si>
    <t xml:space="preserve">D-100-6 I100</t>
  </si>
  <si>
    <t xml:space="preserve">D-100-7 J100</t>
  </si>
  <si>
    <t xml:space="preserve">D-100-8 K100</t>
  </si>
  <si>
    <t xml:space="preserve">D-100-9 L100</t>
  </si>
  <si>
    <t xml:space="preserve">D-100-10 M100</t>
  </si>
  <si>
    <t xml:space="preserve">D-100-11 N100</t>
  </si>
  <si>
    <t xml:space="preserve">D-100-12 O100</t>
  </si>
  <si>
    <t xml:space="preserve">D-100-13 P100</t>
  </si>
  <si>
    <t xml:space="preserve">D-100-14 Q100</t>
  </si>
  <si>
    <t xml:space="preserve">D-100-15 R100</t>
  </si>
  <si>
    <t xml:space="preserve">D-100-16 S100</t>
  </si>
  <si>
    <t xml:space="preserve">D-100-17 T100</t>
  </si>
  <si>
    <t xml:space="preserve">D-100-18 U100</t>
  </si>
  <si>
    <t xml:space="preserve">D-100-19 V100</t>
  </si>
  <si>
    <t xml:space="preserve">D-100-20 W100</t>
  </si>
  <si>
    <t xml:space="preserve">D-100-21 X100</t>
  </si>
  <si>
    <t xml:space="preserve">D-100-22 Y100</t>
  </si>
  <si>
    <t xml:space="preserve">D-100-23 Z100</t>
  </si>
  <si>
    <t xml:space="preserve">D-100-24 AA100</t>
  </si>
  <si>
    <t xml:space="preserve">D-100-25 AB100</t>
  </si>
  <si>
    <t xml:space="preserve">D-100-26 AC100</t>
  </si>
  <si>
    <t xml:space="preserve">D-100-27 AD100</t>
  </si>
  <si>
    <t xml:space="preserve">D-100-28 AE100</t>
  </si>
  <si>
    <t xml:space="preserve">D-100-29 AF100</t>
  </si>
  <si>
    <t xml:space="preserve">D-100-30 AG100</t>
  </si>
  <si>
    <t xml:space="preserve">D-100-31 AH100</t>
  </si>
  <si>
    <t xml:space="preserve">D-100-32 AI100</t>
  </si>
  <si>
    <t xml:space="preserve">D-100-33 AJ100</t>
  </si>
  <si>
    <t xml:space="preserve">D-100-34 AK100</t>
  </si>
  <si>
    <t xml:space="preserve">D-100-35 AL100</t>
  </si>
  <si>
    <t xml:space="preserve">D-100-36 AM100</t>
  </si>
  <si>
    <t xml:space="preserve">D-101-1 D101</t>
  </si>
  <si>
    <t xml:space="preserve">L27: individually named source components, excluding DTA and new interest cohort</t>
  </si>
  <si>
    <t xml:space="preserve">D-101-2 E101</t>
  </si>
  <si>
    <t xml:space="preserve">D-101-3 F101</t>
  </si>
  <si>
    <t xml:space="preserve">D-101-4 G101</t>
  </si>
  <si>
    <t xml:space="preserve">D-101-5 H101</t>
  </si>
  <si>
    <t xml:space="preserve">D-101-6 I101</t>
  </si>
  <si>
    <t xml:space="preserve">D-101-7 J101</t>
  </si>
  <si>
    <t xml:space="preserve">D-101-8 K101</t>
  </si>
  <si>
    <t xml:space="preserve">D-101-9 L101</t>
  </si>
  <si>
    <t xml:space="preserve">D-101-10 M101</t>
  </si>
  <si>
    <t xml:space="preserve">D-101-11 N101</t>
  </si>
  <si>
    <t xml:space="preserve">D-101-12 O101</t>
  </si>
  <si>
    <t xml:space="preserve">D-101-13 P101</t>
  </si>
  <si>
    <t xml:space="preserve">D-101-14 Q101</t>
  </si>
  <si>
    <t xml:space="preserve">D-101-15 R101</t>
  </si>
  <si>
    <t xml:space="preserve">D-101-16 S101</t>
  </si>
  <si>
    <t xml:space="preserve">D-101-17 T101</t>
  </si>
  <si>
    <t xml:space="preserve">D-101-18 U101</t>
  </si>
  <si>
    <t xml:space="preserve">D-101-19 V101</t>
  </si>
  <si>
    <t xml:space="preserve">D-101-20 W101</t>
  </si>
  <si>
    <t xml:space="preserve">D-101-21 X101</t>
  </si>
  <si>
    <t xml:space="preserve">D-101-22 Y101</t>
  </si>
  <si>
    <t xml:space="preserve">D-101-23 Z101</t>
  </si>
  <si>
    <t xml:space="preserve">D-101-24 AA101</t>
  </si>
  <si>
    <t xml:space="preserve">D-101-25 AB101</t>
  </si>
  <si>
    <t xml:space="preserve">D-101-26 AC101</t>
  </si>
  <si>
    <t xml:space="preserve">D-101-27 AD101</t>
  </si>
  <si>
    <t xml:space="preserve">D-101-28 AE101</t>
  </si>
  <si>
    <t xml:space="preserve">D-101-29 AF101</t>
  </si>
  <si>
    <t xml:space="preserve">D-101-30 AG101</t>
  </si>
  <si>
    <t xml:space="preserve">D-101-31 AH101</t>
  </si>
  <si>
    <t xml:space="preserve">D-101-32 AI101</t>
  </si>
  <si>
    <t xml:space="preserve">D-101-33 AJ101</t>
  </si>
  <si>
    <t xml:space="preserve">D-101-34 AK101</t>
  </si>
  <si>
    <t xml:space="preserve">D-101-35 AL101</t>
  </si>
  <si>
    <t xml:space="preserve">D-101-36 AM101</t>
  </si>
  <si>
    <t xml:space="preserve">D-102-1 D102</t>
  </si>
  <si>
    <t xml:space="preserve">L27: individually named source components, excluding DTL</t>
  </si>
  <si>
    <t xml:space="preserve">D-102-2 E102</t>
  </si>
  <si>
    <t xml:space="preserve">D-102-3 F102</t>
  </si>
  <si>
    <t xml:space="preserve">D-102-4 G102</t>
  </si>
  <si>
    <t xml:space="preserve">D-102-5 H102</t>
  </si>
  <si>
    <t xml:space="preserve">D-102-6 I102</t>
  </si>
  <si>
    <t xml:space="preserve">D-102-7 J102</t>
  </si>
  <si>
    <t xml:space="preserve">D-102-8 K102</t>
  </si>
  <si>
    <t xml:space="preserve">D-102-9 L102</t>
  </si>
  <si>
    <t xml:space="preserve">D-102-10 M102</t>
  </si>
  <si>
    <t xml:space="preserve">D-102-11 N102</t>
  </si>
  <si>
    <t xml:space="preserve">D-102-12 O102</t>
  </si>
  <si>
    <t xml:space="preserve">D-102-13 P102</t>
  </si>
  <si>
    <t xml:space="preserve">D-102-14 Q102</t>
  </si>
  <si>
    <t xml:space="preserve">D-102-15 R102</t>
  </si>
  <si>
    <t xml:space="preserve">D-102-16 S102</t>
  </si>
  <si>
    <t xml:space="preserve">D-102-17 T102</t>
  </si>
  <si>
    <t xml:space="preserve">D-102-18 U102</t>
  </si>
  <si>
    <t xml:space="preserve">D-102-19 V102</t>
  </si>
  <si>
    <t xml:space="preserve">D-102-20 W102</t>
  </si>
  <si>
    <t xml:space="preserve">D-102-21 X102</t>
  </si>
  <si>
    <t xml:space="preserve">D-102-22 Y102</t>
  </si>
  <si>
    <t xml:space="preserve">D-102-23 Z102</t>
  </si>
  <si>
    <t xml:space="preserve">D-102-24 AA102</t>
  </si>
  <si>
    <t xml:space="preserve">D-102-25 AB102</t>
  </si>
  <si>
    <t xml:space="preserve">D-102-26 AC102</t>
  </si>
  <si>
    <t xml:space="preserve">D-102-27 AD102</t>
  </si>
  <si>
    <t xml:space="preserve">D-102-28 AE102</t>
  </si>
  <si>
    <t xml:space="preserve">D-102-29 AF102</t>
  </si>
  <si>
    <t xml:space="preserve">D-102-30 AG102</t>
  </si>
  <si>
    <t xml:space="preserve">D-102-31 AH102</t>
  </si>
  <si>
    <t xml:space="preserve">D-102-32 AI102</t>
  </si>
  <si>
    <t xml:space="preserve">D-102-33 AJ102</t>
  </si>
  <si>
    <t xml:space="preserve">D-102-34 AK102</t>
  </si>
  <si>
    <t xml:space="preserve">D-102-35 AL102</t>
  </si>
  <si>
    <t xml:space="preserve">D-102-36 AM102</t>
  </si>
  <si>
    <t xml:space="preserve">D-103-1 D103</t>
  </si>
  <si>
    <t xml:space="preserve">L21: class-specific request; capped by available class carrying amount after depreciation</t>
  </si>
  <si>
    <t xml:space="preserve">D-103-2 E103</t>
  </si>
  <si>
    <t xml:space="preserve">D-103-3 F103</t>
  </si>
  <si>
    <t xml:space="preserve">D-103-4 G103</t>
  </si>
  <si>
    <t xml:space="preserve">D-103-5 H103</t>
  </si>
  <si>
    <t xml:space="preserve">D-103-6 I103</t>
  </si>
  <si>
    <t xml:space="preserve">D-103-7 J103</t>
  </si>
  <si>
    <t xml:space="preserve">D-103-8 K103</t>
  </si>
  <si>
    <t xml:space="preserve">D-103-9 L103</t>
  </si>
  <si>
    <t xml:space="preserve">D-103-10 M103</t>
  </si>
  <si>
    <t xml:space="preserve">D-103-11 N103</t>
  </si>
  <si>
    <t xml:space="preserve">D-103-12 O103</t>
  </si>
  <si>
    <t xml:space="preserve">D-103-13 P103</t>
  </si>
  <si>
    <t xml:space="preserve">D-103-14 Q103</t>
  </si>
  <si>
    <t xml:space="preserve">D-103-15 R103</t>
  </si>
  <si>
    <t xml:space="preserve">D-103-16 S103</t>
  </si>
  <si>
    <t xml:space="preserve">D-103-17 T103</t>
  </si>
  <si>
    <t xml:space="preserve">D-103-18 U103</t>
  </si>
  <si>
    <t xml:space="preserve">D-103-19 V103</t>
  </si>
  <si>
    <t xml:space="preserve">D-103-20 W103</t>
  </si>
  <si>
    <t xml:space="preserve">D-103-21 X103</t>
  </si>
  <si>
    <t xml:space="preserve">D-103-22 Y103</t>
  </si>
  <si>
    <t xml:space="preserve">D-103-23 Z103</t>
  </si>
  <si>
    <t xml:space="preserve">D-103-24 AA103</t>
  </si>
  <si>
    <t xml:space="preserve">D-103-25 AB103</t>
  </si>
  <si>
    <t xml:space="preserve">D-103-26 AC103</t>
  </si>
  <si>
    <t xml:space="preserve">D-103-27 AD103</t>
  </si>
  <si>
    <t xml:space="preserve">D-103-28 AE103</t>
  </si>
  <si>
    <t xml:space="preserve">D-103-29 AF103</t>
  </si>
  <si>
    <t xml:space="preserve">D-103-30 AG103</t>
  </si>
  <si>
    <t xml:space="preserve">D-103-31 AH103</t>
  </si>
  <si>
    <t xml:space="preserve">D-103-32 AI103</t>
  </si>
  <si>
    <t xml:space="preserve">D-103-33 AJ103</t>
  </si>
  <si>
    <t xml:space="preserve">D-103-34 AK103</t>
  </si>
  <si>
    <t xml:space="preserve">D-103-35 AL103</t>
  </si>
  <si>
    <t xml:space="preserve">D-103-36 AM103</t>
  </si>
  <si>
    <t xml:space="preserve">D-104-1 D104</t>
  </si>
  <si>
    <t xml:space="preserve">L21: class-specific noncash loss, capped after disposal</t>
  </si>
  <si>
    <t xml:space="preserve">D-104-2 E104</t>
  </si>
  <si>
    <t xml:space="preserve">D-104-3 F104</t>
  </si>
  <si>
    <t xml:space="preserve">D-104-4 G104</t>
  </si>
  <si>
    <t xml:space="preserve">D-104-5 H104</t>
  </si>
  <si>
    <t xml:space="preserve">D-104-6 I104</t>
  </si>
  <si>
    <t xml:space="preserve">D-104-7 J104</t>
  </si>
  <si>
    <t xml:space="preserve">D-104-8 K104</t>
  </si>
  <si>
    <t xml:space="preserve">D-104-9 L104</t>
  </si>
  <si>
    <t xml:space="preserve">D-104-10 M104</t>
  </si>
  <si>
    <t xml:space="preserve">D-104-11 N104</t>
  </si>
  <si>
    <t xml:space="preserve">D-104-12 O104</t>
  </si>
  <si>
    <t xml:space="preserve">D-104-13 P104</t>
  </si>
  <si>
    <t xml:space="preserve">D-104-14 Q104</t>
  </si>
  <si>
    <t xml:space="preserve">D-104-15 R104</t>
  </si>
  <si>
    <t xml:space="preserve">D-104-16 S104</t>
  </si>
  <si>
    <t xml:space="preserve">D-104-17 T104</t>
  </si>
  <si>
    <t xml:space="preserve">D-104-18 U104</t>
  </si>
  <si>
    <t xml:space="preserve">D-104-19 V104</t>
  </si>
  <si>
    <t xml:space="preserve">D-104-20 W104</t>
  </si>
  <si>
    <t xml:space="preserve">D-104-21 X104</t>
  </si>
  <si>
    <t xml:space="preserve">D-104-22 Y104</t>
  </si>
  <si>
    <t xml:space="preserve">D-104-23 Z104</t>
  </si>
  <si>
    <t xml:space="preserve">D-104-24 AA104</t>
  </si>
  <si>
    <t xml:space="preserve">D-104-25 AB104</t>
  </si>
  <si>
    <t xml:space="preserve">D-104-26 AC104</t>
  </si>
  <si>
    <t xml:space="preserve">D-104-27 AD104</t>
  </si>
  <si>
    <t xml:space="preserve">D-104-28 AE104</t>
  </si>
  <si>
    <t xml:space="preserve">D-104-29 AF104</t>
  </si>
  <si>
    <t xml:space="preserve">D-104-30 AG104</t>
  </si>
  <si>
    <t xml:space="preserve">D-104-31 AH104</t>
  </si>
  <si>
    <t xml:space="preserve">D-104-32 AI104</t>
  </si>
  <si>
    <t xml:space="preserve">D-104-33 AJ104</t>
  </si>
  <si>
    <t xml:space="preserve">D-104-34 AK104</t>
  </si>
  <si>
    <t xml:space="preserve">D-104-35 AL104</t>
  </si>
  <si>
    <t xml:space="preserve">D-104-36 AM104</t>
  </si>
  <si>
    <t xml:space="preserve">D-105-1 D105</t>
  </si>
  <si>
    <t xml:space="preserve">D-105-2 E105</t>
  </si>
  <si>
    <t xml:space="preserve">D-105-3 F105</t>
  </si>
  <si>
    <t xml:space="preserve">D-105-4 G105</t>
  </si>
  <si>
    <t xml:space="preserve">D-105-5 H105</t>
  </si>
  <si>
    <t xml:space="preserve">D-105-6 I105</t>
  </si>
  <si>
    <t xml:space="preserve">D-105-7 J105</t>
  </si>
  <si>
    <t xml:space="preserve">D-105-8 K105</t>
  </si>
  <si>
    <t xml:space="preserve">D-105-9 L105</t>
  </si>
  <si>
    <t xml:space="preserve">D-105-10 M105</t>
  </si>
  <si>
    <t xml:space="preserve">D-105-11 N105</t>
  </si>
  <si>
    <t xml:space="preserve">D-105-12 O105</t>
  </si>
  <si>
    <t xml:space="preserve">D-105-13 P105</t>
  </si>
  <si>
    <t xml:space="preserve">D-105-14 Q105</t>
  </si>
  <si>
    <t xml:space="preserve">D-105-15 R105</t>
  </si>
  <si>
    <t xml:space="preserve">D-105-16 S105</t>
  </si>
  <si>
    <t xml:space="preserve">D-105-17 T105</t>
  </si>
  <si>
    <t xml:space="preserve">D-105-18 U105</t>
  </si>
  <si>
    <t xml:space="preserve">D-105-19 V105</t>
  </si>
  <si>
    <t xml:space="preserve">D-105-20 W105</t>
  </si>
  <si>
    <t xml:space="preserve">D-105-21 X105</t>
  </si>
  <si>
    <t xml:space="preserve">D-105-22 Y105</t>
  </si>
  <si>
    <t xml:space="preserve">D-105-23 Z105</t>
  </si>
  <si>
    <t xml:space="preserve">D-105-24 AA105</t>
  </si>
  <si>
    <t xml:space="preserve">D-105-25 AB105</t>
  </si>
  <si>
    <t xml:space="preserve">D-105-26 AC105</t>
  </si>
  <si>
    <t xml:space="preserve">D-105-27 AD105</t>
  </si>
  <si>
    <t xml:space="preserve">D-105-28 AE105</t>
  </si>
  <si>
    <t xml:space="preserve">D-105-29 AF105</t>
  </si>
  <si>
    <t xml:space="preserve">D-105-30 AG105</t>
  </si>
  <si>
    <t xml:space="preserve">D-105-31 AH105</t>
  </si>
  <si>
    <t xml:space="preserve">D-105-32 AI105</t>
  </si>
  <si>
    <t xml:space="preserve">D-105-33 AJ105</t>
  </si>
  <si>
    <t xml:space="preserve">D-105-34 AK105</t>
  </si>
  <si>
    <t xml:space="preserve">D-105-35 AL105</t>
  </si>
  <si>
    <t xml:space="preserve">D-105-36 AM105</t>
  </si>
  <si>
    <t xml:space="preserve">D-106-1 D106</t>
  </si>
  <si>
    <t xml:space="preserve">D-106-2 E106</t>
  </si>
  <si>
    <t xml:space="preserve">D-106-3 F106</t>
  </si>
  <si>
    <t xml:space="preserve">D-106-4 G106</t>
  </si>
  <si>
    <t xml:space="preserve">D-106-5 H106</t>
  </si>
  <si>
    <t xml:space="preserve">D-106-6 I106</t>
  </si>
  <si>
    <t xml:space="preserve">D-106-7 J106</t>
  </si>
  <si>
    <t xml:space="preserve">D-106-8 K106</t>
  </si>
  <si>
    <t xml:space="preserve">D-106-9 L106</t>
  </si>
  <si>
    <t xml:space="preserve">D-106-10 M106</t>
  </si>
  <si>
    <t xml:space="preserve">D-106-11 N106</t>
  </si>
  <si>
    <t xml:space="preserve">D-106-12 O106</t>
  </si>
  <si>
    <t xml:space="preserve">D-106-13 P106</t>
  </si>
  <si>
    <t xml:space="preserve">D-106-14 Q106</t>
  </si>
  <si>
    <t xml:space="preserve">D-106-15 R106</t>
  </si>
  <si>
    <t xml:space="preserve">D-106-16 S106</t>
  </si>
  <si>
    <t xml:space="preserve">D-106-17 T106</t>
  </si>
  <si>
    <t xml:space="preserve">D-106-18 U106</t>
  </si>
  <si>
    <t xml:space="preserve">D-106-19 V106</t>
  </si>
  <si>
    <t xml:space="preserve">D-106-20 W106</t>
  </si>
  <si>
    <t xml:space="preserve">D-106-21 X106</t>
  </si>
  <si>
    <t xml:space="preserve">D-106-22 Y106</t>
  </si>
  <si>
    <t xml:space="preserve">D-106-23 Z106</t>
  </si>
  <si>
    <t xml:space="preserve">D-106-24 AA106</t>
  </si>
  <si>
    <t xml:space="preserve">D-106-25 AB106</t>
  </si>
  <si>
    <t xml:space="preserve">D-106-26 AC106</t>
  </si>
  <si>
    <t xml:space="preserve">D-106-27 AD106</t>
  </si>
  <si>
    <t xml:space="preserve">D-106-28 AE106</t>
  </si>
  <si>
    <t xml:space="preserve">D-106-29 AF106</t>
  </si>
  <si>
    <t xml:space="preserve">D-106-30 AG106</t>
  </si>
  <si>
    <t xml:space="preserve">D-106-31 AH106</t>
  </si>
  <si>
    <t xml:space="preserve">D-106-32 AI106</t>
  </si>
  <si>
    <t xml:space="preserve">D-106-33 AJ106</t>
  </si>
  <si>
    <t xml:space="preserve">D-106-34 AK106</t>
  </si>
  <si>
    <t xml:space="preserve">D-106-35 AL106</t>
  </si>
  <si>
    <t xml:space="preserve">D-106-36 AM106</t>
  </si>
  <si>
    <t xml:space="preserve">D-107-1 D107</t>
  </si>
  <si>
    <t xml:space="preserve">D-107-2 E107</t>
  </si>
  <si>
    <t xml:space="preserve">D-107-3 F107</t>
  </si>
  <si>
    <t xml:space="preserve">D-107-4 G107</t>
  </si>
  <si>
    <t xml:space="preserve">D-107-5 H107</t>
  </si>
  <si>
    <t xml:space="preserve">D-107-6 I107</t>
  </si>
  <si>
    <t xml:space="preserve">D-107-7 J107</t>
  </si>
  <si>
    <t xml:space="preserve">D-107-8 K107</t>
  </si>
  <si>
    <t xml:space="preserve">D-107-9 L107</t>
  </si>
  <si>
    <t xml:space="preserve">D-107-10 M107</t>
  </si>
  <si>
    <t xml:space="preserve">D-107-11 N107</t>
  </si>
  <si>
    <t xml:space="preserve">D-107-12 O107</t>
  </si>
  <si>
    <t xml:space="preserve">D-107-13 P107</t>
  </si>
  <si>
    <t xml:space="preserve">D-107-14 Q107</t>
  </si>
  <si>
    <t xml:space="preserve">D-107-15 R107</t>
  </si>
  <si>
    <t xml:space="preserve">D-107-16 S107</t>
  </si>
  <si>
    <t xml:space="preserve">D-107-17 T107</t>
  </si>
  <si>
    <t xml:space="preserve">D-107-18 U107</t>
  </si>
  <si>
    <t xml:space="preserve">D-107-19 V107</t>
  </si>
  <si>
    <t xml:space="preserve">D-107-20 W107</t>
  </si>
  <si>
    <t xml:space="preserve">D-107-21 X107</t>
  </si>
  <si>
    <t xml:space="preserve">D-107-22 Y107</t>
  </si>
  <si>
    <t xml:space="preserve">D-107-23 Z107</t>
  </si>
  <si>
    <t xml:space="preserve">D-107-24 AA107</t>
  </si>
  <si>
    <t xml:space="preserve">D-107-25 AB107</t>
  </si>
  <si>
    <t xml:space="preserve">D-107-26 AC107</t>
  </si>
  <si>
    <t xml:space="preserve">D-107-27 AD107</t>
  </si>
  <si>
    <t xml:space="preserve">D-107-28 AE107</t>
  </si>
  <si>
    <t xml:space="preserve">D-107-29 AF107</t>
  </si>
  <si>
    <t xml:space="preserve">D-107-30 AG107</t>
  </si>
  <si>
    <t xml:space="preserve">D-107-31 AH107</t>
  </si>
  <si>
    <t xml:space="preserve">D-107-32 AI107</t>
  </si>
  <si>
    <t xml:space="preserve">D-107-33 AJ107</t>
  </si>
  <si>
    <t xml:space="preserve">D-107-34 AK107</t>
  </si>
  <si>
    <t xml:space="preserve">D-107-35 AL107</t>
  </si>
  <si>
    <t xml:space="preserve">D-107-36 AM107</t>
  </si>
  <si>
    <t xml:space="preserve">D-108-1 D108</t>
  </si>
  <si>
    <t xml:space="preserve">D-108-2 E108</t>
  </si>
  <si>
    <t xml:space="preserve">D-108-3 F108</t>
  </si>
  <si>
    <t xml:space="preserve">D-108-4 G108</t>
  </si>
  <si>
    <t xml:space="preserve">D-108-5 H108</t>
  </si>
  <si>
    <t xml:space="preserve">D-108-6 I108</t>
  </si>
  <si>
    <t xml:space="preserve">D-108-7 J108</t>
  </si>
  <si>
    <t xml:space="preserve">D-108-8 K108</t>
  </si>
  <si>
    <t xml:space="preserve">D-108-9 L108</t>
  </si>
  <si>
    <t xml:space="preserve">D-108-10 M108</t>
  </si>
  <si>
    <t xml:space="preserve">D-108-11 N108</t>
  </si>
  <si>
    <t xml:space="preserve">D-108-12 O108</t>
  </si>
  <si>
    <t xml:space="preserve">D-108-13 P108</t>
  </si>
  <si>
    <t xml:space="preserve">D-108-14 Q108</t>
  </si>
  <si>
    <t xml:space="preserve">D-108-15 R108</t>
  </si>
  <si>
    <t xml:space="preserve">D-108-16 S108</t>
  </si>
  <si>
    <t xml:space="preserve">D-108-17 T108</t>
  </si>
  <si>
    <t xml:space="preserve">D-108-18 U108</t>
  </si>
  <si>
    <t xml:space="preserve">D-108-19 V108</t>
  </si>
  <si>
    <t xml:space="preserve">D-108-20 W108</t>
  </si>
  <si>
    <t xml:space="preserve">D-108-21 X108</t>
  </si>
  <si>
    <t xml:space="preserve">D-108-22 Y108</t>
  </si>
  <si>
    <t xml:space="preserve">D-108-23 Z108</t>
  </si>
  <si>
    <t xml:space="preserve">D-108-24 AA108</t>
  </si>
  <si>
    <t xml:space="preserve">D-108-25 AB108</t>
  </si>
  <si>
    <t xml:space="preserve">D-108-26 AC108</t>
  </si>
  <si>
    <t xml:space="preserve">D-108-27 AD108</t>
  </si>
  <si>
    <t xml:space="preserve">D-108-28 AE108</t>
  </si>
  <si>
    <t xml:space="preserve">D-108-29 AF108</t>
  </si>
  <si>
    <t xml:space="preserve">D-108-30 AG108</t>
  </si>
  <si>
    <t xml:space="preserve">D-108-31 AH108</t>
  </si>
  <si>
    <t xml:space="preserve">D-108-32 AI108</t>
  </si>
  <si>
    <t xml:space="preserve">D-108-33 AJ108</t>
  </si>
  <si>
    <t xml:space="preserve">D-108-34 AK108</t>
  </si>
  <si>
    <t xml:space="preserve">D-108-35 AL108</t>
  </si>
  <si>
    <t xml:space="preserve">D-108-36 AM108</t>
  </si>
  <si>
    <t xml:space="preserve">D-109-1 D109</t>
  </si>
  <si>
    <t xml:space="preserve">D-109-2 E109</t>
  </si>
  <si>
    <t xml:space="preserve">D-109-3 F109</t>
  </si>
  <si>
    <t xml:space="preserve">D-109-4 G109</t>
  </si>
  <si>
    <t xml:space="preserve">D-109-5 H109</t>
  </si>
  <si>
    <t xml:space="preserve">D-109-6 I109</t>
  </si>
  <si>
    <t xml:space="preserve">D-109-7 J109</t>
  </si>
  <si>
    <t xml:space="preserve">D-109-8 K109</t>
  </si>
  <si>
    <t xml:space="preserve">D-109-9 L109</t>
  </si>
  <si>
    <t xml:space="preserve">D-109-10 M109</t>
  </si>
  <si>
    <t xml:space="preserve">D-109-11 N109</t>
  </si>
  <si>
    <t xml:space="preserve">D-109-12 O109</t>
  </si>
  <si>
    <t xml:space="preserve">D-109-13 P109</t>
  </si>
  <si>
    <t xml:space="preserve">D-109-14 Q109</t>
  </si>
  <si>
    <t xml:space="preserve">D-109-15 R109</t>
  </si>
  <si>
    <t xml:space="preserve">D-109-16 S109</t>
  </si>
  <si>
    <t xml:space="preserve">D-109-17 T109</t>
  </si>
  <si>
    <t xml:space="preserve">D-109-18 U109</t>
  </si>
  <si>
    <t xml:space="preserve">D-109-19 V109</t>
  </si>
  <si>
    <t xml:space="preserve">D-109-20 W109</t>
  </si>
  <si>
    <t xml:space="preserve">D-109-21 X109</t>
  </si>
  <si>
    <t xml:space="preserve">D-109-22 Y109</t>
  </si>
  <si>
    <t xml:space="preserve">D-109-23 Z109</t>
  </si>
  <si>
    <t xml:space="preserve">D-109-24 AA109</t>
  </si>
  <si>
    <t xml:space="preserve">D-109-25 AB109</t>
  </si>
  <si>
    <t xml:space="preserve">D-109-26 AC109</t>
  </si>
  <si>
    <t xml:space="preserve">D-109-27 AD109</t>
  </si>
  <si>
    <t xml:space="preserve">D-109-28 AE109</t>
  </si>
  <si>
    <t xml:space="preserve">D-109-29 AF109</t>
  </si>
  <si>
    <t xml:space="preserve">D-109-30 AG109</t>
  </si>
  <si>
    <t xml:space="preserve">D-109-31 AH109</t>
  </si>
  <si>
    <t xml:space="preserve">D-109-32 AI109</t>
  </si>
  <si>
    <t xml:space="preserve">D-109-33 AJ109</t>
  </si>
  <si>
    <t xml:space="preserve">D-109-34 AK109</t>
  </si>
  <si>
    <t xml:space="preserve">D-109-35 AL109</t>
  </si>
  <si>
    <t xml:space="preserve">D-109-36 AM109</t>
  </si>
  <si>
    <t xml:space="preserve">D-110-1 D110</t>
  </si>
  <si>
    <t xml:space="preserve">D-110-2 E110</t>
  </si>
  <si>
    <t xml:space="preserve">D-110-3 F110</t>
  </si>
  <si>
    <t xml:space="preserve">D-110-4 G110</t>
  </si>
  <si>
    <t xml:space="preserve">D-110-5 H110</t>
  </si>
  <si>
    <t xml:space="preserve">D-110-6 I110</t>
  </si>
  <si>
    <t xml:space="preserve">D-110-7 J110</t>
  </si>
  <si>
    <t xml:space="preserve">D-110-8 K110</t>
  </si>
  <si>
    <t xml:space="preserve">D-110-9 L110</t>
  </si>
  <si>
    <t xml:space="preserve">D-110-10 M110</t>
  </si>
  <si>
    <t xml:space="preserve">D-110-11 N110</t>
  </si>
  <si>
    <t xml:space="preserve">D-110-12 O110</t>
  </si>
  <si>
    <t xml:space="preserve">D-110-13 P110</t>
  </si>
  <si>
    <t xml:space="preserve">D-110-14 Q110</t>
  </si>
  <si>
    <t xml:space="preserve">D-110-15 R110</t>
  </si>
  <si>
    <t xml:space="preserve">D-110-16 S110</t>
  </si>
  <si>
    <t xml:space="preserve">D-110-17 T110</t>
  </si>
  <si>
    <t xml:space="preserve">D-110-18 U110</t>
  </si>
  <si>
    <t xml:space="preserve">D-110-19 V110</t>
  </si>
  <si>
    <t xml:space="preserve">D-110-20 W110</t>
  </si>
  <si>
    <t xml:space="preserve">D-110-21 X110</t>
  </si>
  <si>
    <t xml:space="preserve">D-110-22 Y110</t>
  </si>
  <si>
    <t xml:space="preserve">D-110-23 Z110</t>
  </si>
  <si>
    <t xml:space="preserve">D-110-24 AA110</t>
  </si>
  <si>
    <t xml:space="preserve">D-110-25 AB110</t>
  </si>
  <si>
    <t xml:space="preserve">D-110-26 AC110</t>
  </si>
  <si>
    <t xml:space="preserve">D-110-27 AD110</t>
  </si>
  <si>
    <t xml:space="preserve">D-110-28 AE110</t>
  </si>
  <si>
    <t xml:space="preserve">D-110-29 AF110</t>
  </si>
  <si>
    <t xml:space="preserve">D-110-30 AG110</t>
  </si>
  <si>
    <t xml:space="preserve">D-110-31 AH110</t>
  </si>
  <si>
    <t xml:space="preserve">D-110-32 AI110</t>
  </si>
  <si>
    <t xml:space="preserve">D-110-33 AJ110</t>
  </si>
  <si>
    <t xml:space="preserve">D-110-34 AK110</t>
  </si>
  <si>
    <t xml:space="preserve">D-110-35 AL110</t>
  </si>
  <si>
    <t xml:space="preserve">D-110-36 AM110</t>
  </si>
  <si>
    <t xml:space="preserve">D-130-1 D130</t>
  </si>
  <si>
    <t xml:space="preserve">L26: applies to this disclosed expense nature only; monthly base path described on ExpenseDetail</t>
  </si>
  <si>
    <t xml:space="preserve">D-130-2 E130</t>
  </si>
  <si>
    <t xml:space="preserve">D-130-3 F130</t>
  </si>
  <si>
    <t xml:space="preserve">D-130-4 G130</t>
  </si>
  <si>
    <t xml:space="preserve">D-130-5 H130</t>
  </si>
  <si>
    <t xml:space="preserve">D-130-6 I130</t>
  </si>
  <si>
    <t xml:space="preserve">D-130-7 J130</t>
  </si>
  <si>
    <t xml:space="preserve">D-130-8 K130</t>
  </si>
  <si>
    <t xml:space="preserve">D-130-9 L130</t>
  </si>
  <si>
    <t xml:space="preserve">D-130-10 M130</t>
  </si>
  <si>
    <t xml:space="preserve">D-130-11 N130</t>
  </si>
  <si>
    <t xml:space="preserve">D-130-12 O130</t>
  </si>
  <si>
    <t xml:space="preserve">D-130-13 P130</t>
  </si>
  <si>
    <t xml:space="preserve">D-130-14 Q130</t>
  </si>
  <si>
    <t xml:space="preserve">D-130-15 R130</t>
  </si>
  <si>
    <t xml:space="preserve">D-130-16 S130</t>
  </si>
  <si>
    <t xml:space="preserve">D-130-17 T130</t>
  </si>
  <si>
    <t xml:space="preserve">D-130-18 U130</t>
  </si>
  <si>
    <t xml:space="preserve">D-130-19 V130</t>
  </si>
  <si>
    <t xml:space="preserve">D-130-20 W130</t>
  </si>
  <si>
    <t xml:space="preserve">D-130-21 X130</t>
  </si>
  <si>
    <t xml:space="preserve">D-130-22 Y130</t>
  </si>
  <si>
    <t xml:space="preserve">D-130-23 Z130</t>
  </si>
  <si>
    <t xml:space="preserve">D-130-24 AA130</t>
  </si>
  <si>
    <t xml:space="preserve">D-130-25 AB130</t>
  </si>
  <si>
    <t xml:space="preserve">D-130-26 AC130</t>
  </si>
  <si>
    <t xml:space="preserve">D-130-27 AD130</t>
  </si>
  <si>
    <t xml:space="preserve">D-130-28 AE130</t>
  </si>
  <si>
    <t xml:space="preserve">D-130-29 AF130</t>
  </si>
  <si>
    <t xml:space="preserve">D-130-30 AG130</t>
  </si>
  <si>
    <t xml:space="preserve">D-130-31 AH130</t>
  </si>
  <si>
    <t xml:space="preserve">D-130-32 AI130</t>
  </si>
  <si>
    <t xml:space="preserve">D-130-33 AJ130</t>
  </si>
  <si>
    <t xml:space="preserve">D-130-34 AK130</t>
  </si>
  <si>
    <t xml:space="preserve">D-130-35 AL130</t>
  </si>
  <si>
    <t xml:space="preserve">D-130-36 AM130</t>
  </si>
  <si>
    <t xml:space="preserve">D-132-1 D132</t>
  </si>
  <si>
    <t xml:space="preserve">D-132-2 E132</t>
  </si>
  <si>
    <t xml:space="preserve">D-132-3 F132</t>
  </si>
  <si>
    <t xml:space="preserve">D-132-4 G132</t>
  </si>
  <si>
    <t xml:space="preserve">D-132-5 H132</t>
  </si>
  <si>
    <t xml:space="preserve">D-132-6 I132</t>
  </si>
  <si>
    <t xml:space="preserve">D-132-7 J132</t>
  </si>
  <si>
    <t xml:space="preserve">D-132-8 K132</t>
  </si>
  <si>
    <t xml:space="preserve">D-132-9 L132</t>
  </si>
  <si>
    <t xml:space="preserve">D-132-10 M132</t>
  </si>
  <si>
    <t xml:space="preserve">D-132-11 N132</t>
  </si>
  <si>
    <t xml:space="preserve">D-132-12 O132</t>
  </si>
  <si>
    <t xml:space="preserve">D-132-13 P132</t>
  </si>
  <si>
    <t xml:space="preserve">D-132-14 Q132</t>
  </si>
  <si>
    <t xml:space="preserve">D-132-15 R132</t>
  </si>
  <si>
    <t xml:space="preserve">D-132-16 S132</t>
  </si>
  <si>
    <t xml:space="preserve">D-132-17 T132</t>
  </si>
  <si>
    <t xml:space="preserve">D-132-18 U132</t>
  </si>
  <si>
    <t xml:space="preserve">D-132-19 V132</t>
  </si>
  <si>
    <t xml:space="preserve">D-132-20 W132</t>
  </si>
  <si>
    <t xml:space="preserve">D-132-21 X132</t>
  </si>
  <si>
    <t xml:space="preserve">D-132-22 Y132</t>
  </si>
  <si>
    <t xml:space="preserve">D-132-23 Z132</t>
  </si>
  <si>
    <t xml:space="preserve">D-132-24 AA132</t>
  </si>
  <si>
    <t xml:space="preserve">D-132-25 AB132</t>
  </si>
  <si>
    <t xml:space="preserve">D-132-26 AC132</t>
  </si>
  <si>
    <t xml:space="preserve">D-132-27 AD132</t>
  </si>
  <si>
    <t xml:space="preserve">D-132-28 AE132</t>
  </si>
  <si>
    <t xml:space="preserve">D-132-29 AF132</t>
  </si>
  <si>
    <t xml:space="preserve">D-132-30 AG132</t>
  </si>
  <si>
    <t xml:space="preserve">D-132-31 AH132</t>
  </si>
  <si>
    <t xml:space="preserve">D-132-32 AI132</t>
  </si>
  <si>
    <t xml:space="preserve">D-132-33 AJ132</t>
  </si>
  <si>
    <t xml:space="preserve">D-132-34 AK132</t>
  </si>
  <si>
    <t xml:space="preserve">D-132-35 AL132</t>
  </si>
  <si>
    <t xml:space="preserve">D-132-36 AM132</t>
  </si>
  <si>
    <t xml:space="preserve">D-133-1 D133</t>
  </si>
  <si>
    <t xml:space="preserve">D-133-2 E133</t>
  </si>
  <si>
    <t xml:space="preserve">D-133-3 F133</t>
  </si>
  <si>
    <t xml:space="preserve">D-133-4 G133</t>
  </si>
  <si>
    <t xml:space="preserve">D-133-5 H133</t>
  </si>
  <si>
    <t xml:space="preserve">D-133-6 I133</t>
  </si>
  <si>
    <t xml:space="preserve">D-133-7 J133</t>
  </si>
  <si>
    <t xml:space="preserve">D-133-8 K133</t>
  </si>
  <si>
    <t xml:space="preserve">D-133-9 L133</t>
  </si>
  <si>
    <t xml:space="preserve">D-133-10 M133</t>
  </si>
  <si>
    <t xml:space="preserve">D-133-11 N133</t>
  </si>
  <si>
    <t xml:space="preserve">D-133-12 O133</t>
  </si>
  <si>
    <t xml:space="preserve">D-133-13 P133</t>
  </si>
  <si>
    <t xml:space="preserve">D-133-14 Q133</t>
  </si>
  <si>
    <t xml:space="preserve">D-133-15 R133</t>
  </si>
  <si>
    <t xml:space="preserve">D-133-16 S133</t>
  </si>
  <si>
    <t xml:space="preserve">D-133-17 T133</t>
  </si>
  <si>
    <t xml:space="preserve">D-133-18 U133</t>
  </si>
  <si>
    <t xml:space="preserve">D-133-19 V133</t>
  </si>
  <si>
    <t xml:space="preserve">D-133-20 W133</t>
  </si>
  <si>
    <t xml:space="preserve">D-133-21 X133</t>
  </si>
  <si>
    <t xml:space="preserve">D-133-22 Y133</t>
  </si>
  <si>
    <t xml:space="preserve">D-133-23 Z133</t>
  </si>
  <si>
    <t xml:space="preserve">D-133-24 AA133</t>
  </si>
  <si>
    <t xml:space="preserve">D-133-25 AB133</t>
  </si>
  <si>
    <t xml:space="preserve">D-133-26 AC133</t>
  </si>
  <si>
    <t xml:space="preserve">D-133-27 AD133</t>
  </si>
  <si>
    <t xml:space="preserve">D-133-28 AE133</t>
  </si>
  <si>
    <t xml:space="preserve">D-133-29 AF133</t>
  </si>
  <si>
    <t xml:space="preserve">D-133-30 AG133</t>
  </si>
  <si>
    <t xml:space="preserve">D-133-31 AH133</t>
  </si>
  <si>
    <t xml:space="preserve">D-133-32 AI133</t>
  </si>
  <si>
    <t xml:space="preserve">D-133-33 AJ133</t>
  </si>
  <si>
    <t xml:space="preserve">D-133-34 AK133</t>
  </si>
  <si>
    <t xml:space="preserve">D-133-35 AL133</t>
  </si>
  <si>
    <t xml:space="preserve">D-133-36 AM133</t>
  </si>
  <si>
    <t xml:space="preserve">D-134-1 D134</t>
  </si>
  <si>
    <t xml:space="preserve">D-134-2 E134</t>
  </si>
  <si>
    <t xml:space="preserve">D-134-3 F134</t>
  </si>
  <si>
    <t xml:space="preserve">D-134-4 G134</t>
  </si>
  <si>
    <t xml:space="preserve">D-134-5 H134</t>
  </si>
  <si>
    <t xml:space="preserve">D-134-6 I134</t>
  </si>
  <si>
    <t xml:space="preserve">D-134-7 J134</t>
  </si>
  <si>
    <t xml:space="preserve">D-134-8 K134</t>
  </si>
  <si>
    <t xml:space="preserve">D-134-9 L134</t>
  </si>
  <si>
    <t xml:space="preserve">D-134-10 M134</t>
  </si>
  <si>
    <t xml:space="preserve">D-134-11 N134</t>
  </si>
  <si>
    <t xml:space="preserve">D-134-12 O134</t>
  </si>
  <si>
    <t xml:space="preserve">D-134-13 P134</t>
  </si>
  <si>
    <t xml:space="preserve">D-134-14 Q134</t>
  </si>
  <si>
    <t xml:space="preserve">D-134-15 R134</t>
  </si>
  <si>
    <t xml:space="preserve">D-134-16 S134</t>
  </si>
  <si>
    <t xml:space="preserve">D-134-17 T134</t>
  </si>
  <si>
    <t xml:space="preserve">D-134-18 U134</t>
  </si>
  <si>
    <t xml:space="preserve">D-134-19 V134</t>
  </si>
  <si>
    <t xml:space="preserve">D-134-20 W134</t>
  </si>
  <si>
    <t xml:space="preserve">D-134-21 X134</t>
  </si>
  <si>
    <t xml:space="preserve">D-134-22 Y134</t>
  </si>
  <si>
    <t xml:space="preserve">D-134-23 Z134</t>
  </si>
  <si>
    <t xml:space="preserve">D-134-24 AA134</t>
  </si>
  <si>
    <t xml:space="preserve">D-134-25 AB134</t>
  </si>
  <si>
    <t xml:space="preserve">D-134-26 AC134</t>
  </si>
  <si>
    <t xml:space="preserve">D-134-27 AD134</t>
  </si>
  <si>
    <t xml:space="preserve">D-134-28 AE134</t>
  </si>
  <si>
    <t xml:space="preserve">D-134-29 AF134</t>
  </si>
  <si>
    <t xml:space="preserve">D-134-30 AG134</t>
  </si>
  <si>
    <t xml:space="preserve">D-134-31 AH134</t>
  </si>
  <si>
    <t xml:space="preserve">D-134-32 AI134</t>
  </si>
  <si>
    <t xml:space="preserve">D-134-33 AJ134</t>
  </si>
  <si>
    <t xml:space="preserve">D-134-34 AK134</t>
  </si>
  <si>
    <t xml:space="preserve">D-134-35 AL134</t>
  </si>
  <si>
    <t xml:space="preserve">D-134-36 AM134</t>
  </si>
  <si>
    <t xml:space="preserve">D-135-1 D135</t>
  </si>
  <si>
    <t xml:space="preserve">D-135-2 E135</t>
  </si>
  <si>
    <t xml:space="preserve">D-135-3 F135</t>
  </si>
  <si>
    <t xml:space="preserve">D-135-4 G135</t>
  </si>
  <si>
    <t xml:space="preserve">D-135-5 H135</t>
  </si>
  <si>
    <t xml:space="preserve">D-135-6 I135</t>
  </si>
  <si>
    <t xml:space="preserve">D-135-7 J135</t>
  </si>
  <si>
    <t xml:space="preserve">D-135-8 K135</t>
  </si>
  <si>
    <t xml:space="preserve">D-135-9 L135</t>
  </si>
  <si>
    <t xml:space="preserve">D-135-10 M135</t>
  </si>
  <si>
    <t xml:space="preserve">D-135-11 N135</t>
  </si>
  <si>
    <t xml:space="preserve">D-135-12 O135</t>
  </si>
  <si>
    <t xml:space="preserve">D-135-13 P135</t>
  </si>
  <si>
    <t xml:space="preserve">D-135-14 Q135</t>
  </si>
  <si>
    <t xml:space="preserve">D-135-15 R135</t>
  </si>
  <si>
    <t xml:space="preserve">D-135-16 S135</t>
  </si>
  <si>
    <t xml:space="preserve">D-135-17 T135</t>
  </si>
  <si>
    <t xml:space="preserve">D-135-18 U135</t>
  </si>
  <si>
    <t xml:space="preserve">D-135-19 V135</t>
  </si>
  <si>
    <t xml:space="preserve">D-135-20 W135</t>
  </si>
  <si>
    <t xml:space="preserve">D-135-21 X135</t>
  </si>
  <si>
    <t xml:space="preserve">D-135-22 Y135</t>
  </si>
  <si>
    <t xml:space="preserve">D-135-23 Z135</t>
  </si>
  <si>
    <t xml:space="preserve">D-135-24 AA135</t>
  </si>
  <si>
    <t xml:space="preserve">D-135-25 AB135</t>
  </si>
  <si>
    <t xml:space="preserve">D-135-26 AC135</t>
  </si>
  <si>
    <t xml:space="preserve">D-135-27 AD135</t>
  </si>
  <si>
    <t xml:space="preserve">D-135-28 AE135</t>
  </si>
  <si>
    <t xml:space="preserve">D-135-29 AF135</t>
  </si>
  <si>
    <t xml:space="preserve">D-135-30 AG135</t>
  </si>
  <si>
    <t xml:space="preserve">D-135-31 AH135</t>
  </si>
  <si>
    <t xml:space="preserve">D-135-32 AI135</t>
  </si>
  <si>
    <t xml:space="preserve">D-135-33 AJ135</t>
  </si>
  <si>
    <t xml:space="preserve">D-135-34 AK135</t>
  </si>
  <si>
    <t xml:space="preserve">D-135-35 AL135</t>
  </si>
  <si>
    <t xml:space="preserve">D-135-36 AM135</t>
  </si>
  <si>
    <t xml:space="preserve">D-136-1 D136</t>
  </si>
  <si>
    <t xml:space="preserve">D-136-2 E136</t>
  </si>
  <si>
    <t xml:space="preserve">D-136-3 F136</t>
  </si>
  <si>
    <t xml:space="preserve">D-136-4 G136</t>
  </si>
  <si>
    <t xml:space="preserve">D-136-5 H136</t>
  </si>
  <si>
    <t xml:space="preserve">D-136-6 I136</t>
  </si>
  <si>
    <t xml:space="preserve">D-136-7 J136</t>
  </si>
  <si>
    <t xml:space="preserve">D-136-8 K136</t>
  </si>
  <si>
    <t xml:space="preserve">D-136-9 L136</t>
  </si>
  <si>
    <t xml:space="preserve">D-136-10 M136</t>
  </si>
  <si>
    <t xml:space="preserve">D-136-11 N136</t>
  </si>
  <si>
    <t xml:space="preserve">D-136-12 O136</t>
  </si>
  <si>
    <t xml:space="preserve">D-136-13 P136</t>
  </si>
  <si>
    <t xml:space="preserve">D-136-14 Q136</t>
  </si>
  <si>
    <t xml:space="preserve">D-136-15 R136</t>
  </si>
  <si>
    <t xml:space="preserve">D-136-16 S136</t>
  </si>
  <si>
    <t xml:space="preserve">D-136-17 T136</t>
  </si>
  <si>
    <t xml:space="preserve">D-136-18 U136</t>
  </si>
  <si>
    <t xml:space="preserve">D-136-19 V136</t>
  </si>
  <si>
    <t xml:space="preserve">D-136-20 W136</t>
  </si>
  <si>
    <t xml:space="preserve">D-136-21 X136</t>
  </si>
  <si>
    <t xml:space="preserve">D-136-22 Y136</t>
  </si>
  <si>
    <t xml:space="preserve">D-136-23 Z136</t>
  </si>
  <si>
    <t xml:space="preserve">D-136-24 AA136</t>
  </si>
  <si>
    <t xml:space="preserve">D-136-25 AB136</t>
  </si>
  <si>
    <t xml:space="preserve">D-136-26 AC136</t>
  </si>
  <si>
    <t xml:space="preserve">D-136-27 AD136</t>
  </si>
  <si>
    <t xml:space="preserve">D-136-28 AE136</t>
  </si>
  <si>
    <t xml:space="preserve">D-136-29 AF136</t>
  </si>
  <si>
    <t xml:space="preserve">D-136-30 AG136</t>
  </si>
  <si>
    <t xml:space="preserve">D-136-31 AH136</t>
  </si>
  <si>
    <t xml:space="preserve">D-136-32 AI136</t>
  </si>
  <si>
    <t xml:space="preserve">D-136-33 AJ136</t>
  </si>
  <si>
    <t xml:space="preserve">D-136-34 AK136</t>
  </si>
  <si>
    <t xml:space="preserve">D-136-35 AL136</t>
  </si>
  <si>
    <t xml:space="preserve">D-136-36 AM136</t>
  </si>
  <si>
    <t xml:space="preserve">D-144-1 D144</t>
  </si>
  <si>
    <t xml:space="preserve">D-144-2 E144</t>
  </si>
  <si>
    <t xml:space="preserve">D-144-3 F144</t>
  </si>
  <si>
    <t xml:space="preserve">D-144-4 G144</t>
  </si>
  <si>
    <t xml:space="preserve">D-144-5 H144</t>
  </si>
  <si>
    <t xml:space="preserve">D-144-6 I144</t>
  </si>
  <si>
    <t xml:space="preserve">D-144-7 J144</t>
  </si>
  <si>
    <t xml:space="preserve">D-144-8 K144</t>
  </si>
  <si>
    <t xml:space="preserve">D-144-9 L144</t>
  </si>
  <si>
    <t xml:space="preserve">D-144-10 M144</t>
  </si>
  <si>
    <t xml:space="preserve">D-144-11 N144</t>
  </si>
  <si>
    <t xml:space="preserve">D-144-12 O144</t>
  </si>
  <si>
    <t xml:space="preserve">D-144-13 P144</t>
  </si>
  <si>
    <t xml:space="preserve">D-144-14 Q144</t>
  </si>
  <si>
    <t xml:space="preserve">D-144-15 R144</t>
  </si>
  <si>
    <t xml:space="preserve">D-144-16 S144</t>
  </si>
  <si>
    <t xml:space="preserve">D-144-17 T144</t>
  </si>
  <si>
    <t xml:space="preserve">D-144-18 U144</t>
  </si>
  <si>
    <t xml:space="preserve">D-144-19 V144</t>
  </si>
  <si>
    <t xml:space="preserve">D-144-20 W144</t>
  </si>
  <si>
    <t xml:space="preserve">D-144-21 X144</t>
  </si>
  <si>
    <t xml:space="preserve">D-144-22 Y144</t>
  </si>
  <si>
    <t xml:space="preserve">D-144-23 Z144</t>
  </si>
  <si>
    <t xml:space="preserve">D-144-24 AA144</t>
  </si>
  <si>
    <t xml:space="preserve">D-144-25 AB144</t>
  </si>
  <si>
    <t xml:space="preserve">D-144-26 AC144</t>
  </si>
  <si>
    <t xml:space="preserve">D-144-27 AD144</t>
  </si>
  <si>
    <t xml:space="preserve">D-144-28 AE144</t>
  </si>
  <si>
    <t xml:space="preserve">D-144-29 AF144</t>
  </si>
  <si>
    <t xml:space="preserve">D-144-30 AG144</t>
  </si>
  <si>
    <t xml:space="preserve">D-144-31 AH144</t>
  </si>
  <si>
    <t xml:space="preserve">D-144-32 AI144</t>
  </si>
  <si>
    <t xml:space="preserve">D-144-33 AJ144</t>
  </si>
  <si>
    <t xml:space="preserve">D-144-34 AK144</t>
  </si>
  <si>
    <t xml:space="preserve">D-144-35 AL144</t>
  </si>
  <si>
    <t xml:space="preserve">D-144-36 AM144</t>
  </si>
  <si>
    <t xml:space="preserve">D-145-1 D145</t>
  </si>
  <si>
    <t xml:space="preserve">D-145-2 E145</t>
  </si>
  <si>
    <t xml:space="preserve">D-145-3 F145</t>
  </si>
  <si>
    <t xml:space="preserve">D-145-4 G145</t>
  </si>
  <si>
    <t xml:space="preserve">D-145-5 H145</t>
  </si>
  <si>
    <t xml:space="preserve">D-145-6 I145</t>
  </si>
  <si>
    <t xml:space="preserve">D-145-7 J145</t>
  </si>
  <si>
    <t xml:space="preserve">D-145-8 K145</t>
  </si>
  <si>
    <t xml:space="preserve">D-145-9 L145</t>
  </si>
  <si>
    <t xml:space="preserve">D-145-10 M145</t>
  </si>
  <si>
    <t xml:space="preserve">D-145-11 N145</t>
  </si>
  <si>
    <t xml:space="preserve">D-145-12 O145</t>
  </si>
  <si>
    <t xml:space="preserve">D-145-13 P145</t>
  </si>
  <si>
    <t xml:space="preserve">D-145-14 Q145</t>
  </si>
  <si>
    <t xml:space="preserve">D-145-15 R145</t>
  </si>
  <si>
    <t xml:space="preserve">D-145-16 S145</t>
  </si>
  <si>
    <t xml:space="preserve">D-145-17 T145</t>
  </si>
  <si>
    <t xml:space="preserve">D-145-18 U145</t>
  </si>
  <si>
    <t xml:space="preserve">D-145-19 V145</t>
  </si>
  <si>
    <t xml:space="preserve">D-145-20 W145</t>
  </si>
  <si>
    <t xml:space="preserve">D-145-21 X145</t>
  </si>
  <si>
    <t xml:space="preserve">D-145-22 Y145</t>
  </si>
  <si>
    <t xml:space="preserve">D-145-23 Z145</t>
  </si>
  <si>
    <t xml:space="preserve">D-145-24 AA145</t>
  </si>
  <si>
    <t xml:space="preserve">D-145-25 AB145</t>
  </si>
  <si>
    <t xml:space="preserve">D-145-26 AC145</t>
  </si>
  <si>
    <t xml:space="preserve">D-145-27 AD145</t>
  </si>
  <si>
    <t xml:space="preserve">D-145-28 AE145</t>
  </si>
  <si>
    <t xml:space="preserve">D-145-29 AF145</t>
  </si>
  <si>
    <t xml:space="preserve">D-145-30 AG145</t>
  </si>
  <si>
    <t xml:space="preserve">D-145-31 AH145</t>
  </si>
  <si>
    <t xml:space="preserve">D-145-32 AI145</t>
  </si>
  <si>
    <t xml:space="preserve">D-145-33 AJ145</t>
  </si>
  <si>
    <t xml:space="preserve">D-145-34 AK145</t>
  </si>
  <si>
    <t xml:space="preserve">D-145-35 AL145</t>
  </si>
  <si>
    <t xml:space="preserve">D-145-36 AM145</t>
  </si>
  <si>
    <t xml:space="preserve">D-147-1 D147</t>
  </si>
  <si>
    <t xml:space="preserve">D-147-2 E147</t>
  </si>
  <si>
    <t xml:space="preserve">D-147-3 F147</t>
  </si>
  <si>
    <t xml:space="preserve">D-147-4 G147</t>
  </si>
  <si>
    <t xml:space="preserve">D-147-5 H147</t>
  </si>
  <si>
    <t xml:space="preserve">D-147-6 I147</t>
  </si>
  <si>
    <t xml:space="preserve">D-147-7 J147</t>
  </si>
  <si>
    <t xml:space="preserve">D-147-8 K147</t>
  </si>
  <si>
    <t xml:space="preserve">D-147-9 L147</t>
  </si>
  <si>
    <t xml:space="preserve">D-147-10 M147</t>
  </si>
  <si>
    <t xml:space="preserve">D-147-11 N147</t>
  </si>
  <si>
    <t xml:space="preserve">D-147-12 O147</t>
  </si>
  <si>
    <t xml:space="preserve">D-147-13 P147</t>
  </si>
  <si>
    <t xml:space="preserve">D-147-14 Q147</t>
  </si>
  <si>
    <t xml:space="preserve">D-147-15 R147</t>
  </si>
  <si>
    <t xml:space="preserve">D-147-16 S147</t>
  </si>
  <si>
    <t xml:space="preserve">D-147-17 T147</t>
  </si>
  <si>
    <t xml:space="preserve">D-147-18 U147</t>
  </si>
  <si>
    <t xml:space="preserve">D-147-19 V147</t>
  </si>
  <si>
    <t xml:space="preserve">D-147-20 W147</t>
  </si>
  <si>
    <t xml:space="preserve">D-147-21 X147</t>
  </si>
  <si>
    <t xml:space="preserve">D-147-22 Y147</t>
  </si>
  <si>
    <t xml:space="preserve">D-147-23 Z147</t>
  </si>
  <si>
    <t xml:space="preserve">D-147-24 AA147</t>
  </si>
  <si>
    <t xml:space="preserve">D-147-25 AB147</t>
  </si>
  <si>
    <t xml:space="preserve">D-147-26 AC147</t>
  </si>
  <si>
    <t xml:space="preserve">D-147-27 AD147</t>
  </si>
  <si>
    <t xml:space="preserve">D-147-28 AE147</t>
  </si>
  <si>
    <t xml:space="preserve">D-147-29 AF147</t>
  </si>
  <si>
    <t xml:space="preserve">D-147-30 AG147</t>
  </si>
  <si>
    <t xml:space="preserve">D-147-31 AH147</t>
  </si>
  <si>
    <t xml:space="preserve">D-147-32 AI147</t>
  </si>
  <si>
    <t xml:space="preserve">D-147-33 AJ147</t>
  </si>
  <si>
    <t xml:space="preserve">D-147-34 AK147</t>
  </si>
  <si>
    <t xml:space="preserve">D-147-35 AL147</t>
  </si>
  <si>
    <t xml:space="preserve">D-147-36 AM147</t>
  </si>
  <si>
    <t xml:space="preserve">D-148-1 D148</t>
  </si>
  <si>
    <t xml:space="preserve">D-148-2 E148</t>
  </si>
  <si>
    <t xml:space="preserve">D-148-3 F148</t>
  </si>
  <si>
    <t xml:space="preserve">D-148-4 G148</t>
  </si>
  <si>
    <t xml:space="preserve">D-148-5 H148</t>
  </si>
  <si>
    <t xml:space="preserve">D-148-6 I148</t>
  </si>
  <si>
    <t xml:space="preserve">D-148-7 J148</t>
  </si>
  <si>
    <t xml:space="preserve">D-148-8 K148</t>
  </si>
  <si>
    <t xml:space="preserve">D-148-9 L148</t>
  </si>
  <si>
    <t xml:space="preserve">D-148-10 M148</t>
  </si>
  <si>
    <t xml:space="preserve">D-148-11 N148</t>
  </si>
  <si>
    <t xml:space="preserve">D-148-12 O148</t>
  </si>
  <si>
    <t xml:space="preserve">D-148-13 P148</t>
  </si>
  <si>
    <t xml:space="preserve">D-148-14 Q148</t>
  </si>
  <si>
    <t xml:space="preserve">D-148-15 R148</t>
  </si>
  <si>
    <t xml:space="preserve">D-148-16 S148</t>
  </si>
  <si>
    <t xml:space="preserve">D-148-17 T148</t>
  </si>
  <si>
    <t xml:space="preserve">D-148-18 U148</t>
  </si>
  <si>
    <t xml:space="preserve">D-148-19 V148</t>
  </si>
  <si>
    <t xml:space="preserve">D-148-20 W148</t>
  </si>
  <si>
    <t xml:space="preserve">D-148-21 X148</t>
  </si>
  <si>
    <t xml:space="preserve">D-148-22 Y148</t>
  </si>
  <si>
    <t xml:space="preserve">D-148-23 Z148</t>
  </si>
  <si>
    <t xml:space="preserve">D-148-24 AA148</t>
  </si>
  <si>
    <t xml:space="preserve">D-148-25 AB148</t>
  </si>
  <si>
    <t xml:space="preserve">D-148-26 AC148</t>
  </si>
  <si>
    <t xml:space="preserve">D-148-27 AD148</t>
  </si>
  <si>
    <t xml:space="preserve">D-148-28 AE148</t>
  </si>
  <si>
    <t xml:space="preserve">D-148-29 AF148</t>
  </si>
  <si>
    <t xml:space="preserve">D-148-30 AG148</t>
  </si>
  <si>
    <t xml:space="preserve">D-148-31 AH148</t>
  </si>
  <si>
    <t xml:space="preserve">D-148-32 AI148</t>
  </si>
  <si>
    <t xml:space="preserve">D-148-33 AJ148</t>
  </si>
  <si>
    <t xml:space="preserve">D-148-34 AK148</t>
  </si>
  <si>
    <t xml:space="preserve">D-148-35 AL148</t>
  </si>
  <si>
    <t xml:space="preserve">D-148-36 AM148</t>
  </si>
  <si>
    <t xml:space="preserve">D-149-1 D149</t>
  </si>
  <si>
    <t xml:space="preserve">D-149-2 E149</t>
  </si>
  <si>
    <t xml:space="preserve">D-149-3 F149</t>
  </si>
  <si>
    <t xml:space="preserve">D-149-4 G149</t>
  </si>
  <si>
    <t xml:space="preserve">D-149-5 H149</t>
  </si>
  <si>
    <t xml:space="preserve">D-149-6 I149</t>
  </si>
  <si>
    <t xml:space="preserve">D-149-7 J149</t>
  </si>
  <si>
    <t xml:space="preserve">D-149-8 K149</t>
  </si>
  <si>
    <t xml:space="preserve">D-149-9 L149</t>
  </si>
  <si>
    <t xml:space="preserve">D-149-10 M149</t>
  </si>
  <si>
    <t xml:space="preserve">D-149-11 N149</t>
  </si>
  <si>
    <t xml:space="preserve">D-149-12 O149</t>
  </si>
  <si>
    <t xml:space="preserve">D-149-13 P149</t>
  </si>
  <si>
    <t xml:space="preserve">D-149-14 Q149</t>
  </si>
  <si>
    <t xml:space="preserve">D-149-15 R149</t>
  </si>
  <si>
    <t xml:space="preserve">D-149-16 S149</t>
  </si>
  <si>
    <t xml:space="preserve">D-149-17 T149</t>
  </si>
  <si>
    <t xml:space="preserve">D-149-18 U149</t>
  </si>
  <si>
    <t xml:space="preserve">D-149-19 V149</t>
  </si>
  <si>
    <t xml:space="preserve">D-149-20 W149</t>
  </si>
  <si>
    <t xml:space="preserve">D-149-21 X149</t>
  </si>
  <si>
    <t xml:space="preserve">D-149-22 Y149</t>
  </si>
  <si>
    <t xml:space="preserve">D-149-23 Z149</t>
  </si>
  <si>
    <t xml:space="preserve">D-149-24 AA149</t>
  </si>
  <si>
    <t xml:space="preserve">D-149-25 AB149</t>
  </si>
  <si>
    <t xml:space="preserve">D-149-26 AC149</t>
  </si>
  <si>
    <t xml:space="preserve">D-149-27 AD149</t>
  </si>
  <si>
    <t xml:space="preserve">D-149-28 AE149</t>
  </si>
  <si>
    <t xml:space="preserve">D-149-29 AF149</t>
  </si>
  <si>
    <t xml:space="preserve">D-149-30 AG149</t>
  </si>
  <si>
    <t xml:space="preserve">D-149-31 AH149</t>
  </si>
  <si>
    <t xml:space="preserve">D-149-32 AI149</t>
  </si>
  <si>
    <t xml:space="preserve">D-149-33 AJ149</t>
  </si>
  <si>
    <t xml:space="preserve">D-149-34 AK149</t>
  </si>
  <si>
    <t xml:space="preserve">D-149-35 AL149</t>
  </si>
  <si>
    <t xml:space="preserve">D-149-36 AM149</t>
  </si>
  <si>
    <t xml:space="preserve">D-150-1 D150</t>
  </si>
  <si>
    <t xml:space="preserve">D-150-2 E150</t>
  </si>
  <si>
    <t xml:space="preserve">D-150-3 F150</t>
  </si>
  <si>
    <t xml:space="preserve">D-150-4 G150</t>
  </si>
  <si>
    <t xml:space="preserve">D-150-5 H150</t>
  </si>
  <si>
    <t xml:space="preserve">D-150-6 I150</t>
  </si>
  <si>
    <t xml:space="preserve">D-150-7 J150</t>
  </si>
  <si>
    <t xml:space="preserve">D-150-8 K150</t>
  </si>
  <si>
    <t xml:space="preserve">D-150-9 L150</t>
  </si>
  <si>
    <t xml:space="preserve">D-150-10 M150</t>
  </si>
  <si>
    <t xml:space="preserve">D-150-11 N150</t>
  </si>
  <si>
    <t xml:space="preserve">D-150-12 O150</t>
  </si>
  <si>
    <t xml:space="preserve">D-150-13 P150</t>
  </si>
  <si>
    <t xml:space="preserve">D-150-14 Q150</t>
  </si>
  <si>
    <t xml:space="preserve">D-150-15 R150</t>
  </si>
  <si>
    <t xml:space="preserve">D-150-16 S150</t>
  </si>
  <si>
    <t xml:space="preserve">D-150-17 T150</t>
  </si>
  <si>
    <t xml:space="preserve">D-150-18 U150</t>
  </si>
  <si>
    <t xml:space="preserve">D-150-19 V150</t>
  </si>
  <si>
    <t xml:space="preserve">D-150-20 W150</t>
  </si>
  <si>
    <t xml:space="preserve">D-150-21 X150</t>
  </si>
  <si>
    <t xml:space="preserve">D-150-22 Y150</t>
  </si>
  <si>
    <t xml:space="preserve">D-150-23 Z150</t>
  </si>
  <si>
    <t xml:space="preserve">D-150-24 AA150</t>
  </si>
  <si>
    <t xml:space="preserve">D-150-25 AB150</t>
  </si>
  <si>
    <t xml:space="preserve">D-150-26 AC150</t>
  </si>
  <si>
    <t xml:space="preserve">D-150-27 AD150</t>
  </si>
  <si>
    <t xml:space="preserve">D-150-28 AE150</t>
  </si>
  <si>
    <t xml:space="preserve">D-150-29 AF150</t>
  </si>
  <si>
    <t xml:space="preserve">D-150-30 AG150</t>
  </si>
  <si>
    <t xml:space="preserve">D-150-31 AH150</t>
  </si>
  <si>
    <t xml:space="preserve">D-150-32 AI150</t>
  </si>
  <si>
    <t xml:space="preserve">D-150-33 AJ150</t>
  </si>
  <si>
    <t xml:space="preserve">D-150-34 AK150</t>
  </si>
  <si>
    <t xml:space="preserve">D-150-35 AL150</t>
  </si>
  <si>
    <t xml:space="preserve">D-150-36 AM150</t>
  </si>
  <si>
    <t xml:space="preserve">D-156-1 D156</t>
  </si>
  <si>
    <t xml:space="preserve">D-156-2 E156</t>
  </si>
  <si>
    <t xml:space="preserve">D-156-3 F156</t>
  </si>
  <si>
    <t xml:space="preserve">D-156-4 G156</t>
  </si>
  <si>
    <t xml:space="preserve">D-156-5 H156</t>
  </si>
  <si>
    <t xml:space="preserve">D-156-6 I156</t>
  </si>
  <si>
    <t xml:space="preserve">D-156-7 J156</t>
  </si>
  <si>
    <t xml:space="preserve">D-156-8 K156</t>
  </si>
  <si>
    <t xml:space="preserve">D-156-9 L156</t>
  </si>
  <si>
    <t xml:space="preserve">D-156-10 M156</t>
  </si>
  <si>
    <t xml:space="preserve">D-156-11 N156</t>
  </si>
  <si>
    <t xml:space="preserve">D-156-12 O156</t>
  </si>
  <si>
    <t xml:space="preserve">D-156-13 P156</t>
  </si>
  <si>
    <t xml:space="preserve">D-156-14 Q156</t>
  </si>
  <si>
    <t xml:space="preserve">D-156-15 R156</t>
  </si>
  <si>
    <t xml:space="preserve">D-156-16 S156</t>
  </si>
  <si>
    <t xml:space="preserve">D-156-17 T156</t>
  </si>
  <si>
    <t xml:space="preserve">D-156-18 U156</t>
  </si>
  <si>
    <t xml:space="preserve">D-156-19 V156</t>
  </si>
  <si>
    <t xml:space="preserve">D-156-20 W156</t>
  </si>
  <si>
    <t xml:space="preserve">D-156-21 X156</t>
  </si>
  <si>
    <t xml:space="preserve">D-156-22 Y156</t>
  </si>
  <si>
    <t xml:space="preserve">D-156-23 Z156</t>
  </si>
  <si>
    <t xml:space="preserve">D-156-24 AA156</t>
  </si>
  <si>
    <t xml:space="preserve">D-156-25 AB156</t>
  </si>
  <si>
    <t xml:space="preserve">D-156-26 AC156</t>
  </si>
  <si>
    <t xml:space="preserve">D-156-27 AD156</t>
  </si>
  <si>
    <t xml:space="preserve">D-156-28 AE156</t>
  </si>
  <si>
    <t xml:space="preserve">D-156-29 AF156</t>
  </si>
  <si>
    <t xml:space="preserve">D-156-30 AG156</t>
  </si>
  <si>
    <t xml:space="preserve">D-156-31 AH156</t>
  </si>
  <si>
    <t xml:space="preserve">D-156-32 AI156</t>
  </si>
  <si>
    <t xml:space="preserve">D-156-33 AJ156</t>
  </si>
  <si>
    <t xml:space="preserve">D-156-34 AK156</t>
  </si>
  <si>
    <t xml:space="preserve">D-156-35 AL156</t>
  </si>
  <si>
    <t xml:space="preserve">D-156-36 AM156</t>
  </si>
  <si>
    <t xml:space="preserve">D-158-1 D158</t>
  </si>
  <si>
    <t xml:space="preserve">D-158-2 E158</t>
  </si>
  <si>
    <t xml:space="preserve">D-158-3 F158</t>
  </si>
  <si>
    <t xml:space="preserve">D-158-4 G158</t>
  </si>
  <si>
    <t xml:space="preserve">D-158-5 H158</t>
  </si>
  <si>
    <t xml:space="preserve">D-158-6 I158</t>
  </si>
  <si>
    <t xml:space="preserve">D-158-7 J158</t>
  </si>
  <si>
    <t xml:space="preserve">D-158-8 K158</t>
  </si>
  <si>
    <t xml:space="preserve">D-158-9 L158</t>
  </si>
  <si>
    <t xml:space="preserve">D-158-10 M158</t>
  </si>
  <si>
    <t xml:space="preserve">D-158-11 N158</t>
  </si>
  <si>
    <t xml:space="preserve">D-158-12 O158</t>
  </si>
  <si>
    <t xml:space="preserve">D-158-13 P158</t>
  </si>
  <si>
    <t xml:space="preserve">D-158-14 Q158</t>
  </si>
  <si>
    <t xml:space="preserve">D-158-15 R158</t>
  </si>
  <si>
    <t xml:space="preserve">D-158-16 S158</t>
  </si>
  <si>
    <t xml:space="preserve">D-158-17 T158</t>
  </si>
  <si>
    <t xml:space="preserve">D-158-18 U158</t>
  </si>
  <si>
    <t xml:space="preserve">D-158-19 V158</t>
  </si>
  <si>
    <t xml:space="preserve">D-158-20 W158</t>
  </si>
  <si>
    <t xml:space="preserve">D-158-21 X158</t>
  </si>
  <si>
    <t xml:space="preserve">D-158-22 Y158</t>
  </si>
  <si>
    <t xml:space="preserve">D-158-23 Z158</t>
  </si>
  <si>
    <t xml:space="preserve">D-158-24 AA158</t>
  </si>
  <si>
    <t xml:space="preserve">D-158-25 AB158</t>
  </si>
  <si>
    <t xml:space="preserve">D-158-26 AC158</t>
  </si>
  <si>
    <t xml:space="preserve">D-158-27 AD158</t>
  </si>
  <si>
    <t xml:space="preserve">D-158-28 AE158</t>
  </si>
  <si>
    <t xml:space="preserve">D-158-29 AF158</t>
  </si>
  <si>
    <t xml:space="preserve">D-158-30 AG158</t>
  </si>
  <si>
    <t xml:space="preserve">D-158-31 AH158</t>
  </si>
  <si>
    <t xml:space="preserve">D-158-32 AI158</t>
  </si>
  <si>
    <t xml:space="preserve">D-158-33 AJ158</t>
  </si>
  <si>
    <t xml:space="preserve">D-158-34 AK158</t>
  </si>
  <si>
    <t xml:space="preserve">D-158-35 AL158</t>
  </si>
  <si>
    <t xml:space="preserve">D-158-36 AM158</t>
  </si>
  <si>
    <t xml:space="preserve">公牛集团 PFM 一页说明 · 演示后修订 r4b</t>
  </si>
  <si>
    <t xml:space="preserve">实际期与预测期</t>
  </si>
  <si>
    <t xml:space="preserve">2023–2025A保留；2026H1以完整中报三表列示，7月从真实期末余额开始预测至2028年末。未披露的H1月度管理账留空，不将半年数分摊冒充月度实际。</t>
  </si>
  <si>
    <t xml:space="preserve">经营模型</t>
  </si>
  <si>
    <t xml:space="preserve">保留产品量价、生产、存货、人员、费用、营运资本及分资产类别支持表。7月账面存货及资产按中报重置；产品库存分配、实物量、人员与成本预测仍为公开数据教学假设。</t>
  </si>
  <si>
    <t xml:space="preserve">投资资金安排</t>
  </si>
  <si>
    <t xml:space="preserve">H1实际赎回与购买分别列示。预测先使用投资赎回，再考虑新增借款。2027/2028年6月各设人民币1,500百万元可赎回窗口，实际赎回取资金需求、窗口及期初投资余额的最小值。赎回减少投资及以后月份收益。窗口是待确认计划，非产品到期事实。</t>
  </si>
  <si>
    <t xml:space="preserve">备用融资</t>
  </si>
  <si>
    <r>
      <rPr>
        <sz val="11"/>
        <rFont val="Noto Sans CJK SC"/>
        <family val="2"/>
        <charset val="1"/>
      </rPr>
      <t xml:space="preserve">备用循环额度人民币</t>
    </r>
    <r>
      <rPr>
        <sz val="11"/>
        <rFont val="Arial"/>
        <family val="0"/>
        <charset val="1"/>
      </rPr>
      <t xml:space="preserve">500</t>
    </r>
    <r>
      <rPr>
        <sz val="11"/>
        <rFont val="Noto Sans CJK SC"/>
        <family val="2"/>
        <charset val="1"/>
      </rPr>
      <t xml:space="preserve">百万元，期限</t>
    </r>
    <r>
      <rPr>
        <sz val="11"/>
        <rFont val="Arial"/>
        <family val="0"/>
        <charset val="1"/>
      </rPr>
      <t xml:space="preserve">2026</t>
    </r>
    <r>
      <rPr>
        <sz val="11"/>
        <rFont val="Noto Sans CJK SC"/>
        <family val="2"/>
        <charset val="1"/>
      </rPr>
      <t xml:space="preserve">年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  <charset val="1"/>
      </rPr>
      <t xml:space="preserve">月至</t>
    </r>
    <r>
      <rPr>
        <sz val="11"/>
        <rFont val="Arial"/>
        <family val="0"/>
        <charset val="1"/>
      </rPr>
      <t xml:space="preserve">2028</t>
    </r>
    <r>
      <rPr>
        <sz val="11"/>
        <rFont val="Noto Sans CJK SC"/>
        <family val="2"/>
        <charset val="1"/>
      </rPr>
      <t xml:space="preserve">年</t>
    </r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  <charset val="1"/>
      </rPr>
      <t xml:space="preserve">月，额度、时点及利率均为未落实教学假设。按期初本金和实际天数付息，月末提款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  <charset val="1"/>
      </rPr>
      <t xml:space="preserve">还款，有余款归还，到期无自动续借。未满足提款、还款及现金缺口分别显示。</t>
    </r>
  </si>
  <si>
    <t xml:space="preserve">三表与限制</t>
  </si>
  <si>
    <t xml:space="preserve">最低运营现金人民币100百万元为教学假设。受限保证金和定期存款不当作即用现金；不以配平差额反推融资。预测有效期间为30个月。不得据此作营运资金充足性、投资或申报结论。</t>
  </si>
  <si>
    <t xml:space="preserve">来源与复核</t>
  </si>
  <si>
    <t xml:space="preserve">中报2026-08-28，H1Data保留原人民币元、页码、取得时间、SHA-256及URL。r4必须重新进行原生重算、单项/边界/组合扰动及基准恢复；旧版复核不验证本修订。</t>
  </si>
  <si>
    <r>
      <rPr>
        <sz val="10"/>
        <color rgb="FF182B40"/>
        <rFont val="Noto Sans CJK SC"/>
        <family val="2"/>
        <charset val="1"/>
      </rPr>
      <t xml:space="preserve">公牛集团 </t>
    </r>
    <r>
      <rPr>
        <sz val="10"/>
        <color rgb="FF182B40"/>
        <rFont val="Arial"/>
        <family val="0"/>
        <charset val="1"/>
      </rPr>
      <t xml:space="preserve">2026H1 </t>
    </r>
    <r>
      <rPr>
        <sz val="10"/>
        <color rgb="FF182B40"/>
        <rFont val="Noto Sans CJK SC"/>
        <family val="2"/>
        <charset val="1"/>
      </rPr>
      <t xml:space="preserve">原报告数据</t>
    </r>
  </si>
  <si>
    <t xml:space="preserve">Consolidated H1 actuals. Raw values retain RMB yuan; D converts to RMB million.</t>
  </si>
  <si>
    <t xml:space="preserve">Source key</t>
  </si>
  <si>
    <t xml:space="preserve">Original RMB yuan</t>
  </si>
  <si>
    <t xml:space="preserve">Report page</t>
  </si>
  <si>
    <t xml:space="preserve">Period / column</t>
  </si>
  <si>
    <t xml:space="preserve">Source file / unit</t>
  </si>
  <si>
    <t xml:space="preserve">Source URL</t>
  </si>
  <si>
    <t xml:space="preserve">cash</t>
  </si>
  <si>
    <t xml:space="preserve">130</t>
  </si>
  <si>
    <t xml:space="preserve">2026H1 / current column</t>
  </si>
  <si>
    <t xml:space="preserve">H12026.pdf / RMB yuan</t>
  </si>
  <si>
    <t xml:space="preserve">monetary</t>
  </si>
  <si>
    <t xml:space="preserve">86</t>
  </si>
  <si>
    <t xml:space="preserve">cashOutside</t>
  </si>
  <si>
    <t xml:space="preserve">invBank</t>
  </si>
  <si>
    <t xml:space="preserve">invTrust</t>
  </si>
  <si>
    <t xml:space="preserve">invAM</t>
  </si>
  <si>
    <t xml:space="preserve">bills</t>
  </si>
  <si>
    <t xml:space="preserve">38</t>
  </si>
  <si>
    <t xml:space="preserve">arNet</t>
  </si>
  <si>
    <t xml:space="preserve">arGross</t>
  </si>
  <si>
    <t xml:space="preserve">arFinance</t>
  </si>
  <si>
    <t xml:space="preserve">prepay</t>
  </si>
  <si>
    <t xml:space="preserve">otherReceivable</t>
  </si>
  <si>
    <t xml:space="preserve">otherCurrentAsset</t>
  </si>
  <si>
    <t xml:space="preserve">ppeTotal</t>
  </si>
  <si>
    <t xml:space="preserve">cip</t>
  </si>
  <si>
    <t xml:space="preserve">deferredCost</t>
  </si>
  <si>
    <t xml:space="preserve">dta</t>
  </si>
  <si>
    <t xml:space="preserve">otherNoncurrentAsset</t>
  </si>
  <si>
    <t xml:space="preserve">assets</t>
  </si>
  <si>
    <t xml:space="preserve">shortDebt</t>
  </si>
  <si>
    <t xml:space="preserve">111</t>
  </si>
  <si>
    <t xml:space="preserve">creditPrincipal</t>
  </si>
  <si>
    <t xml:space="preserve">accruedLoanInterest</t>
  </si>
  <si>
    <t xml:space="preserve">derivativeLiability</t>
  </si>
  <si>
    <t xml:space="preserve">112</t>
  </si>
  <si>
    <t xml:space="preserve">apGoods</t>
  </si>
  <si>
    <t xml:space="preserve">apConstruction</t>
  </si>
  <si>
    <t xml:space="preserve">apExpense</t>
  </si>
  <si>
    <t xml:space="preserve">advances</t>
  </si>
  <si>
    <t xml:space="preserve">staffPayable</t>
  </si>
  <si>
    <t xml:space="preserve">incomeTaxPayable</t>
  </si>
  <si>
    <t xml:space="preserve">otherPayable</t>
  </si>
  <si>
    <t xml:space="preserve">leaseCurrent</t>
  </si>
  <si>
    <t xml:space="preserve">otherCurrentLiability</t>
  </si>
  <si>
    <t xml:space="preserve">longDebt</t>
  </si>
  <si>
    <t xml:space="preserve">115</t>
  </si>
  <si>
    <t xml:space="preserve">leaseLong</t>
  </si>
  <si>
    <t xml:space="preserve">deferredIncome</t>
  </si>
  <si>
    <t xml:space="preserve">dtl</t>
  </si>
  <si>
    <t xml:space="preserve">otherNoncurrentLiability</t>
  </si>
  <si>
    <t xml:space="preserve">liabilities</t>
  </si>
  <si>
    <t xml:space="preserve">shareCapital</t>
  </si>
  <si>
    <t xml:space="preserve">capitalReserve</t>
  </si>
  <si>
    <t xml:space="preserve">treasuryShares</t>
  </si>
  <si>
    <t xml:space="preserve">oci</t>
  </si>
  <si>
    <t xml:space="preserve">surplusReserve</t>
  </si>
  <si>
    <t xml:space="preserve">retained</t>
  </si>
  <si>
    <t xml:space="preserve">nci</t>
  </si>
  <si>
    <t xml:space="preserve">equity</t>
  </si>
  <si>
    <t xml:space="preserve">rm</t>
  </si>
  <si>
    <t xml:space="preserve">98</t>
  </si>
  <si>
    <t xml:space="preserve">wip</t>
  </si>
  <si>
    <t xml:space="preserve">fg</t>
  </si>
  <si>
    <t xml:space="preserve">dispatched</t>
  </si>
  <si>
    <t xml:space="preserve">outsourced</t>
  </si>
  <si>
    <t xml:space="preserve">consumables</t>
  </si>
  <si>
    <t xml:space="preserve">packaging</t>
  </si>
  <si>
    <t xml:space="preserve">building</t>
  </si>
  <si>
    <t xml:space="preserve">103</t>
  </si>
  <si>
    <t xml:space="preserve">vehicle</t>
  </si>
  <si>
    <t xml:space="preserve">electronics</t>
  </si>
  <si>
    <t xml:space="preserve">improvements</t>
  </si>
  <si>
    <t xml:space="preserve">ppeCore</t>
  </si>
  <si>
    <t xml:space="preserve">102</t>
  </si>
  <si>
    <t xml:space="preserve">ppeClearing</t>
  </si>
  <si>
    <t xml:space="preserve">daBuilding</t>
  </si>
  <si>
    <t xml:space="preserve">daMachinery</t>
  </si>
  <si>
    <t xml:space="preserve">daVehicle</t>
  </si>
  <si>
    <t xml:space="preserve">daElectronics</t>
  </si>
  <si>
    <t xml:space="preserve">daImprovements</t>
  </si>
  <si>
    <t xml:space="preserve">daIntang</t>
  </si>
  <si>
    <t xml:space="preserve">128</t>
  </si>
  <si>
    <t xml:space="preserve">daDeferredCost</t>
  </si>
  <si>
    <t xml:space="preserve">129</t>
  </si>
  <si>
    <t xml:space="preserve">daROU</t>
  </si>
  <si>
    <t xml:space="preserve">revenue</t>
  </si>
  <si>
    <t xml:space="preserve">cogs</t>
  </si>
  <si>
    <t xml:space="preserve">sales</t>
  </si>
  <si>
    <t xml:space="preserve">rd</t>
  </si>
  <si>
    <t xml:space="preserve">surcharge</t>
  </si>
  <si>
    <t xml:space="preserve">financeExpense</t>
  </si>
  <si>
    <t xml:space="preserve">interestExpense</t>
  </si>
  <si>
    <t xml:space="preserve">interestIncome</t>
  </si>
  <si>
    <t xml:space="preserve">otherIncome</t>
  </si>
  <si>
    <t xml:space="preserve">investmentIncome</t>
  </si>
  <si>
    <t xml:space="preserve">eclGain</t>
  </si>
  <si>
    <t xml:space="preserve">impairmentLoss</t>
  </si>
  <si>
    <t xml:space="preserve">disposalLoss</t>
  </si>
  <si>
    <t xml:space="preserve">nonopIncome</t>
  </si>
  <si>
    <t xml:space="preserve">nonopExpense</t>
  </si>
  <si>
    <t xml:space="preserve">pbt</t>
  </si>
  <si>
    <t xml:space="preserve">incomeTax</t>
  </si>
  <si>
    <t xml:space="preserve">ni</t>
  </si>
  <si>
    <t xml:space="preserve">parentNi</t>
  </si>
  <si>
    <t xml:space="preserve">nciNi</t>
  </si>
  <si>
    <t xml:space="preserve">cfo</t>
  </si>
  <si>
    <t xml:space="preserve">cfi</t>
  </si>
  <si>
    <t xml:space="preserve">cff</t>
  </si>
  <si>
    <t xml:space="preserve">fx</t>
  </si>
  <si>
    <t xml:space="preserve">openingCash</t>
  </si>
  <si>
    <t xml:space="preserve">investRedemptions</t>
  </si>
  <si>
    <t xml:space="preserve">investPurchases</t>
  </si>
  <si>
    <t xml:space="preserve">capex</t>
  </si>
  <si>
    <t xml:space="preserve">draws</t>
  </si>
  <si>
    <t xml:space="preserve">repayments</t>
  </si>
  <si>
    <t xml:space="preserve">dividendAndInterestCash</t>
  </si>
  <si>
    <t xml:space="preserve">repurchase</t>
  </si>
  <si>
    <t xml:space="preserve">leaseCash</t>
  </si>
  <si>
    <t xml:space="preserve">Retrieved UTC</t>
  </si>
  <si>
    <t xml:space="preserve">Published</t>
  </si>
  <si>
    <r>
      <rPr>
        <sz val="10"/>
        <color rgb="FF182B40"/>
        <rFont val="Noto Sans CJK SC"/>
        <family val="2"/>
        <charset val="1"/>
      </rPr>
      <t xml:space="preserve">公牛集团 </t>
    </r>
    <r>
      <rPr>
        <sz val="10"/>
        <color rgb="FF182B40"/>
        <rFont val="Arial"/>
        <family val="0"/>
        <charset val="1"/>
      </rPr>
      <t xml:space="preserve">2026H1 </t>
    </r>
    <r>
      <rPr>
        <sz val="10"/>
        <color rgb="FF182B40"/>
        <rFont val="Noto Sans CJK SC"/>
        <family val="2"/>
        <charset val="1"/>
      </rPr>
      <t xml:space="preserve">实际三表</t>
    </r>
  </si>
  <si>
    <t xml:space="preserve">RMB million. H1 aggregate, not monthly actuals. July opens from these source balances.</t>
  </si>
  <si>
    <t xml:space="preserve">2026H1A</t>
  </si>
  <si>
    <t xml:space="preserve">Assets: named components less reported total</t>
  </si>
  <si>
    <t xml:space="preserve">Liabilities: components less reported total</t>
  </si>
  <si>
    <t xml:space="preserve">Equity: named components less reported total</t>
  </si>
  <si>
    <t xml:space="preserve">P&amp;L mapped PBT less reported PBT</t>
  </si>
  <si>
    <t xml:space="preserve">PBT less tax less NI</t>
  </si>
  <si>
    <t xml:space="preserve">Parent + NCI less NI</t>
  </si>
  <si>
    <t xml:space="preserve">Investment redemption cash</t>
  </si>
  <si>
    <t xml:space="preserve">Investment purchase cash</t>
  </si>
  <si>
    <t xml:space="preserve">Net investment cash released</t>
  </si>
  <si>
    <t xml:space="preserve">Blank source classifications are not asserted as reported zero. Deposit group D45 is an aggregation residual: no deposit line is populated and all disclosed liability components independently tie.</t>
  </si>
  <si>
    <t xml:space="preserve">公牛集团 投资赎回与备用融资</t>
  </si>
  <si>
    <t xml:space="preserve">RMB million. Baseline redemption windows and standby RCF are planning assumptions, not documented bank commitments.</t>
  </si>
  <si>
    <t xml:space="preserve">Minimum operating cash</t>
  </si>
  <si>
    <t xml:space="preserve">Eligible redemption window / cash ceiling</t>
  </si>
  <si>
    <t xml:space="preserve">Automatic redemption enabled (0/1)</t>
  </si>
  <si>
    <t xml:space="preserve">Assumed RCF commitment ceiling</t>
  </si>
  <si>
    <t xml:space="preserve">Maximum RCF drawing this month</t>
  </si>
  <si>
    <t xml:space="preserve">Assumed RCF enabled (0/1)</t>
  </si>
  <si>
    <t xml:space="preserve">RCF annual interest rate proxy</t>
  </si>
  <si>
    <t xml:space="preserve">RCF maturity date (global J16)</t>
  </si>
  <si>
    <t xml:space="preserve">RCF first draw date (global J17)</t>
  </si>
  <si>
    <t xml:space="preserve">Surplus cash sweep fraction</t>
  </si>
  <si>
    <t xml:space="preserve">Draw conditions assumed satisfied (0/1)</t>
  </si>
  <si>
    <t xml:space="preserve">Documented facility confirmed (0/1)</t>
  </si>
  <si>
    <t xml:space="preserve">Additional RCF draw request</t>
  </si>
  <si>
    <t xml:space="preserve">Additional RCF repayment request</t>
  </si>
  <si>
    <t xml:space="preserve">Opening RCF principal</t>
  </si>
  <si>
    <t xml:space="preserve">Opening financial investment pool</t>
  </si>
  <si>
    <t xml:space="preserve">RCF interest on opening principal</t>
  </si>
  <si>
    <t xml:space="preserve">Cash before redemption / RCF / principal repayments</t>
  </si>
  <si>
    <t xml:space="preserve">Eligible lease principal requested</t>
  </si>
  <si>
    <t xml:space="preserve">Eligible existing loan principal requested</t>
  </si>
  <si>
    <t xml:space="preserve">Cash after requested existing principal</t>
  </si>
  <si>
    <t xml:space="preserve">Eligible redemption capped by opening investments</t>
  </si>
  <si>
    <t xml:space="preserve">Investment redemption requested</t>
  </si>
  <si>
    <t xml:space="preserve">Effective investment redemption</t>
  </si>
  <si>
    <t xml:space="preserve">Unmet redemption request</t>
  </si>
  <si>
    <t xml:space="preserve">Cash after investment redemption, before RCF</t>
  </si>
  <si>
    <t xml:space="preserve">RCF commitment ceiling</t>
  </si>
  <si>
    <t xml:space="preserve">RCF available headroom before drawings</t>
  </si>
  <si>
    <t xml:space="preserve">Within draw dates and assumed conditions</t>
  </si>
  <si>
    <t xml:space="preserve">RCF drawing requested</t>
  </si>
  <si>
    <t xml:space="preserve">Effective RCF drawing</t>
  </si>
  <si>
    <t xml:space="preserve">Unmet RCF drawing request</t>
  </si>
  <si>
    <t xml:space="preserve">Cash available before existing principal settlements</t>
  </si>
  <si>
    <t xml:space="preserve">Cash after effective existing principal settlements</t>
  </si>
  <si>
    <t xml:space="preserve">RCF repayment requested / maturity due</t>
  </si>
  <si>
    <t xml:space="preserve">Effective RCF repayment</t>
  </si>
  <si>
    <t xml:space="preserve">Unmet RCF repayment</t>
  </si>
  <si>
    <t xml:space="preserve">Closing RCF principal</t>
  </si>
  <si>
    <t xml:space="preserve">Closing cash after treasury actions</t>
  </si>
  <si>
    <t xml:space="preserve">Unfunded cash deficit</t>
  </si>
  <si>
    <t xml:space="preserve">Minimum cash buffer shortfall</t>
  </si>
  <si>
    <t xml:space="preserve">RCF principal roll-forward difference</t>
  </si>
  <si>
    <t xml:space="preserve">Treasury cash vs statement cash difference</t>
  </si>
  <si>
    <t xml:space="preserve">RCF overdue at / after maturity</t>
  </si>
  <si>
    <t xml:space="preserve">RCF commitment excess</t>
  </si>
  <si>
    <t xml:space="preserve">Unmet eligible existing principal settlement</t>
  </si>
  <si>
    <t xml:space="preserve">Invalid treasury input count</t>
  </si>
  <si>
    <t xml:space="preserve">Remaining RCF headroom within availability</t>
  </si>
  <si>
    <t xml:space="preserve">RCF drawn without documented commitment</t>
  </si>
  <si>
    <t xml:space="preserve">L-R4-INV</t>
  </si>
  <si>
    <t xml:space="preserve">Eligible redemption ceiling RMB1,500m in June 2027/2028; other months zero pending a product maturity schedule. This is a treasury planning assumption, informed by H1 cash redemptions, not a disclosed contractual maturity. Redemption is at carrying amount; only the opening trading-investment pool is eligible. No automatic use of restricted deposits.</t>
  </si>
  <si>
    <t xml:space="preserve">L-R4-RCF</t>
  </si>
  <si>
    <t xml:space="preserve">RMB500m standby RCF is an explicitly unconfirmed teaching assumption, Jul2026-Dec2028. Opening-balance interest, actual calendar days, month-end draws/repayments, cash sweep and bullet maturity. No rollover assumed. The FY2025 interest proxy is not a bank quote. Source confirms existence of bank facilities, not this amount or commitment.</t>
  </si>
  <si>
    <t xml:space="preserve">L-R4-OPEN</t>
  </si>
  <si>
    <t xml:space="preserve">June monetary balances are reported actuals. July product-level FG allocation and physical quantities retain FY2025 product weighting/stock as a planning proxy. Staff counts and cost drivers retain disclosed FY2025 bases, with labelled pay/cost growth. H1 monthly management accounts and product maturity contracts remain unavailable.</t>
  </si>
  <si>
    <t xml:space="preserve">Timing and priority</t>
  </si>
  <si>
    <t xml:space="preserve">Operating/investing flows, planned dividends and interest precede scheduled principal. Eligible investment redemption is used first, then finite RCF; actual lease and existing loans settle within cash, then surplus repays RCF. A failed window/condition leaves a visible shortfall. This does not establish intra-month cash sufficiency.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</si>
</sst>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_-* #,##0.00_-;\-* #,##0.00_-;_-* \-??_-;_-@_-"/>
    <numFmt numFmtId="166" formatCode="_-* #,##0.00_-;\-* #,##0.00_-;_-* \-??_-;_-@_-"/>
    <numFmt numFmtId="167" formatCode="_-* #,##0_-;\-* #,##0_-;_-* \-_-;_-@_-"/>
    <numFmt numFmtId="168" formatCode="_-* #,##0_-;\-* #,##0_-;_-* \-_-;_-@_-"/>
    <numFmt numFmtId="169" formatCode="_-\$* #,##0.00_-;&quot;-$&quot;* #,##0.00_-;_-\$* \-??_-;_-@_-"/>
    <numFmt numFmtId="170" formatCode="_-\$* #,##0.00_-;&quot;-$&quot;* #,##0.00_-;_-\$* \-??_-;_-@_-"/>
    <numFmt numFmtId="171" formatCode="_-\$* #,##0_-;&quot;-$&quot;* #,##0_-;_-\$* \-_-;_-@_-"/>
    <numFmt numFmtId="172" formatCode="_-\$* #,##0_-;&quot;-$&quot;* #,##0_-;_-\$* \-_-;_-@_-"/>
    <numFmt numFmtId="173" formatCode="0%"/>
    <numFmt numFmtId="174" formatCode="#,##0.0;\(#,##0.0\);\–"/>
    <numFmt numFmtId="175" formatCode="0.0%"/>
    <numFmt numFmtId="176" formatCode="#,##0"/>
    <numFmt numFmtId="177" formatCode="mmm/yy"/>
    <numFmt numFmtId="178" formatCode="0.00"/>
    <numFmt numFmtId="179" formatCode="0.0"/>
    <numFmt numFmtId="180" formatCode="0"/>
    <numFmt numFmtId="181" formatCode="0.000000"/>
    <numFmt numFmtId="182" formatCode="#,##0.0;\(#,##0.0\);\—"/>
    <numFmt numFmtId="183" formatCode="#,##0.00;\(#,##0.00\);\—"/>
    <numFmt numFmtId="184" formatCode="yyyy/mm/dd"/>
  </numFmts>
  <fonts count="3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 val="true"/>
      <sz val="19"/>
      <color rgb="FF183653"/>
      <name val="Noto Sans CJK SC"/>
      <family val="2"/>
      <charset val="1"/>
    </font>
    <font>
      <b val="true"/>
      <sz val="19"/>
      <color rgb="FF183653"/>
      <name val="Arial"/>
      <family val="0"/>
      <charset val="1"/>
    </font>
    <font>
      <sz val="10"/>
      <color rgb="FF657587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87D4A"/>
      <name val="Arial"/>
      <family val="0"/>
      <charset val="1"/>
    </font>
    <font>
      <b val="true"/>
      <sz val="9"/>
      <color rgb="FF000000"/>
      <name val="Calibri"/>
      <family val="2"/>
    </font>
    <font>
      <sz val="6.75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87D4A"/>
      <name val="Arial"/>
      <family val="0"/>
      <charset val="1"/>
    </font>
    <font>
      <b val="true"/>
      <sz val="10"/>
      <color rgb="FF182B40"/>
      <name val="Arial"/>
      <family val="0"/>
      <charset val="1"/>
    </font>
    <font>
      <sz val="10"/>
      <color rgb="FF182B40"/>
      <name val="Arial"/>
      <family val="0"/>
      <charset val="1"/>
    </font>
    <font>
      <b val="true"/>
      <sz val="10"/>
      <color rgb="FFFFFFFF"/>
      <name val="Noto Sans CJK SC"/>
      <family val="0"/>
      <charset val="1"/>
    </font>
    <font>
      <b val="true"/>
      <sz val="10"/>
      <color rgb="FFFFFFFF"/>
      <name val="Noto Sans CJK SC"/>
      <family val="2"/>
      <charset val="1"/>
    </font>
    <font>
      <sz val="10"/>
      <name val="Noto Sans CJK SC"/>
      <family val="0"/>
      <charset val="1"/>
    </font>
    <font>
      <sz val="10"/>
      <color rgb="FF0000FF"/>
      <name val="Arial"/>
      <family val="0"/>
      <charset val="1"/>
    </font>
    <font>
      <sz val="11"/>
      <name val="Noto Sans CJK SC"/>
      <family val="2"/>
      <charset val="1"/>
    </font>
    <font>
      <sz val="11"/>
      <name val="Noto Sans CJK SC"/>
      <family val="0"/>
      <charset val="1"/>
    </font>
    <font>
      <b val="true"/>
      <sz val="19"/>
      <color rgb="FF183653"/>
      <name val="Noto Sans CJK SC"/>
      <family val="0"/>
      <charset val="1"/>
    </font>
    <font>
      <sz val="11"/>
      <name val="Arial"/>
      <family val="0"/>
      <charset val="1"/>
    </font>
    <font>
      <sz val="10"/>
      <color rgb="FF182B40"/>
      <name val="Noto Sans CJK SC"/>
      <family val="2"/>
      <charset val="1"/>
    </font>
    <font>
      <sz val="10"/>
      <color rgb="FF182B40"/>
      <name val="Noto Sans CJK SC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9EFF5"/>
        <bgColor rgb="FFE9F1F3"/>
      </patternFill>
    </fill>
    <fill>
      <patternFill patternType="solid">
        <fgColor rgb="FF183653"/>
        <bgColor rgb="FF182B40"/>
      </patternFill>
    </fill>
    <fill>
      <patternFill patternType="solid">
        <fgColor rgb="FFFFF1CC"/>
        <bgColor rgb="FFFFF2CC"/>
      </patternFill>
    </fill>
    <fill>
      <patternFill patternType="solid">
        <fgColor rgb="FFFFF2CC"/>
        <bgColor rgb="FFFFF1CC"/>
      </patternFill>
    </fill>
    <fill>
      <patternFill patternType="solid">
        <fgColor rgb="FFE9F1F3"/>
        <bgColor rgb="FFE9EFF5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37C7E"/>
      </bottom>
      <diagonal/>
    </border>
    <border diagonalUp="false" diagonalDown="false">
      <left/>
      <right/>
      <top style="thin">
        <color rgb="FF9BACBE"/>
      </top>
      <bottom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9" fontId="4" fillId="0" borderId="0" applyFont="true" applyBorder="false" applyAlignment="false" applyProtection="false"/>
    <xf numFmtId="170" fontId="4" fillId="0" borderId="0" applyFont="true" applyBorder="false" applyAlignment="false" applyProtection="false"/>
    <xf numFmtId="170" fontId="4" fillId="0" borderId="0" applyFont="true" applyBorder="false" applyAlignment="false" applyProtection="false"/>
    <xf numFmtId="171" fontId="4" fillId="0" borderId="0" applyFont="true" applyBorder="false" applyAlignment="false" applyProtection="false"/>
    <xf numFmtId="172" fontId="4" fillId="0" borderId="0" applyFont="true" applyBorder="false" applyAlignment="false" applyProtection="false"/>
    <xf numFmtId="172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applyFont="true" applyBorder="false" applyAlignment="false" applyProtection="false"/>
    <xf numFmtId="173" fontId="4" fillId="0" borderId="0" applyFont="true" applyBorder="false" applyAlignment="false" applyProtection="false"/>
    <xf numFmtId="173" fontId="4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3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4" fontId="4" fillId="0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2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9" fillId="2" borderId="2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4" fillId="0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2" fillId="3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32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4" fillId="0" borderId="0" xfId="34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7" fillId="2" borderId="2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3" fillId="0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8" fillId="2" borderId="2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9" fillId="0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9" fillId="0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2" fillId="3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3" fillId="0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3" fillId="0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9" fillId="0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9" fillId="0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13" fillId="0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19" fillId="0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3" fillId="4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3" fillId="4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23" fillId="4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1" fontId="17" fillId="2" borderId="2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17" fillId="2" borderId="2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3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4" fontId="4" fillId="0" borderId="0" xfId="3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3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4" fontId="22" fillId="0" borderId="0" xfId="3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0" xfId="3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0" borderId="1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3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19" fillId="0" borderId="0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19" fillId="0" borderId="0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3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9" fillId="0" borderId="0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9" fillId="0" borderId="0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23" fillId="5" borderId="0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3" fillId="5" borderId="0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23" fillId="5" borderId="0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30" fillId="5" borderId="0" xfId="3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0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18" fillId="6" borderId="0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19" fillId="0" borderId="0" xfId="3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64" fontId="6" fillId="0" borderId="1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64" fontId="8" fillId="0" borderId="0" xfId="33" applyFont="true" applyBorder="true" applyAlignment="true" applyProtection="1">
      <alignment horizontal="general" vertical="bottom" textRotation="0" wrapText="true" indent="0" shrinkToFit="false"/>
      <protection locked="1" hidden="false"/>
    </xf>
    <xf numFmtId="174" fontId="4" fillId="0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64" fontId="9" fillId="2" borderId="2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74" fontId="9" fillId="2" borderId="2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75" fontId="4" fillId="0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64" fontId="12" fillId="3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74" fontId="12" fillId="3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64" fontId="13" fillId="0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64" fontId="4" fillId="0" borderId="0" xfId="32" applyFont="true" applyBorder="false" applyAlignment="true" applyProtection="1">
      <alignment horizontal="general" vertical="bottom" textRotation="0" wrapText="false" indent="0" shrinkToFit="false"/>
      <protection locked="1" hidden="false"/>
    </xf>
    <xf numFmtId="174" fontId="4" fillId="0" borderId="0" xfId="34" applyFont="false" applyBorder="false" applyAlignment="true" applyProtection="1">
      <alignment horizontal="general" vertical="bottom" textRotation="0" wrapText="false" indent="0" shrinkToFit="false"/>
      <protection locked="1" hidden="false"/>
    </xf>
    <xf numFmtId="174" fontId="17" fillId="2" borderId="2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74" fontId="13" fillId="0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74" fontId="18" fillId="2" borderId="2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74" fontId="19" fillId="0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75" fontId="19" fillId="0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77" fontId="12" fillId="3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64" fontId="20" fillId="3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76" fontId="13" fillId="0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78" fontId="13" fillId="0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76" fontId="19" fillId="0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78" fontId="19" fillId="0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79" fontId="13" fillId="0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79" fontId="19" fillId="0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64" fontId="22" fillId="0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64" fontId="23" fillId="4" borderId="0" xfId="33" applyFont="true" applyBorder="true" applyAlignment="true" applyProtection="1">
      <alignment horizontal="general" vertical="bottom" textRotation="0" wrapText="false" indent="0" shrinkToFit="false"/>
      <protection locked="0" hidden="false"/>
    </xf>
    <xf numFmtId="164" fontId="4" fillId="0" borderId="0" xfId="33" applyFont="true" applyBorder="true" applyAlignment="true" applyProtection="1">
      <alignment horizontal="general" vertical="bottom" textRotation="0" wrapText="false" indent="0" shrinkToFit="false"/>
      <protection locked="0" hidden="false"/>
    </xf>
    <xf numFmtId="177" fontId="12" fillId="3" borderId="0" xfId="33" applyFont="true" applyBorder="true" applyAlignment="true" applyProtection="1">
      <alignment horizontal="general" vertical="bottom" textRotation="0" wrapText="false" indent="0" shrinkToFit="false"/>
      <protection locked="0" hidden="false"/>
    </xf>
    <xf numFmtId="174" fontId="4" fillId="0" borderId="0" xfId="33" applyFont="true" applyBorder="true" applyAlignment="true" applyProtection="1">
      <alignment horizontal="general" vertical="bottom" textRotation="0" wrapText="false" indent="0" shrinkToFit="false"/>
      <protection locked="0" hidden="false"/>
    </xf>
    <xf numFmtId="164" fontId="11" fillId="0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75" fontId="23" fillId="4" borderId="0" xfId="33" applyFont="true" applyBorder="true" applyAlignment="true" applyProtection="1">
      <alignment horizontal="general" vertical="bottom" textRotation="0" wrapText="false" indent="0" shrinkToFit="false"/>
      <protection locked="0" hidden="false"/>
    </xf>
    <xf numFmtId="175" fontId="23" fillId="4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74" fontId="23" fillId="4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74" fontId="23" fillId="4" borderId="0" xfId="33" applyFont="true" applyBorder="true" applyAlignment="true" applyProtection="1">
      <alignment horizontal="general" vertical="bottom" textRotation="0" wrapText="false" indent="0" shrinkToFit="false"/>
      <protection locked="0" hidden="false"/>
    </xf>
    <xf numFmtId="180" fontId="23" fillId="4" borderId="0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80" fontId="23" fillId="4" borderId="0" xfId="33" applyFont="true" applyBorder="true" applyAlignment="true" applyProtection="1">
      <alignment horizontal="general" vertical="bottom" textRotation="0" wrapText="false" indent="0" shrinkToFit="false"/>
      <protection locked="0" hidden="false"/>
    </xf>
    <xf numFmtId="181" fontId="17" fillId="2" borderId="2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80" fontId="17" fillId="2" borderId="2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64" fontId="7" fillId="0" borderId="1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64" fontId="4" fillId="0" borderId="0" xfId="33" applyFont="true" applyBorder="true" applyAlignment="true" applyProtection="1">
      <alignment horizontal="general" vertical="bottom" textRotation="0" wrapText="true" indent="0" shrinkToFit="false"/>
      <protection locked="1" hidden="false"/>
    </xf>
    <xf numFmtId="174" fontId="4" fillId="0" borderId="0" xfId="33" applyFont="true" applyBorder="true" applyAlignment="true" applyProtection="1">
      <alignment horizontal="general" vertical="bottom" textRotation="0" wrapText="true" indent="0" shrinkToFit="false"/>
      <protection locked="1" hidden="false"/>
    </xf>
    <xf numFmtId="164" fontId="5" fillId="0" borderId="0" xfId="33" applyFont="true" applyBorder="true" applyAlignment="true" applyProtection="1">
      <alignment horizontal="general" vertical="bottom" textRotation="0" wrapText="true" indent="0" shrinkToFit="false"/>
      <protection locked="1" hidden="false"/>
    </xf>
    <xf numFmtId="174" fontId="22" fillId="0" borderId="0" xfId="33" applyFont="true" applyBorder="true" applyAlignment="true" applyProtection="1">
      <alignment horizontal="general" vertical="bottom" textRotation="0" wrapText="true" indent="0" shrinkToFit="false"/>
      <protection locked="1" hidden="false"/>
    </xf>
    <xf numFmtId="164" fontId="25" fillId="0" borderId="0" xfId="33" applyFont="true" applyBorder="true" applyAlignment="true" applyProtection="1">
      <alignment horizontal="general" vertical="bottom" textRotation="0" wrapText="true" indent="0" shrinkToFit="false"/>
      <protection locked="1" hidden="false"/>
    </xf>
    <xf numFmtId="164" fontId="26" fillId="0" borderId="1" xfId="33" applyFont="true" applyBorder="true" applyAlignment="true" applyProtection="1">
      <alignment horizontal="general" vertical="bottom" textRotation="0" wrapText="false" indent="0" shrinkToFit="false"/>
      <protection locked="1" hidden="false"/>
    </xf>
    <xf numFmtId="164" fontId="24" fillId="0" borderId="0" xfId="33" applyFont="true" applyBorder="true" applyAlignment="true" applyProtection="1">
      <alignment horizontal="general" vertical="bottom" textRotation="0" wrapText="true" indent="0" shrinkToFit="false"/>
      <protection locked="1" hidden="false"/>
    </xf>
    <xf numFmtId="164" fontId="19" fillId="0" borderId="0" xfId="35" applyFont="true" applyBorder="true" applyAlignment="true" applyProtection="1">
      <alignment horizontal="general" vertical="bottom" textRotation="0" wrapText="false" indent="0" shrinkToFit="false"/>
      <protection locked="1" hidden="false"/>
    </xf>
    <xf numFmtId="164" fontId="28" fillId="0" borderId="0" xfId="35" applyFont="true" applyBorder="true" applyAlignment="true" applyProtection="1">
      <alignment horizontal="general" vertical="bottom" textRotation="0" wrapText="false" indent="0" shrinkToFit="false"/>
      <protection locked="1" hidden="false"/>
    </xf>
    <xf numFmtId="182" fontId="19" fillId="0" borderId="0" xfId="35" applyFont="true" applyBorder="true" applyAlignment="true" applyProtection="1">
      <alignment horizontal="general" vertical="bottom" textRotation="0" wrapText="false" indent="0" shrinkToFit="false"/>
      <protection locked="1" hidden="false"/>
    </xf>
    <xf numFmtId="183" fontId="19" fillId="0" borderId="0" xfId="35" applyFont="true" applyBorder="true" applyAlignment="true" applyProtection="1">
      <alignment horizontal="general" vertical="bottom" textRotation="0" wrapText="false" indent="0" shrinkToFit="false"/>
      <protection locked="1" hidden="false"/>
    </xf>
    <xf numFmtId="164" fontId="19" fillId="0" borderId="0" xfId="35" applyFont="true" applyBorder="true" applyAlignment="true" applyProtection="1">
      <alignment horizontal="general" vertical="bottom" textRotation="0" wrapText="true" indent="0" shrinkToFit="false"/>
      <protection locked="1" hidden="false"/>
    </xf>
    <xf numFmtId="164" fontId="29" fillId="0" borderId="0" xfId="35" applyFont="true" applyBorder="true" applyAlignment="true" applyProtection="1">
      <alignment horizontal="general" vertical="bottom" textRotation="0" wrapText="false" indent="0" shrinkToFit="false"/>
      <protection locked="1" hidden="false"/>
    </xf>
    <xf numFmtId="177" fontId="19" fillId="0" borderId="0" xfId="35" applyFont="true" applyBorder="true" applyAlignment="true" applyProtection="1">
      <alignment horizontal="general" vertical="bottom" textRotation="0" wrapText="false" indent="0" shrinkToFit="false"/>
      <protection locked="1" hidden="false"/>
    </xf>
    <xf numFmtId="182" fontId="23" fillId="5" borderId="0" xfId="35" applyFont="true" applyBorder="true" applyAlignment="true" applyProtection="1">
      <alignment horizontal="general" vertical="bottom" textRotation="0" wrapText="false" indent="0" shrinkToFit="false"/>
      <protection locked="0" hidden="false"/>
    </xf>
    <xf numFmtId="175" fontId="23" fillId="5" borderId="0" xfId="35" applyFont="true" applyBorder="true" applyAlignment="true" applyProtection="1">
      <alignment horizontal="general" vertical="bottom" textRotation="0" wrapText="false" indent="0" shrinkToFit="false"/>
      <protection locked="0" hidden="false"/>
    </xf>
    <xf numFmtId="184" fontId="23" fillId="5" borderId="0" xfId="35" applyFont="true" applyBorder="true" applyAlignment="true" applyProtection="1">
      <alignment horizontal="general" vertical="bottom" textRotation="0" wrapText="false" indent="0" shrinkToFit="false"/>
      <protection locked="0" hidden="false"/>
    </xf>
    <xf numFmtId="184" fontId="30" fillId="5" borderId="0" xfId="32" applyFont="true" applyBorder="true" applyAlignment="true" applyProtection="1">
      <alignment horizontal="general" vertical="bottom" textRotation="0" wrapText="false" indent="0" shrinkToFit="false"/>
      <protection locked="1" hidden="false"/>
    </xf>
    <xf numFmtId="164" fontId="18" fillId="6" borderId="0" xfId="35" applyFont="true" applyBorder="true" applyAlignment="true" applyProtection="1">
      <alignment horizontal="general" vertical="bottom" textRotation="0" wrapText="false" indent="0" shrinkToFit="false"/>
      <protection locked="1" hidden="false"/>
    </xf>
    <xf numFmtId="182" fontId="18" fillId="6" borderId="0" xfId="35" applyFont="true" applyBorder="true" applyAlignment="true" applyProtection="1">
      <alignment horizontal="general" vertical="bottom" textRotation="0" wrapText="false" indent="0" shrinkToFit="false"/>
      <protection locked="1" hidden="false"/>
    </xf>
    <xf numFmtId="182" fontId="19" fillId="0" borderId="0" xfId="35" applyFont="true" applyBorder="true" applyAlignment="true" applyProtection="1">
      <alignment horizontal="general" vertical="bottom" textRotation="0" wrapText="true" indent="0" shrinkToFit="false"/>
      <protection locked="1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2" xfId="22"/>
    <cellStyle name="Comma [0]" xfId="23"/>
    <cellStyle name="Comma [0] 2" xfId="24"/>
    <cellStyle name="Comma [0] 3" xfId="25"/>
    <cellStyle name="Currency" xfId="26"/>
    <cellStyle name="Currency 3" xfId="27"/>
    <cellStyle name="Currency 4" xfId="28"/>
    <cellStyle name="Currency [0]" xfId="29"/>
    <cellStyle name="Currency [0] 4" xfId="30"/>
    <cellStyle name="Currency [0] 5" xfId="31"/>
    <cellStyle name="Normal" xfId="32"/>
    <cellStyle name="Normal 1" xfId="33"/>
    <cellStyle name="Normal 5" xfId="34"/>
    <cellStyle name="Normal 6" xfId="35"/>
    <cellStyle name="Percent" xfId="36"/>
    <cellStyle name="Percent 6" xfId="37"/>
    <cellStyle name="Percent 7" xfId="38"/>
  </cellStyles>
  <dxfs count="9">
    <dxf>
      <font>
        <color rgb="FFB42332"/>
      </font>
      <fill>
        <patternFill>
          <bgColor rgb="FFFDEBEC"/>
        </patternFill>
      </fill>
    </dxf>
    <dxf>
      <font>
        <b val="1"/>
        <color rgb="FFB42332"/>
      </font>
      <fill>
        <patternFill>
          <bgColor rgb="FFFDEBEC"/>
        </patternFill>
      </fill>
    </dxf>
    <dxf>
      <font>
        <color rgb="FFB42332"/>
      </font>
      <fill>
        <patternFill>
          <bgColor rgb="FFFDEBEC"/>
        </patternFill>
      </fill>
    </dxf>
    <dxf>
      <font>
        <color rgb="FFB42332"/>
      </font>
      <fill>
        <patternFill>
          <bgColor rgb="FFFDEBEC"/>
        </patternFill>
      </fill>
    </dxf>
    <dxf>
      <font>
        <color rgb="FFB42332"/>
      </font>
      <fill>
        <patternFill>
          <bgColor rgb="FFFDEBEC"/>
        </patternFill>
      </fill>
    </dxf>
    <dxf>
      <font>
        <color rgb="FFB42332"/>
      </font>
      <fill>
        <patternFill>
          <bgColor rgb="FFFDEBEC"/>
        </patternFill>
      </fill>
    </dxf>
    <dxf>
      <font>
        <color rgb="FFB42332"/>
      </font>
      <fill>
        <patternFill>
          <bgColor rgb="FFFDEBEC"/>
        </patternFill>
      </fill>
    </dxf>
    <dxf>
      <font>
        <color rgb="FFB42332"/>
      </font>
      <fill>
        <patternFill>
          <bgColor rgb="FFFDEBEC"/>
        </patternFill>
      </fill>
    </dxf>
    <dxf>
      <font>
        <color rgb="FFB42332"/>
      </font>
      <fill>
        <patternFill>
          <bgColor rgb="FFFDEB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868A"/>
      <rgbColor rgb="FFCCCCCC"/>
      <rgbColor rgb="FF8B8B8B"/>
      <rgbColor rgb="FF9999FF"/>
      <rgbColor rgb="FF993366"/>
      <rgbColor rgb="FFFFF2CC"/>
      <rgbColor rgb="FFE9F1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87D4A"/>
      <rgbColor rgb="FF0000FF"/>
      <rgbColor rgb="FF00CCFF"/>
      <rgbColor rgb="FFE9EFF5"/>
      <rgbColor rgb="FFFDEBEC"/>
      <rgbColor rgb="FFFFF1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57587"/>
      <rgbColor rgb="FF9BACBE"/>
      <rgbColor rgb="FF183653"/>
      <rgbColor rgb="FF237C7E"/>
      <rgbColor rgb="FF003300"/>
      <rgbColor rgb="FF333300"/>
      <rgbColor rgb="FFB42332"/>
      <rgbColor rgb="FF993366"/>
      <rgbColor rgb="FF333399"/>
      <rgbColor rgb="FF182B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Annual earnings | RMB million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83653"/>
            </a:solidFill>
            <a:ln w="20880">
              <a:solidFill>
                <a:srgbClr val="18365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8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PFM!$L$50:$L$55</c:f>
              <c:strCache>
                <c:ptCount val="6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</c:strCache>
            </c:strRef>
          </c:cat>
          <c:val>
            <c:numRef>
              <c:f>PFM!$M$50:$M$55</c:f>
              <c:numCache>
                <c:formatCode>#,##0.0;\(#,##0.0\);\–</c:formatCode>
                <c:ptCount val="6"/>
                <c:pt idx="0">
                  <c:v>15694.75560624</c:v>
                </c:pt>
                <c:pt idx="1">
                  <c:v>16830.54108613</c:v>
                </c:pt>
                <c:pt idx="2">
                  <c:v>16026.31255645</c:v>
                </c:pt>
                <c:pt idx="3">
                  <c:v>16533.1369803709</c:v>
                </c:pt>
                <c:pt idx="4">
                  <c:v>17127.7086567929</c:v>
                </c:pt>
                <c:pt idx="5">
                  <c:v>17753.0396138809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"Net income"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2868A"/>
            </a:solidFill>
            <a:ln w="20880">
              <a:solidFill>
                <a:srgbClr val="12868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8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PFM!$L$50:$L$55</c:f>
              <c:strCache>
                <c:ptCount val="6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</c:strCache>
            </c:strRef>
          </c:cat>
          <c:val>
            <c:numRef>
              <c:f>PFM!$N$50:$N$55</c:f>
              <c:numCache>
                <c:formatCode>#,##0.0;\(#,##0.0\);\–</c:formatCode>
                <c:ptCount val="6"/>
                <c:pt idx="0">
                  <c:v>3864.32649141</c:v>
                </c:pt>
                <c:pt idx="1">
                  <c:v>4269.1759112</c:v>
                </c:pt>
                <c:pt idx="2">
                  <c:v>4076.30203142</c:v>
                </c:pt>
                <c:pt idx="3">
                  <c:v>3929.68110095948</c:v>
                </c:pt>
                <c:pt idx="4">
                  <c:v>4115.13267726844</c:v>
                </c:pt>
                <c:pt idx="5">
                  <c:v>4132.78208382306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877675"/>
        <c:axId val="83848349"/>
      </c:lineChart>
      <c:catAx>
        <c:axId val="7487767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3848349"/>
        <c:crosses val="autoZero"/>
        <c:auto val="1"/>
        <c:lblAlgn val="ctr"/>
        <c:lblOffset val="100"/>
        <c:noMultiLvlLbl val="0"/>
      </c:catAx>
      <c:valAx>
        <c:axId val="8384834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48776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Monthly liquidity | RMB million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"Closing cash"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83653"/>
            </a:solidFill>
            <a:ln w="20880">
              <a:solidFill>
                <a:srgbClr val="18365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8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PFM!$L$59:$L$94</c:f>
              <c:strCache>
                <c:ptCount val="3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</c:strCache>
            </c:strRef>
          </c:cat>
          <c:val>
            <c:numRef>
              <c:f>PFM!$M$59:$M$94</c:f>
              <c:numCache>
                <c:formatCode>#,##0.0;\(#,##0.0\);\–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1058.49868374</c:v>
                </c:pt>
                <c:pt idx="6">
                  <c:v>1139.6766486315</c:v>
                </c:pt>
                <c:pt idx="7">
                  <c:v>1516.94409800519</c:v>
                </c:pt>
                <c:pt idx="8">
                  <c:v>1609.87427757109</c:v>
                </c:pt>
                <c:pt idx="9">
                  <c:v>1761.04733343031</c:v>
                </c:pt>
                <c:pt idx="10">
                  <c:v>2381.04523594008</c:v>
                </c:pt>
                <c:pt idx="11">
                  <c:v>2313.69615907765</c:v>
                </c:pt>
                <c:pt idx="12">
                  <c:v>3137.85291868873</c:v>
                </c:pt>
                <c:pt idx="13">
                  <c:v>3861.91326721347</c:v>
                </c:pt>
                <c:pt idx="14">
                  <c:v>3227.16628570818</c:v>
                </c:pt>
                <c:pt idx="15">
                  <c:v>4120.02966173627</c:v>
                </c:pt>
                <c:pt idx="16">
                  <c:v>4235.3578656444</c:v>
                </c:pt>
                <c:pt idx="17">
                  <c:v>947.778974614787</c:v>
                </c:pt>
                <c:pt idx="18">
                  <c:v>948.146180699956</c:v>
                </c:pt>
                <c:pt idx="19">
                  <c:v>1501.21960412941</c:v>
                </c:pt>
                <c:pt idx="20">
                  <c:v>1803.63125758342</c:v>
                </c:pt>
                <c:pt idx="21">
                  <c:v>1942.91340916468</c:v>
                </c:pt>
                <c:pt idx="22">
                  <c:v>2579.42338691248</c:v>
                </c:pt>
                <c:pt idx="23">
                  <c:v>2495.31794304958</c:v>
                </c:pt>
                <c:pt idx="24">
                  <c:v>3345.75619567448</c:v>
                </c:pt>
                <c:pt idx="25">
                  <c:v>3887.09276613206</c:v>
                </c:pt>
                <c:pt idx="26">
                  <c:v>3526.09216158177</c:v>
                </c:pt>
                <c:pt idx="27">
                  <c:v>4320.83520254244</c:v>
                </c:pt>
                <c:pt idx="28">
                  <c:v>4433.98750862888</c:v>
                </c:pt>
                <c:pt idx="29">
                  <c:v>995.396165630931</c:v>
                </c:pt>
                <c:pt idx="30">
                  <c:v>981.084018946023</c:v>
                </c:pt>
                <c:pt idx="31">
                  <c:v>1541.79098047791</c:v>
                </c:pt>
                <c:pt idx="32">
                  <c:v>1853.42539580715</c:v>
                </c:pt>
                <c:pt idx="33">
                  <c:v>1979.91557863831</c:v>
                </c:pt>
                <c:pt idx="34">
                  <c:v>2632.30200254895</c:v>
                </c:pt>
                <c:pt idx="35">
                  <c:v>2533.47797737355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"CFO"</c:f>
              <c:strCache>
                <c:ptCount val="1"/>
                <c:pt idx="0">
                  <c:v>CFO</c:v>
                </c:pt>
              </c:strCache>
            </c:strRef>
          </c:tx>
          <c:spPr>
            <a:solidFill>
              <a:srgbClr val="12868A"/>
            </a:solidFill>
            <a:ln w="20880">
              <a:solidFill>
                <a:srgbClr val="12868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8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PFM!$L$59:$L$94</c:f>
              <c:strCache>
                <c:ptCount val="3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</c:strCache>
            </c:strRef>
          </c:cat>
          <c:val>
            <c:numRef>
              <c:f>PFM!$N$59:$N$94</c:f>
              <c:numCache>
                <c:formatCode>#,##0.0;\(#,##0.0\);\–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2235.88240513</c:v>
                </c:pt>
                <c:pt idx="6">
                  <c:v>92.2218363819064</c:v>
                </c:pt>
                <c:pt idx="7">
                  <c:v>388.307052758205</c:v>
                </c:pt>
                <c:pt idx="8">
                  <c:v>105.057243277379</c:v>
                </c:pt>
                <c:pt idx="9">
                  <c:v>162.204123031977</c:v>
                </c:pt>
                <c:pt idx="10">
                  <c:v>632.116705371141</c:v>
                </c:pt>
                <c:pt idx="11">
                  <c:v>-56.3265459014517</c:v>
                </c:pt>
                <c:pt idx="12">
                  <c:v>837.363131073469</c:v>
                </c:pt>
                <c:pt idx="13">
                  <c:v>740.539702392308</c:v>
                </c:pt>
                <c:pt idx="14">
                  <c:v>-621.549146254676</c:v>
                </c:pt>
                <c:pt idx="15">
                  <c:v>907.149635371509</c:v>
                </c:pt>
                <c:pt idx="16">
                  <c:v>128.517502946974</c:v>
                </c:pt>
                <c:pt idx="17">
                  <c:v>447.839098143245</c:v>
                </c:pt>
                <c:pt idx="18">
                  <c:v>12.7406172508971</c:v>
                </c:pt>
                <c:pt idx="19">
                  <c:v>565.442566489296</c:v>
                </c:pt>
                <c:pt idx="20">
                  <c:v>315.895952612814</c:v>
                </c:pt>
                <c:pt idx="21">
                  <c:v>151.642758429321</c:v>
                </c:pt>
                <c:pt idx="22">
                  <c:v>648.960131772333</c:v>
                </c:pt>
                <c:pt idx="23">
                  <c:v>-72.8661969320164</c:v>
                </c:pt>
                <c:pt idx="24">
                  <c:v>864.069852483662</c:v>
                </c:pt>
                <c:pt idx="25">
                  <c:v>557.201473215206</c:v>
                </c:pt>
                <c:pt idx="26">
                  <c:v>-347.369004691525</c:v>
                </c:pt>
                <c:pt idx="27">
                  <c:v>809.491292268866</c:v>
                </c:pt>
                <c:pt idx="28">
                  <c:v>126.783905945214</c:v>
                </c:pt>
                <c:pt idx="29">
                  <c:v>464.203317667835</c:v>
                </c:pt>
                <c:pt idx="30">
                  <c:v>-1.48569260862821</c:v>
                </c:pt>
                <c:pt idx="31">
                  <c:v>573.533415608169</c:v>
                </c:pt>
                <c:pt idx="32">
                  <c:v>325.603493299535</c:v>
                </c:pt>
                <c:pt idx="33">
                  <c:v>139.316636907444</c:v>
                </c:pt>
                <c:pt idx="34">
                  <c:v>666.355501880939</c:v>
                </c:pt>
                <c:pt idx="35">
                  <c:v>-85.9975710991159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363215"/>
        <c:axId val="19301948"/>
      </c:lineChart>
      <c:catAx>
        <c:axId val="1036321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9301948"/>
        <c:crosses val="autoZero"/>
        <c:auto val="1"/>
        <c:lblAlgn val="ctr"/>
        <c:lblOffset val="100"/>
        <c:noMultiLvlLbl val="0"/>
      </c:catAx>
      <c:valAx>
        <c:axId val="1930194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03632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6</xdr:row>
      <xdr:rowOff>0</xdr:rowOff>
    </xdr:from>
    <xdr:to>
      <xdr:col>18</xdr:col>
      <xdr:colOff>843480</xdr:colOff>
      <xdr:row>22</xdr:row>
      <xdr:rowOff>264240</xdr:rowOff>
    </xdr:to>
    <xdr:graphicFrame>
      <xdr:nvGraphicFramePr>
        <xdr:cNvPr id="1" name="Chart"/>
        <xdr:cNvGraphicFramePr/>
      </xdr:nvGraphicFramePr>
      <xdr:xfrm>
        <a:off x="11277720" y="1752480"/>
        <a:ext cx="6764040" cy="4531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24</xdr:row>
      <xdr:rowOff>0</xdr:rowOff>
    </xdr:from>
    <xdr:to>
      <xdr:col>18</xdr:col>
      <xdr:colOff>843480</xdr:colOff>
      <xdr:row>42</xdr:row>
      <xdr:rowOff>264240</xdr:rowOff>
    </xdr:to>
    <xdr:graphicFrame>
      <xdr:nvGraphicFramePr>
        <xdr:cNvPr id="2" name="Chart"/>
        <xdr:cNvGraphicFramePr/>
      </xdr:nvGraphicFramePr>
      <xdr:xfrm>
        <a:off x="11277720" y="6603840"/>
        <a:ext cx="6764040" cy="577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C1:N180"/>
  <sheetViews>
    <sheetView showFormulas="false" showGridLines="0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11" min="4" style="0" width="13"/>
    <col collapsed="false" customWidth="true" hidden="false" outlineLevel="0" max="19" min="12" style="0" width="12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</row>
    <row r="2" customFormat="false" ht="33" hidden="false" customHeight="true" outlineLevel="0" collapsed="false">
      <c r="C2" s="57" t="s">
        <v>0</v>
      </c>
      <c r="D2" s="57"/>
      <c r="E2" s="57"/>
      <c r="F2" s="57"/>
      <c r="G2" s="57"/>
      <c r="H2" s="57"/>
      <c r="I2" s="57"/>
      <c r="J2" s="57"/>
      <c r="K2" s="57"/>
    </row>
    <row r="3" customFormat="false" ht="21" hidden="false" customHeight="true" outlineLevel="0" collapsed="false">
      <c r="C3" s="58" t="s">
        <v>1</v>
      </c>
      <c r="D3" s="58"/>
      <c r="E3" s="58"/>
      <c r="F3" s="58"/>
      <c r="G3" s="58"/>
      <c r="H3" s="58"/>
      <c r="I3" s="58"/>
      <c r="J3" s="58"/>
      <c r="K3" s="58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</row>
    <row r="6" customFormat="false" ht="21" hidden="false" customHeight="true" outlineLevel="0" collapsed="false">
      <c r="C6" s="56"/>
      <c r="D6" s="56"/>
      <c r="E6" s="56"/>
      <c r="F6" s="56"/>
      <c r="G6" s="56"/>
      <c r="H6" s="56"/>
      <c r="I6" s="56"/>
      <c r="J6" s="56"/>
      <c r="K6" s="56"/>
    </row>
    <row r="7" customFormat="false" ht="21" hidden="false" customHeight="true" outlineLevel="0" collapsed="false">
      <c r="C7" s="56"/>
      <c r="D7" s="56"/>
      <c r="E7" s="56"/>
      <c r="F7" s="56"/>
      <c r="G7" s="56" t="s">
        <v>2</v>
      </c>
      <c r="H7" s="56" t="s">
        <v>3</v>
      </c>
      <c r="I7" s="56" t="s">
        <v>4</v>
      </c>
      <c r="J7" s="56"/>
      <c r="K7" s="56"/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</row>
    <row r="9" customFormat="false" ht="21" hidden="false" customHeight="true" outlineLevel="0" collapsed="false">
      <c r="C9" s="60" t="s">
        <v>5</v>
      </c>
      <c r="D9" s="61"/>
      <c r="E9" s="61"/>
      <c r="F9" s="61"/>
      <c r="G9" s="61" t="n">
        <f aca="false">Annual!G9</f>
        <v>16533.1369803709</v>
      </c>
      <c r="H9" s="61" t="n">
        <f aca="false">Annual!H9</f>
        <v>17127.7086567929</v>
      </c>
      <c r="I9" s="61" t="n">
        <f aca="false">Annual!I9</f>
        <v>17753.0396138809</v>
      </c>
      <c r="J9" s="59"/>
      <c r="K9" s="59"/>
    </row>
    <row r="10" customFormat="false" ht="21" hidden="false" customHeight="true" outlineLevel="0" collapsed="false">
      <c r="C10" s="56" t="s">
        <v>6</v>
      </c>
      <c r="D10" s="59"/>
      <c r="E10" s="59"/>
      <c r="F10" s="59"/>
      <c r="G10" s="59" t="n">
        <f aca="false">Annual!G11</f>
        <v>6669.0323806576</v>
      </c>
      <c r="H10" s="59" t="n">
        <f aca="false">Annual!H11</f>
        <v>7085.48856890093</v>
      </c>
      <c r="I10" s="59" t="n">
        <f aca="false">Annual!I11</f>
        <v>7174.00347466522</v>
      </c>
      <c r="J10" s="59"/>
      <c r="K10" s="59"/>
    </row>
    <row r="11" customFormat="false" ht="21" hidden="false" customHeight="true" outlineLevel="0" collapsed="false">
      <c r="C11" s="56" t="s">
        <v>7</v>
      </c>
      <c r="D11" s="59"/>
      <c r="E11" s="59"/>
      <c r="F11" s="59"/>
      <c r="G11" s="62" t="n">
        <f aca="false">Annual!G64</f>
        <v>0.403373684532793</v>
      </c>
      <c r="H11" s="62" t="n">
        <f aca="false">Annual!H64</f>
        <v>0.413685724744669</v>
      </c>
      <c r="I11" s="62" t="n">
        <f aca="false">Annual!I64</f>
        <v>0.404100009389712</v>
      </c>
      <c r="J11" s="59"/>
      <c r="K11" s="59"/>
    </row>
    <row r="12" customFormat="false" ht="21" hidden="false" customHeight="true" outlineLevel="0" collapsed="false">
      <c r="C12" s="60" t="s">
        <v>8</v>
      </c>
      <c r="D12" s="61"/>
      <c r="E12" s="61"/>
      <c r="F12" s="61"/>
      <c r="G12" s="61" t="n">
        <f aca="false">Annual!G23</f>
        <v>3929.68110095948</v>
      </c>
      <c r="H12" s="61" t="n">
        <f aca="false">Annual!H23</f>
        <v>4115.13267726844</v>
      </c>
      <c r="I12" s="61" t="n">
        <f aca="false">Annual!I23</f>
        <v>4132.78208382306</v>
      </c>
      <c r="J12" s="59"/>
      <c r="K12" s="59"/>
    </row>
    <row r="13" customFormat="false" ht="21" hidden="false" customHeight="true" outlineLevel="0" collapsed="false">
      <c r="C13" s="56"/>
      <c r="D13" s="59"/>
      <c r="E13" s="59"/>
      <c r="F13" s="59"/>
      <c r="G13" s="59"/>
      <c r="H13" s="59"/>
      <c r="I13" s="59"/>
      <c r="J13" s="59"/>
      <c r="K13" s="59"/>
    </row>
    <row r="14" customFormat="false" ht="21" hidden="false" customHeight="true" outlineLevel="0" collapsed="false">
      <c r="C14" s="56" t="s">
        <v>9</v>
      </c>
      <c r="D14" s="59"/>
      <c r="E14" s="59"/>
      <c r="F14" s="59"/>
      <c r="G14" s="59" t="n">
        <f aca="false">Annual!G56</f>
        <v>3559.46282004916</v>
      </c>
      <c r="H14" s="59" t="n">
        <f aca="false">Annual!H56</f>
        <v>4061.67575329547</v>
      </c>
      <c r="I14" s="59" t="n">
        <f aca="false">Annual!I56</f>
        <v>4091.7066208776</v>
      </c>
      <c r="J14" s="59"/>
      <c r="K14" s="59"/>
    </row>
    <row r="15" customFormat="false" ht="21" hidden="false" customHeight="true" outlineLevel="0" collapsed="false">
      <c r="C15" s="60" t="s">
        <v>10</v>
      </c>
      <c r="D15" s="61"/>
      <c r="E15" s="61"/>
      <c r="F15" s="61"/>
      <c r="G15" s="61" t="n">
        <f aca="false">Annual!G61</f>
        <v>2313.69615907765</v>
      </c>
      <c r="H15" s="61" t="n">
        <f aca="false">Annual!H61</f>
        <v>2495.31794304958</v>
      </c>
      <c r="I15" s="61" t="n">
        <f aca="false">Annual!I61</f>
        <v>2533.47797737355</v>
      </c>
      <c r="J15" s="59"/>
      <c r="K15" s="59"/>
    </row>
    <row r="16" customFormat="false" ht="21" hidden="false" customHeight="true" outlineLevel="0" collapsed="false">
      <c r="C16" s="56" t="s">
        <v>11</v>
      </c>
      <c r="D16" s="59"/>
      <c r="E16" s="59"/>
      <c r="F16" s="59"/>
      <c r="G16" s="59" t="n">
        <f aca="false">Annual!G53</f>
        <v>0</v>
      </c>
      <c r="H16" s="59" t="n">
        <f aca="false">Annual!H53</f>
        <v>0</v>
      </c>
      <c r="I16" s="59" t="n">
        <f aca="false">Annual!I53</f>
        <v>0</v>
      </c>
      <c r="J16" s="59"/>
      <c r="K16" s="59"/>
    </row>
    <row r="17" customFormat="false" ht="21" hidden="false" customHeight="true" outlineLevel="0" collapsed="false">
      <c r="C17" s="56"/>
      <c r="D17" s="59"/>
      <c r="E17" s="59"/>
      <c r="F17" s="59"/>
      <c r="G17" s="59"/>
      <c r="H17" s="59"/>
      <c r="I17" s="59"/>
      <c r="J17" s="59"/>
      <c r="K17" s="59"/>
    </row>
    <row r="18" customFormat="false" ht="21" hidden="false" customHeight="true" outlineLevel="0" collapsed="false">
      <c r="C18" s="56"/>
      <c r="D18" s="59"/>
      <c r="E18" s="59"/>
      <c r="F18" s="59"/>
      <c r="G18" s="59"/>
      <c r="H18" s="59"/>
      <c r="I18" s="59"/>
      <c r="J18" s="59"/>
      <c r="K18" s="59"/>
    </row>
    <row r="19" customFormat="false" ht="21" hidden="false" customHeight="true" outlineLevel="0" collapsed="false">
      <c r="C19" s="60" t="s">
        <v>12</v>
      </c>
      <c r="D19" s="61"/>
      <c r="E19" s="61"/>
      <c r="F19" s="61"/>
      <c r="G19" s="61" t="n">
        <f aca="false">MIN(Monthly_BS!J10:O10)</f>
        <v>1139.6766486315</v>
      </c>
      <c r="H19" s="61" t="n">
        <f aca="false">MIN(Monthly_BS!P10:AA10)</f>
        <v>947.778974614787</v>
      </c>
      <c r="I19" s="61" t="n">
        <f aca="false">MIN(Monthly_BS!AB10:AM10)</f>
        <v>981.084018946023</v>
      </c>
      <c r="J19" s="59"/>
      <c r="K19" s="59"/>
    </row>
    <row r="20" customFormat="false" ht="21" hidden="false" customHeight="true" outlineLevel="0" collapsed="false">
      <c r="C20" s="60" t="s">
        <v>13</v>
      </c>
      <c r="D20" s="61"/>
      <c r="E20" s="61"/>
      <c r="F20" s="61"/>
      <c r="G20" s="61" t="n">
        <f aca="false">MAX(MAX(Checks!J9:O9),-MIN(Checks!J9:O9))</f>
        <v>-0</v>
      </c>
      <c r="H20" s="61" t="n">
        <f aca="false">MAX(MAX(Checks!P9:AA9),-MIN(Checks!P9:AA9))</f>
        <v>-0</v>
      </c>
      <c r="I20" s="61" t="n">
        <f aca="false">MAX(MAX(Checks!AB9:AM9),-MIN(Checks!AB9:AM9))</f>
        <v>-0</v>
      </c>
      <c r="J20" s="59"/>
      <c r="K20" s="59"/>
    </row>
    <row r="21" customFormat="false" ht="21" hidden="false" customHeight="true" outlineLevel="0" collapsed="false">
      <c r="C21" s="60" t="s">
        <v>14</v>
      </c>
      <c r="D21" s="61"/>
      <c r="E21" s="61"/>
      <c r="F21" s="61"/>
      <c r="G21" s="61" t="n">
        <f aca="false">SUM(Checks!J27:O27)+SUM(Liquidity!J57:O57)</f>
        <v>0</v>
      </c>
      <c r="H21" s="61" t="n">
        <f aca="false">SUM(Checks!P27:AA27)+SUM(Liquidity!P57:AA57)</f>
        <v>0</v>
      </c>
      <c r="I21" s="61" t="n">
        <f aca="false">SUM(Checks!AB27:AM27)+SUM(Liquidity!AB57:AM57)</f>
        <v>0</v>
      </c>
      <c r="J21" s="59"/>
      <c r="K21" s="59"/>
    </row>
    <row r="22" customFormat="false" ht="21" hidden="false" customHeight="true" outlineLevel="0" collapsed="false">
      <c r="C22" s="56" t="s">
        <v>15</v>
      </c>
      <c r="D22" s="59"/>
      <c r="E22" s="59"/>
      <c r="F22" s="59"/>
      <c r="G22" s="59" t="n">
        <f aca="false">SUM(Liquidity!J34:O34)</f>
        <v>0</v>
      </c>
      <c r="H22" s="59" t="n">
        <f aca="false">SUM(Liquidity!P34:AA34)</f>
        <v>0</v>
      </c>
      <c r="I22" s="59" t="n">
        <f aca="false">SUM(Liquidity!AB34:AM34)</f>
        <v>0</v>
      </c>
      <c r="J22" s="59"/>
      <c r="K22" s="59"/>
    </row>
    <row r="23" customFormat="false" ht="21" hidden="false" customHeight="true" outlineLevel="0" collapsed="false">
      <c r="C23" s="56" t="s">
        <v>16</v>
      </c>
      <c r="D23" s="59"/>
      <c r="E23" s="59"/>
      <c r="F23" s="59"/>
      <c r="G23" s="59" t="n">
        <f aca="false">MAX(Liquidity!J48:O48)</f>
        <v>0</v>
      </c>
      <c r="H23" s="59" t="n">
        <f aca="false">MAX(Liquidity!P48:AA48)</f>
        <v>0</v>
      </c>
      <c r="I23" s="59" t="n">
        <f aca="false">MAX(Liquidity!AB48:AM48)</f>
        <v>0</v>
      </c>
      <c r="J23" s="59"/>
      <c r="K23" s="59"/>
    </row>
    <row r="24" customFormat="false" ht="25" hidden="false" customHeight="true" outlineLevel="0" collapsed="false">
      <c r="C24" s="63" t="s">
        <v>17</v>
      </c>
      <c r="D24" s="64"/>
      <c r="E24" s="64"/>
      <c r="F24" s="64"/>
      <c r="G24" s="64"/>
      <c r="H24" s="64"/>
      <c r="I24" s="64"/>
      <c r="J24" s="64"/>
      <c r="K24" s="64"/>
    </row>
    <row r="25" customFormat="false" ht="25" hidden="false" customHeight="true" outlineLevel="0" collapsed="false">
      <c r="C25" s="58" t="s">
        <v>18</v>
      </c>
      <c r="D25" s="58"/>
      <c r="E25" s="58"/>
      <c r="F25" s="58"/>
      <c r="G25" s="58"/>
      <c r="H25" s="58"/>
      <c r="I25" s="58"/>
      <c r="J25" s="58"/>
      <c r="K25" s="58"/>
    </row>
    <row r="26" customFormat="false" ht="25" hidden="false" customHeight="true" outlineLevel="0" collapsed="false">
      <c r="C26" s="58"/>
      <c r="D26" s="58"/>
      <c r="E26" s="58"/>
      <c r="F26" s="58"/>
      <c r="G26" s="58"/>
      <c r="H26" s="58"/>
      <c r="I26" s="58"/>
      <c r="J26" s="58"/>
      <c r="K26" s="58"/>
    </row>
    <row r="27" customFormat="false" ht="21" hidden="false" customHeight="true" outlineLevel="0" collapsed="false">
      <c r="C27" s="56"/>
      <c r="D27" s="59"/>
      <c r="E27" s="59"/>
      <c r="F27" s="59"/>
      <c r="G27" s="59"/>
      <c r="H27" s="59"/>
      <c r="I27" s="59"/>
      <c r="J27" s="59"/>
      <c r="K27" s="59"/>
    </row>
    <row r="28" customFormat="false" ht="25" hidden="false" customHeight="true" outlineLevel="0" collapsed="false">
      <c r="C28" s="63" t="s">
        <v>19</v>
      </c>
      <c r="D28" s="64"/>
      <c r="E28" s="64"/>
      <c r="F28" s="64"/>
      <c r="G28" s="64"/>
      <c r="H28" s="64"/>
      <c r="I28" s="64"/>
      <c r="J28" s="64"/>
      <c r="K28" s="64"/>
    </row>
    <row r="29" customFormat="false" ht="25" hidden="false" customHeight="true" outlineLevel="0" collapsed="false">
      <c r="C29" s="58" t="s">
        <v>20</v>
      </c>
      <c r="D29" s="58"/>
      <c r="E29" s="58"/>
      <c r="F29" s="58"/>
      <c r="G29" s="58"/>
      <c r="H29" s="58"/>
      <c r="I29" s="58"/>
      <c r="J29" s="58"/>
      <c r="K29" s="58"/>
    </row>
    <row r="30" customFormat="false" ht="25" hidden="false" customHeight="true" outlineLevel="0" collapsed="false">
      <c r="C30" s="58"/>
      <c r="D30" s="58"/>
      <c r="E30" s="58"/>
      <c r="F30" s="58"/>
      <c r="G30" s="58"/>
      <c r="H30" s="58"/>
      <c r="I30" s="58"/>
      <c r="J30" s="58"/>
      <c r="K30" s="58"/>
    </row>
    <row r="31" customFormat="false" ht="21" hidden="false" customHeight="true" outlineLevel="0" collapsed="false">
      <c r="C31" s="56"/>
      <c r="D31" s="59"/>
      <c r="E31" s="59"/>
      <c r="F31" s="59"/>
      <c r="G31" s="59"/>
      <c r="H31" s="59"/>
      <c r="I31" s="59"/>
      <c r="J31" s="59"/>
      <c r="K31" s="59"/>
    </row>
    <row r="32" customFormat="false" ht="25" hidden="false" customHeight="true" outlineLevel="0" collapsed="false">
      <c r="C32" s="63" t="s">
        <v>21</v>
      </c>
      <c r="D32" s="64"/>
      <c r="E32" s="64"/>
      <c r="F32" s="64"/>
      <c r="G32" s="64"/>
      <c r="H32" s="64"/>
      <c r="I32" s="64"/>
      <c r="J32" s="64"/>
      <c r="K32" s="64"/>
    </row>
    <row r="33" customFormat="false" ht="25" hidden="false" customHeight="true" outlineLevel="0" collapsed="false">
      <c r="C33" s="58" t="s">
        <v>22</v>
      </c>
      <c r="D33" s="58"/>
      <c r="E33" s="58"/>
      <c r="F33" s="58"/>
      <c r="G33" s="58"/>
      <c r="H33" s="58"/>
      <c r="I33" s="58"/>
      <c r="J33" s="58"/>
      <c r="K33" s="58"/>
    </row>
    <row r="34" customFormat="false" ht="25" hidden="false" customHeight="true" outlineLevel="0" collapsed="false">
      <c r="C34" s="58"/>
      <c r="D34" s="58"/>
      <c r="E34" s="58"/>
      <c r="F34" s="58"/>
      <c r="G34" s="58"/>
      <c r="H34" s="58"/>
      <c r="I34" s="58"/>
      <c r="J34" s="58"/>
      <c r="K34" s="58"/>
    </row>
    <row r="35" customFormat="false" ht="21" hidden="false" customHeight="true" outlineLevel="0" collapsed="false">
      <c r="C35" s="56"/>
      <c r="D35" s="59"/>
      <c r="E35" s="59"/>
      <c r="F35" s="59"/>
      <c r="G35" s="59"/>
      <c r="H35" s="59"/>
      <c r="I35" s="59"/>
      <c r="J35" s="59"/>
      <c r="K35" s="59"/>
    </row>
    <row r="36" customFormat="false" ht="25" hidden="false" customHeight="true" outlineLevel="0" collapsed="false">
      <c r="C36" s="63" t="s">
        <v>23</v>
      </c>
      <c r="D36" s="64"/>
      <c r="E36" s="64"/>
      <c r="F36" s="64"/>
      <c r="G36" s="64"/>
      <c r="H36" s="64"/>
      <c r="I36" s="64"/>
      <c r="J36" s="64"/>
      <c r="K36" s="64"/>
    </row>
    <row r="37" customFormat="false" ht="25" hidden="false" customHeight="true" outlineLevel="0" collapsed="false">
      <c r="C37" s="58" t="s">
        <v>24</v>
      </c>
      <c r="D37" s="58"/>
      <c r="E37" s="58"/>
      <c r="F37" s="58"/>
      <c r="G37" s="58"/>
      <c r="H37" s="58"/>
      <c r="I37" s="58"/>
      <c r="J37" s="58"/>
      <c r="K37" s="58"/>
    </row>
    <row r="38" customFormat="false" ht="25" hidden="false" customHeight="true" outlineLevel="0" collapsed="false">
      <c r="C38" s="58"/>
      <c r="D38" s="58"/>
      <c r="E38" s="58"/>
      <c r="F38" s="58"/>
      <c r="G38" s="58"/>
      <c r="H38" s="58"/>
      <c r="I38" s="58"/>
      <c r="J38" s="58"/>
      <c r="K38" s="58"/>
    </row>
    <row r="39" customFormat="false" ht="21" hidden="false" customHeight="true" outlineLevel="0" collapsed="false">
      <c r="C39" s="56"/>
      <c r="D39" s="59"/>
      <c r="E39" s="59"/>
      <c r="F39" s="59"/>
      <c r="G39" s="59"/>
      <c r="H39" s="59"/>
      <c r="I39" s="59"/>
      <c r="J39" s="59"/>
      <c r="K39" s="59"/>
    </row>
    <row r="40" customFormat="false" ht="25" hidden="false" customHeight="true" outlineLevel="0" collapsed="false">
      <c r="C40" s="63" t="s">
        <v>25</v>
      </c>
      <c r="D40" s="64"/>
      <c r="E40" s="64"/>
      <c r="F40" s="64"/>
      <c r="G40" s="64"/>
      <c r="H40" s="64"/>
      <c r="I40" s="64"/>
      <c r="J40" s="64"/>
      <c r="K40" s="64"/>
    </row>
    <row r="41" customFormat="false" ht="25" hidden="false" customHeight="true" outlineLevel="0" collapsed="false">
      <c r="C41" s="58" t="s">
        <v>26</v>
      </c>
      <c r="D41" s="58"/>
      <c r="E41" s="58"/>
      <c r="F41" s="58"/>
      <c r="G41" s="58"/>
      <c r="H41" s="58"/>
      <c r="I41" s="58"/>
      <c r="J41" s="58"/>
      <c r="K41" s="58"/>
    </row>
    <row r="42" customFormat="false" ht="25" hidden="false" customHeight="true" outlineLevel="0" collapsed="false">
      <c r="C42" s="58"/>
      <c r="D42" s="58"/>
      <c r="E42" s="58"/>
      <c r="F42" s="58"/>
      <c r="G42" s="58"/>
      <c r="H42" s="58"/>
      <c r="I42" s="58"/>
      <c r="J42" s="58"/>
      <c r="K42" s="58"/>
    </row>
    <row r="43" customFormat="false" ht="21" hidden="false" customHeight="true" outlineLevel="0" collapsed="false">
      <c r="C43" s="56"/>
      <c r="D43" s="59"/>
      <c r="E43" s="59"/>
      <c r="F43" s="59"/>
      <c r="G43" s="59"/>
      <c r="H43" s="59"/>
      <c r="I43" s="59"/>
      <c r="J43" s="59"/>
      <c r="K43" s="59"/>
    </row>
    <row r="44" customFormat="false" ht="21" hidden="false" customHeight="true" outlineLevel="0" collapsed="false">
      <c r="C44" s="56"/>
      <c r="D44" s="59"/>
      <c r="E44" s="59"/>
      <c r="F44" s="59"/>
      <c r="G44" s="59"/>
      <c r="H44" s="59"/>
      <c r="I44" s="59"/>
      <c r="J44" s="59"/>
      <c r="K44" s="59"/>
    </row>
    <row r="45" customFormat="false" ht="21" hidden="false" customHeight="true" outlineLevel="0" collapsed="false">
      <c r="C45" s="56"/>
      <c r="D45" s="59"/>
      <c r="E45" s="59"/>
      <c r="F45" s="59"/>
      <c r="G45" s="59"/>
      <c r="H45" s="59"/>
      <c r="I45" s="59"/>
      <c r="J45" s="59"/>
      <c r="K45" s="59"/>
    </row>
    <row r="46" customFormat="false" ht="21" hidden="false" customHeight="true" outlineLevel="0" collapsed="false">
      <c r="C46" s="56"/>
      <c r="D46" s="59"/>
      <c r="E46" s="59"/>
      <c r="F46" s="59"/>
      <c r="G46" s="59"/>
      <c r="H46" s="59"/>
      <c r="I46" s="59"/>
      <c r="J46" s="59"/>
      <c r="K46" s="59"/>
    </row>
    <row r="47" customFormat="false" ht="21" hidden="false" customHeight="true" outlineLevel="0" collapsed="false">
      <c r="C47" s="65" t="s">
        <v>27</v>
      </c>
      <c r="D47" s="59"/>
      <c r="E47" s="59"/>
      <c r="F47" s="59"/>
      <c r="G47" s="59"/>
      <c r="H47" s="59"/>
      <c r="I47" s="59"/>
      <c r="J47" s="59"/>
      <c r="K47" s="59"/>
    </row>
    <row r="48" customFormat="false" ht="21" hidden="false" customHeight="true" outlineLevel="0" collapsed="false">
      <c r="C48" s="65" t="s">
        <v>28</v>
      </c>
      <c r="D48" s="59"/>
      <c r="E48" s="59"/>
      <c r="F48" s="59"/>
      <c r="G48" s="59"/>
      <c r="H48" s="59"/>
      <c r="I48" s="59"/>
      <c r="J48" s="59"/>
      <c r="K48" s="59"/>
    </row>
    <row r="49" customFormat="false" ht="21" hidden="false" customHeight="true" outlineLevel="0" collapsed="false">
      <c r="C49" s="65" t="s">
        <v>29</v>
      </c>
      <c r="D49" s="59"/>
      <c r="E49" s="59"/>
      <c r="F49" s="59"/>
      <c r="G49" s="59"/>
      <c r="H49" s="59"/>
      <c r="I49" s="59"/>
      <c r="J49" s="59"/>
      <c r="K49" s="59"/>
      <c r="L49" s="66" t="s">
        <v>30</v>
      </c>
      <c r="M49" s="66" t="s">
        <v>31</v>
      </c>
      <c r="N49" s="66" t="s">
        <v>32</v>
      </c>
    </row>
    <row r="50" customFormat="false" ht="21" hidden="false" customHeight="true" outlineLevel="0" collapsed="false">
      <c r="C50" s="65" t="s">
        <v>33</v>
      </c>
      <c r="D50" s="59"/>
      <c r="E50" s="59"/>
      <c r="F50" s="59"/>
      <c r="G50" s="59"/>
      <c r="H50" s="59"/>
      <c r="I50" s="59"/>
      <c r="J50" s="59"/>
      <c r="K50" s="59"/>
      <c r="L50" s="66" t="s">
        <v>34</v>
      </c>
      <c r="M50" s="67" t="n">
        <f aca="false">Annual!D9</f>
        <v>15694.75560624</v>
      </c>
      <c r="N50" s="67" t="n">
        <f aca="false">Annual!D23</f>
        <v>3864.32649141</v>
      </c>
    </row>
    <row r="51" customFormat="false" ht="21" hidden="false" customHeight="true" outlineLevel="0" collapsed="false">
      <c r="C51" s="65" t="s">
        <v>35</v>
      </c>
      <c r="D51" s="59"/>
      <c r="E51" s="59"/>
      <c r="F51" s="59"/>
      <c r="G51" s="59"/>
      <c r="H51" s="59"/>
      <c r="I51" s="59"/>
      <c r="J51" s="59"/>
      <c r="K51" s="59"/>
      <c r="L51" s="66" t="s">
        <v>36</v>
      </c>
      <c r="M51" s="67" t="n">
        <f aca="false">Annual!E9</f>
        <v>16830.54108613</v>
      </c>
      <c r="N51" s="67" t="n">
        <f aca="false">Annual!E23</f>
        <v>4269.1759112</v>
      </c>
    </row>
    <row r="52" customFormat="false" ht="21" hidden="false" customHeight="true" outlineLevel="0" collapsed="false">
      <c r="C52" s="65" t="s">
        <v>37</v>
      </c>
      <c r="D52" s="59"/>
      <c r="E52" s="59"/>
      <c r="F52" s="59"/>
      <c r="G52" s="59"/>
      <c r="H52" s="59"/>
      <c r="I52" s="59"/>
      <c r="J52" s="59"/>
      <c r="K52" s="59"/>
      <c r="L52" s="66" t="s">
        <v>38</v>
      </c>
      <c r="M52" s="67" t="n">
        <f aca="false">Annual!F9</f>
        <v>16026.31255645</v>
      </c>
      <c r="N52" s="67" t="n">
        <f aca="false">Annual!F23</f>
        <v>4076.30203142</v>
      </c>
    </row>
    <row r="53" customFormat="false" ht="21" hidden="false" customHeight="true" outlineLevel="0" collapsed="false">
      <c r="C53" s="65" t="s">
        <v>39</v>
      </c>
      <c r="D53" s="59"/>
      <c r="E53" s="59"/>
      <c r="F53" s="59"/>
      <c r="G53" s="59"/>
      <c r="H53" s="59"/>
      <c r="I53" s="59"/>
      <c r="J53" s="59"/>
      <c r="K53" s="59"/>
      <c r="L53" s="66" t="s">
        <v>2</v>
      </c>
      <c r="M53" s="67" t="n">
        <f aca="false">Annual!G9</f>
        <v>16533.1369803709</v>
      </c>
      <c r="N53" s="67" t="n">
        <f aca="false">Annual!G23</f>
        <v>3929.68110095948</v>
      </c>
    </row>
    <row r="54" customFormat="false" ht="21" hidden="false" customHeight="true" outlineLevel="0" collapsed="false">
      <c r="C54" s="65" t="s">
        <v>40</v>
      </c>
      <c r="D54" s="59"/>
      <c r="E54" s="59"/>
      <c r="F54" s="59"/>
      <c r="G54" s="59"/>
      <c r="H54" s="59"/>
      <c r="I54" s="59"/>
      <c r="J54" s="59"/>
      <c r="K54" s="59"/>
      <c r="L54" s="66" t="s">
        <v>3</v>
      </c>
      <c r="M54" s="67" t="n">
        <f aca="false">Annual!H9</f>
        <v>17127.7086567929</v>
      </c>
      <c r="N54" s="67" t="n">
        <f aca="false">Annual!H23</f>
        <v>4115.13267726844</v>
      </c>
    </row>
    <row r="55" customFormat="false" ht="21" hidden="false" customHeight="true" outlineLevel="0" collapsed="false">
      <c r="C55" s="65" t="s">
        <v>41</v>
      </c>
      <c r="D55" s="59"/>
      <c r="E55" s="59"/>
      <c r="F55" s="59"/>
      <c r="G55" s="59"/>
      <c r="H55" s="59"/>
      <c r="I55" s="59"/>
      <c r="J55" s="59"/>
      <c r="K55" s="59"/>
      <c r="L55" s="66" t="s">
        <v>4</v>
      </c>
      <c r="M55" s="67" t="n">
        <f aca="false">Annual!I9</f>
        <v>17753.0396138809</v>
      </c>
      <c r="N55" s="67" t="n">
        <f aca="false">Annual!I23</f>
        <v>4132.78208382306</v>
      </c>
    </row>
    <row r="56" customFormat="false" ht="21" hidden="false" customHeight="true" outlineLevel="0" collapsed="false">
      <c r="C56" s="56"/>
      <c r="D56" s="59"/>
      <c r="E56" s="59"/>
      <c r="F56" s="59"/>
      <c r="G56" s="59"/>
      <c r="H56" s="59"/>
      <c r="I56" s="59"/>
      <c r="J56" s="59"/>
      <c r="K56" s="59"/>
    </row>
    <row r="57" customFormat="false" ht="21" hidden="false" customHeight="true" outlineLevel="0" collapsed="false">
      <c r="C57" s="56"/>
      <c r="D57" s="59"/>
      <c r="E57" s="59"/>
      <c r="F57" s="59"/>
      <c r="G57" s="59"/>
      <c r="H57" s="59"/>
      <c r="I57" s="59"/>
      <c r="J57" s="59"/>
      <c r="K57" s="59"/>
    </row>
    <row r="58" customFormat="false" ht="21" hidden="false" customHeight="true" outlineLevel="0" collapsed="false">
      <c r="C58" s="56"/>
      <c r="D58" s="59"/>
      <c r="E58" s="59"/>
      <c r="F58" s="59"/>
      <c r="G58" s="59"/>
      <c r="H58" s="59"/>
      <c r="I58" s="59"/>
      <c r="J58" s="59"/>
      <c r="K58" s="59"/>
      <c r="L58" s="66" t="s">
        <v>42</v>
      </c>
      <c r="M58" s="66" t="s">
        <v>43</v>
      </c>
      <c r="N58" s="66" t="s">
        <v>44</v>
      </c>
    </row>
    <row r="59" customFormat="false" ht="21" hidden="false" customHeight="true" outlineLevel="0" collapsed="false">
      <c r="C59" s="56"/>
      <c r="D59" s="59"/>
      <c r="E59" s="59"/>
      <c r="F59" s="59"/>
      <c r="G59" s="59"/>
      <c r="H59" s="59"/>
      <c r="I59" s="59"/>
      <c r="J59" s="59"/>
      <c r="K59" s="59"/>
      <c r="L59" s="66" t="s">
        <v>45</v>
      </c>
      <c r="M59" s="67" t="n">
        <f aca="false">Monthly_CF!D51</f>
        <v>0</v>
      </c>
      <c r="N59" s="67" t="n">
        <f aca="false">Monthly_CF!D24</f>
        <v>0</v>
      </c>
    </row>
    <row r="60" customFormat="false" ht="21" hidden="false" customHeight="true" outlineLevel="0" collapsed="false">
      <c r="C60" s="56"/>
      <c r="D60" s="59"/>
      <c r="E60" s="59"/>
      <c r="F60" s="59"/>
      <c r="G60" s="59"/>
      <c r="H60" s="59"/>
      <c r="I60" s="59"/>
      <c r="J60" s="59"/>
      <c r="K60" s="59"/>
      <c r="L60" s="66" t="s">
        <v>46</v>
      </c>
      <c r="M60" s="67" t="n">
        <f aca="false">Monthly_CF!E51</f>
        <v>0</v>
      </c>
      <c r="N60" s="67" t="n">
        <f aca="false">Monthly_CF!E24</f>
        <v>0</v>
      </c>
    </row>
    <row r="61" customFormat="false" ht="21" hidden="false" customHeight="true" outlineLevel="0" collapsed="false">
      <c r="C61" s="56"/>
      <c r="D61" s="59"/>
      <c r="E61" s="59"/>
      <c r="F61" s="59"/>
      <c r="G61" s="59"/>
      <c r="H61" s="59"/>
      <c r="I61" s="59"/>
      <c r="J61" s="59"/>
      <c r="K61" s="59"/>
      <c r="L61" s="66" t="s">
        <v>47</v>
      </c>
      <c r="M61" s="67" t="n">
        <f aca="false">Monthly_CF!F51</f>
        <v>0</v>
      </c>
      <c r="N61" s="67" t="n">
        <f aca="false">Monthly_CF!F24</f>
        <v>0</v>
      </c>
    </row>
    <row r="62" customFormat="false" ht="21" hidden="false" customHeight="true" outlineLevel="0" collapsed="false">
      <c r="C62" s="56"/>
      <c r="D62" s="59"/>
      <c r="E62" s="59"/>
      <c r="F62" s="59"/>
      <c r="G62" s="59"/>
      <c r="H62" s="59"/>
      <c r="I62" s="59"/>
      <c r="J62" s="59"/>
      <c r="K62" s="59"/>
      <c r="L62" s="66" t="s">
        <v>48</v>
      </c>
      <c r="M62" s="67" t="n">
        <f aca="false">Monthly_CF!G51</f>
        <v>0</v>
      </c>
      <c r="N62" s="67" t="n">
        <f aca="false">Monthly_CF!G24</f>
        <v>0</v>
      </c>
    </row>
    <row r="63" customFormat="false" ht="21" hidden="false" customHeight="true" outlineLevel="0" collapsed="false">
      <c r="C63" s="56"/>
      <c r="D63" s="59"/>
      <c r="E63" s="59"/>
      <c r="F63" s="59"/>
      <c r="G63" s="59"/>
      <c r="H63" s="59"/>
      <c r="I63" s="59"/>
      <c r="J63" s="59"/>
      <c r="K63" s="59"/>
      <c r="L63" s="66" t="s">
        <v>49</v>
      </c>
      <c r="M63" s="67" t="n">
        <f aca="false">Monthly_CF!H51</f>
        <v>0</v>
      </c>
      <c r="N63" s="67" t="n">
        <f aca="false">Monthly_CF!H24</f>
        <v>0</v>
      </c>
    </row>
    <row r="64" customFormat="false" ht="21" hidden="false" customHeight="true" outlineLevel="0" collapsed="false">
      <c r="C64" s="56"/>
      <c r="D64" s="59"/>
      <c r="E64" s="59"/>
      <c r="F64" s="59"/>
      <c r="G64" s="59"/>
      <c r="H64" s="59"/>
      <c r="I64" s="59"/>
      <c r="J64" s="59"/>
      <c r="K64" s="59"/>
      <c r="L64" s="66" t="s">
        <v>50</v>
      </c>
      <c r="M64" s="67" t="n">
        <f aca="false">Monthly_CF!I51</f>
        <v>1058.49868374</v>
      </c>
      <c r="N64" s="67" t="n">
        <f aca="false">Monthly_CF!I24</f>
        <v>2235.88240513</v>
      </c>
    </row>
    <row r="65" customFormat="false" ht="21" hidden="false" customHeight="true" outlineLevel="0" collapsed="false">
      <c r="C65" s="56"/>
      <c r="D65" s="59"/>
      <c r="E65" s="59"/>
      <c r="F65" s="59"/>
      <c r="G65" s="59"/>
      <c r="H65" s="59"/>
      <c r="I65" s="59"/>
      <c r="J65" s="59"/>
      <c r="K65" s="59"/>
      <c r="L65" s="66" t="s">
        <v>51</v>
      </c>
      <c r="M65" s="67" t="n">
        <f aca="false">Monthly_CF!J51</f>
        <v>1139.6766486315</v>
      </c>
      <c r="N65" s="67" t="n">
        <f aca="false">Monthly_CF!J24</f>
        <v>92.2218363819064</v>
      </c>
    </row>
    <row r="66" customFormat="false" ht="21" hidden="false" customHeight="true" outlineLevel="0" collapsed="false">
      <c r="C66" s="56"/>
      <c r="D66" s="59"/>
      <c r="E66" s="59"/>
      <c r="F66" s="59"/>
      <c r="G66" s="59"/>
      <c r="H66" s="59"/>
      <c r="I66" s="59"/>
      <c r="J66" s="59"/>
      <c r="K66" s="59"/>
      <c r="L66" s="66" t="s">
        <v>52</v>
      </c>
      <c r="M66" s="67" t="n">
        <f aca="false">Monthly_CF!K51</f>
        <v>1516.94409800519</v>
      </c>
      <c r="N66" s="67" t="n">
        <f aca="false">Monthly_CF!K24</f>
        <v>388.307052758205</v>
      </c>
    </row>
    <row r="67" customFormat="false" ht="21" hidden="false" customHeight="true" outlineLevel="0" collapsed="false">
      <c r="C67" s="56"/>
      <c r="D67" s="59"/>
      <c r="E67" s="59"/>
      <c r="F67" s="59"/>
      <c r="G67" s="59"/>
      <c r="H67" s="59"/>
      <c r="I67" s="59"/>
      <c r="J67" s="59"/>
      <c r="K67" s="59"/>
      <c r="L67" s="66" t="s">
        <v>53</v>
      </c>
      <c r="M67" s="67" t="n">
        <f aca="false">Monthly_CF!L51</f>
        <v>1609.87427757109</v>
      </c>
      <c r="N67" s="67" t="n">
        <f aca="false">Monthly_CF!L24</f>
        <v>105.057243277379</v>
      </c>
    </row>
    <row r="68" customFormat="false" ht="21" hidden="false" customHeight="true" outlineLevel="0" collapsed="false">
      <c r="C68" s="56"/>
      <c r="D68" s="59"/>
      <c r="E68" s="59"/>
      <c r="F68" s="59"/>
      <c r="G68" s="59"/>
      <c r="H68" s="59"/>
      <c r="I68" s="59"/>
      <c r="J68" s="59"/>
      <c r="K68" s="59"/>
      <c r="L68" s="66" t="s">
        <v>54</v>
      </c>
      <c r="M68" s="67" t="n">
        <f aca="false">Monthly_CF!M51</f>
        <v>1761.04733343031</v>
      </c>
      <c r="N68" s="67" t="n">
        <f aca="false">Monthly_CF!M24</f>
        <v>162.204123031977</v>
      </c>
    </row>
    <row r="69" customFormat="false" ht="21" hidden="false" customHeight="true" outlineLevel="0" collapsed="false">
      <c r="C69" s="56"/>
      <c r="D69" s="59"/>
      <c r="E69" s="59"/>
      <c r="F69" s="59"/>
      <c r="G69" s="59"/>
      <c r="H69" s="59"/>
      <c r="I69" s="59"/>
      <c r="J69" s="59"/>
      <c r="K69" s="59"/>
      <c r="L69" s="66" t="s">
        <v>55</v>
      </c>
      <c r="M69" s="67" t="n">
        <f aca="false">Monthly_CF!N51</f>
        <v>2381.04523594008</v>
      </c>
      <c r="N69" s="67" t="n">
        <f aca="false">Monthly_CF!N24</f>
        <v>632.116705371141</v>
      </c>
    </row>
    <row r="70" customFormat="false" ht="21" hidden="false" customHeight="true" outlineLevel="0" collapsed="false">
      <c r="C70" s="56"/>
      <c r="D70" s="59"/>
      <c r="E70" s="59"/>
      <c r="F70" s="59"/>
      <c r="G70" s="59"/>
      <c r="H70" s="59"/>
      <c r="I70" s="59"/>
      <c r="J70" s="59"/>
      <c r="K70" s="59"/>
      <c r="L70" s="66" t="s">
        <v>56</v>
      </c>
      <c r="M70" s="67" t="n">
        <f aca="false">Monthly_CF!O51</f>
        <v>2313.69615907765</v>
      </c>
      <c r="N70" s="67" t="n">
        <f aca="false">Monthly_CF!O24</f>
        <v>-56.3265459014517</v>
      </c>
    </row>
    <row r="71" customFormat="false" ht="21" hidden="false" customHeight="true" outlineLevel="0" collapsed="false">
      <c r="C71" s="56"/>
      <c r="D71" s="59"/>
      <c r="E71" s="59"/>
      <c r="F71" s="59"/>
      <c r="G71" s="59"/>
      <c r="H71" s="59"/>
      <c r="I71" s="59"/>
      <c r="J71" s="59"/>
      <c r="K71" s="59"/>
      <c r="L71" s="66" t="s">
        <v>57</v>
      </c>
      <c r="M71" s="67" t="n">
        <f aca="false">Monthly_CF!P51</f>
        <v>3137.85291868873</v>
      </c>
      <c r="N71" s="67" t="n">
        <f aca="false">Monthly_CF!P24</f>
        <v>837.363131073469</v>
      </c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  <c r="L72" s="66" t="s">
        <v>58</v>
      </c>
      <c r="M72" s="67" t="n">
        <f aca="false">Monthly_CF!Q51</f>
        <v>3861.91326721347</v>
      </c>
      <c r="N72" s="67" t="n">
        <f aca="false">Monthly_CF!Q24</f>
        <v>740.539702392308</v>
      </c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  <c r="L73" s="66" t="s">
        <v>59</v>
      </c>
      <c r="M73" s="67" t="n">
        <f aca="false">Monthly_CF!R51</f>
        <v>3227.16628570818</v>
      </c>
      <c r="N73" s="67" t="n">
        <f aca="false">Monthly_CF!R24</f>
        <v>-621.549146254676</v>
      </c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  <c r="L74" s="66" t="s">
        <v>60</v>
      </c>
      <c r="M74" s="67" t="n">
        <f aca="false">Monthly_CF!S51</f>
        <v>4120.02966173627</v>
      </c>
      <c r="N74" s="67" t="n">
        <f aca="false">Monthly_CF!S24</f>
        <v>907.149635371509</v>
      </c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  <c r="L75" s="66" t="s">
        <v>61</v>
      </c>
      <c r="M75" s="67" t="n">
        <f aca="false">Monthly_CF!T51</f>
        <v>4235.3578656444</v>
      </c>
      <c r="N75" s="67" t="n">
        <f aca="false">Monthly_CF!T24</f>
        <v>128.517502946974</v>
      </c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  <c r="L76" s="66" t="s">
        <v>62</v>
      </c>
      <c r="M76" s="67" t="n">
        <f aca="false">Monthly_CF!U51</f>
        <v>947.778974614787</v>
      </c>
      <c r="N76" s="67" t="n">
        <f aca="false">Monthly_CF!U24</f>
        <v>447.839098143245</v>
      </c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  <c r="L77" s="66" t="s">
        <v>63</v>
      </c>
      <c r="M77" s="67" t="n">
        <f aca="false">Monthly_CF!V51</f>
        <v>948.146180699956</v>
      </c>
      <c r="N77" s="67" t="n">
        <f aca="false">Monthly_CF!V24</f>
        <v>12.7406172508971</v>
      </c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  <c r="L78" s="66" t="s">
        <v>64</v>
      </c>
      <c r="M78" s="67" t="n">
        <f aca="false">Monthly_CF!W51</f>
        <v>1501.21960412941</v>
      </c>
      <c r="N78" s="67" t="n">
        <f aca="false">Monthly_CF!W24</f>
        <v>565.442566489296</v>
      </c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  <c r="L79" s="66" t="s">
        <v>65</v>
      </c>
      <c r="M79" s="67" t="n">
        <f aca="false">Monthly_CF!X51</f>
        <v>1803.63125758342</v>
      </c>
      <c r="N79" s="67" t="n">
        <f aca="false">Monthly_CF!X24</f>
        <v>315.895952612814</v>
      </c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  <c r="L80" s="66" t="s">
        <v>66</v>
      </c>
      <c r="M80" s="67" t="n">
        <f aca="false">Monthly_CF!Y51</f>
        <v>1942.91340916468</v>
      </c>
      <c r="N80" s="67" t="n">
        <f aca="false">Monthly_CF!Y24</f>
        <v>151.642758429321</v>
      </c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  <c r="L81" s="66" t="s">
        <v>67</v>
      </c>
      <c r="M81" s="67" t="n">
        <f aca="false">Monthly_CF!Z51</f>
        <v>2579.42338691248</v>
      </c>
      <c r="N81" s="67" t="n">
        <f aca="false">Monthly_CF!Z24</f>
        <v>648.960131772333</v>
      </c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  <c r="L82" s="66" t="s">
        <v>68</v>
      </c>
      <c r="M82" s="67" t="n">
        <f aca="false">Monthly_CF!AA51</f>
        <v>2495.31794304958</v>
      </c>
      <c r="N82" s="67" t="n">
        <f aca="false">Monthly_CF!AA24</f>
        <v>-72.8661969320164</v>
      </c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  <c r="L83" s="66" t="s">
        <v>69</v>
      </c>
      <c r="M83" s="67" t="n">
        <f aca="false">Monthly_CF!AB51</f>
        <v>3345.75619567448</v>
      </c>
      <c r="N83" s="67" t="n">
        <f aca="false">Monthly_CF!AB24</f>
        <v>864.069852483662</v>
      </c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  <c r="L84" s="66" t="s">
        <v>70</v>
      </c>
      <c r="M84" s="67" t="n">
        <f aca="false">Monthly_CF!AC51</f>
        <v>3887.09276613206</v>
      </c>
      <c r="N84" s="67" t="n">
        <f aca="false">Monthly_CF!AC24</f>
        <v>557.201473215206</v>
      </c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  <c r="L85" s="66" t="s">
        <v>71</v>
      </c>
      <c r="M85" s="67" t="n">
        <f aca="false">Monthly_CF!AD51</f>
        <v>3526.09216158177</v>
      </c>
      <c r="N85" s="67" t="n">
        <f aca="false">Monthly_CF!AD24</f>
        <v>-347.369004691525</v>
      </c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  <c r="L86" s="66" t="s">
        <v>72</v>
      </c>
      <c r="M86" s="67" t="n">
        <f aca="false">Monthly_CF!AE51</f>
        <v>4320.83520254244</v>
      </c>
      <c r="N86" s="67" t="n">
        <f aca="false">Monthly_CF!AE24</f>
        <v>809.491292268866</v>
      </c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  <c r="L87" s="66" t="s">
        <v>73</v>
      </c>
      <c r="M87" s="67" t="n">
        <f aca="false">Monthly_CF!AF51</f>
        <v>4433.98750862888</v>
      </c>
      <c r="N87" s="67" t="n">
        <f aca="false">Monthly_CF!AF24</f>
        <v>126.783905945214</v>
      </c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  <c r="L88" s="66" t="s">
        <v>74</v>
      </c>
      <c r="M88" s="67" t="n">
        <f aca="false">Monthly_CF!AG51</f>
        <v>995.396165630931</v>
      </c>
      <c r="N88" s="67" t="n">
        <f aca="false">Monthly_CF!AG24</f>
        <v>464.203317667835</v>
      </c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  <c r="L89" s="66" t="s">
        <v>75</v>
      </c>
      <c r="M89" s="67" t="n">
        <f aca="false">Monthly_CF!AH51</f>
        <v>981.084018946023</v>
      </c>
      <c r="N89" s="67" t="n">
        <f aca="false">Monthly_CF!AH24</f>
        <v>-1.48569260862821</v>
      </c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  <c r="L90" s="66" t="s">
        <v>76</v>
      </c>
      <c r="M90" s="67" t="n">
        <f aca="false">Monthly_CF!AI51</f>
        <v>1541.79098047791</v>
      </c>
      <c r="N90" s="67" t="n">
        <f aca="false">Monthly_CF!AI24</f>
        <v>573.533415608169</v>
      </c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  <c r="L91" s="66" t="s">
        <v>77</v>
      </c>
      <c r="M91" s="67" t="n">
        <f aca="false">Monthly_CF!AJ51</f>
        <v>1853.42539580715</v>
      </c>
      <c r="N91" s="67" t="n">
        <f aca="false">Monthly_CF!AJ24</f>
        <v>325.603493299535</v>
      </c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  <c r="L92" s="66" t="s">
        <v>78</v>
      </c>
      <c r="M92" s="67" t="n">
        <f aca="false">Monthly_CF!AK51</f>
        <v>1979.91557863831</v>
      </c>
      <c r="N92" s="67" t="n">
        <f aca="false">Monthly_CF!AK24</f>
        <v>139.316636907444</v>
      </c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  <c r="L93" s="66" t="s">
        <v>79</v>
      </c>
      <c r="M93" s="67" t="n">
        <f aca="false">Monthly_CF!AL51</f>
        <v>2632.30200254895</v>
      </c>
      <c r="N93" s="67" t="n">
        <f aca="false">Monthly_CF!AL24</f>
        <v>666.355501880939</v>
      </c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  <c r="L94" s="66" t="s">
        <v>80</v>
      </c>
      <c r="M94" s="67" t="n">
        <f aca="false">Monthly_CF!AM51</f>
        <v>2533.47797737355</v>
      </c>
      <c r="N94" s="67" t="n">
        <f aca="false">Monthly_CF!AM24</f>
        <v>-85.9975710991159</v>
      </c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</row>
  </sheetData>
  <sheetProtection sheet="1" objects="1" scenarios="1" selectLockedCells="0" selectUnlockedCells="0"/>
  <mergeCells count="7">
    <mergeCell ref="C2:K2"/>
    <mergeCell ref="C3:K4"/>
    <mergeCell ref="C25:K26"/>
    <mergeCell ref="C29:K30"/>
    <mergeCell ref="C33:K34"/>
    <mergeCell ref="C37:K38"/>
    <mergeCell ref="C41:K42"/>
  </mergeCells>
  <conditionalFormatting sqref="G19:I19">
    <cfRule type="cellIs" priority="2" operator="lessThan" aboveAverage="0" equalAverage="0" bottom="0" percent="0" rank="0" text="" dxfId="0">
      <formula>0</formula>
    </cfRule>
  </conditionalFormatting>
  <hyperlinks>
    <hyperlink ref="C47" location="'Revenue'!C2" display="→ Revenue"/>
    <hyperlink ref="C48" location="'Production'!C2" display="→ Production"/>
    <hyperlink ref="C49" location="'Payroll'!C2" display="→ Payroll"/>
    <hyperlink ref="C50" location="'ExpenseDetail'!C2" display="→ ExpenseDetail"/>
    <hyperlink ref="C51" location="'Inventory'!C2" display="→ Inventory"/>
    <hyperlink ref="C52" location="'Assets'!C2" display="→ Assets"/>
    <hyperlink ref="C53" location="'Funding'!C2" display="→ Funding"/>
    <hyperlink ref="C54" location="'Checks'!C2" display="→ Checks"/>
    <hyperlink ref="C55" location="'ReadMe'!C2" display="→ ReadM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>
  <sheetPr filterMode="false">
    <pageSetUpPr fitToPage="false"/>
  </sheetPr>
  <dimension ref="C1:K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11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</row>
    <row r="2" customFormat="false" ht="33" hidden="false" customHeight="true" outlineLevel="0" collapsed="false">
      <c r="C2" s="57" t="s">
        <v>81</v>
      </c>
      <c r="D2" s="57"/>
      <c r="E2" s="57"/>
      <c r="F2" s="57"/>
      <c r="G2" s="57"/>
      <c r="H2" s="57"/>
      <c r="I2" s="57"/>
      <c r="J2" s="57"/>
      <c r="K2" s="57"/>
    </row>
    <row r="3" customFormat="false" ht="21" hidden="false" customHeight="true" outlineLevel="0" collapsed="false">
      <c r="C3" s="58" t="s">
        <v>82</v>
      </c>
      <c r="D3" s="58"/>
      <c r="E3" s="58"/>
      <c r="F3" s="58"/>
      <c r="G3" s="58"/>
      <c r="H3" s="58"/>
      <c r="I3" s="58"/>
      <c r="J3" s="58"/>
      <c r="K3" s="58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</row>
    <row r="6" customFormat="false" ht="21" hidden="false" customHeight="true" outlineLevel="0" collapsed="false">
      <c r="C6" s="56"/>
      <c r="D6" s="56"/>
      <c r="E6" s="56"/>
      <c r="F6" s="56"/>
      <c r="G6" s="56"/>
      <c r="H6" s="56"/>
      <c r="I6" s="56"/>
      <c r="J6" s="56"/>
      <c r="K6" s="56"/>
    </row>
    <row r="7" customFormat="false" ht="21" hidden="false" customHeight="true" outlineLevel="0" collapsed="false">
      <c r="C7" s="63"/>
      <c r="D7" s="63" t="s">
        <v>34</v>
      </c>
      <c r="E7" s="63" t="s">
        <v>36</v>
      </c>
      <c r="F7" s="63" t="s">
        <v>38</v>
      </c>
      <c r="G7" s="63" t="s">
        <v>2</v>
      </c>
      <c r="H7" s="63" t="s">
        <v>3</v>
      </c>
      <c r="I7" s="63" t="s">
        <v>4</v>
      </c>
      <c r="J7" s="56"/>
      <c r="K7" s="56"/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</row>
    <row r="9" customFormat="false" ht="21" hidden="false" customHeight="true" outlineLevel="0" collapsed="false">
      <c r="C9" s="60" t="s">
        <v>31</v>
      </c>
      <c r="D9" s="68" t="n">
        <f aca="false">SourceHistory!D9</f>
        <v>15694.75560624</v>
      </c>
      <c r="E9" s="68" t="n">
        <f aca="false">SourceHistory!E9</f>
        <v>16830.54108613</v>
      </c>
      <c r="F9" s="68" t="n">
        <f aca="false">SourceHistory!F9</f>
        <v>16026.31255645</v>
      </c>
      <c r="G9" s="68" t="n">
        <f aca="false">H1Actual!D9+(SUM(Monthly_PL!J10:O10))</f>
        <v>16533.1369803709</v>
      </c>
      <c r="H9" s="68" t="n">
        <f aca="false">SUM(Monthly_PL!P10:AA10)</f>
        <v>17127.7086567929</v>
      </c>
      <c r="I9" s="68" t="n">
        <f aca="false">SUM(Monthly_PL!AB10:AM10)</f>
        <v>17753.0396138809</v>
      </c>
      <c r="J9" s="59"/>
      <c r="K9" s="59"/>
    </row>
    <row r="10" customFormat="false" ht="21" hidden="false" customHeight="true" outlineLevel="0" collapsed="false">
      <c r="C10" s="56" t="s">
        <v>83</v>
      </c>
      <c r="D10" s="69" t="n">
        <f aca="false">SourceHistory!D10</f>
        <v>8914.18453227</v>
      </c>
      <c r="E10" s="69" t="n">
        <f aca="false">SourceHistory!E10</f>
        <v>9551.80910131</v>
      </c>
      <c r="F10" s="69" t="n">
        <f aca="false">SourceHistory!F10</f>
        <v>9113.18664636</v>
      </c>
      <c r="G10" s="69" t="n">
        <f aca="false">H1Actual!D10+(SUM(Monthly_PL!J14:O14))</f>
        <v>9864.10459971334</v>
      </c>
      <c r="H10" s="69" t="n">
        <f aca="false">SUM(Monthly_PL!P14:AA14)</f>
        <v>10042.220087892</v>
      </c>
      <c r="I10" s="69" t="n">
        <f aca="false">SUM(Monthly_PL!AB14:AM14)</f>
        <v>10579.0361392157</v>
      </c>
      <c r="J10" s="59"/>
      <c r="K10" s="59"/>
    </row>
    <row r="11" customFormat="false" ht="21" hidden="false" customHeight="true" outlineLevel="0" collapsed="false">
      <c r="C11" s="60" t="s">
        <v>84</v>
      </c>
      <c r="D11" s="70" t="n">
        <f aca="false">D9-D10</f>
        <v>6780.57107397</v>
      </c>
      <c r="E11" s="70" t="n">
        <f aca="false">E9-E10</f>
        <v>7278.73198482</v>
      </c>
      <c r="F11" s="70" t="n">
        <f aca="false">F9-F10</f>
        <v>6913.12591009</v>
      </c>
      <c r="G11" s="68" t="n">
        <f aca="false">H1Actual!D11+(SUM(Monthly_PL!J15:O15))</f>
        <v>6669.0323806576</v>
      </c>
      <c r="H11" s="68" t="n">
        <f aca="false">SUM(Monthly_PL!P15:AA15)</f>
        <v>7085.48856890093</v>
      </c>
      <c r="I11" s="68" t="n">
        <f aca="false">SUM(Monthly_PL!AB15:AM15)</f>
        <v>7174.00347466522</v>
      </c>
      <c r="J11" s="59"/>
      <c r="K11" s="59"/>
    </row>
    <row r="12" customFormat="false" ht="21" hidden="false" customHeight="true" outlineLevel="0" collapsed="false">
      <c r="C12" s="56"/>
      <c r="D12" s="59"/>
      <c r="E12" s="59"/>
      <c r="F12" s="59"/>
      <c r="G12" s="59"/>
      <c r="H12" s="59"/>
      <c r="I12" s="59"/>
      <c r="J12" s="59"/>
      <c r="K12" s="59"/>
    </row>
    <row r="13" customFormat="false" ht="21" hidden="false" customHeight="true" outlineLevel="0" collapsed="false">
      <c r="C13" s="56" t="s">
        <v>85</v>
      </c>
      <c r="D13" s="69" t="n">
        <f aca="false">SourceHistory!D11</f>
        <v>1070.4381606</v>
      </c>
      <c r="E13" s="69" t="n">
        <f aca="false">SourceHistory!E11</f>
        <v>1369.41493293</v>
      </c>
      <c r="F13" s="69" t="n">
        <f aca="false">SourceHistory!F11</f>
        <v>1183.4786136</v>
      </c>
      <c r="G13" s="69" t="n">
        <f aca="false">H1Actual!D13+(SUM(Monthly_PL!J18:O18))</f>
        <v>1187.52625217016</v>
      </c>
      <c r="H13" s="69" t="n">
        <f aca="false">SUM(Monthly_PL!P18:AA18)</f>
        <v>1250.95329831409</v>
      </c>
      <c r="I13" s="69" t="n">
        <f aca="false">SUM(Monthly_PL!AB18:AM18)</f>
        <v>1287.88862698857</v>
      </c>
      <c r="J13" s="59"/>
      <c r="K13" s="59"/>
    </row>
    <row r="14" customFormat="false" ht="21" hidden="false" customHeight="true" outlineLevel="0" collapsed="false">
      <c r="C14" s="56" t="s">
        <v>86</v>
      </c>
      <c r="D14" s="69" t="n">
        <f aca="false">SourceHistory!D12</f>
        <v>626.19855251</v>
      </c>
      <c r="E14" s="69" t="n">
        <f aca="false">SourceHistory!E12</f>
        <v>732.0458425</v>
      </c>
      <c r="F14" s="69" t="n">
        <f aca="false">SourceHistory!F12</f>
        <v>712.37517918</v>
      </c>
      <c r="G14" s="69" t="n">
        <f aca="false">H1Actual!D14+(SUM(Monthly_PL!J19:O19))</f>
        <v>667.409033267371</v>
      </c>
      <c r="H14" s="69" t="n">
        <f aca="false">SUM(Monthly_PL!P19:AA19)</f>
        <v>744.380393556433</v>
      </c>
      <c r="I14" s="69" t="n">
        <f aca="false">SUM(Monthly_PL!AB19:AM19)</f>
        <v>766.800122031168</v>
      </c>
      <c r="J14" s="59"/>
      <c r="K14" s="59"/>
    </row>
    <row r="15" customFormat="false" ht="21" hidden="false" customHeight="true" outlineLevel="0" collapsed="false">
      <c r="C15" s="56" t="s">
        <v>87</v>
      </c>
      <c r="D15" s="69" t="n">
        <f aca="false">SourceHistory!D13</f>
        <v>673.42738661</v>
      </c>
      <c r="E15" s="69" t="n">
        <f aca="false">SourceHistory!E13</f>
        <v>745.51021517</v>
      </c>
      <c r="F15" s="69" t="n">
        <f aca="false">SourceHistory!F13</f>
        <v>643.9637836</v>
      </c>
      <c r="G15" s="69" t="n">
        <f aca="false">H1Actual!D15+(SUM(Monthly_PL!J20:O20))</f>
        <v>615.894230841896</v>
      </c>
      <c r="H15" s="69" t="n">
        <f aca="false">SUM(Monthly_PL!P20:AA20)</f>
        <v>682.964453879528</v>
      </c>
      <c r="I15" s="69" t="n">
        <f aca="false">SUM(Monthly_PL!AB20:AM20)</f>
        <v>704.693462347268</v>
      </c>
      <c r="J15" s="59"/>
      <c r="K15" s="59"/>
    </row>
    <row r="16" customFormat="false" ht="21" hidden="false" customHeight="true" outlineLevel="0" collapsed="false">
      <c r="C16" s="56" t="s">
        <v>88</v>
      </c>
      <c r="D16" s="69" t="n">
        <f aca="false">SourceHistory!D14</f>
        <v>132.79616829</v>
      </c>
      <c r="E16" s="69" t="n">
        <f aca="false">SourceHistory!E14</f>
        <v>133.17807707</v>
      </c>
      <c r="F16" s="69" t="n">
        <f aca="false">SourceHistory!F14</f>
        <v>153.52870449</v>
      </c>
      <c r="G16" s="69" t="n">
        <f aca="false">H1Actual!D16+(SUM(Monthly_PL!J21:O21))</f>
        <v>154.455538858453</v>
      </c>
      <c r="H16" s="69" t="n">
        <f aca="false">SUM(Monthly_PL!P21:AA21)</f>
        <v>164.079847544297</v>
      </c>
      <c r="I16" s="69" t="n">
        <f aca="false">SUM(Monthly_PL!AB21:AM21)</f>
        <v>170.070386626887</v>
      </c>
      <c r="J16" s="59"/>
      <c r="K16" s="59"/>
    </row>
    <row r="17" customFormat="false" ht="21" hidden="false" customHeight="true" outlineLevel="0" collapsed="false">
      <c r="C17" s="56" t="s">
        <v>89</v>
      </c>
      <c r="D17" s="59" t="s">
        <v>90</v>
      </c>
      <c r="E17" s="59" t="s">
        <v>90</v>
      </c>
      <c r="F17" s="59" t="s">
        <v>90</v>
      </c>
      <c r="G17" s="69" t="n">
        <f aca="false">H1Actual!D17+(SUM(Monthly_PL!J22:O22)+SUM(Monthly_PL!J23:O23))</f>
        <v>14.6485042211776</v>
      </c>
      <c r="H17" s="69" t="n">
        <f aca="false">SUM(Monthly_PL!P22:AA22)+SUM(Monthly_PL!P23:AA23)</f>
        <v>0.98434590328436</v>
      </c>
      <c r="I17" s="69" t="n">
        <f aca="false">SUM(Monthly_PL!AB22:AM22)+SUM(Monthly_PL!AB23:AM23)</f>
        <v>1.03590893989614</v>
      </c>
      <c r="J17" s="59"/>
      <c r="K17" s="59"/>
    </row>
    <row r="18" customFormat="false" ht="21" hidden="false" customHeight="true" outlineLevel="0" collapsed="false">
      <c r="C18" s="56" t="s">
        <v>91</v>
      </c>
      <c r="D18" s="69" t="n">
        <f aca="false">SourceHistory!D17</f>
        <v>150.113800760001</v>
      </c>
      <c r="E18" s="69" t="n">
        <f aca="false">SourceHistory!E17</f>
        <v>663.705284119999</v>
      </c>
      <c r="F18" s="69" t="n">
        <f aca="false">SourceHistory!F17</f>
        <v>588.91612677</v>
      </c>
      <c r="G18" s="69" t="n">
        <f aca="false">H1Actual!D18+(SUM(Monthly_PL!J24:O24)+SUM(Monthly_PL!J25:O25)+SUM(Monthly_PL!J26:O26))</f>
        <v>652.480683141133</v>
      </c>
      <c r="H18" s="69" t="n">
        <f aca="false">SUM(Monthly_PL!P24:AA24)+SUM(Monthly_PL!P25:AA25)+SUM(Monthly_PL!P26:AA26)</f>
        <v>658.173607626917</v>
      </c>
      <c r="I18" s="69" t="n">
        <f aca="false">SUM(Monthly_PL!AB24:AM24)+SUM(Monthly_PL!AB25:AM25)+SUM(Monthly_PL!AB26:AM26)</f>
        <v>665.89385057323</v>
      </c>
      <c r="J18" s="59"/>
      <c r="K18" s="59"/>
    </row>
    <row r="19" customFormat="false" ht="21" hidden="false" customHeight="true" outlineLevel="0" collapsed="false">
      <c r="C19" s="56" t="s">
        <v>92</v>
      </c>
      <c r="D19" s="69" t="n">
        <f aca="false">SourceHistory!D15</f>
        <v>-108.51034564</v>
      </c>
      <c r="E19" s="69" t="n">
        <f aca="false">SourceHistory!E15</f>
        <v>-118.16771943</v>
      </c>
      <c r="F19" s="69" t="n">
        <f aca="false">SourceHistory!F15</f>
        <v>-96.68620909</v>
      </c>
      <c r="G19" s="69" t="n">
        <f aca="false">H1Actual!D19+(SUM(Monthly_PL!J28:O28)+-SUM(Monthly_PL!J27:O27))</f>
        <v>-67.1925691523421</v>
      </c>
      <c r="H19" s="69" t="n">
        <f aca="false">SUM(Monthly_PL!P28:AA28)+-SUM(Monthly_PL!P27:AA27)</f>
        <v>-91.6205053548062</v>
      </c>
      <c r="I19" s="69" t="n">
        <f aca="false">SUM(Monthly_PL!AB28:AM28)+-SUM(Monthly_PL!AB27:AM27)</f>
        <v>-103.921388539301</v>
      </c>
      <c r="J19" s="59"/>
      <c r="K19" s="59"/>
    </row>
    <row r="20" customFormat="false" ht="21" hidden="false" customHeight="true" outlineLevel="0" collapsed="false">
      <c r="C20" s="56"/>
      <c r="D20" s="59"/>
      <c r="E20" s="59"/>
      <c r="F20" s="59"/>
      <c r="G20" s="59"/>
      <c r="H20" s="59"/>
      <c r="I20" s="59"/>
      <c r="J20" s="59"/>
      <c r="K20" s="59"/>
    </row>
    <row r="21" customFormat="false" ht="21" hidden="false" customHeight="true" outlineLevel="0" collapsed="false">
      <c r="C21" s="60" t="s">
        <v>93</v>
      </c>
      <c r="D21" s="68" t="n">
        <f aca="false">SourceHistory!D18</f>
        <v>4536.33495236</v>
      </c>
      <c r="E21" s="68" t="n">
        <f aca="false">SourceHistory!E18</f>
        <v>5080.4559207</v>
      </c>
      <c r="F21" s="68" t="n">
        <f aca="false">SourceHistory!F18</f>
        <v>4905.38196508</v>
      </c>
      <c r="G21" s="68" t="n">
        <f aca="false">H1Actual!D21+(SUM(Monthly_PL!J29:O29))</f>
        <v>4748.77207359201</v>
      </c>
      <c r="H21" s="68" t="n">
        <f aca="false">SUM(Monthly_PL!P29:AA29)</f>
        <v>4991.92034268502</v>
      </c>
      <c r="I21" s="68" t="n">
        <f aca="false">SUM(Monthly_PL!AB29:AM29)</f>
        <v>5013.33020684396</v>
      </c>
      <c r="J21" s="59"/>
      <c r="K21" s="59"/>
    </row>
    <row r="22" customFormat="false" ht="21" hidden="false" customHeight="true" outlineLevel="0" collapsed="false">
      <c r="C22" s="56" t="s">
        <v>94</v>
      </c>
      <c r="D22" s="69" t="n">
        <f aca="false">SourceHistory!D19</f>
        <v>672.00846095</v>
      </c>
      <c r="E22" s="69" t="n">
        <f aca="false">SourceHistory!E19</f>
        <v>811.2800095</v>
      </c>
      <c r="F22" s="69" t="n">
        <f aca="false">SourceHistory!F19</f>
        <v>829.07993366</v>
      </c>
      <c r="G22" s="69" t="n">
        <f aca="false">H1Actual!D22+(SUM(Monthly_PL!J30:O30))</f>
        <v>819.090972632526</v>
      </c>
      <c r="H22" s="69" t="n">
        <f aca="false">SUM(Monthly_PL!P30:AA30)</f>
        <v>876.787665416581</v>
      </c>
      <c r="I22" s="69" t="n">
        <f aca="false">SUM(Monthly_PL!AB30:AM30)</f>
        <v>880.5481230209</v>
      </c>
      <c r="J22" s="59"/>
      <c r="K22" s="59"/>
    </row>
    <row r="23" customFormat="false" ht="21" hidden="false" customHeight="true" outlineLevel="0" collapsed="false">
      <c r="C23" s="60" t="s">
        <v>95</v>
      </c>
      <c r="D23" s="68" t="n">
        <f aca="false">SourceHistory!D20</f>
        <v>3864.32649141</v>
      </c>
      <c r="E23" s="68" t="n">
        <f aca="false">SourceHistory!E20</f>
        <v>4269.1759112</v>
      </c>
      <c r="F23" s="68" t="n">
        <f aca="false">SourceHistory!F20</f>
        <v>4076.30203142</v>
      </c>
      <c r="G23" s="68" t="n">
        <f aca="false">H1Actual!D23+(SUM(Monthly_PL!J31:O31))</f>
        <v>3929.68110095948</v>
      </c>
      <c r="H23" s="68" t="n">
        <f aca="false">SUM(Monthly_PL!P31:AA31)</f>
        <v>4115.13267726844</v>
      </c>
      <c r="I23" s="68" t="n">
        <f aca="false">SUM(Monthly_PL!AB31:AM31)</f>
        <v>4132.78208382306</v>
      </c>
      <c r="J23" s="59"/>
      <c r="K23" s="59"/>
    </row>
    <row r="24" customFormat="false" ht="21" hidden="false" customHeight="true" outlineLevel="0" collapsed="false">
      <c r="C24" s="56" t="s">
        <v>96</v>
      </c>
      <c r="D24" s="69" t="n">
        <f aca="false">SourceHistory!D21</f>
        <v>3870.13537647</v>
      </c>
      <c r="E24" s="69" t="n">
        <f aca="false">SourceHistory!E21</f>
        <v>4272.20456503</v>
      </c>
      <c r="F24" s="69" t="n">
        <f aca="false">SourceHistory!F21</f>
        <v>4070.63274777</v>
      </c>
      <c r="G24" s="69" t="n">
        <f aca="false">H1Actual!D24+(SUM(Monthly_PL!J32:O32))</f>
        <v>3923.202648769</v>
      </c>
      <c r="H24" s="69" t="n">
        <f aca="false">SUM(Monthly_PL!P32:AA32)</f>
        <v>4109.4093883107</v>
      </c>
      <c r="I24" s="69" t="n">
        <f aca="false">SUM(Monthly_PL!AB32:AM32)</f>
        <v>4127.03424823182</v>
      </c>
      <c r="J24" s="59"/>
      <c r="K24" s="59"/>
    </row>
    <row r="25" customFormat="false" ht="21" hidden="false" customHeight="true" outlineLevel="0" collapsed="false">
      <c r="C25" s="56" t="s">
        <v>97</v>
      </c>
      <c r="D25" s="69" t="n">
        <f aca="false">SourceHistory!D22</f>
        <v>-5.80888506</v>
      </c>
      <c r="E25" s="69" t="n">
        <f aca="false">SourceHistory!E22</f>
        <v>-3.02865383</v>
      </c>
      <c r="F25" s="69" t="n">
        <f aca="false">SourceHistory!F22</f>
        <v>5.66928365</v>
      </c>
      <c r="G25" s="69" t="n">
        <f aca="false">H1Actual!D25+(SUM(Monthly_PL!J33:O33))</f>
        <v>6.47845219047999</v>
      </c>
      <c r="H25" s="69" t="n">
        <f aca="false">SUM(Monthly_PL!P33:AA33)</f>
        <v>5.72328895773496</v>
      </c>
      <c r="I25" s="69" t="n">
        <f aca="false">SUM(Monthly_PL!AB33:AM33)</f>
        <v>5.74783559123785</v>
      </c>
      <c r="J25" s="59"/>
      <c r="K25" s="59"/>
    </row>
    <row r="26" customFormat="false" ht="21" hidden="false" customHeight="true" outlineLevel="0" collapsed="false">
      <c r="C26" s="56"/>
      <c r="D26" s="59"/>
      <c r="E26" s="59"/>
      <c r="F26" s="59"/>
      <c r="G26" s="59"/>
      <c r="H26" s="59"/>
      <c r="I26" s="59"/>
      <c r="J26" s="59"/>
      <c r="K26" s="59"/>
    </row>
    <row r="27" customFormat="false" ht="21" hidden="false" customHeight="true" outlineLevel="0" collapsed="false">
      <c r="C27" s="56"/>
      <c r="D27" s="59"/>
      <c r="E27" s="59"/>
      <c r="F27" s="59"/>
      <c r="G27" s="59"/>
      <c r="H27" s="59"/>
      <c r="I27" s="59"/>
      <c r="J27" s="59"/>
      <c r="K27" s="59"/>
    </row>
    <row r="28" customFormat="false" ht="21" hidden="false" customHeight="true" outlineLevel="0" collapsed="false">
      <c r="C28" s="56" t="s">
        <v>98</v>
      </c>
      <c r="D28" s="69" t="n">
        <f aca="false">SourceHistory!D29</f>
        <v>1332.1862053</v>
      </c>
      <c r="E28" s="69" t="n">
        <f aca="false">SourceHistory!E29</f>
        <v>836.31440491</v>
      </c>
      <c r="F28" s="69" t="n">
        <f aca="false">SourceHistory!F29</f>
        <v>721.04458546</v>
      </c>
      <c r="G28" s="69" t="n">
        <f aca="false">Monthly_BS!O10</f>
        <v>2313.69615907765</v>
      </c>
      <c r="H28" s="69" t="n">
        <f aca="false">Monthly_BS!AA10</f>
        <v>2495.31794304958</v>
      </c>
      <c r="I28" s="69" t="n">
        <f aca="false">Monthly_BS!AM10</f>
        <v>2533.47797737355</v>
      </c>
      <c r="J28" s="59"/>
      <c r="K28" s="59"/>
    </row>
    <row r="29" customFormat="false" ht="21" hidden="false" customHeight="true" outlineLevel="0" collapsed="false">
      <c r="C29" s="56" t="s">
        <v>99</v>
      </c>
      <c r="D29" s="69" t="n">
        <f aca="false">SourceHistory!D32</f>
        <v>3411.52822036</v>
      </c>
      <c r="E29" s="69" t="n">
        <f aca="false">SourceHistory!E32</f>
        <v>4184.06594805</v>
      </c>
      <c r="F29" s="69" t="n">
        <f aca="false">SourceHistory!F32</f>
        <v>3446.2745689</v>
      </c>
      <c r="G29" s="69" t="n">
        <f aca="false">Monthly_BS!O11</f>
        <v>3480.0156407</v>
      </c>
      <c r="H29" s="69" t="n">
        <f aca="false">Monthly_BS!AA11</f>
        <v>3480.0156407</v>
      </c>
      <c r="I29" s="69" t="n">
        <f aca="false">Monthly_BS!AM11</f>
        <v>3480.0156407</v>
      </c>
      <c r="J29" s="59"/>
      <c r="K29" s="59"/>
    </row>
    <row r="30" customFormat="false" ht="21" hidden="false" customHeight="true" outlineLevel="0" collapsed="false">
      <c r="C30" s="56" t="s">
        <v>100</v>
      </c>
      <c r="D30" s="69" t="n">
        <f aca="false">SourceHistory!D33</f>
        <v>270.11344871</v>
      </c>
      <c r="E30" s="69" t="n">
        <f aca="false">SourceHistory!E33</f>
        <v>308.26794626</v>
      </c>
      <c r="F30" s="69" t="n">
        <f aca="false">SourceHistory!F33</f>
        <v>327.36020444</v>
      </c>
      <c r="G30" s="69" t="n">
        <f aca="false">Monthly_BS!O12</f>
        <v>326.368719732461</v>
      </c>
      <c r="H30" s="69" t="n">
        <f aca="false">Monthly_BS!AA12</f>
        <v>337.481176561895</v>
      </c>
      <c r="I30" s="69" t="n">
        <f aca="false">Monthly_BS!AM12</f>
        <v>349.175737727245</v>
      </c>
      <c r="J30" s="59"/>
      <c r="K30" s="59"/>
    </row>
    <row r="31" customFormat="false" ht="21" hidden="false" customHeight="true" outlineLevel="0" collapsed="false">
      <c r="C31" s="56" t="s">
        <v>101</v>
      </c>
      <c r="D31" s="69" t="n">
        <f aca="false">SourceHistory!D34</f>
        <v>1421.07805944</v>
      </c>
      <c r="E31" s="69" t="n">
        <f aca="false">SourceHistory!E34</f>
        <v>1573.67281932</v>
      </c>
      <c r="F31" s="69" t="n">
        <f aca="false">SourceHistory!F34</f>
        <v>1630.82616795</v>
      </c>
      <c r="G31" s="69" t="n">
        <f aca="false">Monthly_BS!O13</f>
        <v>1364.49768638886</v>
      </c>
      <c r="H31" s="69" t="n">
        <f aca="false">Monthly_BS!AA13</f>
        <v>1404.59937776547</v>
      </c>
      <c r="I31" s="69" t="n">
        <f aca="false">Monthly_BS!AM13</f>
        <v>1452.06440781342</v>
      </c>
      <c r="J31" s="59"/>
      <c r="K31" s="59"/>
    </row>
    <row r="32" customFormat="false" ht="21" hidden="false" customHeight="true" outlineLevel="0" collapsed="false">
      <c r="C32" s="56" t="s">
        <v>102</v>
      </c>
      <c r="D32" s="69" t="n">
        <f aca="false">SourceHistory!D35</f>
        <v>2792.75440359</v>
      </c>
      <c r="E32" s="69" t="n">
        <f aca="false">SourceHistory!E35</f>
        <v>3541.03942447</v>
      </c>
      <c r="F32" s="69" t="n">
        <f aca="false">SourceHistory!F35</f>
        <v>3593.77113723</v>
      </c>
      <c r="G32" s="69" t="n">
        <f aca="false">Monthly_BS!O14</f>
        <v>3685.8540497104</v>
      </c>
      <c r="H32" s="69" t="n">
        <f aca="false">Monthly_BS!AA14</f>
        <v>3877.81433857625</v>
      </c>
      <c r="I32" s="69" t="n">
        <f aca="false">Monthly_BS!AM14</f>
        <v>4067.56831571685</v>
      </c>
      <c r="J32" s="59"/>
      <c r="K32" s="59"/>
    </row>
    <row r="33" customFormat="false" ht="21" hidden="false" customHeight="true" outlineLevel="0" collapsed="false">
      <c r="C33" s="56" t="s">
        <v>103</v>
      </c>
      <c r="D33" s="69" t="n">
        <f aca="false">SourceHistory!D36</f>
        <v>357.58366495</v>
      </c>
      <c r="E33" s="69" t="n">
        <f aca="false">SourceHistory!E36</f>
        <v>368.71447716</v>
      </c>
      <c r="F33" s="69" t="n">
        <f aca="false">SourceHistory!F36</f>
        <v>359.98872307</v>
      </c>
      <c r="G33" s="69" t="n">
        <f aca="false">Monthly_BS!O15</f>
        <v>363.870745115775</v>
      </c>
      <c r="H33" s="69" t="n">
        <f aca="false">Monthly_BS!AA15</f>
        <v>392.029832149543</v>
      </c>
      <c r="I33" s="69" t="n">
        <f aca="false">Monthly_BS!AM15</f>
        <v>417.305539066042</v>
      </c>
      <c r="J33" s="59"/>
      <c r="K33" s="59"/>
    </row>
    <row r="34" customFormat="false" ht="21" hidden="false" customHeight="true" outlineLevel="0" collapsed="false">
      <c r="C34" s="56" t="s">
        <v>104</v>
      </c>
      <c r="D34" s="69" t="n">
        <f aca="false">SourceHistory!D37</f>
        <v>18.80245189</v>
      </c>
      <c r="E34" s="69" t="n">
        <f aca="false">SourceHistory!E37</f>
        <v>31.30923519</v>
      </c>
      <c r="F34" s="69" t="n">
        <f aca="false">SourceHistory!F37</f>
        <v>25.21957363</v>
      </c>
      <c r="G34" s="69" t="n">
        <f aca="false">Monthly_BS!O16</f>
        <v>10.09586124</v>
      </c>
      <c r="H34" s="69" t="n">
        <f aca="false">Monthly_BS!AA16</f>
        <v>0</v>
      </c>
      <c r="I34" s="69" t="n">
        <f aca="false">Monthly_BS!AM16</f>
        <v>0</v>
      </c>
      <c r="J34" s="59"/>
      <c r="K34" s="59"/>
    </row>
    <row r="35" customFormat="false" ht="21" hidden="false" customHeight="true" outlineLevel="0" collapsed="false">
      <c r="C35" s="56" t="s">
        <v>105</v>
      </c>
      <c r="D35" s="69" t="n">
        <f aca="false">SourceHistory!D38</f>
        <v>9735.263755</v>
      </c>
      <c r="E35" s="69" t="n">
        <f aca="false">SourceHistory!E38</f>
        <v>9225.010725</v>
      </c>
      <c r="F35" s="69" t="n">
        <f aca="false">SourceHistory!F38</f>
        <v>12068.47337387</v>
      </c>
      <c r="G35" s="69" t="n">
        <f aca="false">Monthly_BS!O17</f>
        <v>10538.02</v>
      </c>
      <c r="H35" s="69" t="n">
        <f aca="false">Monthly_BS!AA17</f>
        <v>10538.02</v>
      </c>
      <c r="I35" s="69" t="n">
        <f aca="false">Monthly_BS!AM17</f>
        <v>10538.02</v>
      </c>
      <c r="J35" s="59"/>
      <c r="K35" s="59"/>
    </row>
    <row r="36" customFormat="false" ht="21" hidden="false" customHeight="true" outlineLevel="0" collapsed="false">
      <c r="C36" s="56" t="s">
        <v>106</v>
      </c>
      <c r="D36" s="69" t="n">
        <f aca="false">SourceHistory!D39</f>
        <v>422.89551569</v>
      </c>
      <c r="E36" s="69" t="n">
        <f aca="false">SourceHistory!E39</f>
        <v>425.63951032</v>
      </c>
      <c r="F36" s="69" t="n">
        <f aca="false">SourceHistory!F39</f>
        <v>383.28420808</v>
      </c>
      <c r="G36" s="69" t="n">
        <f aca="false">Monthly_BS!O18+Monthly_BS!O19+Monthly_BS!O20</f>
        <v>484.724764422445</v>
      </c>
      <c r="H36" s="69" t="n">
        <f aca="false">Monthly_BS!AA18+Monthly_BS!AA19+Monthly_BS!AA20</f>
        <v>609.699434097165</v>
      </c>
      <c r="I36" s="69" t="n">
        <f aca="false">Monthly_BS!AM18+Monthly_BS!AM19+Monthly_BS!AM20</f>
        <v>737.065340084084</v>
      </c>
      <c r="J36" s="59"/>
      <c r="K36" s="59"/>
    </row>
    <row r="37" customFormat="false" ht="21" hidden="false" customHeight="true" outlineLevel="0" collapsed="false">
      <c r="C37" s="56"/>
      <c r="D37" s="59"/>
      <c r="E37" s="59"/>
      <c r="F37" s="59"/>
      <c r="G37" s="59"/>
      <c r="H37" s="59"/>
      <c r="I37" s="59"/>
      <c r="J37" s="59"/>
      <c r="K37" s="59"/>
    </row>
    <row r="38" customFormat="false" ht="21" hidden="false" customHeight="true" outlineLevel="0" collapsed="false">
      <c r="C38" s="60" t="s">
        <v>107</v>
      </c>
      <c r="D38" s="68" t="n">
        <f aca="false">SourceHistory!D40</f>
        <v>19762.20572493</v>
      </c>
      <c r="E38" s="68" t="n">
        <f aca="false">SourceHistory!E40</f>
        <v>20494.03449068</v>
      </c>
      <c r="F38" s="68" t="n">
        <f aca="false">SourceHistory!F40</f>
        <v>22556.24254263</v>
      </c>
      <c r="G38" s="68" t="n">
        <f aca="false">Monthly_BS!O22</f>
        <v>22567.1436263876</v>
      </c>
      <c r="H38" s="68" t="n">
        <f aca="false">Monthly_BS!AA22</f>
        <v>23134.9777428999</v>
      </c>
      <c r="I38" s="68" t="n">
        <f aca="false">Monthly_BS!AM22</f>
        <v>23574.6929584812</v>
      </c>
      <c r="J38" s="59"/>
      <c r="K38" s="59"/>
    </row>
    <row r="39" customFormat="false" ht="21" hidden="false" customHeight="true" outlineLevel="0" collapsed="false">
      <c r="C39" s="56"/>
      <c r="D39" s="59"/>
      <c r="E39" s="59"/>
      <c r="F39" s="59"/>
      <c r="G39" s="59"/>
      <c r="H39" s="59"/>
      <c r="I39" s="59"/>
      <c r="J39" s="59"/>
      <c r="K39" s="59"/>
    </row>
    <row r="40" customFormat="false" ht="21" hidden="false" customHeight="true" outlineLevel="0" collapsed="false">
      <c r="C40" s="56" t="s">
        <v>108</v>
      </c>
      <c r="D40" s="69" t="n">
        <f aca="false">SourceHistory!D41</f>
        <v>2056.6578054</v>
      </c>
      <c r="E40" s="69" t="n">
        <f aca="false">SourceHistory!E41</f>
        <v>2392.04685463</v>
      </c>
      <c r="F40" s="69" t="n">
        <f aca="false">SourceHistory!F41</f>
        <v>2455.39594837</v>
      </c>
      <c r="G40" s="69" t="n">
        <f aca="false">Monthly_BS!O25</f>
        <v>2408.39824725872</v>
      </c>
      <c r="H40" s="69" t="n">
        <f aca="false">Monthly_BS!AA25</f>
        <v>2526.86218258394</v>
      </c>
      <c r="I40" s="69" t="n">
        <f aca="false">Monthly_BS!AM25</f>
        <v>2654.08328953586</v>
      </c>
      <c r="J40" s="59"/>
      <c r="K40" s="59"/>
    </row>
    <row r="41" customFormat="false" ht="21" hidden="false" customHeight="true" outlineLevel="0" collapsed="false">
      <c r="C41" s="56" t="s">
        <v>109</v>
      </c>
      <c r="D41" s="69" t="n">
        <f aca="false">SourceHistory!D42</f>
        <v>528.49323161</v>
      </c>
      <c r="E41" s="69" t="n">
        <f aca="false">SourceHistory!E42</f>
        <v>254.24994623</v>
      </c>
      <c r="F41" s="69" t="n">
        <f aca="false">SourceHistory!F42</f>
        <v>592.67224331</v>
      </c>
      <c r="G41" s="69" t="n">
        <f aca="false">Monthly_BS!O26</f>
        <v>590.677466699388</v>
      </c>
      <c r="H41" s="69" t="n">
        <f aca="false">Monthly_BS!AA26</f>
        <v>612.108709802583</v>
      </c>
      <c r="I41" s="69" t="n">
        <f aca="false">Monthly_BS!AM26</f>
        <v>634.66258669648</v>
      </c>
      <c r="J41" s="59"/>
      <c r="K41" s="59"/>
    </row>
    <row r="42" customFormat="false" ht="21" hidden="false" customHeight="true" outlineLevel="0" collapsed="false">
      <c r="C42" s="56" t="s">
        <v>110</v>
      </c>
      <c r="D42" s="69" t="n">
        <f aca="false">SourceHistory!D43</f>
        <v>1000.04674317</v>
      </c>
      <c r="E42" s="69" t="n">
        <f aca="false">SourceHistory!E43</f>
        <v>314.62100588</v>
      </c>
      <c r="F42" s="69" t="n">
        <f aca="false">SourceHistory!F43</f>
        <v>800.77562122</v>
      </c>
      <c r="G42" s="69" t="n">
        <f aca="false">Monthly_BS!O27+Monthly_BS!O28</f>
        <v>934.876694875</v>
      </c>
      <c r="H42" s="69" t="n">
        <f aca="false">Monthly_BS!AA27+Monthly_BS!AA28</f>
        <v>739.191389284</v>
      </c>
      <c r="I42" s="69" t="n">
        <f aca="false">Monthly_BS!AM27+Monthly_BS!AM28</f>
        <v>554.764389468</v>
      </c>
      <c r="J42" s="59"/>
      <c r="K42" s="59"/>
    </row>
    <row r="43" customFormat="false" ht="21" hidden="false" customHeight="true" outlineLevel="0" collapsed="false">
      <c r="C43" s="56" t="s">
        <v>111</v>
      </c>
      <c r="D43" s="69" t="n">
        <f aca="false">SourceHistory!D44</f>
        <v>311.19084543</v>
      </c>
      <c r="E43" s="69" t="n">
        <f aca="false">SourceHistory!E44</f>
        <v>393.46763529</v>
      </c>
      <c r="F43" s="69" t="n">
        <f aca="false">SourceHistory!F44</f>
        <v>444.24880775</v>
      </c>
      <c r="G43" s="69" t="n">
        <f aca="false">Monthly_BS!O29+Monthly_BS!O30</f>
        <v>132.89805812</v>
      </c>
      <c r="H43" s="69" t="n">
        <f aca="false">Monthly_BS!AA29+Monthly_BS!AA30</f>
        <v>132.89805812</v>
      </c>
      <c r="I43" s="69" t="n">
        <f aca="false">Monthly_BS!AM29+Monthly_BS!AM30</f>
        <v>132.89805812</v>
      </c>
      <c r="J43" s="59"/>
      <c r="K43" s="59"/>
    </row>
    <row r="44" customFormat="false" ht="21" hidden="false" customHeight="true" outlineLevel="0" collapsed="false">
      <c r="C44" s="56" t="s">
        <v>112</v>
      </c>
      <c r="D44" s="69" t="n">
        <f aca="false">SourceHistory!D46</f>
        <v>1405.40555359</v>
      </c>
      <c r="E44" s="69" t="n">
        <f aca="false">SourceHistory!E46</f>
        <v>1264.66867789</v>
      </c>
      <c r="F44" s="69" t="n">
        <f aca="false">SourceHistory!F46</f>
        <v>1454.57990465</v>
      </c>
      <c r="G44" s="69" t="n">
        <f aca="false">Monthly_BS!O31+Monthly_BS!O32</f>
        <v>1494.7807312</v>
      </c>
      <c r="H44" s="69" t="n">
        <f aca="false">Monthly_BS!AA31+Monthly_BS!AA32</f>
        <v>1494.7807312</v>
      </c>
      <c r="I44" s="69" t="n">
        <f aca="false">Monthly_BS!AM31+Monthly_BS!AM32</f>
        <v>1494.7807312</v>
      </c>
      <c r="J44" s="59"/>
      <c r="K44" s="59"/>
    </row>
    <row r="45" customFormat="false" ht="21" hidden="false" customHeight="true" outlineLevel="0" collapsed="false">
      <c r="C45" s="56" t="s">
        <v>113</v>
      </c>
      <c r="D45" s="69" t="n">
        <f aca="false">SourceHistory!D45</f>
        <v>0</v>
      </c>
      <c r="E45" s="69" t="n">
        <f aca="false">SourceHistory!E45</f>
        <v>0</v>
      </c>
      <c r="F45" s="69" t="n">
        <f aca="false">SourceHistory!F45</f>
        <v>0</v>
      </c>
      <c r="G45" s="69" t="n">
        <f aca="false">Monthly_BS!O33</f>
        <v>0</v>
      </c>
      <c r="H45" s="69" t="n">
        <f aca="false">Monthly_BS!AA33</f>
        <v>0</v>
      </c>
      <c r="I45" s="69" t="n">
        <f aca="false">Monthly_BS!AM33</f>
        <v>0</v>
      </c>
      <c r="J45" s="59"/>
      <c r="K45" s="59"/>
    </row>
    <row r="46" customFormat="false" ht="21" hidden="false" customHeight="true" outlineLevel="0" collapsed="false">
      <c r="C46" s="56"/>
      <c r="D46" s="59"/>
      <c r="E46" s="59"/>
      <c r="F46" s="59"/>
      <c r="G46" s="59"/>
      <c r="H46" s="59"/>
      <c r="I46" s="59"/>
      <c r="J46" s="59"/>
      <c r="K46" s="59"/>
    </row>
    <row r="47" customFormat="false" ht="21" hidden="false" customHeight="true" outlineLevel="0" collapsed="false">
      <c r="C47" s="60" t="s">
        <v>114</v>
      </c>
      <c r="D47" s="68" t="n">
        <f aca="false">SourceHistory!D47</f>
        <v>5301.7941792</v>
      </c>
      <c r="E47" s="68" t="n">
        <f aca="false">SourceHistory!E47</f>
        <v>4619.05411992</v>
      </c>
      <c r="F47" s="68" t="n">
        <f aca="false">SourceHistory!F47</f>
        <v>5747.6725253</v>
      </c>
      <c r="G47" s="68" t="n">
        <f aca="false">Monthly_BS!O35</f>
        <v>5561.63119815311</v>
      </c>
      <c r="H47" s="68" t="n">
        <f aca="false">Monthly_BS!AA35</f>
        <v>5505.84107099052</v>
      </c>
      <c r="I47" s="68" t="n">
        <f aca="false">Monthly_BS!AM35</f>
        <v>5471.18905502034</v>
      </c>
      <c r="J47" s="59"/>
      <c r="K47" s="59"/>
    </row>
    <row r="48" customFormat="false" ht="21" hidden="false" customHeight="true" outlineLevel="0" collapsed="false">
      <c r="C48" s="56"/>
      <c r="D48" s="59"/>
      <c r="E48" s="59"/>
      <c r="F48" s="59"/>
      <c r="G48" s="59"/>
      <c r="H48" s="59"/>
      <c r="I48" s="59"/>
      <c r="J48" s="59"/>
      <c r="K48" s="59"/>
    </row>
    <row r="49" customFormat="false" ht="21" hidden="false" customHeight="true" outlineLevel="0" collapsed="false">
      <c r="C49" s="56" t="s">
        <v>115</v>
      </c>
      <c r="D49" s="69" t="n">
        <f aca="false">SourceHistory!D48</f>
        <v>9383.73487402</v>
      </c>
      <c r="E49" s="69" t="n">
        <f aca="false">SourceHistory!E48</f>
        <v>10808.30131508</v>
      </c>
      <c r="F49" s="69" t="n">
        <f aca="false">SourceHistory!F48</f>
        <v>11553.52044257</v>
      </c>
      <c r="G49" s="69" t="n">
        <f aca="false">Monthly_BS!O38</f>
        <v>12041.694969139</v>
      </c>
      <c r="H49" s="69" t="n">
        <f aca="false">Monthly_BS!AA38</f>
        <v>12620.2219735576</v>
      </c>
      <c r="I49" s="69" t="n">
        <f aca="false">Monthly_BS!AM38</f>
        <v>13048.7877723098</v>
      </c>
      <c r="J49" s="59"/>
      <c r="K49" s="59"/>
    </row>
    <row r="50" customFormat="false" ht="21" hidden="false" customHeight="true" outlineLevel="0" collapsed="false">
      <c r="C50" s="56" t="s">
        <v>116</v>
      </c>
      <c r="D50" s="71" t="n">
        <f aca="false">D52-D49-D51</f>
        <v>5062.18708982</v>
      </c>
      <c r="E50" s="71" t="n">
        <f aca="false">E52-E49-E51</f>
        <v>5057.814376</v>
      </c>
      <c r="F50" s="71" t="n">
        <f aca="false">F52-F49-F51</f>
        <v>5244.09475818</v>
      </c>
      <c r="G50" s="69" t="n">
        <f aca="false">Monthly_BS!O39</f>
        <v>4946.384190325</v>
      </c>
      <c r="H50" s="69" t="n">
        <f aca="false">Monthly_BS!AA39</f>
        <v>4991.588747595</v>
      </c>
      <c r="I50" s="69" t="n">
        <f aca="false">Monthly_BS!AM39</f>
        <v>5036.793304865</v>
      </c>
      <c r="J50" s="59"/>
      <c r="K50" s="59"/>
    </row>
    <row r="51" customFormat="false" ht="21" hidden="false" customHeight="true" outlineLevel="0" collapsed="false">
      <c r="C51" s="56" t="s">
        <v>117</v>
      </c>
      <c r="D51" s="69" t="n">
        <f aca="false">SourceHistory!D49</f>
        <v>14.48958189</v>
      </c>
      <c r="E51" s="69" t="n">
        <f aca="false">SourceHistory!E49</f>
        <v>8.86467968</v>
      </c>
      <c r="F51" s="69" t="n">
        <f aca="false">SourceHistory!F49</f>
        <v>10.95481658</v>
      </c>
      <c r="G51" s="69" t="n">
        <f aca="false">Monthly_BS!O40</f>
        <v>17.43326877048</v>
      </c>
      <c r="H51" s="69" t="n">
        <f aca="false">Monthly_BS!AA40</f>
        <v>17.325950756783</v>
      </c>
      <c r="I51" s="69" t="n">
        <f aca="false">Monthly_BS!AM40</f>
        <v>17.9228262860593</v>
      </c>
      <c r="J51" s="59"/>
      <c r="K51" s="59"/>
    </row>
    <row r="52" customFormat="false" ht="21" hidden="false" customHeight="true" outlineLevel="0" collapsed="false">
      <c r="C52" s="60" t="s">
        <v>118</v>
      </c>
      <c r="D52" s="68" t="n">
        <f aca="false">SourceHistory!D50</f>
        <v>14460.41154573</v>
      </c>
      <c r="E52" s="68" t="n">
        <f aca="false">SourceHistory!E50</f>
        <v>15874.98037076</v>
      </c>
      <c r="F52" s="68" t="n">
        <f aca="false">SourceHistory!F50</f>
        <v>16808.57001733</v>
      </c>
      <c r="G52" s="68" t="n">
        <f aca="false">Monthly_BS!O42</f>
        <v>17005.5124282345</v>
      </c>
      <c r="H52" s="68" t="n">
        <f aca="false">Monthly_BS!AA42</f>
        <v>17629.1366719094</v>
      </c>
      <c r="I52" s="68" t="n">
        <f aca="false">Monthly_BS!AM42</f>
        <v>18103.5039034609</v>
      </c>
      <c r="J52" s="59"/>
      <c r="K52" s="59"/>
    </row>
    <row r="53" customFormat="false" ht="21" hidden="false" customHeight="true" outlineLevel="0" collapsed="false">
      <c r="C53" s="60" t="s">
        <v>119</v>
      </c>
      <c r="D53" s="70" t="n">
        <f aca="false">D38-D47-D52</f>
        <v>0</v>
      </c>
      <c r="E53" s="70" t="n">
        <f aca="false">E38-E47-E52</f>
        <v>0</v>
      </c>
      <c r="F53" s="70" t="n">
        <f aca="false">F38-F47-F52</f>
        <v>0</v>
      </c>
      <c r="G53" s="68" t="n">
        <f aca="false">Monthly_BS!O44</f>
        <v>0</v>
      </c>
      <c r="H53" s="68" t="n">
        <f aca="false">Monthly_BS!AA44</f>
        <v>0</v>
      </c>
      <c r="I53" s="68" t="n">
        <f aca="false">Monthly_BS!AM44</f>
        <v>0</v>
      </c>
      <c r="J53" s="59"/>
      <c r="K53" s="59"/>
    </row>
    <row r="54" customFormat="false" ht="21" hidden="false" customHeight="true" outlineLevel="0" collapsed="false">
      <c r="C54" s="56"/>
      <c r="D54" s="59"/>
      <c r="E54" s="59"/>
      <c r="F54" s="59"/>
      <c r="G54" s="59"/>
      <c r="H54" s="59"/>
      <c r="I54" s="59"/>
      <c r="J54" s="59"/>
      <c r="K54" s="59"/>
    </row>
    <row r="55" customFormat="false" ht="21" hidden="false" customHeight="true" outlineLevel="0" collapsed="false">
      <c r="C55" s="56"/>
      <c r="D55" s="59"/>
      <c r="E55" s="59"/>
      <c r="F55" s="59"/>
      <c r="G55" s="59"/>
      <c r="H55" s="59"/>
      <c r="I55" s="59"/>
      <c r="J55" s="59"/>
      <c r="K55" s="59"/>
    </row>
    <row r="56" customFormat="false" ht="21" hidden="false" customHeight="true" outlineLevel="0" collapsed="false">
      <c r="C56" s="60" t="s">
        <v>120</v>
      </c>
      <c r="D56" s="68" t="n">
        <f aca="false">SourceHistory!D24</f>
        <v>4827.28209855</v>
      </c>
      <c r="E56" s="68" t="n">
        <f aca="false">SourceHistory!E24</f>
        <v>3730.34689627</v>
      </c>
      <c r="F56" s="68" t="n">
        <f aca="false">SourceHistory!F24</f>
        <v>4743.69235184</v>
      </c>
      <c r="G56" s="68" t="n">
        <f aca="false">H1Actual!D56+(SUM(Monthly_CF!J24:O24))</f>
        <v>3559.46282004916</v>
      </c>
      <c r="H56" s="68" t="n">
        <f aca="false">SUM(Monthly_CF!P24:AA24)</f>
        <v>4061.67575329547</v>
      </c>
      <c r="I56" s="68" t="n">
        <f aca="false">SUM(Monthly_CF!AB24:AM24)</f>
        <v>4091.7066208776</v>
      </c>
      <c r="J56" s="59"/>
      <c r="K56" s="59"/>
    </row>
    <row r="57" customFormat="false" ht="21" hidden="false" customHeight="true" outlineLevel="0" collapsed="false">
      <c r="C57" s="56" t="s">
        <v>121</v>
      </c>
      <c r="D57" s="69" t="n">
        <f aca="false">SourceHistory!D25</f>
        <v>-3434.3835219</v>
      </c>
      <c r="E57" s="69" t="n">
        <f aca="false">SourceHistory!E25</f>
        <v>-706.30976089</v>
      </c>
      <c r="F57" s="69" t="n">
        <f aca="false">SourceHistory!F25</f>
        <v>-2062.25262229</v>
      </c>
      <c r="G57" s="69" t="n">
        <f aca="false">H1Actual!D57+(SUM(Monthly_CF!J34:O34))</f>
        <v>1574.65081200882</v>
      </c>
      <c r="H57" s="69" t="n">
        <f aca="false">SUM(Monthly_CF!P34:AA34)</f>
        <v>-104.685903868634</v>
      </c>
      <c r="I57" s="69" t="n">
        <f aca="false">SUM(Monthly_CF!AB34:AM34)</f>
        <v>-132.256072320614</v>
      </c>
      <c r="J57" s="59"/>
      <c r="K57" s="59"/>
    </row>
    <row r="58" customFormat="false" ht="21" hidden="false" customHeight="true" outlineLevel="0" collapsed="false">
      <c r="C58" s="56" t="s">
        <v>122</v>
      </c>
      <c r="D58" s="69" t="n">
        <f aca="false">SourceHistory!D26</f>
        <v>-1987.04618027</v>
      </c>
      <c r="E58" s="69" t="n">
        <f aca="false">SourceHistory!E26</f>
        <v>-3522.3050348</v>
      </c>
      <c r="F58" s="69" t="n">
        <f aca="false">SourceHistory!F26</f>
        <v>-2798.88448025</v>
      </c>
      <c r="G58" s="69" t="n">
        <f aca="false">H1Actual!D58+(SUM(Monthly_CF!J45:O45))</f>
        <v>-3534.36325356032</v>
      </c>
      <c r="H58" s="69" t="n">
        <f aca="false">SUM(Monthly_CF!P45:AA45)</f>
        <v>-3775.36806545491</v>
      </c>
      <c r="I58" s="69" t="n">
        <f aca="false">SUM(Monthly_CF!AB45:AM45)</f>
        <v>-3921.29051423302</v>
      </c>
      <c r="J58" s="59"/>
      <c r="K58" s="59"/>
    </row>
    <row r="59" customFormat="false" ht="21" hidden="false" customHeight="true" outlineLevel="0" collapsed="false">
      <c r="C59" s="56" t="s">
        <v>123</v>
      </c>
      <c r="D59" s="69" t="n">
        <f aca="false">SourceHistory!D27</f>
        <v>0.99063394</v>
      </c>
      <c r="E59" s="69" t="n">
        <f aca="false">SourceHistory!E27</f>
        <v>2.39609903</v>
      </c>
      <c r="F59" s="69" t="n">
        <f aca="false">SourceHistory!F27</f>
        <v>2.17493125</v>
      </c>
      <c r="G59" s="69" t="n">
        <f aca="false">H1Actual!D59+(SUM(Monthly_CF!J47:O47))</f>
        <v>-7.09880488</v>
      </c>
      <c r="H59" s="69" t="n">
        <f aca="false">SUM(Monthly_CF!P47:AA47)</f>
        <v>0</v>
      </c>
      <c r="I59" s="69" t="n">
        <f aca="false">SUM(Monthly_CF!AB47:AM47)</f>
        <v>0</v>
      </c>
      <c r="J59" s="59"/>
      <c r="K59" s="59"/>
    </row>
    <row r="60" customFormat="false" ht="21" hidden="false" customHeight="true" outlineLevel="0" collapsed="false">
      <c r="C60" s="56" t="s">
        <v>124</v>
      </c>
      <c r="D60" s="69" t="n">
        <f aca="false">SourceHistory!D28</f>
        <v>1925.34317498</v>
      </c>
      <c r="E60" s="69" t="n">
        <f aca="false">SourceHistory!E28</f>
        <v>1332.1862053</v>
      </c>
      <c r="F60" s="69" t="n">
        <f aca="false">SourceHistory!F28</f>
        <v>836.31440491</v>
      </c>
      <c r="G60" s="69" t="n">
        <f aca="false">H1Data!D108</f>
        <v>721.04458546</v>
      </c>
      <c r="H60" s="69" t="n">
        <f aca="false">Monthly_CF!P50</f>
        <v>2313.69615907765</v>
      </c>
      <c r="I60" s="69" t="n">
        <f aca="false">Monthly_CF!AB50</f>
        <v>2495.31794304958</v>
      </c>
      <c r="J60" s="59"/>
      <c r="K60" s="59"/>
    </row>
    <row r="61" customFormat="false" ht="21" hidden="false" customHeight="true" outlineLevel="0" collapsed="false">
      <c r="C61" s="60" t="s">
        <v>43</v>
      </c>
      <c r="D61" s="68" t="n">
        <f aca="false">SourceHistory!D29</f>
        <v>1332.1862053</v>
      </c>
      <c r="E61" s="68" t="n">
        <f aca="false">SourceHistory!E29</f>
        <v>836.31440491</v>
      </c>
      <c r="F61" s="68" t="n">
        <f aca="false">SourceHistory!F29</f>
        <v>721.04458546</v>
      </c>
      <c r="G61" s="68" t="n">
        <f aca="false">Monthly_CF!O51</f>
        <v>2313.69615907765</v>
      </c>
      <c r="H61" s="68" t="n">
        <f aca="false">Monthly_CF!AA51</f>
        <v>2495.31794304958</v>
      </c>
      <c r="I61" s="68" t="n">
        <f aca="false">Monthly_CF!AM51</f>
        <v>2533.47797737355</v>
      </c>
      <c r="J61" s="59"/>
      <c r="K61" s="59"/>
    </row>
    <row r="62" customFormat="false" ht="21" hidden="false" customHeight="true" outlineLevel="0" collapsed="false">
      <c r="C62" s="56" t="s">
        <v>125</v>
      </c>
      <c r="D62" s="71" t="n">
        <f aca="false">D60+SUM(D56:D59)-D61</f>
        <v>0</v>
      </c>
      <c r="E62" s="71" t="n">
        <f aca="false">E60+SUM(E56:E59)-E61</f>
        <v>0</v>
      </c>
      <c r="F62" s="71" t="n">
        <f aca="false">F60+SUM(F56:F59)-F61</f>
        <v>0</v>
      </c>
      <c r="G62" s="69" t="n">
        <f aca="false">G60+SUM(G56:G59)-G61</f>
        <v>0</v>
      </c>
      <c r="H62" s="69" t="n">
        <f aca="false">SUM(Monthly_CF!P62:AA62)</f>
        <v>0</v>
      </c>
      <c r="I62" s="69" t="n">
        <f aca="false">SUM(Monthly_CF!AB62:AM62)</f>
        <v>0</v>
      </c>
      <c r="J62" s="59"/>
      <c r="K62" s="59"/>
    </row>
    <row r="63" customFormat="false" ht="21" hidden="false" customHeight="true" outlineLevel="0" collapsed="false">
      <c r="C63" s="56"/>
      <c r="D63" s="59"/>
      <c r="E63" s="59"/>
      <c r="F63" s="59"/>
      <c r="G63" s="59"/>
      <c r="H63" s="59"/>
      <c r="I63" s="59"/>
      <c r="J63" s="59"/>
      <c r="K63" s="59"/>
    </row>
    <row r="64" customFormat="false" ht="21" hidden="false" customHeight="true" outlineLevel="0" collapsed="false">
      <c r="C64" s="56" t="s">
        <v>126</v>
      </c>
      <c r="D64" s="72" t="n">
        <f aca="false">D11/D9</f>
        <v>0.432027821527476</v>
      </c>
      <c r="E64" s="72" t="n">
        <f aca="false">E11/E9</f>
        <v>0.432471656589721</v>
      </c>
      <c r="F64" s="72" t="n">
        <f aca="false">F11/F9</f>
        <v>0.431360981245041</v>
      </c>
      <c r="G64" s="72" t="n">
        <f aca="false">G11/G9</f>
        <v>0.403373684532793</v>
      </c>
      <c r="H64" s="72" t="n">
        <f aca="false">H11/H9</f>
        <v>0.413685724744669</v>
      </c>
      <c r="I64" s="72" t="n">
        <f aca="false">I11/I9</f>
        <v>0.404100009389712</v>
      </c>
      <c r="J64" s="59"/>
      <c r="K64" s="59"/>
    </row>
    <row r="65" customFormat="false" ht="21" hidden="false" customHeight="true" outlineLevel="0" collapsed="false">
      <c r="C65" s="56"/>
      <c r="D65" s="59"/>
      <c r="E65" s="59"/>
      <c r="F65" s="59"/>
      <c r="G65" s="59"/>
      <c r="H65" s="59"/>
      <c r="I65" s="59"/>
      <c r="J65" s="59"/>
      <c r="K65" s="59"/>
    </row>
    <row r="66" customFormat="false" ht="21" hidden="false" customHeight="true" outlineLevel="0" collapsed="false">
      <c r="C66" s="56"/>
      <c r="D66" s="59"/>
      <c r="E66" s="59"/>
      <c r="F66" s="59"/>
      <c r="G66" s="59"/>
      <c r="H66" s="59"/>
      <c r="I66" s="59"/>
      <c r="J66" s="59"/>
      <c r="K66" s="59"/>
    </row>
    <row r="67" customFormat="false" ht="21" hidden="false" customHeight="true" outlineLevel="0" collapsed="false">
      <c r="C67" s="56"/>
      <c r="D67" s="59"/>
      <c r="E67" s="59"/>
      <c r="F67" s="59"/>
      <c r="G67" s="59"/>
      <c r="H67" s="59"/>
      <c r="I67" s="59"/>
      <c r="J67" s="59"/>
      <c r="K67" s="59"/>
    </row>
    <row r="68" customFormat="false" ht="25" hidden="false" customHeight="true" outlineLevel="0" collapsed="false">
      <c r="C68" s="58" t="s">
        <v>127</v>
      </c>
      <c r="D68" s="58"/>
      <c r="E68" s="58"/>
      <c r="F68" s="58"/>
      <c r="G68" s="58"/>
      <c r="H68" s="58"/>
      <c r="I68" s="58"/>
      <c r="J68" s="58"/>
      <c r="K68" s="58"/>
    </row>
    <row r="69" customFormat="false" ht="25" hidden="false" customHeight="true" outlineLevel="0" collapsed="false">
      <c r="C69" s="58"/>
      <c r="D69" s="58"/>
      <c r="E69" s="58"/>
      <c r="F69" s="58"/>
      <c r="G69" s="58"/>
      <c r="H69" s="58"/>
      <c r="I69" s="58"/>
      <c r="J69" s="58"/>
      <c r="K69" s="58"/>
    </row>
    <row r="70" customFormat="false" ht="21" hidden="false" customHeight="true" outlineLevel="0" collapsed="false">
      <c r="C70" s="56"/>
      <c r="D70" s="59"/>
      <c r="E70" s="59"/>
      <c r="F70" s="59"/>
      <c r="G70" s="59"/>
      <c r="H70" s="59"/>
      <c r="I70" s="59"/>
      <c r="J70" s="59"/>
      <c r="K70" s="59"/>
    </row>
    <row r="71" customFormat="false" ht="21" hidden="false" customHeight="true" outlineLevel="0" collapsed="false">
      <c r="C71" s="56"/>
      <c r="D71" s="59"/>
      <c r="E71" s="59"/>
      <c r="F71" s="59"/>
      <c r="G71" s="59"/>
      <c r="H71" s="59"/>
      <c r="I71" s="59"/>
      <c r="J71" s="59"/>
      <c r="K71" s="59"/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</row>
  </sheetData>
  <sheetProtection sheet="1" objects="1" scenarios="1" selectLockedCells="0" selectUnlockedCells="0"/>
  <mergeCells count="3">
    <mergeCell ref="C2:K2"/>
    <mergeCell ref="C3:K4"/>
    <mergeCell ref="C68:K6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C1:AM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39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customFormat="false" ht="33" hidden="false" customHeight="true" outlineLevel="0" collapsed="false">
      <c r="C2" s="57" t="s">
        <v>128</v>
      </c>
      <c r="D2" s="57"/>
      <c r="E2" s="57"/>
      <c r="F2" s="57"/>
      <c r="G2" s="57"/>
      <c r="H2" s="57"/>
      <c r="I2" s="57"/>
      <c r="J2" s="57"/>
      <c r="K2" s="57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</row>
    <row r="3" customFormat="false" ht="21" hidden="false" customHeight="true" outlineLevel="0" collapsed="false">
      <c r="C3" s="58" t="s">
        <v>129</v>
      </c>
      <c r="D3" s="58"/>
      <c r="E3" s="58"/>
      <c r="F3" s="58"/>
      <c r="G3" s="58"/>
      <c r="H3" s="58"/>
      <c r="I3" s="58"/>
      <c r="J3" s="58"/>
      <c r="K3" s="58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</row>
    <row r="6" customFormat="false" ht="21" hidden="false" customHeight="true" outlineLevel="0" collapsed="false">
      <c r="C6" s="56"/>
      <c r="D6" s="56" t="s">
        <v>130</v>
      </c>
      <c r="E6" s="56" t="s">
        <v>130</v>
      </c>
      <c r="F6" s="56" t="s">
        <v>130</v>
      </c>
      <c r="G6" s="56" t="s">
        <v>130</v>
      </c>
      <c r="H6" s="56" t="s">
        <v>130</v>
      </c>
      <c r="I6" s="56" t="s">
        <v>131</v>
      </c>
      <c r="J6" s="56" t="s">
        <v>132</v>
      </c>
      <c r="K6" s="56" t="s">
        <v>132</v>
      </c>
      <c r="L6" s="56" t="s">
        <v>132</v>
      </c>
      <c r="M6" s="56" t="s">
        <v>132</v>
      </c>
      <c r="N6" s="56" t="s">
        <v>132</v>
      </c>
      <c r="O6" s="56" t="s">
        <v>132</v>
      </c>
      <c r="P6" s="56" t="s">
        <v>132</v>
      </c>
      <c r="Q6" s="56" t="s">
        <v>132</v>
      </c>
      <c r="R6" s="56" t="s">
        <v>132</v>
      </c>
      <c r="S6" s="56" t="s">
        <v>132</v>
      </c>
      <c r="T6" s="56" t="s">
        <v>132</v>
      </c>
      <c r="U6" s="56" t="s">
        <v>132</v>
      </c>
      <c r="V6" s="56" t="s">
        <v>132</v>
      </c>
      <c r="W6" s="56" t="s">
        <v>132</v>
      </c>
      <c r="X6" s="56" t="s">
        <v>132</v>
      </c>
      <c r="Y6" s="56" t="s">
        <v>132</v>
      </c>
      <c r="Z6" s="56" t="s">
        <v>132</v>
      </c>
      <c r="AA6" s="56" t="s">
        <v>132</v>
      </c>
      <c r="AB6" s="56" t="s">
        <v>132</v>
      </c>
      <c r="AC6" s="56" t="s">
        <v>132</v>
      </c>
      <c r="AD6" s="56" t="s">
        <v>132</v>
      </c>
      <c r="AE6" s="56" t="s">
        <v>132</v>
      </c>
      <c r="AF6" s="56" t="s">
        <v>132</v>
      </c>
      <c r="AG6" s="56" t="s">
        <v>132</v>
      </c>
      <c r="AH6" s="56" t="s">
        <v>132</v>
      </c>
      <c r="AI6" s="56" t="s">
        <v>132</v>
      </c>
      <c r="AJ6" s="56" t="s">
        <v>132</v>
      </c>
      <c r="AK6" s="56" t="s">
        <v>132</v>
      </c>
      <c r="AL6" s="56" t="s">
        <v>132</v>
      </c>
      <c r="AM6" s="56" t="s">
        <v>132</v>
      </c>
    </row>
    <row r="7" customFormat="false" ht="21" hidden="false" customHeight="true" outlineLevel="0" collapsed="false">
      <c r="C7" s="63"/>
      <c r="D7" s="73" t="n">
        <v>46053</v>
      </c>
      <c r="E7" s="73" t="n">
        <v>46081</v>
      </c>
      <c r="F7" s="73" t="n">
        <v>46112</v>
      </c>
      <c r="G7" s="73" t="n">
        <v>46142</v>
      </c>
      <c r="H7" s="73" t="n">
        <v>46173</v>
      </c>
      <c r="I7" s="73" t="n">
        <v>46203</v>
      </c>
      <c r="J7" s="73" t="n">
        <v>46234</v>
      </c>
      <c r="K7" s="73" t="n">
        <v>46265</v>
      </c>
      <c r="L7" s="73" t="n">
        <v>46295</v>
      </c>
      <c r="M7" s="73" t="n">
        <v>46326</v>
      </c>
      <c r="N7" s="73" t="n">
        <v>46356</v>
      </c>
      <c r="O7" s="73" t="n">
        <v>46387</v>
      </c>
      <c r="P7" s="73" t="n">
        <v>46418</v>
      </c>
      <c r="Q7" s="73" t="n">
        <v>46446</v>
      </c>
      <c r="R7" s="73" t="n">
        <v>46477</v>
      </c>
      <c r="S7" s="73" t="n">
        <v>46507</v>
      </c>
      <c r="T7" s="73" t="n">
        <v>46538</v>
      </c>
      <c r="U7" s="73" t="n">
        <v>46568</v>
      </c>
      <c r="V7" s="73" t="n">
        <v>46599</v>
      </c>
      <c r="W7" s="73" t="n">
        <v>46630</v>
      </c>
      <c r="X7" s="73" t="n">
        <v>46660</v>
      </c>
      <c r="Y7" s="73" t="n">
        <v>46691</v>
      </c>
      <c r="Z7" s="73" t="n">
        <v>46721</v>
      </c>
      <c r="AA7" s="73" t="n">
        <v>46752</v>
      </c>
      <c r="AB7" s="73" t="n">
        <v>46783</v>
      </c>
      <c r="AC7" s="73" t="n">
        <v>46812</v>
      </c>
      <c r="AD7" s="73" t="n">
        <v>46843</v>
      </c>
      <c r="AE7" s="73" t="n">
        <v>46873</v>
      </c>
      <c r="AF7" s="73" t="n">
        <v>46904</v>
      </c>
      <c r="AG7" s="73" t="n">
        <v>46934</v>
      </c>
      <c r="AH7" s="73" t="n">
        <v>46965</v>
      </c>
      <c r="AI7" s="73" t="n">
        <v>46996</v>
      </c>
      <c r="AJ7" s="73" t="n">
        <v>47026</v>
      </c>
      <c r="AK7" s="73" t="n">
        <v>47057</v>
      </c>
      <c r="AL7" s="73" t="n">
        <v>47087</v>
      </c>
      <c r="AM7" s="73" t="n">
        <v>47118</v>
      </c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</row>
    <row r="9" customFormat="false" ht="21" hidden="false" customHeight="true" outlineLevel="0" collapsed="false">
      <c r="C9" s="56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</row>
    <row r="10" customFormat="false" ht="21" hidden="false" customHeight="true" outlineLevel="0" collapsed="false">
      <c r="C10" s="60" t="s">
        <v>31</v>
      </c>
      <c r="D10" s="68"/>
      <c r="E10" s="68"/>
      <c r="F10" s="68"/>
      <c r="G10" s="68"/>
      <c r="H10" s="68"/>
      <c r="I10" s="68" t="n">
        <f aca="false">H1Data!D83</f>
        <v>8393.79111374</v>
      </c>
      <c r="J10" s="68" t="n">
        <f aca="false">Revenue!J40</f>
        <v>1356.55764443849</v>
      </c>
      <c r="K10" s="68" t="n">
        <f aca="false">Revenue!K40</f>
        <v>1356.55764443849</v>
      </c>
      <c r="L10" s="68" t="n">
        <f aca="false">Revenue!L40</f>
        <v>1356.55764443849</v>
      </c>
      <c r="M10" s="68" t="n">
        <f aca="false">Revenue!M40</f>
        <v>1356.55764443849</v>
      </c>
      <c r="N10" s="68" t="n">
        <f aca="false">Revenue!N40</f>
        <v>1356.55764443849</v>
      </c>
      <c r="O10" s="68" t="n">
        <f aca="false">Revenue!O40</f>
        <v>1356.55764443849</v>
      </c>
      <c r="P10" s="68" t="n">
        <f aca="false">Revenue!P40</f>
        <v>1448.84119004109</v>
      </c>
      <c r="Q10" s="68" t="n">
        <f aca="false">Revenue!Q40</f>
        <v>1448.84119004109</v>
      </c>
      <c r="R10" s="68" t="n">
        <f aca="false">Revenue!R40</f>
        <v>1448.84119004109</v>
      </c>
      <c r="S10" s="68" t="n">
        <f aca="false">Revenue!S40</f>
        <v>1448.84119004109</v>
      </c>
      <c r="T10" s="68" t="n">
        <f aca="false">Revenue!T40</f>
        <v>1448.84119004109</v>
      </c>
      <c r="U10" s="68" t="n">
        <f aca="false">Revenue!U40</f>
        <v>1448.84119004109</v>
      </c>
      <c r="V10" s="68" t="n">
        <f aca="false">Revenue!V40</f>
        <v>1405.7769194244</v>
      </c>
      <c r="W10" s="68" t="n">
        <f aca="false">Revenue!W40</f>
        <v>1405.7769194244</v>
      </c>
      <c r="X10" s="68" t="n">
        <f aca="false">Revenue!X40</f>
        <v>1405.7769194244</v>
      </c>
      <c r="Y10" s="68" t="n">
        <f aca="false">Revenue!Y40</f>
        <v>1405.7769194244</v>
      </c>
      <c r="Z10" s="68" t="n">
        <f aca="false">Revenue!Z40</f>
        <v>1405.7769194244</v>
      </c>
      <c r="AA10" s="68" t="n">
        <f aca="false">Revenue!AA40</f>
        <v>1405.7769194244</v>
      </c>
      <c r="AB10" s="68" t="n">
        <f aca="false">Revenue!AB40</f>
        <v>1501.26548569683</v>
      </c>
      <c r="AC10" s="68" t="n">
        <f aca="false">Revenue!AC40</f>
        <v>1501.26548569683</v>
      </c>
      <c r="AD10" s="68" t="n">
        <f aca="false">Revenue!AD40</f>
        <v>1501.26548569683</v>
      </c>
      <c r="AE10" s="68" t="n">
        <f aca="false">Revenue!AE40</f>
        <v>1501.26548569683</v>
      </c>
      <c r="AF10" s="68" t="n">
        <f aca="false">Revenue!AF40</f>
        <v>1501.26548569683</v>
      </c>
      <c r="AG10" s="68" t="n">
        <f aca="false">Revenue!AG40</f>
        <v>1501.26548569683</v>
      </c>
      <c r="AH10" s="68" t="n">
        <f aca="false">Revenue!AH40</f>
        <v>1457.57444994999</v>
      </c>
      <c r="AI10" s="68" t="n">
        <f aca="false">Revenue!AI40</f>
        <v>1457.57444994999</v>
      </c>
      <c r="AJ10" s="68" t="n">
        <f aca="false">Revenue!AJ40</f>
        <v>1457.57444994999</v>
      </c>
      <c r="AK10" s="68" t="n">
        <f aca="false">Revenue!AK40</f>
        <v>1457.57444994999</v>
      </c>
      <c r="AL10" s="68" t="n">
        <f aca="false">Revenue!AL40</f>
        <v>1457.57444994999</v>
      </c>
      <c r="AM10" s="68" t="n">
        <f aca="false">Revenue!AM40</f>
        <v>1457.57444994999</v>
      </c>
    </row>
    <row r="11" customFormat="false" ht="21" hidden="false" customHeight="true" outlineLevel="0" collapsed="false">
      <c r="C11" s="56" t="s">
        <v>133</v>
      </c>
      <c r="D11" s="69"/>
      <c r="E11" s="69"/>
      <c r="F11" s="69"/>
      <c r="G11" s="69"/>
      <c r="H11" s="69"/>
      <c r="I11" s="69"/>
      <c r="J11" s="69" t="n">
        <f aca="false">Production!J88</f>
        <v>934.964377668059</v>
      </c>
      <c r="K11" s="69" t="n">
        <f aca="false">Production!K88</f>
        <v>849.748447944349</v>
      </c>
      <c r="L11" s="69" t="n">
        <f aca="false">Production!L88</f>
        <v>811.310930442304</v>
      </c>
      <c r="M11" s="69" t="n">
        <f aca="false">Production!M88</f>
        <v>797.218907503637</v>
      </c>
      <c r="N11" s="69" t="n">
        <f aca="false">Production!N88</f>
        <v>788.593358170753</v>
      </c>
      <c r="O11" s="69" t="n">
        <f aca="false">Production!O88</f>
        <v>786.861435554514</v>
      </c>
      <c r="P11" s="69" t="n">
        <f aca="false">Production!P88</f>
        <v>841.689357438149</v>
      </c>
      <c r="Q11" s="69" t="n">
        <f aca="false">Production!Q88</f>
        <v>841.922674666078</v>
      </c>
      <c r="R11" s="69" t="n">
        <f aca="false">Production!R88</f>
        <v>847.876343139566</v>
      </c>
      <c r="S11" s="69" t="n">
        <f aca="false">Production!S88</f>
        <v>846.641928441423</v>
      </c>
      <c r="T11" s="69" t="n">
        <f aca="false">Production!T88</f>
        <v>848.127511043055</v>
      </c>
      <c r="U11" s="69" t="n">
        <f aca="false">Production!U88</f>
        <v>846.903633421479</v>
      </c>
      <c r="V11" s="69" t="n">
        <f aca="false">Production!V88</f>
        <v>825.350412334967</v>
      </c>
      <c r="W11" s="69" t="n">
        <f aca="false">Production!W88</f>
        <v>825.217397707311</v>
      </c>
      <c r="X11" s="69" t="n">
        <f aca="false">Production!X88</f>
        <v>823.829757858652</v>
      </c>
      <c r="Y11" s="69" t="n">
        <f aca="false">Production!Y88</f>
        <v>825.25146830764</v>
      </c>
      <c r="Z11" s="69" t="n">
        <f aca="false">Production!Z88</f>
        <v>823.99179284195</v>
      </c>
      <c r="AA11" s="69" t="n">
        <f aca="false">Production!AA88</f>
        <v>825.479806842077</v>
      </c>
      <c r="AB11" s="69" t="n">
        <f aca="false">Production!AB88</f>
        <v>884.899292513773</v>
      </c>
      <c r="AC11" s="69" t="n">
        <f aca="false">Production!AC88</f>
        <v>887.019380920609</v>
      </c>
      <c r="AD11" s="69" t="n">
        <f aca="false">Production!AD88</f>
        <v>891.927250707801</v>
      </c>
      <c r="AE11" s="69" t="n">
        <f aca="false">Production!AE88</f>
        <v>891.195599553953</v>
      </c>
      <c r="AF11" s="69" t="n">
        <f aca="false">Production!AF88</f>
        <v>892.978723632036</v>
      </c>
      <c r="AG11" s="69" t="n">
        <f aca="false">Production!AG88</f>
        <v>891.827143718737</v>
      </c>
      <c r="AH11" s="69" t="n">
        <f aca="false">Production!AH88</f>
        <v>869.897108010218</v>
      </c>
      <c r="AI11" s="69" t="n">
        <f aca="false">Production!AI88</f>
        <v>869.799979844982</v>
      </c>
      <c r="AJ11" s="69" t="n">
        <f aca="false">Production!AJ88</f>
        <v>868.823395481362</v>
      </c>
      <c r="AK11" s="69" t="n">
        <f aca="false">Production!AK88</f>
        <v>870.526395708345</v>
      </c>
      <c r="AL11" s="69" t="n">
        <f aca="false">Production!AL88</f>
        <v>869.298059432953</v>
      </c>
      <c r="AM11" s="69" t="n">
        <f aca="false">Production!AM88</f>
        <v>870.905805841298</v>
      </c>
    </row>
    <row r="12" customFormat="false" ht="21" hidden="false" customHeight="true" outlineLevel="0" collapsed="false">
      <c r="C12" s="56" t="s">
        <v>134</v>
      </c>
      <c r="D12" s="69"/>
      <c r="E12" s="69"/>
      <c r="F12" s="69"/>
      <c r="G12" s="69"/>
      <c r="H12" s="69"/>
      <c r="I12" s="69"/>
      <c r="J12" s="69" t="n">
        <f aca="false">Production!J90</f>
        <v>0</v>
      </c>
      <c r="K12" s="69" t="n">
        <f aca="false">Production!K90</f>
        <v>0</v>
      </c>
      <c r="L12" s="69" t="n">
        <f aca="false">Production!L90</f>
        <v>0</v>
      </c>
      <c r="M12" s="69" t="n">
        <f aca="false">Production!M90</f>
        <v>0</v>
      </c>
      <c r="N12" s="69" t="n">
        <f aca="false">Production!N90</f>
        <v>0</v>
      </c>
      <c r="O12" s="69" t="n">
        <f aca="false">Production!O90</f>
        <v>0</v>
      </c>
      <c r="P12" s="69" t="n">
        <f aca="false">Production!P90</f>
        <v>0</v>
      </c>
      <c r="Q12" s="69" t="n">
        <f aca="false">Production!Q90</f>
        <v>0</v>
      </c>
      <c r="R12" s="69" t="n">
        <f aca="false">Production!R90</f>
        <v>0</v>
      </c>
      <c r="S12" s="69" t="n">
        <f aca="false">Production!S90</f>
        <v>0</v>
      </c>
      <c r="T12" s="69" t="n">
        <f aca="false">Production!T90</f>
        <v>0</v>
      </c>
      <c r="U12" s="69" t="n">
        <f aca="false">Production!U90</f>
        <v>0</v>
      </c>
      <c r="V12" s="69" t="n">
        <f aca="false">Production!V90</f>
        <v>0</v>
      </c>
      <c r="W12" s="69" t="n">
        <f aca="false">Production!W90</f>
        <v>0</v>
      </c>
      <c r="X12" s="69" t="n">
        <f aca="false">Production!X90</f>
        <v>0</v>
      </c>
      <c r="Y12" s="69" t="n">
        <f aca="false">Production!Y90</f>
        <v>0</v>
      </c>
      <c r="Z12" s="69" t="n">
        <f aca="false">Production!Z90</f>
        <v>0</v>
      </c>
      <c r="AA12" s="69" t="n">
        <f aca="false">Production!AA90</f>
        <v>0</v>
      </c>
      <c r="AB12" s="69" t="n">
        <f aca="false">Production!AB90</f>
        <v>0</v>
      </c>
      <c r="AC12" s="69" t="n">
        <f aca="false">Production!AC90</f>
        <v>0</v>
      </c>
      <c r="AD12" s="69" t="n">
        <f aca="false">Production!AD90</f>
        <v>0</v>
      </c>
      <c r="AE12" s="69" t="n">
        <f aca="false">Production!AE90</f>
        <v>0</v>
      </c>
      <c r="AF12" s="69" t="n">
        <f aca="false">Production!AF90</f>
        <v>0</v>
      </c>
      <c r="AG12" s="69" t="n">
        <f aca="false">Production!AG90</f>
        <v>0</v>
      </c>
      <c r="AH12" s="69" t="n">
        <f aca="false">Production!AH90</f>
        <v>0</v>
      </c>
      <c r="AI12" s="69" t="n">
        <f aca="false">Production!AI90</f>
        <v>0</v>
      </c>
      <c r="AJ12" s="69" t="n">
        <f aca="false">Production!AJ90</f>
        <v>0</v>
      </c>
      <c r="AK12" s="69" t="n">
        <f aca="false">Production!AK90</f>
        <v>0</v>
      </c>
      <c r="AL12" s="69" t="n">
        <f aca="false">Production!AL90</f>
        <v>0</v>
      </c>
      <c r="AM12" s="69" t="n">
        <f aca="false">Production!AM90</f>
        <v>0</v>
      </c>
    </row>
    <row r="13" customFormat="false" ht="21" hidden="false" customHeight="true" outlineLevel="0" collapsed="false">
      <c r="C13" s="56" t="s">
        <v>135</v>
      </c>
      <c r="D13" s="69"/>
      <c r="E13" s="69"/>
      <c r="F13" s="69"/>
      <c r="G13" s="69"/>
      <c r="H13" s="69"/>
      <c r="I13" s="69"/>
      <c r="J13" s="69" t="n">
        <f aca="false">ExpenseDetail!J62</f>
        <v>0.458753386620674</v>
      </c>
      <c r="K13" s="69" t="n">
        <f aca="false">ExpenseDetail!K62</f>
        <v>0.458753386620674</v>
      </c>
      <c r="L13" s="69" t="n">
        <f aca="false">ExpenseDetail!L62</f>
        <v>0.458753386620674</v>
      </c>
      <c r="M13" s="69" t="n">
        <f aca="false">ExpenseDetail!M62</f>
        <v>0.458753386620674</v>
      </c>
      <c r="N13" s="69" t="n">
        <f aca="false">ExpenseDetail!N62</f>
        <v>0.458753386620674</v>
      </c>
      <c r="O13" s="69" t="n">
        <f aca="false">ExpenseDetail!O62</f>
        <v>0.458753386620674</v>
      </c>
      <c r="P13" s="69" t="n">
        <f aca="false">ExpenseDetail!P62</f>
        <v>2.86424725498719</v>
      </c>
      <c r="Q13" s="69" t="n">
        <f aca="false">ExpenseDetail!Q62</f>
        <v>2.86424725498719</v>
      </c>
      <c r="R13" s="69" t="n">
        <f aca="false">ExpenseDetail!R62</f>
        <v>2.86424725498719</v>
      </c>
      <c r="S13" s="69" t="n">
        <f aca="false">ExpenseDetail!S62</f>
        <v>2.86424725498719</v>
      </c>
      <c r="T13" s="69" t="n">
        <f aca="false">ExpenseDetail!T62</f>
        <v>2.86424725498719</v>
      </c>
      <c r="U13" s="69" t="n">
        <f aca="false">ExpenseDetail!U62</f>
        <v>2.86424725498719</v>
      </c>
      <c r="V13" s="69" t="n">
        <f aca="false">ExpenseDetail!V62</f>
        <v>0.458753386620674</v>
      </c>
      <c r="W13" s="69" t="n">
        <f aca="false">ExpenseDetail!W62</f>
        <v>0.458753386620674</v>
      </c>
      <c r="X13" s="69" t="n">
        <f aca="false">ExpenseDetail!X62</f>
        <v>0.458753386620674</v>
      </c>
      <c r="Y13" s="69" t="n">
        <f aca="false">ExpenseDetail!Y62</f>
        <v>0.458753386620674</v>
      </c>
      <c r="Z13" s="69" t="n">
        <f aca="false">ExpenseDetail!Z62</f>
        <v>0.458753386620674</v>
      </c>
      <c r="AA13" s="69" t="n">
        <f aca="false">ExpenseDetail!AA62</f>
        <v>0.458753386620674</v>
      </c>
      <c r="AB13" s="69" t="n">
        <f aca="false">ExpenseDetail!AB62</f>
        <v>2.86424725498719</v>
      </c>
      <c r="AC13" s="69" t="n">
        <f aca="false">ExpenseDetail!AC62</f>
        <v>2.86424725498719</v>
      </c>
      <c r="AD13" s="69" t="n">
        <f aca="false">ExpenseDetail!AD62</f>
        <v>2.86424725498719</v>
      </c>
      <c r="AE13" s="69" t="n">
        <f aca="false">ExpenseDetail!AE62</f>
        <v>2.86424725498719</v>
      </c>
      <c r="AF13" s="69" t="n">
        <f aca="false">ExpenseDetail!AF62</f>
        <v>2.86424725498719</v>
      </c>
      <c r="AG13" s="69" t="n">
        <f aca="false">ExpenseDetail!AG62</f>
        <v>2.86424725498719</v>
      </c>
      <c r="AH13" s="69" t="n">
        <f aca="false">ExpenseDetail!AH62</f>
        <v>0.458753386620674</v>
      </c>
      <c r="AI13" s="69" t="n">
        <f aca="false">ExpenseDetail!AI62</f>
        <v>0.458753386620674</v>
      </c>
      <c r="AJ13" s="69" t="n">
        <f aca="false">ExpenseDetail!AJ62</f>
        <v>0.458753386620674</v>
      </c>
      <c r="AK13" s="69" t="n">
        <f aca="false">ExpenseDetail!AK62</f>
        <v>0.458753386620674</v>
      </c>
      <c r="AL13" s="69" t="n">
        <f aca="false">ExpenseDetail!AL62</f>
        <v>0.458753386620674</v>
      </c>
      <c r="AM13" s="69" t="n">
        <f aca="false">ExpenseDetail!AM62</f>
        <v>0.458753386620674</v>
      </c>
    </row>
    <row r="14" customFormat="false" ht="21" hidden="false" customHeight="true" outlineLevel="0" collapsed="false">
      <c r="C14" s="60" t="s">
        <v>136</v>
      </c>
      <c r="D14" s="70"/>
      <c r="E14" s="70"/>
      <c r="F14" s="70"/>
      <c r="G14" s="70"/>
      <c r="H14" s="70"/>
      <c r="I14" s="70" t="n">
        <f aca="false">H1Data!D84</f>
        <v>4892.65462211</v>
      </c>
      <c r="J14" s="70" t="n">
        <f aca="false">SUM(J11:J13)</f>
        <v>935.42313105468</v>
      </c>
      <c r="K14" s="70" t="n">
        <f aca="false">SUM(K11:K13)</f>
        <v>850.20720133097</v>
      </c>
      <c r="L14" s="70" t="n">
        <f aca="false">SUM(L11:L13)</f>
        <v>811.769683828924</v>
      </c>
      <c r="M14" s="70" t="n">
        <f aca="false">SUM(M11:M13)</f>
        <v>797.677660890258</v>
      </c>
      <c r="N14" s="70" t="n">
        <f aca="false">SUM(N11:N13)</f>
        <v>789.052111557374</v>
      </c>
      <c r="O14" s="70" t="n">
        <f aca="false">SUM(O11:O13)</f>
        <v>787.320188941135</v>
      </c>
      <c r="P14" s="70" t="n">
        <f aca="false">SUM(P11:P13)</f>
        <v>844.553604693136</v>
      </c>
      <c r="Q14" s="70" t="n">
        <f aca="false">SUM(Q11:Q13)</f>
        <v>844.786921921065</v>
      </c>
      <c r="R14" s="70" t="n">
        <f aca="false">SUM(R11:R13)</f>
        <v>850.740590394553</v>
      </c>
      <c r="S14" s="70" t="n">
        <f aca="false">SUM(S11:S13)</f>
        <v>849.50617569641</v>
      </c>
      <c r="T14" s="70" t="n">
        <f aca="false">SUM(T11:T13)</f>
        <v>850.991758298042</v>
      </c>
      <c r="U14" s="70" t="n">
        <f aca="false">SUM(U11:U13)</f>
        <v>849.767880676466</v>
      </c>
      <c r="V14" s="70" t="n">
        <f aca="false">SUM(V11:V13)</f>
        <v>825.809165721588</v>
      </c>
      <c r="W14" s="70" t="n">
        <f aca="false">SUM(W11:W13)</f>
        <v>825.676151093932</v>
      </c>
      <c r="X14" s="70" t="n">
        <f aca="false">SUM(X11:X13)</f>
        <v>824.288511245273</v>
      </c>
      <c r="Y14" s="70" t="n">
        <f aca="false">SUM(Y11:Y13)</f>
        <v>825.71022169426</v>
      </c>
      <c r="Z14" s="70" t="n">
        <f aca="false">SUM(Z11:Z13)</f>
        <v>824.450546228571</v>
      </c>
      <c r="AA14" s="70" t="n">
        <f aca="false">SUM(AA11:AA13)</f>
        <v>825.938560228698</v>
      </c>
      <c r="AB14" s="70" t="n">
        <f aca="false">SUM(AB11:AB13)</f>
        <v>887.76353976876</v>
      </c>
      <c r="AC14" s="70" t="n">
        <f aca="false">SUM(AC11:AC13)</f>
        <v>889.883628175596</v>
      </c>
      <c r="AD14" s="70" t="n">
        <f aca="false">SUM(AD11:AD13)</f>
        <v>894.791497962788</v>
      </c>
      <c r="AE14" s="70" t="n">
        <f aca="false">SUM(AE11:AE13)</f>
        <v>894.05984680894</v>
      </c>
      <c r="AF14" s="70" t="n">
        <f aca="false">SUM(AF11:AF13)</f>
        <v>895.842970887023</v>
      </c>
      <c r="AG14" s="70" t="n">
        <f aca="false">SUM(AG11:AG13)</f>
        <v>894.691390973724</v>
      </c>
      <c r="AH14" s="70" t="n">
        <f aca="false">SUM(AH11:AH13)</f>
        <v>870.355861396839</v>
      </c>
      <c r="AI14" s="70" t="n">
        <f aca="false">SUM(AI11:AI13)</f>
        <v>870.258733231603</v>
      </c>
      <c r="AJ14" s="70" t="n">
        <f aca="false">SUM(AJ11:AJ13)</f>
        <v>869.282148867982</v>
      </c>
      <c r="AK14" s="70" t="n">
        <f aca="false">SUM(AK11:AK13)</f>
        <v>870.985149094965</v>
      </c>
      <c r="AL14" s="70" t="n">
        <f aca="false">SUM(AL11:AL13)</f>
        <v>869.756812819574</v>
      </c>
      <c r="AM14" s="70" t="n">
        <f aca="false">SUM(AM11:AM13)</f>
        <v>871.364559227918</v>
      </c>
    </row>
    <row r="15" customFormat="false" ht="21" hidden="false" customHeight="true" outlineLevel="0" collapsed="false">
      <c r="C15" s="60" t="s">
        <v>84</v>
      </c>
      <c r="D15" s="70"/>
      <c r="E15" s="70"/>
      <c r="F15" s="70"/>
      <c r="G15" s="70"/>
      <c r="H15" s="70"/>
      <c r="I15" s="70" t="n">
        <f aca="false">H1Data!D83-H1Data!D84</f>
        <v>3501.13649163</v>
      </c>
      <c r="J15" s="70" t="n">
        <f aca="false">J10-J14</f>
        <v>421.134513383809</v>
      </c>
      <c r="K15" s="70" t="n">
        <f aca="false">K10-K14</f>
        <v>506.35044310752</v>
      </c>
      <c r="L15" s="70" t="n">
        <f aca="false">L10-L14</f>
        <v>544.787960609565</v>
      </c>
      <c r="M15" s="70" t="n">
        <f aca="false">M10-M14</f>
        <v>558.879983548232</v>
      </c>
      <c r="N15" s="70" t="n">
        <f aca="false">N10-N14</f>
        <v>567.505532881115</v>
      </c>
      <c r="O15" s="70" t="n">
        <f aca="false">O10-O14</f>
        <v>569.237455497355</v>
      </c>
      <c r="P15" s="70" t="n">
        <f aca="false">P10-P14</f>
        <v>604.28758534795</v>
      </c>
      <c r="Q15" s="70" t="n">
        <f aca="false">Q10-Q14</f>
        <v>604.054268120021</v>
      </c>
      <c r="R15" s="70" t="n">
        <f aca="false">R10-R14</f>
        <v>598.100599646533</v>
      </c>
      <c r="S15" s="70" t="n">
        <f aca="false">S10-S14</f>
        <v>599.335014344676</v>
      </c>
      <c r="T15" s="70" t="n">
        <f aca="false">T10-T14</f>
        <v>597.849431743045</v>
      </c>
      <c r="U15" s="70" t="n">
        <f aca="false">U10-U14</f>
        <v>599.073309364621</v>
      </c>
      <c r="V15" s="70" t="n">
        <f aca="false">V10-V14</f>
        <v>579.967753702813</v>
      </c>
      <c r="W15" s="70" t="n">
        <f aca="false">W10-W14</f>
        <v>580.100768330469</v>
      </c>
      <c r="X15" s="70" t="n">
        <f aca="false">X10-X14</f>
        <v>581.488408179128</v>
      </c>
      <c r="Y15" s="70" t="n">
        <f aca="false">Y10-Y14</f>
        <v>580.066697730141</v>
      </c>
      <c r="Z15" s="70" t="n">
        <f aca="false">Z10-Z14</f>
        <v>581.32637319583</v>
      </c>
      <c r="AA15" s="70" t="n">
        <f aca="false">AA10-AA14</f>
        <v>579.838359195703</v>
      </c>
      <c r="AB15" s="70" t="n">
        <f aca="false">AB10-AB14</f>
        <v>613.50194592807</v>
      </c>
      <c r="AC15" s="70" t="n">
        <f aca="false">AC10-AC14</f>
        <v>611.381857521234</v>
      </c>
      <c r="AD15" s="70" t="n">
        <f aca="false">AD10-AD14</f>
        <v>606.473987734042</v>
      </c>
      <c r="AE15" s="70" t="n">
        <f aca="false">AE10-AE14</f>
        <v>607.20563888789</v>
      </c>
      <c r="AF15" s="70" t="n">
        <f aca="false">AF10-AF14</f>
        <v>605.422514809807</v>
      </c>
      <c r="AG15" s="70" t="n">
        <f aca="false">AG10-AG14</f>
        <v>606.574094723106</v>
      </c>
      <c r="AH15" s="70" t="n">
        <f aca="false">AH10-AH14</f>
        <v>587.218588553153</v>
      </c>
      <c r="AI15" s="70" t="n">
        <f aca="false">AI10-AI14</f>
        <v>587.315716718389</v>
      </c>
      <c r="AJ15" s="70" t="n">
        <f aca="false">AJ10-AJ14</f>
        <v>588.292301082009</v>
      </c>
      <c r="AK15" s="70" t="n">
        <f aca="false">AK10-AK14</f>
        <v>586.589300855027</v>
      </c>
      <c r="AL15" s="70" t="n">
        <f aca="false">AL10-AL14</f>
        <v>587.817637130418</v>
      </c>
      <c r="AM15" s="70" t="n">
        <f aca="false">AM10-AM14</f>
        <v>586.209890722074</v>
      </c>
    </row>
    <row r="16" customFormat="false" ht="21" hidden="false" customHeight="true" outlineLevel="0" collapsed="false">
      <c r="C16" s="56" t="s">
        <v>126</v>
      </c>
      <c r="D16" s="72"/>
      <c r="E16" s="72"/>
      <c r="F16" s="72"/>
      <c r="G16" s="72"/>
      <c r="H16" s="72"/>
      <c r="I16" s="72" t="n">
        <f aca="false">I15/I10</f>
        <v>0.417110271650542</v>
      </c>
      <c r="J16" s="72" t="n">
        <f aca="false">IF(J10=0,0,J15/J10)</f>
        <v>0.31044350758727</v>
      </c>
      <c r="K16" s="72" t="n">
        <f aca="false">IF(K10=0,0,K15/K10)</f>
        <v>0.373261280258466</v>
      </c>
      <c r="L16" s="72" t="n">
        <f aca="false">IF(L10=0,0,L15/L10)</f>
        <v>0.401595879720294</v>
      </c>
      <c r="M16" s="72" t="n">
        <f aca="false">IF(M10=0,0,M15/M10)</f>
        <v>0.411983955005145</v>
      </c>
      <c r="N16" s="72" t="n">
        <f aca="false">IF(N10=0,0,N15/N10)</f>
        <v>0.418342364740438</v>
      </c>
      <c r="O16" s="72" t="n">
        <f aca="false">IF(O10=0,0,O15/O10)</f>
        <v>0.419619068773871</v>
      </c>
      <c r="P16" s="72" t="n">
        <f aca="false">IF(P10=0,0,P15/P10)</f>
        <v>0.417083383259427</v>
      </c>
      <c r="Q16" s="72" t="n">
        <f aca="false">IF(Q10=0,0,Q15/Q10)</f>
        <v>0.416922346128834</v>
      </c>
      <c r="R16" s="72" t="n">
        <f aca="false">IF(R10=0,0,R15/R10)</f>
        <v>0.412813083833965</v>
      </c>
      <c r="S16" s="72" t="n">
        <f aca="false">IF(S10=0,0,S15/S10)</f>
        <v>0.413665085217297</v>
      </c>
      <c r="T16" s="72" t="n">
        <f aca="false">IF(T10=0,0,T15/T10)</f>
        <v>0.412639726046228</v>
      </c>
      <c r="U16" s="72" t="n">
        <f aca="false">IF(U10=0,0,U15/U10)</f>
        <v>0.413484454667963</v>
      </c>
      <c r="V16" s="72" t="n">
        <f aca="false">IF(V10=0,0,V15/V10)</f>
        <v>0.412560304333551</v>
      </c>
      <c r="W16" s="72" t="n">
        <f aca="false">IF(W10=0,0,W15/W10)</f>
        <v>0.412654924344606</v>
      </c>
      <c r="X16" s="72" t="n">
        <f aca="false">IF(X10=0,0,X15/X10)</f>
        <v>0.413642022531726</v>
      </c>
      <c r="Y16" s="72" t="n">
        <f aca="false">IF(Y10=0,0,Y15/Y10)</f>
        <v>0.412630688208802</v>
      </c>
      <c r="Z16" s="72" t="n">
        <f aca="false">IF(Z10=0,0,Z15/Z10)</f>
        <v>0.413526758878539</v>
      </c>
      <c r="AA16" s="72" t="n">
        <f aca="false">IF(AA10=0,0,AA15/AA10)</f>
        <v>0.412468259496762</v>
      </c>
      <c r="AB16" s="72" t="n">
        <f aca="false">IF(AB10=0,0,AB15/AB10)</f>
        <v>0.408656531288539</v>
      </c>
      <c r="AC16" s="72" t="n">
        <f aca="false">IF(AC10=0,0,AC15/AC10)</f>
        <v>0.407244330430639</v>
      </c>
      <c r="AD16" s="72" t="n">
        <f aca="false">IF(AD10=0,0,AD15/AD10)</f>
        <v>0.40397517528523</v>
      </c>
      <c r="AE16" s="72" t="n">
        <f aca="false">IF(AE10=0,0,AE15/AE10)</f>
        <v>0.404462531559532</v>
      </c>
      <c r="AF16" s="72" t="n">
        <f aca="false">IF(AF10=0,0,AF15/AF10)</f>
        <v>0.403274784225651</v>
      </c>
      <c r="AG16" s="72" t="n">
        <f aca="false">IF(AG10=0,0,AG15/AG10)</f>
        <v>0.404041857021417</v>
      </c>
      <c r="AH16" s="72" t="n">
        <f aca="false">IF(AH10=0,0,AH15/AH10)</f>
        <v>0.402873821349777</v>
      </c>
      <c r="AI16" s="72" t="n">
        <f aca="false">IF(AI10=0,0,AI15/AI10)</f>
        <v>0.402940458196519</v>
      </c>
      <c r="AJ16" s="72" t="n">
        <f aca="false">IF(AJ10=0,0,AJ15/AJ10)</f>
        <v>0.403610464701953</v>
      </c>
      <c r="AK16" s="72" t="n">
        <f aca="false">IF(AK10=0,0,AK15/AK10)</f>
        <v>0.402442085119667</v>
      </c>
      <c r="AL16" s="72" t="n">
        <f aca="false">IF(AL10=0,0,AL15/AL10)</f>
        <v>0.40328481138688</v>
      </c>
      <c r="AM16" s="72" t="n">
        <f aca="false">IF(AM10=0,0,AM15/AM10)</f>
        <v>0.402181782715927</v>
      </c>
    </row>
    <row r="17" customFormat="false" ht="21" hidden="false" customHeight="true" outlineLevel="0" collapsed="false">
      <c r="C17" s="56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</row>
    <row r="18" customFormat="false" ht="21" hidden="false" customHeight="true" outlineLevel="0" collapsed="false">
      <c r="C18" s="56" t="s">
        <v>137</v>
      </c>
      <c r="D18" s="69"/>
      <c r="E18" s="69"/>
      <c r="F18" s="69"/>
      <c r="G18" s="69"/>
      <c r="H18" s="69"/>
      <c r="I18" s="69" t="n">
        <f aca="false">H1Data!D85</f>
        <v>584.11762077</v>
      </c>
      <c r="J18" s="69" t="n">
        <f aca="false">ExpenseDetail!J17</f>
        <v>100.568105233361</v>
      </c>
      <c r="K18" s="69" t="n">
        <f aca="false">ExpenseDetail!K17</f>
        <v>100.568105233361</v>
      </c>
      <c r="L18" s="69" t="n">
        <f aca="false">ExpenseDetail!L17</f>
        <v>100.568105233361</v>
      </c>
      <c r="M18" s="69" t="n">
        <f aca="false">ExpenseDetail!M17</f>
        <v>100.568105233361</v>
      </c>
      <c r="N18" s="69" t="n">
        <f aca="false">ExpenseDetail!N17</f>
        <v>100.568105233361</v>
      </c>
      <c r="O18" s="69" t="n">
        <f aca="false">ExpenseDetail!O17</f>
        <v>100.568105233361</v>
      </c>
      <c r="P18" s="69" t="n">
        <f aca="false">ExpenseDetail!P17</f>
        <v>104.981337310807</v>
      </c>
      <c r="Q18" s="69" t="n">
        <f aca="false">ExpenseDetail!Q17</f>
        <v>104.981337310807</v>
      </c>
      <c r="R18" s="69" t="n">
        <f aca="false">ExpenseDetail!R17</f>
        <v>104.981337310807</v>
      </c>
      <c r="S18" s="69" t="n">
        <f aca="false">ExpenseDetail!S17</f>
        <v>104.981337310807</v>
      </c>
      <c r="T18" s="69" t="n">
        <f aca="false">ExpenseDetail!T17</f>
        <v>104.981337310807</v>
      </c>
      <c r="U18" s="69" t="n">
        <f aca="false">ExpenseDetail!U17</f>
        <v>104.981337310807</v>
      </c>
      <c r="V18" s="69" t="n">
        <f aca="false">ExpenseDetail!V17</f>
        <v>103.510879074875</v>
      </c>
      <c r="W18" s="69" t="n">
        <f aca="false">ExpenseDetail!W17</f>
        <v>103.510879074875</v>
      </c>
      <c r="X18" s="69" t="n">
        <f aca="false">ExpenseDetail!X17</f>
        <v>103.510879074875</v>
      </c>
      <c r="Y18" s="69" t="n">
        <f aca="false">ExpenseDetail!Y17</f>
        <v>103.510879074875</v>
      </c>
      <c r="Z18" s="69" t="n">
        <f aca="false">ExpenseDetail!Z17</f>
        <v>103.510879074875</v>
      </c>
      <c r="AA18" s="69" t="n">
        <f aca="false">ExpenseDetail!AA17</f>
        <v>103.510879074875</v>
      </c>
      <c r="AB18" s="69" t="n">
        <f aca="false">ExpenseDetail!AB17</f>
        <v>108.069982023665</v>
      </c>
      <c r="AC18" s="69" t="n">
        <f aca="false">ExpenseDetail!AC17</f>
        <v>108.069982023665</v>
      </c>
      <c r="AD18" s="69" t="n">
        <f aca="false">ExpenseDetail!AD17</f>
        <v>108.069982023665</v>
      </c>
      <c r="AE18" s="69" t="n">
        <f aca="false">ExpenseDetail!AE17</f>
        <v>108.069982023665</v>
      </c>
      <c r="AF18" s="69" t="n">
        <f aca="false">ExpenseDetail!AF17</f>
        <v>108.069982023665</v>
      </c>
      <c r="AG18" s="69" t="n">
        <f aca="false">ExpenseDetail!AG17</f>
        <v>108.069982023665</v>
      </c>
      <c r="AH18" s="69" t="n">
        <f aca="false">ExpenseDetail!AH17</f>
        <v>106.57812247443</v>
      </c>
      <c r="AI18" s="69" t="n">
        <f aca="false">ExpenseDetail!AI17</f>
        <v>106.57812247443</v>
      </c>
      <c r="AJ18" s="69" t="n">
        <f aca="false">ExpenseDetail!AJ17</f>
        <v>106.57812247443</v>
      </c>
      <c r="AK18" s="69" t="n">
        <f aca="false">ExpenseDetail!AK17</f>
        <v>106.57812247443</v>
      </c>
      <c r="AL18" s="69" t="n">
        <f aca="false">ExpenseDetail!AL17</f>
        <v>106.57812247443</v>
      </c>
      <c r="AM18" s="69" t="n">
        <f aca="false">ExpenseDetail!AM17</f>
        <v>106.57812247443</v>
      </c>
    </row>
    <row r="19" customFormat="false" ht="21" hidden="false" customHeight="true" outlineLevel="0" collapsed="false">
      <c r="C19" s="56" t="s">
        <v>138</v>
      </c>
      <c r="D19" s="69"/>
      <c r="E19" s="69"/>
      <c r="F19" s="69"/>
      <c r="G19" s="69"/>
      <c r="H19" s="69"/>
      <c r="I19" s="69" t="n">
        <f aca="false">H1Data!D86</f>
        <v>305.54310983</v>
      </c>
      <c r="J19" s="69" t="n">
        <f aca="false">ExpenseDetail!J31</f>
        <v>60.1368224558422</v>
      </c>
      <c r="K19" s="69" t="n">
        <f aca="false">ExpenseDetail!K31</f>
        <v>60.2064883693301</v>
      </c>
      <c r="L19" s="69" t="n">
        <f aca="false">ExpenseDetail!L31</f>
        <v>60.2761542828179</v>
      </c>
      <c r="M19" s="69" t="n">
        <f aca="false">ExpenseDetail!M31</f>
        <v>60.3458201963058</v>
      </c>
      <c r="N19" s="69" t="n">
        <f aca="false">ExpenseDetail!N31</f>
        <v>60.4154861097937</v>
      </c>
      <c r="O19" s="69" t="n">
        <f aca="false">ExpenseDetail!O31</f>
        <v>60.4851520232815</v>
      </c>
      <c r="P19" s="69" t="n">
        <f aca="false">ExpenseDetail!P31</f>
        <v>61.7674880181261</v>
      </c>
      <c r="Q19" s="69" t="n">
        <f aca="false">ExpenseDetail!Q31</f>
        <v>61.8406372272884</v>
      </c>
      <c r="R19" s="69" t="n">
        <f aca="false">ExpenseDetail!R31</f>
        <v>61.9137864364507</v>
      </c>
      <c r="S19" s="69" t="n">
        <f aca="false">ExpenseDetail!S31</f>
        <v>61.9869356456129</v>
      </c>
      <c r="T19" s="69" t="n">
        <f aca="false">ExpenseDetail!T31</f>
        <v>62.0600848547752</v>
      </c>
      <c r="U19" s="69" t="n">
        <f aca="false">ExpenseDetail!U31</f>
        <v>62.1332340639374</v>
      </c>
      <c r="V19" s="69" t="n">
        <f aca="false">ExpenseDetail!V31</f>
        <v>62.2063832730997</v>
      </c>
      <c r="W19" s="69" t="n">
        <f aca="false">ExpenseDetail!W31</f>
        <v>62.279532482262</v>
      </c>
      <c r="X19" s="69" t="n">
        <f aca="false">ExpenseDetail!X31</f>
        <v>61.9423851834339</v>
      </c>
      <c r="Y19" s="69" t="n">
        <f aca="false">ExpenseDetail!Y31</f>
        <v>62.01015958132</v>
      </c>
      <c r="Z19" s="69" t="n">
        <f aca="false">ExpenseDetail!Z31</f>
        <v>62.0833087904823</v>
      </c>
      <c r="AA19" s="69" t="n">
        <f aca="false">ExpenseDetail!AA31</f>
        <v>62.1564579996445</v>
      </c>
      <c r="AB19" s="69" t="n">
        <f aca="false">ExpenseDetail!AB31</f>
        <v>63.477573486352</v>
      </c>
      <c r="AC19" s="69" t="n">
        <f aca="false">ExpenseDetail!AC31</f>
        <v>63.5543801559724</v>
      </c>
      <c r="AD19" s="69" t="n">
        <f aca="false">ExpenseDetail!AD31</f>
        <v>63.6311868255927</v>
      </c>
      <c r="AE19" s="69" t="n">
        <f aca="false">ExpenseDetail!AE31</f>
        <v>63.7079934952131</v>
      </c>
      <c r="AF19" s="69" t="n">
        <f aca="false">ExpenseDetail!AF31</f>
        <v>63.7848001648335</v>
      </c>
      <c r="AG19" s="69" t="n">
        <f aca="false">ExpenseDetail!AG31</f>
        <v>63.8616068344538</v>
      </c>
      <c r="AH19" s="69" t="n">
        <f aca="false">ExpenseDetail!AH31</f>
        <v>63.9384135040742</v>
      </c>
      <c r="AI19" s="69" t="n">
        <f aca="false">ExpenseDetail!AI31</f>
        <v>64.0152201736946</v>
      </c>
      <c r="AJ19" s="69" t="n">
        <f aca="false">ExpenseDetail!AJ31</f>
        <v>64.092026843315</v>
      </c>
      <c r="AK19" s="69" t="n">
        <f aca="false">ExpenseDetail!AK31</f>
        <v>64.1688335129353</v>
      </c>
      <c r="AL19" s="69" t="n">
        <f aca="false">ExpenseDetail!AL31</f>
        <v>64.2456401825557</v>
      </c>
      <c r="AM19" s="69" t="n">
        <f aca="false">ExpenseDetail!AM31</f>
        <v>64.3224468521761</v>
      </c>
    </row>
    <row r="20" customFormat="false" ht="21" hidden="false" customHeight="true" outlineLevel="0" collapsed="false">
      <c r="C20" s="56" t="s">
        <v>139</v>
      </c>
      <c r="D20" s="69"/>
      <c r="E20" s="69"/>
      <c r="F20" s="69"/>
      <c r="G20" s="69"/>
      <c r="H20" s="69"/>
      <c r="I20" s="69" t="n">
        <f aca="false">H1Data!D87</f>
        <v>286.28158179</v>
      </c>
      <c r="J20" s="69" t="n">
        <f aca="false">ExpenseDetail!J39</f>
        <v>54.9113112608752</v>
      </c>
      <c r="K20" s="69" t="n">
        <f aca="false">ExpenseDetail!K39</f>
        <v>54.9209633599849</v>
      </c>
      <c r="L20" s="69" t="n">
        <f aca="false">ExpenseDetail!L39</f>
        <v>54.9306154590945</v>
      </c>
      <c r="M20" s="69" t="n">
        <f aca="false">ExpenseDetail!M39</f>
        <v>54.9402675582041</v>
      </c>
      <c r="N20" s="69" t="n">
        <f aca="false">ExpenseDetail!N39</f>
        <v>54.9499196573138</v>
      </c>
      <c r="O20" s="69" t="n">
        <f aca="false">ExpenseDetail!O39</f>
        <v>54.9595717564234</v>
      </c>
      <c r="P20" s="69" t="n">
        <f aca="false">ExpenseDetail!P39</f>
        <v>57.125276816927</v>
      </c>
      <c r="Q20" s="69" t="n">
        <f aca="false">ExpenseDetail!Q39</f>
        <v>57.1354115209921</v>
      </c>
      <c r="R20" s="69" t="n">
        <f aca="false">ExpenseDetail!R39</f>
        <v>57.1455462250572</v>
      </c>
      <c r="S20" s="69" t="n">
        <f aca="false">ExpenseDetail!S39</f>
        <v>57.1556809291224</v>
      </c>
      <c r="T20" s="69" t="n">
        <f aca="false">ExpenseDetail!T39</f>
        <v>57.1658156331875</v>
      </c>
      <c r="U20" s="69" t="n">
        <f aca="false">ExpenseDetail!U39</f>
        <v>57.1759503372526</v>
      </c>
      <c r="V20" s="69" t="n">
        <f aca="false">ExpenseDetail!V39</f>
        <v>56.6897282546649</v>
      </c>
      <c r="W20" s="69" t="n">
        <f aca="false">ExpenseDetail!W39</f>
        <v>56.69986295873</v>
      </c>
      <c r="X20" s="69" t="n">
        <f aca="false">ExpenseDetail!X39</f>
        <v>56.6531517483273</v>
      </c>
      <c r="Y20" s="69" t="n">
        <f aca="false">ExpenseDetail!Y39</f>
        <v>56.6625417810239</v>
      </c>
      <c r="Z20" s="69" t="n">
        <f aca="false">ExpenseDetail!Z39</f>
        <v>56.672676485089</v>
      </c>
      <c r="AA20" s="69" t="n">
        <f aca="false">ExpenseDetail!AA39</f>
        <v>56.6828111891541</v>
      </c>
      <c r="AB20" s="69" t="n">
        <f aca="false">ExpenseDetail!AB39</f>
        <v>58.9177177058726</v>
      </c>
      <c r="AC20" s="69" t="n">
        <f aca="false">ExpenseDetail!AC39</f>
        <v>58.9283591451409</v>
      </c>
      <c r="AD20" s="69" t="n">
        <f aca="false">ExpenseDetail!AD39</f>
        <v>58.9390005844093</v>
      </c>
      <c r="AE20" s="69" t="n">
        <f aca="false">ExpenseDetail!AE39</f>
        <v>58.9496420236777</v>
      </c>
      <c r="AF20" s="69" t="n">
        <f aca="false">ExpenseDetail!AF39</f>
        <v>58.960283462946</v>
      </c>
      <c r="AG20" s="69" t="n">
        <f aca="false">ExpenseDetail!AG39</f>
        <v>58.9709249022144</v>
      </c>
      <c r="AH20" s="69" t="n">
        <f aca="false">ExpenseDetail!AH39</f>
        <v>58.4779854889969</v>
      </c>
      <c r="AI20" s="69" t="n">
        <f aca="false">ExpenseDetail!AI39</f>
        <v>58.4886269282653</v>
      </c>
      <c r="AJ20" s="69" t="n">
        <f aca="false">ExpenseDetail!AJ39</f>
        <v>58.4992683675336</v>
      </c>
      <c r="AK20" s="69" t="n">
        <f aca="false">ExpenseDetail!AK39</f>
        <v>58.509909806802</v>
      </c>
      <c r="AL20" s="69" t="n">
        <f aca="false">ExpenseDetail!AL39</f>
        <v>58.5205512460704</v>
      </c>
      <c r="AM20" s="69" t="n">
        <f aca="false">ExpenseDetail!AM39</f>
        <v>58.5311926853387</v>
      </c>
    </row>
    <row r="21" customFormat="false" ht="21" hidden="false" customHeight="true" outlineLevel="0" collapsed="false">
      <c r="C21" s="56" t="s">
        <v>140</v>
      </c>
      <c r="D21" s="69"/>
      <c r="E21" s="69"/>
      <c r="F21" s="69"/>
      <c r="G21" s="69"/>
      <c r="H21" s="69"/>
      <c r="I21" s="69" t="n">
        <f aca="false">H1Data!D88</f>
        <v>76.48231689</v>
      </c>
      <c r="J21" s="69" t="n">
        <f aca="false">ExpenseDetail!J61</f>
        <v>12.9955369947422</v>
      </c>
      <c r="K21" s="69" t="n">
        <f aca="false">ExpenseDetail!K61</f>
        <v>12.9955369947422</v>
      </c>
      <c r="L21" s="69" t="n">
        <f aca="false">ExpenseDetail!L61</f>
        <v>12.9955369947422</v>
      </c>
      <c r="M21" s="69" t="n">
        <f aca="false">ExpenseDetail!M61</f>
        <v>12.9955369947422</v>
      </c>
      <c r="N21" s="69" t="n">
        <f aca="false">ExpenseDetail!N61</f>
        <v>12.9955369947422</v>
      </c>
      <c r="O21" s="69" t="n">
        <f aca="false">ExpenseDetail!O61</f>
        <v>12.9955369947422</v>
      </c>
      <c r="P21" s="69" t="n">
        <f aca="false">ExpenseDetail!P61</f>
        <v>13.8795939574531</v>
      </c>
      <c r="Q21" s="69" t="n">
        <f aca="false">ExpenseDetail!Q61</f>
        <v>13.8795939574531</v>
      </c>
      <c r="R21" s="69" t="n">
        <f aca="false">ExpenseDetail!R61</f>
        <v>13.8795939574531</v>
      </c>
      <c r="S21" s="69" t="n">
        <f aca="false">ExpenseDetail!S61</f>
        <v>13.8795939574531</v>
      </c>
      <c r="T21" s="69" t="n">
        <f aca="false">ExpenseDetail!T61</f>
        <v>13.8795939574531</v>
      </c>
      <c r="U21" s="69" t="n">
        <f aca="false">ExpenseDetail!U61</f>
        <v>13.8795939574531</v>
      </c>
      <c r="V21" s="69" t="n">
        <f aca="false">ExpenseDetail!V61</f>
        <v>13.4670472999298</v>
      </c>
      <c r="W21" s="69" t="n">
        <f aca="false">ExpenseDetail!W61</f>
        <v>13.4670472999298</v>
      </c>
      <c r="X21" s="69" t="n">
        <f aca="false">ExpenseDetail!X61</f>
        <v>13.4670472999298</v>
      </c>
      <c r="Y21" s="69" t="n">
        <f aca="false">ExpenseDetail!Y61</f>
        <v>13.4670472999298</v>
      </c>
      <c r="Z21" s="69" t="n">
        <f aca="false">ExpenseDetail!Z61</f>
        <v>13.4670472999298</v>
      </c>
      <c r="AA21" s="69" t="n">
        <f aca="false">ExpenseDetail!AA61</f>
        <v>13.4670472999298</v>
      </c>
      <c r="AB21" s="69" t="n">
        <f aca="false">ExpenseDetail!AB61</f>
        <v>14.3818076867484</v>
      </c>
      <c r="AC21" s="69" t="n">
        <f aca="false">ExpenseDetail!AC61</f>
        <v>14.3818076867484</v>
      </c>
      <c r="AD21" s="69" t="n">
        <f aca="false">ExpenseDetail!AD61</f>
        <v>14.3818076867484</v>
      </c>
      <c r="AE21" s="69" t="n">
        <f aca="false">ExpenseDetail!AE61</f>
        <v>14.3818076867484</v>
      </c>
      <c r="AF21" s="69" t="n">
        <f aca="false">ExpenseDetail!AF61</f>
        <v>14.3818076867484</v>
      </c>
      <c r="AG21" s="69" t="n">
        <f aca="false">ExpenseDetail!AG61</f>
        <v>14.3818076867484</v>
      </c>
      <c r="AH21" s="69" t="n">
        <f aca="false">ExpenseDetail!AH61</f>
        <v>13.9632567510661</v>
      </c>
      <c r="AI21" s="69" t="n">
        <f aca="false">ExpenseDetail!AI61</f>
        <v>13.9632567510661</v>
      </c>
      <c r="AJ21" s="69" t="n">
        <f aca="false">ExpenseDetail!AJ61</f>
        <v>13.9632567510661</v>
      </c>
      <c r="AK21" s="69" t="n">
        <f aca="false">ExpenseDetail!AK61</f>
        <v>13.9632567510661</v>
      </c>
      <c r="AL21" s="69" t="n">
        <f aca="false">ExpenseDetail!AL61</f>
        <v>13.9632567510661</v>
      </c>
      <c r="AM21" s="69" t="n">
        <f aca="false">ExpenseDetail!AM61</f>
        <v>13.9632567510661</v>
      </c>
    </row>
    <row r="22" customFormat="false" ht="21" hidden="false" customHeight="true" outlineLevel="0" collapsed="false">
      <c r="C22" s="56" t="s">
        <v>141</v>
      </c>
      <c r="D22" s="69"/>
      <c r="E22" s="69"/>
      <c r="F22" s="69"/>
      <c r="G22" s="69"/>
      <c r="H22" s="69"/>
      <c r="I22" s="69" t="n">
        <f aca="false">-H1Data!D94</f>
        <v>-0.11522692</v>
      </c>
      <c r="J22" s="69" t="n">
        <f aca="false">Receivables!J16</f>
        <v>0.56120476117756</v>
      </c>
      <c r="K22" s="69" t="n">
        <f aca="false">Receivables!K16</f>
        <v>0</v>
      </c>
      <c r="L22" s="69" t="n">
        <f aca="false">Receivables!L16</f>
        <v>0.90433538503925</v>
      </c>
      <c r="M22" s="69" t="n">
        <f aca="false">Receivables!M16</f>
        <v>-0.90433538503925</v>
      </c>
      <c r="N22" s="69" t="n">
        <f aca="false">Receivables!N16</f>
        <v>0.90433538503925</v>
      </c>
      <c r="O22" s="69" t="n">
        <f aca="false">Receivables!O16</f>
        <v>-0.90433538503925</v>
      </c>
      <c r="P22" s="69" t="n">
        <f aca="false">Receivables!P16</f>
        <v>1.84559667082609</v>
      </c>
      <c r="Q22" s="69" t="n">
        <f aca="false">Receivables!Q16</f>
        <v>3.10453480950039</v>
      </c>
      <c r="R22" s="69" t="n">
        <f aca="false">Receivables!R16</f>
        <v>-3.10453480950039</v>
      </c>
      <c r="S22" s="69" t="n">
        <f aca="false">Receivables!S16</f>
        <v>0.965855274066787</v>
      </c>
      <c r="T22" s="69" t="n">
        <f aca="false">Receivables!T16</f>
        <v>-0.965855274066787</v>
      </c>
      <c r="U22" s="69" t="n">
        <f aca="false">Receivables!U16</f>
        <v>0.965855274066787</v>
      </c>
      <c r="V22" s="69" t="n">
        <f aca="false">Receivables!V16</f>
        <v>-1.82710604160852</v>
      </c>
      <c r="W22" s="69" t="n">
        <f aca="false">Receivables!W16</f>
        <v>0</v>
      </c>
      <c r="X22" s="69" t="n">
        <f aca="false">Receivables!X16</f>
        <v>0.937146915148727</v>
      </c>
      <c r="Y22" s="69" t="n">
        <f aca="false">Receivables!Y16</f>
        <v>-0.937146915148727</v>
      </c>
      <c r="Z22" s="69" t="n">
        <f aca="false">Receivables!Z16</f>
        <v>0.937146915148727</v>
      </c>
      <c r="AA22" s="69" t="n">
        <f aca="false">Receivables!AA16</f>
        <v>-0.937146915148727</v>
      </c>
      <c r="AB22" s="69" t="n">
        <f aca="false">Receivables!AB16</f>
        <v>1.9096945058144</v>
      </c>
      <c r="AC22" s="69" t="n">
        <f aca="false">Receivables!AC16</f>
        <v>2.07062772139836</v>
      </c>
      <c r="AD22" s="69" t="n">
        <f aca="false">Receivables!AD16</f>
        <v>-2.07062772139836</v>
      </c>
      <c r="AE22" s="69" t="n">
        <f aca="false">Receivables!AE16</f>
        <v>1.00080339867587</v>
      </c>
      <c r="AF22" s="69" t="n">
        <f aca="false">Receivables!AF16</f>
        <v>-1.00080339867587</v>
      </c>
      <c r="AG22" s="69" t="n">
        <f aca="false">Receivables!AG16</f>
        <v>1.00080339867587</v>
      </c>
      <c r="AH22" s="69" t="n">
        <f aca="false">Receivables!AH16</f>
        <v>-1.87458896459413</v>
      </c>
      <c r="AI22" s="69" t="n">
        <f aca="false">Receivables!AI16</f>
        <v>0</v>
      </c>
      <c r="AJ22" s="69" t="n">
        <f aca="false">Receivables!AJ16</f>
        <v>0.971677213145266</v>
      </c>
      <c r="AK22" s="69" t="n">
        <f aca="false">Receivables!AK16</f>
        <v>-0.971677213145266</v>
      </c>
      <c r="AL22" s="69" t="n">
        <f aca="false">Receivables!AL16</f>
        <v>0.971677213145266</v>
      </c>
      <c r="AM22" s="69" t="n">
        <f aca="false">Receivables!AM16</f>
        <v>-0.971677213145266</v>
      </c>
    </row>
    <row r="23" customFormat="false" ht="21" hidden="false" customHeight="true" outlineLevel="0" collapsed="false">
      <c r="C23" s="56" t="s">
        <v>142</v>
      </c>
      <c r="D23" s="69"/>
      <c r="E23" s="69"/>
      <c r="F23" s="69"/>
      <c r="G23" s="69"/>
      <c r="H23" s="69"/>
      <c r="I23" s="69" t="n">
        <f aca="false">H1Data!D95</f>
        <v>14.20252638</v>
      </c>
      <c r="J23" s="69" t="n">
        <f aca="false">Assets!J103</f>
        <v>0</v>
      </c>
      <c r="K23" s="69" t="n">
        <f aca="false">Assets!K103</f>
        <v>0</v>
      </c>
      <c r="L23" s="69" t="n">
        <f aca="false">Assets!L103</f>
        <v>0</v>
      </c>
      <c r="M23" s="69" t="n">
        <f aca="false">Assets!M103</f>
        <v>0</v>
      </c>
      <c r="N23" s="69" t="n">
        <f aca="false">Assets!N103</f>
        <v>0</v>
      </c>
      <c r="O23" s="69" t="n">
        <f aca="false">Assets!O103</f>
        <v>0</v>
      </c>
      <c r="P23" s="69" t="n">
        <f aca="false">Assets!P103</f>
        <v>0</v>
      </c>
      <c r="Q23" s="69" t="n">
        <f aca="false">Assets!Q103</f>
        <v>0</v>
      </c>
      <c r="R23" s="69" t="n">
        <f aca="false">Assets!R103</f>
        <v>0</v>
      </c>
      <c r="S23" s="69" t="n">
        <f aca="false">Assets!S103</f>
        <v>0</v>
      </c>
      <c r="T23" s="69" t="n">
        <f aca="false">Assets!T103</f>
        <v>0</v>
      </c>
      <c r="U23" s="69" t="n">
        <f aca="false">Assets!U103</f>
        <v>0</v>
      </c>
      <c r="V23" s="69" t="n">
        <f aca="false">Assets!V103</f>
        <v>0</v>
      </c>
      <c r="W23" s="69" t="n">
        <f aca="false">Assets!W103</f>
        <v>0</v>
      </c>
      <c r="X23" s="69" t="n">
        <f aca="false">Assets!X103</f>
        <v>0</v>
      </c>
      <c r="Y23" s="69" t="n">
        <f aca="false">Assets!Y103</f>
        <v>0</v>
      </c>
      <c r="Z23" s="69" t="n">
        <f aca="false">Assets!Z103</f>
        <v>0</v>
      </c>
      <c r="AA23" s="69" t="n">
        <f aca="false">Assets!AA103</f>
        <v>0</v>
      </c>
      <c r="AB23" s="69" t="n">
        <f aca="false">Assets!AB103</f>
        <v>0</v>
      </c>
      <c r="AC23" s="69" t="n">
        <f aca="false">Assets!AC103</f>
        <v>0</v>
      </c>
      <c r="AD23" s="69" t="n">
        <f aca="false">Assets!AD103</f>
        <v>0</v>
      </c>
      <c r="AE23" s="69" t="n">
        <f aca="false">Assets!AE103</f>
        <v>0</v>
      </c>
      <c r="AF23" s="69" t="n">
        <f aca="false">Assets!AF103</f>
        <v>0</v>
      </c>
      <c r="AG23" s="69" t="n">
        <f aca="false">Assets!AG103</f>
        <v>0</v>
      </c>
      <c r="AH23" s="69" t="n">
        <f aca="false">Assets!AH103</f>
        <v>0</v>
      </c>
      <c r="AI23" s="69" t="n">
        <f aca="false">Assets!AI103</f>
        <v>0</v>
      </c>
      <c r="AJ23" s="69" t="n">
        <f aca="false">Assets!AJ103</f>
        <v>0</v>
      </c>
      <c r="AK23" s="69" t="n">
        <f aca="false">Assets!AK103</f>
        <v>0</v>
      </c>
      <c r="AL23" s="69" t="n">
        <f aca="false">Assets!AL103</f>
        <v>0</v>
      </c>
      <c r="AM23" s="69" t="n">
        <f aca="false">Assets!AM103</f>
        <v>0</v>
      </c>
    </row>
    <row r="24" customFormat="false" ht="21" hidden="false" customHeight="true" outlineLevel="0" collapsed="false">
      <c r="C24" s="56" t="s">
        <v>143</v>
      </c>
      <c r="D24" s="69"/>
      <c r="E24" s="69"/>
      <c r="F24" s="69"/>
      <c r="G24" s="69"/>
      <c r="H24" s="69"/>
      <c r="I24" s="69" t="n">
        <f aca="false">H1Data!D92-H1Data!D96+H1Data!D97-H1Data!D98</f>
        <v>69.74133539</v>
      </c>
      <c r="J24" s="69" t="n">
        <f aca="false">J10*Inputs!J80</f>
        <v>16.7478588210529</v>
      </c>
      <c r="K24" s="69" t="n">
        <f aca="false">K10*Inputs!K80</f>
        <v>16.7478588210529</v>
      </c>
      <c r="L24" s="69" t="n">
        <f aca="false">L10*Inputs!L80</f>
        <v>16.7478588210529</v>
      </c>
      <c r="M24" s="69" t="n">
        <f aca="false">M10*Inputs!M80</f>
        <v>16.7478588210529</v>
      </c>
      <c r="N24" s="69" t="n">
        <f aca="false">N10*Inputs!N80</f>
        <v>16.7478588210529</v>
      </c>
      <c r="O24" s="69" t="n">
        <f aca="false">O10*Inputs!O80</f>
        <v>16.7478588210529</v>
      </c>
      <c r="P24" s="69" t="n">
        <f aca="false">P10*Inputs!P80</f>
        <v>17.8871777431753</v>
      </c>
      <c r="Q24" s="69" t="n">
        <f aca="false">Q10*Inputs!Q80</f>
        <v>17.8871777431753</v>
      </c>
      <c r="R24" s="69" t="n">
        <f aca="false">R10*Inputs!R80</f>
        <v>17.8871777431753</v>
      </c>
      <c r="S24" s="69" t="n">
        <f aca="false">S10*Inputs!S80</f>
        <v>17.8871777431753</v>
      </c>
      <c r="T24" s="69" t="n">
        <f aca="false">T10*Inputs!T80</f>
        <v>17.8871777431753</v>
      </c>
      <c r="U24" s="69" t="n">
        <f aca="false">U10*Inputs!U80</f>
        <v>17.8871777431753</v>
      </c>
      <c r="V24" s="69" t="n">
        <f aca="false">V10*Inputs!V80</f>
        <v>17.3555126661498</v>
      </c>
      <c r="W24" s="69" t="n">
        <f aca="false">W10*Inputs!W80</f>
        <v>17.3555126661498</v>
      </c>
      <c r="X24" s="69" t="n">
        <f aca="false">X10*Inputs!X80</f>
        <v>17.3555126661498</v>
      </c>
      <c r="Y24" s="69" t="n">
        <f aca="false">Y10*Inputs!Y80</f>
        <v>17.3555126661498</v>
      </c>
      <c r="Z24" s="69" t="n">
        <f aca="false">Z10*Inputs!Z80</f>
        <v>17.3555126661498</v>
      </c>
      <c r="AA24" s="69" t="n">
        <f aca="false">AA10*Inputs!AA80</f>
        <v>17.3555126661498</v>
      </c>
      <c r="AB24" s="69" t="n">
        <f aca="false">AB10*Inputs!AB80</f>
        <v>18.5344002965515</v>
      </c>
      <c r="AC24" s="69" t="n">
        <f aca="false">AC10*Inputs!AC80</f>
        <v>18.5344002965515</v>
      </c>
      <c r="AD24" s="69" t="n">
        <f aca="false">AD10*Inputs!AD80</f>
        <v>18.5344002965515</v>
      </c>
      <c r="AE24" s="69" t="n">
        <f aca="false">AE10*Inputs!AE80</f>
        <v>18.5344002965515</v>
      </c>
      <c r="AF24" s="69" t="n">
        <f aca="false">AF10*Inputs!AF80</f>
        <v>18.5344002965515</v>
      </c>
      <c r="AG24" s="69" t="n">
        <f aca="false">AG10*Inputs!AG80</f>
        <v>18.5344002965515</v>
      </c>
      <c r="AH24" s="69" t="n">
        <f aca="false">AH10*Inputs!AH80</f>
        <v>17.9949972704925</v>
      </c>
      <c r="AI24" s="69" t="n">
        <f aca="false">AI10*Inputs!AI80</f>
        <v>17.9949972704925</v>
      </c>
      <c r="AJ24" s="69" t="n">
        <f aca="false">AJ10*Inputs!AJ80</f>
        <v>17.9949972704925</v>
      </c>
      <c r="AK24" s="69" t="n">
        <f aca="false">AK10*Inputs!AK80</f>
        <v>17.9949972704925</v>
      </c>
      <c r="AL24" s="69" t="n">
        <f aca="false">AL10*Inputs!AL80</f>
        <v>17.9949972704925</v>
      </c>
      <c r="AM24" s="69" t="n">
        <f aca="false">AM10*Inputs!AM80</f>
        <v>17.9949972704925</v>
      </c>
    </row>
    <row r="25" customFormat="false" ht="21" hidden="false" customHeight="true" outlineLevel="0" collapsed="false">
      <c r="C25" s="56" t="s">
        <v>144</v>
      </c>
      <c r="D25" s="69"/>
      <c r="E25" s="69"/>
      <c r="F25" s="69"/>
      <c r="G25" s="69"/>
      <c r="H25" s="69"/>
      <c r="I25" s="69" t="n">
        <f aca="false">H1Data!D93</f>
        <v>257.05763704</v>
      </c>
      <c r="J25" s="69" t="n">
        <f aca="false">Funding!J59</f>
        <v>37.9403874528765</v>
      </c>
      <c r="K25" s="69" t="n">
        <f aca="false">Funding!K59</f>
        <v>37.9403874528765</v>
      </c>
      <c r="L25" s="69" t="n">
        <f aca="false">Funding!L59</f>
        <v>36.7165039866547</v>
      </c>
      <c r="M25" s="69" t="n">
        <f aca="false">Funding!M59</f>
        <v>37.9403874528765</v>
      </c>
      <c r="N25" s="69" t="n">
        <f aca="false">Funding!N59</f>
        <v>36.7165039866547</v>
      </c>
      <c r="O25" s="69" t="n">
        <f aca="false">Funding!O59</f>
        <v>37.9403874528765</v>
      </c>
      <c r="P25" s="69" t="n">
        <f aca="false">Funding!P59</f>
        <v>37.9403874528765</v>
      </c>
      <c r="Q25" s="69" t="n">
        <f aca="false">Funding!Q59</f>
        <v>34.2687370542111</v>
      </c>
      <c r="R25" s="69" t="n">
        <f aca="false">Funding!R59</f>
        <v>37.9403874528765</v>
      </c>
      <c r="S25" s="69" t="n">
        <f aca="false">Funding!S59</f>
        <v>36.7165039866547</v>
      </c>
      <c r="T25" s="69" t="n">
        <f aca="false">Funding!T59</f>
        <v>37.9403874528765</v>
      </c>
      <c r="U25" s="69" t="n">
        <f aca="false">Funding!U59</f>
        <v>36.7165039866547</v>
      </c>
      <c r="V25" s="69" t="n">
        <f aca="false">Funding!V59</f>
        <v>37.9403874528765</v>
      </c>
      <c r="W25" s="69" t="n">
        <f aca="false">Funding!W59</f>
        <v>37.9403874528765</v>
      </c>
      <c r="X25" s="69" t="n">
        <f aca="false">Funding!X59</f>
        <v>36.7165039866547</v>
      </c>
      <c r="Y25" s="69" t="n">
        <f aca="false">Funding!Y59</f>
        <v>37.9403874528765</v>
      </c>
      <c r="Z25" s="69" t="n">
        <f aca="false">Funding!Z59</f>
        <v>36.7165039866547</v>
      </c>
      <c r="AA25" s="69" t="n">
        <f aca="false">Funding!AA59</f>
        <v>37.9403874528765</v>
      </c>
      <c r="AB25" s="69" t="n">
        <f aca="false">Funding!AB59</f>
        <v>37.8367251920763</v>
      </c>
      <c r="AC25" s="69" t="n">
        <f aca="false">Funding!AC59</f>
        <v>35.3956461474263</v>
      </c>
      <c r="AD25" s="69" t="n">
        <f aca="false">Funding!AD59</f>
        <v>37.8367251920763</v>
      </c>
      <c r="AE25" s="69" t="n">
        <f aca="false">Funding!AE59</f>
        <v>36.6161856697513</v>
      </c>
      <c r="AF25" s="69" t="n">
        <f aca="false">Funding!AF59</f>
        <v>37.8367251920763</v>
      </c>
      <c r="AG25" s="69" t="n">
        <f aca="false">Funding!AG59</f>
        <v>36.6161856697513</v>
      </c>
      <c r="AH25" s="69" t="n">
        <f aca="false">Funding!AH59</f>
        <v>37.8367251920763</v>
      </c>
      <c r="AI25" s="69" t="n">
        <f aca="false">Funding!AI59</f>
        <v>37.8367251920763</v>
      </c>
      <c r="AJ25" s="69" t="n">
        <f aca="false">Funding!AJ59</f>
        <v>36.6161856697513</v>
      </c>
      <c r="AK25" s="69" t="n">
        <f aca="false">Funding!AK59</f>
        <v>37.8367251920763</v>
      </c>
      <c r="AL25" s="69" t="n">
        <f aca="false">Funding!AL59</f>
        <v>36.6161856697513</v>
      </c>
      <c r="AM25" s="69" t="n">
        <f aca="false">Funding!AM59</f>
        <v>37.8367251920763</v>
      </c>
    </row>
    <row r="26" customFormat="false" ht="21" hidden="false" customHeight="true" outlineLevel="0" collapsed="false">
      <c r="C26" s="56" t="s">
        <v>145</v>
      </c>
      <c r="D26" s="69"/>
      <c r="E26" s="69"/>
      <c r="F26" s="69"/>
      <c r="G26" s="69"/>
      <c r="H26" s="69"/>
      <c r="I26" s="69"/>
      <c r="J26" s="69" t="n">
        <f aca="false">Funding!J56</f>
        <v>0</v>
      </c>
      <c r="K26" s="69" t="n">
        <f aca="false">Funding!K56</f>
        <v>0</v>
      </c>
      <c r="L26" s="69" t="n">
        <f aca="false">Funding!L56</f>
        <v>0</v>
      </c>
      <c r="M26" s="69" t="n">
        <f aca="false">Funding!M56</f>
        <v>0</v>
      </c>
      <c r="N26" s="69" t="n">
        <f aca="false">Funding!N56</f>
        <v>0</v>
      </c>
      <c r="O26" s="69" t="n">
        <f aca="false">Funding!O56</f>
        <v>0</v>
      </c>
      <c r="P26" s="69" t="n">
        <f aca="false">Funding!P56</f>
        <v>0</v>
      </c>
      <c r="Q26" s="69" t="n">
        <f aca="false">Funding!Q56</f>
        <v>0</v>
      </c>
      <c r="R26" s="69" t="n">
        <f aca="false">Funding!R56</f>
        <v>0</v>
      </c>
      <c r="S26" s="69" t="n">
        <f aca="false">Funding!S56</f>
        <v>0</v>
      </c>
      <c r="T26" s="69" t="n">
        <f aca="false">Funding!T56</f>
        <v>0</v>
      </c>
      <c r="U26" s="69" t="n">
        <f aca="false">Funding!U56</f>
        <v>0</v>
      </c>
      <c r="V26" s="69" t="n">
        <f aca="false">Funding!V56</f>
        <v>0</v>
      </c>
      <c r="W26" s="69" t="n">
        <f aca="false">Funding!W56</f>
        <v>0</v>
      </c>
      <c r="X26" s="69" t="n">
        <f aca="false">Funding!X56</f>
        <v>0</v>
      </c>
      <c r="Y26" s="69" t="n">
        <f aca="false">Funding!Y56</f>
        <v>0</v>
      </c>
      <c r="Z26" s="69" t="n">
        <f aca="false">Funding!Z56</f>
        <v>0</v>
      </c>
      <c r="AA26" s="69" t="n">
        <f aca="false">Funding!AA56</f>
        <v>0</v>
      </c>
      <c r="AB26" s="69" t="n">
        <f aca="false">Funding!AB56</f>
        <v>0</v>
      </c>
      <c r="AC26" s="69" t="n">
        <f aca="false">Funding!AC56</f>
        <v>0</v>
      </c>
      <c r="AD26" s="69" t="n">
        <f aca="false">Funding!AD56</f>
        <v>0</v>
      </c>
      <c r="AE26" s="69" t="n">
        <f aca="false">Funding!AE56</f>
        <v>0</v>
      </c>
      <c r="AF26" s="69" t="n">
        <f aca="false">Funding!AF56</f>
        <v>0</v>
      </c>
      <c r="AG26" s="69" t="n">
        <f aca="false">Funding!AG56</f>
        <v>0</v>
      </c>
      <c r="AH26" s="69" t="n">
        <f aca="false">Funding!AH56</f>
        <v>0</v>
      </c>
      <c r="AI26" s="69" t="n">
        <f aca="false">Funding!AI56</f>
        <v>0</v>
      </c>
      <c r="AJ26" s="69" t="n">
        <f aca="false">Funding!AJ56</f>
        <v>0</v>
      </c>
      <c r="AK26" s="69" t="n">
        <f aca="false">Funding!AK56</f>
        <v>0</v>
      </c>
      <c r="AL26" s="69" t="n">
        <f aca="false">Funding!AL56</f>
        <v>0</v>
      </c>
      <c r="AM26" s="69" t="n">
        <f aca="false">Funding!AM56</f>
        <v>0</v>
      </c>
    </row>
    <row r="27" customFormat="false" ht="21" hidden="false" customHeight="true" outlineLevel="0" collapsed="false">
      <c r="C27" s="56" t="s">
        <v>146</v>
      </c>
      <c r="D27" s="69"/>
      <c r="E27" s="69"/>
      <c r="F27" s="69"/>
      <c r="G27" s="69"/>
      <c r="H27" s="69"/>
      <c r="I27" s="69" t="n">
        <f aca="false">H1Data!D91</f>
        <v>45.19390783</v>
      </c>
      <c r="J27" s="69" t="n">
        <f aca="false">Funding!J62</f>
        <v>8.610896158538</v>
      </c>
      <c r="K27" s="69" t="n">
        <f aca="false">Funding!K62</f>
        <v>8.76491462715402</v>
      </c>
      <c r="L27" s="69" t="n">
        <f aca="false">Funding!L62</f>
        <v>9.17487281487201</v>
      </c>
      <c r="M27" s="69" t="n">
        <f aca="false">Funding!M62</f>
        <v>9.6570177841247</v>
      </c>
      <c r="N27" s="69" t="n">
        <f aca="false">Funding!N62</f>
        <v>9.62306856905767</v>
      </c>
      <c r="O27" s="69" t="n">
        <f aca="false">Funding!O62</f>
        <v>11.1201558439159</v>
      </c>
      <c r="P27" s="69" t="n">
        <f aca="false">Funding!P62</f>
        <v>10.9923748420773</v>
      </c>
      <c r="Q27" s="69" t="n">
        <f aca="false">Funding!Q62</f>
        <v>11.3409416549393</v>
      </c>
      <c r="R27" s="69" t="n">
        <f aca="false">Funding!R62</f>
        <v>13.9297979272572</v>
      </c>
      <c r="S27" s="69" t="n">
        <f aca="false">Funding!S62</f>
        <v>12.314996385572</v>
      </c>
      <c r="T27" s="69" t="n">
        <f aca="false">Funding!T62</f>
        <v>14.4195206230925</v>
      </c>
      <c r="U27" s="69" t="n">
        <f aca="false">Funding!U62</f>
        <v>14.1661278740432</v>
      </c>
      <c r="V27" s="69" t="n">
        <f aca="false">Funding!V62</f>
        <v>8.40082831478422</v>
      </c>
      <c r="W27" s="69" t="n">
        <f aca="false">Funding!W62</f>
        <v>8.40152501269947</v>
      </c>
      <c r="X27" s="69" t="n">
        <f aca="false">Funding!X62</f>
        <v>9.14600121315167</v>
      </c>
      <c r="Y27" s="69" t="n">
        <f aca="false">Funding!Y62</f>
        <v>10.0246317466705</v>
      </c>
      <c r="Z27" s="69" t="n">
        <f aca="false">Funding!Z62</f>
        <v>9.95699123432913</v>
      </c>
      <c r="AA27" s="69" t="n">
        <f aca="false">Funding!AA62</f>
        <v>11.496537526562</v>
      </c>
      <c r="AB27" s="69" t="n">
        <f aca="false">Funding!AB62</f>
        <v>11.305989455976</v>
      </c>
      <c r="AC27" s="69" t="n">
        <f aca="false">Funding!AC62</f>
        <v>12.0818792713792</v>
      </c>
      <c r="AD27" s="69" t="n">
        <f aca="false">Funding!AD62</f>
        <v>13.9393807561131</v>
      </c>
      <c r="AE27" s="69" t="n">
        <f aca="false">Funding!AE62</f>
        <v>12.8287043613684</v>
      </c>
      <c r="AF27" s="69" t="n">
        <f aca="false">Funding!AF62</f>
        <v>14.7600692321509</v>
      </c>
      <c r="AG27" s="69" t="n">
        <f aca="false">Funding!AG62</f>
        <v>14.491128253067</v>
      </c>
      <c r="AH27" s="69" t="n">
        <f aca="false">Funding!AH62</f>
        <v>8.46797220344918</v>
      </c>
      <c r="AI27" s="69" t="n">
        <f aca="false">Funding!AI62</f>
        <v>8.44089204512095</v>
      </c>
      <c r="AJ27" s="69" t="n">
        <f aca="false">Funding!AJ62</f>
        <v>9.19530134578749</v>
      </c>
      <c r="AK27" s="69" t="n">
        <f aca="false">Funding!AK62</f>
        <v>10.0914580378926</v>
      </c>
      <c r="AL27" s="69" t="n">
        <f aca="false">Funding!AL62</f>
        <v>9.99754006404023</v>
      </c>
      <c r="AM27" s="69" t="n">
        <f aca="false">Funding!AM62</f>
        <v>11.5651783883811</v>
      </c>
    </row>
    <row r="28" customFormat="false" ht="21" hidden="false" customHeight="true" outlineLevel="0" collapsed="false">
      <c r="C28" s="56" t="s">
        <v>147</v>
      </c>
      <c r="D28" s="69"/>
      <c r="E28" s="69"/>
      <c r="F28" s="69"/>
      <c r="G28" s="69"/>
      <c r="H28" s="69"/>
      <c r="I28" s="69" t="n">
        <f aca="false">H1Data!D89+H1Data!D91</f>
        <v>10.64826729</v>
      </c>
      <c r="J28" s="69" t="n">
        <f aca="false">Funding!J67+Funding!J49</f>
        <v>4.10534224644906</v>
      </c>
      <c r="K28" s="69" t="n">
        <f aca="false">Funding!K67+Funding!K49</f>
        <v>4.101074140563</v>
      </c>
      <c r="L28" s="69" t="n">
        <f aca="false">Funding!L67+Funding!L49</f>
        <v>3.96465100130026</v>
      </c>
      <c r="M28" s="69" t="n">
        <f aca="false">Funding!M67+Funding!M49</f>
        <v>4.09253792879088</v>
      </c>
      <c r="N28" s="69" t="n">
        <f aca="false">Funding!N67+Funding!N49</f>
        <v>3.95639015119821</v>
      </c>
      <c r="O28" s="69" t="n">
        <f aca="false">Funding!O67+Funding!O49</f>
        <v>4.08400171701875</v>
      </c>
      <c r="P28" s="69" t="n">
        <f aca="false">Funding!P67+Funding!P49</f>
        <v>4.07973361113269</v>
      </c>
      <c r="Q28" s="69" t="n">
        <f aca="false">Funding!Q67+Funding!Q49</f>
        <v>3.68106561764212</v>
      </c>
      <c r="R28" s="69" t="n">
        <f aca="false">Funding!R67+Funding!R49</f>
        <v>4.07119739936057</v>
      </c>
      <c r="S28" s="69" t="n">
        <f aca="false">Funding!S67+Funding!S49</f>
        <v>3.93573802594307</v>
      </c>
      <c r="T28" s="69" t="n">
        <f aca="false">Funding!T67+Funding!T49</f>
        <v>4.06266118758845</v>
      </c>
      <c r="U28" s="69" t="n">
        <f aca="false">Funding!U67+Funding!U49</f>
        <v>3.92747717584102</v>
      </c>
      <c r="V28" s="69" t="n">
        <f aca="false">Funding!V67+Funding!V49</f>
        <v>3.24677331447084</v>
      </c>
      <c r="W28" s="69" t="n">
        <f aca="false">Funding!W67+Funding!W49</f>
        <v>3.24250520858478</v>
      </c>
      <c r="X28" s="69" t="n">
        <f aca="false">Funding!X67+Funding!X49</f>
        <v>3.13377784132134</v>
      </c>
      <c r="Y28" s="69" t="n">
        <f aca="false">Funding!Y67+Funding!Y49</f>
        <v>3.23396899681265</v>
      </c>
      <c r="Z28" s="69" t="n">
        <f aca="false">Funding!Z67+Funding!Z49</f>
        <v>3.12551699121928</v>
      </c>
      <c r="AA28" s="69" t="n">
        <f aca="false">Funding!AA67+Funding!AA49</f>
        <v>3.22935363045536</v>
      </c>
      <c r="AB28" s="69" t="n">
        <f aca="false">Funding!AB67+Funding!AB49</f>
        <v>3.22053025988034</v>
      </c>
      <c r="AC28" s="69" t="n">
        <f aca="false">Funding!AC67+Funding!AC49</f>
        <v>3.01275411408161</v>
      </c>
      <c r="AD28" s="69" t="n">
        <f aca="false">Funding!AD67+Funding!AD49</f>
        <v>3.22053025988034</v>
      </c>
      <c r="AE28" s="69" t="n">
        <f aca="false">Funding!AE67+Funding!AE49</f>
        <v>3.11664218698098</v>
      </c>
      <c r="AF28" s="69" t="n">
        <f aca="false">Funding!AF67+Funding!AF49</f>
        <v>3.22053025988034</v>
      </c>
      <c r="AG28" s="69" t="n">
        <f aca="false">Funding!AG67+Funding!AG49</f>
        <v>3.11664218698098</v>
      </c>
      <c r="AH28" s="69" t="n">
        <f aca="false">Funding!AH67+Funding!AH49</f>
        <v>2.415384477391</v>
      </c>
      <c r="AI28" s="69" t="n">
        <f aca="false">Funding!AI67+Funding!AI49</f>
        <v>2.415384477391</v>
      </c>
      <c r="AJ28" s="69" t="n">
        <f aca="false">Funding!AJ67+Funding!AJ49</f>
        <v>2.33746884908806</v>
      </c>
      <c r="AK28" s="69" t="n">
        <f aca="false">Funding!AK67+Funding!AK49</f>
        <v>2.415384477391</v>
      </c>
      <c r="AL28" s="69" t="n">
        <f aca="false">Funding!AL67+Funding!AL49</f>
        <v>2.33746884908806</v>
      </c>
      <c r="AM28" s="69" t="n">
        <f aca="false">Funding!AM67+Funding!AM49</f>
        <v>2.415384477391</v>
      </c>
    </row>
    <row r="29" customFormat="false" ht="21" hidden="false" customHeight="true" outlineLevel="0" collapsed="false">
      <c r="C29" s="60" t="s">
        <v>93</v>
      </c>
      <c r="D29" s="70"/>
      <c r="E29" s="70"/>
      <c r="F29" s="70"/>
      <c r="G29" s="70"/>
      <c r="H29" s="70"/>
      <c r="I29" s="70" t="n">
        <f aca="false">H1Data!D99</f>
        <v>2595.96917586</v>
      </c>
      <c r="J29" s="70" t="n">
        <f aca="false">J15-SUM(J18:J23)+SUM(J24:J27)-J28</f>
        <v>251.15533286383</v>
      </c>
      <c r="K29" s="70" t="n">
        <f aca="false">K15-SUM(K18:K23)+SUM(K24:K27)-K28</f>
        <v>337.011435910622</v>
      </c>
      <c r="L29" s="70" t="n">
        <f aca="false">L15-SUM(L18:L23)+SUM(L24:L27)-L28</f>
        <v>373.78779787579</v>
      </c>
      <c r="M29" s="70" t="n">
        <f aca="false">M15-SUM(M18:M23)+SUM(M24:M27)-M28</f>
        <v>391.187315079921</v>
      </c>
      <c r="N29" s="70" t="n">
        <f aca="false">N15-SUM(N18:N23)+SUM(N24:N27)-N28</f>
        <v>396.803190726433</v>
      </c>
      <c r="O29" s="70" t="n">
        <f aca="false">O15-SUM(O18:O23)+SUM(O24:O27)-O28</f>
        <v>402.857825275413</v>
      </c>
      <c r="P29" s="70" t="n">
        <f aca="false">P15-SUM(P18:P23)+SUM(P24:P27)-P28</f>
        <v>427.428499000807</v>
      </c>
      <c r="Q29" s="70" t="n">
        <f aca="false">Q15-SUM(Q18:Q23)+SUM(Q24:Q27)-Q28</f>
        <v>422.928544128664</v>
      </c>
      <c r="R29" s="70" t="n">
        <f aca="false">R15-SUM(R18:R23)+SUM(R24:R27)-R28</f>
        <v>428.971036250214</v>
      </c>
      <c r="S29" s="70" t="n">
        <f aca="false">S15-SUM(S18:S23)+SUM(S24:S27)-S28</f>
        <v>423.348551317073</v>
      </c>
      <c r="T29" s="70" t="n">
        <f aca="false">T15-SUM(T18:T23)+SUM(T24:T27)-T28</f>
        <v>426.912879892445</v>
      </c>
      <c r="U29" s="70" t="n">
        <f aca="false">U15-SUM(U18:U23)+SUM(U24:U27)-U28</f>
        <v>424.779670849136</v>
      </c>
      <c r="V29" s="70" t="n">
        <f aca="false">V15-SUM(V18:V23)+SUM(V24:V27)-V28</f>
        <v>406.370776961192</v>
      </c>
      <c r="W29" s="70" t="n">
        <f aca="false">W15-SUM(W18:W23)+SUM(W24:W27)-W28</f>
        <v>404.598366437813</v>
      </c>
      <c r="X29" s="70" t="n">
        <f aca="false">X15-SUM(X18:X23)+SUM(X24:X27)-X28</f>
        <v>405.062037982048</v>
      </c>
      <c r="Y29" s="70" t="n">
        <f aca="false">Y15-SUM(Y18:Y23)+SUM(Y24:Y27)-Y28</f>
        <v>407.439779777025</v>
      </c>
      <c r="Z29" s="70" t="n">
        <f aca="false">Z15-SUM(Z18:Z23)+SUM(Z24:Z27)-Z28</f>
        <v>405.558805526219</v>
      </c>
      <c r="AA29" s="70" t="n">
        <f aca="false">AA15-SUM(AA18:AA23)+SUM(AA24:AA27)-AA28</f>
        <v>408.521394562381</v>
      </c>
      <c r="AB29" s="70" t="n">
        <f aca="false">AB15-SUM(AB18:AB23)+SUM(AB24:AB27)-AB28</f>
        <v>431.201755204341</v>
      </c>
      <c r="AC29" s="70" t="n">
        <f aca="false">AC15-SUM(AC18:AC23)+SUM(AC24:AC27)-AC28</f>
        <v>427.375872389584</v>
      </c>
      <c r="AD29" s="70" t="n">
        <f aca="false">AD15-SUM(AD18:AD23)+SUM(AD24:AD27)-AD28</f>
        <v>430.612614319886</v>
      </c>
      <c r="AE29" s="70" t="n">
        <f aca="false">AE15-SUM(AE18:AE23)+SUM(AE24:AE27)-AE28</f>
        <v>425.9580584006</v>
      </c>
      <c r="AF29" s="70" t="n">
        <f aca="false">AF15-SUM(AF18:AF23)+SUM(AF24:AF27)-AF28</f>
        <v>429.137109331188</v>
      </c>
      <c r="AG29" s="70" t="n">
        <f aca="false">AG15-SUM(AG18:AG23)+SUM(AG24:AG27)-AG28</f>
        <v>426.814041909738</v>
      </c>
      <c r="AH29" s="70" t="n">
        <f aca="false">AH15-SUM(AH18:AH23)+SUM(AH24:AH27)-AH28</f>
        <v>408.019709487807</v>
      </c>
      <c r="AI29" s="70" t="n">
        <f aca="false">AI15-SUM(AI18:AI23)+SUM(AI24:AI27)-AI28</f>
        <v>406.127720421232</v>
      </c>
      <c r="AJ29" s="70" t="n">
        <f aca="false">AJ15-SUM(AJ18:AJ23)+SUM(AJ24:AJ27)-AJ28</f>
        <v>405.656964869463</v>
      </c>
      <c r="AK29" s="70" t="n">
        <f aca="false">AK15-SUM(AK18:AK23)+SUM(AK24:AK27)-AK28</f>
        <v>407.848651546009</v>
      </c>
      <c r="AL29" s="70" t="n">
        <f aca="false">AL15-SUM(AL18:AL23)+SUM(AL24:AL27)-AL28</f>
        <v>405.809643418347</v>
      </c>
      <c r="AM29" s="70" t="n">
        <f aca="false">AM15-SUM(AM18:AM23)+SUM(AM24:AM27)-AM28</f>
        <v>408.768065545767</v>
      </c>
    </row>
    <row r="30" customFormat="false" ht="21" hidden="false" customHeight="true" outlineLevel="0" collapsed="false">
      <c r="C30" s="56" t="s">
        <v>148</v>
      </c>
      <c r="D30" s="69"/>
      <c r="E30" s="69"/>
      <c r="F30" s="69"/>
      <c r="G30" s="69"/>
      <c r="H30" s="69"/>
      <c r="I30" s="69" t="n">
        <f aca="false">H1Data!D100</f>
        <v>440.96974929</v>
      </c>
      <c r="J30" s="69" t="n">
        <f aca="false">TaxEquity!J24</f>
        <v>44.1132636023108</v>
      </c>
      <c r="K30" s="69" t="n">
        <f aca="false">TaxEquity!K24</f>
        <v>59.1931460893123</v>
      </c>
      <c r="L30" s="69" t="n">
        <f aca="false">TaxEquity!L24</f>
        <v>65.652596228016</v>
      </c>
      <c r="M30" s="69" t="n">
        <f aca="false">TaxEquity!M24</f>
        <v>68.7086710492301</v>
      </c>
      <c r="N30" s="69" t="n">
        <f aca="false">TaxEquity!N24</f>
        <v>69.695051071217</v>
      </c>
      <c r="O30" s="69" t="n">
        <f aca="false">TaxEquity!O24</f>
        <v>70.7584953024395</v>
      </c>
      <c r="P30" s="69" t="n">
        <f aca="false">TaxEquity!P24</f>
        <v>75.0741217897431</v>
      </c>
      <c r="Q30" s="69" t="n">
        <f aca="false">TaxEquity!Q24</f>
        <v>74.2837436074053</v>
      </c>
      <c r="R30" s="69" t="n">
        <f aca="false">TaxEquity!R24</f>
        <v>75.3450551261909</v>
      </c>
      <c r="S30" s="69" t="n">
        <f aca="false">TaxEquity!S24</f>
        <v>74.3575142401284</v>
      </c>
      <c r="T30" s="69" t="n">
        <f aca="false">TaxEquity!T24</f>
        <v>74.9835577496082</v>
      </c>
      <c r="U30" s="69" t="n">
        <f aca="false">TaxEquity!U24</f>
        <v>74.6088780174548</v>
      </c>
      <c r="V30" s="69" t="n">
        <f aca="false">TaxEquity!V24</f>
        <v>71.3755149052881</v>
      </c>
      <c r="W30" s="69" t="n">
        <f aca="false">TaxEquity!W24</f>
        <v>71.0642063149517</v>
      </c>
      <c r="X30" s="69" t="n">
        <f aca="false">TaxEquity!X24</f>
        <v>71.1456462144055</v>
      </c>
      <c r="Y30" s="69" t="n">
        <f aca="false">TaxEquity!Y24</f>
        <v>71.56327601101</v>
      </c>
      <c r="Z30" s="69" t="n">
        <f aca="false">TaxEquity!Z24</f>
        <v>71.2328991402153</v>
      </c>
      <c r="AA30" s="69" t="n">
        <f aca="false">TaxEquity!AA24</f>
        <v>71.7532523001794</v>
      </c>
      <c r="AB30" s="69" t="n">
        <f aca="false">TaxEquity!AB24</f>
        <v>75.7368616314481</v>
      </c>
      <c r="AC30" s="69" t="n">
        <f aca="false">TaxEquity!AC24</f>
        <v>75.0648783803083</v>
      </c>
      <c r="AD30" s="69" t="n">
        <f aca="false">TaxEquity!AD24</f>
        <v>75.633384126756</v>
      </c>
      <c r="AE30" s="69" t="n">
        <f aca="false">TaxEquity!AE24</f>
        <v>74.8158516066304</v>
      </c>
      <c r="AF30" s="69" t="n">
        <f aca="false">TaxEquity!AF24</f>
        <v>75.374224427574</v>
      </c>
      <c r="AG30" s="69" t="n">
        <f aca="false">TaxEquity!AG24</f>
        <v>74.966197712155</v>
      </c>
      <c r="AH30" s="69" t="n">
        <f aca="false">TaxEquity!AH24</f>
        <v>71.6651356526542</v>
      </c>
      <c r="AI30" s="69" t="n">
        <f aca="false">TaxEquity!AI24</f>
        <v>71.3328241246654</v>
      </c>
      <c r="AJ30" s="69" t="n">
        <f aca="false">TaxEquity!AJ24</f>
        <v>71.2501399805118</v>
      </c>
      <c r="AK30" s="69" t="n">
        <f aca="false">TaxEquity!AK24</f>
        <v>71.6350908035492</v>
      </c>
      <c r="AL30" s="69" t="n">
        <f aca="false">TaxEquity!AL24</f>
        <v>71.2769566480958</v>
      </c>
      <c r="AM30" s="69" t="n">
        <f aca="false">TaxEquity!AM24</f>
        <v>71.796577926552</v>
      </c>
    </row>
    <row r="31" customFormat="false" ht="21" hidden="false" customHeight="true" outlineLevel="0" collapsed="false">
      <c r="C31" s="60" t="s">
        <v>95</v>
      </c>
      <c r="D31" s="70"/>
      <c r="E31" s="70"/>
      <c r="F31" s="70"/>
      <c r="G31" s="70"/>
      <c r="H31" s="70"/>
      <c r="I31" s="70" t="n">
        <f aca="false">H1Data!D101</f>
        <v>2154.99942657</v>
      </c>
      <c r="J31" s="70" t="n">
        <f aca="false">J29-J30</f>
        <v>207.042069261519</v>
      </c>
      <c r="K31" s="70" t="n">
        <f aca="false">K29-K30</f>
        <v>277.81828982131</v>
      </c>
      <c r="L31" s="70" t="n">
        <f aca="false">L29-L30</f>
        <v>308.135201647774</v>
      </c>
      <c r="M31" s="70" t="n">
        <f aca="false">M29-M30</f>
        <v>322.478644030691</v>
      </c>
      <c r="N31" s="70" t="n">
        <f aca="false">N29-N30</f>
        <v>327.108139655216</v>
      </c>
      <c r="O31" s="70" t="n">
        <f aca="false">O29-O30</f>
        <v>332.099329972973</v>
      </c>
      <c r="P31" s="70" t="n">
        <f aca="false">P29-P30</f>
        <v>352.354377211064</v>
      </c>
      <c r="Q31" s="70" t="n">
        <f aca="false">Q29-Q30</f>
        <v>348.644800521259</v>
      </c>
      <c r="R31" s="70" t="n">
        <f aca="false">R29-R30</f>
        <v>353.625981124023</v>
      </c>
      <c r="S31" s="70" t="n">
        <f aca="false">S29-S30</f>
        <v>348.991037076945</v>
      </c>
      <c r="T31" s="70" t="n">
        <f aca="false">T29-T30</f>
        <v>351.929322142837</v>
      </c>
      <c r="U31" s="70" t="n">
        <f aca="false">U29-U30</f>
        <v>350.170792831681</v>
      </c>
      <c r="V31" s="70" t="n">
        <f aca="false">V29-V30</f>
        <v>334.995262055904</v>
      </c>
      <c r="W31" s="70" t="n">
        <f aca="false">W29-W30</f>
        <v>333.534160122861</v>
      </c>
      <c r="X31" s="70" t="n">
        <f aca="false">X29-X30</f>
        <v>333.916391767643</v>
      </c>
      <c r="Y31" s="70" t="n">
        <f aca="false">Y29-Y30</f>
        <v>335.876503766015</v>
      </c>
      <c r="Z31" s="70" t="n">
        <f aca="false">Z29-Z30</f>
        <v>334.325906386004</v>
      </c>
      <c r="AA31" s="70" t="n">
        <f aca="false">AA29-AA30</f>
        <v>336.768142262202</v>
      </c>
      <c r="AB31" s="70" t="n">
        <f aca="false">AB29-AB30</f>
        <v>355.464893572893</v>
      </c>
      <c r="AC31" s="70" t="n">
        <f aca="false">AC29-AC30</f>
        <v>352.310994009276</v>
      </c>
      <c r="AD31" s="70" t="n">
        <f aca="false">AD29-AD30</f>
        <v>354.97923019313</v>
      </c>
      <c r="AE31" s="70" t="n">
        <f aca="false">AE29-AE30</f>
        <v>351.14220679397</v>
      </c>
      <c r="AF31" s="70" t="n">
        <f aca="false">AF29-AF30</f>
        <v>353.762884903614</v>
      </c>
      <c r="AG31" s="70" t="n">
        <f aca="false">AG29-AG30</f>
        <v>351.847844197583</v>
      </c>
      <c r="AH31" s="70" t="n">
        <f aca="false">AH29-AH30</f>
        <v>336.354573835153</v>
      </c>
      <c r="AI31" s="70" t="n">
        <f aca="false">AI29-AI30</f>
        <v>334.794896296566</v>
      </c>
      <c r="AJ31" s="70" t="n">
        <f aca="false">AJ29-AJ30</f>
        <v>334.406824888951</v>
      </c>
      <c r="AK31" s="70" t="n">
        <f aca="false">AK29-AK30</f>
        <v>336.21356074246</v>
      </c>
      <c r="AL31" s="70" t="n">
        <f aca="false">AL29-AL30</f>
        <v>334.532686770251</v>
      </c>
      <c r="AM31" s="70" t="n">
        <f aca="false">AM29-AM30</f>
        <v>336.971487619215</v>
      </c>
    </row>
    <row r="32" customFormat="false" ht="21" hidden="false" customHeight="true" outlineLevel="0" collapsed="false">
      <c r="C32" s="56" t="s">
        <v>96</v>
      </c>
      <c r="D32" s="71"/>
      <c r="E32" s="71"/>
      <c r="F32" s="71"/>
      <c r="G32" s="71"/>
      <c r="H32" s="71"/>
      <c r="I32" s="71" t="n">
        <f aca="false">H1Data!D102</f>
        <v>2150.98918545</v>
      </c>
      <c r="J32" s="71" t="n">
        <f aca="false">J31-J33</f>
        <v>206.754117041816</v>
      </c>
      <c r="K32" s="71" t="n">
        <f aca="false">K31-K33</f>
        <v>277.431902680216</v>
      </c>
      <c r="L32" s="71" t="n">
        <f aca="false">L31-L33</f>
        <v>307.706650022495</v>
      </c>
      <c r="M32" s="71" t="n">
        <f aca="false">M31-M33</f>
        <v>322.030143676698</v>
      </c>
      <c r="N32" s="71" t="n">
        <f aca="false">N31-N33</f>
        <v>326.653200640973</v>
      </c>
      <c r="O32" s="71" t="n">
        <f aca="false">O31-O33</f>
        <v>331.637449256805</v>
      </c>
      <c r="P32" s="71" t="n">
        <f aca="false">P31-P33</f>
        <v>351.864325960119</v>
      </c>
      <c r="Q32" s="71" t="n">
        <f aca="false">Q31-Q33</f>
        <v>348.159908515706</v>
      </c>
      <c r="R32" s="71" t="n">
        <f aca="false">R31-R33</f>
        <v>353.134161337965</v>
      </c>
      <c r="S32" s="71" t="n">
        <f aca="false">S31-S33</f>
        <v>348.505663528752</v>
      </c>
      <c r="T32" s="71" t="n">
        <f aca="false">T31-T33</f>
        <v>351.4398620546</v>
      </c>
      <c r="U32" s="71" t="n">
        <f aca="false">U31-U33</f>
        <v>349.683778489955</v>
      </c>
      <c r="V32" s="71" t="n">
        <f aca="false">V31-V33</f>
        <v>334.529353703833</v>
      </c>
      <c r="W32" s="71" t="n">
        <f aca="false">W31-W33</f>
        <v>333.07028385802</v>
      </c>
      <c r="X32" s="71" t="n">
        <f aca="false">X31-X33</f>
        <v>333.451983898519</v>
      </c>
      <c r="Y32" s="71" t="n">
        <f aca="false">Y31-Y33</f>
        <v>335.409369791019</v>
      </c>
      <c r="Z32" s="71" t="n">
        <f aca="false">Z31-Z33</f>
        <v>333.860928967688</v>
      </c>
      <c r="AA32" s="71" t="n">
        <f aca="false">AA31-AA33</f>
        <v>336.299768204526</v>
      </c>
      <c r="AB32" s="71" t="n">
        <f aca="false">AB31-AB33</f>
        <v>354.97051624419</v>
      </c>
      <c r="AC32" s="71" t="n">
        <f aca="false">AC31-AC33</f>
        <v>351.821003095291</v>
      </c>
      <c r="AD32" s="71" t="n">
        <f aca="false">AD31-AD33</f>
        <v>354.485528320621</v>
      </c>
      <c r="AE32" s="71" t="n">
        <f aca="false">AE31-AE33</f>
        <v>350.653841418574</v>
      </c>
      <c r="AF32" s="71" t="n">
        <f aca="false">AF31-AF33</f>
        <v>353.270874713029</v>
      </c>
      <c r="AG32" s="71" t="n">
        <f aca="false">AG31-AG33</f>
        <v>351.358497428128</v>
      </c>
      <c r="AH32" s="71" t="n">
        <f aca="false">AH31-AH33</f>
        <v>335.88677496467</v>
      </c>
      <c r="AI32" s="71" t="n">
        <f aca="false">AI31-AI33</f>
        <v>334.329266611364</v>
      </c>
      <c r="AJ32" s="71" t="n">
        <f aca="false">AJ31-AJ33</f>
        <v>333.94173492992</v>
      </c>
      <c r="AK32" s="71" t="n">
        <f aca="false">AK31-AK33</f>
        <v>335.745957991699</v>
      </c>
      <c r="AL32" s="71" t="n">
        <f aca="false">AL31-AL33</f>
        <v>334.067421763664</v>
      </c>
      <c r="AM32" s="71" t="n">
        <f aca="false">AM31-AM33</f>
        <v>336.502830750673</v>
      </c>
    </row>
    <row r="33" customFormat="false" ht="21" hidden="false" customHeight="true" outlineLevel="0" collapsed="false">
      <c r="C33" s="56" t="s">
        <v>97</v>
      </c>
      <c r="D33" s="69"/>
      <c r="E33" s="69"/>
      <c r="F33" s="69"/>
      <c r="G33" s="69"/>
      <c r="H33" s="69"/>
      <c r="I33" s="69" t="n">
        <f aca="false">H1Data!D103</f>
        <v>4.01024112</v>
      </c>
      <c r="J33" s="69" t="n">
        <f aca="false">J31*SourceHistory!F22/SourceHistory!F20</f>
        <v>0.287952219702819</v>
      </c>
      <c r="K33" s="69" t="n">
        <f aca="false">K31*SourceHistory!F22/SourceHistory!F20</f>
        <v>0.386387141093724</v>
      </c>
      <c r="L33" s="69" t="n">
        <f aca="false">L31*SourceHistory!F22/SourceHistory!F20</f>
        <v>0.428551625278521</v>
      </c>
      <c r="M33" s="69" t="n">
        <f aca="false">M31*SourceHistory!F22/SourceHistory!F20</f>
        <v>0.448500353993764</v>
      </c>
      <c r="N33" s="69" t="n">
        <f aca="false">N31*SourceHistory!F22/SourceHistory!F20</f>
        <v>0.454939014242578</v>
      </c>
      <c r="O33" s="69" t="n">
        <f aca="false">O31*SourceHistory!F22/SourceHistory!F20</f>
        <v>0.461880716168586</v>
      </c>
      <c r="P33" s="69" t="n">
        <f aca="false">P31*SourceHistory!F22/SourceHistory!F20</f>
        <v>0.490051250945393</v>
      </c>
      <c r="Q33" s="69" t="n">
        <f aca="false">Q31*SourceHistory!F22/SourceHistory!F20</f>
        <v>0.484892005552429</v>
      </c>
      <c r="R33" s="69" t="n">
        <f aca="false">R31*SourceHistory!F22/SourceHistory!F20</f>
        <v>0.49181978605821</v>
      </c>
      <c r="S33" s="69" t="n">
        <f aca="false">S31*SourceHistory!F22/SourceHistory!F20</f>
        <v>0.485373548193051</v>
      </c>
      <c r="T33" s="69" t="n">
        <f aca="false">T31*SourceHistory!F22/SourceHistory!F20</f>
        <v>0.489460088237116</v>
      </c>
      <c r="U33" s="69" t="n">
        <f aca="false">U31*SourceHistory!F22/SourceHistory!F20</f>
        <v>0.487014341725956</v>
      </c>
      <c r="V33" s="69" t="n">
        <f aca="false">V31*SourceHistory!F22/SourceHistory!F20</f>
        <v>0.465908352070617</v>
      </c>
      <c r="W33" s="69" t="n">
        <f aca="false">W31*SourceHistory!F22/SourceHistory!F20</f>
        <v>0.463876264841523</v>
      </c>
      <c r="X33" s="69" t="n">
        <f aca="false">X31*SourceHistory!F22/SourceHistory!F20</f>
        <v>0.464407869123435</v>
      </c>
      <c r="Y33" s="69" t="n">
        <f aca="false">Y31*SourceHistory!F22/SourceHistory!F20</f>
        <v>0.467133974995592</v>
      </c>
      <c r="Z33" s="69" t="n">
        <f aca="false">Z31*SourceHistory!F22/SourceHistory!F20</f>
        <v>0.464977418315918</v>
      </c>
      <c r="AA33" s="69" t="n">
        <f aca="false">AA31*SourceHistory!F22/SourceHistory!F20</f>
        <v>0.468374057675722</v>
      </c>
      <c r="AB33" s="69" t="n">
        <f aca="false">AB31*SourceHistory!F22/SourceHistory!F20</f>
        <v>0.494377328703432</v>
      </c>
      <c r="AC33" s="69" t="n">
        <f aca="false">AC31*SourceHistory!F22/SourceHistory!F20</f>
        <v>0.48999091398442</v>
      </c>
      <c r="AD33" s="69" t="n">
        <f aca="false">AD31*SourceHistory!F22/SourceHistory!F20</f>
        <v>0.493701872508805</v>
      </c>
      <c r="AE33" s="69" t="n">
        <f aca="false">AE31*SourceHistory!F22/SourceHistory!F20</f>
        <v>0.488365375396016</v>
      </c>
      <c r="AF33" s="69" t="n">
        <f aca="false">AF31*SourceHistory!F22/SourceHistory!F20</f>
        <v>0.492010190584979</v>
      </c>
      <c r="AG33" s="69" t="n">
        <f aca="false">AG31*SourceHistory!F22/SourceHistory!F20</f>
        <v>0.489346769454723</v>
      </c>
      <c r="AH33" s="69" t="n">
        <f aca="false">AH31*SourceHistory!F22/SourceHistory!F20</f>
        <v>0.467798870483126</v>
      </c>
      <c r="AI33" s="69" t="n">
        <f aca="false">AI31*SourceHistory!F22/SourceHistory!F20</f>
        <v>0.465629685201804</v>
      </c>
      <c r="AJ33" s="69" t="n">
        <f aca="false">AJ31*SourceHistory!F22/SourceHistory!F20</f>
        <v>0.465089959031057</v>
      </c>
      <c r="AK33" s="69" t="n">
        <f aca="false">AK31*SourceHistory!F22/SourceHistory!F20</f>
        <v>0.467602750761212</v>
      </c>
      <c r="AL33" s="69" t="n">
        <f aca="false">AL31*SourceHistory!F22/SourceHistory!F20</f>
        <v>0.465265006586492</v>
      </c>
      <c r="AM33" s="69" t="n">
        <f aca="false">AM31*SourceHistory!F22/SourceHistory!F20</f>
        <v>0.46865686854178</v>
      </c>
    </row>
    <row r="34" customFormat="false" ht="21" hidden="false" customHeight="true" outlineLevel="0" collapsed="false">
      <c r="C34" s="56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</row>
    <row r="35" customFormat="false" ht="21" hidden="false" customHeight="true" outlineLevel="0" collapsed="false">
      <c r="C35" s="56" t="s">
        <v>149</v>
      </c>
      <c r="D35" s="69"/>
      <c r="E35" s="69"/>
      <c r="F35" s="69"/>
      <c r="G35" s="69"/>
      <c r="H35" s="69"/>
      <c r="I35" s="69"/>
      <c r="J35" s="69" t="n">
        <f aca="false">Assets!J100</f>
        <v>26.380475805</v>
      </c>
      <c r="K35" s="69" t="n">
        <f aca="false">Assets!K100</f>
        <v>26.5916409703219</v>
      </c>
      <c r="L35" s="69" t="n">
        <f aca="false">Assets!L100</f>
        <v>26.8028061356437</v>
      </c>
      <c r="M35" s="69" t="n">
        <f aca="false">Assets!M100</f>
        <v>27.0139713009656</v>
      </c>
      <c r="N35" s="69" t="n">
        <f aca="false">Assets!N100</f>
        <v>27.2251364662874</v>
      </c>
      <c r="O35" s="69" t="n">
        <f aca="false">Assets!O100</f>
        <v>27.4363016316093</v>
      </c>
      <c r="P35" s="69" t="n">
        <f aca="false">Assets!P100</f>
        <v>27.6474667969312</v>
      </c>
      <c r="Q35" s="69" t="n">
        <f aca="false">Assets!Q100</f>
        <v>27.8691902205191</v>
      </c>
      <c r="R35" s="69" t="n">
        <f aca="false">Assets!R100</f>
        <v>28.0909136441071</v>
      </c>
      <c r="S35" s="69" t="n">
        <f aca="false">Assets!S100</f>
        <v>28.312637067695</v>
      </c>
      <c r="T35" s="69" t="n">
        <f aca="false">Assets!T100</f>
        <v>28.534360491283</v>
      </c>
      <c r="U35" s="69" t="n">
        <f aca="false">Assets!U100</f>
        <v>28.7560839148709</v>
      </c>
      <c r="V35" s="69" t="n">
        <f aca="false">Assets!V100</f>
        <v>28.9778073384589</v>
      </c>
      <c r="W35" s="69" t="n">
        <f aca="false">Assets!W100</f>
        <v>29.1995307620468</v>
      </c>
      <c r="X35" s="69" t="n">
        <f aca="false">Assets!X100</f>
        <v>28.1775996406348</v>
      </c>
      <c r="Y35" s="69" t="n">
        <f aca="false">Assets!Y100</f>
        <v>28.3830314108894</v>
      </c>
      <c r="Z35" s="69" t="n">
        <f aca="false">Assets!Z100</f>
        <v>28.6047548344774</v>
      </c>
      <c r="AA35" s="69" t="n">
        <f aca="false">Assets!AA100</f>
        <v>28.8264782580653</v>
      </c>
      <c r="AB35" s="69" t="n">
        <f aca="false">Assets!AB100</f>
        <v>29.0482016816533</v>
      </c>
      <c r="AC35" s="69" t="n">
        <f aca="false">Assets!AC100</f>
        <v>29.2810112764206</v>
      </c>
      <c r="AD35" s="69" t="n">
        <f aca="false">Assets!AD100</f>
        <v>29.513820871188</v>
      </c>
      <c r="AE35" s="69" t="n">
        <f aca="false">Assets!AE100</f>
        <v>29.7466304659553</v>
      </c>
      <c r="AF35" s="69" t="n">
        <f aca="false">Assets!AF100</f>
        <v>29.9794400607227</v>
      </c>
      <c r="AG35" s="69" t="n">
        <f aca="false">Assets!AG100</f>
        <v>30.21224965549</v>
      </c>
      <c r="AH35" s="69" t="n">
        <f aca="false">Assets!AH100</f>
        <v>30.4450592502574</v>
      </c>
      <c r="AI35" s="69" t="n">
        <f aca="false">Assets!AI100</f>
        <v>30.6778688450247</v>
      </c>
      <c r="AJ35" s="69" t="n">
        <f aca="false">Assets!AJ100</f>
        <v>30.9106784397921</v>
      </c>
      <c r="AK35" s="69" t="n">
        <f aca="false">Assets!AK100</f>
        <v>31.1434880345594</v>
      </c>
      <c r="AL35" s="69" t="n">
        <f aca="false">Assets!AL100</f>
        <v>31.3762976293268</v>
      </c>
      <c r="AM35" s="69" t="n">
        <f aca="false">Assets!AM100</f>
        <v>31.6091072240941</v>
      </c>
    </row>
    <row r="36" customFormat="false" ht="21" hidden="false" customHeight="true" outlineLevel="0" collapsed="false">
      <c r="C36" s="56" t="s">
        <v>150</v>
      </c>
      <c r="D36" s="71"/>
      <c r="E36" s="71"/>
      <c r="F36" s="71"/>
      <c r="G36" s="71"/>
      <c r="H36" s="71"/>
      <c r="I36" s="71"/>
      <c r="J36" s="71" t="n">
        <f aca="false">J29+J28-J27+J35</f>
        <v>273.030254756741</v>
      </c>
      <c r="K36" s="71" t="n">
        <f aca="false">K29+K28-K27+K35</f>
        <v>358.939236394353</v>
      </c>
      <c r="L36" s="71" t="n">
        <f aca="false">L29+L28-L27+L35</f>
        <v>395.380382197862</v>
      </c>
      <c r="M36" s="71" t="n">
        <f aca="false">M29+M28-M27+M35</f>
        <v>412.636806525553</v>
      </c>
      <c r="N36" s="71" t="n">
        <f aca="false">N29+N28-N27+N35</f>
        <v>418.361648774861</v>
      </c>
      <c r="O36" s="71" t="n">
        <f aca="false">O29+O28-O27+O35</f>
        <v>423.257972780125</v>
      </c>
      <c r="P36" s="71" t="n">
        <f aca="false">P29+P28-P27+P35</f>
        <v>448.163324566794</v>
      </c>
      <c r="Q36" s="71" t="n">
        <f aca="false">Q29+Q28-Q27+Q35</f>
        <v>443.137858311886</v>
      </c>
      <c r="R36" s="71" t="n">
        <f aca="false">R29+R28-R27+R35</f>
        <v>447.203349366425</v>
      </c>
      <c r="S36" s="71" t="n">
        <f aca="false">S29+S28-S27+S35</f>
        <v>443.281930025139</v>
      </c>
      <c r="T36" s="71" t="n">
        <f aca="false">T29+T28-T27+T35</f>
        <v>445.090380948224</v>
      </c>
      <c r="U36" s="71" t="n">
        <f aca="false">U29+U28-U27+U35</f>
        <v>443.297104065805</v>
      </c>
      <c r="V36" s="71" t="n">
        <f aca="false">V29+V28-V27+V35</f>
        <v>430.194529299337</v>
      </c>
      <c r="W36" s="71" t="n">
        <f aca="false">W29+W28-W27+W35</f>
        <v>428.638877395745</v>
      </c>
      <c r="X36" s="71" t="n">
        <f aca="false">X29+X28-X27+X35</f>
        <v>427.227414250852</v>
      </c>
      <c r="Y36" s="71" t="n">
        <f aca="false">Y29+Y28-Y27+Y35</f>
        <v>429.032148438057</v>
      </c>
      <c r="Z36" s="71" t="n">
        <f aca="false">Z29+Z28-Z27+Z35</f>
        <v>427.332086117587</v>
      </c>
      <c r="AA36" s="71" t="n">
        <f aca="false">AA29+AA28-AA27+AA35</f>
        <v>429.08068892434</v>
      </c>
      <c r="AB36" s="71" t="n">
        <f aca="false">AB29+AB28-AB27+AB35</f>
        <v>452.164497689899</v>
      </c>
      <c r="AC36" s="71" t="n">
        <f aca="false">AC29+AC28-AC27+AC35</f>
        <v>447.587758508707</v>
      </c>
      <c r="AD36" s="71" t="n">
        <f aca="false">AD29+AD28-AD27+AD35</f>
        <v>449.407584694841</v>
      </c>
      <c r="AE36" s="71" t="n">
        <f aca="false">AE29+AE28-AE27+AE35</f>
        <v>445.992626692168</v>
      </c>
      <c r="AF36" s="71" t="n">
        <f aca="false">AF29+AF28-AF27+AF35</f>
        <v>447.57701041964</v>
      </c>
      <c r="AG36" s="71" t="n">
        <f aca="false">AG29+AG28-AG27+AG35</f>
        <v>445.651805499142</v>
      </c>
      <c r="AH36" s="71" t="n">
        <f aca="false">AH29+AH28-AH27+AH35</f>
        <v>432.412181012006</v>
      </c>
      <c r="AI36" s="71" t="n">
        <f aca="false">AI29+AI28-AI27+AI35</f>
        <v>430.780081698526</v>
      </c>
      <c r="AJ36" s="71" t="n">
        <f aca="false">AJ29+AJ28-AJ27+AJ35</f>
        <v>429.709810812555</v>
      </c>
      <c r="AK36" s="71" t="n">
        <f aca="false">AK29+AK28-AK27+AK35</f>
        <v>431.316066020067</v>
      </c>
      <c r="AL36" s="71" t="n">
        <f aca="false">AL29+AL28-AL27+AL35</f>
        <v>429.525869832721</v>
      </c>
      <c r="AM36" s="71" t="n">
        <f aca="false">AM29+AM28-AM27+AM35</f>
        <v>431.227378858871</v>
      </c>
    </row>
    <row r="37" customFormat="false" ht="21" hidden="false" customHeight="true" outlineLevel="0" collapsed="false">
      <c r="C37" s="56" t="s">
        <v>151</v>
      </c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</row>
    <row r="38" customFormat="false" ht="21" hidden="false" customHeight="true" outlineLevel="0" collapsed="false">
      <c r="C38" s="5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</row>
    <row r="39" customFormat="false" ht="21" hidden="false" customHeight="true" outlineLevel="0" collapsed="false">
      <c r="C39" s="56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</row>
    <row r="40" customFormat="false" ht="21" hidden="false" customHeight="true" outlineLevel="0" collapsed="false">
      <c r="C40" s="56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</row>
    <row r="41" customFormat="false" ht="25" hidden="false" customHeight="true" outlineLevel="0" collapsed="false">
      <c r="C41" s="58" t="s">
        <v>152</v>
      </c>
      <c r="D41" s="58"/>
      <c r="E41" s="58"/>
      <c r="F41" s="58"/>
      <c r="G41" s="58"/>
      <c r="H41" s="58"/>
      <c r="I41" s="58"/>
      <c r="J41" s="58"/>
      <c r="K41" s="58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</row>
    <row r="42" customFormat="false" ht="25" hidden="false" customHeight="true" outlineLevel="0" collapsed="false">
      <c r="C42" s="58"/>
      <c r="D42" s="58"/>
      <c r="E42" s="58"/>
      <c r="F42" s="58"/>
      <c r="G42" s="58"/>
      <c r="H42" s="58"/>
      <c r="I42" s="58"/>
      <c r="J42" s="58"/>
      <c r="K42" s="58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</row>
    <row r="43" customFormat="false" ht="21" hidden="false" customHeight="true" outlineLevel="0" collapsed="false">
      <c r="C43" s="56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</row>
    <row r="44" customFormat="false" ht="21" hidden="false" customHeight="true" outlineLevel="0" collapsed="false">
      <c r="C44" s="56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</row>
    <row r="45" customFormat="false" ht="21" hidden="false" customHeight="true" outlineLevel="0" collapsed="false">
      <c r="C45" s="56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</row>
    <row r="46" customFormat="false" ht="21" hidden="false" customHeight="true" outlineLevel="0" collapsed="false">
      <c r="C46" s="56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</row>
    <row r="47" customFormat="false" ht="21" hidden="false" customHeight="true" outlineLevel="0" collapsed="false"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</row>
    <row r="48" customFormat="false" ht="21" hidden="false" customHeight="true" outlineLevel="0" collapsed="false">
      <c r="C48" s="56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</row>
    <row r="49" customFormat="false" ht="21" hidden="false" customHeight="true" outlineLevel="0" collapsed="false">
      <c r="C49" s="56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</row>
    <row r="50" customFormat="false" ht="21" hidden="false" customHeight="true" outlineLevel="0" collapsed="false">
      <c r="C50" s="56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</row>
    <row r="51" customFormat="false" ht="21" hidden="false" customHeight="true" outlineLevel="0" collapsed="false">
      <c r="C51" s="56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</row>
    <row r="52" customFormat="false" ht="21" hidden="false" customHeight="true" outlineLevel="0" collapsed="false">
      <c r="C52" s="56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</row>
    <row r="53" customFormat="false" ht="21" hidden="false" customHeight="true" outlineLevel="0" collapsed="false">
      <c r="C53" s="56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</row>
    <row r="54" customFormat="false" ht="21" hidden="false" customHeight="true" outlineLevel="0" collapsed="false">
      <c r="C54" s="56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</row>
    <row r="55" customFormat="false" ht="21" hidden="false" customHeight="true" outlineLevel="0" collapsed="false">
      <c r="C55" s="56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</row>
    <row r="56" customFormat="false" ht="21" hidden="false" customHeight="true" outlineLevel="0" collapsed="false">
      <c r="C56" s="56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</row>
    <row r="57" customFormat="false" ht="21" hidden="false" customHeight="true" outlineLevel="0" collapsed="false">
      <c r="C57" s="56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</row>
    <row r="58" customFormat="false" ht="21" hidden="false" customHeight="true" outlineLevel="0" collapsed="false">
      <c r="C58" s="56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</row>
    <row r="59" customFormat="false" ht="21" hidden="false" customHeight="true" outlineLevel="0" collapsed="false">
      <c r="C59" s="56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</row>
    <row r="60" customFormat="false" ht="21" hidden="false" customHeight="true" outlineLevel="0" collapsed="false">
      <c r="C60" s="56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</row>
    <row r="61" customFormat="false" ht="21" hidden="false" customHeight="true" outlineLevel="0" collapsed="false">
      <c r="C61" s="56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</row>
    <row r="62" customFormat="false" ht="21" hidden="false" customHeight="true" outlineLevel="0" collapsed="false">
      <c r="C62" s="56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</row>
    <row r="63" customFormat="false" ht="21" hidden="false" customHeight="true" outlineLevel="0" collapsed="false">
      <c r="C63" s="5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</row>
    <row r="64" customFormat="false" ht="21" hidden="false" customHeight="true" outlineLevel="0" collapsed="false">
      <c r="C64" s="56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</row>
    <row r="65" customFormat="false" ht="21" hidden="false" customHeight="true" outlineLevel="0" collapsed="false">
      <c r="C65" s="5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</row>
    <row r="66" customFormat="false" ht="21" hidden="false" customHeight="true" outlineLevel="0" collapsed="false">
      <c r="C66" s="56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</row>
    <row r="67" customFormat="false" ht="21" hidden="false" customHeight="true" outlineLevel="0" collapsed="false">
      <c r="C67" s="5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</row>
    <row r="68" customFormat="false" ht="21" hidden="false" customHeight="true" outlineLevel="0" collapsed="false">
      <c r="C68" s="56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</row>
    <row r="69" customFormat="false" ht="21" hidden="false" customHeight="true" outlineLevel="0" collapsed="false">
      <c r="C69" s="5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</row>
    <row r="70" customFormat="false" ht="21" hidden="false" customHeight="true" outlineLevel="0" collapsed="false">
      <c r="C70" s="56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</row>
    <row r="71" customFormat="false" ht="21" hidden="false" customHeight="true" outlineLevel="0" collapsed="false">
      <c r="C71" s="56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</row>
  </sheetData>
  <sheetProtection sheet="1" objects="1" scenarios="1" selectLockedCells="0" selectUnlockedCells="0"/>
  <mergeCells count="3">
    <mergeCell ref="C2:K2"/>
    <mergeCell ref="C3:K4"/>
    <mergeCell ref="C41:K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C1:AM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39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customFormat="false" ht="33" hidden="false" customHeight="true" outlineLevel="0" collapsed="false">
      <c r="C2" s="57" t="s">
        <v>153</v>
      </c>
      <c r="D2" s="57"/>
      <c r="E2" s="57"/>
      <c r="F2" s="57"/>
      <c r="G2" s="57"/>
      <c r="H2" s="57"/>
      <c r="I2" s="57"/>
      <c r="J2" s="57"/>
      <c r="K2" s="57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</row>
    <row r="3" customFormat="false" ht="21" hidden="false" customHeight="true" outlineLevel="0" collapsed="false">
      <c r="C3" s="58" t="s">
        <v>129</v>
      </c>
      <c r="D3" s="58"/>
      <c r="E3" s="58"/>
      <c r="F3" s="58"/>
      <c r="G3" s="58"/>
      <c r="H3" s="58"/>
      <c r="I3" s="58"/>
      <c r="J3" s="58"/>
      <c r="K3" s="58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</row>
    <row r="6" customFormat="false" ht="21" hidden="false" customHeight="true" outlineLevel="0" collapsed="false">
      <c r="C6" s="56"/>
      <c r="D6" s="56" t="s">
        <v>130</v>
      </c>
      <c r="E6" s="56" t="s">
        <v>130</v>
      </c>
      <c r="F6" s="56" t="s">
        <v>130</v>
      </c>
      <c r="G6" s="56" t="s">
        <v>130</v>
      </c>
      <c r="H6" s="56" t="s">
        <v>130</v>
      </c>
      <c r="I6" s="56" t="s">
        <v>131</v>
      </c>
      <c r="J6" s="56" t="s">
        <v>132</v>
      </c>
      <c r="K6" s="56" t="s">
        <v>132</v>
      </c>
      <c r="L6" s="56" t="s">
        <v>132</v>
      </c>
      <c r="M6" s="56" t="s">
        <v>132</v>
      </c>
      <c r="N6" s="56" t="s">
        <v>132</v>
      </c>
      <c r="O6" s="56" t="s">
        <v>132</v>
      </c>
      <c r="P6" s="56" t="s">
        <v>132</v>
      </c>
      <c r="Q6" s="56" t="s">
        <v>132</v>
      </c>
      <c r="R6" s="56" t="s">
        <v>132</v>
      </c>
      <c r="S6" s="56" t="s">
        <v>132</v>
      </c>
      <c r="T6" s="56" t="s">
        <v>132</v>
      </c>
      <c r="U6" s="56" t="s">
        <v>132</v>
      </c>
      <c r="V6" s="56" t="s">
        <v>132</v>
      </c>
      <c r="W6" s="56" t="s">
        <v>132</v>
      </c>
      <c r="X6" s="56" t="s">
        <v>132</v>
      </c>
      <c r="Y6" s="56" t="s">
        <v>132</v>
      </c>
      <c r="Z6" s="56" t="s">
        <v>132</v>
      </c>
      <c r="AA6" s="56" t="s">
        <v>132</v>
      </c>
      <c r="AB6" s="56" t="s">
        <v>132</v>
      </c>
      <c r="AC6" s="56" t="s">
        <v>132</v>
      </c>
      <c r="AD6" s="56" t="s">
        <v>132</v>
      </c>
      <c r="AE6" s="56" t="s">
        <v>132</v>
      </c>
      <c r="AF6" s="56" t="s">
        <v>132</v>
      </c>
      <c r="AG6" s="56" t="s">
        <v>132</v>
      </c>
      <c r="AH6" s="56" t="s">
        <v>132</v>
      </c>
      <c r="AI6" s="56" t="s">
        <v>132</v>
      </c>
      <c r="AJ6" s="56" t="s">
        <v>132</v>
      </c>
      <c r="AK6" s="56" t="s">
        <v>132</v>
      </c>
      <c r="AL6" s="56" t="s">
        <v>132</v>
      </c>
      <c r="AM6" s="56" t="s">
        <v>132</v>
      </c>
    </row>
    <row r="7" customFormat="false" ht="21" hidden="false" customHeight="true" outlineLevel="0" collapsed="false">
      <c r="C7" s="63"/>
      <c r="D7" s="73" t="n">
        <v>46053</v>
      </c>
      <c r="E7" s="73" t="n">
        <v>46081</v>
      </c>
      <c r="F7" s="73" t="n">
        <v>46112</v>
      </c>
      <c r="G7" s="73" t="n">
        <v>46142</v>
      </c>
      <c r="H7" s="73" t="n">
        <v>46173</v>
      </c>
      <c r="I7" s="73" t="n">
        <v>46203</v>
      </c>
      <c r="J7" s="73" t="n">
        <v>46234</v>
      </c>
      <c r="K7" s="73" t="n">
        <v>46265</v>
      </c>
      <c r="L7" s="73" t="n">
        <v>46295</v>
      </c>
      <c r="M7" s="73" t="n">
        <v>46326</v>
      </c>
      <c r="N7" s="73" t="n">
        <v>46356</v>
      </c>
      <c r="O7" s="73" t="n">
        <v>46387</v>
      </c>
      <c r="P7" s="73" t="n">
        <v>46418</v>
      </c>
      <c r="Q7" s="73" t="n">
        <v>46446</v>
      </c>
      <c r="R7" s="73" t="n">
        <v>46477</v>
      </c>
      <c r="S7" s="73" t="n">
        <v>46507</v>
      </c>
      <c r="T7" s="73" t="n">
        <v>46538</v>
      </c>
      <c r="U7" s="73" t="n">
        <v>46568</v>
      </c>
      <c r="V7" s="73" t="n">
        <v>46599</v>
      </c>
      <c r="W7" s="73" t="n">
        <v>46630</v>
      </c>
      <c r="X7" s="73" t="n">
        <v>46660</v>
      </c>
      <c r="Y7" s="73" t="n">
        <v>46691</v>
      </c>
      <c r="Z7" s="73" t="n">
        <v>46721</v>
      </c>
      <c r="AA7" s="73" t="n">
        <v>46752</v>
      </c>
      <c r="AB7" s="73" t="n">
        <v>46783</v>
      </c>
      <c r="AC7" s="73" t="n">
        <v>46812</v>
      </c>
      <c r="AD7" s="73" t="n">
        <v>46843</v>
      </c>
      <c r="AE7" s="73" t="n">
        <v>46873</v>
      </c>
      <c r="AF7" s="73" t="n">
        <v>46904</v>
      </c>
      <c r="AG7" s="73" t="n">
        <v>46934</v>
      </c>
      <c r="AH7" s="73" t="n">
        <v>46965</v>
      </c>
      <c r="AI7" s="73" t="n">
        <v>46996</v>
      </c>
      <c r="AJ7" s="73" t="n">
        <v>47026</v>
      </c>
      <c r="AK7" s="73" t="n">
        <v>47057</v>
      </c>
      <c r="AL7" s="73" t="n">
        <v>47087</v>
      </c>
      <c r="AM7" s="73" t="n">
        <v>47118</v>
      </c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</row>
    <row r="9" customFormat="false" ht="21" hidden="false" customHeight="true" outlineLevel="0" collapsed="false">
      <c r="C9" s="56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</row>
    <row r="10" customFormat="false" ht="21" hidden="false" customHeight="true" outlineLevel="0" collapsed="false">
      <c r="C10" s="56" t="s">
        <v>154</v>
      </c>
      <c r="D10" s="69"/>
      <c r="E10" s="69"/>
      <c r="F10" s="69"/>
      <c r="G10" s="69"/>
      <c r="H10" s="69"/>
      <c r="I10" s="69" t="n">
        <f aca="false">H1Data!D9</f>
        <v>1058.49868374</v>
      </c>
      <c r="J10" s="69" t="n">
        <f aca="false">Monthly_CF!J51</f>
        <v>1139.6766486315</v>
      </c>
      <c r="K10" s="69" t="n">
        <f aca="false">Monthly_CF!K51</f>
        <v>1516.94409800519</v>
      </c>
      <c r="L10" s="69" t="n">
        <f aca="false">Monthly_CF!L51</f>
        <v>1609.87427757109</v>
      </c>
      <c r="M10" s="69" t="n">
        <f aca="false">Monthly_CF!M51</f>
        <v>1761.04733343031</v>
      </c>
      <c r="N10" s="69" t="n">
        <f aca="false">Monthly_CF!N51</f>
        <v>2381.04523594008</v>
      </c>
      <c r="O10" s="69" t="n">
        <f aca="false">Monthly_CF!O51</f>
        <v>2313.69615907765</v>
      </c>
      <c r="P10" s="69" t="n">
        <f aca="false">Monthly_CF!P51</f>
        <v>3137.85291868873</v>
      </c>
      <c r="Q10" s="69" t="n">
        <f aca="false">Monthly_CF!Q51</f>
        <v>3861.91326721347</v>
      </c>
      <c r="R10" s="69" t="n">
        <f aca="false">Monthly_CF!R51</f>
        <v>3227.16628570818</v>
      </c>
      <c r="S10" s="69" t="n">
        <f aca="false">Monthly_CF!S51</f>
        <v>4120.02966173627</v>
      </c>
      <c r="T10" s="69" t="n">
        <f aca="false">Monthly_CF!T51</f>
        <v>4235.3578656444</v>
      </c>
      <c r="U10" s="69" t="n">
        <f aca="false">Monthly_CF!U51</f>
        <v>947.778974614787</v>
      </c>
      <c r="V10" s="69" t="n">
        <f aca="false">Monthly_CF!V51</f>
        <v>948.146180699956</v>
      </c>
      <c r="W10" s="69" t="n">
        <f aca="false">Monthly_CF!W51</f>
        <v>1501.21960412941</v>
      </c>
      <c r="X10" s="69" t="n">
        <f aca="false">Monthly_CF!X51</f>
        <v>1803.63125758342</v>
      </c>
      <c r="Y10" s="69" t="n">
        <f aca="false">Monthly_CF!Y51</f>
        <v>1942.91340916468</v>
      </c>
      <c r="Z10" s="69" t="n">
        <f aca="false">Monthly_CF!Z51</f>
        <v>2579.42338691248</v>
      </c>
      <c r="AA10" s="69" t="n">
        <f aca="false">Monthly_CF!AA51</f>
        <v>2495.31794304958</v>
      </c>
      <c r="AB10" s="69" t="n">
        <f aca="false">Monthly_CF!AB51</f>
        <v>3345.75619567448</v>
      </c>
      <c r="AC10" s="69" t="n">
        <f aca="false">Monthly_CF!AC51</f>
        <v>3887.09276613206</v>
      </c>
      <c r="AD10" s="69" t="n">
        <f aca="false">Monthly_CF!AD51</f>
        <v>3526.09216158177</v>
      </c>
      <c r="AE10" s="69" t="n">
        <f aca="false">Monthly_CF!AE51</f>
        <v>4320.83520254244</v>
      </c>
      <c r="AF10" s="69" t="n">
        <f aca="false">Monthly_CF!AF51</f>
        <v>4433.98750862888</v>
      </c>
      <c r="AG10" s="69" t="n">
        <f aca="false">Monthly_CF!AG51</f>
        <v>995.396165630931</v>
      </c>
      <c r="AH10" s="69" t="n">
        <f aca="false">Monthly_CF!AH51</f>
        <v>981.084018946023</v>
      </c>
      <c r="AI10" s="69" t="n">
        <f aca="false">Monthly_CF!AI51</f>
        <v>1541.79098047791</v>
      </c>
      <c r="AJ10" s="69" t="n">
        <f aca="false">Monthly_CF!AJ51</f>
        <v>1853.42539580715</v>
      </c>
      <c r="AK10" s="69" t="n">
        <f aca="false">Monthly_CF!AK51</f>
        <v>1979.91557863831</v>
      </c>
      <c r="AL10" s="69" t="n">
        <f aca="false">Monthly_CF!AL51</f>
        <v>2632.30200254895</v>
      </c>
      <c r="AM10" s="69" t="n">
        <f aca="false">Monthly_CF!AM51</f>
        <v>2533.47797737355</v>
      </c>
    </row>
    <row r="11" customFormat="false" ht="21" hidden="false" customHeight="true" outlineLevel="0" collapsed="false">
      <c r="C11" s="56" t="s">
        <v>155</v>
      </c>
      <c r="D11" s="69"/>
      <c r="E11" s="69"/>
      <c r="F11" s="69"/>
      <c r="G11" s="69"/>
      <c r="H11" s="69"/>
      <c r="I11" s="69" t="n">
        <f aca="false">H1Data!D11</f>
        <v>3480.0156407</v>
      </c>
      <c r="J11" s="69" t="n">
        <f aca="false">H1Data!D11</f>
        <v>3480.0156407</v>
      </c>
      <c r="K11" s="69" t="n">
        <f aca="false">H1Data!D11</f>
        <v>3480.0156407</v>
      </c>
      <c r="L11" s="69" t="n">
        <f aca="false">H1Data!D11</f>
        <v>3480.0156407</v>
      </c>
      <c r="M11" s="69" t="n">
        <f aca="false">H1Data!D11</f>
        <v>3480.0156407</v>
      </c>
      <c r="N11" s="69" t="n">
        <f aca="false">H1Data!D11</f>
        <v>3480.0156407</v>
      </c>
      <c r="O11" s="69" t="n">
        <f aca="false">H1Data!D11</f>
        <v>3480.0156407</v>
      </c>
      <c r="P11" s="69" t="n">
        <f aca="false">H1Data!D11</f>
        <v>3480.0156407</v>
      </c>
      <c r="Q11" s="69" t="n">
        <f aca="false">H1Data!D11</f>
        <v>3480.0156407</v>
      </c>
      <c r="R11" s="69" t="n">
        <f aca="false">H1Data!D11</f>
        <v>3480.0156407</v>
      </c>
      <c r="S11" s="69" t="n">
        <f aca="false">H1Data!D11</f>
        <v>3480.0156407</v>
      </c>
      <c r="T11" s="69" t="n">
        <f aca="false">H1Data!D11</f>
        <v>3480.0156407</v>
      </c>
      <c r="U11" s="69" t="n">
        <f aca="false">H1Data!D11</f>
        <v>3480.0156407</v>
      </c>
      <c r="V11" s="69" t="n">
        <f aca="false">H1Data!D11</f>
        <v>3480.0156407</v>
      </c>
      <c r="W11" s="69" t="n">
        <f aca="false">H1Data!D11</f>
        <v>3480.0156407</v>
      </c>
      <c r="X11" s="69" t="n">
        <f aca="false">H1Data!D11</f>
        <v>3480.0156407</v>
      </c>
      <c r="Y11" s="69" t="n">
        <f aca="false">H1Data!D11</f>
        <v>3480.0156407</v>
      </c>
      <c r="Z11" s="69" t="n">
        <f aca="false">H1Data!D11</f>
        <v>3480.0156407</v>
      </c>
      <c r="AA11" s="69" t="n">
        <f aca="false">H1Data!D11</f>
        <v>3480.0156407</v>
      </c>
      <c r="AB11" s="69" t="n">
        <f aca="false">H1Data!D11</f>
        <v>3480.0156407</v>
      </c>
      <c r="AC11" s="69" t="n">
        <f aca="false">H1Data!D11</f>
        <v>3480.0156407</v>
      </c>
      <c r="AD11" s="69" t="n">
        <f aca="false">H1Data!D11</f>
        <v>3480.0156407</v>
      </c>
      <c r="AE11" s="69" t="n">
        <f aca="false">H1Data!D11</f>
        <v>3480.0156407</v>
      </c>
      <c r="AF11" s="69" t="n">
        <f aca="false">H1Data!D11</f>
        <v>3480.0156407</v>
      </c>
      <c r="AG11" s="69" t="n">
        <f aca="false">H1Data!D11</f>
        <v>3480.0156407</v>
      </c>
      <c r="AH11" s="69" t="n">
        <f aca="false">H1Data!D11</f>
        <v>3480.0156407</v>
      </c>
      <c r="AI11" s="69" t="n">
        <f aca="false">H1Data!D11</f>
        <v>3480.0156407</v>
      </c>
      <c r="AJ11" s="69" t="n">
        <f aca="false">H1Data!D11</f>
        <v>3480.0156407</v>
      </c>
      <c r="AK11" s="69" t="n">
        <f aca="false">H1Data!D11</f>
        <v>3480.0156407</v>
      </c>
      <c r="AL11" s="69" t="n">
        <f aca="false">H1Data!D11</f>
        <v>3480.0156407</v>
      </c>
      <c r="AM11" s="69" t="n">
        <f aca="false">H1Data!D11</f>
        <v>3480.0156407</v>
      </c>
    </row>
    <row r="12" customFormat="false" ht="21" hidden="false" customHeight="true" outlineLevel="0" collapsed="false">
      <c r="C12" s="56" t="s">
        <v>156</v>
      </c>
      <c r="D12" s="69"/>
      <c r="E12" s="69"/>
      <c r="F12" s="69"/>
      <c r="G12" s="69"/>
      <c r="H12" s="69"/>
      <c r="I12" s="69" t="n">
        <f aca="false">H1Data!D17+H1Data!D16+H1Data!D19</f>
        <v>330.9851343</v>
      </c>
      <c r="J12" s="69" t="n">
        <f aca="false">Receivables!J19</f>
        <v>326.368719732461</v>
      </c>
      <c r="K12" s="69" t="n">
        <f aca="false">Receivables!K19</f>
        <v>326.368719732461</v>
      </c>
      <c r="L12" s="69" t="n">
        <f aca="false">Receivables!L19</f>
        <v>336.577923521543</v>
      </c>
      <c r="M12" s="69" t="n">
        <f aca="false">Receivables!M19</f>
        <v>326.368719732461</v>
      </c>
      <c r="N12" s="69" t="n">
        <f aca="false">Receivables!N19</f>
        <v>336.577923521543</v>
      </c>
      <c r="O12" s="69" t="n">
        <f aca="false">Receivables!O19</f>
        <v>326.368719732461</v>
      </c>
      <c r="P12" s="69" t="n">
        <f aca="false">Receivables!P19</f>
        <v>347.203990403748</v>
      </c>
      <c r="Q12" s="69" t="n">
        <f aca="false">Receivables!Q19</f>
        <v>382.251638726292</v>
      </c>
      <c r="R12" s="69" t="n">
        <f aca="false">Receivables!R19</f>
        <v>347.203990403748</v>
      </c>
      <c r="S12" s="69" t="n">
        <f aca="false">Receivables!S19</f>
        <v>358.107703215206</v>
      </c>
      <c r="T12" s="69" t="n">
        <f aca="false">Receivables!T19</f>
        <v>347.203990403748</v>
      </c>
      <c r="U12" s="69" t="n">
        <f aca="false">Receivables!U19</f>
        <v>358.107703215206</v>
      </c>
      <c r="V12" s="69" t="n">
        <f aca="false">Receivables!V19</f>
        <v>337.481176561895</v>
      </c>
      <c r="W12" s="69" t="n">
        <f aca="false">Receivables!W19</f>
        <v>337.481176561895</v>
      </c>
      <c r="X12" s="69" t="n">
        <f aca="false">Receivables!X19</f>
        <v>348.060795578625</v>
      </c>
      <c r="Y12" s="69" t="n">
        <f aca="false">Receivables!Y19</f>
        <v>337.481176561895</v>
      </c>
      <c r="Z12" s="69" t="n">
        <f aca="false">Receivables!Z19</f>
        <v>348.060795578625</v>
      </c>
      <c r="AA12" s="69" t="n">
        <f aca="false">Receivables!AA19</f>
        <v>337.481176561895</v>
      </c>
      <c r="AB12" s="69" t="n">
        <f aca="false">Receivables!AB19</f>
        <v>359.040059148252</v>
      </c>
      <c r="AC12" s="69" t="n">
        <f aca="false">Receivables!AC19</f>
        <v>382.415745568132</v>
      </c>
      <c r="AD12" s="69" t="n">
        <f aca="false">Receivables!AD19</f>
        <v>359.040059148252</v>
      </c>
      <c r="AE12" s="69" t="n">
        <f aca="false">Receivables!AE19</f>
        <v>370.338307584527</v>
      </c>
      <c r="AF12" s="69" t="n">
        <f aca="false">Receivables!AF19</f>
        <v>359.040059148252</v>
      </c>
      <c r="AG12" s="69" t="n">
        <f aca="false">Receivables!AG19</f>
        <v>370.338307584527</v>
      </c>
      <c r="AH12" s="69" t="n">
        <f aca="false">Receivables!AH19</f>
        <v>349.175737727245</v>
      </c>
      <c r="AI12" s="69" t="n">
        <f aca="false">Receivables!AI19</f>
        <v>349.175737727245</v>
      </c>
      <c r="AJ12" s="69" t="n">
        <f aca="false">Receivables!AJ19</f>
        <v>360.145175449486</v>
      </c>
      <c r="AK12" s="69" t="n">
        <f aca="false">Receivables!AK19</f>
        <v>349.175737727245</v>
      </c>
      <c r="AL12" s="69" t="n">
        <f aca="false">Receivables!AL19</f>
        <v>360.145175449486</v>
      </c>
      <c r="AM12" s="69" t="n">
        <f aca="false">Receivables!AM19</f>
        <v>349.175737727245</v>
      </c>
    </row>
    <row r="13" customFormat="false" ht="21" hidden="false" customHeight="true" outlineLevel="0" collapsed="false">
      <c r="C13" s="56" t="s">
        <v>157</v>
      </c>
      <c r="D13" s="69"/>
      <c r="E13" s="69"/>
      <c r="F13" s="69"/>
      <c r="G13" s="69"/>
      <c r="H13" s="69"/>
      <c r="I13" s="69" t="n">
        <f aca="false">H1Data!D22</f>
        <v>1636.96424834</v>
      </c>
      <c r="J13" s="69" t="n">
        <f aca="false">Inventory!J30</f>
        <v>1485.80573853177</v>
      </c>
      <c r="K13" s="69" t="n">
        <f aca="false">Inventory!K30</f>
        <v>1418.67289023545</v>
      </c>
      <c r="L13" s="69" t="n">
        <f aca="false">Inventory!L30</f>
        <v>1415.27336224386</v>
      </c>
      <c r="M13" s="69" t="n">
        <f aca="false">Inventory!M30</f>
        <v>1373.47127105393</v>
      </c>
      <c r="N13" s="69" t="n">
        <f aca="false">Inventory!N30</f>
        <v>1395.67861132423</v>
      </c>
      <c r="O13" s="69" t="n">
        <f aca="false">Inventory!O30</f>
        <v>1364.49768638886</v>
      </c>
      <c r="P13" s="69" t="n">
        <f aca="false">Inventory!P30</f>
        <v>1424.06433845027</v>
      </c>
      <c r="Q13" s="69" t="n">
        <f aca="false">Inventory!Q30</f>
        <v>1512.02661290519</v>
      </c>
      <c r="R13" s="69" t="n">
        <f aca="false">Inventory!R30</f>
        <v>1414.27710218299</v>
      </c>
      <c r="S13" s="69" t="n">
        <f aca="false">Inventory!S30</f>
        <v>1451.37868102477</v>
      </c>
      <c r="T13" s="69" t="n">
        <f aca="false">Inventory!T30</f>
        <v>1420.78996598435</v>
      </c>
      <c r="U13" s="69" t="n">
        <f aca="false">Inventory!U30</f>
        <v>1451.59045791281</v>
      </c>
      <c r="V13" s="69" t="n">
        <f aca="false">Inventory!V30</f>
        <v>1402.53373727679</v>
      </c>
      <c r="W13" s="69" t="n">
        <f aca="false">Inventory!W30</f>
        <v>1407.18353235108</v>
      </c>
      <c r="X13" s="69" t="n">
        <f aca="false">Inventory!X30</f>
        <v>1434.37942149398</v>
      </c>
      <c r="Y13" s="69" t="n">
        <f aca="false">Inventory!Y30</f>
        <v>1404.42004769076</v>
      </c>
      <c r="Z13" s="69" t="n">
        <f aca="false">Inventory!Z30</f>
        <v>1434.51021108241</v>
      </c>
      <c r="AA13" s="69" t="n">
        <f aca="false">Inventory!AA30</f>
        <v>1404.59937776547</v>
      </c>
      <c r="AB13" s="69" t="n">
        <f aca="false">Inventory!AB30</f>
        <v>1469.31221524425</v>
      </c>
      <c r="AC13" s="69" t="n">
        <f aca="false">Inventory!AC30</f>
        <v>1528.78269999449</v>
      </c>
      <c r="AD13" s="69" t="n">
        <f aca="false">Inventory!AD30</f>
        <v>1463.0381268901</v>
      </c>
      <c r="AE13" s="69" t="n">
        <f aca="false">Inventory!AE30</f>
        <v>1499.41100310869</v>
      </c>
      <c r="AF13" s="69" t="n">
        <f aca="false">Inventory!AF30</f>
        <v>1467.18637538997</v>
      </c>
      <c r="AG13" s="69" t="n">
        <f aca="false">Inventory!AG30</f>
        <v>1499.97873959754</v>
      </c>
      <c r="AH13" s="69" t="n">
        <f aca="false">Inventory!AH30</f>
        <v>1449.30639129831</v>
      </c>
      <c r="AI13" s="69" t="n">
        <f aca="false">Inventory!AI30</f>
        <v>1454.14370059947</v>
      </c>
      <c r="AJ13" s="69" t="n">
        <f aca="false">Inventory!AJ30</f>
        <v>1483.42307007716</v>
      </c>
      <c r="AK13" s="69" t="n">
        <f aca="false">Inventory!AK30</f>
        <v>1451.75601648233</v>
      </c>
      <c r="AL13" s="69" t="n">
        <f aca="false">Inventory!AL30</f>
        <v>1483.82014856945</v>
      </c>
      <c r="AM13" s="69" t="n">
        <f aca="false">Inventory!AM30</f>
        <v>1452.06440781342</v>
      </c>
    </row>
    <row r="14" customFormat="false" ht="21" hidden="false" customHeight="true" outlineLevel="0" collapsed="false">
      <c r="C14" s="56" t="s">
        <v>158</v>
      </c>
      <c r="D14" s="69"/>
      <c r="E14" s="69"/>
      <c r="F14" s="69"/>
      <c r="G14" s="69"/>
      <c r="H14" s="69"/>
      <c r="I14" s="69" t="n">
        <f aca="false">H1Data!D24+H1Data!D25</f>
        <v>3591.96782104</v>
      </c>
      <c r="J14" s="69" t="n">
        <f aca="false">Assets!J99</f>
        <v>3608.05226753973</v>
      </c>
      <c r="K14" s="69" t="n">
        <f aca="false">Assets!K99</f>
        <v>3623.96201735093</v>
      </c>
      <c r="L14" s="69" t="n">
        <f aca="false">Assets!L99</f>
        <v>3639.6970704736</v>
      </c>
      <c r="M14" s="69" t="n">
        <f aca="false">Assets!M99</f>
        <v>3655.25742690773</v>
      </c>
      <c r="N14" s="69" t="n">
        <f aca="false">Assets!N99</f>
        <v>3670.64308665333</v>
      </c>
      <c r="O14" s="69" t="n">
        <f aca="false">Assets!O99</f>
        <v>3685.8540497104</v>
      </c>
      <c r="P14" s="69" t="n">
        <f aca="false">Assets!P99</f>
        <v>3702.8596138255</v>
      </c>
      <c r="Q14" s="69" t="n">
        <f aca="false">Assets!Q99</f>
        <v>3719.68174641764</v>
      </c>
      <c r="R14" s="69" t="n">
        <f aca="false">Assets!R99</f>
        <v>3736.32044748682</v>
      </c>
      <c r="S14" s="69" t="n">
        <f aca="false">Assets!S99</f>
        <v>3752.77571703304</v>
      </c>
      <c r="T14" s="69" t="n">
        <f aca="false">Assets!T99</f>
        <v>3769.04755505631</v>
      </c>
      <c r="U14" s="69" t="n">
        <f aca="false">Assets!U99</f>
        <v>3785.13596155661</v>
      </c>
      <c r="V14" s="69" t="n">
        <f aca="false">Assets!V99</f>
        <v>3801.04093653395</v>
      </c>
      <c r="W14" s="69" t="n">
        <f aca="false">Assets!W99</f>
        <v>3816.76247998833</v>
      </c>
      <c r="X14" s="69" t="n">
        <f aca="false">Assets!X99</f>
        <v>3832.30059191975</v>
      </c>
      <c r="Y14" s="69" t="n">
        <f aca="false">Assets!Y99</f>
        <v>3847.65527232821</v>
      </c>
      <c r="Z14" s="69" t="n">
        <f aca="false">Assets!Z99</f>
        <v>3862.82652121371</v>
      </c>
      <c r="AA14" s="69" t="n">
        <f aca="false">Assets!AA99</f>
        <v>3877.81433857625</v>
      </c>
      <c r="AB14" s="69" t="n">
        <f aca="false">Assets!AB99</f>
        <v>3894.68648704973</v>
      </c>
      <c r="AC14" s="69" t="n">
        <f aca="false">Assets!AC99</f>
        <v>3911.3660324241</v>
      </c>
      <c r="AD14" s="69" t="n">
        <f aca="false">Assets!AD99</f>
        <v>3927.85297469936</v>
      </c>
      <c r="AE14" s="69" t="n">
        <f aca="false">Assets!AE99</f>
        <v>3944.14731387551</v>
      </c>
      <c r="AF14" s="69" t="n">
        <f aca="false">Assets!AF99</f>
        <v>3960.24904995256</v>
      </c>
      <c r="AG14" s="69" t="n">
        <f aca="false">Assets!AG99</f>
        <v>3976.1581829305</v>
      </c>
      <c r="AH14" s="69" t="n">
        <f aca="false">Assets!AH99</f>
        <v>3991.87471280932</v>
      </c>
      <c r="AI14" s="69" t="n">
        <f aca="false">Assets!AI99</f>
        <v>4007.39863958905</v>
      </c>
      <c r="AJ14" s="69" t="n">
        <f aca="false">Assets!AJ99</f>
        <v>4022.72996326966</v>
      </c>
      <c r="AK14" s="69" t="n">
        <f aca="false">Assets!AK99</f>
        <v>4037.86868385116</v>
      </c>
      <c r="AL14" s="69" t="n">
        <f aca="false">Assets!AL99</f>
        <v>4052.81480133356</v>
      </c>
      <c r="AM14" s="69" t="n">
        <f aca="false">Assets!AM99</f>
        <v>4067.56831571685</v>
      </c>
    </row>
    <row r="15" customFormat="false" ht="21" hidden="false" customHeight="true" outlineLevel="0" collapsed="false">
      <c r="C15" s="56" t="s">
        <v>159</v>
      </c>
      <c r="D15" s="69"/>
      <c r="E15" s="69"/>
      <c r="F15" s="69"/>
      <c r="G15" s="69"/>
      <c r="H15" s="69"/>
      <c r="I15" s="69" t="n">
        <f aca="false">H1Data!D27+H1Data!D28</f>
        <v>349.07459603</v>
      </c>
      <c r="J15" s="69" t="n">
        <f aca="false">Assets!J76</f>
        <v>351.6317920696</v>
      </c>
      <c r="K15" s="69" t="n">
        <f aca="false">Assets!K76</f>
        <v>354.152519632412</v>
      </c>
      <c r="L15" s="69" t="n">
        <f aca="false">Assets!L76</f>
        <v>356.636778718435</v>
      </c>
      <c r="M15" s="69" t="n">
        <f aca="false">Assets!M76</f>
        <v>359.08456932767</v>
      </c>
      <c r="N15" s="69" t="n">
        <f aca="false">Assets!N76</f>
        <v>361.495891460117</v>
      </c>
      <c r="O15" s="69" t="n">
        <f aca="false">Assets!O76</f>
        <v>363.870745115775</v>
      </c>
      <c r="P15" s="69" t="n">
        <f aca="false">Assets!P76</f>
        <v>366.427941155375</v>
      </c>
      <c r="Q15" s="69" t="n">
        <f aca="false">Assets!Q76</f>
        <v>368.946845294347</v>
      </c>
      <c r="R15" s="69" t="n">
        <f aca="false">Assets!R76</f>
        <v>371.427457532692</v>
      </c>
      <c r="S15" s="69" t="n">
        <f aca="false">Assets!S76</f>
        <v>373.869777870408</v>
      </c>
      <c r="T15" s="69" t="n">
        <f aca="false">Assets!T76</f>
        <v>376.273806307497</v>
      </c>
      <c r="U15" s="69" t="n">
        <f aca="false">Assets!U76</f>
        <v>378.639542843959</v>
      </c>
      <c r="V15" s="69" t="n">
        <f aca="false">Assets!V76</f>
        <v>380.966987479792</v>
      </c>
      <c r="W15" s="69" t="n">
        <f aca="false">Assets!W76</f>
        <v>383.256140214998</v>
      </c>
      <c r="X15" s="69" t="n">
        <f aca="false">Assets!X76</f>
        <v>385.507001049576</v>
      </c>
      <c r="Y15" s="69" t="n">
        <f aca="false">Assets!Y76</f>
        <v>387.719569983526</v>
      </c>
      <c r="Z15" s="69" t="n">
        <f aca="false">Assets!Z76</f>
        <v>389.893847016849</v>
      </c>
      <c r="AA15" s="69" t="n">
        <f aca="false">Assets!AA76</f>
        <v>392.029832149543</v>
      </c>
      <c r="AB15" s="69" t="n">
        <f aca="false">Assets!AB76</f>
        <v>394.357276785377</v>
      </c>
      <c r="AC15" s="69" t="n">
        <f aca="false">Assets!AC76</f>
        <v>396.644514925551</v>
      </c>
      <c r="AD15" s="69" t="n">
        <f aca="false">Assets!AD76</f>
        <v>398.891546570066</v>
      </c>
      <c r="AE15" s="69" t="n">
        <f aca="false">Assets!AE76</f>
        <v>401.098371718923</v>
      </c>
      <c r="AF15" s="69" t="n">
        <f aca="false">Assets!AF76</f>
        <v>403.26499037212</v>
      </c>
      <c r="AG15" s="69" t="n">
        <f aca="false">Assets!AG76</f>
        <v>405.391402529657</v>
      </c>
      <c r="AH15" s="69" t="n">
        <f aca="false">Assets!AH76</f>
        <v>407.477608191536</v>
      </c>
      <c r="AI15" s="69" t="n">
        <f aca="false">Assets!AI76</f>
        <v>409.523607357756</v>
      </c>
      <c r="AJ15" s="69" t="n">
        <f aca="false">Assets!AJ76</f>
        <v>411.529400028316</v>
      </c>
      <c r="AK15" s="69" t="n">
        <f aca="false">Assets!AK76</f>
        <v>413.494986203217</v>
      </c>
      <c r="AL15" s="69" t="n">
        <f aca="false">Assets!AL76</f>
        <v>415.420365882459</v>
      </c>
      <c r="AM15" s="69" t="n">
        <f aca="false">Assets!AM76</f>
        <v>417.305539066042</v>
      </c>
    </row>
    <row r="16" customFormat="false" ht="21" hidden="false" customHeight="true" outlineLevel="0" collapsed="false">
      <c r="C16" s="56" t="s">
        <v>160</v>
      </c>
      <c r="D16" s="69"/>
      <c r="E16" s="69"/>
      <c r="F16" s="69"/>
      <c r="G16" s="69"/>
      <c r="H16" s="69"/>
      <c r="I16" s="69" t="n">
        <f aca="false">H1Data!D26</f>
        <v>17.65553843</v>
      </c>
      <c r="J16" s="69" t="n">
        <f aca="false">Assets!J88</f>
        <v>16.3955922316667</v>
      </c>
      <c r="K16" s="69" t="n">
        <f aca="false">Assets!K88</f>
        <v>15.1356460333333</v>
      </c>
      <c r="L16" s="69" t="n">
        <f aca="false">Assets!L88</f>
        <v>13.875699835</v>
      </c>
      <c r="M16" s="69" t="n">
        <f aca="false">Assets!M88</f>
        <v>12.6157536366667</v>
      </c>
      <c r="N16" s="69" t="n">
        <f aca="false">Assets!N88</f>
        <v>11.3558074383333</v>
      </c>
      <c r="O16" s="69" t="n">
        <f aca="false">Assets!O88</f>
        <v>10.09586124</v>
      </c>
      <c r="P16" s="69" t="n">
        <f aca="false">Assets!P88</f>
        <v>8.83591504166667</v>
      </c>
      <c r="Q16" s="69" t="n">
        <f aca="false">Assets!Q88</f>
        <v>7.57596884333333</v>
      </c>
      <c r="R16" s="69" t="n">
        <f aca="false">Assets!R88</f>
        <v>6.316022645</v>
      </c>
      <c r="S16" s="69" t="n">
        <f aca="false">Assets!S88</f>
        <v>5.05607644666667</v>
      </c>
      <c r="T16" s="69" t="n">
        <f aca="false">Assets!T88</f>
        <v>3.79613024833333</v>
      </c>
      <c r="U16" s="69" t="n">
        <f aca="false">Assets!U88</f>
        <v>2.53618405</v>
      </c>
      <c r="V16" s="69" t="n">
        <f aca="false">Assets!V88</f>
        <v>1.27623785166667</v>
      </c>
      <c r="W16" s="69" t="n">
        <f aca="false">Assets!W88</f>
        <v>0.0162916533333344</v>
      </c>
      <c r="X16" s="69" t="n">
        <f aca="false">Assets!X88</f>
        <v>0</v>
      </c>
      <c r="Y16" s="69" t="n">
        <f aca="false">Assets!Y88</f>
        <v>0</v>
      </c>
      <c r="Z16" s="69" t="n">
        <f aca="false">Assets!Z88</f>
        <v>0</v>
      </c>
      <c r="AA16" s="69" t="n">
        <f aca="false">Assets!AA88</f>
        <v>0</v>
      </c>
      <c r="AB16" s="69" t="n">
        <f aca="false">Assets!AB88</f>
        <v>0</v>
      </c>
      <c r="AC16" s="69" t="n">
        <f aca="false">Assets!AC88</f>
        <v>0</v>
      </c>
      <c r="AD16" s="69" t="n">
        <f aca="false">Assets!AD88</f>
        <v>0</v>
      </c>
      <c r="AE16" s="69" t="n">
        <f aca="false">Assets!AE88</f>
        <v>0</v>
      </c>
      <c r="AF16" s="69" t="n">
        <f aca="false">Assets!AF88</f>
        <v>0</v>
      </c>
      <c r="AG16" s="69" t="n">
        <f aca="false">Assets!AG88</f>
        <v>0</v>
      </c>
      <c r="AH16" s="69" t="n">
        <f aca="false">Assets!AH88</f>
        <v>0</v>
      </c>
      <c r="AI16" s="69" t="n">
        <f aca="false">Assets!AI88</f>
        <v>0</v>
      </c>
      <c r="AJ16" s="69" t="n">
        <f aca="false">Assets!AJ88</f>
        <v>0</v>
      </c>
      <c r="AK16" s="69" t="n">
        <f aca="false">Assets!AK88</f>
        <v>0</v>
      </c>
      <c r="AL16" s="69" t="n">
        <f aca="false">Assets!AL88</f>
        <v>0</v>
      </c>
      <c r="AM16" s="69" t="n">
        <f aca="false">Assets!AM88</f>
        <v>0</v>
      </c>
    </row>
    <row r="17" customFormat="false" ht="21" hidden="false" customHeight="true" outlineLevel="0" collapsed="false">
      <c r="C17" s="56" t="s">
        <v>161</v>
      </c>
      <c r="D17" s="69"/>
      <c r="E17" s="69"/>
      <c r="F17" s="69"/>
      <c r="G17" s="69"/>
      <c r="H17" s="69"/>
      <c r="I17" s="69" t="n">
        <f aca="false">H1Data!D12</f>
        <v>10538.02</v>
      </c>
      <c r="J17" s="69" t="n">
        <f aca="false">Funding!J58</f>
        <v>10538.02</v>
      </c>
      <c r="K17" s="69" t="n">
        <f aca="false">Funding!K58</f>
        <v>10538.02</v>
      </c>
      <c r="L17" s="69" t="n">
        <f aca="false">Funding!L58</f>
        <v>10538.02</v>
      </c>
      <c r="M17" s="69" t="n">
        <f aca="false">Funding!M58</f>
        <v>10538.02</v>
      </c>
      <c r="N17" s="69" t="n">
        <f aca="false">Funding!N58</f>
        <v>10538.02</v>
      </c>
      <c r="O17" s="69" t="n">
        <f aca="false">Funding!O58</f>
        <v>10538.02</v>
      </c>
      <c r="P17" s="69" t="n">
        <f aca="false">Funding!P58</f>
        <v>10538.02</v>
      </c>
      <c r="Q17" s="69" t="n">
        <f aca="false">Funding!Q58</f>
        <v>10538.02</v>
      </c>
      <c r="R17" s="69" t="n">
        <f aca="false">Funding!R58</f>
        <v>10538.02</v>
      </c>
      <c r="S17" s="69" t="n">
        <f aca="false">Funding!S58</f>
        <v>10538.02</v>
      </c>
      <c r="T17" s="69" t="n">
        <f aca="false">Funding!T58</f>
        <v>10538.02</v>
      </c>
      <c r="U17" s="69" t="n">
        <f aca="false">Funding!U58</f>
        <v>10538.02</v>
      </c>
      <c r="V17" s="69" t="n">
        <f aca="false">Funding!V58</f>
        <v>10538.02</v>
      </c>
      <c r="W17" s="69" t="n">
        <f aca="false">Funding!W58</f>
        <v>10538.02</v>
      </c>
      <c r="X17" s="69" t="n">
        <f aca="false">Funding!X58</f>
        <v>10538.02</v>
      </c>
      <c r="Y17" s="69" t="n">
        <f aca="false">Funding!Y58</f>
        <v>10538.02</v>
      </c>
      <c r="Z17" s="69" t="n">
        <f aca="false">Funding!Z58</f>
        <v>10538.02</v>
      </c>
      <c r="AA17" s="69" t="n">
        <f aca="false">Funding!AA58</f>
        <v>10538.02</v>
      </c>
      <c r="AB17" s="69" t="n">
        <f aca="false">Funding!AB58</f>
        <v>10538.02</v>
      </c>
      <c r="AC17" s="69" t="n">
        <f aca="false">Funding!AC58</f>
        <v>10538.02</v>
      </c>
      <c r="AD17" s="69" t="n">
        <f aca="false">Funding!AD58</f>
        <v>10538.02</v>
      </c>
      <c r="AE17" s="69" t="n">
        <f aca="false">Funding!AE58</f>
        <v>10538.02</v>
      </c>
      <c r="AF17" s="69" t="n">
        <f aca="false">Funding!AF58</f>
        <v>10538.02</v>
      </c>
      <c r="AG17" s="69" t="n">
        <f aca="false">Funding!AG58</f>
        <v>10538.02</v>
      </c>
      <c r="AH17" s="69" t="n">
        <f aca="false">Funding!AH58</f>
        <v>10538.02</v>
      </c>
      <c r="AI17" s="69" t="n">
        <f aca="false">Funding!AI58</f>
        <v>10538.02</v>
      </c>
      <c r="AJ17" s="69" t="n">
        <f aca="false">Funding!AJ58</f>
        <v>10538.02</v>
      </c>
      <c r="AK17" s="69" t="n">
        <f aca="false">Funding!AK58</f>
        <v>10538.02</v>
      </c>
      <c r="AL17" s="69" t="n">
        <f aca="false">Funding!AL58</f>
        <v>10538.02</v>
      </c>
      <c r="AM17" s="69" t="n">
        <f aca="false">Funding!AM58</f>
        <v>10538.02</v>
      </c>
    </row>
    <row r="18" customFormat="false" ht="21" hidden="false" customHeight="true" outlineLevel="0" collapsed="false">
      <c r="C18" s="56" t="s">
        <v>162</v>
      </c>
      <c r="D18" s="69"/>
      <c r="E18" s="69"/>
      <c r="F18" s="69"/>
      <c r="G18" s="69"/>
      <c r="H18" s="69"/>
      <c r="I18" s="69" t="n">
        <f aca="false">H1Data!D20+H1Data!D21+H1Data!D23+H1Data!D30</f>
        <v>186.15963424</v>
      </c>
      <c r="J18" s="69" t="n">
        <f aca="false">OtherBalances!J19</f>
        <v>186.15963424</v>
      </c>
      <c r="K18" s="69" t="n">
        <f aca="false">OtherBalances!K19</f>
        <v>186.15963424</v>
      </c>
      <c r="L18" s="69" t="n">
        <f aca="false">OtherBalances!L19</f>
        <v>186.15963424</v>
      </c>
      <c r="M18" s="69" t="n">
        <f aca="false">OtherBalances!M19</f>
        <v>186.15963424</v>
      </c>
      <c r="N18" s="69" t="n">
        <f aca="false">OtherBalances!N19</f>
        <v>186.15963424</v>
      </c>
      <c r="O18" s="69" t="n">
        <f aca="false">OtherBalances!O19</f>
        <v>186.15963424</v>
      </c>
      <c r="P18" s="69" t="n">
        <f aca="false">OtherBalances!P19</f>
        <v>186.15963424</v>
      </c>
      <c r="Q18" s="69" t="n">
        <f aca="false">OtherBalances!Q19</f>
        <v>186.15963424</v>
      </c>
      <c r="R18" s="69" t="n">
        <f aca="false">OtherBalances!R19</f>
        <v>186.15963424</v>
      </c>
      <c r="S18" s="69" t="n">
        <f aca="false">OtherBalances!S19</f>
        <v>186.15963424</v>
      </c>
      <c r="T18" s="69" t="n">
        <f aca="false">OtherBalances!T19</f>
        <v>186.15963424</v>
      </c>
      <c r="U18" s="69" t="n">
        <f aca="false">OtherBalances!U19</f>
        <v>186.15963424</v>
      </c>
      <c r="V18" s="69" t="n">
        <f aca="false">OtherBalances!V19</f>
        <v>186.15963424</v>
      </c>
      <c r="W18" s="69" t="n">
        <f aca="false">OtherBalances!W19</f>
        <v>186.15963424</v>
      </c>
      <c r="X18" s="69" t="n">
        <f aca="false">OtherBalances!X19</f>
        <v>186.15963424</v>
      </c>
      <c r="Y18" s="69" t="n">
        <f aca="false">OtherBalances!Y19</f>
        <v>186.15963424</v>
      </c>
      <c r="Z18" s="69" t="n">
        <f aca="false">OtherBalances!Z19</f>
        <v>186.15963424</v>
      </c>
      <c r="AA18" s="69" t="n">
        <f aca="false">OtherBalances!AA19</f>
        <v>186.15963424</v>
      </c>
      <c r="AB18" s="69" t="n">
        <f aca="false">OtherBalances!AB19</f>
        <v>186.15963424</v>
      </c>
      <c r="AC18" s="69" t="n">
        <f aca="false">OtherBalances!AC19</f>
        <v>186.15963424</v>
      </c>
      <c r="AD18" s="69" t="n">
        <f aca="false">OtherBalances!AD19</f>
        <v>186.15963424</v>
      </c>
      <c r="AE18" s="69" t="n">
        <f aca="false">OtherBalances!AE19</f>
        <v>186.15963424</v>
      </c>
      <c r="AF18" s="69" t="n">
        <f aca="false">OtherBalances!AF19</f>
        <v>186.15963424</v>
      </c>
      <c r="AG18" s="69" t="n">
        <f aca="false">OtherBalances!AG19</f>
        <v>186.15963424</v>
      </c>
      <c r="AH18" s="69" t="n">
        <f aca="false">OtherBalances!AH19</f>
        <v>186.15963424</v>
      </c>
      <c r="AI18" s="69" t="n">
        <f aca="false">OtherBalances!AI19</f>
        <v>186.15963424</v>
      </c>
      <c r="AJ18" s="69" t="n">
        <f aca="false">OtherBalances!AJ19</f>
        <v>186.15963424</v>
      </c>
      <c r="AK18" s="69" t="n">
        <f aca="false">OtherBalances!AK19</f>
        <v>186.15963424</v>
      </c>
      <c r="AL18" s="69" t="n">
        <f aca="false">OtherBalances!AL19</f>
        <v>186.15963424</v>
      </c>
      <c r="AM18" s="69" t="n">
        <f aca="false">OtherBalances!AM19</f>
        <v>186.15963424</v>
      </c>
    </row>
    <row r="19" customFormat="false" ht="21" hidden="false" customHeight="true" outlineLevel="0" collapsed="false">
      <c r="C19" s="56" t="s">
        <v>163</v>
      </c>
      <c r="D19" s="69"/>
      <c r="E19" s="69"/>
      <c r="F19" s="69"/>
      <c r="G19" s="69"/>
      <c r="H19" s="69"/>
      <c r="I19" s="69"/>
      <c r="J19" s="69" t="n">
        <f aca="false">OtherBalances!J45</f>
        <v>7.99570331639787</v>
      </c>
      <c r="K19" s="69" t="n">
        <f aca="false">OtherBalances!K45</f>
        <v>16.1344214778974</v>
      </c>
      <c r="L19" s="69" t="n">
        <f aca="false">OtherBalances!L45</f>
        <v>24.653808965884</v>
      </c>
      <c r="M19" s="69" t="n">
        <f aca="false">OtherBalances!M45</f>
        <v>33.6208952831982</v>
      </c>
      <c r="N19" s="69" t="n">
        <f aca="false">OtherBalances!N45</f>
        <v>42.5564578373055</v>
      </c>
      <c r="O19" s="69" t="n">
        <f aca="false">OtherBalances!O45</f>
        <v>52.8821504624452</v>
      </c>
      <c r="P19" s="69" t="n">
        <f aca="false">OtherBalances!P45</f>
        <v>63.0891912119423</v>
      </c>
      <c r="Q19" s="69" t="n">
        <f aca="false">OtherBalances!Q45</f>
        <v>73.6198959297739</v>
      </c>
      <c r="R19" s="69" t="n">
        <f aca="false">OtherBalances!R45</f>
        <v>86.5544998819173</v>
      </c>
      <c r="S19" s="69" t="n">
        <f aca="false">OtherBalances!S45</f>
        <v>97.9896694192845</v>
      </c>
      <c r="T19" s="69" t="n">
        <f aca="false">OtherBalances!T45</f>
        <v>111.37900854778</v>
      </c>
      <c r="U19" s="69" t="n">
        <f aca="false">OtherBalances!U45</f>
        <v>124.533058200405</v>
      </c>
      <c r="V19" s="69" t="n">
        <f aca="false">OtherBalances!V45</f>
        <v>132.333701661935</v>
      </c>
      <c r="W19" s="69" t="n">
        <f aca="false">OtherBalances!W45</f>
        <v>140.134992046819</v>
      </c>
      <c r="X19" s="69" t="n">
        <f aca="false">OtherBalances!X45</f>
        <v>148.62757062231</v>
      </c>
      <c r="Y19" s="69" t="n">
        <f aca="false">OtherBalances!Y45</f>
        <v>157.936007261979</v>
      </c>
      <c r="Z19" s="69" t="n">
        <f aca="false">OtherBalances!Z45</f>
        <v>167.181635866469</v>
      </c>
      <c r="AA19" s="69" t="n">
        <f aca="false">OtherBalances!AA45</f>
        <v>177.856820137165</v>
      </c>
      <c r="AB19" s="69" t="n">
        <f aca="false">OtherBalances!AB45</f>
        <v>188.355069764606</v>
      </c>
      <c r="AC19" s="69" t="n">
        <f aca="false">OtherBalances!AC45</f>
        <v>199.573776897975</v>
      </c>
      <c r="AD19" s="69" t="n">
        <f aca="false">OtherBalances!AD45</f>
        <v>212.517279047826</v>
      </c>
      <c r="AE19" s="69" t="n">
        <f aca="false">OtherBalances!AE45</f>
        <v>224.429455448371</v>
      </c>
      <c r="AF19" s="69" t="n">
        <f aca="false">OtherBalances!AF45</f>
        <v>238.135013190205</v>
      </c>
      <c r="AG19" s="69" t="n">
        <f aca="false">OtherBalances!AG45</f>
        <v>251.590844046614</v>
      </c>
      <c r="AH19" s="69" t="n">
        <f aca="false">OtherBalances!AH45</f>
        <v>259.453834400197</v>
      </c>
      <c r="AI19" s="69" t="n">
        <f aca="false">OtherBalances!AI45</f>
        <v>267.29167929763</v>
      </c>
      <c r="AJ19" s="69" t="n">
        <f aca="false">OtherBalances!AJ45</f>
        <v>275.830035830114</v>
      </c>
      <c r="AK19" s="69" t="n">
        <f aca="false">OtherBalances!AK45</f>
        <v>285.200524454676</v>
      </c>
      <c r="AL19" s="69" t="n">
        <f aca="false">OtherBalances!AL45</f>
        <v>294.483804937232</v>
      </c>
      <c r="AM19" s="69" t="n">
        <f aca="false">OtherBalances!AM45</f>
        <v>305.222726124084</v>
      </c>
    </row>
    <row r="20" customFormat="false" ht="21" hidden="false" customHeight="true" outlineLevel="0" collapsed="false">
      <c r="C20" s="56" t="s">
        <v>164</v>
      </c>
      <c r="D20" s="69"/>
      <c r="E20" s="69"/>
      <c r="F20" s="69"/>
      <c r="G20" s="69"/>
      <c r="H20" s="69"/>
      <c r="I20" s="69" t="n">
        <f aca="false">H1Data!D29</f>
        <v>245.68297972</v>
      </c>
      <c r="J20" s="69" t="n">
        <f aca="false">TaxEquity!J18</f>
        <v>245.68297972</v>
      </c>
      <c r="K20" s="69" t="n">
        <f aca="false">TaxEquity!K18</f>
        <v>245.68297972</v>
      </c>
      <c r="L20" s="69" t="n">
        <f aca="false">TaxEquity!L18</f>
        <v>245.68297972</v>
      </c>
      <c r="M20" s="69" t="n">
        <f aca="false">TaxEquity!M18</f>
        <v>245.68297972</v>
      </c>
      <c r="N20" s="69" t="n">
        <f aca="false">TaxEquity!N18</f>
        <v>245.68297972</v>
      </c>
      <c r="O20" s="69" t="n">
        <f aca="false">TaxEquity!O18</f>
        <v>245.68297972</v>
      </c>
      <c r="P20" s="69" t="n">
        <f aca="false">TaxEquity!P18</f>
        <v>245.68297972</v>
      </c>
      <c r="Q20" s="69" t="n">
        <f aca="false">TaxEquity!Q18</f>
        <v>245.68297972</v>
      </c>
      <c r="R20" s="69" t="n">
        <f aca="false">TaxEquity!R18</f>
        <v>245.68297972</v>
      </c>
      <c r="S20" s="69" t="n">
        <f aca="false">TaxEquity!S18</f>
        <v>245.68297972</v>
      </c>
      <c r="T20" s="69" t="n">
        <f aca="false">TaxEquity!T18</f>
        <v>245.68297972</v>
      </c>
      <c r="U20" s="69" t="n">
        <f aca="false">TaxEquity!U18</f>
        <v>245.68297972</v>
      </c>
      <c r="V20" s="69" t="n">
        <f aca="false">TaxEquity!V18</f>
        <v>245.68297972</v>
      </c>
      <c r="W20" s="69" t="n">
        <f aca="false">TaxEquity!W18</f>
        <v>245.68297972</v>
      </c>
      <c r="X20" s="69" t="n">
        <f aca="false">TaxEquity!X18</f>
        <v>245.68297972</v>
      </c>
      <c r="Y20" s="69" t="n">
        <f aca="false">TaxEquity!Y18</f>
        <v>245.68297972</v>
      </c>
      <c r="Z20" s="69" t="n">
        <f aca="false">TaxEquity!Z18</f>
        <v>245.68297972</v>
      </c>
      <c r="AA20" s="69" t="n">
        <f aca="false">TaxEquity!AA18</f>
        <v>245.68297972</v>
      </c>
      <c r="AB20" s="69" t="n">
        <f aca="false">TaxEquity!AB18</f>
        <v>245.68297972</v>
      </c>
      <c r="AC20" s="69" t="n">
        <f aca="false">TaxEquity!AC18</f>
        <v>245.68297972</v>
      </c>
      <c r="AD20" s="69" t="n">
        <f aca="false">TaxEquity!AD18</f>
        <v>245.68297972</v>
      </c>
      <c r="AE20" s="69" t="n">
        <f aca="false">TaxEquity!AE18</f>
        <v>245.68297972</v>
      </c>
      <c r="AF20" s="69" t="n">
        <f aca="false">TaxEquity!AF18</f>
        <v>245.68297972</v>
      </c>
      <c r="AG20" s="69" t="n">
        <f aca="false">TaxEquity!AG18</f>
        <v>245.68297972</v>
      </c>
      <c r="AH20" s="69" t="n">
        <f aca="false">TaxEquity!AH18</f>
        <v>245.68297972</v>
      </c>
      <c r="AI20" s="69" t="n">
        <f aca="false">TaxEquity!AI18</f>
        <v>245.68297972</v>
      </c>
      <c r="AJ20" s="69" t="n">
        <f aca="false">TaxEquity!AJ18</f>
        <v>245.68297972</v>
      </c>
      <c r="AK20" s="69" t="n">
        <f aca="false">TaxEquity!AK18</f>
        <v>245.68297972</v>
      </c>
      <c r="AL20" s="69" t="n">
        <f aca="false">TaxEquity!AL18</f>
        <v>245.68297972</v>
      </c>
      <c r="AM20" s="69" t="n">
        <f aca="false">TaxEquity!AM18</f>
        <v>245.68297972</v>
      </c>
    </row>
    <row r="21" customFormat="false" ht="21" hidden="false" customHeight="true" outlineLevel="0" collapsed="false">
      <c r="C21" s="56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</row>
    <row r="22" customFormat="false" ht="21" hidden="false" customHeight="true" outlineLevel="0" collapsed="false">
      <c r="C22" s="60" t="s">
        <v>107</v>
      </c>
      <c r="D22" s="70"/>
      <c r="E22" s="70"/>
      <c r="F22" s="70"/>
      <c r="G22" s="70"/>
      <c r="H22" s="70"/>
      <c r="I22" s="70" t="n">
        <f aca="false">H1Data!D31</f>
        <v>21435.02427654</v>
      </c>
      <c r="J22" s="70" t="n">
        <f aca="false">SUM(J10:J20)</f>
        <v>21385.8047167131</v>
      </c>
      <c r="K22" s="70" t="n">
        <f aca="false">SUM(K10:K20)</f>
        <v>21721.2485671277</v>
      </c>
      <c r="L22" s="70" t="n">
        <f aca="false">SUM(L10:L20)</f>
        <v>21846.4671759894</v>
      </c>
      <c r="M22" s="70" t="n">
        <f aca="false">SUM(M10:M20)</f>
        <v>21971.344224032</v>
      </c>
      <c r="N22" s="70" t="n">
        <f aca="false">SUM(N10:N20)</f>
        <v>22649.2312688349</v>
      </c>
      <c r="O22" s="70" t="n">
        <f aca="false">SUM(O10:O20)</f>
        <v>22567.1436263876</v>
      </c>
      <c r="P22" s="70" t="n">
        <f aca="false">SUM(P10:P20)</f>
        <v>23500.2121634372</v>
      </c>
      <c r="Q22" s="70" t="n">
        <f aca="false">SUM(Q10:Q20)</f>
        <v>24375.8942299901</v>
      </c>
      <c r="R22" s="70" t="n">
        <f aca="false">SUM(R10:R20)</f>
        <v>23639.1440605014</v>
      </c>
      <c r="S22" s="70" t="n">
        <f aca="false">SUM(S10:S20)</f>
        <v>24609.0855414057</v>
      </c>
      <c r="T22" s="70" t="n">
        <f aca="false">SUM(T10:T20)</f>
        <v>24713.7265768524</v>
      </c>
      <c r="U22" s="70" t="n">
        <f aca="false">SUM(U10:U20)</f>
        <v>21498.2001370538</v>
      </c>
      <c r="V22" s="70" t="n">
        <f aca="false">SUM(V10:V20)</f>
        <v>21453.657212726</v>
      </c>
      <c r="W22" s="70" t="n">
        <f aca="false">SUM(W10:W20)</f>
        <v>22035.9324716059</v>
      </c>
      <c r="X22" s="70" t="n">
        <f aca="false">SUM(X10:X20)</f>
        <v>22402.3848929077</v>
      </c>
      <c r="Y22" s="70" t="n">
        <f aca="false">SUM(Y10:Y20)</f>
        <v>22528.003737651</v>
      </c>
      <c r="Z22" s="70" t="n">
        <f aca="false">SUM(Z10:Z20)</f>
        <v>23231.7746523305</v>
      </c>
      <c r="AA22" s="70" t="n">
        <f aca="false">SUM(AA10:AA20)</f>
        <v>23134.9777428999</v>
      </c>
      <c r="AB22" s="70" t="n">
        <f aca="false">SUM(AB10:AB20)</f>
        <v>24101.3855583267</v>
      </c>
      <c r="AC22" s="70" t="n">
        <f aca="false">SUM(AC10:AC20)</f>
        <v>24755.7537906023</v>
      </c>
      <c r="AD22" s="70" t="n">
        <f aca="false">SUM(AD10:AD20)</f>
        <v>24337.3104025974</v>
      </c>
      <c r="AE22" s="70" t="n">
        <f aca="false">SUM(AE10:AE20)</f>
        <v>25210.1379089385</v>
      </c>
      <c r="AF22" s="70" t="n">
        <f aca="false">SUM(AF10:AF20)</f>
        <v>25311.741251342</v>
      </c>
      <c r="AG22" s="70" t="n">
        <f aca="false">SUM(AG10:AG20)</f>
        <v>21948.7318969798</v>
      </c>
      <c r="AH22" s="70" t="n">
        <f aca="false">SUM(AH10:AH20)</f>
        <v>21888.2505580326</v>
      </c>
      <c r="AI22" s="70" t="n">
        <f aca="false">SUM(AI10:AI20)</f>
        <v>22479.2025997091</v>
      </c>
      <c r="AJ22" s="70" t="n">
        <f aca="false">SUM(AJ10:AJ20)</f>
        <v>22856.9612951219</v>
      </c>
      <c r="AK22" s="70" t="n">
        <f aca="false">SUM(AK10:AK20)</f>
        <v>22967.2897820169</v>
      </c>
      <c r="AL22" s="70" t="n">
        <f aca="false">SUM(AL10:AL20)</f>
        <v>23688.8645533811</v>
      </c>
      <c r="AM22" s="70" t="n">
        <f aca="false">SUM(AM10:AM20)</f>
        <v>23574.6929584812</v>
      </c>
    </row>
    <row r="23" customFormat="false" ht="21" hidden="false" customHeight="true" outlineLevel="0" collapsed="false">
      <c r="C23" s="56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</row>
    <row r="24" customFormat="false" ht="21" hidden="false" customHeight="true" outlineLevel="0" collapsed="false">
      <c r="C24" s="56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</row>
    <row r="25" customFormat="false" ht="21" hidden="false" customHeight="true" outlineLevel="0" collapsed="false">
      <c r="C25" s="56" t="s">
        <v>165</v>
      </c>
      <c r="D25" s="69"/>
      <c r="E25" s="69"/>
      <c r="F25" s="69"/>
      <c r="G25" s="69"/>
      <c r="H25" s="69"/>
      <c r="I25" s="69" t="n">
        <f aca="false">H1Data!D36</f>
        <v>2564.44345532</v>
      </c>
      <c r="J25" s="69" t="n">
        <f aca="false">Receivables!J30</f>
        <v>2502.10736272158</v>
      </c>
      <c r="K25" s="69" t="n">
        <f aca="false">Receivables!K30</f>
        <v>2497.88947533717</v>
      </c>
      <c r="L25" s="69" t="n">
        <f aca="false">Receivables!L30</f>
        <v>2657.66956729444</v>
      </c>
      <c r="M25" s="69" t="n">
        <f aca="false">Receivables!M30</f>
        <v>2408.39824725872</v>
      </c>
      <c r="N25" s="69" t="n">
        <f aca="false">Receivables!N30</f>
        <v>2667.14255055695</v>
      </c>
      <c r="O25" s="69" t="n">
        <f aca="false">Receivables!O30</f>
        <v>2408.39824725872</v>
      </c>
      <c r="P25" s="69" t="n">
        <f aca="false">Receivables!P30</f>
        <v>2871.20553252371</v>
      </c>
      <c r="Q25" s="69" t="n">
        <f aca="false">Receivables!Q30</f>
        <v>3253.71661903151</v>
      </c>
      <c r="R25" s="69" t="n">
        <f aca="false">Receivables!R30</f>
        <v>2377.64016595563</v>
      </c>
      <c r="S25" s="69" t="n">
        <f aca="false">Receivables!S30</f>
        <v>2900.55412973469</v>
      </c>
      <c r="T25" s="69" t="n">
        <f aca="false">Receivables!T30</f>
        <v>2596.6606473205</v>
      </c>
      <c r="U25" s="69" t="n">
        <f aca="false">Receivables!U30</f>
        <v>2877.76551155129</v>
      </c>
      <c r="V25" s="69" t="n">
        <f aca="false">Receivables!V30</f>
        <v>2463.98138008612</v>
      </c>
      <c r="W25" s="69" t="n">
        <f aca="false">Receivables!W30</f>
        <v>2639.00797063986</v>
      </c>
      <c r="X25" s="69" t="n">
        <f aca="false">Receivables!X30</f>
        <v>2790.92979584583</v>
      </c>
      <c r="Y25" s="69" t="n">
        <f aca="false">Receivables!Y30</f>
        <v>2526.86218258394</v>
      </c>
      <c r="Z25" s="69" t="n">
        <f aca="false">Receivables!Z30</f>
        <v>2800.99448190463</v>
      </c>
      <c r="AA25" s="69" t="n">
        <f aca="false">Receivables!AA30</f>
        <v>2526.86218258394</v>
      </c>
      <c r="AB25" s="69" t="n">
        <f aca="false">Receivables!AB30</f>
        <v>3016.72320323453</v>
      </c>
      <c r="AC25" s="69" t="n">
        <f aca="false">Receivables!AC30</f>
        <v>3194.86667509965</v>
      </c>
      <c r="AD25" s="69" t="n">
        <f aca="false">Receivables!AD30</f>
        <v>2613.56059205592</v>
      </c>
      <c r="AE25" s="69" t="n">
        <f aca="false">Receivables!AE30</f>
        <v>3034.87343679274</v>
      </c>
      <c r="AF25" s="69" t="n">
        <f aca="false">Receivables!AF30</f>
        <v>2725.36218019042</v>
      </c>
      <c r="AG25" s="69" t="n">
        <f aca="false">Receivables!AG30</f>
        <v>3023.18486381873</v>
      </c>
      <c r="AH25" s="69" t="n">
        <f aca="false">Receivables!AH30</f>
        <v>2591.73044194792</v>
      </c>
      <c r="AI25" s="69" t="n">
        <f aca="false">Receivables!AI30</f>
        <v>2772.78771676395</v>
      </c>
      <c r="AJ25" s="69" t="n">
        <f aca="false">Receivables!AJ30</f>
        <v>2934.21508106943</v>
      </c>
      <c r="AK25" s="69" t="n">
        <f aca="false">Receivables!AK30</f>
        <v>2654.08328953586</v>
      </c>
      <c r="AL25" s="69" t="n">
        <f aca="false">Receivables!AL30</f>
        <v>2944.92595148599</v>
      </c>
      <c r="AM25" s="69" t="n">
        <f aca="false">Receivables!AM30</f>
        <v>2654.08328953586</v>
      </c>
    </row>
    <row r="26" customFormat="false" ht="21" hidden="false" customHeight="true" outlineLevel="0" collapsed="false">
      <c r="C26" s="56" t="s">
        <v>109</v>
      </c>
      <c r="D26" s="69"/>
      <c r="E26" s="69"/>
      <c r="F26" s="69"/>
      <c r="G26" s="69"/>
      <c r="H26" s="69"/>
      <c r="I26" s="69" t="n">
        <f aca="false">H1Data!D40</f>
        <v>831.36656868</v>
      </c>
      <c r="J26" s="69" t="n">
        <f aca="false">Receivables!J40</f>
        <v>590.677466699388</v>
      </c>
      <c r="K26" s="69" t="n">
        <f aca="false">Receivables!K40</f>
        <v>590.677466699388</v>
      </c>
      <c r="L26" s="69" t="n">
        <f aca="false">Receivables!L40</f>
        <v>610.366715589368</v>
      </c>
      <c r="M26" s="69" t="n">
        <f aca="false">Receivables!M40</f>
        <v>590.677466699388</v>
      </c>
      <c r="N26" s="69" t="n">
        <f aca="false">Receivables!N40</f>
        <v>610.366715589368</v>
      </c>
      <c r="O26" s="69" t="n">
        <f aca="false">Receivables!O40</f>
        <v>590.677466699388</v>
      </c>
      <c r="P26" s="69" t="n">
        <f aca="false">Receivables!P40</f>
        <v>630.859917594899</v>
      </c>
      <c r="Q26" s="69" t="n">
        <f aca="false">Receivables!Q40</f>
        <v>698.452051622924</v>
      </c>
      <c r="R26" s="69" t="n">
        <f aca="false">Receivables!R40</f>
        <v>630.859917594899</v>
      </c>
      <c r="S26" s="69" t="n">
        <f aca="false">Receivables!S40</f>
        <v>651.888581514729</v>
      </c>
      <c r="T26" s="69" t="n">
        <f aca="false">Receivables!T40</f>
        <v>630.859917594899</v>
      </c>
      <c r="U26" s="69" t="n">
        <f aca="false">Receivables!U40</f>
        <v>651.888581514729</v>
      </c>
      <c r="V26" s="69" t="n">
        <f aca="false">Receivables!V40</f>
        <v>612.108709802583</v>
      </c>
      <c r="W26" s="69" t="n">
        <f aca="false">Receivables!W40</f>
        <v>612.108709802583</v>
      </c>
      <c r="X26" s="69" t="n">
        <f aca="false">Receivables!X40</f>
        <v>632.512333462669</v>
      </c>
      <c r="Y26" s="69" t="n">
        <f aca="false">Receivables!Y40</f>
        <v>612.108709802583</v>
      </c>
      <c r="Z26" s="69" t="n">
        <f aca="false">Receivables!Z40</f>
        <v>632.512333462669</v>
      </c>
      <c r="AA26" s="69" t="n">
        <f aca="false">Receivables!AA40</f>
        <v>612.108709802583</v>
      </c>
      <c r="AB26" s="69" t="n">
        <f aca="false">Receivables!AB40</f>
        <v>653.686702935268</v>
      </c>
      <c r="AC26" s="69" t="n">
        <f aca="false">Receivables!AC40</f>
        <v>698.768544517011</v>
      </c>
      <c r="AD26" s="69" t="n">
        <f aca="false">Receivables!AD40</f>
        <v>653.686702935268</v>
      </c>
      <c r="AE26" s="69" t="n">
        <f aca="false">Receivables!AE40</f>
        <v>675.476259699777</v>
      </c>
      <c r="AF26" s="69" t="n">
        <f aca="false">Receivables!AF40</f>
        <v>653.686702935268</v>
      </c>
      <c r="AG26" s="69" t="n">
        <f aca="false">Receivables!AG40</f>
        <v>675.476259699777</v>
      </c>
      <c r="AH26" s="69" t="n">
        <f aca="false">Receivables!AH40</f>
        <v>634.66258669648</v>
      </c>
      <c r="AI26" s="69" t="n">
        <f aca="false">Receivables!AI40</f>
        <v>634.66258669648</v>
      </c>
      <c r="AJ26" s="69" t="n">
        <f aca="false">Receivables!AJ40</f>
        <v>655.818006253029</v>
      </c>
      <c r="AK26" s="69" t="n">
        <f aca="false">Receivables!AK40</f>
        <v>634.66258669648</v>
      </c>
      <c r="AL26" s="69" t="n">
        <f aca="false">Receivables!AL40</f>
        <v>655.818006253029</v>
      </c>
      <c r="AM26" s="69" t="n">
        <f aca="false">Receivables!AM40</f>
        <v>634.66258669648</v>
      </c>
    </row>
    <row r="27" customFormat="false" ht="21" hidden="false" customHeight="true" outlineLevel="0" collapsed="false">
      <c r="C27" s="56" t="s">
        <v>166</v>
      </c>
      <c r="D27" s="69"/>
      <c r="E27" s="69"/>
      <c r="F27" s="69"/>
      <c r="G27" s="69"/>
      <c r="H27" s="69"/>
      <c r="I27" s="69" t="n">
        <f aca="false">H1Data!D32+H1Data!D47</f>
        <v>923.6183891</v>
      </c>
      <c r="J27" s="69" t="n">
        <f aca="false">Funding!J68</f>
        <v>923.6183891</v>
      </c>
      <c r="K27" s="69" t="n">
        <f aca="false">Funding!K68</f>
        <v>923.6183891</v>
      </c>
      <c r="L27" s="69" t="n">
        <f aca="false">Funding!L68</f>
        <v>923.6183891</v>
      </c>
      <c r="M27" s="69" t="n">
        <f aca="false">Funding!M68</f>
        <v>923.6183891</v>
      </c>
      <c r="N27" s="69" t="n">
        <f aca="false">Funding!N68</f>
        <v>923.6183891</v>
      </c>
      <c r="O27" s="69" t="n">
        <f aca="false">Funding!O68</f>
        <v>923.6183891</v>
      </c>
      <c r="P27" s="69" t="n">
        <f aca="false">Funding!P68</f>
        <v>923.6183891</v>
      </c>
      <c r="Q27" s="69" t="n">
        <f aca="false">Funding!Q68</f>
        <v>923.6183891</v>
      </c>
      <c r="R27" s="69" t="n">
        <f aca="false">Funding!R68</f>
        <v>923.6183891</v>
      </c>
      <c r="S27" s="69" t="n">
        <f aca="false">Funding!S68</f>
        <v>923.6183891</v>
      </c>
      <c r="T27" s="69" t="n">
        <f aca="false">Funding!T68</f>
        <v>923.6183891</v>
      </c>
      <c r="U27" s="69" t="n">
        <f aca="false">Funding!U68</f>
        <v>739.191389284</v>
      </c>
      <c r="V27" s="69" t="n">
        <f aca="false">Funding!V68</f>
        <v>739.191389284</v>
      </c>
      <c r="W27" s="69" t="n">
        <f aca="false">Funding!W68</f>
        <v>739.191389284</v>
      </c>
      <c r="X27" s="69" t="n">
        <f aca="false">Funding!X68</f>
        <v>739.191389284</v>
      </c>
      <c r="Y27" s="69" t="n">
        <f aca="false">Funding!Y68</f>
        <v>739.191389284</v>
      </c>
      <c r="Z27" s="69" t="n">
        <f aca="false">Funding!Z68</f>
        <v>739.191389284</v>
      </c>
      <c r="AA27" s="69" t="n">
        <f aca="false">Funding!AA68</f>
        <v>739.191389284</v>
      </c>
      <c r="AB27" s="69" t="n">
        <f aca="false">Funding!AB68</f>
        <v>739.191389284</v>
      </c>
      <c r="AC27" s="69" t="n">
        <f aca="false">Funding!AC68</f>
        <v>739.191389284</v>
      </c>
      <c r="AD27" s="69" t="n">
        <f aca="false">Funding!AD68</f>
        <v>739.191389284</v>
      </c>
      <c r="AE27" s="69" t="n">
        <f aca="false">Funding!AE68</f>
        <v>739.191389284</v>
      </c>
      <c r="AF27" s="69" t="n">
        <f aca="false">Funding!AF68</f>
        <v>739.191389284</v>
      </c>
      <c r="AG27" s="69" t="n">
        <f aca="false">Funding!AG68</f>
        <v>554.764389468</v>
      </c>
      <c r="AH27" s="69" t="n">
        <f aca="false">Funding!AH68</f>
        <v>554.764389468</v>
      </c>
      <c r="AI27" s="69" t="n">
        <f aca="false">Funding!AI68</f>
        <v>554.764389468</v>
      </c>
      <c r="AJ27" s="69" t="n">
        <f aca="false">Funding!AJ68</f>
        <v>554.764389468</v>
      </c>
      <c r="AK27" s="69" t="n">
        <f aca="false">Funding!AK68</f>
        <v>554.764389468</v>
      </c>
      <c r="AL27" s="69" t="n">
        <f aca="false">Funding!AL68</f>
        <v>554.764389468</v>
      </c>
      <c r="AM27" s="69" t="n">
        <f aca="false">Funding!AM68</f>
        <v>554.764389468</v>
      </c>
    </row>
    <row r="28" customFormat="false" ht="21" hidden="false" customHeight="true" outlineLevel="0" collapsed="false">
      <c r="C28" s="56" t="s">
        <v>167</v>
      </c>
      <c r="D28" s="69"/>
      <c r="E28" s="69"/>
      <c r="F28" s="69"/>
      <c r="G28" s="69"/>
      <c r="H28" s="69"/>
      <c r="I28" s="69" t="n">
        <f aca="false">H1Data!D45+H1Data!D48</f>
        <v>17.95877308</v>
      </c>
      <c r="J28" s="69" t="n">
        <f aca="false">Funding!J48</f>
        <v>16.8420285291667</v>
      </c>
      <c r="K28" s="69" t="n">
        <f aca="false">Funding!K48</f>
        <v>15.7252839783333</v>
      </c>
      <c r="L28" s="69" t="n">
        <f aca="false">Funding!L48</f>
        <v>14.6085394275</v>
      </c>
      <c r="M28" s="69" t="n">
        <f aca="false">Funding!M48</f>
        <v>13.4917948766667</v>
      </c>
      <c r="N28" s="69" t="n">
        <f aca="false">Funding!N48</f>
        <v>12.3750503258334</v>
      </c>
      <c r="O28" s="69" t="n">
        <f aca="false">Funding!O48</f>
        <v>11.258305775</v>
      </c>
      <c r="P28" s="69" t="n">
        <f aca="false">Funding!P48</f>
        <v>10.1415612241667</v>
      </c>
      <c r="Q28" s="69" t="n">
        <f aca="false">Funding!Q48</f>
        <v>9.02481667333336</v>
      </c>
      <c r="R28" s="69" t="n">
        <f aca="false">Funding!R48</f>
        <v>7.90807212250003</v>
      </c>
      <c r="S28" s="69" t="n">
        <f aca="false">Funding!S48</f>
        <v>6.7913275716667</v>
      </c>
      <c r="T28" s="69" t="n">
        <f aca="false">Funding!T48</f>
        <v>5.67458302083337</v>
      </c>
      <c r="U28" s="69" t="n">
        <f aca="false">Funding!U48</f>
        <v>4.55783847000004</v>
      </c>
      <c r="V28" s="69" t="n">
        <f aca="false">Funding!V48</f>
        <v>3.44109391916671</v>
      </c>
      <c r="W28" s="69" t="n">
        <f aca="false">Funding!W48</f>
        <v>2.32434936833338</v>
      </c>
      <c r="X28" s="69" t="n">
        <f aca="false">Funding!X48</f>
        <v>1.20760481750005</v>
      </c>
      <c r="Y28" s="69" t="n">
        <f aca="false">Funding!Y48</f>
        <v>0.0908602666667213</v>
      </c>
      <c r="Z28" s="69" t="n">
        <f aca="false">Funding!Z48</f>
        <v>0</v>
      </c>
      <c r="AA28" s="69" t="n">
        <f aca="false">Funding!AA48</f>
        <v>0</v>
      </c>
      <c r="AB28" s="69" t="n">
        <f aca="false">Funding!AB48</f>
        <v>0</v>
      </c>
      <c r="AC28" s="69" t="n">
        <f aca="false">Funding!AC48</f>
        <v>0</v>
      </c>
      <c r="AD28" s="69" t="n">
        <f aca="false">Funding!AD48</f>
        <v>0</v>
      </c>
      <c r="AE28" s="69" t="n">
        <f aca="false">Funding!AE48</f>
        <v>0</v>
      </c>
      <c r="AF28" s="69" t="n">
        <f aca="false">Funding!AF48</f>
        <v>0</v>
      </c>
      <c r="AG28" s="69" t="n">
        <f aca="false">Funding!AG48</f>
        <v>0</v>
      </c>
      <c r="AH28" s="69" t="n">
        <f aca="false">Funding!AH48</f>
        <v>0</v>
      </c>
      <c r="AI28" s="69" t="n">
        <f aca="false">Funding!AI48</f>
        <v>0</v>
      </c>
      <c r="AJ28" s="69" t="n">
        <f aca="false">Funding!AJ48</f>
        <v>0</v>
      </c>
      <c r="AK28" s="69" t="n">
        <f aca="false">Funding!AK48</f>
        <v>0</v>
      </c>
      <c r="AL28" s="69" t="n">
        <f aca="false">Funding!AL48</f>
        <v>0</v>
      </c>
      <c r="AM28" s="69" t="n">
        <f aca="false">Funding!AM48</f>
        <v>0</v>
      </c>
    </row>
    <row r="29" customFormat="false" ht="21" hidden="false" customHeight="true" outlineLevel="0" collapsed="false">
      <c r="C29" s="56" t="s">
        <v>168</v>
      </c>
      <c r="D29" s="69"/>
      <c r="E29" s="69"/>
      <c r="F29" s="69"/>
      <c r="G29" s="69"/>
      <c r="H29" s="69"/>
      <c r="I29" s="69" t="n">
        <f aca="false">H1Data!D43</f>
        <v>261.72982583</v>
      </c>
      <c r="J29" s="69" t="n">
        <f aca="false">TaxEquity!J13</f>
        <v>305.843089432311</v>
      </c>
      <c r="K29" s="69" t="n">
        <f aca="false">TaxEquity!K13</f>
        <v>365.036235521623</v>
      </c>
      <c r="L29" s="69" t="n">
        <f aca="false">TaxEquity!L13</f>
        <v>0</v>
      </c>
      <c r="M29" s="69" t="n">
        <f aca="false">TaxEquity!M13</f>
        <v>68.7086710492301</v>
      </c>
      <c r="N29" s="69" t="n">
        <f aca="false">TaxEquity!N13</f>
        <v>138.403722120447</v>
      </c>
      <c r="O29" s="69" t="n">
        <f aca="false">TaxEquity!O13</f>
        <v>0</v>
      </c>
      <c r="P29" s="69" t="n">
        <f aca="false">TaxEquity!P13</f>
        <v>75.0741217897431</v>
      </c>
      <c r="Q29" s="69" t="n">
        <f aca="false">TaxEquity!Q13</f>
        <v>149.357865397148</v>
      </c>
      <c r="R29" s="69" t="n">
        <f aca="false">TaxEquity!R13</f>
        <v>0</v>
      </c>
      <c r="S29" s="69" t="n">
        <f aca="false">TaxEquity!S13</f>
        <v>74.3575142401284</v>
      </c>
      <c r="T29" s="69" t="n">
        <f aca="false">TaxEquity!T13</f>
        <v>149.341071989737</v>
      </c>
      <c r="U29" s="69" t="n">
        <f aca="false">TaxEquity!U13</f>
        <v>0</v>
      </c>
      <c r="V29" s="69" t="n">
        <f aca="false">TaxEquity!V13</f>
        <v>71.3755149052881</v>
      </c>
      <c r="W29" s="69" t="n">
        <f aca="false">TaxEquity!W13</f>
        <v>142.43972122024</v>
      </c>
      <c r="X29" s="69" t="n">
        <f aca="false">TaxEquity!X13</f>
        <v>0</v>
      </c>
      <c r="Y29" s="69" t="n">
        <f aca="false">TaxEquity!Y13</f>
        <v>71.56327601101</v>
      </c>
      <c r="Z29" s="69" t="n">
        <f aca="false">TaxEquity!Z13</f>
        <v>142.796175151225</v>
      </c>
      <c r="AA29" s="69" t="n">
        <f aca="false">TaxEquity!AA13</f>
        <v>0</v>
      </c>
      <c r="AB29" s="69" t="n">
        <f aca="false">TaxEquity!AB13</f>
        <v>75.7368616314481</v>
      </c>
      <c r="AC29" s="69" t="n">
        <f aca="false">TaxEquity!AC13</f>
        <v>150.801740011756</v>
      </c>
      <c r="AD29" s="69" t="n">
        <f aca="false">TaxEquity!AD13</f>
        <v>0</v>
      </c>
      <c r="AE29" s="69" t="n">
        <f aca="false">TaxEquity!AE13</f>
        <v>74.8158516066304</v>
      </c>
      <c r="AF29" s="69" t="n">
        <f aca="false">TaxEquity!AF13</f>
        <v>150.190076034204</v>
      </c>
      <c r="AG29" s="69" t="n">
        <f aca="false">TaxEquity!AG13</f>
        <v>0</v>
      </c>
      <c r="AH29" s="69" t="n">
        <f aca="false">TaxEquity!AH13</f>
        <v>71.6651356526542</v>
      </c>
      <c r="AI29" s="69" t="n">
        <f aca="false">TaxEquity!AI13</f>
        <v>142.99795977732</v>
      </c>
      <c r="AJ29" s="69" t="n">
        <f aca="false">TaxEquity!AJ13</f>
        <v>0</v>
      </c>
      <c r="AK29" s="69" t="n">
        <f aca="false">TaxEquity!AK13</f>
        <v>71.6350908035492</v>
      </c>
      <c r="AL29" s="69" t="n">
        <f aca="false">TaxEquity!AL13</f>
        <v>142.912047451645</v>
      </c>
      <c r="AM29" s="69" t="n">
        <f aca="false">TaxEquity!AM13</f>
        <v>0</v>
      </c>
    </row>
    <row r="30" customFormat="false" ht="21" hidden="false" customHeight="true" outlineLevel="0" collapsed="false">
      <c r="C30" s="56" t="s">
        <v>169</v>
      </c>
      <c r="D30" s="69"/>
      <c r="E30" s="69"/>
      <c r="F30" s="69"/>
      <c r="G30" s="69"/>
      <c r="H30" s="69"/>
      <c r="I30" s="69" t="n">
        <f aca="false">H1Data!D42-H1Data!D43</f>
        <v>132.89805812</v>
      </c>
      <c r="J30" s="69" t="n">
        <f aca="false">TaxEquity!J26</f>
        <v>132.89805812</v>
      </c>
      <c r="K30" s="69" t="n">
        <f aca="false">TaxEquity!K26</f>
        <v>132.89805812</v>
      </c>
      <c r="L30" s="69" t="n">
        <f aca="false">TaxEquity!L26</f>
        <v>132.89805812</v>
      </c>
      <c r="M30" s="69" t="n">
        <f aca="false">TaxEquity!M26</f>
        <v>132.89805812</v>
      </c>
      <c r="N30" s="69" t="n">
        <f aca="false">TaxEquity!N26</f>
        <v>132.89805812</v>
      </c>
      <c r="O30" s="69" t="n">
        <f aca="false">TaxEquity!O26</f>
        <v>132.89805812</v>
      </c>
      <c r="P30" s="69" t="n">
        <f aca="false">TaxEquity!P26</f>
        <v>132.89805812</v>
      </c>
      <c r="Q30" s="69" t="n">
        <f aca="false">TaxEquity!Q26</f>
        <v>132.89805812</v>
      </c>
      <c r="R30" s="69" t="n">
        <f aca="false">TaxEquity!R26</f>
        <v>132.89805812</v>
      </c>
      <c r="S30" s="69" t="n">
        <f aca="false">TaxEquity!S26</f>
        <v>132.89805812</v>
      </c>
      <c r="T30" s="69" t="n">
        <f aca="false">TaxEquity!T26</f>
        <v>132.89805812</v>
      </c>
      <c r="U30" s="69" t="n">
        <f aca="false">TaxEquity!U26</f>
        <v>132.89805812</v>
      </c>
      <c r="V30" s="69" t="n">
        <f aca="false">TaxEquity!V26</f>
        <v>132.89805812</v>
      </c>
      <c r="W30" s="69" t="n">
        <f aca="false">TaxEquity!W26</f>
        <v>132.89805812</v>
      </c>
      <c r="X30" s="69" t="n">
        <f aca="false">TaxEquity!X26</f>
        <v>132.89805812</v>
      </c>
      <c r="Y30" s="69" t="n">
        <f aca="false">TaxEquity!Y26</f>
        <v>132.89805812</v>
      </c>
      <c r="Z30" s="69" t="n">
        <f aca="false">TaxEquity!Z26</f>
        <v>132.89805812</v>
      </c>
      <c r="AA30" s="69" t="n">
        <f aca="false">TaxEquity!AA26</f>
        <v>132.89805812</v>
      </c>
      <c r="AB30" s="69" t="n">
        <f aca="false">TaxEquity!AB26</f>
        <v>132.89805812</v>
      </c>
      <c r="AC30" s="69" t="n">
        <f aca="false">TaxEquity!AC26</f>
        <v>132.89805812</v>
      </c>
      <c r="AD30" s="69" t="n">
        <f aca="false">TaxEquity!AD26</f>
        <v>132.89805812</v>
      </c>
      <c r="AE30" s="69" t="n">
        <f aca="false">TaxEquity!AE26</f>
        <v>132.89805812</v>
      </c>
      <c r="AF30" s="69" t="n">
        <f aca="false">TaxEquity!AF26</f>
        <v>132.89805812</v>
      </c>
      <c r="AG30" s="69" t="n">
        <f aca="false">TaxEquity!AG26</f>
        <v>132.89805812</v>
      </c>
      <c r="AH30" s="69" t="n">
        <f aca="false">TaxEquity!AH26</f>
        <v>132.89805812</v>
      </c>
      <c r="AI30" s="69" t="n">
        <f aca="false">TaxEquity!AI26</f>
        <v>132.89805812</v>
      </c>
      <c r="AJ30" s="69" t="n">
        <f aca="false">TaxEquity!AJ26</f>
        <v>132.89805812</v>
      </c>
      <c r="AK30" s="69" t="n">
        <f aca="false">TaxEquity!AK26</f>
        <v>132.89805812</v>
      </c>
      <c r="AL30" s="69" t="n">
        <f aca="false">TaxEquity!AL26</f>
        <v>132.89805812</v>
      </c>
      <c r="AM30" s="69" t="n">
        <f aca="false">TaxEquity!AM26</f>
        <v>132.89805812</v>
      </c>
    </row>
    <row r="31" customFormat="false" ht="21" hidden="false" customHeight="true" outlineLevel="0" collapsed="false">
      <c r="C31" s="56" t="s">
        <v>170</v>
      </c>
      <c r="D31" s="69"/>
      <c r="E31" s="69"/>
      <c r="F31" s="69"/>
      <c r="G31" s="69"/>
      <c r="H31" s="69"/>
      <c r="I31" s="69" t="n">
        <f aca="false">H1Data!D41+H1Data!D44+H1Data!D46+H1Data!D49+H1Data!D51+H1Data!D35</f>
        <v>1408.67863407</v>
      </c>
      <c r="J31" s="69" t="n">
        <f aca="false">OtherBalances!J39</f>
        <v>1408.67863407</v>
      </c>
      <c r="K31" s="69" t="n">
        <f aca="false">OtherBalances!K39</f>
        <v>1408.67863407</v>
      </c>
      <c r="L31" s="69" t="n">
        <f aca="false">OtherBalances!L39</f>
        <v>1408.67863407</v>
      </c>
      <c r="M31" s="69" t="n">
        <f aca="false">OtherBalances!M39</f>
        <v>1408.67863407</v>
      </c>
      <c r="N31" s="69" t="n">
        <f aca="false">OtherBalances!N39</f>
        <v>1408.67863407</v>
      </c>
      <c r="O31" s="69" t="n">
        <f aca="false">OtherBalances!O39</f>
        <v>1408.67863407</v>
      </c>
      <c r="P31" s="69" t="n">
        <f aca="false">OtherBalances!P39</f>
        <v>1408.67863407</v>
      </c>
      <c r="Q31" s="69" t="n">
        <f aca="false">OtherBalances!Q39</f>
        <v>1408.67863407</v>
      </c>
      <c r="R31" s="69" t="n">
        <f aca="false">OtherBalances!R39</f>
        <v>1408.67863407</v>
      </c>
      <c r="S31" s="69" t="n">
        <f aca="false">OtherBalances!S39</f>
        <v>1408.67863407</v>
      </c>
      <c r="T31" s="69" t="n">
        <f aca="false">OtherBalances!T39</f>
        <v>1408.67863407</v>
      </c>
      <c r="U31" s="69" t="n">
        <f aca="false">OtherBalances!U39</f>
        <v>1408.67863407</v>
      </c>
      <c r="V31" s="69" t="n">
        <f aca="false">OtherBalances!V39</f>
        <v>1408.67863407</v>
      </c>
      <c r="W31" s="69" t="n">
        <f aca="false">OtherBalances!W39</f>
        <v>1408.67863407</v>
      </c>
      <c r="X31" s="69" t="n">
        <f aca="false">OtherBalances!X39</f>
        <v>1408.67863407</v>
      </c>
      <c r="Y31" s="69" t="n">
        <f aca="false">OtherBalances!Y39</f>
        <v>1408.67863407</v>
      </c>
      <c r="Z31" s="69" t="n">
        <f aca="false">OtherBalances!Z39</f>
        <v>1408.67863407</v>
      </c>
      <c r="AA31" s="69" t="n">
        <f aca="false">OtherBalances!AA39</f>
        <v>1408.67863407</v>
      </c>
      <c r="AB31" s="69" t="n">
        <f aca="false">OtherBalances!AB39</f>
        <v>1408.67863407</v>
      </c>
      <c r="AC31" s="69" t="n">
        <f aca="false">OtherBalances!AC39</f>
        <v>1408.67863407</v>
      </c>
      <c r="AD31" s="69" t="n">
        <f aca="false">OtherBalances!AD39</f>
        <v>1408.67863407</v>
      </c>
      <c r="AE31" s="69" t="n">
        <f aca="false">OtherBalances!AE39</f>
        <v>1408.67863407</v>
      </c>
      <c r="AF31" s="69" t="n">
        <f aca="false">OtherBalances!AF39</f>
        <v>1408.67863407</v>
      </c>
      <c r="AG31" s="69" t="n">
        <f aca="false">OtherBalances!AG39</f>
        <v>1408.67863407</v>
      </c>
      <c r="AH31" s="69" t="n">
        <f aca="false">OtherBalances!AH39</f>
        <v>1408.67863407</v>
      </c>
      <c r="AI31" s="69" t="n">
        <f aca="false">OtherBalances!AI39</f>
        <v>1408.67863407</v>
      </c>
      <c r="AJ31" s="69" t="n">
        <f aca="false">OtherBalances!AJ39</f>
        <v>1408.67863407</v>
      </c>
      <c r="AK31" s="69" t="n">
        <f aca="false">OtherBalances!AK39</f>
        <v>1408.67863407</v>
      </c>
      <c r="AL31" s="69" t="n">
        <f aca="false">OtherBalances!AL39</f>
        <v>1408.67863407</v>
      </c>
      <c r="AM31" s="69" t="n">
        <f aca="false">OtherBalances!AM39</f>
        <v>1408.67863407</v>
      </c>
    </row>
    <row r="32" customFormat="false" ht="21" hidden="false" customHeight="true" outlineLevel="0" collapsed="false">
      <c r="C32" s="56" t="s">
        <v>171</v>
      </c>
      <c r="D32" s="69"/>
      <c r="E32" s="69"/>
      <c r="F32" s="69"/>
      <c r="G32" s="69"/>
      <c r="H32" s="69"/>
      <c r="I32" s="69" t="n">
        <f aca="false">H1Data!D50</f>
        <v>86.10209713</v>
      </c>
      <c r="J32" s="69" t="n">
        <f aca="false">TaxEquity!J22</f>
        <v>86.10209713</v>
      </c>
      <c r="K32" s="69" t="n">
        <f aca="false">TaxEquity!K22</f>
        <v>86.10209713</v>
      </c>
      <c r="L32" s="69" t="n">
        <f aca="false">TaxEquity!L22</f>
        <v>86.10209713</v>
      </c>
      <c r="M32" s="69" t="n">
        <f aca="false">TaxEquity!M22</f>
        <v>86.10209713</v>
      </c>
      <c r="N32" s="69" t="n">
        <f aca="false">TaxEquity!N22</f>
        <v>86.10209713</v>
      </c>
      <c r="O32" s="69" t="n">
        <f aca="false">TaxEquity!O22</f>
        <v>86.10209713</v>
      </c>
      <c r="P32" s="69" t="n">
        <f aca="false">TaxEquity!P22</f>
        <v>86.10209713</v>
      </c>
      <c r="Q32" s="69" t="n">
        <f aca="false">TaxEquity!Q22</f>
        <v>86.10209713</v>
      </c>
      <c r="R32" s="69" t="n">
        <f aca="false">TaxEquity!R22</f>
        <v>86.10209713</v>
      </c>
      <c r="S32" s="69" t="n">
        <f aca="false">TaxEquity!S22</f>
        <v>86.10209713</v>
      </c>
      <c r="T32" s="69" t="n">
        <f aca="false">TaxEquity!T22</f>
        <v>86.10209713</v>
      </c>
      <c r="U32" s="69" t="n">
        <f aca="false">TaxEquity!U22</f>
        <v>86.10209713</v>
      </c>
      <c r="V32" s="69" t="n">
        <f aca="false">TaxEquity!V22</f>
        <v>86.10209713</v>
      </c>
      <c r="W32" s="69" t="n">
        <f aca="false">TaxEquity!W22</f>
        <v>86.10209713</v>
      </c>
      <c r="X32" s="69" t="n">
        <f aca="false">TaxEquity!X22</f>
        <v>86.10209713</v>
      </c>
      <c r="Y32" s="69" t="n">
        <f aca="false">TaxEquity!Y22</f>
        <v>86.10209713</v>
      </c>
      <c r="Z32" s="69" t="n">
        <f aca="false">TaxEquity!Z22</f>
        <v>86.10209713</v>
      </c>
      <c r="AA32" s="69" t="n">
        <f aca="false">TaxEquity!AA22</f>
        <v>86.10209713</v>
      </c>
      <c r="AB32" s="69" t="n">
        <f aca="false">TaxEquity!AB22</f>
        <v>86.10209713</v>
      </c>
      <c r="AC32" s="69" t="n">
        <f aca="false">TaxEquity!AC22</f>
        <v>86.10209713</v>
      </c>
      <c r="AD32" s="69" t="n">
        <f aca="false">TaxEquity!AD22</f>
        <v>86.10209713</v>
      </c>
      <c r="AE32" s="69" t="n">
        <f aca="false">TaxEquity!AE22</f>
        <v>86.10209713</v>
      </c>
      <c r="AF32" s="69" t="n">
        <f aca="false">TaxEquity!AF22</f>
        <v>86.10209713</v>
      </c>
      <c r="AG32" s="69" t="n">
        <f aca="false">TaxEquity!AG22</f>
        <v>86.10209713</v>
      </c>
      <c r="AH32" s="69" t="n">
        <f aca="false">TaxEquity!AH22</f>
        <v>86.10209713</v>
      </c>
      <c r="AI32" s="69" t="n">
        <f aca="false">TaxEquity!AI22</f>
        <v>86.10209713</v>
      </c>
      <c r="AJ32" s="69" t="n">
        <f aca="false">TaxEquity!AJ22</f>
        <v>86.10209713</v>
      </c>
      <c r="AK32" s="69" t="n">
        <f aca="false">TaxEquity!AK22</f>
        <v>86.10209713</v>
      </c>
      <c r="AL32" s="69" t="n">
        <f aca="false">TaxEquity!AL22</f>
        <v>86.10209713</v>
      </c>
      <c r="AM32" s="69" t="n">
        <f aca="false">TaxEquity!AM22</f>
        <v>86.10209713</v>
      </c>
    </row>
    <row r="33" customFormat="false" ht="21" hidden="false" customHeight="true" outlineLevel="0" collapsed="false">
      <c r="C33" s="56" t="s">
        <v>172</v>
      </c>
      <c r="D33" s="69"/>
      <c r="E33" s="69"/>
      <c r="F33" s="69"/>
      <c r="G33" s="69"/>
      <c r="H33" s="69"/>
      <c r="I33" s="69"/>
      <c r="J33" s="69" t="n">
        <f aca="false">SourceHistory!F45</f>
        <v>0</v>
      </c>
      <c r="K33" s="69" t="n">
        <f aca="false">SourceHistory!F45</f>
        <v>0</v>
      </c>
      <c r="L33" s="69" t="n">
        <f aca="false">SourceHistory!F45</f>
        <v>0</v>
      </c>
      <c r="M33" s="69" t="n">
        <f aca="false">SourceHistory!F45</f>
        <v>0</v>
      </c>
      <c r="N33" s="69" t="n">
        <f aca="false">SourceHistory!F45</f>
        <v>0</v>
      </c>
      <c r="O33" s="69" t="n">
        <f aca="false">SourceHistory!F45</f>
        <v>0</v>
      </c>
      <c r="P33" s="69" t="n">
        <f aca="false">SourceHistory!F45</f>
        <v>0</v>
      </c>
      <c r="Q33" s="69" t="n">
        <f aca="false">SourceHistory!F45</f>
        <v>0</v>
      </c>
      <c r="R33" s="69" t="n">
        <f aca="false">SourceHistory!F45</f>
        <v>0</v>
      </c>
      <c r="S33" s="69" t="n">
        <f aca="false">SourceHistory!F45</f>
        <v>0</v>
      </c>
      <c r="T33" s="69" t="n">
        <f aca="false">SourceHistory!F45</f>
        <v>0</v>
      </c>
      <c r="U33" s="69" t="n">
        <f aca="false">SourceHistory!F45</f>
        <v>0</v>
      </c>
      <c r="V33" s="69" t="n">
        <f aca="false">SourceHistory!F45</f>
        <v>0</v>
      </c>
      <c r="W33" s="69" t="n">
        <f aca="false">SourceHistory!F45</f>
        <v>0</v>
      </c>
      <c r="X33" s="69" t="n">
        <f aca="false">SourceHistory!F45</f>
        <v>0</v>
      </c>
      <c r="Y33" s="69" t="n">
        <f aca="false">SourceHistory!F45</f>
        <v>0</v>
      </c>
      <c r="Z33" s="69" t="n">
        <f aca="false">SourceHistory!F45</f>
        <v>0</v>
      </c>
      <c r="AA33" s="69" t="n">
        <f aca="false">SourceHistory!F45</f>
        <v>0</v>
      </c>
      <c r="AB33" s="69" t="n">
        <f aca="false">SourceHistory!F45</f>
        <v>0</v>
      </c>
      <c r="AC33" s="69" t="n">
        <f aca="false">SourceHistory!F45</f>
        <v>0</v>
      </c>
      <c r="AD33" s="69" t="n">
        <f aca="false">SourceHistory!F45</f>
        <v>0</v>
      </c>
      <c r="AE33" s="69" t="n">
        <f aca="false">SourceHistory!F45</f>
        <v>0</v>
      </c>
      <c r="AF33" s="69" t="n">
        <f aca="false">SourceHistory!F45</f>
        <v>0</v>
      </c>
      <c r="AG33" s="69" t="n">
        <f aca="false">SourceHistory!F45</f>
        <v>0</v>
      </c>
      <c r="AH33" s="69" t="n">
        <f aca="false">SourceHistory!F45</f>
        <v>0</v>
      </c>
      <c r="AI33" s="69" t="n">
        <f aca="false">SourceHistory!F45</f>
        <v>0</v>
      </c>
      <c r="AJ33" s="69" t="n">
        <f aca="false">SourceHistory!F45</f>
        <v>0</v>
      </c>
      <c r="AK33" s="69" t="n">
        <f aca="false">SourceHistory!F45</f>
        <v>0</v>
      </c>
      <c r="AL33" s="69" t="n">
        <f aca="false">SourceHistory!F45</f>
        <v>0</v>
      </c>
      <c r="AM33" s="69" t="n">
        <f aca="false">SourceHistory!F45</f>
        <v>0</v>
      </c>
    </row>
    <row r="34" customFormat="false" ht="21" hidden="false" customHeight="true" outlineLevel="0" collapsed="false">
      <c r="C34" s="56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</row>
    <row r="35" customFormat="false" ht="21" hidden="false" customHeight="true" outlineLevel="0" collapsed="false">
      <c r="C35" s="60" t="s">
        <v>114</v>
      </c>
      <c r="D35" s="70"/>
      <c r="E35" s="70"/>
      <c r="F35" s="70"/>
      <c r="G35" s="70"/>
      <c r="H35" s="70"/>
      <c r="I35" s="70" t="n">
        <f aca="false">H1Data!D52</f>
        <v>6226.79580133</v>
      </c>
      <c r="J35" s="70" t="n">
        <f aca="false">SUM(J25:J33)</f>
        <v>5966.76712580245</v>
      </c>
      <c r="K35" s="70" t="n">
        <f aca="false">SUM(K25:K33)</f>
        <v>6020.62563995651</v>
      </c>
      <c r="L35" s="70" t="n">
        <f aca="false">SUM(L25:L33)</f>
        <v>5833.94200073131</v>
      </c>
      <c r="M35" s="70" t="n">
        <f aca="false">SUM(M25:M33)</f>
        <v>5632.57335830401</v>
      </c>
      <c r="N35" s="70" t="n">
        <f aca="false">SUM(N25:N33)</f>
        <v>5979.5852170126</v>
      </c>
      <c r="O35" s="70" t="n">
        <f aca="false">SUM(O25:O33)</f>
        <v>5561.63119815311</v>
      </c>
      <c r="P35" s="70" t="n">
        <f aca="false">SUM(P25:P33)</f>
        <v>6138.57831155252</v>
      </c>
      <c r="Q35" s="70" t="n">
        <f aca="false">SUM(Q25:Q33)</f>
        <v>6661.84853114492</v>
      </c>
      <c r="R35" s="70" t="n">
        <f aca="false">SUM(R25:R33)</f>
        <v>5567.70533409303</v>
      </c>
      <c r="S35" s="70" t="n">
        <f aca="false">SUM(S25:S33)</f>
        <v>6184.88873148121</v>
      </c>
      <c r="T35" s="70" t="n">
        <f aca="false">SUM(T25:T33)</f>
        <v>5933.83339834597</v>
      </c>
      <c r="U35" s="70" t="n">
        <f aca="false">SUM(U25:U33)</f>
        <v>5901.08211014002</v>
      </c>
      <c r="V35" s="70" t="n">
        <f aca="false">SUM(V25:V33)</f>
        <v>5517.77687731716</v>
      </c>
      <c r="W35" s="70" t="n">
        <f aca="false">SUM(W25:W33)</f>
        <v>5762.75092963501</v>
      </c>
      <c r="X35" s="70" t="n">
        <f aca="false">SUM(X25:X33)</f>
        <v>5791.51991273</v>
      </c>
      <c r="Y35" s="70" t="n">
        <f aca="false">SUM(Y25:Y33)</f>
        <v>5577.4952072682</v>
      </c>
      <c r="Z35" s="70" t="n">
        <f aca="false">SUM(Z25:Z33)</f>
        <v>5943.17316912252</v>
      </c>
      <c r="AA35" s="70" t="n">
        <f aca="false">SUM(AA25:AA33)</f>
        <v>5505.84107099052</v>
      </c>
      <c r="AB35" s="70" t="n">
        <f aca="false">SUM(AB25:AB33)</f>
        <v>6113.01694640525</v>
      </c>
      <c r="AC35" s="70" t="n">
        <f aca="false">SUM(AC25:AC33)</f>
        <v>6411.30713823242</v>
      </c>
      <c r="AD35" s="70" t="n">
        <f aca="false">SUM(AD25:AD33)</f>
        <v>5634.11747359519</v>
      </c>
      <c r="AE35" s="70" t="n">
        <f aca="false">SUM(AE25:AE33)</f>
        <v>6152.03572670315</v>
      </c>
      <c r="AF35" s="70" t="n">
        <f aca="false">SUM(AF25:AF33)</f>
        <v>5896.10913776389</v>
      </c>
      <c r="AG35" s="70" t="n">
        <f aca="false">SUM(AG25:AG33)</f>
        <v>5881.10430230651</v>
      </c>
      <c r="AH35" s="70" t="n">
        <f aca="false">SUM(AH25:AH33)</f>
        <v>5480.50134308506</v>
      </c>
      <c r="AI35" s="70" t="n">
        <f aca="false">SUM(AI25:AI33)</f>
        <v>5732.89144202575</v>
      </c>
      <c r="AJ35" s="70" t="n">
        <f aca="false">SUM(AJ25:AJ33)</f>
        <v>5772.47626611045</v>
      </c>
      <c r="AK35" s="70" t="n">
        <f aca="false">SUM(AK25:AK33)</f>
        <v>5542.82414582389</v>
      </c>
      <c r="AL35" s="70" t="n">
        <f aca="false">SUM(AL25:AL33)</f>
        <v>5926.09918397866</v>
      </c>
      <c r="AM35" s="70" t="n">
        <f aca="false">SUM(AM25:AM33)</f>
        <v>5471.18905502034</v>
      </c>
    </row>
    <row r="36" customFormat="false" ht="21" hidden="false" customHeight="true" outlineLevel="0" collapsed="false">
      <c r="C36" s="56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</row>
    <row r="37" customFormat="false" ht="21" hidden="false" customHeight="true" outlineLevel="0" collapsed="false">
      <c r="C37" s="56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</row>
    <row r="38" customFormat="false" ht="21" hidden="false" customHeight="true" outlineLevel="0" collapsed="false">
      <c r="C38" s="56" t="s">
        <v>115</v>
      </c>
      <c r="D38" s="69"/>
      <c r="E38" s="69"/>
      <c r="F38" s="69"/>
      <c r="G38" s="69"/>
      <c r="H38" s="69"/>
      <c r="I38" s="69" t="n">
        <f aca="false">H1Data!D58</f>
        <v>10269.48150582</v>
      </c>
      <c r="J38" s="69" t="n">
        <f aca="false">TaxEquity!J35</f>
        <v>10476.2356228618</v>
      </c>
      <c r="K38" s="69" t="n">
        <f aca="false">TaxEquity!K35</f>
        <v>10753.667525542</v>
      </c>
      <c r="L38" s="69" t="n">
        <f aca="false">TaxEquity!L35</f>
        <v>11061.3741755645</v>
      </c>
      <c r="M38" s="69" t="n">
        <f aca="false">TaxEquity!M35</f>
        <v>11383.4043192412</v>
      </c>
      <c r="N38" s="69" t="n">
        <f aca="false">TaxEquity!N35</f>
        <v>11710.0575198822</v>
      </c>
      <c r="O38" s="69" t="n">
        <f aca="false">TaxEquity!O35</f>
        <v>12041.694969139</v>
      </c>
      <c r="P38" s="69" t="n">
        <f aca="false">TaxEquity!P35</f>
        <v>12393.5592950991</v>
      </c>
      <c r="Q38" s="69" t="n">
        <f aca="false">TaxEquity!Q35</f>
        <v>12741.7192036148</v>
      </c>
      <c r="R38" s="69" t="n">
        <f aca="false">TaxEquity!R35</f>
        <v>13094.8533649528</v>
      </c>
      <c r="S38" s="69" t="n">
        <f aca="false">TaxEquity!S35</f>
        <v>13443.3590284815</v>
      </c>
      <c r="T38" s="69" t="n">
        <f aca="false">TaxEquity!T35</f>
        <v>13794.7988905361</v>
      </c>
      <c r="U38" s="69" t="n">
        <f aca="false">TaxEquity!U35</f>
        <v>10613.600285134</v>
      </c>
      <c r="V38" s="69" t="n">
        <f aca="false">TaxEquity!V35</f>
        <v>10948.1296388378</v>
      </c>
      <c r="W38" s="69" t="n">
        <f aca="false">TaxEquity!W35</f>
        <v>11281.1999226958</v>
      </c>
      <c r="X38" s="69" t="n">
        <f aca="false">TaxEquity!X35</f>
        <v>11614.6519065944</v>
      </c>
      <c r="Y38" s="69" t="n">
        <f aca="false">TaxEquity!Y35</f>
        <v>11950.0612763854</v>
      </c>
      <c r="Z38" s="69" t="n">
        <f aca="false">TaxEquity!Z35</f>
        <v>12283.9222053531</v>
      </c>
      <c r="AA38" s="69" t="n">
        <f aca="false">TaxEquity!AA35</f>
        <v>12620.2219735576</v>
      </c>
      <c r="AB38" s="69" t="n">
        <f aca="false">TaxEquity!AB35</f>
        <v>12975.1924898018</v>
      </c>
      <c r="AC38" s="69" t="n">
        <f aca="false">TaxEquity!AC35</f>
        <v>13327.0134928971</v>
      </c>
      <c r="AD38" s="69" t="n">
        <f aca="false">TaxEquity!AD35</f>
        <v>13681.4990212177</v>
      </c>
      <c r="AE38" s="69" t="n">
        <f aca="false">TaxEquity!AE35</f>
        <v>14032.1528626363</v>
      </c>
      <c r="AF38" s="69" t="n">
        <f aca="false">TaxEquity!AF35</f>
        <v>14385.4237373493</v>
      </c>
      <c r="AG38" s="69" t="n">
        <f aca="false">TaxEquity!AG35</f>
        <v>11038.3137852978</v>
      </c>
      <c r="AH38" s="69" t="n">
        <f aca="false">TaxEquity!AH35</f>
        <v>11374.2005602625</v>
      </c>
      <c r="AI38" s="69" t="n">
        <f aca="false">TaxEquity!AI35</f>
        <v>11708.5298268738</v>
      </c>
      <c r="AJ38" s="69" t="n">
        <f aca="false">TaxEquity!AJ35</f>
        <v>12042.4715618038</v>
      </c>
      <c r="AK38" s="69" t="n">
        <f aca="false">TaxEquity!AK35</f>
        <v>12378.2175197955</v>
      </c>
      <c r="AL38" s="69" t="n">
        <f aca="false">TaxEquity!AL35</f>
        <v>12712.2849415591</v>
      </c>
      <c r="AM38" s="69" t="n">
        <f aca="false">TaxEquity!AM35</f>
        <v>13048.7877723098</v>
      </c>
    </row>
    <row r="39" customFormat="false" ht="21" hidden="false" customHeight="true" outlineLevel="0" collapsed="false">
      <c r="C39" s="56" t="s">
        <v>116</v>
      </c>
      <c r="D39" s="69"/>
      <c r="E39" s="69"/>
      <c r="F39" s="69"/>
      <c r="G39" s="69"/>
      <c r="H39" s="69"/>
      <c r="I39" s="69" t="n">
        <f aca="false">H1Data!D53+H1Data!D54-H1Data!D55+H1Data!D56+H1Data!D57</f>
        <v>4923.78191169</v>
      </c>
      <c r="J39" s="69" t="n">
        <f aca="false">TaxEquity!J46</f>
        <v>4927.54895812917</v>
      </c>
      <c r="K39" s="69" t="n">
        <f aca="false">TaxEquity!K46</f>
        <v>4931.31600456833</v>
      </c>
      <c r="L39" s="69" t="n">
        <f aca="false">TaxEquity!L46</f>
        <v>4935.0830510075</v>
      </c>
      <c r="M39" s="69" t="n">
        <f aca="false">TaxEquity!M46</f>
        <v>4938.85009744667</v>
      </c>
      <c r="N39" s="69" t="n">
        <f aca="false">TaxEquity!N46</f>
        <v>4942.61714388583</v>
      </c>
      <c r="O39" s="69" t="n">
        <f aca="false">TaxEquity!O46</f>
        <v>4946.384190325</v>
      </c>
      <c r="P39" s="69" t="n">
        <f aca="false">TaxEquity!P46</f>
        <v>4950.15123676417</v>
      </c>
      <c r="Q39" s="69" t="n">
        <f aca="false">TaxEquity!Q46</f>
        <v>4953.91828320333</v>
      </c>
      <c r="R39" s="69" t="n">
        <f aca="false">TaxEquity!R46</f>
        <v>4957.6853296425</v>
      </c>
      <c r="S39" s="69" t="n">
        <f aca="false">TaxEquity!S46</f>
        <v>4961.45237608167</v>
      </c>
      <c r="T39" s="69" t="n">
        <f aca="false">TaxEquity!T46</f>
        <v>4965.21942252083</v>
      </c>
      <c r="U39" s="69" t="n">
        <f aca="false">TaxEquity!U46</f>
        <v>4968.98646896</v>
      </c>
      <c r="V39" s="69" t="n">
        <f aca="false">TaxEquity!V46</f>
        <v>4972.75351539917</v>
      </c>
      <c r="W39" s="69" t="n">
        <f aca="false">TaxEquity!W46</f>
        <v>4976.52056183833</v>
      </c>
      <c r="X39" s="69" t="n">
        <f aca="false">TaxEquity!X46</f>
        <v>4980.2876082775</v>
      </c>
      <c r="Y39" s="69" t="n">
        <f aca="false">TaxEquity!Y46</f>
        <v>4984.05465471667</v>
      </c>
      <c r="Z39" s="69" t="n">
        <f aca="false">TaxEquity!Z46</f>
        <v>4987.82170115583</v>
      </c>
      <c r="AA39" s="69" t="n">
        <f aca="false">TaxEquity!AA46</f>
        <v>4991.588747595</v>
      </c>
      <c r="AB39" s="69" t="n">
        <f aca="false">TaxEquity!AB46</f>
        <v>4995.35579403417</v>
      </c>
      <c r="AC39" s="69" t="n">
        <f aca="false">TaxEquity!AC46</f>
        <v>4999.12284047333</v>
      </c>
      <c r="AD39" s="69" t="n">
        <f aca="false">TaxEquity!AD46</f>
        <v>5002.8898869125</v>
      </c>
      <c r="AE39" s="69" t="n">
        <f aca="false">TaxEquity!AE46</f>
        <v>5006.65693335167</v>
      </c>
      <c r="AF39" s="69" t="n">
        <f aca="false">TaxEquity!AF46</f>
        <v>5010.42397979083</v>
      </c>
      <c r="AG39" s="69" t="n">
        <f aca="false">TaxEquity!AG46</f>
        <v>5014.19102623</v>
      </c>
      <c r="AH39" s="69" t="n">
        <f aca="false">TaxEquity!AH46</f>
        <v>5017.95807266917</v>
      </c>
      <c r="AI39" s="69" t="n">
        <f aca="false">TaxEquity!AI46</f>
        <v>5021.72511910833</v>
      </c>
      <c r="AJ39" s="69" t="n">
        <f aca="false">TaxEquity!AJ46</f>
        <v>5025.4921655475</v>
      </c>
      <c r="AK39" s="69" t="n">
        <f aca="false">TaxEquity!AK46</f>
        <v>5029.25921198667</v>
      </c>
      <c r="AL39" s="69" t="n">
        <f aca="false">TaxEquity!AL46</f>
        <v>5033.02625842583</v>
      </c>
      <c r="AM39" s="69" t="n">
        <f aca="false">TaxEquity!AM46</f>
        <v>5036.793304865</v>
      </c>
    </row>
    <row r="40" customFormat="false" ht="21" hidden="false" customHeight="true" outlineLevel="0" collapsed="false">
      <c r="C40" s="56" t="s">
        <v>117</v>
      </c>
      <c r="D40" s="69"/>
      <c r="E40" s="69"/>
      <c r="F40" s="69"/>
      <c r="G40" s="69"/>
      <c r="H40" s="69"/>
      <c r="I40" s="69" t="n">
        <f aca="false">H1Data!D59</f>
        <v>14.9650577</v>
      </c>
      <c r="J40" s="69" t="n">
        <f aca="false">TaxEquity!J39</f>
        <v>15.2530099197028</v>
      </c>
      <c r="K40" s="69" t="n">
        <f aca="false">TaxEquity!K39</f>
        <v>15.6393970607965</v>
      </c>
      <c r="L40" s="69" t="n">
        <f aca="false">TaxEquity!L39</f>
        <v>16.0679486860751</v>
      </c>
      <c r="M40" s="69" t="n">
        <f aca="false">TaxEquity!M39</f>
        <v>16.5164490400688</v>
      </c>
      <c r="N40" s="69" t="n">
        <f aca="false">TaxEquity!N39</f>
        <v>16.9713880543114</v>
      </c>
      <c r="O40" s="69" t="n">
        <f aca="false">TaxEquity!O39</f>
        <v>17.43326877048</v>
      </c>
      <c r="P40" s="69" t="n">
        <f aca="false">TaxEquity!P39</f>
        <v>17.9233200214254</v>
      </c>
      <c r="Q40" s="69" t="n">
        <f aca="false">TaxEquity!Q39</f>
        <v>18.4082120269778</v>
      </c>
      <c r="R40" s="69" t="n">
        <f aca="false">TaxEquity!R39</f>
        <v>18.900031813036</v>
      </c>
      <c r="S40" s="69" t="n">
        <f aca="false">TaxEquity!S39</f>
        <v>19.3854053612291</v>
      </c>
      <c r="T40" s="69" t="n">
        <f aca="false">TaxEquity!T39</f>
        <v>19.8748654494662</v>
      </c>
      <c r="U40" s="69" t="n">
        <f aca="false">TaxEquity!U39</f>
        <v>14.5312728197602</v>
      </c>
      <c r="V40" s="69" t="n">
        <f aca="false">TaxEquity!V39</f>
        <v>14.9971811718308</v>
      </c>
      <c r="W40" s="69" t="n">
        <f aca="false">TaxEquity!W39</f>
        <v>15.4610574366723</v>
      </c>
      <c r="X40" s="69" t="n">
        <f aca="false">TaxEquity!X39</f>
        <v>15.9254653057957</v>
      </c>
      <c r="Y40" s="69" t="n">
        <f aca="false">TaxEquity!Y39</f>
        <v>16.3925992807913</v>
      </c>
      <c r="Z40" s="69" t="n">
        <f aca="false">TaxEquity!Z39</f>
        <v>16.8575766991072</v>
      </c>
      <c r="AA40" s="69" t="n">
        <f aca="false">TaxEquity!AA39</f>
        <v>17.325950756783</v>
      </c>
      <c r="AB40" s="69" t="n">
        <f aca="false">TaxEquity!AB39</f>
        <v>17.8203280854864</v>
      </c>
      <c r="AC40" s="69" t="n">
        <f aca="false">TaxEquity!AC39</f>
        <v>18.3103189994708</v>
      </c>
      <c r="AD40" s="69" t="n">
        <f aca="false">TaxEquity!AD39</f>
        <v>18.8040208719796</v>
      </c>
      <c r="AE40" s="69" t="n">
        <f aca="false">TaxEquity!AE39</f>
        <v>19.2923862473756</v>
      </c>
      <c r="AF40" s="69" t="n">
        <f aca="false">TaxEquity!AF39</f>
        <v>19.7843964379606</v>
      </c>
      <c r="AG40" s="69" t="n">
        <f aca="false">TaxEquity!AG39</f>
        <v>15.1227831454539</v>
      </c>
      <c r="AH40" s="69" t="n">
        <f aca="false">TaxEquity!AH39</f>
        <v>15.590582015937</v>
      </c>
      <c r="AI40" s="69" t="n">
        <f aca="false">TaxEquity!AI39</f>
        <v>16.0562117011388</v>
      </c>
      <c r="AJ40" s="69" t="n">
        <f aca="false">TaxEquity!AJ39</f>
        <v>16.5213016601699</v>
      </c>
      <c r="AK40" s="69" t="n">
        <f aca="false">TaxEquity!AK39</f>
        <v>16.9889044109311</v>
      </c>
      <c r="AL40" s="69" t="n">
        <f aca="false">TaxEquity!AL39</f>
        <v>17.4541694175176</v>
      </c>
      <c r="AM40" s="69" t="n">
        <f aca="false">TaxEquity!AM39</f>
        <v>17.9228262860593</v>
      </c>
    </row>
    <row r="41" customFormat="false" ht="21" hidden="false" customHeight="true" outlineLevel="0" collapsed="false">
      <c r="C41" s="56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</row>
    <row r="42" customFormat="false" ht="21" hidden="false" customHeight="true" outlineLevel="0" collapsed="false">
      <c r="C42" s="60" t="s">
        <v>118</v>
      </c>
      <c r="D42" s="70"/>
      <c r="E42" s="70"/>
      <c r="F42" s="70"/>
      <c r="G42" s="70"/>
      <c r="H42" s="70"/>
      <c r="I42" s="70" t="n">
        <f aca="false">H1Data!D60</f>
        <v>15208.22847521</v>
      </c>
      <c r="J42" s="70" t="n">
        <f aca="false">SUM(J38:J40)</f>
        <v>15419.0375909107</v>
      </c>
      <c r="K42" s="70" t="n">
        <f aca="false">SUM(K38:K40)</f>
        <v>15700.6229271712</v>
      </c>
      <c r="L42" s="70" t="n">
        <f aca="false">SUM(L38:L40)</f>
        <v>16012.5251752581</v>
      </c>
      <c r="M42" s="70" t="n">
        <f aca="false">SUM(M38:M40)</f>
        <v>16338.770865728</v>
      </c>
      <c r="N42" s="70" t="n">
        <f aca="false">SUM(N38:N40)</f>
        <v>16669.6460518223</v>
      </c>
      <c r="O42" s="70" t="n">
        <f aca="false">SUM(O38:O40)</f>
        <v>17005.5124282345</v>
      </c>
      <c r="P42" s="70" t="n">
        <f aca="false">SUM(P38:P40)</f>
        <v>17361.6338518847</v>
      </c>
      <c r="Q42" s="70" t="n">
        <f aca="false">SUM(Q38:Q40)</f>
        <v>17714.0456988451</v>
      </c>
      <c r="R42" s="70" t="n">
        <f aca="false">SUM(R38:R40)</f>
        <v>18071.4387264083</v>
      </c>
      <c r="S42" s="70" t="n">
        <f aca="false">SUM(S38:S40)</f>
        <v>18424.1968099244</v>
      </c>
      <c r="T42" s="70" t="n">
        <f aca="false">SUM(T38:T40)</f>
        <v>18779.8931785064</v>
      </c>
      <c r="U42" s="70" t="n">
        <f aca="false">SUM(U38:U40)</f>
        <v>15597.1180269138</v>
      </c>
      <c r="V42" s="70" t="n">
        <f aca="false">SUM(V38:V40)</f>
        <v>15935.8803354088</v>
      </c>
      <c r="W42" s="70" t="n">
        <f aca="false">SUM(W38:W40)</f>
        <v>16273.1815419709</v>
      </c>
      <c r="X42" s="70" t="n">
        <f aca="false">SUM(X38:X40)</f>
        <v>16610.8649801777</v>
      </c>
      <c r="Y42" s="70" t="n">
        <f aca="false">SUM(Y38:Y40)</f>
        <v>16950.5085303828</v>
      </c>
      <c r="Z42" s="70" t="n">
        <f aca="false">SUM(Z38:Z40)</f>
        <v>17288.601483208</v>
      </c>
      <c r="AA42" s="70" t="n">
        <f aca="false">SUM(AA38:AA40)</f>
        <v>17629.1366719094</v>
      </c>
      <c r="AB42" s="70" t="n">
        <f aca="false">SUM(AB38:AB40)</f>
        <v>17988.3686119214</v>
      </c>
      <c r="AC42" s="70" t="n">
        <f aca="false">SUM(AC38:AC40)</f>
        <v>18344.4466523699</v>
      </c>
      <c r="AD42" s="70" t="n">
        <f aca="false">SUM(AD38:AD40)</f>
        <v>18703.1929290022</v>
      </c>
      <c r="AE42" s="70" t="n">
        <f aca="false">SUM(AE38:AE40)</f>
        <v>19058.1021822353</v>
      </c>
      <c r="AF42" s="70" t="n">
        <f aca="false">SUM(AF38:AF40)</f>
        <v>19415.6321135781</v>
      </c>
      <c r="AG42" s="70" t="n">
        <f aca="false">SUM(AG38:AG40)</f>
        <v>16067.6275946733</v>
      </c>
      <c r="AH42" s="70" t="n">
        <f aca="false">SUM(AH38:AH40)</f>
        <v>16407.7492149476</v>
      </c>
      <c r="AI42" s="70" t="n">
        <f aca="false">SUM(AI38:AI40)</f>
        <v>16746.3111576833</v>
      </c>
      <c r="AJ42" s="70" t="n">
        <f aca="false">SUM(AJ38:AJ40)</f>
        <v>17084.4850290114</v>
      </c>
      <c r="AK42" s="70" t="n">
        <f aca="false">SUM(AK38:AK40)</f>
        <v>17424.4656361931</v>
      </c>
      <c r="AL42" s="70" t="n">
        <f aca="false">SUM(AL38:AL40)</f>
        <v>17762.7653694025</v>
      </c>
      <c r="AM42" s="70" t="n">
        <f aca="false">SUM(AM38:AM40)</f>
        <v>18103.5039034609</v>
      </c>
    </row>
    <row r="43" customFormat="false" ht="21" hidden="false" customHeight="true" outlineLevel="0" collapsed="false">
      <c r="C43" s="60" t="s">
        <v>173</v>
      </c>
      <c r="D43" s="70"/>
      <c r="E43" s="70"/>
      <c r="F43" s="70"/>
      <c r="G43" s="70"/>
      <c r="H43" s="70"/>
      <c r="I43" s="70" t="n">
        <f aca="false">H1Data!D52+H1Data!D60</f>
        <v>21435.02427654</v>
      </c>
      <c r="J43" s="70" t="n">
        <f aca="false">J35+J42</f>
        <v>21385.8047167131</v>
      </c>
      <c r="K43" s="70" t="n">
        <f aca="false">K35+K42</f>
        <v>21721.2485671277</v>
      </c>
      <c r="L43" s="70" t="n">
        <f aca="false">L35+L42</f>
        <v>21846.4671759894</v>
      </c>
      <c r="M43" s="70" t="n">
        <f aca="false">M35+M42</f>
        <v>21971.344224032</v>
      </c>
      <c r="N43" s="70" t="n">
        <f aca="false">N35+N42</f>
        <v>22649.2312688349</v>
      </c>
      <c r="O43" s="70" t="n">
        <f aca="false">O35+O42</f>
        <v>22567.1436263876</v>
      </c>
      <c r="P43" s="70" t="n">
        <f aca="false">P35+P42</f>
        <v>23500.2121634372</v>
      </c>
      <c r="Q43" s="70" t="n">
        <f aca="false">Q35+Q42</f>
        <v>24375.8942299901</v>
      </c>
      <c r="R43" s="70" t="n">
        <f aca="false">R35+R42</f>
        <v>23639.1440605014</v>
      </c>
      <c r="S43" s="70" t="n">
        <f aca="false">S35+S42</f>
        <v>24609.0855414057</v>
      </c>
      <c r="T43" s="70" t="n">
        <f aca="false">T35+T42</f>
        <v>24713.7265768524</v>
      </c>
      <c r="U43" s="70" t="n">
        <f aca="false">U35+U42</f>
        <v>21498.2001370538</v>
      </c>
      <c r="V43" s="70" t="n">
        <f aca="false">V35+V42</f>
        <v>21453.657212726</v>
      </c>
      <c r="W43" s="70" t="n">
        <f aca="false">W35+W42</f>
        <v>22035.9324716059</v>
      </c>
      <c r="X43" s="70" t="n">
        <f aca="false">X35+X42</f>
        <v>22402.3848929077</v>
      </c>
      <c r="Y43" s="70" t="n">
        <f aca="false">Y35+Y42</f>
        <v>22528.003737651</v>
      </c>
      <c r="Z43" s="70" t="n">
        <f aca="false">Z35+Z42</f>
        <v>23231.7746523305</v>
      </c>
      <c r="AA43" s="70" t="n">
        <f aca="false">AA35+AA42</f>
        <v>23134.9777428999</v>
      </c>
      <c r="AB43" s="70" t="n">
        <f aca="false">AB35+AB42</f>
        <v>24101.3855583267</v>
      </c>
      <c r="AC43" s="70" t="n">
        <f aca="false">AC35+AC42</f>
        <v>24755.7537906023</v>
      </c>
      <c r="AD43" s="70" t="n">
        <f aca="false">AD35+AD42</f>
        <v>24337.3104025974</v>
      </c>
      <c r="AE43" s="70" t="n">
        <f aca="false">AE35+AE42</f>
        <v>25210.1379089385</v>
      </c>
      <c r="AF43" s="70" t="n">
        <f aca="false">AF35+AF42</f>
        <v>25311.741251342</v>
      </c>
      <c r="AG43" s="70" t="n">
        <f aca="false">AG35+AG42</f>
        <v>21948.7318969798</v>
      </c>
      <c r="AH43" s="70" t="n">
        <f aca="false">AH35+AH42</f>
        <v>21888.2505580326</v>
      </c>
      <c r="AI43" s="70" t="n">
        <f aca="false">AI35+AI42</f>
        <v>22479.2025997091</v>
      </c>
      <c r="AJ43" s="70" t="n">
        <f aca="false">AJ35+AJ42</f>
        <v>22856.9612951219</v>
      </c>
      <c r="AK43" s="70" t="n">
        <f aca="false">AK35+AK42</f>
        <v>22967.2897820169</v>
      </c>
      <c r="AL43" s="70" t="n">
        <f aca="false">AL35+AL42</f>
        <v>23688.8645533811</v>
      </c>
      <c r="AM43" s="70" t="n">
        <f aca="false">AM35+AM42</f>
        <v>23574.6929584812</v>
      </c>
    </row>
    <row r="44" customFormat="false" ht="21" hidden="false" customHeight="true" outlineLevel="0" collapsed="false">
      <c r="C44" s="60" t="s">
        <v>174</v>
      </c>
      <c r="D44" s="70"/>
      <c r="E44" s="70"/>
      <c r="F44" s="70"/>
      <c r="G44" s="70"/>
      <c r="H44" s="70"/>
      <c r="I44" s="70" t="n">
        <f aca="false">I22-I43</f>
        <v>0</v>
      </c>
      <c r="J44" s="70" t="n">
        <f aca="false">J22-J43</f>
        <v>0</v>
      </c>
      <c r="K44" s="70" t="n">
        <f aca="false">K22-K43</f>
        <v>0</v>
      </c>
      <c r="L44" s="70" t="n">
        <f aca="false">L22-L43</f>
        <v>0</v>
      </c>
      <c r="M44" s="70" t="n">
        <f aca="false">M22-M43</f>
        <v>0</v>
      </c>
      <c r="N44" s="70" t="n">
        <f aca="false">N22-N43</f>
        <v>0</v>
      </c>
      <c r="O44" s="70" t="n">
        <f aca="false">O22-O43</f>
        <v>0</v>
      </c>
      <c r="P44" s="70" t="n">
        <f aca="false">P22-P43</f>
        <v>0</v>
      </c>
      <c r="Q44" s="70" t="n">
        <f aca="false">Q22-Q43</f>
        <v>0</v>
      </c>
      <c r="R44" s="70" t="n">
        <f aca="false">R22-R43</f>
        <v>0</v>
      </c>
      <c r="S44" s="70" t="n">
        <f aca="false">S22-S43</f>
        <v>0</v>
      </c>
      <c r="T44" s="70" t="n">
        <f aca="false">T22-T43</f>
        <v>0</v>
      </c>
      <c r="U44" s="70" t="n">
        <f aca="false">U22-U43</f>
        <v>0</v>
      </c>
      <c r="V44" s="70" t="n">
        <f aca="false">V22-V43</f>
        <v>0</v>
      </c>
      <c r="W44" s="70" t="n">
        <f aca="false">W22-W43</f>
        <v>0</v>
      </c>
      <c r="X44" s="70" t="n">
        <f aca="false">X22-X43</f>
        <v>0</v>
      </c>
      <c r="Y44" s="70" t="n">
        <f aca="false">Y22-Y43</f>
        <v>0</v>
      </c>
      <c r="Z44" s="70" t="n">
        <f aca="false">Z22-Z43</f>
        <v>0</v>
      </c>
      <c r="AA44" s="70" t="n">
        <f aca="false">AA22-AA43</f>
        <v>0</v>
      </c>
      <c r="AB44" s="70" t="n">
        <f aca="false">AB22-AB43</f>
        <v>0</v>
      </c>
      <c r="AC44" s="70" t="n">
        <f aca="false">AC22-AC43</f>
        <v>0</v>
      </c>
      <c r="AD44" s="70" t="n">
        <f aca="false">AD22-AD43</f>
        <v>0</v>
      </c>
      <c r="AE44" s="70" t="n">
        <f aca="false">AE22-AE43</f>
        <v>0</v>
      </c>
      <c r="AF44" s="70" t="n">
        <f aca="false">AF22-AF43</f>
        <v>0</v>
      </c>
      <c r="AG44" s="70" t="n">
        <f aca="false">AG22-AG43</f>
        <v>0</v>
      </c>
      <c r="AH44" s="70" t="n">
        <f aca="false">AH22-AH43</f>
        <v>0</v>
      </c>
      <c r="AI44" s="70" t="n">
        <f aca="false">AI22-AI43</f>
        <v>0</v>
      </c>
      <c r="AJ44" s="70" t="n">
        <f aca="false">AJ22-AJ43</f>
        <v>0</v>
      </c>
      <c r="AK44" s="70" t="n">
        <f aca="false">AK22-AK43</f>
        <v>0</v>
      </c>
      <c r="AL44" s="70" t="n">
        <f aca="false">AL22-AL43</f>
        <v>0</v>
      </c>
      <c r="AM44" s="70" t="n">
        <f aca="false">AM22-AM43</f>
        <v>0</v>
      </c>
    </row>
    <row r="45" customFormat="false" ht="21" hidden="false" customHeight="true" outlineLevel="0" collapsed="false">
      <c r="C45" s="56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</row>
    <row r="46" customFormat="false" ht="21" hidden="false" customHeight="true" outlineLevel="0" collapsed="false">
      <c r="C46" s="56" t="s">
        <v>175</v>
      </c>
      <c r="D46" s="69"/>
      <c r="E46" s="69"/>
      <c r="F46" s="69"/>
      <c r="G46" s="69"/>
      <c r="H46" s="69"/>
      <c r="I46" s="69" t="n">
        <f aca="false">I10-H1Actual!D61</f>
        <v>0</v>
      </c>
      <c r="J46" s="69" t="n">
        <f aca="false">J10-Monthly_CF!J51</f>
        <v>0</v>
      </c>
      <c r="K46" s="69" t="n">
        <f aca="false">K10-Monthly_CF!K51</f>
        <v>0</v>
      </c>
      <c r="L46" s="69" t="n">
        <f aca="false">L10-Monthly_CF!L51</f>
        <v>0</v>
      </c>
      <c r="M46" s="69" t="n">
        <f aca="false">M10-Monthly_CF!M51</f>
        <v>0</v>
      </c>
      <c r="N46" s="69" t="n">
        <f aca="false">N10-Monthly_CF!N51</f>
        <v>0</v>
      </c>
      <c r="O46" s="69" t="n">
        <f aca="false">O10-Monthly_CF!O51</f>
        <v>0</v>
      </c>
      <c r="P46" s="69" t="n">
        <f aca="false">P10-Monthly_CF!P51</f>
        <v>0</v>
      </c>
      <c r="Q46" s="69" t="n">
        <f aca="false">Q10-Monthly_CF!Q51</f>
        <v>0</v>
      </c>
      <c r="R46" s="69" t="n">
        <f aca="false">R10-Monthly_CF!R51</f>
        <v>0</v>
      </c>
      <c r="S46" s="69" t="n">
        <f aca="false">S10-Monthly_CF!S51</f>
        <v>0</v>
      </c>
      <c r="T46" s="69" t="n">
        <f aca="false">T10-Monthly_CF!T51</f>
        <v>0</v>
      </c>
      <c r="U46" s="69" t="n">
        <f aca="false">U10-Monthly_CF!U51</f>
        <v>0</v>
      </c>
      <c r="V46" s="69" t="n">
        <f aca="false">V10-Monthly_CF!V51</f>
        <v>0</v>
      </c>
      <c r="W46" s="69" t="n">
        <f aca="false">W10-Monthly_CF!W51</f>
        <v>0</v>
      </c>
      <c r="X46" s="69" t="n">
        <f aca="false">X10-Monthly_CF!X51</f>
        <v>0</v>
      </c>
      <c r="Y46" s="69" t="n">
        <f aca="false">Y10-Monthly_CF!Y51</f>
        <v>0</v>
      </c>
      <c r="Z46" s="69" t="n">
        <f aca="false">Z10-Monthly_CF!Z51</f>
        <v>0</v>
      </c>
      <c r="AA46" s="69" t="n">
        <f aca="false">AA10-Monthly_CF!AA51</f>
        <v>0</v>
      </c>
      <c r="AB46" s="69" t="n">
        <f aca="false">AB10-Monthly_CF!AB51</f>
        <v>0</v>
      </c>
      <c r="AC46" s="69" t="n">
        <f aca="false">AC10-Monthly_CF!AC51</f>
        <v>0</v>
      </c>
      <c r="AD46" s="69" t="n">
        <f aca="false">AD10-Monthly_CF!AD51</f>
        <v>0</v>
      </c>
      <c r="AE46" s="69" t="n">
        <f aca="false">AE10-Monthly_CF!AE51</f>
        <v>0</v>
      </c>
      <c r="AF46" s="69" t="n">
        <f aca="false">AF10-Monthly_CF!AF51</f>
        <v>0</v>
      </c>
      <c r="AG46" s="69" t="n">
        <f aca="false">AG10-Monthly_CF!AG51</f>
        <v>0</v>
      </c>
      <c r="AH46" s="69" t="n">
        <f aca="false">AH10-Monthly_CF!AH51</f>
        <v>0</v>
      </c>
      <c r="AI46" s="69" t="n">
        <f aca="false">AI10-Monthly_CF!AI51</f>
        <v>0</v>
      </c>
      <c r="AJ46" s="69" t="n">
        <f aca="false">AJ10-Monthly_CF!AJ51</f>
        <v>0</v>
      </c>
      <c r="AK46" s="69" t="n">
        <f aca="false">AK10-Monthly_CF!AK51</f>
        <v>0</v>
      </c>
      <c r="AL46" s="69" t="n">
        <f aca="false">AL10-Monthly_CF!AL51</f>
        <v>0</v>
      </c>
      <c r="AM46" s="69" t="n">
        <f aca="false">AM10-Monthly_CF!AM51</f>
        <v>0</v>
      </c>
    </row>
    <row r="47" customFormat="false" ht="21" hidden="false" customHeight="true" outlineLevel="0" collapsed="false"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</row>
    <row r="48" customFormat="false" ht="21" hidden="false" customHeight="true" outlineLevel="0" collapsed="false">
      <c r="C48" s="56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</row>
    <row r="49" customFormat="false" ht="21" hidden="false" customHeight="true" outlineLevel="0" collapsed="false">
      <c r="C49" s="56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</row>
    <row r="50" customFormat="false" ht="21" hidden="false" customHeight="true" outlineLevel="0" collapsed="false">
      <c r="C50" s="56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</row>
    <row r="51" customFormat="false" ht="21" hidden="false" customHeight="true" outlineLevel="0" collapsed="false">
      <c r="C51" s="56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</row>
    <row r="52" customFormat="false" ht="21" hidden="false" customHeight="true" outlineLevel="0" collapsed="false">
      <c r="C52" s="56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</row>
    <row r="53" customFormat="false" ht="21" hidden="false" customHeight="true" outlineLevel="0" collapsed="false">
      <c r="C53" s="56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</row>
    <row r="54" customFormat="false" ht="21" hidden="false" customHeight="true" outlineLevel="0" collapsed="false">
      <c r="C54" s="56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</row>
    <row r="55" customFormat="false" ht="21" hidden="false" customHeight="true" outlineLevel="0" collapsed="false">
      <c r="C55" s="56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</row>
    <row r="56" customFormat="false" ht="21" hidden="false" customHeight="true" outlineLevel="0" collapsed="false">
      <c r="C56" s="56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</row>
    <row r="57" customFormat="false" ht="21" hidden="false" customHeight="true" outlineLevel="0" collapsed="false">
      <c r="C57" s="56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</row>
    <row r="58" customFormat="false" ht="21" hidden="false" customHeight="true" outlineLevel="0" collapsed="false">
      <c r="C58" s="56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</row>
    <row r="59" customFormat="false" ht="21" hidden="false" customHeight="true" outlineLevel="0" collapsed="false">
      <c r="C59" s="56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</row>
    <row r="60" customFormat="false" ht="21" hidden="false" customHeight="true" outlineLevel="0" collapsed="false">
      <c r="C60" s="56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</row>
    <row r="61" customFormat="false" ht="21" hidden="false" customHeight="true" outlineLevel="0" collapsed="false">
      <c r="C61" s="56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</row>
    <row r="62" customFormat="false" ht="21" hidden="false" customHeight="true" outlineLevel="0" collapsed="false">
      <c r="C62" s="56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</row>
    <row r="63" customFormat="false" ht="21" hidden="false" customHeight="true" outlineLevel="0" collapsed="false">
      <c r="C63" s="5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</row>
    <row r="64" customFormat="false" ht="21" hidden="false" customHeight="true" outlineLevel="0" collapsed="false">
      <c r="C64" s="56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</row>
    <row r="65" customFormat="false" ht="21" hidden="false" customHeight="true" outlineLevel="0" collapsed="false">
      <c r="C65" s="5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</row>
    <row r="66" customFormat="false" ht="21" hidden="false" customHeight="true" outlineLevel="0" collapsed="false">
      <c r="C66" s="56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</row>
    <row r="67" customFormat="false" ht="21" hidden="false" customHeight="true" outlineLevel="0" collapsed="false">
      <c r="C67" s="5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</row>
    <row r="68" customFormat="false" ht="21" hidden="false" customHeight="true" outlineLevel="0" collapsed="false">
      <c r="C68" s="56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</row>
    <row r="69" customFormat="false" ht="21" hidden="false" customHeight="true" outlineLevel="0" collapsed="false">
      <c r="C69" s="5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</row>
    <row r="70" customFormat="false" ht="21" hidden="false" customHeight="true" outlineLevel="0" collapsed="false">
      <c r="C70" s="56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</row>
    <row r="71" customFormat="false" ht="21" hidden="false" customHeight="true" outlineLevel="0" collapsed="false">
      <c r="C71" s="56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</row>
  </sheetData>
  <sheetProtection sheet="1" objects="1" scenarios="1" selectLockedCells="0" selectUnlockedCells="0"/>
  <mergeCells count="2">
    <mergeCell ref="C2:K2"/>
    <mergeCell ref="C3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C1:AM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39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customFormat="false" ht="33" hidden="false" customHeight="true" outlineLevel="0" collapsed="false">
      <c r="C2" s="57" t="s">
        <v>176</v>
      </c>
      <c r="D2" s="57"/>
      <c r="E2" s="57"/>
      <c r="F2" s="57"/>
      <c r="G2" s="57"/>
      <c r="H2" s="57"/>
      <c r="I2" s="57"/>
      <c r="J2" s="57"/>
      <c r="K2" s="57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</row>
    <row r="3" customFormat="false" ht="21" hidden="false" customHeight="true" outlineLevel="0" collapsed="false">
      <c r="C3" s="58" t="s">
        <v>129</v>
      </c>
      <c r="D3" s="58"/>
      <c r="E3" s="58"/>
      <c r="F3" s="58"/>
      <c r="G3" s="58"/>
      <c r="H3" s="58"/>
      <c r="I3" s="58"/>
      <c r="J3" s="58"/>
      <c r="K3" s="58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</row>
    <row r="6" customFormat="false" ht="21" hidden="false" customHeight="true" outlineLevel="0" collapsed="false">
      <c r="C6" s="56"/>
      <c r="D6" s="56" t="s">
        <v>130</v>
      </c>
      <c r="E6" s="56" t="s">
        <v>130</v>
      </c>
      <c r="F6" s="56" t="s">
        <v>130</v>
      </c>
      <c r="G6" s="56" t="s">
        <v>130</v>
      </c>
      <c r="H6" s="56" t="s">
        <v>130</v>
      </c>
      <c r="I6" s="56" t="s">
        <v>131</v>
      </c>
      <c r="J6" s="56" t="s">
        <v>132</v>
      </c>
      <c r="K6" s="56" t="s">
        <v>132</v>
      </c>
      <c r="L6" s="56" t="s">
        <v>132</v>
      </c>
      <c r="M6" s="56" t="s">
        <v>132</v>
      </c>
      <c r="N6" s="56" t="s">
        <v>132</v>
      </c>
      <c r="O6" s="56" t="s">
        <v>132</v>
      </c>
      <c r="P6" s="56" t="s">
        <v>132</v>
      </c>
      <c r="Q6" s="56" t="s">
        <v>132</v>
      </c>
      <c r="R6" s="56" t="s">
        <v>132</v>
      </c>
      <c r="S6" s="56" t="s">
        <v>132</v>
      </c>
      <c r="T6" s="56" t="s">
        <v>132</v>
      </c>
      <c r="U6" s="56" t="s">
        <v>132</v>
      </c>
      <c r="V6" s="56" t="s">
        <v>132</v>
      </c>
      <c r="W6" s="56" t="s">
        <v>132</v>
      </c>
      <c r="X6" s="56" t="s">
        <v>132</v>
      </c>
      <c r="Y6" s="56" t="s">
        <v>132</v>
      </c>
      <c r="Z6" s="56" t="s">
        <v>132</v>
      </c>
      <c r="AA6" s="56" t="s">
        <v>132</v>
      </c>
      <c r="AB6" s="56" t="s">
        <v>132</v>
      </c>
      <c r="AC6" s="56" t="s">
        <v>132</v>
      </c>
      <c r="AD6" s="56" t="s">
        <v>132</v>
      </c>
      <c r="AE6" s="56" t="s">
        <v>132</v>
      </c>
      <c r="AF6" s="56" t="s">
        <v>132</v>
      </c>
      <c r="AG6" s="56" t="s">
        <v>132</v>
      </c>
      <c r="AH6" s="56" t="s">
        <v>132</v>
      </c>
      <c r="AI6" s="56" t="s">
        <v>132</v>
      </c>
      <c r="AJ6" s="56" t="s">
        <v>132</v>
      </c>
      <c r="AK6" s="56" t="s">
        <v>132</v>
      </c>
      <c r="AL6" s="56" t="s">
        <v>132</v>
      </c>
      <c r="AM6" s="56" t="s">
        <v>132</v>
      </c>
    </row>
    <row r="7" customFormat="false" ht="21" hidden="false" customHeight="true" outlineLevel="0" collapsed="false">
      <c r="C7" s="63"/>
      <c r="D7" s="73" t="n">
        <v>46053</v>
      </c>
      <c r="E7" s="73" t="n">
        <v>46081</v>
      </c>
      <c r="F7" s="73" t="n">
        <v>46112</v>
      </c>
      <c r="G7" s="73" t="n">
        <v>46142</v>
      </c>
      <c r="H7" s="73" t="n">
        <v>46173</v>
      </c>
      <c r="I7" s="73" t="n">
        <v>46203</v>
      </c>
      <c r="J7" s="73" t="n">
        <v>46234</v>
      </c>
      <c r="K7" s="73" t="n">
        <v>46265</v>
      </c>
      <c r="L7" s="73" t="n">
        <v>46295</v>
      </c>
      <c r="M7" s="73" t="n">
        <v>46326</v>
      </c>
      <c r="N7" s="73" t="n">
        <v>46356</v>
      </c>
      <c r="O7" s="73" t="n">
        <v>46387</v>
      </c>
      <c r="P7" s="73" t="n">
        <v>46418</v>
      </c>
      <c r="Q7" s="73" t="n">
        <v>46446</v>
      </c>
      <c r="R7" s="73" t="n">
        <v>46477</v>
      </c>
      <c r="S7" s="73" t="n">
        <v>46507</v>
      </c>
      <c r="T7" s="73" t="n">
        <v>46538</v>
      </c>
      <c r="U7" s="73" t="n">
        <v>46568</v>
      </c>
      <c r="V7" s="73" t="n">
        <v>46599</v>
      </c>
      <c r="W7" s="73" t="n">
        <v>46630</v>
      </c>
      <c r="X7" s="73" t="n">
        <v>46660</v>
      </c>
      <c r="Y7" s="73" t="n">
        <v>46691</v>
      </c>
      <c r="Z7" s="73" t="n">
        <v>46721</v>
      </c>
      <c r="AA7" s="73" t="n">
        <v>46752</v>
      </c>
      <c r="AB7" s="73" t="n">
        <v>46783</v>
      </c>
      <c r="AC7" s="73" t="n">
        <v>46812</v>
      </c>
      <c r="AD7" s="73" t="n">
        <v>46843</v>
      </c>
      <c r="AE7" s="73" t="n">
        <v>46873</v>
      </c>
      <c r="AF7" s="73" t="n">
        <v>46904</v>
      </c>
      <c r="AG7" s="73" t="n">
        <v>46934</v>
      </c>
      <c r="AH7" s="73" t="n">
        <v>46965</v>
      </c>
      <c r="AI7" s="73" t="n">
        <v>46996</v>
      </c>
      <c r="AJ7" s="73" t="n">
        <v>47026</v>
      </c>
      <c r="AK7" s="73" t="n">
        <v>47057</v>
      </c>
      <c r="AL7" s="73" t="n">
        <v>47087</v>
      </c>
      <c r="AM7" s="73" t="n">
        <v>47118</v>
      </c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</row>
    <row r="9" customFormat="false" ht="21" hidden="false" customHeight="true" outlineLevel="0" collapsed="false">
      <c r="C9" s="56" t="s">
        <v>177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</row>
    <row r="10" customFormat="false" ht="21" hidden="false" customHeight="true" outlineLevel="0" collapsed="false">
      <c r="C10" s="56" t="s">
        <v>178</v>
      </c>
      <c r="D10" s="69"/>
      <c r="E10" s="69"/>
      <c r="F10" s="69"/>
      <c r="G10" s="69"/>
      <c r="H10" s="69"/>
      <c r="I10" s="69"/>
      <c r="J10" s="69" t="n">
        <f aca="false">Receivables!J43</f>
        <v>1119.92375226424</v>
      </c>
      <c r="K10" s="69" t="n">
        <f aca="false">Receivables!K43</f>
        <v>1356.55764443849</v>
      </c>
      <c r="L10" s="69" t="n">
        <f aca="false">Receivables!L43</f>
        <v>1365.13335415435</v>
      </c>
      <c r="M10" s="69" t="n">
        <f aca="false">Receivables!M43</f>
        <v>1347.98193472263</v>
      </c>
      <c r="N10" s="69" t="n">
        <f aca="false">Receivables!N43</f>
        <v>1365.13335415435</v>
      </c>
      <c r="O10" s="69" t="n">
        <f aca="false">Receivables!O43</f>
        <v>1347.98193472263</v>
      </c>
      <c r="P10" s="69" t="n">
        <f aca="false">Receivables!P43</f>
        <v>1466.34277359448</v>
      </c>
      <c r="Q10" s="69" t="n">
        <f aca="false">Receivables!Q43</f>
        <v>1478.28114093707</v>
      </c>
      <c r="R10" s="69" t="n">
        <f aca="false">Receivables!R43</f>
        <v>1419.40123914511</v>
      </c>
      <c r="S10" s="69" t="n">
        <f aca="false">Receivables!S43</f>
        <v>1458.00028587539</v>
      </c>
      <c r="T10" s="69" t="n">
        <f aca="false">Receivables!T43</f>
        <v>1439.68209420678</v>
      </c>
      <c r="U10" s="69" t="n">
        <f aca="false">Receivables!U43</f>
        <v>1458.00028587539</v>
      </c>
      <c r="V10" s="69" t="n">
        <f aca="false">Receivables!V43</f>
        <v>1388.45068040717</v>
      </c>
      <c r="W10" s="69" t="n">
        <f aca="false">Receivables!W43</f>
        <v>1405.7769194244</v>
      </c>
      <c r="X10" s="69" t="n">
        <f aca="false">Receivables!X43</f>
        <v>1414.66377715261</v>
      </c>
      <c r="Y10" s="69" t="n">
        <f aca="false">Receivables!Y43</f>
        <v>1396.89006169619</v>
      </c>
      <c r="Z10" s="69" t="n">
        <f aca="false">Receivables!Z43</f>
        <v>1414.66377715261</v>
      </c>
      <c r="AA10" s="69" t="n">
        <f aca="false">Receivables!AA43</f>
        <v>1396.89006169619</v>
      </c>
      <c r="AB10" s="69" t="n">
        <f aca="false">Receivables!AB43</f>
        <v>1519.37490173734</v>
      </c>
      <c r="AC10" s="69" t="n">
        <f aca="false">Receivables!AC43</f>
        <v>1520.90101313729</v>
      </c>
      <c r="AD10" s="69" t="n">
        <f aca="false">Receivables!AD43</f>
        <v>1481.62995825637</v>
      </c>
      <c r="AE10" s="69" t="n">
        <f aca="false">Receivables!AE43</f>
        <v>1510.75599062639</v>
      </c>
      <c r="AF10" s="69" t="n">
        <f aca="false">Receivables!AF43</f>
        <v>1491.77498076727</v>
      </c>
      <c r="AG10" s="69" t="n">
        <f aca="false">Receivables!AG43</f>
        <v>1510.75599062639</v>
      </c>
      <c r="AH10" s="69" t="n">
        <f aca="false">Receivables!AH43</f>
        <v>1439.79793576857</v>
      </c>
      <c r="AI10" s="69" t="n">
        <f aca="false">Receivables!AI43</f>
        <v>1457.57444994999</v>
      </c>
      <c r="AJ10" s="69" t="n">
        <f aca="false">Receivables!AJ43</f>
        <v>1466.78875457115</v>
      </c>
      <c r="AK10" s="69" t="n">
        <f aca="false">Receivables!AK43</f>
        <v>1448.36014532883</v>
      </c>
      <c r="AL10" s="69" t="n">
        <f aca="false">Receivables!AL43</f>
        <v>1466.78875457115</v>
      </c>
      <c r="AM10" s="69" t="n">
        <f aca="false">Receivables!AM43</f>
        <v>1448.36014532883</v>
      </c>
    </row>
    <row r="11" customFormat="false" ht="21" hidden="false" customHeight="true" outlineLevel="0" collapsed="false">
      <c r="C11" s="56" t="s">
        <v>179</v>
      </c>
      <c r="D11" s="69"/>
      <c r="E11" s="69"/>
      <c r="F11" s="69"/>
      <c r="G11" s="69"/>
      <c r="H11" s="69"/>
      <c r="I11" s="69"/>
      <c r="J11" s="69" t="n">
        <f aca="false">Monthly_PL!J24</f>
        <v>16.7478588210529</v>
      </c>
      <c r="K11" s="69" t="n">
        <f aca="false">Monthly_PL!K24</f>
        <v>16.7478588210529</v>
      </c>
      <c r="L11" s="69" t="n">
        <f aca="false">Monthly_PL!L24</f>
        <v>16.7478588210529</v>
      </c>
      <c r="M11" s="69" t="n">
        <f aca="false">Monthly_PL!M24</f>
        <v>16.7478588210529</v>
      </c>
      <c r="N11" s="69" t="n">
        <f aca="false">Monthly_PL!N24</f>
        <v>16.7478588210529</v>
      </c>
      <c r="O11" s="69" t="n">
        <f aca="false">Monthly_PL!O24</f>
        <v>16.7478588210529</v>
      </c>
      <c r="P11" s="69" t="n">
        <f aca="false">Monthly_PL!P24</f>
        <v>17.8871777431753</v>
      </c>
      <c r="Q11" s="69" t="n">
        <f aca="false">Monthly_PL!Q24</f>
        <v>17.8871777431753</v>
      </c>
      <c r="R11" s="69" t="n">
        <f aca="false">Monthly_PL!R24</f>
        <v>17.8871777431753</v>
      </c>
      <c r="S11" s="69" t="n">
        <f aca="false">Monthly_PL!S24</f>
        <v>17.8871777431753</v>
      </c>
      <c r="T11" s="69" t="n">
        <f aca="false">Monthly_PL!T24</f>
        <v>17.8871777431753</v>
      </c>
      <c r="U11" s="69" t="n">
        <f aca="false">Monthly_PL!U24</f>
        <v>17.8871777431753</v>
      </c>
      <c r="V11" s="69" t="n">
        <f aca="false">Monthly_PL!V24</f>
        <v>17.3555126661498</v>
      </c>
      <c r="W11" s="69" t="n">
        <f aca="false">Monthly_PL!W24</f>
        <v>17.3555126661498</v>
      </c>
      <c r="X11" s="69" t="n">
        <f aca="false">Monthly_PL!X24</f>
        <v>17.3555126661498</v>
      </c>
      <c r="Y11" s="69" t="n">
        <f aca="false">Monthly_PL!Y24</f>
        <v>17.3555126661498</v>
      </c>
      <c r="Z11" s="69" t="n">
        <f aca="false">Monthly_PL!Z24</f>
        <v>17.3555126661498</v>
      </c>
      <c r="AA11" s="69" t="n">
        <f aca="false">Monthly_PL!AA24</f>
        <v>17.3555126661498</v>
      </c>
      <c r="AB11" s="69" t="n">
        <f aca="false">Monthly_PL!AB24</f>
        <v>18.5344002965515</v>
      </c>
      <c r="AC11" s="69" t="n">
        <f aca="false">Monthly_PL!AC24</f>
        <v>18.5344002965515</v>
      </c>
      <c r="AD11" s="69" t="n">
        <f aca="false">Monthly_PL!AD24</f>
        <v>18.5344002965515</v>
      </c>
      <c r="AE11" s="69" t="n">
        <f aca="false">Monthly_PL!AE24</f>
        <v>18.5344002965515</v>
      </c>
      <c r="AF11" s="69" t="n">
        <f aca="false">Monthly_PL!AF24</f>
        <v>18.5344002965515</v>
      </c>
      <c r="AG11" s="69" t="n">
        <f aca="false">Monthly_PL!AG24</f>
        <v>18.5344002965515</v>
      </c>
      <c r="AH11" s="69" t="n">
        <f aca="false">Monthly_PL!AH24</f>
        <v>17.9949972704925</v>
      </c>
      <c r="AI11" s="69" t="n">
        <f aca="false">Monthly_PL!AI24</f>
        <v>17.9949972704925</v>
      </c>
      <c r="AJ11" s="69" t="n">
        <f aca="false">Monthly_PL!AJ24</f>
        <v>17.9949972704925</v>
      </c>
      <c r="AK11" s="69" t="n">
        <f aca="false">Monthly_PL!AK24</f>
        <v>17.9949972704925</v>
      </c>
      <c r="AL11" s="69" t="n">
        <f aca="false">Monthly_PL!AL24</f>
        <v>17.9949972704925</v>
      </c>
      <c r="AM11" s="69" t="n">
        <f aca="false">Monthly_PL!AM24</f>
        <v>17.9949972704925</v>
      </c>
    </row>
    <row r="12" customFormat="false" ht="21" hidden="false" customHeight="true" outlineLevel="0" collapsed="false">
      <c r="C12" s="56" t="s">
        <v>180</v>
      </c>
      <c r="D12" s="69"/>
      <c r="E12" s="69"/>
      <c r="F12" s="69"/>
      <c r="G12" s="69"/>
      <c r="H12" s="69"/>
      <c r="I12" s="69"/>
      <c r="J12" s="69" t="n">
        <f aca="false">Funding!J63</f>
        <v>0.615192842140123</v>
      </c>
      <c r="K12" s="69" t="n">
        <f aca="false">Funding!K63</f>
        <v>0.626196465654502</v>
      </c>
      <c r="L12" s="69" t="n">
        <f aca="false">Funding!L63</f>
        <v>0.655485326885371</v>
      </c>
      <c r="M12" s="69" t="n">
        <f aca="false">Funding!M63</f>
        <v>0.689931466810542</v>
      </c>
      <c r="N12" s="69" t="n">
        <f aca="false">Funding!N63</f>
        <v>0.687506014950366</v>
      </c>
      <c r="O12" s="69" t="n">
        <f aca="false">Funding!O63</f>
        <v>0.794463218776199</v>
      </c>
      <c r="P12" s="69" t="n">
        <f aca="false">Funding!P63</f>
        <v>0.785334092580124</v>
      </c>
      <c r="Q12" s="69" t="n">
        <f aca="false">Funding!Q63</f>
        <v>0.810236937107834</v>
      </c>
      <c r="R12" s="69" t="n">
        <f aca="false">Funding!R63</f>
        <v>0.995193975113723</v>
      </c>
      <c r="S12" s="69" t="n">
        <f aca="false">Funding!S63</f>
        <v>0.879826848204811</v>
      </c>
      <c r="T12" s="69" t="n">
        <f aca="false">Funding!T63</f>
        <v>1.03018149459655</v>
      </c>
      <c r="U12" s="69" t="n">
        <f aca="false">Funding!U63</f>
        <v>1.01207822141856</v>
      </c>
      <c r="V12" s="69" t="n">
        <f aca="false">Funding!V63</f>
        <v>0.600184853254669</v>
      </c>
      <c r="W12" s="69" t="n">
        <f aca="false">Funding!W63</f>
        <v>0.600234627815029</v>
      </c>
      <c r="X12" s="69" t="n">
        <f aca="false">Funding!X63</f>
        <v>0.653422637660875</v>
      </c>
      <c r="Y12" s="69" t="n">
        <f aca="false">Funding!Y63</f>
        <v>0.716195107001429</v>
      </c>
      <c r="Z12" s="69" t="n">
        <f aca="false">Funding!Z63</f>
        <v>0.71136262983936</v>
      </c>
      <c r="AA12" s="69" t="n">
        <f aca="false">Funding!AA63</f>
        <v>0.821353255865654</v>
      </c>
      <c r="AB12" s="69" t="n">
        <f aca="false">Funding!AB63</f>
        <v>0.807739828534761</v>
      </c>
      <c r="AC12" s="69" t="n">
        <f aca="false">Funding!AC63</f>
        <v>0.863172138010726</v>
      </c>
      <c r="AD12" s="69" t="n">
        <f aca="false">Funding!AD63</f>
        <v>0.995878606261409</v>
      </c>
      <c r="AE12" s="69" t="n">
        <f aca="false">Funding!AE63</f>
        <v>0.916527960823253</v>
      </c>
      <c r="AF12" s="69" t="n">
        <f aca="false">Funding!AF63</f>
        <v>1.05451149031782</v>
      </c>
      <c r="AG12" s="69" t="n">
        <f aca="false">Funding!AG63</f>
        <v>1.03529739665737</v>
      </c>
      <c r="AH12" s="69" t="n">
        <f aca="false">Funding!AH63</f>
        <v>0.604981849866826</v>
      </c>
      <c r="AI12" s="69" t="n">
        <f aca="false">Funding!AI63</f>
        <v>0.603047147687073</v>
      </c>
      <c r="AJ12" s="69" t="n">
        <f aca="false">Funding!AJ63</f>
        <v>0.656944813303887</v>
      </c>
      <c r="AK12" s="69" t="n">
        <f aca="false">Funding!AK63</f>
        <v>0.720969413330261</v>
      </c>
      <c r="AL12" s="69" t="n">
        <f aca="false">Funding!AL63</f>
        <v>0.714259581484827</v>
      </c>
      <c r="AM12" s="69" t="n">
        <f aca="false">Funding!AM63</f>
        <v>0.826257201528451</v>
      </c>
    </row>
    <row r="13" customFormat="false" ht="21" hidden="false" customHeight="true" outlineLevel="0" collapsed="false">
      <c r="C13" s="56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</row>
    <row r="14" customFormat="false" ht="21" hidden="false" customHeight="true" outlineLevel="0" collapsed="false">
      <c r="C14" s="56" t="s">
        <v>181</v>
      </c>
      <c r="D14" s="69"/>
      <c r="E14" s="69"/>
      <c r="F14" s="69"/>
      <c r="G14" s="69"/>
      <c r="H14" s="69"/>
      <c r="I14" s="69"/>
      <c r="J14" s="69" t="n">
        <f aca="false">-1*Receivables!J27</f>
        <v>-713.102581612166</v>
      </c>
      <c r="K14" s="69" t="n">
        <f aca="false">-1*Receivables!K27</f>
        <v>-653.776347032236</v>
      </c>
      <c r="L14" s="69" t="n">
        <f aca="false">-1*Receivables!L27</f>
        <v>-513.110693956797</v>
      </c>
      <c r="M14" s="69" t="n">
        <f aca="false">-1*Receivables!M27</f>
        <v>-873.198931427477</v>
      </c>
      <c r="N14" s="69" t="n">
        <f aca="false">-1*Receivables!N27</f>
        <v>-416.772084300738</v>
      </c>
      <c r="O14" s="69" t="n">
        <f aca="false">-1*Receivables!O27</f>
        <v>-882.671914689985</v>
      </c>
      <c r="P14" s="69" t="n">
        <f aca="false">-1*Receivables!P27</f>
        <v>-293.671231451604</v>
      </c>
      <c r="Q14" s="69" t="n">
        <f aca="false">-1*Receivables!Q27</f>
        <v>-399.711444387237</v>
      </c>
      <c r="R14" s="69" t="n">
        <f aca="false">-1*Receivables!R27</f>
        <v>-1491.1947573271</v>
      </c>
      <c r="S14" s="69" t="n">
        <f aca="false">-1*Receivables!S27</f>
        <v>-217.296493109406</v>
      </c>
      <c r="T14" s="69" t="n">
        <f aca="false">-1*Receivables!T27</f>
        <v>-981.740624377998</v>
      </c>
      <c r="U14" s="69" t="n">
        <f aca="false">-1*Receivables!U27</f>
        <v>-452.789331703692</v>
      </c>
      <c r="V14" s="69" t="n">
        <f aca="false">-1*Receivables!V27</f>
        <v>-1053.63110024743</v>
      </c>
      <c r="W14" s="69" t="n">
        <f aca="false">-1*Receivables!W27</f>
        <v>-514.94909005408</v>
      </c>
      <c r="X14" s="69" t="n">
        <f aca="false">-1*Receivables!X27</f>
        <v>-557.904345361285</v>
      </c>
      <c r="Y14" s="69" t="n">
        <f aca="false">-1*Receivables!Y27</f>
        <v>-921.924037737718</v>
      </c>
      <c r="Z14" s="69" t="n">
        <f aca="false">-1*Receivables!Z27</f>
        <v>-438.483473628589</v>
      </c>
      <c r="AA14" s="69" t="n">
        <f aca="false">-1*Receivables!AA27</f>
        <v>-931.988723796515</v>
      </c>
      <c r="AB14" s="69" t="n">
        <f aca="false">-1*Receivables!AB27</f>
        <v>-308.294668417411</v>
      </c>
      <c r="AC14" s="69" t="n">
        <f aca="false">-1*Receivables!AC27</f>
        <v>-616.248004312112</v>
      </c>
      <c r="AD14" s="69" t="n">
        <f aca="false">-1*Receivables!AD27</f>
        <v>-1263.99347503372</v>
      </c>
      <c r="AE14" s="69" t="n">
        <f aca="false">-1*Receivables!AE27</f>
        <v>-356.126538789925</v>
      </c>
      <c r="AF14" s="69" t="n">
        <f aca="false">-1*Receivables!AF27</f>
        <v>-1024.21932371089</v>
      </c>
      <c r="AG14" s="69" t="n">
        <f aca="false">-1*Receivables!AG27</f>
        <v>-476.377009080431</v>
      </c>
      <c r="AH14" s="69" t="n">
        <f aca="false">-1*Receivables!AH27</f>
        <v>-1107.88952213524</v>
      </c>
      <c r="AI14" s="69" t="n">
        <f aca="false">-1*Receivables!AI27</f>
        <v>-547.233763020277</v>
      </c>
      <c r="AJ14" s="69" t="n">
        <f aca="false">-1*Receivables!AJ27</f>
        <v>-588.112809324858</v>
      </c>
      <c r="AK14" s="69" t="n">
        <f aca="false">-1*Receivables!AK27</f>
        <v>-974.425137898485</v>
      </c>
      <c r="AL14" s="69" t="n">
        <f aca="false">-1*Receivables!AL27</f>
        <v>-461.666215269466</v>
      </c>
      <c r="AM14" s="69" t="n">
        <f aca="false">-1*Receivables!AM27</f>
        <v>-985.136008315046</v>
      </c>
    </row>
    <row r="15" customFormat="false" ht="21" hidden="false" customHeight="true" outlineLevel="0" collapsed="false">
      <c r="C15" s="56" t="s">
        <v>182</v>
      </c>
      <c r="D15" s="69"/>
      <c r="E15" s="69"/>
      <c r="F15" s="69"/>
      <c r="G15" s="69"/>
      <c r="H15" s="69"/>
      <c r="I15" s="69"/>
      <c r="J15" s="69" t="n">
        <f aca="false">-1*Production!J87</f>
        <v>-47.012985556425</v>
      </c>
      <c r="K15" s="69" t="n">
        <f aca="false">-1*Production!K87</f>
        <v>-47.012985556425</v>
      </c>
      <c r="L15" s="69" t="n">
        <f aca="false">-1*Production!L87</f>
        <v>-47.012985556425</v>
      </c>
      <c r="M15" s="69" t="n">
        <f aca="false">-1*Production!M87</f>
        <v>-47.012985556425</v>
      </c>
      <c r="N15" s="69" t="n">
        <f aca="false">-1*Production!N87</f>
        <v>-47.012985556425</v>
      </c>
      <c r="O15" s="69" t="n">
        <f aca="false">-1*Production!O87</f>
        <v>-47.012985556425</v>
      </c>
      <c r="P15" s="69" t="n">
        <f aca="false">-1*Production!P87</f>
        <v>-48.4233751231178</v>
      </c>
      <c r="Q15" s="69" t="n">
        <f aca="false">-1*Production!Q87</f>
        <v>-48.4233751231178</v>
      </c>
      <c r="R15" s="69" t="n">
        <f aca="false">-1*Production!R87</f>
        <v>-48.4233751231178</v>
      </c>
      <c r="S15" s="69" t="n">
        <f aca="false">-1*Production!S87</f>
        <v>-48.4233751231178</v>
      </c>
      <c r="T15" s="69" t="n">
        <f aca="false">-1*Production!T87</f>
        <v>-48.4233751231178</v>
      </c>
      <c r="U15" s="69" t="n">
        <f aca="false">-1*Production!U87</f>
        <v>-48.4233751231178</v>
      </c>
      <c r="V15" s="69" t="n">
        <f aca="false">-1*Production!V87</f>
        <v>-48.4233751231178</v>
      </c>
      <c r="W15" s="69" t="n">
        <f aca="false">-1*Production!W87</f>
        <v>-48.4233751231178</v>
      </c>
      <c r="X15" s="69" t="n">
        <f aca="false">-1*Production!X87</f>
        <v>-48.4233751231178</v>
      </c>
      <c r="Y15" s="69" t="n">
        <f aca="false">-1*Production!Y87</f>
        <v>-48.4233751231178</v>
      </c>
      <c r="Z15" s="69" t="n">
        <f aca="false">-1*Production!Z87</f>
        <v>-48.4233751231178</v>
      </c>
      <c r="AA15" s="69" t="n">
        <f aca="false">-1*Production!AA87</f>
        <v>-48.4233751231178</v>
      </c>
      <c r="AB15" s="69" t="n">
        <f aca="false">-1*Production!AB87</f>
        <v>-49.8760763768113</v>
      </c>
      <c r="AC15" s="69" t="n">
        <f aca="false">-1*Production!AC87</f>
        <v>-49.8760763768113</v>
      </c>
      <c r="AD15" s="69" t="n">
        <f aca="false">-1*Production!AD87</f>
        <v>-49.8760763768113</v>
      </c>
      <c r="AE15" s="69" t="n">
        <f aca="false">-1*Production!AE87</f>
        <v>-49.8760763768113</v>
      </c>
      <c r="AF15" s="69" t="n">
        <f aca="false">-1*Production!AF87</f>
        <v>-49.8760763768113</v>
      </c>
      <c r="AG15" s="69" t="n">
        <f aca="false">-1*Production!AG87</f>
        <v>-49.8760763768113</v>
      </c>
      <c r="AH15" s="69" t="n">
        <f aca="false">-1*Production!AH87</f>
        <v>-49.8760763768113</v>
      </c>
      <c r="AI15" s="69" t="n">
        <f aca="false">-1*Production!AI87</f>
        <v>-49.8760763768113</v>
      </c>
      <c r="AJ15" s="69" t="n">
        <f aca="false">-1*Production!AJ87</f>
        <v>-49.8760763768113</v>
      </c>
      <c r="AK15" s="69" t="n">
        <f aca="false">-1*Production!AK87</f>
        <v>-49.8760763768113</v>
      </c>
      <c r="AL15" s="69" t="n">
        <f aca="false">-1*Production!AL87</f>
        <v>-49.8760763768113</v>
      </c>
      <c r="AM15" s="69" t="n">
        <f aca="false">-1*Production!AM87</f>
        <v>-49.8760763768113</v>
      </c>
    </row>
    <row r="16" customFormat="false" ht="21" hidden="false" customHeight="true" outlineLevel="0" collapsed="false">
      <c r="C16" s="56" t="s">
        <v>183</v>
      </c>
      <c r="D16" s="69"/>
      <c r="E16" s="69"/>
      <c r="F16" s="69"/>
      <c r="G16" s="69"/>
      <c r="H16" s="69"/>
      <c r="I16" s="69"/>
      <c r="J16" s="69" t="n">
        <f aca="false">-1*Production!J86</f>
        <v>-69.5549709454397</v>
      </c>
      <c r="K16" s="69" t="n">
        <f aca="false">-1*Production!K86</f>
        <v>-69.4408849468367</v>
      </c>
      <c r="L16" s="69" t="n">
        <f aca="false">-1*Production!L86</f>
        <v>-71.2725143305521</v>
      </c>
      <c r="M16" s="69" t="n">
        <f aca="false">-1*Production!M86</f>
        <v>-67.6092555631214</v>
      </c>
      <c r="N16" s="69" t="n">
        <f aca="false">-1*Production!N86</f>
        <v>-71.2725143305521</v>
      </c>
      <c r="O16" s="69" t="n">
        <f aca="false">-1*Production!O86</f>
        <v>-67.6092555631214</v>
      </c>
      <c r="P16" s="69" t="n">
        <f aca="false">-1*Production!P86</f>
        <v>-79.0916123992814</v>
      </c>
      <c r="Q16" s="69" t="n">
        <f aca="false">-1*Production!Q86</f>
        <v>-81.8380983319189</v>
      </c>
      <c r="R16" s="69" t="n">
        <f aca="false">-1*Production!R86</f>
        <v>-69.0457687617464</v>
      </c>
      <c r="S16" s="69" t="n">
        <f aca="false">-1*Production!S86</f>
        <v>-77.4318514799706</v>
      </c>
      <c r="T16" s="69" t="n">
        <f aca="false">-1*Production!T86</f>
        <v>-73.4520156136947</v>
      </c>
      <c r="U16" s="69" t="n">
        <f aca="false">-1*Production!U86</f>
        <v>-77.4318514799706</v>
      </c>
      <c r="V16" s="69" t="n">
        <f aca="false">-1*Production!V86</f>
        <v>-69.9302054708377</v>
      </c>
      <c r="W16" s="69" t="n">
        <f aca="false">-1*Production!W86</f>
        <v>-73.2365552175785</v>
      </c>
      <c r="X16" s="69" t="n">
        <f aca="false">-1*Production!X86</f>
        <v>-75.182592090263</v>
      </c>
      <c r="Y16" s="69" t="n">
        <f aca="false">-1*Production!Y86</f>
        <v>-71.290518344894</v>
      </c>
      <c r="Z16" s="69" t="n">
        <f aca="false">-1*Production!Z86</f>
        <v>-75.182592090263</v>
      </c>
      <c r="AA16" s="69" t="n">
        <f aca="false">-1*Production!AA86</f>
        <v>-71.290518344894</v>
      </c>
      <c r="AB16" s="69" t="n">
        <f aca="false">-1*Production!AB86</f>
        <v>-83.4432694560776</v>
      </c>
      <c r="AC16" s="69" t="n">
        <f aca="false">-1*Production!AC86</f>
        <v>-83.9398565392606</v>
      </c>
      <c r="AD16" s="69" t="n">
        <f aca="false">-1*Production!AD86</f>
        <v>-75.191391173192</v>
      </c>
      <c r="AE16" s="69" t="n">
        <f aca="false">-1*Production!AE86</f>
        <v>-81.6798363196929</v>
      </c>
      <c r="AF16" s="69" t="n">
        <f aca="false">-1*Production!AF86</f>
        <v>-77.4514113927597</v>
      </c>
      <c r="AG16" s="69" t="n">
        <f aca="false">-1*Production!AG86</f>
        <v>-81.6798363196929</v>
      </c>
      <c r="AH16" s="69" t="n">
        <f aca="false">-1*Production!AH86</f>
        <v>-73.9043190628131</v>
      </c>
      <c r="AI16" s="69" t="n">
        <f aca="false">-1*Production!AI86</f>
        <v>-77.3155494402163</v>
      </c>
      <c r="AJ16" s="69" t="n">
        <f aca="false">-1*Production!AJ86</f>
        <v>-79.3865279732183</v>
      </c>
      <c r="AK16" s="69" t="n">
        <f aca="false">-1*Production!AK86</f>
        <v>-75.2445709072143</v>
      </c>
      <c r="AL16" s="69" t="n">
        <f aca="false">-1*Production!AL86</f>
        <v>-79.3865279732183</v>
      </c>
      <c r="AM16" s="69" t="n">
        <f aca="false">-1*Production!AM86</f>
        <v>-75.2445709072143</v>
      </c>
    </row>
    <row r="17" customFormat="false" ht="21" hidden="false" customHeight="true" outlineLevel="0" collapsed="false">
      <c r="C17" s="56" t="s">
        <v>184</v>
      </c>
      <c r="D17" s="69"/>
      <c r="E17" s="69"/>
      <c r="F17" s="69"/>
      <c r="G17" s="69"/>
      <c r="H17" s="69"/>
      <c r="I17" s="69"/>
      <c r="J17" s="69" t="n">
        <f aca="false">-1*Inventory!J17</f>
        <v>-0</v>
      </c>
      <c r="K17" s="69" t="n">
        <f aca="false">-1*Inventory!K17</f>
        <v>-0</v>
      </c>
      <c r="L17" s="69" t="n">
        <f aca="false">-1*Inventory!L17</f>
        <v>-0</v>
      </c>
      <c r="M17" s="69" t="n">
        <f aca="false">-1*Inventory!M17</f>
        <v>-0</v>
      </c>
      <c r="N17" s="69" t="n">
        <f aca="false">-1*Inventory!N17</f>
        <v>-0</v>
      </c>
      <c r="O17" s="69" t="n">
        <f aca="false">-1*Inventory!O17</f>
        <v>-0</v>
      </c>
      <c r="P17" s="69" t="n">
        <f aca="false">-1*Inventory!P17</f>
        <v>-0</v>
      </c>
      <c r="Q17" s="69" t="n">
        <f aca="false">-1*Inventory!Q17</f>
        <v>-0</v>
      </c>
      <c r="R17" s="69" t="n">
        <f aca="false">-1*Inventory!R17</f>
        <v>-0</v>
      </c>
      <c r="S17" s="69" t="n">
        <f aca="false">-1*Inventory!S17</f>
        <v>-0</v>
      </c>
      <c r="T17" s="69" t="n">
        <f aca="false">-1*Inventory!T17</f>
        <v>-0</v>
      </c>
      <c r="U17" s="69" t="n">
        <f aca="false">-1*Inventory!U17</f>
        <v>-0</v>
      </c>
      <c r="V17" s="69" t="n">
        <f aca="false">-1*Inventory!V17</f>
        <v>-0</v>
      </c>
      <c r="W17" s="69" t="n">
        <f aca="false">-1*Inventory!W17</f>
        <v>-0</v>
      </c>
      <c r="X17" s="69" t="n">
        <f aca="false">-1*Inventory!X17</f>
        <v>-0</v>
      </c>
      <c r="Y17" s="69" t="n">
        <f aca="false">-1*Inventory!Y17</f>
        <v>-0</v>
      </c>
      <c r="Z17" s="69" t="n">
        <f aca="false">-1*Inventory!Z17</f>
        <v>-0</v>
      </c>
      <c r="AA17" s="69" t="n">
        <f aca="false">-1*Inventory!AA17</f>
        <v>-0</v>
      </c>
      <c r="AB17" s="69" t="n">
        <f aca="false">-1*Inventory!AB17</f>
        <v>-0</v>
      </c>
      <c r="AC17" s="69" t="n">
        <f aca="false">-1*Inventory!AC17</f>
        <v>-0</v>
      </c>
      <c r="AD17" s="69" t="n">
        <f aca="false">-1*Inventory!AD17</f>
        <v>-0</v>
      </c>
      <c r="AE17" s="69" t="n">
        <f aca="false">-1*Inventory!AE17</f>
        <v>-0</v>
      </c>
      <c r="AF17" s="69" t="n">
        <f aca="false">-1*Inventory!AF17</f>
        <v>-0</v>
      </c>
      <c r="AG17" s="69" t="n">
        <f aca="false">-1*Inventory!AG17</f>
        <v>-0</v>
      </c>
      <c r="AH17" s="69" t="n">
        <f aca="false">-1*Inventory!AH17</f>
        <v>-0</v>
      </c>
      <c r="AI17" s="69" t="n">
        <f aca="false">-1*Inventory!AI17</f>
        <v>-0</v>
      </c>
      <c r="AJ17" s="69" t="n">
        <f aca="false">-1*Inventory!AJ17</f>
        <v>-0</v>
      </c>
      <c r="AK17" s="69" t="n">
        <f aca="false">-1*Inventory!AK17</f>
        <v>-0</v>
      </c>
      <c r="AL17" s="69" t="n">
        <f aca="false">-1*Inventory!AL17</f>
        <v>-0</v>
      </c>
      <c r="AM17" s="69" t="n">
        <f aca="false">-1*Inventory!AM17</f>
        <v>-0</v>
      </c>
    </row>
    <row r="18" customFormat="false" ht="21" hidden="false" customHeight="true" outlineLevel="0" collapsed="false">
      <c r="C18" s="56" t="s">
        <v>185</v>
      </c>
      <c r="D18" s="69"/>
      <c r="E18" s="69"/>
      <c r="F18" s="69"/>
      <c r="G18" s="69"/>
      <c r="H18" s="69"/>
      <c r="I18" s="69"/>
      <c r="J18" s="69" t="n">
        <f aca="false">-1*ExpenseDetail!J60</f>
        <v>-201.940139050131</v>
      </c>
      <c r="K18" s="69" t="n">
        <f aca="false">-1*ExpenseDetail!K60</f>
        <v>-201.940139050131</v>
      </c>
      <c r="L18" s="69" t="n">
        <f aca="false">-1*ExpenseDetail!L60</f>
        <v>-201.940139050131</v>
      </c>
      <c r="M18" s="69" t="n">
        <f aca="false">-1*ExpenseDetail!M60</f>
        <v>-201.940139050131</v>
      </c>
      <c r="N18" s="69" t="n">
        <f aca="false">-1*ExpenseDetail!N60</f>
        <v>-201.940139050131</v>
      </c>
      <c r="O18" s="69" t="n">
        <f aca="false">-1*ExpenseDetail!O60</f>
        <v>-201.940139050131</v>
      </c>
      <c r="P18" s="69" t="n">
        <f aca="false">-1*ExpenseDetail!P60</f>
        <v>-209.722094170328</v>
      </c>
      <c r="Q18" s="69" t="n">
        <f aca="false">-1*ExpenseDetail!Q60</f>
        <v>-209.722094170328</v>
      </c>
      <c r="R18" s="69" t="n">
        <f aca="false">-1*ExpenseDetail!R60</f>
        <v>-209.722094170328</v>
      </c>
      <c r="S18" s="69" t="n">
        <f aca="false">-1*ExpenseDetail!S60</f>
        <v>-209.722094170328</v>
      </c>
      <c r="T18" s="69" t="n">
        <f aca="false">-1*ExpenseDetail!T60</f>
        <v>-209.722094170328</v>
      </c>
      <c r="U18" s="69" t="n">
        <f aca="false">-1*ExpenseDetail!U60</f>
        <v>-209.722094170328</v>
      </c>
      <c r="V18" s="69" t="n">
        <f aca="false">-1*ExpenseDetail!V60</f>
        <v>-207.755279147743</v>
      </c>
      <c r="W18" s="69" t="n">
        <f aca="false">-1*ExpenseDetail!W60</f>
        <v>-207.755279147743</v>
      </c>
      <c r="X18" s="69" t="n">
        <f aca="false">-1*ExpenseDetail!X60</f>
        <v>-207.755279147743</v>
      </c>
      <c r="Y18" s="69" t="n">
        <f aca="false">-1*ExpenseDetail!Y60</f>
        <v>-207.755279147743</v>
      </c>
      <c r="Z18" s="69" t="n">
        <f aca="false">-1*ExpenseDetail!Z60</f>
        <v>-207.755279147743</v>
      </c>
      <c r="AA18" s="69" t="n">
        <f aca="false">-1*ExpenseDetail!AA60</f>
        <v>-207.755279147743</v>
      </c>
      <c r="AB18" s="69" t="n">
        <f aca="false">-1*ExpenseDetail!AB60</f>
        <v>-215.787120186732</v>
      </c>
      <c r="AC18" s="69" t="n">
        <f aca="false">-1*ExpenseDetail!AC60</f>
        <v>-215.787120186732</v>
      </c>
      <c r="AD18" s="69" t="n">
        <f aca="false">-1*ExpenseDetail!AD60</f>
        <v>-215.787120186732</v>
      </c>
      <c r="AE18" s="69" t="n">
        <f aca="false">-1*ExpenseDetail!AE60</f>
        <v>-215.787120186732</v>
      </c>
      <c r="AF18" s="69" t="n">
        <f aca="false">-1*ExpenseDetail!AF60</f>
        <v>-215.787120186732</v>
      </c>
      <c r="AG18" s="69" t="n">
        <f aca="false">-1*ExpenseDetail!AG60</f>
        <v>-215.787120186732</v>
      </c>
      <c r="AH18" s="69" t="n">
        <f aca="false">-1*ExpenseDetail!AH60</f>
        <v>-213.791679785011</v>
      </c>
      <c r="AI18" s="69" t="n">
        <f aca="false">-1*ExpenseDetail!AI60</f>
        <v>-213.791679785011</v>
      </c>
      <c r="AJ18" s="69" t="n">
        <f aca="false">-1*ExpenseDetail!AJ60</f>
        <v>-213.791679785011</v>
      </c>
      <c r="AK18" s="69" t="n">
        <f aca="false">-1*ExpenseDetail!AK60</f>
        <v>-213.791679785011</v>
      </c>
      <c r="AL18" s="69" t="n">
        <f aca="false">-1*ExpenseDetail!AL60</f>
        <v>-213.791679785011</v>
      </c>
      <c r="AM18" s="69" t="n">
        <f aca="false">-1*ExpenseDetail!AM60</f>
        <v>-213.791679785011</v>
      </c>
    </row>
    <row r="19" customFormat="false" ht="21" hidden="false" customHeight="true" outlineLevel="0" collapsed="false">
      <c r="C19" s="56" t="s">
        <v>186</v>
      </c>
      <c r="D19" s="69"/>
      <c r="E19" s="69"/>
      <c r="F19" s="69"/>
      <c r="G19" s="69"/>
      <c r="H19" s="69"/>
      <c r="I19" s="69"/>
      <c r="J19" s="69" t="n">
        <f aca="false">-1*ExpenseDetail!J61</f>
        <v>-12.9955369947422</v>
      </c>
      <c r="K19" s="69" t="n">
        <f aca="false">-1*ExpenseDetail!K61</f>
        <v>-12.9955369947422</v>
      </c>
      <c r="L19" s="69" t="n">
        <f aca="false">-1*ExpenseDetail!L61</f>
        <v>-12.9955369947422</v>
      </c>
      <c r="M19" s="69" t="n">
        <f aca="false">-1*ExpenseDetail!M61</f>
        <v>-12.9955369947422</v>
      </c>
      <c r="N19" s="69" t="n">
        <f aca="false">-1*ExpenseDetail!N61</f>
        <v>-12.9955369947422</v>
      </c>
      <c r="O19" s="69" t="n">
        <f aca="false">-1*ExpenseDetail!O61</f>
        <v>-12.9955369947422</v>
      </c>
      <c r="P19" s="69" t="n">
        <f aca="false">-1*ExpenseDetail!P61</f>
        <v>-13.8795939574531</v>
      </c>
      <c r="Q19" s="69" t="n">
        <f aca="false">-1*ExpenseDetail!Q61</f>
        <v>-13.8795939574531</v>
      </c>
      <c r="R19" s="69" t="n">
        <f aca="false">-1*ExpenseDetail!R61</f>
        <v>-13.8795939574531</v>
      </c>
      <c r="S19" s="69" t="n">
        <f aca="false">-1*ExpenseDetail!S61</f>
        <v>-13.8795939574531</v>
      </c>
      <c r="T19" s="69" t="n">
        <f aca="false">-1*ExpenseDetail!T61</f>
        <v>-13.8795939574531</v>
      </c>
      <c r="U19" s="69" t="n">
        <f aca="false">-1*ExpenseDetail!U61</f>
        <v>-13.8795939574531</v>
      </c>
      <c r="V19" s="69" t="n">
        <f aca="false">-1*ExpenseDetail!V61</f>
        <v>-13.4670472999298</v>
      </c>
      <c r="W19" s="69" t="n">
        <f aca="false">-1*ExpenseDetail!W61</f>
        <v>-13.4670472999298</v>
      </c>
      <c r="X19" s="69" t="n">
        <f aca="false">-1*ExpenseDetail!X61</f>
        <v>-13.4670472999298</v>
      </c>
      <c r="Y19" s="69" t="n">
        <f aca="false">-1*ExpenseDetail!Y61</f>
        <v>-13.4670472999298</v>
      </c>
      <c r="Z19" s="69" t="n">
        <f aca="false">-1*ExpenseDetail!Z61</f>
        <v>-13.4670472999298</v>
      </c>
      <c r="AA19" s="69" t="n">
        <f aca="false">-1*ExpenseDetail!AA61</f>
        <v>-13.4670472999298</v>
      </c>
      <c r="AB19" s="69" t="n">
        <f aca="false">-1*ExpenseDetail!AB61</f>
        <v>-14.3818076867484</v>
      </c>
      <c r="AC19" s="69" t="n">
        <f aca="false">-1*ExpenseDetail!AC61</f>
        <v>-14.3818076867484</v>
      </c>
      <c r="AD19" s="69" t="n">
        <f aca="false">-1*ExpenseDetail!AD61</f>
        <v>-14.3818076867484</v>
      </c>
      <c r="AE19" s="69" t="n">
        <f aca="false">-1*ExpenseDetail!AE61</f>
        <v>-14.3818076867484</v>
      </c>
      <c r="AF19" s="69" t="n">
        <f aca="false">-1*ExpenseDetail!AF61</f>
        <v>-14.3818076867484</v>
      </c>
      <c r="AG19" s="69" t="n">
        <f aca="false">-1*ExpenseDetail!AG61</f>
        <v>-14.3818076867484</v>
      </c>
      <c r="AH19" s="69" t="n">
        <f aca="false">-1*ExpenseDetail!AH61</f>
        <v>-13.9632567510661</v>
      </c>
      <c r="AI19" s="69" t="n">
        <f aca="false">-1*ExpenseDetail!AI61</f>
        <v>-13.9632567510661</v>
      </c>
      <c r="AJ19" s="69" t="n">
        <f aca="false">-1*ExpenseDetail!AJ61</f>
        <v>-13.9632567510661</v>
      </c>
      <c r="AK19" s="69" t="n">
        <f aca="false">-1*ExpenseDetail!AK61</f>
        <v>-13.9632567510661</v>
      </c>
      <c r="AL19" s="69" t="n">
        <f aca="false">-1*ExpenseDetail!AL61</f>
        <v>-13.9632567510661</v>
      </c>
      <c r="AM19" s="69" t="n">
        <f aca="false">-1*ExpenseDetail!AM61</f>
        <v>-13.9632567510661</v>
      </c>
    </row>
    <row r="20" customFormat="false" ht="21" hidden="false" customHeight="true" outlineLevel="0" collapsed="false">
      <c r="C20" s="56" t="s">
        <v>187</v>
      </c>
      <c r="D20" s="69"/>
      <c r="E20" s="69"/>
      <c r="F20" s="69"/>
      <c r="G20" s="69"/>
      <c r="H20" s="69"/>
      <c r="I20" s="69"/>
      <c r="J20" s="69" t="n">
        <f aca="false">-1*ExpenseDetail!J62</f>
        <v>-0.458753386620674</v>
      </c>
      <c r="K20" s="69" t="n">
        <f aca="false">-1*ExpenseDetail!K62</f>
        <v>-0.458753386620674</v>
      </c>
      <c r="L20" s="69" t="n">
        <f aca="false">-1*ExpenseDetail!L62</f>
        <v>-0.458753386620674</v>
      </c>
      <c r="M20" s="69" t="n">
        <f aca="false">-1*ExpenseDetail!M62</f>
        <v>-0.458753386620674</v>
      </c>
      <c r="N20" s="69" t="n">
        <f aca="false">-1*ExpenseDetail!N62</f>
        <v>-0.458753386620674</v>
      </c>
      <c r="O20" s="69" t="n">
        <f aca="false">-1*ExpenseDetail!O62</f>
        <v>-0.458753386620674</v>
      </c>
      <c r="P20" s="69" t="n">
        <f aca="false">-1*ExpenseDetail!P62</f>
        <v>-2.86424725498719</v>
      </c>
      <c r="Q20" s="69" t="n">
        <f aca="false">-1*ExpenseDetail!Q62</f>
        <v>-2.86424725498719</v>
      </c>
      <c r="R20" s="69" t="n">
        <f aca="false">-1*ExpenseDetail!R62</f>
        <v>-2.86424725498719</v>
      </c>
      <c r="S20" s="69" t="n">
        <f aca="false">-1*ExpenseDetail!S62</f>
        <v>-2.86424725498719</v>
      </c>
      <c r="T20" s="69" t="n">
        <f aca="false">-1*ExpenseDetail!T62</f>
        <v>-2.86424725498719</v>
      </c>
      <c r="U20" s="69" t="n">
        <f aca="false">-1*ExpenseDetail!U62</f>
        <v>-2.86424725498719</v>
      </c>
      <c r="V20" s="69" t="n">
        <f aca="false">-1*ExpenseDetail!V62</f>
        <v>-0.458753386620674</v>
      </c>
      <c r="W20" s="69" t="n">
        <f aca="false">-1*ExpenseDetail!W62</f>
        <v>-0.458753386620674</v>
      </c>
      <c r="X20" s="69" t="n">
        <f aca="false">-1*ExpenseDetail!X62</f>
        <v>-0.458753386620674</v>
      </c>
      <c r="Y20" s="69" t="n">
        <f aca="false">-1*ExpenseDetail!Y62</f>
        <v>-0.458753386620674</v>
      </c>
      <c r="Z20" s="69" t="n">
        <f aca="false">-1*ExpenseDetail!Z62</f>
        <v>-0.458753386620674</v>
      </c>
      <c r="AA20" s="69" t="n">
        <f aca="false">-1*ExpenseDetail!AA62</f>
        <v>-0.458753386620674</v>
      </c>
      <c r="AB20" s="69" t="n">
        <f aca="false">-1*ExpenseDetail!AB62</f>
        <v>-2.86424725498719</v>
      </c>
      <c r="AC20" s="69" t="n">
        <f aca="false">-1*ExpenseDetail!AC62</f>
        <v>-2.86424725498719</v>
      </c>
      <c r="AD20" s="69" t="n">
        <f aca="false">-1*ExpenseDetail!AD62</f>
        <v>-2.86424725498719</v>
      </c>
      <c r="AE20" s="69" t="n">
        <f aca="false">-1*ExpenseDetail!AE62</f>
        <v>-2.86424725498719</v>
      </c>
      <c r="AF20" s="69" t="n">
        <f aca="false">-1*ExpenseDetail!AF62</f>
        <v>-2.86424725498719</v>
      </c>
      <c r="AG20" s="69" t="n">
        <f aca="false">-1*ExpenseDetail!AG62</f>
        <v>-2.86424725498719</v>
      </c>
      <c r="AH20" s="69" t="n">
        <f aca="false">-1*ExpenseDetail!AH62</f>
        <v>-0.458753386620674</v>
      </c>
      <c r="AI20" s="69" t="n">
        <f aca="false">-1*ExpenseDetail!AI62</f>
        <v>-0.458753386620674</v>
      </c>
      <c r="AJ20" s="69" t="n">
        <f aca="false">-1*ExpenseDetail!AJ62</f>
        <v>-0.458753386620674</v>
      </c>
      <c r="AK20" s="69" t="n">
        <f aca="false">-1*ExpenseDetail!AK62</f>
        <v>-0.458753386620674</v>
      </c>
      <c r="AL20" s="69" t="n">
        <f aca="false">-1*ExpenseDetail!AL62</f>
        <v>-0.458753386620674</v>
      </c>
      <c r="AM20" s="69" t="n">
        <f aca="false">-1*ExpenseDetail!AM62</f>
        <v>-0.458753386620674</v>
      </c>
    </row>
    <row r="21" customFormat="false" ht="21" hidden="false" customHeight="true" outlineLevel="0" collapsed="false">
      <c r="C21" s="56" t="s">
        <v>188</v>
      </c>
      <c r="D21" s="69"/>
      <c r="E21" s="69"/>
      <c r="F21" s="69"/>
      <c r="G21" s="69"/>
      <c r="H21" s="69"/>
      <c r="I21" s="69"/>
      <c r="J21" s="69" t="n">
        <f aca="false">-1*TaxEquity!J12</f>
        <v>-0</v>
      </c>
      <c r="K21" s="69" t="n">
        <f aca="false">-1*TaxEquity!K12</f>
        <v>-0</v>
      </c>
      <c r="L21" s="69" t="n">
        <f aca="false">-1*TaxEquity!L12</f>
        <v>-430.688831749639</v>
      </c>
      <c r="M21" s="69" t="n">
        <f aca="false">-1*TaxEquity!M12</f>
        <v>-0</v>
      </c>
      <c r="N21" s="69" t="n">
        <f aca="false">-1*TaxEquity!N12</f>
        <v>-0</v>
      </c>
      <c r="O21" s="69" t="n">
        <f aca="false">-1*TaxEquity!O12</f>
        <v>-209.162217422887</v>
      </c>
      <c r="P21" s="69" t="n">
        <f aca="false">-1*TaxEquity!P12</f>
        <v>-0</v>
      </c>
      <c r="Q21" s="69" t="n">
        <f aca="false">-1*TaxEquity!Q12</f>
        <v>-0</v>
      </c>
      <c r="R21" s="69" t="n">
        <f aca="false">-1*TaxEquity!R12</f>
        <v>-224.702920523339</v>
      </c>
      <c r="S21" s="69" t="n">
        <f aca="false">-1*TaxEquity!S12</f>
        <v>-0</v>
      </c>
      <c r="T21" s="69" t="n">
        <f aca="false">-1*TaxEquity!T12</f>
        <v>-0</v>
      </c>
      <c r="U21" s="69" t="n">
        <f aca="false">-1*TaxEquity!U12</f>
        <v>-223.949950007191</v>
      </c>
      <c r="V21" s="69" t="n">
        <f aca="false">-1*TaxEquity!V12</f>
        <v>-0</v>
      </c>
      <c r="W21" s="69" t="n">
        <f aca="false">-1*TaxEquity!W12</f>
        <v>-0</v>
      </c>
      <c r="X21" s="69" t="n">
        <f aca="false">-1*TaxEquity!X12</f>
        <v>-213.585367434645</v>
      </c>
      <c r="Y21" s="69" t="n">
        <f aca="false">-1*TaxEquity!Y12</f>
        <v>-0</v>
      </c>
      <c r="Z21" s="69" t="n">
        <f aca="false">-1*TaxEquity!Z12</f>
        <v>-0</v>
      </c>
      <c r="AA21" s="69" t="n">
        <f aca="false">-1*TaxEquity!AA12</f>
        <v>-214.549427451405</v>
      </c>
      <c r="AB21" s="69" t="n">
        <f aca="false">-1*TaxEquity!AB12</f>
        <v>-0</v>
      </c>
      <c r="AC21" s="69" t="n">
        <f aca="false">-1*TaxEquity!AC12</f>
        <v>-0</v>
      </c>
      <c r="AD21" s="69" t="n">
        <f aca="false">-1*TaxEquity!AD12</f>
        <v>-226.435124138512</v>
      </c>
      <c r="AE21" s="69" t="n">
        <f aca="false">-1*TaxEquity!AE12</f>
        <v>-0</v>
      </c>
      <c r="AF21" s="69" t="n">
        <f aca="false">-1*TaxEquity!AF12</f>
        <v>-0</v>
      </c>
      <c r="AG21" s="69" t="n">
        <f aca="false">-1*TaxEquity!AG12</f>
        <v>-225.156273746359</v>
      </c>
      <c r="AH21" s="69" t="n">
        <f aca="false">-1*TaxEquity!AH12</f>
        <v>-0</v>
      </c>
      <c r="AI21" s="69" t="n">
        <f aca="false">-1*TaxEquity!AI12</f>
        <v>-0</v>
      </c>
      <c r="AJ21" s="69" t="n">
        <f aca="false">-1*TaxEquity!AJ12</f>
        <v>-214.248099757831</v>
      </c>
      <c r="AK21" s="69" t="n">
        <f aca="false">-1*TaxEquity!AK12</f>
        <v>-0</v>
      </c>
      <c r="AL21" s="69" t="n">
        <f aca="false">-1*TaxEquity!AL12</f>
        <v>-0</v>
      </c>
      <c r="AM21" s="69" t="n">
        <f aca="false">-1*TaxEquity!AM12</f>
        <v>-214.708625378197</v>
      </c>
    </row>
    <row r="22" customFormat="false" ht="21" hidden="false" customHeight="true" outlineLevel="0" collapsed="false">
      <c r="C22" s="56" t="s">
        <v>189</v>
      </c>
      <c r="D22" s="69"/>
      <c r="E22" s="69"/>
      <c r="F22" s="69"/>
      <c r="G22" s="69"/>
      <c r="H22" s="69"/>
      <c r="I22" s="69"/>
      <c r="J22" s="69" t="n">
        <f aca="false">-1*OtherBalances!J20</f>
        <v>-0</v>
      </c>
      <c r="K22" s="69" t="n">
        <f aca="false">-1*OtherBalances!K20</f>
        <v>-0</v>
      </c>
      <c r="L22" s="69" t="n">
        <f aca="false">-1*OtherBalances!L20</f>
        <v>-0</v>
      </c>
      <c r="M22" s="69" t="n">
        <f aca="false">-1*OtherBalances!M20</f>
        <v>-0</v>
      </c>
      <c r="N22" s="69" t="n">
        <f aca="false">-1*OtherBalances!N20</f>
        <v>-0</v>
      </c>
      <c r="O22" s="69" t="n">
        <f aca="false">-1*OtherBalances!O20</f>
        <v>-0</v>
      </c>
      <c r="P22" s="69" t="n">
        <f aca="false">-1*OtherBalances!P20</f>
        <v>-0</v>
      </c>
      <c r="Q22" s="69" t="n">
        <f aca="false">-1*OtherBalances!Q20</f>
        <v>-0</v>
      </c>
      <c r="R22" s="69" t="n">
        <f aca="false">-1*OtherBalances!R20</f>
        <v>-0</v>
      </c>
      <c r="S22" s="69" t="n">
        <f aca="false">-1*OtherBalances!S20</f>
        <v>-0</v>
      </c>
      <c r="T22" s="69" t="n">
        <f aca="false">-1*OtherBalances!T20</f>
        <v>-0</v>
      </c>
      <c r="U22" s="69" t="n">
        <f aca="false">-1*OtherBalances!U20</f>
        <v>-0</v>
      </c>
      <c r="V22" s="69" t="n">
        <f aca="false">-1*OtherBalances!V20</f>
        <v>-0</v>
      </c>
      <c r="W22" s="69" t="n">
        <f aca="false">-1*OtherBalances!W20</f>
        <v>-0</v>
      </c>
      <c r="X22" s="69" t="n">
        <f aca="false">-1*OtherBalances!X20</f>
        <v>-0</v>
      </c>
      <c r="Y22" s="69" t="n">
        <f aca="false">-1*OtherBalances!Y20</f>
        <v>-0</v>
      </c>
      <c r="Z22" s="69" t="n">
        <f aca="false">-1*OtherBalances!Z20</f>
        <v>-0</v>
      </c>
      <c r="AA22" s="69" t="n">
        <f aca="false">-1*OtherBalances!AA20</f>
        <v>-0</v>
      </c>
      <c r="AB22" s="69" t="n">
        <f aca="false">-1*OtherBalances!AB20</f>
        <v>-0</v>
      </c>
      <c r="AC22" s="69" t="n">
        <f aca="false">-1*OtherBalances!AC20</f>
        <v>-0</v>
      </c>
      <c r="AD22" s="69" t="n">
        <f aca="false">-1*OtherBalances!AD20</f>
        <v>-0</v>
      </c>
      <c r="AE22" s="69" t="n">
        <f aca="false">-1*OtherBalances!AE20</f>
        <v>-0</v>
      </c>
      <c r="AF22" s="69" t="n">
        <f aca="false">-1*OtherBalances!AF20</f>
        <v>-0</v>
      </c>
      <c r="AG22" s="69" t="n">
        <f aca="false">-1*OtherBalances!AG20</f>
        <v>-0</v>
      </c>
      <c r="AH22" s="69" t="n">
        <f aca="false">-1*OtherBalances!AH20</f>
        <v>-0</v>
      </c>
      <c r="AI22" s="69" t="n">
        <f aca="false">-1*OtherBalances!AI20</f>
        <v>-0</v>
      </c>
      <c r="AJ22" s="69" t="n">
        <f aca="false">-1*OtherBalances!AJ20</f>
        <v>-0</v>
      </c>
      <c r="AK22" s="69" t="n">
        <f aca="false">-1*OtherBalances!AK20</f>
        <v>-0</v>
      </c>
      <c r="AL22" s="69" t="n">
        <f aca="false">-1*OtherBalances!AL20</f>
        <v>-0</v>
      </c>
      <c r="AM22" s="69" t="n">
        <f aca="false">-1*OtherBalances!AM20</f>
        <v>-0</v>
      </c>
    </row>
    <row r="23" customFormat="false" ht="21" hidden="false" customHeight="true" outlineLevel="0" collapsed="false">
      <c r="C23" s="56" t="s">
        <v>190</v>
      </c>
      <c r="D23" s="69"/>
      <c r="E23" s="69"/>
      <c r="F23" s="69"/>
      <c r="G23" s="69"/>
      <c r="H23" s="69"/>
      <c r="I23" s="69"/>
      <c r="J23" s="69" t="n">
        <f aca="false">1*OtherBalances!J40</f>
        <v>0</v>
      </c>
      <c r="K23" s="69" t="n">
        <f aca="false">1*OtherBalances!K40</f>
        <v>0</v>
      </c>
      <c r="L23" s="69" t="n">
        <f aca="false">1*OtherBalances!L40</f>
        <v>0</v>
      </c>
      <c r="M23" s="69" t="n">
        <f aca="false">1*OtherBalances!M40</f>
        <v>0</v>
      </c>
      <c r="N23" s="69" t="n">
        <f aca="false">1*OtherBalances!N40</f>
        <v>0</v>
      </c>
      <c r="O23" s="69" t="n">
        <f aca="false">1*OtherBalances!O40</f>
        <v>0</v>
      </c>
      <c r="P23" s="69" t="n">
        <f aca="false">1*OtherBalances!P40</f>
        <v>0</v>
      </c>
      <c r="Q23" s="69" t="n">
        <f aca="false">1*OtherBalances!Q40</f>
        <v>0</v>
      </c>
      <c r="R23" s="69" t="n">
        <f aca="false">1*OtherBalances!R40</f>
        <v>0</v>
      </c>
      <c r="S23" s="69" t="n">
        <f aca="false">1*OtherBalances!S40</f>
        <v>0</v>
      </c>
      <c r="T23" s="69" t="n">
        <f aca="false">1*OtherBalances!T40</f>
        <v>0</v>
      </c>
      <c r="U23" s="69" t="n">
        <f aca="false">1*OtherBalances!U40</f>
        <v>0</v>
      </c>
      <c r="V23" s="69" t="n">
        <f aca="false">1*OtherBalances!V40</f>
        <v>0</v>
      </c>
      <c r="W23" s="69" t="n">
        <f aca="false">1*OtherBalances!W40</f>
        <v>0</v>
      </c>
      <c r="X23" s="69" t="n">
        <f aca="false">1*OtherBalances!X40</f>
        <v>0</v>
      </c>
      <c r="Y23" s="69" t="n">
        <f aca="false">1*OtherBalances!Y40</f>
        <v>0</v>
      </c>
      <c r="Z23" s="69" t="n">
        <f aca="false">1*OtherBalances!Z40</f>
        <v>0</v>
      </c>
      <c r="AA23" s="69" t="n">
        <f aca="false">1*OtherBalances!AA40</f>
        <v>0</v>
      </c>
      <c r="AB23" s="69" t="n">
        <f aca="false">1*OtherBalances!AB40</f>
        <v>0</v>
      </c>
      <c r="AC23" s="69" t="n">
        <f aca="false">1*OtherBalances!AC40</f>
        <v>0</v>
      </c>
      <c r="AD23" s="69" t="n">
        <f aca="false">1*OtherBalances!AD40</f>
        <v>0</v>
      </c>
      <c r="AE23" s="69" t="n">
        <f aca="false">1*OtherBalances!AE40</f>
        <v>0</v>
      </c>
      <c r="AF23" s="69" t="n">
        <f aca="false">1*OtherBalances!AF40</f>
        <v>0</v>
      </c>
      <c r="AG23" s="69" t="n">
        <f aca="false">1*OtherBalances!AG40</f>
        <v>0</v>
      </c>
      <c r="AH23" s="69" t="n">
        <f aca="false">1*OtherBalances!AH40</f>
        <v>0</v>
      </c>
      <c r="AI23" s="69" t="n">
        <f aca="false">1*OtherBalances!AI40</f>
        <v>0</v>
      </c>
      <c r="AJ23" s="69" t="n">
        <f aca="false">1*OtherBalances!AJ40</f>
        <v>0</v>
      </c>
      <c r="AK23" s="69" t="n">
        <f aca="false">1*OtherBalances!AK40</f>
        <v>0</v>
      </c>
      <c r="AL23" s="69" t="n">
        <f aca="false">1*OtherBalances!AL40</f>
        <v>0</v>
      </c>
      <c r="AM23" s="69" t="n">
        <f aca="false">1*OtherBalances!AM40</f>
        <v>0</v>
      </c>
    </row>
    <row r="24" customFormat="false" ht="21" hidden="false" customHeight="true" outlineLevel="0" collapsed="false">
      <c r="C24" s="60" t="s">
        <v>191</v>
      </c>
      <c r="D24" s="70"/>
      <c r="E24" s="70"/>
      <c r="F24" s="70"/>
      <c r="G24" s="70"/>
      <c r="H24" s="70"/>
      <c r="I24" s="70" t="n">
        <f aca="false">H1Data!D104</f>
        <v>2235.88240513</v>
      </c>
      <c r="J24" s="70" t="n">
        <f aca="false">SUM(J10:J23)</f>
        <v>92.2218363819064</v>
      </c>
      <c r="K24" s="70" t="n">
        <f aca="false">SUM(K10:K23)</f>
        <v>388.307052758205</v>
      </c>
      <c r="L24" s="70" t="n">
        <f aca="false">SUM(L10:L23)</f>
        <v>105.057243277379</v>
      </c>
      <c r="M24" s="70" t="n">
        <f aca="false">SUM(M10:M23)</f>
        <v>162.204123031977</v>
      </c>
      <c r="N24" s="70" t="n">
        <f aca="false">SUM(N10:N23)</f>
        <v>632.116705371141</v>
      </c>
      <c r="O24" s="70" t="n">
        <f aca="false">SUM(O10:O23)</f>
        <v>-56.3265459014517</v>
      </c>
      <c r="P24" s="70" t="n">
        <f aca="false">SUM(P10:P23)</f>
        <v>837.363131073469</v>
      </c>
      <c r="Q24" s="70" t="n">
        <f aca="false">SUM(Q10:Q23)</f>
        <v>740.539702392308</v>
      </c>
      <c r="R24" s="70" t="n">
        <f aca="false">SUM(R10:R23)</f>
        <v>-621.549146254676</v>
      </c>
      <c r="S24" s="70" t="n">
        <f aca="false">SUM(S10:S23)</f>
        <v>907.149635371509</v>
      </c>
      <c r="T24" s="70" t="n">
        <f aca="false">SUM(T10:T23)</f>
        <v>128.517502946974</v>
      </c>
      <c r="U24" s="70" t="n">
        <f aca="false">SUM(U10:U23)</f>
        <v>447.839098143245</v>
      </c>
      <c r="V24" s="70" t="n">
        <f aca="false">SUM(V10:V23)</f>
        <v>12.7406172508971</v>
      </c>
      <c r="W24" s="70" t="n">
        <f aca="false">SUM(W10:W23)</f>
        <v>565.442566489296</v>
      </c>
      <c r="X24" s="70" t="n">
        <f aca="false">SUM(X10:X23)</f>
        <v>315.895952612814</v>
      </c>
      <c r="Y24" s="70" t="n">
        <f aca="false">SUM(Y10:Y23)</f>
        <v>151.642758429321</v>
      </c>
      <c r="Z24" s="70" t="n">
        <f aca="false">SUM(Z10:Z23)</f>
        <v>648.960131772333</v>
      </c>
      <c r="AA24" s="70" t="n">
        <f aca="false">SUM(AA10:AA23)</f>
        <v>-72.8661969320164</v>
      </c>
      <c r="AB24" s="70" t="n">
        <f aca="false">SUM(AB10:AB23)</f>
        <v>864.069852483662</v>
      </c>
      <c r="AC24" s="70" t="n">
        <f aca="false">SUM(AC10:AC23)</f>
        <v>557.201473215206</v>
      </c>
      <c r="AD24" s="70" t="n">
        <f aca="false">SUM(AD10:AD23)</f>
        <v>-347.369004691525</v>
      </c>
      <c r="AE24" s="70" t="n">
        <f aca="false">SUM(AE10:AE23)</f>
        <v>809.491292268866</v>
      </c>
      <c r="AF24" s="70" t="n">
        <f aca="false">SUM(AF10:AF23)</f>
        <v>126.783905945214</v>
      </c>
      <c r="AG24" s="70" t="n">
        <f aca="false">SUM(AG10:AG23)</f>
        <v>464.203317667835</v>
      </c>
      <c r="AH24" s="70" t="n">
        <f aca="false">SUM(AH10:AH23)</f>
        <v>-1.48569260862821</v>
      </c>
      <c r="AI24" s="70" t="n">
        <f aca="false">SUM(AI10:AI23)</f>
        <v>573.533415608169</v>
      </c>
      <c r="AJ24" s="70" t="n">
        <f aca="false">SUM(AJ10:AJ23)</f>
        <v>325.603493299535</v>
      </c>
      <c r="AK24" s="70" t="n">
        <f aca="false">SUM(AK10:AK23)</f>
        <v>139.316636907444</v>
      </c>
      <c r="AL24" s="70" t="n">
        <f aca="false">SUM(AL10:AL23)</f>
        <v>666.355501880939</v>
      </c>
      <c r="AM24" s="70" t="n">
        <f aca="false">SUM(AM10:AM23)</f>
        <v>-85.9975710991159</v>
      </c>
    </row>
    <row r="25" customFormat="false" ht="21" hidden="false" customHeight="true" outlineLevel="0" collapsed="false">
      <c r="C25" s="56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</row>
    <row r="26" customFormat="false" ht="21" hidden="false" customHeight="true" outlineLevel="0" collapsed="false">
      <c r="C26" s="56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</row>
    <row r="27" customFormat="false" ht="21" hidden="false" customHeight="true" outlineLevel="0" collapsed="false">
      <c r="C27" s="56" t="s">
        <v>192</v>
      </c>
      <c r="D27" s="69"/>
      <c r="E27" s="69"/>
      <c r="F27" s="69"/>
      <c r="G27" s="69"/>
      <c r="H27" s="69"/>
      <c r="I27" s="69" t="n">
        <f aca="false">-H1Data!D111</f>
        <v>-164.97009367</v>
      </c>
      <c r="J27" s="69" t="n">
        <f aca="false">-1*Assets!J101</f>
        <v>-43.762172146</v>
      </c>
      <c r="K27" s="69" t="n">
        <f aca="false">-1*Assets!K101</f>
        <v>-43.762172146</v>
      </c>
      <c r="L27" s="69" t="n">
        <f aca="false">-1*Assets!L101</f>
        <v>-43.762172146</v>
      </c>
      <c r="M27" s="69" t="n">
        <f aca="false">-1*Assets!M101</f>
        <v>-43.762172146</v>
      </c>
      <c r="N27" s="69" t="n">
        <f aca="false">-1*Assets!N101</f>
        <v>-43.762172146</v>
      </c>
      <c r="O27" s="69" t="n">
        <f aca="false">-1*Assets!O101</f>
        <v>-43.762172146</v>
      </c>
      <c r="P27" s="69" t="n">
        <f aca="false">-1*Assets!P101</f>
        <v>-45.9502807533</v>
      </c>
      <c r="Q27" s="69" t="n">
        <f aca="false">-1*Assets!Q101</f>
        <v>-45.9502807533</v>
      </c>
      <c r="R27" s="69" t="n">
        <f aca="false">-1*Assets!R101</f>
        <v>-45.9502807533</v>
      </c>
      <c r="S27" s="69" t="n">
        <f aca="false">-1*Assets!S101</f>
        <v>-45.9502807533</v>
      </c>
      <c r="T27" s="69" t="n">
        <f aca="false">-1*Assets!T101</f>
        <v>-45.9502807533</v>
      </c>
      <c r="U27" s="69" t="n">
        <f aca="false">-1*Assets!U101</f>
        <v>-45.9502807533</v>
      </c>
      <c r="V27" s="69" t="n">
        <f aca="false">-1*Assets!V101</f>
        <v>-45.9502807533</v>
      </c>
      <c r="W27" s="69" t="n">
        <f aca="false">-1*Assets!W101</f>
        <v>-45.9502807533</v>
      </c>
      <c r="X27" s="69" t="n">
        <f aca="false">-1*Assets!X101</f>
        <v>-45.9502807533</v>
      </c>
      <c r="Y27" s="69" t="n">
        <f aca="false">-1*Assets!Y101</f>
        <v>-45.9502807533</v>
      </c>
      <c r="Z27" s="69" t="n">
        <f aca="false">-1*Assets!Z101</f>
        <v>-45.9502807533</v>
      </c>
      <c r="AA27" s="69" t="n">
        <f aca="false">-1*Assets!AA101</f>
        <v>-45.9502807533</v>
      </c>
      <c r="AB27" s="69" t="n">
        <f aca="false">-1*Assets!AB101</f>
        <v>-48.247794790965</v>
      </c>
      <c r="AC27" s="69" t="n">
        <f aca="false">-1*Assets!AC101</f>
        <v>-48.247794790965</v>
      </c>
      <c r="AD27" s="69" t="n">
        <f aca="false">-1*Assets!AD101</f>
        <v>-48.247794790965</v>
      </c>
      <c r="AE27" s="69" t="n">
        <f aca="false">-1*Assets!AE101</f>
        <v>-48.247794790965</v>
      </c>
      <c r="AF27" s="69" t="n">
        <f aca="false">-1*Assets!AF101</f>
        <v>-48.247794790965</v>
      </c>
      <c r="AG27" s="69" t="n">
        <f aca="false">-1*Assets!AG101</f>
        <v>-48.247794790965</v>
      </c>
      <c r="AH27" s="69" t="n">
        <f aca="false">-1*Assets!AH101</f>
        <v>-48.247794790965</v>
      </c>
      <c r="AI27" s="69" t="n">
        <f aca="false">-1*Assets!AI101</f>
        <v>-48.247794790965</v>
      </c>
      <c r="AJ27" s="69" t="n">
        <f aca="false">-1*Assets!AJ101</f>
        <v>-48.247794790965</v>
      </c>
      <c r="AK27" s="69" t="n">
        <f aca="false">-1*Assets!AK101</f>
        <v>-48.247794790965</v>
      </c>
      <c r="AL27" s="69" t="n">
        <f aca="false">-1*Assets!AL101</f>
        <v>-48.247794790965</v>
      </c>
      <c r="AM27" s="69" t="n">
        <f aca="false">-1*Assets!AM101</f>
        <v>-48.247794790965</v>
      </c>
    </row>
    <row r="28" customFormat="false" ht="21" hidden="false" customHeight="true" outlineLevel="0" collapsed="false">
      <c r="C28" s="56" t="s">
        <v>193</v>
      </c>
      <c r="D28" s="69"/>
      <c r="E28" s="69"/>
      <c r="F28" s="69"/>
      <c r="G28" s="69"/>
      <c r="H28" s="69"/>
      <c r="I28" s="69"/>
      <c r="J28" s="69" t="n">
        <f aca="false">1*Assets!J102</f>
        <v>0</v>
      </c>
      <c r="K28" s="69" t="n">
        <f aca="false">1*Assets!K102</f>
        <v>0</v>
      </c>
      <c r="L28" s="69" t="n">
        <f aca="false">1*Assets!L102</f>
        <v>0</v>
      </c>
      <c r="M28" s="69" t="n">
        <f aca="false">1*Assets!M102</f>
        <v>0</v>
      </c>
      <c r="N28" s="69" t="n">
        <f aca="false">1*Assets!N102</f>
        <v>0</v>
      </c>
      <c r="O28" s="69" t="n">
        <f aca="false">1*Assets!O102</f>
        <v>0</v>
      </c>
      <c r="P28" s="69" t="n">
        <f aca="false">1*Assets!P102</f>
        <v>0</v>
      </c>
      <c r="Q28" s="69" t="n">
        <f aca="false">1*Assets!Q102</f>
        <v>0</v>
      </c>
      <c r="R28" s="69" t="n">
        <f aca="false">1*Assets!R102</f>
        <v>0</v>
      </c>
      <c r="S28" s="69" t="n">
        <f aca="false">1*Assets!S102</f>
        <v>0</v>
      </c>
      <c r="T28" s="69" t="n">
        <f aca="false">1*Assets!T102</f>
        <v>0</v>
      </c>
      <c r="U28" s="69" t="n">
        <f aca="false">1*Assets!U102</f>
        <v>0</v>
      </c>
      <c r="V28" s="69" t="n">
        <f aca="false">1*Assets!V102</f>
        <v>0</v>
      </c>
      <c r="W28" s="69" t="n">
        <f aca="false">1*Assets!W102</f>
        <v>0</v>
      </c>
      <c r="X28" s="69" t="n">
        <f aca="false">1*Assets!X102</f>
        <v>0</v>
      </c>
      <c r="Y28" s="69" t="n">
        <f aca="false">1*Assets!Y102</f>
        <v>0</v>
      </c>
      <c r="Z28" s="69" t="n">
        <f aca="false">1*Assets!Z102</f>
        <v>0</v>
      </c>
      <c r="AA28" s="69" t="n">
        <f aca="false">1*Assets!AA102</f>
        <v>0</v>
      </c>
      <c r="AB28" s="69" t="n">
        <f aca="false">1*Assets!AB102</f>
        <v>0</v>
      </c>
      <c r="AC28" s="69" t="n">
        <f aca="false">1*Assets!AC102</f>
        <v>0</v>
      </c>
      <c r="AD28" s="69" t="n">
        <f aca="false">1*Assets!AD102</f>
        <v>0</v>
      </c>
      <c r="AE28" s="69" t="n">
        <f aca="false">1*Assets!AE102</f>
        <v>0</v>
      </c>
      <c r="AF28" s="69" t="n">
        <f aca="false">1*Assets!AF102</f>
        <v>0</v>
      </c>
      <c r="AG28" s="69" t="n">
        <f aca="false">1*Assets!AG102</f>
        <v>0</v>
      </c>
      <c r="AH28" s="69" t="n">
        <f aca="false">1*Assets!AH102</f>
        <v>0</v>
      </c>
      <c r="AI28" s="69" t="n">
        <f aca="false">1*Assets!AI102</f>
        <v>0</v>
      </c>
      <c r="AJ28" s="69" t="n">
        <f aca="false">1*Assets!AJ102</f>
        <v>0</v>
      </c>
      <c r="AK28" s="69" t="n">
        <f aca="false">1*Assets!AK102</f>
        <v>0</v>
      </c>
      <c r="AL28" s="69" t="n">
        <f aca="false">1*Assets!AL102</f>
        <v>0</v>
      </c>
      <c r="AM28" s="69" t="n">
        <f aca="false">1*Assets!AM102</f>
        <v>0</v>
      </c>
    </row>
    <row r="29" customFormat="false" ht="21" hidden="false" customHeight="true" outlineLevel="0" collapsed="false">
      <c r="C29" s="56" t="s">
        <v>194</v>
      </c>
      <c r="D29" s="69"/>
      <c r="E29" s="69"/>
      <c r="F29" s="69"/>
      <c r="G29" s="69"/>
      <c r="H29" s="69"/>
      <c r="I29" s="69" t="n">
        <f aca="false">-H1Data!D110</f>
        <v>-10452.62981</v>
      </c>
      <c r="J29" s="69" t="n">
        <f aca="false">-1*Funding!J54</f>
        <v>-0</v>
      </c>
      <c r="K29" s="69" t="n">
        <f aca="false">-1*Funding!K54</f>
        <v>-0</v>
      </c>
      <c r="L29" s="69" t="n">
        <f aca="false">-1*Funding!L54</f>
        <v>-0</v>
      </c>
      <c r="M29" s="69" t="n">
        <f aca="false">-1*Funding!M54</f>
        <v>-0</v>
      </c>
      <c r="N29" s="69" t="n">
        <f aca="false">-1*Funding!N54</f>
        <v>-0</v>
      </c>
      <c r="O29" s="69" t="n">
        <f aca="false">-1*Funding!O54</f>
        <v>-0</v>
      </c>
      <c r="P29" s="69" t="n">
        <f aca="false">-1*Funding!P54</f>
        <v>-0</v>
      </c>
      <c r="Q29" s="69" t="n">
        <f aca="false">-1*Funding!Q54</f>
        <v>-0</v>
      </c>
      <c r="R29" s="69" t="n">
        <f aca="false">-1*Funding!R54</f>
        <v>-0</v>
      </c>
      <c r="S29" s="69" t="n">
        <f aca="false">-1*Funding!S54</f>
        <v>-0</v>
      </c>
      <c r="T29" s="69" t="n">
        <f aca="false">-1*Funding!T54</f>
        <v>-0</v>
      </c>
      <c r="U29" s="69" t="n">
        <f aca="false">-1*Funding!U54</f>
        <v>-0</v>
      </c>
      <c r="V29" s="69" t="n">
        <f aca="false">-1*Funding!V54</f>
        <v>-0</v>
      </c>
      <c r="W29" s="69" t="n">
        <f aca="false">-1*Funding!W54</f>
        <v>-0</v>
      </c>
      <c r="X29" s="69" t="n">
        <f aca="false">-1*Funding!X54</f>
        <v>-0</v>
      </c>
      <c r="Y29" s="69" t="n">
        <f aca="false">-1*Funding!Y54</f>
        <v>-0</v>
      </c>
      <c r="Z29" s="69" t="n">
        <f aca="false">-1*Funding!Z54</f>
        <v>-0</v>
      </c>
      <c r="AA29" s="69" t="n">
        <f aca="false">-1*Funding!AA54</f>
        <v>-0</v>
      </c>
      <c r="AB29" s="69" t="n">
        <f aca="false">-1*Funding!AB54</f>
        <v>-0</v>
      </c>
      <c r="AC29" s="69" t="n">
        <f aca="false">-1*Funding!AC54</f>
        <v>-0</v>
      </c>
      <c r="AD29" s="69" t="n">
        <f aca="false">-1*Funding!AD54</f>
        <v>-0</v>
      </c>
      <c r="AE29" s="69" t="n">
        <f aca="false">-1*Funding!AE54</f>
        <v>-0</v>
      </c>
      <c r="AF29" s="69" t="n">
        <f aca="false">-1*Funding!AF54</f>
        <v>-0</v>
      </c>
      <c r="AG29" s="69" t="n">
        <f aca="false">-1*Funding!AG54</f>
        <v>-0</v>
      </c>
      <c r="AH29" s="69" t="n">
        <f aca="false">-1*Funding!AH54</f>
        <v>-0</v>
      </c>
      <c r="AI29" s="69" t="n">
        <f aca="false">-1*Funding!AI54</f>
        <v>-0</v>
      </c>
      <c r="AJ29" s="69" t="n">
        <f aca="false">-1*Funding!AJ54</f>
        <v>-0</v>
      </c>
      <c r="AK29" s="69" t="n">
        <f aca="false">-1*Funding!AK54</f>
        <v>-0</v>
      </c>
      <c r="AL29" s="69" t="n">
        <f aca="false">-1*Funding!AL54</f>
        <v>-0</v>
      </c>
      <c r="AM29" s="69" t="n">
        <f aca="false">-1*Funding!AM54</f>
        <v>-0</v>
      </c>
    </row>
    <row r="30" customFormat="false" ht="21" hidden="false" customHeight="true" outlineLevel="0" collapsed="false">
      <c r="C30" s="56" t="s">
        <v>195</v>
      </c>
      <c r="D30" s="69"/>
      <c r="E30" s="69"/>
      <c r="F30" s="69"/>
      <c r="G30" s="69"/>
      <c r="H30" s="69"/>
      <c r="I30" s="69" t="n">
        <f aca="false">H1Data!D109</f>
        <v>11980.87777154</v>
      </c>
      <c r="J30" s="69" t="n">
        <f aca="false">1*Funding!J55</f>
        <v>0</v>
      </c>
      <c r="K30" s="69" t="n">
        <f aca="false">1*Funding!K55</f>
        <v>0</v>
      </c>
      <c r="L30" s="69" t="n">
        <f aca="false">1*Funding!L55</f>
        <v>0</v>
      </c>
      <c r="M30" s="69" t="n">
        <f aca="false">1*Funding!M55</f>
        <v>0</v>
      </c>
      <c r="N30" s="69" t="n">
        <f aca="false">1*Funding!N55</f>
        <v>0</v>
      </c>
      <c r="O30" s="69" t="n">
        <f aca="false">1*Funding!O55</f>
        <v>0</v>
      </c>
      <c r="P30" s="69" t="n">
        <f aca="false">1*Funding!P55</f>
        <v>0</v>
      </c>
      <c r="Q30" s="69" t="n">
        <f aca="false">1*Funding!Q55</f>
        <v>0</v>
      </c>
      <c r="R30" s="69" t="n">
        <f aca="false">1*Funding!R55</f>
        <v>0</v>
      </c>
      <c r="S30" s="69" t="n">
        <f aca="false">1*Funding!S55</f>
        <v>0</v>
      </c>
      <c r="T30" s="69" t="n">
        <f aca="false">1*Funding!T55</f>
        <v>0</v>
      </c>
      <c r="U30" s="69" t="n">
        <f aca="false">1*Funding!U55</f>
        <v>0</v>
      </c>
      <c r="V30" s="69" t="n">
        <f aca="false">1*Funding!V55</f>
        <v>0</v>
      </c>
      <c r="W30" s="69" t="n">
        <f aca="false">1*Funding!W55</f>
        <v>0</v>
      </c>
      <c r="X30" s="69" t="n">
        <f aca="false">1*Funding!X55</f>
        <v>0</v>
      </c>
      <c r="Y30" s="69" t="n">
        <f aca="false">1*Funding!Y55</f>
        <v>0</v>
      </c>
      <c r="Z30" s="69" t="n">
        <f aca="false">1*Funding!Z55</f>
        <v>0</v>
      </c>
      <c r="AA30" s="69" t="n">
        <f aca="false">1*Funding!AA55</f>
        <v>0</v>
      </c>
      <c r="AB30" s="69" t="n">
        <f aca="false">1*Funding!AB55</f>
        <v>0</v>
      </c>
      <c r="AC30" s="69" t="n">
        <f aca="false">1*Funding!AC55</f>
        <v>0</v>
      </c>
      <c r="AD30" s="69" t="n">
        <f aca="false">1*Funding!AD55</f>
        <v>0</v>
      </c>
      <c r="AE30" s="69" t="n">
        <f aca="false">1*Funding!AE55</f>
        <v>0</v>
      </c>
      <c r="AF30" s="69" t="n">
        <f aca="false">1*Funding!AF55</f>
        <v>0</v>
      </c>
      <c r="AG30" s="69" t="n">
        <f aca="false">1*Funding!AG55</f>
        <v>0</v>
      </c>
      <c r="AH30" s="69" t="n">
        <f aca="false">1*Funding!AH55</f>
        <v>0</v>
      </c>
      <c r="AI30" s="69" t="n">
        <f aca="false">1*Funding!AI55</f>
        <v>0</v>
      </c>
      <c r="AJ30" s="69" t="n">
        <f aca="false">1*Funding!AJ55</f>
        <v>0</v>
      </c>
      <c r="AK30" s="69" t="n">
        <f aca="false">1*Funding!AK55</f>
        <v>0</v>
      </c>
      <c r="AL30" s="69" t="n">
        <f aca="false">1*Funding!AL55</f>
        <v>0</v>
      </c>
      <c r="AM30" s="69" t="n">
        <f aca="false">1*Funding!AM55</f>
        <v>0</v>
      </c>
    </row>
    <row r="31" customFormat="false" ht="21" hidden="false" customHeight="true" outlineLevel="0" collapsed="false">
      <c r="C31" s="56" t="s">
        <v>196</v>
      </c>
      <c r="D31" s="69"/>
      <c r="E31" s="69"/>
      <c r="F31" s="69"/>
      <c r="G31" s="69"/>
      <c r="H31" s="69"/>
      <c r="I31" s="69" t="n">
        <f aca="false">H1Data!D93</f>
        <v>257.05763704</v>
      </c>
      <c r="J31" s="69" t="n">
        <f aca="false">1*Funding!J59</f>
        <v>37.9403874528765</v>
      </c>
      <c r="K31" s="69" t="n">
        <f aca="false">1*Funding!K59</f>
        <v>37.9403874528765</v>
      </c>
      <c r="L31" s="69" t="n">
        <f aca="false">1*Funding!L59</f>
        <v>36.7165039866547</v>
      </c>
      <c r="M31" s="69" t="n">
        <f aca="false">1*Funding!M59</f>
        <v>37.9403874528765</v>
      </c>
      <c r="N31" s="69" t="n">
        <f aca="false">1*Funding!N59</f>
        <v>36.7165039866547</v>
      </c>
      <c r="O31" s="69" t="n">
        <f aca="false">1*Funding!O59</f>
        <v>37.9403874528765</v>
      </c>
      <c r="P31" s="69" t="n">
        <f aca="false">1*Funding!P59</f>
        <v>37.9403874528765</v>
      </c>
      <c r="Q31" s="69" t="n">
        <f aca="false">1*Funding!Q59</f>
        <v>34.2687370542111</v>
      </c>
      <c r="R31" s="69" t="n">
        <f aca="false">1*Funding!R59</f>
        <v>37.9403874528765</v>
      </c>
      <c r="S31" s="69" t="n">
        <f aca="false">1*Funding!S59</f>
        <v>36.7165039866547</v>
      </c>
      <c r="T31" s="69" t="n">
        <f aca="false">1*Funding!T59</f>
        <v>37.9403874528765</v>
      </c>
      <c r="U31" s="69" t="n">
        <f aca="false">1*Funding!U59</f>
        <v>36.7165039866547</v>
      </c>
      <c r="V31" s="69" t="n">
        <f aca="false">1*Funding!V59</f>
        <v>37.9403874528765</v>
      </c>
      <c r="W31" s="69" t="n">
        <f aca="false">1*Funding!W59</f>
        <v>37.9403874528765</v>
      </c>
      <c r="X31" s="69" t="n">
        <f aca="false">1*Funding!X59</f>
        <v>36.7165039866547</v>
      </c>
      <c r="Y31" s="69" t="n">
        <f aca="false">1*Funding!Y59</f>
        <v>37.9403874528765</v>
      </c>
      <c r="Z31" s="69" t="n">
        <f aca="false">1*Funding!Z59</f>
        <v>36.7165039866547</v>
      </c>
      <c r="AA31" s="69" t="n">
        <f aca="false">1*Funding!AA59</f>
        <v>37.9403874528765</v>
      </c>
      <c r="AB31" s="69" t="n">
        <f aca="false">1*Funding!AB59</f>
        <v>37.8367251920763</v>
      </c>
      <c r="AC31" s="69" t="n">
        <f aca="false">1*Funding!AC59</f>
        <v>35.3956461474263</v>
      </c>
      <c r="AD31" s="69" t="n">
        <f aca="false">1*Funding!AD59</f>
        <v>37.8367251920763</v>
      </c>
      <c r="AE31" s="69" t="n">
        <f aca="false">1*Funding!AE59</f>
        <v>36.6161856697513</v>
      </c>
      <c r="AF31" s="69" t="n">
        <f aca="false">1*Funding!AF59</f>
        <v>37.8367251920763</v>
      </c>
      <c r="AG31" s="69" t="n">
        <f aca="false">1*Funding!AG59</f>
        <v>36.6161856697513</v>
      </c>
      <c r="AH31" s="69" t="n">
        <f aca="false">1*Funding!AH59</f>
        <v>37.8367251920763</v>
      </c>
      <c r="AI31" s="69" t="n">
        <f aca="false">1*Funding!AI59</f>
        <v>37.8367251920763</v>
      </c>
      <c r="AJ31" s="69" t="n">
        <f aca="false">1*Funding!AJ59</f>
        <v>36.6161856697513</v>
      </c>
      <c r="AK31" s="69" t="n">
        <f aca="false">1*Funding!AK59</f>
        <v>37.8367251920763</v>
      </c>
      <c r="AL31" s="69" t="n">
        <f aca="false">1*Funding!AL59</f>
        <v>36.6161856697513</v>
      </c>
      <c r="AM31" s="69" t="n">
        <f aca="false">1*Funding!AM59</f>
        <v>37.8367251920763</v>
      </c>
    </row>
    <row r="32" customFormat="false" ht="21" hidden="false" customHeight="true" outlineLevel="0" collapsed="false">
      <c r="C32" s="56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</row>
    <row r="33" customFormat="false" ht="21" hidden="false" customHeight="true" outlineLevel="0" collapsed="false">
      <c r="C33" s="56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</row>
    <row r="34" customFormat="false" ht="21" hidden="false" customHeight="true" outlineLevel="0" collapsed="false">
      <c r="C34" s="60" t="s">
        <v>197</v>
      </c>
      <c r="D34" s="70"/>
      <c r="E34" s="70"/>
      <c r="F34" s="70"/>
      <c r="G34" s="70"/>
      <c r="H34" s="70"/>
      <c r="I34" s="70" t="n">
        <f aca="false">H1Data!D105</f>
        <v>1612.0292871</v>
      </c>
      <c r="J34" s="70" t="n">
        <f aca="false">SUM(J27:J31)</f>
        <v>-5.82178469312345</v>
      </c>
      <c r="K34" s="70" t="n">
        <f aca="false">SUM(K27:K31)</f>
        <v>-5.82178469312345</v>
      </c>
      <c r="L34" s="70" t="n">
        <f aca="false">SUM(L27:L31)</f>
        <v>-7.04566815934527</v>
      </c>
      <c r="M34" s="70" t="n">
        <f aca="false">SUM(M27:M31)</f>
        <v>-5.82178469312345</v>
      </c>
      <c r="N34" s="70" t="n">
        <f aca="false">SUM(N27:N31)</f>
        <v>-7.04566815934527</v>
      </c>
      <c r="O34" s="70" t="n">
        <f aca="false">SUM(O27:O31)</f>
        <v>-5.82178469312345</v>
      </c>
      <c r="P34" s="70" t="n">
        <f aca="false">SUM(P27:P31)</f>
        <v>-8.00989330042346</v>
      </c>
      <c r="Q34" s="70" t="n">
        <f aca="false">SUM(Q27:Q31)</f>
        <v>-11.6815436990889</v>
      </c>
      <c r="R34" s="70" t="n">
        <f aca="false">SUM(R27:R31)</f>
        <v>-8.00989330042346</v>
      </c>
      <c r="S34" s="70" t="n">
        <f aca="false">SUM(S27:S31)</f>
        <v>-9.23377676664528</v>
      </c>
      <c r="T34" s="70" t="n">
        <f aca="false">SUM(T27:T31)</f>
        <v>-8.00989330042346</v>
      </c>
      <c r="U34" s="70" t="n">
        <f aca="false">SUM(U27:U31)</f>
        <v>-9.23377676664528</v>
      </c>
      <c r="V34" s="70" t="n">
        <f aca="false">SUM(V27:V31)</f>
        <v>-8.00989330042346</v>
      </c>
      <c r="W34" s="70" t="n">
        <f aca="false">SUM(W27:W31)</f>
        <v>-8.00989330042346</v>
      </c>
      <c r="X34" s="70" t="n">
        <f aca="false">SUM(X27:X31)</f>
        <v>-9.23377676664528</v>
      </c>
      <c r="Y34" s="70" t="n">
        <f aca="false">SUM(Y27:Y31)</f>
        <v>-8.00989330042346</v>
      </c>
      <c r="Z34" s="70" t="n">
        <f aca="false">SUM(Z27:Z31)</f>
        <v>-9.23377676664528</v>
      </c>
      <c r="AA34" s="70" t="n">
        <f aca="false">SUM(AA27:AA31)</f>
        <v>-8.00989330042346</v>
      </c>
      <c r="AB34" s="70" t="n">
        <f aca="false">SUM(AB27:AB31)</f>
        <v>-10.4110695988887</v>
      </c>
      <c r="AC34" s="70" t="n">
        <f aca="false">SUM(AC27:AC31)</f>
        <v>-12.8521486435387</v>
      </c>
      <c r="AD34" s="70" t="n">
        <f aca="false">SUM(AD27:AD31)</f>
        <v>-10.4110695988887</v>
      </c>
      <c r="AE34" s="70" t="n">
        <f aca="false">SUM(AE27:AE31)</f>
        <v>-11.6316091212137</v>
      </c>
      <c r="AF34" s="70" t="n">
        <f aca="false">SUM(AF27:AF31)</f>
        <v>-10.4110695988887</v>
      </c>
      <c r="AG34" s="70" t="n">
        <f aca="false">SUM(AG27:AG31)</f>
        <v>-11.6316091212137</v>
      </c>
      <c r="AH34" s="70" t="n">
        <f aca="false">SUM(AH27:AH31)</f>
        <v>-10.4110695988887</v>
      </c>
      <c r="AI34" s="70" t="n">
        <f aca="false">SUM(AI27:AI31)</f>
        <v>-10.4110695988887</v>
      </c>
      <c r="AJ34" s="70" t="n">
        <f aca="false">SUM(AJ27:AJ31)</f>
        <v>-11.6316091212137</v>
      </c>
      <c r="AK34" s="70" t="n">
        <f aca="false">SUM(AK27:AK31)</f>
        <v>-10.4110695988887</v>
      </c>
      <c r="AL34" s="70" t="n">
        <f aca="false">SUM(AL27:AL31)</f>
        <v>-11.6316091212137</v>
      </c>
      <c r="AM34" s="70" t="n">
        <f aca="false">SUM(AM27:AM31)</f>
        <v>-10.4110695988887</v>
      </c>
    </row>
    <row r="35" customFormat="false" ht="21" hidden="false" customHeight="true" outlineLevel="0" collapsed="false">
      <c r="C35" s="56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</row>
    <row r="36" customFormat="false" ht="21" hidden="false" customHeight="true" outlineLevel="0" collapsed="false">
      <c r="C36" s="56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</row>
    <row r="37" customFormat="false" ht="21" hidden="false" customHeight="true" outlineLevel="0" collapsed="false">
      <c r="C37" s="56" t="s">
        <v>198</v>
      </c>
      <c r="D37" s="69"/>
      <c r="E37" s="69"/>
      <c r="F37" s="69"/>
      <c r="G37" s="69"/>
      <c r="H37" s="69"/>
      <c r="I37" s="69" t="n">
        <f aca="false">H1Data!D112</f>
        <v>1975.84316669</v>
      </c>
      <c r="J37" s="69" t="n">
        <f aca="false">1*Funding!J65</f>
        <v>0</v>
      </c>
      <c r="K37" s="69" t="n">
        <f aca="false">1*Funding!K65</f>
        <v>0</v>
      </c>
      <c r="L37" s="69" t="n">
        <f aca="false">1*Funding!L65</f>
        <v>0</v>
      </c>
      <c r="M37" s="69" t="n">
        <f aca="false">1*Funding!M65</f>
        <v>0</v>
      </c>
      <c r="N37" s="69" t="n">
        <f aca="false">1*Funding!N65</f>
        <v>0</v>
      </c>
      <c r="O37" s="69" t="n">
        <f aca="false">1*Funding!O65</f>
        <v>0</v>
      </c>
      <c r="P37" s="69" t="n">
        <f aca="false">1*Funding!P65</f>
        <v>0</v>
      </c>
      <c r="Q37" s="69" t="n">
        <f aca="false">1*Funding!Q65</f>
        <v>0</v>
      </c>
      <c r="R37" s="69" t="n">
        <f aca="false">1*Funding!R65</f>
        <v>0</v>
      </c>
      <c r="S37" s="69" t="n">
        <f aca="false">1*Funding!S65</f>
        <v>0</v>
      </c>
      <c r="T37" s="69" t="n">
        <f aca="false">1*Funding!T65</f>
        <v>0</v>
      </c>
      <c r="U37" s="69" t="n">
        <f aca="false">1*Funding!U65</f>
        <v>0</v>
      </c>
      <c r="V37" s="69" t="n">
        <f aca="false">1*Funding!V65</f>
        <v>0</v>
      </c>
      <c r="W37" s="69" t="n">
        <f aca="false">1*Funding!W65</f>
        <v>0</v>
      </c>
      <c r="X37" s="69" t="n">
        <f aca="false">1*Funding!X65</f>
        <v>0</v>
      </c>
      <c r="Y37" s="69" t="n">
        <f aca="false">1*Funding!Y65</f>
        <v>0</v>
      </c>
      <c r="Z37" s="69" t="n">
        <f aca="false">1*Funding!Z65</f>
        <v>0</v>
      </c>
      <c r="AA37" s="69" t="n">
        <f aca="false">1*Funding!AA65</f>
        <v>0</v>
      </c>
      <c r="AB37" s="69" t="n">
        <f aca="false">1*Funding!AB65</f>
        <v>0</v>
      </c>
      <c r="AC37" s="69" t="n">
        <f aca="false">1*Funding!AC65</f>
        <v>0</v>
      </c>
      <c r="AD37" s="69" t="n">
        <f aca="false">1*Funding!AD65</f>
        <v>0</v>
      </c>
      <c r="AE37" s="69" t="n">
        <f aca="false">1*Funding!AE65</f>
        <v>0</v>
      </c>
      <c r="AF37" s="69" t="n">
        <f aca="false">1*Funding!AF65</f>
        <v>0</v>
      </c>
      <c r="AG37" s="69" t="n">
        <f aca="false">1*Funding!AG65</f>
        <v>0</v>
      </c>
      <c r="AH37" s="69" t="n">
        <f aca="false">1*Funding!AH65</f>
        <v>0</v>
      </c>
      <c r="AI37" s="69" t="n">
        <f aca="false">1*Funding!AI65</f>
        <v>0</v>
      </c>
      <c r="AJ37" s="69" t="n">
        <f aca="false">1*Funding!AJ65</f>
        <v>0</v>
      </c>
      <c r="AK37" s="69" t="n">
        <f aca="false">1*Funding!AK65</f>
        <v>0</v>
      </c>
      <c r="AL37" s="69" t="n">
        <f aca="false">1*Funding!AL65</f>
        <v>0</v>
      </c>
      <c r="AM37" s="69" t="n">
        <f aca="false">1*Funding!AM65</f>
        <v>0</v>
      </c>
    </row>
    <row r="38" customFormat="false" ht="21" hidden="false" customHeight="true" outlineLevel="0" collapsed="false">
      <c r="C38" s="56" t="s">
        <v>199</v>
      </c>
      <c r="D38" s="69"/>
      <c r="E38" s="69"/>
      <c r="F38" s="69"/>
      <c r="G38" s="69"/>
      <c r="H38" s="69"/>
      <c r="I38" s="69" t="n">
        <f aca="false">-H1Data!D113</f>
        <v>-1829.95</v>
      </c>
      <c r="J38" s="69" t="n">
        <f aca="false">-1*Funding!J66</f>
        <v>-0</v>
      </c>
      <c r="K38" s="69" t="n">
        <f aca="false">-1*Funding!K66</f>
        <v>-0</v>
      </c>
      <c r="L38" s="69" t="n">
        <f aca="false">-1*Funding!L66</f>
        <v>-0</v>
      </c>
      <c r="M38" s="69" t="n">
        <f aca="false">-1*Funding!M66</f>
        <v>-0</v>
      </c>
      <c r="N38" s="69" t="n">
        <f aca="false">-1*Funding!N66</f>
        <v>-0</v>
      </c>
      <c r="O38" s="69" t="n">
        <f aca="false">-1*Funding!O66</f>
        <v>-0</v>
      </c>
      <c r="P38" s="69" t="n">
        <f aca="false">-1*Funding!P66</f>
        <v>-0</v>
      </c>
      <c r="Q38" s="69" t="n">
        <f aca="false">-1*Funding!Q66</f>
        <v>-0</v>
      </c>
      <c r="R38" s="69" t="n">
        <f aca="false">-1*Funding!R66</f>
        <v>-0</v>
      </c>
      <c r="S38" s="69" t="n">
        <f aca="false">-1*Funding!S66</f>
        <v>-0</v>
      </c>
      <c r="T38" s="69" t="n">
        <f aca="false">-1*Funding!T66</f>
        <v>-0</v>
      </c>
      <c r="U38" s="69" t="n">
        <f aca="false">-1*Funding!U66</f>
        <v>-184.426999816</v>
      </c>
      <c r="V38" s="69" t="n">
        <f aca="false">-1*Funding!V66</f>
        <v>-0</v>
      </c>
      <c r="W38" s="69" t="n">
        <f aca="false">-1*Funding!W66</f>
        <v>-0</v>
      </c>
      <c r="X38" s="69" t="n">
        <f aca="false">-1*Funding!X66</f>
        <v>-0</v>
      </c>
      <c r="Y38" s="69" t="n">
        <f aca="false">-1*Funding!Y66</f>
        <v>-0</v>
      </c>
      <c r="Z38" s="69" t="n">
        <f aca="false">-1*Funding!Z66</f>
        <v>-0</v>
      </c>
      <c r="AA38" s="69" t="n">
        <f aca="false">-1*Funding!AA66</f>
        <v>-0</v>
      </c>
      <c r="AB38" s="69" t="n">
        <f aca="false">-1*Funding!AB66</f>
        <v>-0</v>
      </c>
      <c r="AC38" s="69" t="n">
        <f aca="false">-1*Funding!AC66</f>
        <v>-0</v>
      </c>
      <c r="AD38" s="69" t="n">
        <f aca="false">-1*Funding!AD66</f>
        <v>-0</v>
      </c>
      <c r="AE38" s="69" t="n">
        <f aca="false">-1*Funding!AE66</f>
        <v>-0</v>
      </c>
      <c r="AF38" s="69" t="n">
        <f aca="false">-1*Funding!AF66</f>
        <v>-0</v>
      </c>
      <c r="AG38" s="69" t="n">
        <f aca="false">-1*Funding!AG66</f>
        <v>-184.426999816</v>
      </c>
      <c r="AH38" s="69" t="n">
        <f aca="false">-1*Funding!AH66</f>
        <v>-0</v>
      </c>
      <c r="AI38" s="69" t="n">
        <f aca="false">-1*Funding!AI66</f>
        <v>-0</v>
      </c>
      <c r="AJ38" s="69" t="n">
        <f aca="false">-1*Funding!AJ66</f>
        <v>-0</v>
      </c>
      <c r="AK38" s="69" t="n">
        <f aca="false">-1*Funding!AK66</f>
        <v>-0</v>
      </c>
      <c r="AL38" s="69" t="n">
        <f aca="false">-1*Funding!AL66</f>
        <v>-0</v>
      </c>
      <c r="AM38" s="69" t="n">
        <f aca="false">-1*Funding!AM66</f>
        <v>-0</v>
      </c>
    </row>
    <row r="39" customFormat="false" ht="21" hidden="false" customHeight="true" outlineLevel="0" collapsed="false">
      <c r="C39" s="56" t="s">
        <v>200</v>
      </c>
      <c r="D39" s="69"/>
      <c r="E39" s="69"/>
      <c r="F39" s="69"/>
      <c r="G39" s="69"/>
      <c r="H39" s="69"/>
      <c r="I39" s="69"/>
      <c r="J39" s="69" t="n">
        <f aca="false">-1*Funding!J47</f>
        <v>-1.11674455083333</v>
      </c>
      <c r="K39" s="69" t="n">
        <f aca="false">-1*Funding!K47</f>
        <v>-1.11674455083333</v>
      </c>
      <c r="L39" s="69" t="n">
        <f aca="false">-1*Funding!L47</f>
        <v>-1.11674455083333</v>
      </c>
      <c r="M39" s="69" t="n">
        <f aca="false">-1*Funding!M47</f>
        <v>-1.11674455083333</v>
      </c>
      <c r="N39" s="69" t="n">
        <f aca="false">-1*Funding!N47</f>
        <v>-1.11674455083333</v>
      </c>
      <c r="O39" s="69" t="n">
        <f aca="false">-1*Funding!O47</f>
        <v>-1.11674455083333</v>
      </c>
      <c r="P39" s="69" t="n">
        <f aca="false">-1*Funding!P47</f>
        <v>-1.11674455083333</v>
      </c>
      <c r="Q39" s="69" t="n">
        <f aca="false">-1*Funding!Q47</f>
        <v>-1.11674455083333</v>
      </c>
      <c r="R39" s="69" t="n">
        <f aca="false">-1*Funding!R47</f>
        <v>-1.11674455083333</v>
      </c>
      <c r="S39" s="69" t="n">
        <f aca="false">-1*Funding!S47</f>
        <v>-1.11674455083333</v>
      </c>
      <c r="T39" s="69" t="n">
        <f aca="false">-1*Funding!T47</f>
        <v>-1.11674455083333</v>
      </c>
      <c r="U39" s="69" t="n">
        <f aca="false">-1*Funding!U47</f>
        <v>-1.11674455083333</v>
      </c>
      <c r="V39" s="69" t="n">
        <f aca="false">-1*Funding!V47</f>
        <v>-1.11674455083333</v>
      </c>
      <c r="W39" s="69" t="n">
        <f aca="false">-1*Funding!W47</f>
        <v>-1.11674455083333</v>
      </c>
      <c r="X39" s="69" t="n">
        <f aca="false">-1*Funding!X47</f>
        <v>-1.11674455083333</v>
      </c>
      <c r="Y39" s="69" t="n">
        <f aca="false">-1*Funding!Y47</f>
        <v>-1.11674455083333</v>
      </c>
      <c r="Z39" s="69" t="n">
        <f aca="false">-1*Funding!Z47</f>
        <v>-0.0908602666667213</v>
      </c>
      <c r="AA39" s="69" t="n">
        <f aca="false">-1*Funding!AA47</f>
        <v>-0</v>
      </c>
      <c r="AB39" s="69" t="n">
        <f aca="false">-1*Funding!AB47</f>
        <v>-0</v>
      </c>
      <c r="AC39" s="69" t="n">
        <f aca="false">-1*Funding!AC47</f>
        <v>-0</v>
      </c>
      <c r="AD39" s="69" t="n">
        <f aca="false">-1*Funding!AD47</f>
        <v>-0</v>
      </c>
      <c r="AE39" s="69" t="n">
        <f aca="false">-1*Funding!AE47</f>
        <v>-0</v>
      </c>
      <c r="AF39" s="69" t="n">
        <f aca="false">-1*Funding!AF47</f>
        <v>-0</v>
      </c>
      <c r="AG39" s="69" t="n">
        <f aca="false">-1*Funding!AG47</f>
        <v>-0</v>
      </c>
      <c r="AH39" s="69" t="n">
        <f aca="false">-1*Funding!AH47</f>
        <v>-0</v>
      </c>
      <c r="AI39" s="69" t="n">
        <f aca="false">-1*Funding!AI47</f>
        <v>-0</v>
      </c>
      <c r="AJ39" s="69" t="n">
        <f aca="false">-1*Funding!AJ47</f>
        <v>-0</v>
      </c>
      <c r="AK39" s="69" t="n">
        <f aca="false">-1*Funding!AK47</f>
        <v>-0</v>
      </c>
      <c r="AL39" s="69" t="n">
        <f aca="false">-1*Funding!AL47</f>
        <v>-0</v>
      </c>
      <c r="AM39" s="69" t="n">
        <f aca="false">-1*Funding!AM47</f>
        <v>-0</v>
      </c>
    </row>
    <row r="40" customFormat="false" ht="21" hidden="false" customHeight="true" outlineLevel="0" collapsed="false">
      <c r="C40" s="56" t="s">
        <v>201</v>
      </c>
      <c r="D40" s="69"/>
      <c r="E40" s="69"/>
      <c r="F40" s="69"/>
      <c r="G40" s="69"/>
      <c r="H40" s="69"/>
      <c r="I40" s="69"/>
      <c r="J40" s="69" t="n">
        <f aca="false">-1*Monthly_PL!J28</f>
        <v>-4.10534224644906</v>
      </c>
      <c r="K40" s="69" t="n">
        <f aca="false">-1*Monthly_PL!K28</f>
        <v>-4.101074140563</v>
      </c>
      <c r="L40" s="69" t="n">
        <f aca="false">-1*Monthly_PL!L28</f>
        <v>-3.96465100130026</v>
      </c>
      <c r="M40" s="69" t="n">
        <f aca="false">-1*Monthly_PL!M28</f>
        <v>-4.09253792879088</v>
      </c>
      <c r="N40" s="69" t="n">
        <f aca="false">-1*Monthly_PL!N28</f>
        <v>-3.95639015119821</v>
      </c>
      <c r="O40" s="69" t="n">
        <f aca="false">-1*Monthly_PL!O28</f>
        <v>-4.08400171701875</v>
      </c>
      <c r="P40" s="69" t="n">
        <f aca="false">-1*Monthly_PL!P28</f>
        <v>-4.07973361113269</v>
      </c>
      <c r="Q40" s="69" t="n">
        <f aca="false">-1*Monthly_PL!Q28</f>
        <v>-3.68106561764212</v>
      </c>
      <c r="R40" s="69" t="n">
        <f aca="false">-1*Monthly_PL!R28</f>
        <v>-4.07119739936057</v>
      </c>
      <c r="S40" s="69" t="n">
        <f aca="false">-1*Monthly_PL!S28</f>
        <v>-3.93573802594307</v>
      </c>
      <c r="T40" s="69" t="n">
        <f aca="false">-1*Monthly_PL!T28</f>
        <v>-4.06266118758845</v>
      </c>
      <c r="U40" s="69" t="n">
        <f aca="false">-1*Monthly_PL!U28</f>
        <v>-3.92747717584102</v>
      </c>
      <c r="V40" s="69" t="n">
        <f aca="false">-1*Monthly_PL!V28</f>
        <v>-3.24677331447084</v>
      </c>
      <c r="W40" s="69" t="n">
        <f aca="false">-1*Monthly_PL!W28</f>
        <v>-3.24250520858478</v>
      </c>
      <c r="X40" s="69" t="n">
        <f aca="false">-1*Monthly_PL!X28</f>
        <v>-3.13377784132134</v>
      </c>
      <c r="Y40" s="69" t="n">
        <f aca="false">-1*Monthly_PL!Y28</f>
        <v>-3.23396899681265</v>
      </c>
      <c r="Z40" s="69" t="n">
        <f aca="false">-1*Monthly_PL!Z28</f>
        <v>-3.12551699121928</v>
      </c>
      <c r="AA40" s="69" t="n">
        <f aca="false">-1*Monthly_PL!AA28</f>
        <v>-3.22935363045536</v>
      </c>
      <c r="AB40" s="69" t="n">
        <f aca="false">-1*Monthly_PL!AB28</f>
        <v>-3.22053025988034</v>
      </c>
      <c r="AC40" s="69" t="n">
        <f aca="false">-1*Monthly_PL!AC28</f>
        <v>-3.01275411408161</v>
      </c>
      <c r="AD40" s="69" t="n">
        <f aca="false">-1*Monthly_PL!AD28</f>
        <v>-3.22053025988034</v>
      </c>
      <c r="AE40" s="69" t="n">
        <f aca="false">-1*Monthly_PL!AE28</f>
        <v>-3.11664218698098</v>
      </c>
      <c r="AF40" s="69" t="n">
        <f aca="false">-1*Monthly_PL!AF28</f>
        <v>-3.22053025988034</v>
      </c>
      <c r="AG40" s="69" t="n">
        <f aca="false">-1*Monthly_PL!AG28</f>
        <v>-3.11664218698098</v>
      </c>
      <c r="AH40" s="69" t="n">
        <f aca="false">-1*Monthly_PL!AH28</f>
        <v>-2.415384477391</v>
      </c>
      <c r="AI40" s="69" t="n">
        <f aca="false">-1*Monthly_PL!AI28</f>
        <v>-2.415384477391</v>
      </c>
      <c r="AJ40" s="69" t="n">
        <f aca="false">-1*Monthly_PL!AJ28</f>
        <v>-2.33746884908806</v>
      </c>
      <c r="AK40" s="69" t="n">
        <f aca="false">-1*Monthly_PL!AK28</f>
        <v>-2.415384477391</v>
      </c>
      <c r="AL40" s="69" t="n">
        <f aca="false">-1*Monthly_PL!AL28</f>
        <v>-2.33746884908806</v>
      </c>
      <c r="AM40" s="69" t="n">
        <f aca="false">-1*Monthly_PL!AM28</f>
        <v>-2.415384477391</v>
      </c>
    </row>
    <row r="41" customFormat="false" ht="21" hidden="false" customHeight="true" outlineLevel="0" collapsed="false">
      <c r="C41" s="56" t="s">
        <v>202</v>
      </c>
      <c r="D41" s="69"/>
      <c r="E41" s="69"/>
      <c r="F41" s="69"/>
      <c r="G41" s="69"/>
      <c r="H41" s="69"/>
      <c r="I41" s="69"/>
      <c r="J41" s="69" t="n">
        <f aca="false">1*TaxEquity!J40</f>
        <v>0</v>
      </c>
      <c r="K41" s="69" t="n">
        <f aca="false">1*TaxEquity!K40</f>
        <v>0</v>
      </c>
      <c r="L41" s="69" t="n">
        <f aca="false">1*TaxEquity!L40</f>
        <v>0</v>
      </c>
      <c r="M41" s="69" t="n">
        <f aca="false">1*TaxEquity!M40</f>
        <v>0</v>
      </c>
      <c r="N41" s="69" t="n">
        <f aca="false">1*TaxEquity!N40</f>
        <v>0</v>
      </c>
      <c r="O41" s="69" t="n">
        <f aca="false">1*TaxEquity!O40</f>
        <v>0</v>
      </c>
      <c r="P41" s="69" t="n">
        <f aca="false">1*TaxEquity!P40</f>
        <v>0</v>
      </c>
      <c r="Q41" s="69" t="n">
        <f aca="false">1*TaxEquity!Q40</f>
        <v>0</v>
      </c>
      <c r="R41" s="69" t="n">
        <f aca="false">1*TaxEquity!R40</f>
        <v>0</v>
      </c>
      <c r="S41" s="69" t="n">
        <f aca="false">1*TaxEquity!S40</f>
        <v>0</v>
      </c>
      <c r="T41" s="69" t="n">
        <f aca="false">1*TaxEquity!T40</f>
        <v>0</v>
      </c>
      <c r="U41" s="69" t="n">
        <f aca="false">1*TaxEquity!U40</f>
        <v>0</v>
      </c>
      <c r="V41" s="69" t="n">
        <f aca="false">1*TaxEquity!V40</f>
        <v>0</v>
      </c>
      <c r="W41" s="69" t="n">
        <f aca="false">1*TaxEquity!W40</f>
        <v>0</v>
      </c>
      <c r="X41" s="69" t="n">
        <f aca="false">1*TaxEquity!X40</f>
        <v>0</v>
      </c>
      <c r="Y41" s="69" t="n">
        <f aca="false">1*TaxEquity!Y40</f>
        <v>0</v>
      </c>
      <c r="Z41" s="69" t="n">
        <f aca="false">1*TaxEquity!Z40</f>
        <v>0</v>
      </c>
      <c r="AA41" s="69" t="n">
        <f aca="false">1*TaxEquity!AA40</f>
        <v>0</v>
      </c>
      <c r="AB41" s="69" t="n">
        <f aca="false">1*TaxEquity!AB40</f>
        <v>0</v>
      </c>
      <c r="AC41" s="69" t="n">
        <f aca="false">1*TaxEquity!AC40</f>
        <v>0</v>
      </c>
      <c r="AD41" s="69" t="n">
        <f aca="false">1*TaxEquity!AD40</f>
        <v>0</v>
      </c>
      <c r="AE41" s="69" t="n">
        <f aca="false">1*TaxEquity!AE40</f>
        <v>0</v>
      </c>
      <c r="AF41" s="69" t="n">
        <f aca="false">1*TaxEquity!AF40</f>
        <v>0</v>
      </c>
      <c r="AG41" s="69" t="n">
        <f aca="false">1*TaxEquity!AG40</f>
        <v>0</v>
      </c>
      <c r="AH41" s="69" t="n">
        <f aca="false">1*TaxEquity!AH40</f>
        <v>0</v>
      </c>
      <c r="AI41" s="69" t="n">
        <f aca="false">1*TaxEquity!AI40</f>
        <v>0</v>
      </c>
      <c r="AJ41" s="69" t="n">
        <f aca="false">1*TaxEquity!AJ40</f>
        <v>0</v>
      </c>
      <c r="AK41" s="69" t="n">
        <f aca="false">1*TaxEquity!AK40</f>
        <v>0</v>
      </c>
      <c r="AL41" s="69" t="n">
        <f aca="false">1*TaxEquity!AL40</f>
        <v>0</v>
      </c>
      <c r="AM41" s="69" t="n">
        <f aca="false">1*TaxEquity!AM40</f>
        <v>0</v>
      </c>
    </row>
    <row r="42" customFormat="false" ht="21" hidden="false" customHeight="true" outlineLevel="0" collapsed="false">
      <c r="C42" s="56" t="s">
        <v>203</v>
      </c>
      <c r="D42" s="69"/>
      <c r="E42" s="69"/>
      <c r="F42" s="69"/>
      <c r="G42" s="69"/>
      <c r="H42" s="69"/>
      <c r="I42" s="69"/>
      <c r="J42" s="69" t="n">
        <f aca="false">-1*TaxEquity!J41</f>
        <v>-0</v>
      </c>
      <c r="K42" s="69" t="n">
        <f aca="false">-1*TaxEquity!K41</f>
        <v>-0</v>
      </c>
      <c r="L42" s="69" t="n">
        <f aca="false">-1*TaxEquity!L41</f>
        <v>-0</v>
      </c>
      <c r="M42" s="69" t="n">
        <f aca="false">-1*TaxEquity!M41</f>
        <v>-0</v>
      </c>
      <c r="N42" s="69" t="n">
        <f aca="false">-1*TaxEquity!N41</f>
        <v>-0</v>
      </c>
      <c r="O42" s="69" t="n">
        <f aca="false">-1*TaxEquity!O41</f>
        <v>-0</v>
      </c>
      <c r="P42" s="69" t="n">
        <f aca="false">-1*TaxEquity!P41</f>
        <v>-0</v>
      </c>
      <c r="Q42" s="69" t="n">
        <f aca="false">-1*TaxEquity!Q41</f>
        <v>-0</v>
      </c>
      <c r="R42" s="69" t="n">
        <f aca="false">-1*TaxEquity!R41</f>
        <v>-0</v>
      </c>
      <c r="S42" s="69" t="n">
        <f aca="false">-1*TaxEquity!S41</f>
        <v>-0</v>
      </c>
      <c r="T42" s="69" t="n">
        <f aca="false">-1*TaxEquity!T41</f>
        <v>-0</v>
      </c>
      <c r="U42" s="69" t="n">
        <f aca="false">-1*TaxEquity!U41</f>
        <v>-0</v>
      </c>
      <c r="V42" s="69" t="n">
        <f aca="false">-1*TaxEquity!V41</f>
        <v>-0</v>
      </c>
      <c r="W42" s="69" t="n">
        <f aca="false">-1*TaxEquity!W41</f>
        <v>-0</v>
      </c>
      <c r="X42" s="69" t="n">
        <f aca="false">-1*TaxEquity!X41</f>
        <v>-0</v>
      </c>
      <c r="Y42" s="69" t="n">
        <f aca="false">-1*TaxEquity!Y41</f>
        <v>-0</v>
      </c>
      <c r="Z42" s="69" t="n">
        <f aca="false">-1*TaxEquity!Z41</f>
        <v>-0</v>
      </c>
      <c r="AA42" s="69" t="n">
        <f aca="false">-1*TaxEquity!AA41</f>
        <v>-0</v>
      </c>
      <c r="AB42" s="69" t="n">
        <f aca="false">-1*TaxEquity!AB41</f>
        <v>-0</v>
      </c>
      <c r="AC42" s="69" t="n">
        <f aca="false">-1*TaxEquity!AC41</f>
        <v>-0</v>
      </c>
      <c r="AD42" s="69" t="n">
        <f aca="false">-1*TaxEquity!AD41</f>
        <v>-0</v>
      </c>
      <c r="AE42" s="69" t="n">
        <f aca="false">-1*TaxEquity!AE41</f>
        <v>-0</v>
      </c>
      <c r="AF42" s="69" t="n">
        <f aca="false">-1*TaxEquity!AF41</f>
        <v>-0</v>
      </c>
      <c r="AG42" s="69" t="n">
        <f aca="false">-1*TaxEquity!AG41</f>
        <v>-0</v>
      </c>
      <c r="AH42" s="69" t="n">
        <f aca="false">-1*TaxEquity!AH41</f>
        <v>-0</v>
      </c>
      <c r="AI42" s="69" t="n">
        <f aca="false">-1*TaxEquity!AI41</f>
        <v>-0</v>
      </c>
      <c r="AJ42" s="69" t="n">
        <f aca="false">-1*TaxEquity!AJ41</f>
        <v>-0</v>
      </c>
      <c r="AK42" s="69" t="n">
        <f aca="false">-1*TaxEquity!AK41</f>
        <v>-0</v>
      </c>
      <c r="AL42" s="69" t="n">
        <f aca="false">-1*TaxEquity!AL41</f>
        <v>-0</v>
      </c>
      <c r="AM42" s="69" t="n">
        <f aca="false">-1*TaxEquity!AM41</f>
        <v>-0</v>
      </c>
    </row>
    <row r="43" customFormat="false" ht="21" hidden="false" customHeight="true" outlineLevel="0" collapsed="false">
      <c r="C43" s="56" t="s">
        <v>204</v>
      </c>
      <c r="D43" s="69"/>
      <c r="E43" s="69"/>
      <c r="F43" s="69"/>
      <c r="G43" s="69"/>
      <c r="H43" s="69"/>
      <c r="I43" s="69"/>
      <c r="J43" s="69" t="n">
        <f aca="false">-1*Funding!J72</f>
        <v>-0</v>
      </c>
      <c r="K43" s="69" t="n">
        <f aca="false">-1*Funding!K72</f>
        <v>-0</v>
      </c>
      <c r="L43" s="69" t="n">
        <f aca="false">-1*Funding!L72</f>
        <v>-0</v>
      </c>
      <c r="M43" s="69" t="n">
        <f aca="false">-1*Funding!M72</f>
        <v>-0</v>
      </c>
      <c r="N43" s="69" t="n">
        <f aca="false">-1*Funding!N72</f>
        <v>-0</v>
      </c>
      <c r="O43" s="69" t="n">
        <f aca="false">-1*Funding!O72</f>
        <v>-0</v>
      </c>
      <c r="P43" s="69" t="n">
        <f aca="false">-1*Funding!P72</f>
        <v>-0</v>
      </c>
      <c r="Q43" s="69" t="n">
        <f aca="false">-1*Funding!Q72</f>
        <v>-0</v>
      </c>
      <c r="R43" s="69" t="n">
        <f aca="false">-1*Funding!R72</f>
        <v>-0</v>
      </c>
      <c r="S43" s="69" t="n">
        <f aca="false">-1*Funding!S72</f>
        <v>-0</v>
      </c>
      <c r="T43" s="69" t="n">
        <f aca="false">-1*Funding!T72</f>
        <v>-0</v>
      </c>
      <c r="U43" s="69" t="n">
        <f aca="false">-1*Funding!U72</f>
        <v>-3536.71299086354</v>
      </c>
      <c r="V43" s="69" t="n">
        <f aca="false">-1*Funding!V72</f>
        <v>-0</v>
      </c>
      <c r="W43" s="69" t="n">
        <f aca="false">-1*Funding!W72</f>
        <v>-0</v>
      </c>
      <c r="X43" s="69" t="n">
        <f aca="false">-1*Funding!X72</f>
        <v>-0</v>
      </c>
      <c r="Y43" s="69" t="n">
        <f aca="false">-1*Funding!Y72</f>
        <v>-0</v>
      </c>
      <c r="Z43" s="69" t="n">
        <f aca="false">-1*Funding!Z72</f>
        <v>-0</v>
      </c>
      <c r="AA43" s="69" t="n">
        <f aca="false">-1*Funding!AA72</f>
        <v>-0</v>
      </c>
      <c r="AB43" s="69" t="n">
        <f aca="false">-1*Funding!AB72</f>
        <v>-0</v>
      </c>
      <c r="AC43" s="69" t="n">
        <f aca="false">-1*Funding!AC72</f>
        <v>-0</v>
      </c>
      <c r="AD43" s="69" t="n">
        <f aca="false">-1*Funding!AD72</f>
        <v>-0</v>
      </c>
      <c r="AE43" s="69" t="n">
        <f aca="false">-1*Funding!AE72</f>
        <v>-0</v>
      </c>
      <c r="AF43" s="69" t="n">
        <f aca="false">-1*Funding!AF72</f>
        <v>-0</v>
      </c>
      <c r="AG43" s="69" t="n">
        <f aca="false">-1*Funding!AG72</f>
        <v>-3703.61940954159</v>
      </c>
      <c r="AH43" s="69" t="n">
        <f aca="false">-1*Funding!AH72</f>
        <v>-0</v>
      </c>
      <c r="AI43" s="69" t="n">
        <f aca="false">-1*Funding!AI72</f>
        <v>-0</v>
      </c>
      <c r="AJ43" s="69" t="n">
        <f aca="false">-1*Funding!AJ72</f>
        <v>-0</v>
      </c>
      <c r="AK43" s="69" t="n">
        <f aca="false">-1*Funding!AK72</f>
        <v>-0</v>
      </c>
      <c r="AL43" s="69" t="n">
        <f aca="false">-1*Funding!AL72</f>
        <v>-0</v>
      </c>
      <c r="AM43" s="69" t="n">
        <f aca="false">-1*Funding!AM72</f>
        <v>-0</v>
      </c>
    </row>
    <row r="44" customFormat="false" ht="21" hidden="false" customHeight="true" outlineLevel="0" collapsed="false">
      <c r="C44" s="56" t="s">
        <v>205</v>
      </c>
      <c r="D44" s="69"/>
      <c r="E44" s="69"/>
      <c r="F44" s="69"/>
      <c r="G44" s="69"/>
      <c r="H44" s="69"/>
      <c r="I44" s="69"/>
      <c r="J44" s="69" t="n">
        <f aca="false">-TaxEquity!J53</f>
        <v>-0</v>
      </c>
      <c r="K44" s="69" t="n">
        <f aca="false">-TaxEquity!K53</f>
        <v>-0</v>
      </c>
      <c r="L44" s="69" t="n">
        <f aca="false">-TaxEquity!L53</f>
        <v>-0</v>
      </c>
      <c r="M44" s="69" t="n">
        <f aca="false">-TaxEquity!M53</f>
        <v>-0</v>
      </c>
      <c r="N44" s="69" t="n">
        <f aca="false">-TaxEquity!N53</f>
        <v>-0</v>
      </c>
      <c r="O44" s="69" t="n">
        <f aca="false">-TaxEquity!O53</f>
        <v>-0</v>
      </c>
      <c r="P44" s="69" t="n">
        <f aca="false">-TaxEquity!P53</f>
        <v>-0</v>
      </c>
      <c r="Q44" s="69" t="n">
        <f aca="false">-TaxEquity!Q53</f>
        <v>-0</v>
      </c>
      <c r="R44" s="69" t="n">
        <f aca="false">-TaxEquity!R53</f>
        <v>-0</v>
      </c>
      <c r="S44" s="69" t="n">
        <f aca="false">-TaxEquity!S53</f>
        <v>-0</v>
      </c>
      <c r="T44" s="69" t="n">
        <f aca="false">-TaxEquity!T53</f>
        <v>-0</v>
      </c>
      <c r="U44" s="69" t="n">
        <f aca="false">-TaxEquity!U53</f>
        <v>-0</v>
      </c>
      <c r="V44" s="69" t="n">
        <f aca="false">-TaxEquity!V53</f>
        <v>-0</v>
      </c>
      <c r="W44" s="69" t="n">
        <f aca="false">-TaxEquity!W53</f>
        <v>-0</v>
      </c>
      <c r="X44" s="69" t="n">
        <f aca="false">-TaxEquity!X53</f>
        <v>-0</v>
      </c>
      <c r="Y44" s="69" t="n">
        <f aca="false">-TaxEquity!Y53</f>
        <v>-0</v>
      </c>
      <c r="Z44" s="69" t="n">
        <f aca="false">-TaxEquity!Z53</f>
        <v>-0</v>
      </c>
      <c r="AA44" s="69" t="n">
        <f aca="false">-TaxEquity!AA53</f>
        <v>-0</v>
      </c>
      <c r="AB44" s="69" t="n">
        <f aca="false">-TaxEquity!AB53</f>
        <v>-0</v>
      </c>
      <c r="AC44" s="69" t="n">
        <f aca="false">-TaxEquity!AC53</f>
        <v>-0</v>
      </c>
      <c r="AD44" s="69" t="n">
        <f aca="false">-TaxEquity!AD53</f>
        <v>-0</v>
      </c>
      <c r="AE44" s="69" t="n">
        <f aca="false">-TaxEquity!AE53</f>
        <v>-0</v>
      </c>
      <c r="AF44" s="69" t="n">
        <f aca="false">-TaxEquity!AF53</f>
        <v>-0</v>
      </c>
      <c r="AG44" s="69" t="n">
        <f aca="false">-TaxEquity!AG53</f>
        <v>-0</v>
      </c>
      <c r="AH44" s="69" t="n">
        <f aca="false">-TaxEquity!AH53</f>
        <v>-0</v>
      </c>
      <c r="AI44" s="69" t="n">
        <f aca="false">-TaxEquity!AI53</f>
        <v>-0</v>
      </c>
      <c r="AJ44" s="69" t="n">
        <f aca="false">-TaxEquity!AJ53</f>
        <v>-0</v>
      </c>
      <c r="AK44" s="69" t="n">
        <f aca="false">-TaxEquity!AK53</f>
        <v>-0</v>
      </c>
      <c r="AL44" s="69" t="n">
        <f aca="false">-TaxEquity!AL53</f>
        <v>-0</v>
      </c>
      <c r="AM44" s="69" t="n">
        <f aca="false">-TaxEquity!AM53</f>
        <v>-0</v>
      </c>
    </row>
    <row r="45" customFormat="false" ht="21" hidden="false" customHeight="true" outlineLevel="0" collapsed="false">
      <c r="C45" s="60" t="s">
        <v>206</v>
      </c>
      <c r="D45" s="70"/>
      <c r="E45" s="70"/>
      <c r="F45" s="70"/>
      <c r="G45" s="70"/>
      <c r="H45" s="70"/>
      <c r="I45" s="70" t="n">
        <f aca="false">H1Data!D106</f>
        <v>-3503.35878907</v>
      </c>
      <c r="J45" s="70" t="n">
        <f aca="false">SUM(J37:J44)</f>
        <v>-5.22208679728239</v>
      </c>
      <c r="K45" s="70" t="n">
        <f aca="false">SUM(K37:K44)</f>
        <v>-5.21781869139633</v>
      </c>
      <c r="L45" s="70" t="n">
        <f aca="false">SUM(L37:L44)</f>
        <v>-5.08139555213359</v>
      </c>
      <c r="M45" s="70" t="n">
        <f aca="false">SUM(M37:M44)</f>
        <v>-5.20928247962421</v>
      </c>
      <c r="N45" s="70" t="n">
        <f aca="false">SUM(N37:N44)</f>
        <v>-5.07313470203154</v>
      </c>
      <c r="O45" s="70" t="n">
        <f aca="false">SUM(O37:O44)</f>
        <v>-5.20074626785208</v>
      </c>
      <c r="P45" s="70" t="n">
        <f aca="false">SUM(P37:P44)</f>
        <v>-5.19647816196602</v>
      </c>
      <c r="Q45" s="70" t="n">
        <f aca="false">SUM(Q37:Q44)</f>
        <v>-4.79781016847545</v>
      </c>
      <c r="R45" s="70" t="n">
        <f aca="false">SUM(R37:R44)</f>
        <v>-5.1879419501939</v>
      </c>
      <c r="S45" s="70" t="n">
        <f aca="false">SUM(S37:S44)</f>
        <v>-5.0524825767764</v>
      </c>
      <c r="T45" s="70" t="n">
        <f aca="false">SUM(T37:T44)</f>
        <v>-5.17940573842177</v>
      </c>
      <c r="U45" s="70" t="n">
        <f aca="false">SUM(U37:U44)</f>
        <v>-3726.18421240621</v>
      </c>
      <c r="V45" s="70" t="n">
        <f aca="false">SUM(V37:V44)</f>
        <v>-4.36351786530417</v>
      </c>
      <c r="W45" s="70" t="n">
        <f aca="false">SUM(W37:W44)</f>
        <v>-4.35924975941811</v>
      </c>
      <c r="X45" s="70" t="n">
        <f aca="false">SUM(X37:X44)</f>
        <v>-4.25052239215467</v>
      </c>
      <c r="Y45" s="70" t="n">
        <f aca="false">SUM(Y37:Y44)</f>
        <v>-4.35071354764598</v>
      </c>
      <c r="Z45" s="70" t="n">
        <f aca="false">SUM(Z37:Z44)</f>
        <v>-3.216377257886</v>
      </c>
      <c r="AA45" s="70" t="n">
        <f aca="false">SUM(AA37:AA44)</f>
        <v>-3.22935363045536</v>
      </c>
      <c r="AB45" s="70" t="n">
        <f aca="false">SUM(AB37:AB44)</f>
        <v>-3.22053025988034</v>
      </c>
      <c r="AC45" s="70" t="n">
        <f aca="false">SUM(AC37:AC44)</f>
        <v>-3.01275411408161</v>
      </c>
      <c r="AD45" s="70" t="n">
        <f aca="false">SUM(AD37:AD44)</f>
        <v>-3.22053025988034</v>
      </c>
      <c r="AE45" s="70" t="n">
        <f aca="false">SUM(AE37:AE44)</f>
        <v>-3.11664218698098</v>
      </c>
      <c r="AF45" s="70" t="n">
        <f aca="false">SUM(AF37:AF44)</f>
        <v>-3.22053025988034</v>
      </c>
      <c r="AG45" s="70" t="n">
        <f aca="false">SUM(AG37:AG44)</f>
        <v>-3891.16305154457</v>
      </c>
      <c r="AH45" s="70" t="n">
        <f aca="false">SUM(AH37:AH44)</f>
        <v>-2.415384477391</v>
      </c>
      <c r="AI45" s="70" t="n">
        <f aca="false">SUM(AI37:AI44)</f>
        <v>-2.415384477391</v>
      </c>
      <c r="AJ45" s="70" t="n">
        <f aca="false">SUM(AJ37:AJ44)</f>
        <v>-2.33746884908806</v>
      </c>
      <c r="AK45" s="70" t="n">
        <f aca="false">SUM(AK37:AK44)</f>
        <v>-2.415384477391</v>
      </c>
      <c r="AL45" s="70" t="n">
        <f aca="false">SUM(AL37:AL44)</f>
        <v>-2.33746884908806</v>
      </c>
      <c r="AM45" s="70" t="n">
        <f aca="false">SUM(AM37:AM44)</f>
        <v>-2.415384477391</v>
      </c>
    </row>
    <row r="46" customFormat="false" ht="21" hidden="false" customHeight="true" outlineLevel="0" collapsed="false">
      <c r="C46" s="56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</row>
    <row r="47" customFormat="false" ht="21" hidden="false" customHeight="true" outlineLevel="0" collapsed="false">
      <c r="C47" s="56" t="s">
        <v>207</v>
      </c>
      <c r="D47" s="69"/>
      <c r="E47" s="69"/>
      <c r="F47" s="69"/>
      <c r="G47" s="69"/>
      <c r="H47" s="69"/>
      <c r="I47" s="69" t="n">
        <f aca="false">H1Data!D107</f>
        <v>-7.09880488</v>
      </c>
      <c r="J47" s="69" t="n">
        <f aca="false">Inputs!J61</f>
        <v>0</v>
      </c>
      <c r="K47" s="69" t="n">
        <f aca="false">Inputs!K61</f>
        <v>0</v>
      </c>
      <c r="L47" s="69" t="n">
        <f aca="false">Inputs!L61</f>
        <v>0</v>
      </c>
      <c r="M47" s="69" t="n">
        <f aca="false">Inputs!M61</f>
        <v>0</v>
      </c>
      <c r="N47" s="69" t="n">
        <f aca="false">Inputs!N61</f>
        <v>0</v>
      </c>
      <c r="O47" s="69" t="n">
        <f aca="false">Inputs!O61</f>
        <v>0</v>
      </c>
      <c r="P47" s="69" t="n">
        <f aca="false">Inputs!P61</f>
        <v>0</v>
      </c>
      <c r="Q47" s="69" t="n">
        <f aca="false">Inputs!Q61</f>
        <v>0</v>
      </c>
      <c r="R47" s="69" t="n">
        <f aca="false">Inputs!R61</f>
        <v>0</v>
      </c>
      <c r="S47" s="69" t="n">
        <f aca="false">Inputs!S61</f>
        <v>0</v>
      </c>
      <c r="T47" s="69" t="n">
        <f aca="false">Inputs!T61</f>
        <v>0</v>
      </c>
      <c r="U47" s="69" t="n">
        <f aca="false">Inputs!U61</f>
        <v>0</v>
      </c>
      <c r="V47" s="69" t="n">
        <f aca="false">Inputs!V61</f>
        <v>0</v>
      </c>
      <c r="W47" s="69" t="n">
        <f aca="false">Inputs!W61</f>
        <v>0</v>
      </c>
      <c r="X47" s="69" t="n">
        <f aca="false">Inputs!X61</f>
        <v>0</v>
      </c>
      <c r="Y47" s="69" t="n">
        <f aca="false">Inputs!Y61</f>
        <v>0</v>
      </c>
      <c r="Z47" s="69" t="n">
        <f aca="false">Inputs!Z61</f>
        <v>0</v>
      </c>
      <c r="AA47" s="69" t="n">
        <f aca="false">Inputs!AA61</f>
        <v>0</v>
      </c>
      <c r="AB47" s="69" t="n">
        <f aca="false">Inputs!AB61</f>
        <v>0</v>
      </c>
      <c r="AC47" s="69" t="n">
        <f aca="false">Inputs!AC61</f>
        <v>0</v>
      </c>
      <c r="AD47" s="69" t="n">
        <f aca="false">Inputs!AD61</f>
        <v>0</v>
      </c>
      <c r="AE47" s="69" t="n">
        <f aca="false">Inputs!AE61</f>
        <v>0</v>
      </c>
      <c r="AF47" s="69" t="n">
        <f aca="false">Inputs!AF61</f>
        <v>0</v>
      </c>
      <c r="AG47" s="69" t="n">
        <f aca="false">Inputs!AG61</f>
        <v>0</v>
      </c>
      <c r="AH47" s="69" t="n">
        <f aca="false">Inputs!AH61</f>
        <v>0</v>
      </c>
      <c r="AI47" s="69" t="n">
        <f aca="false">Inputs!AI61</f>
        <v>0</v>
      </c>
      <c r="AJ47" s="69" t="n">
        <f aca="false">Inputs!AJ61</f>
        <v>0</v>
      </c>
      <c r="AK47" s="69" t="n">
        <f aca="false">Inputs!AK61</f>
        <v>0</v>
      </c>
      <c r="AL47" s="69" t="n">
        <f aca="false">Inputs!AL61</f>
        <v>0</v>
      </c>
      <c r="AM47" s="69" t="n">
        <f aca="false">Inputs!AM61</f>
        <v>0</v>
      </c>
    </row>
    <row r="48" customFormat="false" ht="21" hidden="false" customHeight="true" outlineLevel="0" collapsed="false">
      <c r="C48" s="56" t="s">
        <v>208</v>
      </c>
      <c r="D48" s="71"/>
      <c r="E48" s="71"/>
      <c r="F48" s="71"/>
      <c r="G48" s="71"/>
      <c r="H48" s="71"/>
      <c r="I48" s="71" t="n">
        <f aca="false">SUM(I24,I34,I45,I47)</f>
        <v>337.45409828</v>
      </c>
      <c r="J48" s="71" t="n">
        <f aca="false">J24+J34+J45+J47</f>
        <v>81.1779648915006</v>
      </c>
      <c r="K48" s="71" t="n">
        <f aca="false">K24+K34+K45+K47</f>
        <v>377.267449373685</v>
      </c>
      <c r="L48" s="71" t="n">
        <f aca="false">L24+L34+L45+L47</f>
        <v>92.9301795659</v>
      </c>
      <c r="M48" s="71" t="n">
        <f aca="false">M24+M34+M45+M47</f>
        <v>151.173055859229</v>
      </c>
      <c r="N48" s="71" t="n">
        <f aca="false">N24+N34+N45+N47</f>
        <v>619.997902509765</v>
      </c>
      <c r="O48" s="71" t="n">
        <f aca="false">O24+O34+O45+O47</f>
        <v>-67.3490768624272</v>
      </c>
      <c r="P48" s="71" t="n">
        <f aca="false">P24+P34+P45+P47</f>
        <v>824.15675961108</v>
      </c>
      <c r="Q48" s="71" t="n">
        <f aca="false">Q24+Q34+Q45+Q47</f>
        <v>724.060348524744</v>
      </c>
      <c r="R48" s="71" t="n">
        <f aca="false">R24+R34+R45+R47</f>
        <v>-634.746981505294</v>
      </c>
      <c r="S48" s="71" t="n">
        <f aca="false">S24+S34+S45+S47</f>
        <v>892.863376028088</v>
      </c>
      <c r="T48" s="71" t="n">
        <f aca="false">T24+T34+T45+T47</f>
        <v>115.328203908129</v>
      </c>
      <c r="U48" s="71" t="n">
        <f aca="false">U24+U34+U45+U47</f>
        <v>-3287.57889102961</v>
      </c>
      <c r="V48" s="71" t="n">
        <f aca="false">V24+V34+V45+V47</f>
        <v>0.367206085169424</v>
      </c>
      <c r="W48" s="71" t="n">
        <f aca="false">W24+W34+W45+W47</f>
        <v>553.073423429454</v>
      </c>
      <c r="X48" s="71" t="n">
        <f aca="false">X24+X34+X45+X47</f>
        <v>302.411653454014</v>
      </c>
      <c r="Y48" s="71" t="n">
        <f aca="false">Y24+Y34+Y45+Y47</f>
        <v>139.282151581252</v>
      </c>
      <c r="Z48" s="71" t="n">
        <f aca="false">Z24+Z34+Z45+Z47</f>
        <v>636.509977747802</v>
      </c>
      <c r="AA48" s="71" t="n">
        <f aca="false">AA24+AA34+AA45+AA47</f>
        <v>-84.1054438628952</v>
      </c>
      <c r="AB48" s="71" t="n">
        <f aca="false">AB24+AB34+AB45+AB47</f>
        <v>850.438252624893</v>
      </c>
      <c r="AC48" s="71" t="n">
        <f aca="false">AC24+AC34+AC45+AC47</f>
        <v>541.336570457585</v>
      </c>
      <c r="AD48" s="71" t="n">
        <f aca="false">AD24+AD34+AD45+AD47</f>
        <v>-361.000604550294</v>
      </c>
      <c r="AE48" s="71" t="n">
        <f aca="false">AE24+AE34+AE45+AE47</f>
        <v>794.743040960671</v>
      </c>
      <c r="AF48" s="71" t="n">
        <f aca="false">AF24+AF34+AF45+AF47</f>
        <v>113.152306086445</v>
      </c>
      <c r="AG48" s="71" t="n">
        <f aca="false">AG24+AG34+AG45+AG47</f>
        <v>-3438.59134299795</v>
      </c>
      <c r="AH48" s="71" t="n">
        <f aca="false">AH24+AH34+AH45+AH47</f>
        <v>-14.3121466849079</v>
      </c>
      <c r="AI48" s="71" t="n">
        <f aca="false">AI24+AI34+AI45+AI47</f>
        <v>560.70696153189</v>
      </c>
      <c r="AJ48" s="71" t="n">
        <f aca="false">AJ24+AJ34+AJ45+AJ47</f>
        <v>311.634415329233</v>
      </c>
      <c r="AK48" s="71" t="n">
        <f aca="false">AK24+AK34+AK45+AK47</f>
        <v>126.490182831164</v>
      </c>
      <c r="AL48" s="71" t="n">
        <f aca="false">AL24+AL34+AL45+AL47</f>
        <v>652.386423910637</v>
      </c>
      <c r="AM48" s="71" t="n">
        <f aca="false">AM24+AM34+AM45+AM47</f>
        <v>-98.8240251753956</v>
      </c>
    </row>
    <row r="49" customFormat="false" ht="21" hidden="false" customHeight="true" outlineLevel="0" collapsed="false">
      <c r="C49" s="56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</row>
    <row r="50" customFormat="false" ht="21" hidden="false" customHeight="true" outlineLevel="0" collapsed="false">
      <c r="C50" s="56" t="s">
        <v>209</v>
      </c>
      <c r="D50" s="69"/>
      <c r="E50" s="69"/>
      <c r="F50" s="69"/>
      <c r="G50" s="69"/>
      <c r="H50" s="69"/>
      <c r="I50" s="69" t="n">
        <f aca="false">H1Data!D108</f>
        <v>721.04458546</v>
      </c>
      <c r="J50" s="69" t="n">
        <f aca="false">H1Data!D9</f>
        <v>1058.49868374</v>
      </c>
      <c r="K50" s="69" t="n">
        <f aca="false">Monthly_CF!J51</f>
        <v>1139.6766486315</v>
      </c>
      <c r="L50" s="69" t="n">
        <f aca="false">Monthly_CF!K51</f>
        <v>1516.94409800519</v>
      </c>
      <c r="M50" s="69" t="n">
        <f aca="false">Monthly_CF!L51</f>
        <v>1609.87427757109</v>
      </c>
      <c r="N50" s="69" t="n">
        <f aca="false">Monthly_CF!M51</f>
        <v>1761.04733343031</v>
      </c>
      <c r="O50" s="69" t="n">
        <f aca="false">Monthly_CF!N51</f>
        <v>2381.04523594008</v>
      </c>
      <c r="P50" s="69" t="n">
        <f aca="false">Monthly_CF!O51</f>
        <v>2313.69615907765</v>
      </c>
      <c r="Q50" s="69" t="n">
        <f aca="false">Monthly_CF!P51</f>
        <v>3137.85291868873</v>
      </c>
      <c r="R50" s="69" t="n">
        <f aca="false">Monthly_CF!Q51</f>
        <v>3861.91326721347</v>
      </c>
      <c r="S50" s="69" t="n">
        <f aca="false">Monthly_CF!R51</f>
        <v>3227.16628570818</v>
      </c>
      <c r="T50" s="69" t="n">
        <f aca="false">Monthly_CF!S51</f>
        <v>4120.02966173627</v>
      </c>
      <c r="U50" s="69" t="n">
        <f aca="false">Monthly_CF!T51</f>
        <v>4235.3578656444</v>
      </c>
      <c r="V50" s="69" t="n">
        <f aca="false">Monthly_CF!U51</f>
        <v>947.778974614787</v>
      </c>
      <c r="W50" s="69" t="n">
        <f aca="false">Monthly_CF!V51</f>
        <v>948.146180699956</v>
      </c>
      <c r="X50" s="69" t="n">
        <f aca="false">Monthly_CF!W51</f>
        <v>1501.21960412941</v>
      </c>
      <c r="Y50" s="69" t="n">
        <f aca="false">Monthly_CF!X51</f>
        <v>1803.63125758342</v>
      </c>
      <c r="Z50" s="69" t="n">
        <f aca="false">Monthly_CF!Y51</f>
        <v>1942.91340916468</v>
      </c>
      <c r="AA50" s="69" t="n">
        <f aca="false">Monthly_CF!Z51</f>
        <v>2579.42338691248</v>
      </c>
      <c r="AB50" s="69" t="n">
        <f aca="false">Monthly_CF!AA51</f>
        <v>2495.31794304958</v>
      </c>
      <c r="AC50" s="69" t="n">
        <f aca="false">Monthly_CF!AB51</f>
        <v>3345.75619567448</v>
      </c>
      <c r="AD50" s="69" t="n">
        <f aca="false">Monthly_CF!AC51</f>
        <v>3887.09276613206</v>
      </c>
      <c r="AE50" s="69" t="n">
        <f aca="false">Monthly_CF!AD51</f>
        <v>3526.09216158177</v>
      </c>
      <c r="AF50" s="69" t="n">
        <f aca="false">Monthly_CF!AE51</f>
        <v>4320.83520254244</v>
      </c>
      <c r="AG50" s="69" t="n">
        <f aca="false">Monthly_CF!AF51</f>
        <v>4433.98750862888</v>
      </c>
      <c r="AH50" s="69" t="n">
        <f aca="false">Monthly_CF!AG51</f>
        <v>995.396165630931</v>
      </c>
      <c r="AI50" s="69" t="n">
        <f aca="false">Monthly_CF!AH51</f>
        <v>981.084018946023</v>
      </c>
      <c r="AJ50" s="69" t="n">
        <f aca="false">Monthly_CF!AI51</f>
        <v>1541.79098047791</v>
      </c>
      <c r="AK50" s="69" t="n">
        <f aca="false">Monthly_CF!AJ51</f>
        <v>1853.42539580715</v>
      </c>
      <c r="AL50" s="69" t="n">
        <f aca="false">Monthly_CF!AK51</f>
        <v>1979.91557863831</v>
      </c>
      <c r="AM50" s="69" t="n">
        <f aca="false">Monthly_CF!AL51</f>
        <v>2632.30200254895</v>
      </c>
    </row>
    <row r="51" customFormat="false" ht="21" hidden="false" customHeight="true" outlineLevel="0" collapsed="false">
      <c r="C51" s="60" t="s">
        <v>210</v>
      </c>
      <c r="D51" s="70"/>
      <c r="E51" s="70"/>
      <c r="F51" s="70"/>
      <c r="G51" s="70"/>
      <c r="H51" s="70"/>
      <c r="I51" s="70" t="n">
        <f aca="false">H1Data!D9</f>
        <v>1058.49868374</v>
      </c>
      <c r="J51" s="70" t="n">
        <f aca="false">J50+J48</f>
        <v>1139.6766486315</v>
      </c>
      <c r="K51" s="70" t="n">
        <f aca="false">K50+K48</f>
        <v>1516.94409800519</v>
      </c>
      <c r="L51" s="70" t="n">
        <f aca="false">L50+L48</f>
        <v>1609.87427757109</v>
      </c>
      <c r="M51" s="70" t="n">
        <f aca="false">M50+M48</f>
        <v>1761.04733343031</v>
      </c>
      <c r="N51" s="70" t="n">
        <f aca="false">N50+N48</f>
        <v>2381.04523594008</v>
      </c>
      <c r="O51" s="70" t="n">
        <f aca="false">O50+O48</f>
        <v>2313.69615907765</v>
      </c>
      <c r="P51" s="70" t="n">
        <f aca="false">P50+P48</f>
        <v>3137.85291868873</v>
      </c>
      <c r="Q51" s="70" t="n">
        <f aca="false">Q50+Q48</f>
        <v>3861.91326721347</v>
      </c>
      <c r="R51" s="70" t="n">
        <f aca="false">R50+R48</f>
        <v>3227.16628570818</v>
      </c>
      <c r="S51" s="70" t="n">
        <f aca="false">S50+S48</f>
        <v>4120.02966173627</v>
      </c>
      <c r="T51" s="70" t="n">
        <f aca="false">T50+T48</f>
        <v>4235.3578656444</v>
      </c>
      <c r="U51" s="70" t="n">
        <f aca="false">U50+U48</f>
        <v>947.778974614787</v>
      </c>
      <c r="V51" s="70" t="n">
        <f aca="false">V50+V48</f>
        <v>948.146180699956</v>
      </c>
      <c r="W51" s="70" t="n">
        <f aca="false">W50+W48</f>
        <v>1501.21960412941</v>
      </c>
      <c r="X51" s="70" t="n">
        <f aca="false">X50+X48</f>
        <v>1803.63125758342</v>
      </c>
      <c r="Y51" s="70" t="n">
        <f aca="false">Y50+Y48</f>
        <v>1942.91340916468</v>
      </c>
      <c r="Z51" s="70" t="n">
        <f aca="false">Z50+Z48</f>
        <v>2579.42338691248</v>
      </c>
      <c r="AA51" s="70" t="n">
        <f aca="false">AA50+AA48</f>
        <v>2495.31794304958</v>
      </c>
      <c r="AB51" s="70" t="n">
        <f aca="false">AB50+AB48</f>
        <v>3345.75619567448</v>
      </c>
      <c r="AC51" s="70" t="n">
        <f aca="false">AC50+AC48</f>
        <v>3887.09276613206</v>
      </c>
      <c r="AD51" s="70" t="n">
        <f aca="false">AD50+AD48</f>
        <v>3526.09216158177</v>
      </c>
      <c r="AE51" s="70" t="n">
        <f aca="false">AE50+AE48</f>
        <v>4320.83520254244</v>
      </c>
      <c r="AF51" s="70" t="n">
        <f aca="false">AF50+AF48</f>
        <v>4433.98750862888</v>
      </c>
      <c r="AG51" s="70" t="n">
        <f aca="false">AG50+AG48</f>
        <v>995.396165630931</v>
      </c>
      <c r="AH51" s="70" t="n">
        <f aca="false">AH50+AH48</f>
        <v>981.084018946023</v>
      </c>
      <c r="AI51" s="70" t="n">
        <f aca="false">AI50+AI48</f>
        <v>1541.79098047791</v>
      </c>
      <c r="AJ51" s="70" t="n">
        <f aca="false">AJ50+AJ48</f>
        <v>1853.42539580715</v>
      </c>
      <c r="AK51" s="70" t="n">
        <f aca="false">AK50+AK48</f>
        <v>1979.91557863831</v>
      </c>
      <c r="AL51" s="70" t="n">
        <f aca="false">AL50+AL48</f>
        <v>2632.30200254895</v>
      </c>
      <c r="AM51" s="70" t="n">
        <f aca="false">AM50+AM48</f>
        <v>2533.47797737355</v>
      </c>
    </row>
    <row r="52" customFormat="false" ht="21" hidden="false" customHeight="true" outlineLevel="0" collapsed="false">
      <c r="C52" s="56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</row>
    <row r="53" customFormat="false" ht="21" hidden="false" customHeight="true" outlineLevel="0" collapsed="false">
      <c r="C53" s="56" t="s">
        <v>211</v>
      </c>
      <c r="D53" s="69"/>
      <c r="E53" s="69"/>
      <c r="F53" s="69"/>
      <c r="G53" s="69"/>
      <c r="H53" s="69"/>
      <c r="I53" s="69"/>
      <c r="J53" s="69" t="n">
        <f aca="false">Monthly_PL!J31</f>
        <v>207.042069261519</v>
      </c>
      <c r="K53" s="69" t="n">
        <f aca="false">Monthly_PL!K31</f>
        <v>277.81828982131</v>
      </c>
      <c r="L53" s="69" t="n">
        <f aca="false">Monthly_PL!L31</f>
        <v>308.135201647774</v>
      </c>
      <c r="M53" s="69" t="n">
        <f aca="false">Monthly_PL!M31</f>
        <v>322.478644030691</v>
      </c>
      <c r="N53" s="69" t="n">
        <f aca="false">Monthly_PL!N31</f>
        <v>327.108139655216</v>
      </c>
      <c r="O53" s="69" t="n">
        <f aca="false">Monthly_PL!O31</f>
        <v>332.099329972973</v>
      </c>
      <c r="P53" s="69" t="n">
        <f aca="false">Monthly_PL!P31</f>
        <v>352.354377211064</v>
      </c>
      <c r="Q53" s="69" t="n">
        <f aca="false">Monthly_PL!Q31</f>
        <v>348.644800521259</v>
      </c>
      <c r="R53" s="69" t="n">
        <f aca="false">Monthly_PL!R31</f>
        <v>353.625981124023</v>
      </c>
      <c r="S53" s="69" t="n">
        <f aca="false">Monthly_PL!S31</f>
        <v>348.991037076945</v>
      </c>
      <c r="T53" s="69" t="n">
        <f aca="false">Monthly_PL!T31</f>
        <v>351.929322142837</v>
      </c>
      <c r="U53" s="69" t="n">
        <f aca="false">Monthly_PL!U31</f>
        <v>350.170792831681</v>
      </c>
      <c r="V53" s="69" t="n">
        <f aca="false">Monthly_PL!V31</f>
        <v>334.995262055904</v>
      </c>
      <c r="W53" s="69" t="n">
        <f aca="false">Monthly_PL!W31</f>
        <v>333.534160122861</v>
      </c>
      <c r="X53" s="69" t="n">
        <f aca="false">Monthly_PL!X31</f>
        <v>333.916391767643</v>
      </c>
      <c r="Y53" s="69" t="n">
        <f aca="false">Monthly_PL!Y31</f>
        <v>335.876503766015</v>
      </c>
      <c r="Z53" s="69" t="n">
        <f aca="false">Monthly_PL!Z31</f>
        <v>334.325906386004</v>
      </c>
      <c r="AA53" s="69" t="n">
        <f aca="false">Monthly_PL!AA31</f>
        <v>336.768142262202</v>
      </c>
      <c r="AB53" s="69" t="n">
        <f aca="false">Monthly_PL!AB31</f>
        <v>355.464893572893</v>
      </c>
      <c r="AC53" s="69" t="n">
        <f aca="false">Monthly_PL!AC31</f>
        <v>352.310994009276</v>
      </c>
      <c r="AD53" s="69" t="n">
        <f aca="false">Monthly_PL!AD31</f>
        <v>354.97923019313</v>
      </c>
      <c r="AE53" s="69" t="n">
        <f aca="false">Monthly_PL!AE31</f>
        <v>351.14220679397</v>
      </c>
      <c r="AF53" s="69" t="n">
        <f aca="false">Monthly_PL!AF31</f>
        <v>353.762884903614</v>
      </c>
      <c r="AG53" s="69" t="n">
        <f aca="false">Monthly_PL!AG31</f>
        <v>351.847844197583</v>
      </c>
      <c r="AH53" s="69" t="n">
        <f aca="false">Monthly_PL!AH31</f>
        <v>336.354573835153</v>
      </c>
      <c r="AI53" s="69" t="n">
        <f aca="false">Monthly_PL!AI31</f>
        <v>334.794896296566</v>
      </c>
      <c r="AJ53" s="69" t="n">
        <f aca="false">Monthly_PL!AJ31</f>
        <v>334.406824888951</v>
      </c>
      <c r="AK53" s="69" t="n">
        <f aca="false">Monthly_PL!AK31</f>
        <v>336.21356074246</v>
      </c>
      <c r="AL53" s="69" t="n">
        <f aca="false">Monthly_PL!AL31</f>
        <v>334.532686770251</v>
      </c>
      <c r="AM53" s="69" t="n">
        <f aca="false">Monthly_PL!AM31</f>
        <v>336.971487619215</v>
      </c>
    </row>
    <row r="54" customFormat="false" ht="21" hidden="false" customHeight="true" outlineLevel="0" collapsed="false">
      <c r="C54" s="56" t="s">
        <v>212</v>
      </c>
      <c r="D54" s="69"/>
      <c r="E54" s="69"/>
      <c r="F54" s="69"/>
      <c r="G54" s="69"/>
      <c r="H54" s="69"/>
      <c r="I54" s="69"/>
      <c r="J54" s="69" t="n">
        <f aca="false">Assets!J100</f>
        <v>26.380475805</v>
      </c>
      <c r="K54" s="69" t="n">
        <f aca="false">Assets!K100</f>
        <v>26.5916409703219</v>
      </c>
      <c r="L54" s="69" t="n">
        <f aca="false">Assets!L100</f>
        <v>26.8028061356437</v>
      </c>
      <c r="M54" s="69" t="n">
        <f aca="false">Assets!M100</f>
        <v>27.0139713009656</v>
      </c>
      <c r="N54" s="69" t="n">
        <f aca="false">Assets!N100</f>
        <v>27.2251364662874</v>
      </c>
      <c r="O54" s="69" t="n">
        <f aca="false">Assets!O100</f>
        <v>27.4363016316093</v>
      </c>
      <c r="P54" s="69" t="n">
        <f aca="false">Assets!P100</f>
        <v>27.6474667969312</v>
      </c>
      <c r="Q54" s="69" t="n">
        <f aca="false">Assets!Q100</f>
        <v>27.8691902205191</v>
      </c>
      <c r="R54" s="69" t="n">
        <f aca="false">Assets!R100</f>
        <v>28.0909136441071</v>
      </c>
      <c r="S54" s="69" t="n">
        <f aca="false">Assets!S100</f>
        <v>28.312637067695</v>
      </c>
      <c r="T54" s="69" t="n">
        <f aca="false">Assets!T100</f>
        <v>28.534360491283</v>
      </c>
      <c r="U54" s="69" t="n">
        <f aca="false">Assets!U100</f>
        <v>28.7560839148709</v>
      </c>
      <c r="V54" s="69" t="n">
        <f aca="false">Assets!V100</f>
        <v>28.9778073384589</v>
      </c>
      <c r="W54" s="69" t="n">
        <f aca="false">Assets!W100</f>
        <v>29.1995307620468</v>
      </c>
      <c r="X54" s="69" t="n">
        <f aca="false">Assets!X100</f>
        <v>28.1775996406348</v>
      </c>
      <c r="Y54" s="69" t="n">
        <f aca="false">Assets!Y100</f>
        <v>28.3830314108894</v>
      </c>
      <c r="Z54" s="69" t="n">
        <f aca="false">Assets!Z100</f>
        <v>28.6047548344774</v>
      </c>
      <c r="AA54" s="69" t="n">
        <f aca="false">Assets!AA100</f>
        <v>28.8264782580653</v>
      </c>
      <c r="AB54" s="69" t="n">
        <f aca="false">Assets!AB100</f>
        <v>29.0482016816533</v>
      </c>
      <c r="AC54" s="69" t="n">
        <f aca="false">Assets!AC100</f>
        <v>29.2810112764206</v>
      </c>
      <c r="AD54" s="69" t="n">
        <f aca="false">Assets!AD100</f>
        <v>29.513820871188</v>
      </c>
      <c r="AE54" s="69" t="n">
        <f aca="false">Assets!AE100</f>
        <v>29.7466304659553</v>
      </c>
      <c r="AF54" s="69" t="n">
        <f aca="false">Assets!AF100</f>
        <v>29.9794400607227</v>
      </c>
      <c r="AG54" s="69" t="n">
        <f aca="false">Assets!AG100</f>
        <v>30.21224965549</v>
      </c>
      <c r="AH54" s="69" t="n">
        <f aca="false">Assets!AH100</f>
        <v>30.4450592502574</v>
      </c>
      <c r="AI54" s="69" t="n">
        <f aca="false">Assets!AI100</f>
        <v>30.6778688450247</v>
      </c>
      <c r="AJ54" s="69" t="n">
        <f aca="false">Assets!AJ100</f>
        <v>30.9106784397921</v>
      </c>
      <c r="AK54" s="69" t="n">
        <f aca="false">Assets!AK100</f>
        <v>31.1434880345594</v>
      </c>
      <c r="AL54" s="69" t="n">
        <f aca="false">Assets!AL100</f>
        <v>31.3762976293268</v>
      </c>
      <c r="AM54" s="69" t="n">
        <f aca="false">Assets!AM100</f>
        <v>31.6091072240941</v>
      </c>
    </row>
    <row r="55" customFormat="false" ht="21" hidden="false" customHeight="true" outlineLevel="0" collapsed="false">
      <c r="C55" s="56" t="s">
        <v>213</v>
      </c>
      <c r="D55" s="69"/>
      <c r="E55" s="69"/>
      <c r="F55" s="69"/>
      <c r="G55" s="69"/>
      <c r="H55" s="69"/>
      <c r="I55" s="69"/>
      <c r="J55" s="69" t="n">
        <f aca="false">TaxEquity!J44+Assets!J103+Receivables!J16</f>
        <v>4.32825120034423</v>
      </c>
      <c r="K55" s="69" t="n">
        <f aca="false">TaxEquity!K44+Assets!K103+Receivables!K16</f>
        <v>3.76704643916667</v>
      </c>
      <c r="L55" s="69" t="n">
        <f aca="false">TaxEquity!L44+Assets!L103+Receivables!L16</f>
        <v>4.67138182420592</v>
      </c>
      <c r="M55" s="69" t="n">
        <f aca="false">TaxEquity!M44+Assets!M103+Receivables!M16</f>
        <v>2.86271105412742</v>
      </c>
      <c r="N55" s="69" t="n">
        <f aca="false">TaxEquity!N44+Assets!N103+Receivables!N16</f>
        <v>4.67138182420592</v>
      </c>
      <c r="O55" s="69" t="n">
        <f aca="false">TaxEquity!O44+Assets!O103+Receivables!O16</f>
        <v>2.86271105412742</v>
      </c>
      <c r="P55" s="69" t="n">
        <f aca="false">TaxEquity!P44+Assets!P103+Receivables!P16</f>
        <v>5.61264310999276</v>
      </c>
      <c r="Q55" s="69" t="n">
        <f aca="false">TaxEquity!Q44+Assets!Q103+Receivables!Q16</f>
        <v>6.87158124866706</v>
      </c>
      <c r="R55" s="69" t="n">
        <f aca="false">TaxEquity!R44+Assets!R103+Receivables!R16</f>
        <v>0.662511629666284</v>
      </c>
      <c r="S55" s="69" t="n">
        <f aca="false">TaxEquity!S44+Assets!S103+Receivables!S16</f>
        <v>4.73290171323346</v>
      </c>
      <c r="T55" s="69" t="n">
        <f aca="false">TaxEquity!T44+Assets!T103+Receivables!T16</f>
        <v>2.80119116509988</v>
      </c>
      <c r="U55" s="69" t="n">
        <f aca="false">TaxEquity!U44+Assets!U103+Receivables!U16</f>
        <v>4.73290171323346</v>
      </c>
      <c r="V55" s="69" t="n">
        <f aca="false">TaxEquity!V44+Assets!V103+Receivables!V16</f>
        <v>1.93994039755815</v>
      </c>
      <c r="W55" s="69" t="n">
        <f aca="false">TaxEquity!W44+Assets!W103+Receivables!W16</f>
        <v>3.76704643916667</v>
      </c>
      <c r="X55" s="69" t="n">
        <f aca="false">TaxEquity!X44+Assets!X103+Receivables!X16</f>
        <v>4.7041933543154</v>
      </c>
      <c r="Y55" s="69" t="n">
        <f aca="false">TaxEquity!Y44+Assets!Y103+Receivables!Y16</f>
        <v>2.82989952401794</v>
      </c>
      <c r="Z55" s="69" t="n">
        <f aca="false">TaxEquity!Z44+Assets!Z103+Receivables!Z16</f>
        <v>4.7041933543154</v>
      </c>
      <c r="AA55" s="69" t="n">
        <f aca="false">TaxEquity!AA44+Assets!AA103+Receivables!AA16</f>
        <v>2.82989952401794</v>
      </c>
      <c r="AB55" s="69" t="n">
        <f aca="false">TaxEquity!AB44+Assets!AB103+Receivables!AB16</f>
        <v>5.67674094498107</v>
      </c>
      <c r="AC55" s="69" t="n">
        <f aca="false">TaxEquity!AC44+Assets!AC103+Receivables!AC16</f>
        <v>5.83767416056503</v>
      </c>
      <c r="AD55" s="69" t="n">
        <f aca="false">TaxEquity!AD44+Assets!AD103+Receivables!AD16</f>
        <v>1.69641871776831</v>
      </c>
      <c r="AE55" s="69" t="n">
        <f aca="false">TaxEquity!AE44+Assets!AE103+Receivables!AE16</f>
        <v>4.76784983784254</v>
      </c>
      <c r="AF55" s="69" t="n">
        <f aca="false">TaxEquity!AF44+Assets!AF103+Receivables!AF16</f>
        <v>2.7662430404908</v>
      </c>
      <c r="AG55" s="69" t="n">
        <f aca="false">TaxEquity!AG44+Assets!AG103+Receivables!AG16</f>
        <v>4.76784983784254</v>
      </c>
      <c r="AH55" s="69" t="n">
        <f aca="false">TaxEquity!AH44+Assets!AH103+Receivables!AH16</f>
        <v>1.89245747457254</v>
      </c>
      <c r="AI55" s="69" t="n">
        <f aca="false">TaxEquity!AI44+Assets!AI103+Receivables!AI16</f>
        <v>3.76704643916667</v>
      </c>
      <c r="AJ55" s="69" t="n">
        <f aca="false">TaxEquity!AJ44+Assets!AJ103+Receivables!AJ16</f>
        <v>4.73872365231194</v>
      </c>
      <c r="AK55" s="69" t="n">
        <f aca="false">TaxEquity!AK44+Assets!AK103+Receivables!AK16</f>
        <v>2.7953692260214</v>
      </c>
      <c r="AL55" s="69" t="n">
        <f aca="false">TaxEquity!AL44+Assets!AL103+Receivables!AL16</f>
        <v>4.73872365231194</v>
      </c>
      <c r="AM55" s="69" t="n">
        <f aca="false">TaxEquity!AM44+Assets!AM103+Receivables!AM16</f>
        <v>2.7953692260214</v>
      </c>
    </row>
    <row r="56" customFormat="false" ht="21" hidden="false" customHeight="true" outlineLevel="0" collapsed="false">
      <c r="C56" s="56" t="s">
        <v>214</v>
      </c>
      <c r="D56" s="69"/>
      <c r="E56" s="69"/>
      <c r="F56" s="69"/>
      <c r="G56" s="69"/>
      <c r="H56" s="69"/>
      <c r="I56" s="69"/>
      <c r="J56" s="69" t="n">
        <f aca="false">-Funding!J59-Funding!J56+Monthly_PL!J28</f>
        <v>-33.8350452064275</v>
      </c>
      <c r="K56" s="69" t="n">
        <f aca="false">-Funding!K59-Funding!K56+Monthly_PL!K28</f>
        <v>-33.8393133123135</v>
      </c>
      <c r="L56" s="69" t="n">
        <f aca="false">-Funding!L59-Funding!L56+Monthly_PL!L28</f>
        <v>-32.7518529853545</v>
      </c>
      <c r="M56" s="69" t="n">
        <f aca="false">-Funding!M59-Funding!M56+Monthly_PL!M28</f>
        <v>-33.8478495240857</v>
      </c>
      <c r="N56" s="69" t="n">
        <f aca="false">-Funding!N59-Funding!N56+Monthly_PL!N28</f>
        <v>-32.7601138354565</v>
      </c>
      <c r="O56" s="69" t="n">
        <f aca="false">-Funding!O59-Funding!O56+Monthly_PL!O28</f>
        <v>-33.8563857358578</v>
      </c>
      <c r="P56" s="69" t="n">
        <f aca="false">-Funding!P59-Funding!P56+Monthly_PL!P28</f>
        <v>-33.8606538417439</v>
      </c>
      <c r="Q56" s="69" t="n">
        <f aca="false">-Funding!Q59-Funding!Q56+Monthly_PL!Q28</f>
        <v>-30.587671436569</v>
      </c>
      <c r="R56" s="69" t="n">
        <f aca="false">-Funding!R59-Funding!R56+Monthly_PL!R28</f>
        <v>-33.869190053516</v>
      </c>
      <c r="S56" s="69" t="n">
        <f aca="false">-Funding!S59-Funding!S56+Monthly_PL!S28</f>
        <v>-32.7807659607117</v>
      </c>
      <c r="T56" s="69" t="n">
        <f aca="false">-Funding!T59-Funding!T56+Monthly_PL!T28</f>
        <v>-33.8777262652881</v>
      </c>
      <c r="U56" s="69" t="n">
        <f aca="false">-Funding!U59-Funding!U56+Monthly_PL!U28</f>
        <v>-32.7890268108137</v>
      </c>
      <c r="V56" s="69" t="n">
        <f aca="false">-Funding!V59-Funding!V56+Monthly_PL!V28</f>
        <v>-34.6936141384057</v>
      </c>
      <c r="W56" s="69" t="n">
        <f aca="false">-Funding!W59-Funding!W56+Monthly_PL!W28</f>
        <v>-34.6978822442918</v>
      </c>
      <c r="X56" s="69" t="n">
        <f aca="false">-Funding!X59-Funding!X56+Monthly_PL!X28</f>
        <v>-33.5827261453334</v>
      </c>
      <c r="Y56" s="69" t="n">
        <f aca="false">-Funding!Y59-Funding!Y56+Monthly_PL!Y28</f>
        <v>-34.7064184560639</v>
      </c>
      <c r="Z56" s="69" t="n">
        <f aca="false">-Funding!Z59-Funding!Z56+Monthly_PL!Z28</f>
        <v>-33.5909869954354</v>
      </c>
      <c r="AA56" s="69" t="n">
        <f aca="false">-Funding!AA59-Funding!AA56+Monthly_PL!AA28</f>
        <v>-34.7110338224212</v>
      </c>
      <c r="AB56" s="69" t="n">
        <f aca="false">-Funding!AB59-Funding!AB56+Monthly_PL!AB28</f>
        <v>-34.616194932196</v>
      </c>
      <c r="AC56" s="69" t="n">
        <f aca="false">-Funding!AC59-Funding!AC56+Monthly_PL!AC28</f>
        <v>-32.3828920333446</v>
      </c>
      <c r="AD56" s="69" t="n">
        <f aca="false">-Funding!AD59-Funding!AD56+Monthly_PL!AD28</f>
        <v>-34.616194932196</v>
      </c>
      <c r="AE56" s="69" t="n">
        <f aca="false">-Funding!AE59-Funding!AE56+Monthly_PL!AE28</f>
        <v>-33.4995434827703</v>
      </c>
      <c r="AF56" s="69" t="n">
        <f aca="false">-Funding!AF59-Funding!AF56+Monthly_PL!AF28</f>
        <v>-34.616194932196</v>
      </c>
      <c r="AG56" s="69" t="n">
        <f aca="false">-Funding!AG59-Funding!AG56+Monthly_PL!AG28</f>
        <v>-33.4995434827703</v>
      </c>
      <c r="AH56" s="69" t="n">
        <f aca="false">-Funding!AH59-Funding!AH56+Monthly_PL!AH28</f>
        <v>-35.4213407146853</v>
      </c>
      <c r="AI56" s="69" t="n">
        <f aca="false">-Funding!AI59-Funding!AI56+Monthly_PL!AI28</f>
        <v>-35.4213407146853</v>
      </c>
      <c r="AJ56" s="69" t="n">
        <f aca="false">-Funding!AJ59-Funding!AJ56+Monthly_PL!AJ28</f>
        <v>-34.2787168206632</v>
      </c>
      <c r="AK56" s="69" t="n">
        <f aca="false">-Funding!AK59-Funding!AK56+Monthly_PL!AK28</f>
        <v>-35.4213407146853</v>
      </c>
      <c r="AL56" s="69" t="n">
        <f aca="false">-Funding!AL59-Funding!AL56+Monthly_PL!AL28</f>
        <v>-34.2787168206632</v>
      </c>
      <c r="AM56" s="69" t="n">
        <f aca="false">-Funding!AM59-Funding!AM56+Monthly_PL!AM28</f>
        <v>-35.4213407146853</v>
      </c>
    </row>
    <row r="57" customFormat="false" ht="21" hidden="false" customHeight="true" outlineLevel="0" collapsed="false">
      <c r="C57" s="56" t="s">
        <v>215</v>
      </c>
      <c r="D57" s="69"/>
      <c r="E57" s="69"/>
      <c r="F57" s="69"/>
      <c r="G57" s="69"/>
      <c r="H57" s="69"/>
      <c r="I57" s="69"/>
      <c r="J57" s="69" t="n">
        <f aca="false">TaxEquity!J24-TaxEquity!J12</f>
        <v>44.1132636023108</v>
      </c>
      <c r="K57" s="69" t="n">
        <f aca="false">TaxEquity!K24-TaxEquity!K12</f>
        <v>59.1931460893123</v>
      </c>
      <c r="L57" s="69" t="n">
        <f aca="false">TaxEquity!L24-TaxEquity!L12</f>
        <v>-365.036235521623</v>
      </c>
      <c r="M57" s="69" t="n">
        <f aca="false">TaxEquity!M24-TaxEquity!M12</f>
        <v>68.7086710492301</v>
      </c>
      <c r="N57" s="69" t="n">
        <f aca="false">TaxEquity!N24-TaxEquity!N12</f>
        <v>69.695051071217</v>
      </c>
      <c r="O57" s="69" t="n">
        <f aca="false">TaxEquity!O24-TaxEquity!O12</f>
        <v>-138.403722120447</v>
      </c>
      <c r="P57" s="69" t="n">
        <f aca="false">TaxEquity!P24-TaxEquity!P12</f>
        <v>75.0741217897431</v>
      </c>
      <c r="Q57" s="69" t="n">
        <f aca="false">TaxEquity!Q24-TaxEquity!Q12</f>
        <v>74.2837436074053</v>
      </c>
      <c r="R57" s="69" t="n">
        <f aca="false">TaxEquity!R24-TaxEquity!R12</f>
        <v>-149.357865397148</v>
      </c>
      <c r="S57" s="69" t="n">
        <f aca="false">TaxEquity!S24-TaxEquity!S12</f>
        <v>74.3575142401284</v>
      </c>
      <c r="T57" s="69" t="n">
        <f aca="false">TaxEquity!T24-TaxEquity!T12</f>
        <v>74.9835577496082</v>
      </c>
      <c r="U57" s="69" t="n">
        <f aca="false">TaxEquity!U24-TaxEquity!U12</f>
        <v>-149.341071989737</v>
      </c>
      <c r="V57" s="69" t="n">
        <f aca="false">TaxEquity!V24-TaxEquity!V12</f>
        <v>71.3755149052881</v>
      </c>
      <c r="W57" s="69" t="n">
        <f aca="false">TaxEquity!W24-TaxEquity!W12</f>
        <v>71.0642063149517</v>
      </c>
      <c r="X57" s="69" t="n">
        <f aca="false">TaxEquity!X24-TaxEquity!X12</f>
        <v>-142.43972122024</v>
      </c>
      <c r="Y57" s="69" t="n">
        <f aca="false">TaxEquity!Y24-TaxEquity!Y12</f>
        <v>71.56327601101</v>
      </c>
      <c r="Z57" s="69" t="n">
        <f aca="false">TaxEquity!Z24-TaxEquity!Z12</f>
        <v>71.2328991402153</v>
      </c>
      <c r="AA57" s="69" t="n">
        <f aca="false">TaxEquity!AA24-TaxEquity!AA12</f>
        <v>-142.796175151225</v>
      </c>
      <c r="AB57" s="69" t="n">
        <f aca="false">TaxEquity!AB24-TaxEquity!AB12</f>
        <v>75.7368616314481</v>
      </c>
      <c r="AC57" s="69" t="n">
        <f aca="false">TaxEquity!AC24-TaxEquity!AC12</f>
        <v>75.0648783803083</v>
      </c>
      <c r="AD57" s="69" t="n">
        <f aca="false">TaxEquity!AD24-TaxEquity!AD12</f>
        <v>-150.801740011756</v>
      </c>
      <c r="AE57" s="69" t="n">
        <f aca="false">TaxEquity!AE24-TaxEquity!AE12</f>
        <v>74.8158516066304</v>
      </c>
      <c r="AF57" s="69" t="n">
        <f aca="false">TaxEquity!AF24-TaxEquity!AF12</f>
        <v>75.374224427574</v>
      </c>
      <c r="AG57" s="69" t="n">
        <f aca="false">TaxEquity!AG24-TaxEquity!AG12</f>
        <v>-150.190076034204</v>
      </c>
      <c r="AH57" s="69" t="n">
        <f aca="false">TaxEquity!AH24-TaxEquity!AH12</f>
        <v>71.6651356526542</v>
      </c>
      <c r="AI57" s="69" t="n">
        <f aca="false">TaxEquity!AI24-TaxEquity!AI12</f>
        <v>71.3328241246654</v>
      </c>
      <c r="AJ57" s="69" t="n">
        <f aca="false">TaxEquity!AJ24-TaxEquity!AJ12</f>
        <v>-142.99795977732</v>
      </c>
      <c r="AK57" s="69" t="n">
        <f aca="false">TaxEquity!AK24-TaxEquity!AK12</f>
        <v>71.6350908035492</v>
      </c>
      <c r="AL57" s="69" t="n">
        <f aca="false">TaxEquity!AL24-TaxEquity!AL12</f>
        <v>71.2769566480958</v>
      </c>
      <c r="AM57" s="69" t="n">
        <f aca="false">TaxEquity!AM24-TaxEquity!AM12</f>
        <v>-142.912047451645</v>
      </c>
    </row>
    <row r="58" customFormat="false" ht="21" hidden="false" customHeight="true" outlineLevel="0" collapsed="false">
      <c r="C58" s="56" t="s">
        <v>216</v>
      </c>
      <c r="D58" s="69"/>
      <c r="E58" s="69"/>
      <c r="F58" s="69"/>
      <c r="G58" s="69"/>
      <c r="H58" s="69"/>
      <c r="I58" s="69"/>
      <c r="J58" s="69" t="n">
        <f aca="false">-Receivables!J34-Inventory!J31+Receivables!J35+Receivables!J44</f>
        <v>-147.811474964442</v>
      </c>
      <c r="K58" s="69" t="n">
        <f aca="false">-Receivables!K34-Inventory!K31+Receivables!K35+Receivables!K44</f>
        <v>62.914960911907</v>
      </c>
      <c r="L58" s="69" t="n">
        <f aca="false">-Receivables!L34-Inventory!L31+Receivables!L35+Receivables!L44</f>
        <v>171.755329664719</v>
      </c>
      <c r="M58" s="69" t="n">
        <f aca="false">-Receivables!M34-Inventory!M31+Receivables!M35+Receivables!M44</f>
        <v>-216.044938561637</v>
      </c>
      <c r="N58" s="69" t="n">
        <f aca="false">-Receivables!N34-Inventory!N31+Receivables!N35+Receivables!N44</f>
        <v>245.112672743779</v>
      </c>
      <c r="O58" s="69" t="n">
        <f aca="false">-Receivables!O34-Inventory!O31+Receivables!O35+Receivables!O44</f>
        <v>-236.139088078717</v>
      </c>
      <c r="P58" s="69" t="n">
        <f aca="false">-Receivables!P34-Inventory!P31+Receivables!P35+Receivables!P44</f>
        <v>420.742216756979</v>
      </c>
      <c r="Q58" s="69" t="n">
        <f aca="false">-Receivables!Q34-Inventory!Q31+Receivables!Q35+Receivables!Q44</f>
        <v>323.988762948858</v>
      </c>
      <c r="R58" s="69" t="n">
        <f aca="false">-Receivables!R34-Inventory!R31+Receivables!R35+Receivables!R44</f>
        <v>-807.766893249665</v>
      </c>
      <c r="S58" s="69" t="n">
        <f aca="false">-Receivables!S34-Inventory!S31+Receivables!S35+Receivables!S44</f>
        <v>494.971480771587</v>
      </c>
      <c r="T58" s="69" t="n">
        <f aca="false">-Receivables!T34-Inventory!T31+Receivables!T35+Receivables!T44</f>
        <v>-282.463863208069</v>
      </c>
      <c r="U58" s="69" t="n">
        <f aca="false">-Receivables!U34-Inventory!U31+Receivables!U35+Receivables!U44</f>
        <v>259.463468136634</v>
      </c>
      <c r="V58" s="69" t="n">
        <f aca="false">-Receivables!V34-Inventory!V31+Receivables!V35+Receivables!V44</f>
        <v>-382.053649846376</v>
      </c>
      <c r="W58" s="69" t="n">
        <f aca="false">-Receivables!W34-Inventory!W31+Receivables!W35+Receivables!W44</f>
        <v>170.376795479445</v>
      </c>
      <c r="X58" s="69" t="n">
        <f aca="false">-Receivables!X34-Inventory!X31+Receivables!X35+Receivables!X44</f>
        <v>133.612793791285</v>
      </c>
      <c r="Y58" s="69" t="n">
        <f aca="false">-Receivables!Y34-Inventory!Y31+Receivables!Y35+Receivables!Y44</f>
        <v>-242.995097186878</v>
      </c>
      <c r="Z58" s="69" t="n">
        <f aca="false">-Receivables!Z34-Inventory!Z31+Receivables!Z35+Receivables!Z44</f>
        <v>252.928993657247</v>
      </c>
      <c r="AA58" s="69" t="n">
        <f aca="false">-Receivables!AA34-Inventory!AA31+Receivables!AA35+Receivables!AA44</f>
        <v>-253.108323731959</v>
      </c>
      <c r="AB58" s="69" t="n">
        <f aca="false">-Receivables!AB34-Inventory!AB31+Receivables!AB35+Receivables!AB44</f>
        <v>443.257599212324</v>
      </c>
      <c r="AC58" s="69" t="n">
        <f aca="false">-Receivables!AC34-Inventory!AC31+Receivables!AC35+Receivables!AC44</f>
        <v>138.308514555349</v>
      </c>
      <c r="AD58" s="69" t="n">
        <f aca="false">-Receivables!AD34-Inventory!AD31+Receivables!AD35+Receivables!AD44</f>
        <v>-535.197037379807</v>
      </c>
      <c r="AE58" s="69" t="n">
        <f aca="false">-Receivables!AE34-Inventory!AE31+Receivables!AE35+Receivables!AE44</f>
        <v>394.430473447783</v>
      </c>
      <c r="AF58" s="69" t="n">
        <f aca="false">-Receivables!AF34-Inventory!AF31+Receivables!AF35+Receivables!AF44</f>
        <v>-286.777133813159</v>
      </c>
      <c r="AG58" s="69" t="n">
        <f aca="false">-Receivables!AG34-Inventory!AG31+Receivables!AG35+Receivables!AG44</f>
        <v>274.520824350304</v>
      </c>
      <c r="AH58" s="69" t="n">
        <f aca="false">-Receivables!AH34-Inventory!AH31+Receivables!AH35+Receivables!AH44</f>
        <v>-398.558587752997</v>
      </c>
      <c r="AI58" s="69" t="n">
        <f aca="false">-Receivables!AI34-Inventory!AI31+Receivables!AI35+Receivables!AI44</f>
        <v>176.219965514865</v>
      </c>
      <c r="AJ58" s="69" t="n">
        <f aca="false">-Receivables!AJ34-Inventory!AJ31+Receivables!AJ35+Receivables!AJ44</f>
        <v>141.362299448946</v>
      </c>
      <c r="AK58" s="69" t="n">
        <f aca="false">-Receivables!AK34-Inventory!AK31+Receivables!AK35+Receivables!AK44</f>
        <v>-257.679042559898</v>
      </c>
      <c r="AL58" s="69" t="n">
        <f aca="false">-Receivables!AL34-Inventory!AL31+Receivables!AL35+Receivables!AL44</f>
        <v>267.992834484172</v>
      </c>
      <c r="AM58" s="69" t="n">
        <f aca="false">-Receivables!AM34-Inventory!AM31+Receivables!AM35+Receivables!AM44</f>
        <v>-268.301225815264</v>
      </c>
    </row>
    <row r="59" customFormat="false" ht="21" hidden="false" customHeight="true" outlineLevel="0" collapsed="false">
      <c r="C59" s="56" t="s">
        <v>217</v>
      </c>
      <c r="D59" s="69"/>
      <c r="E59" s="69"/>
      <c r="F59" s="69"/>
      <c r="G59" s="69"/>
      <c r="H59" s="69"/>
      <c r="I59" s="69"/>
      <c r="J59" s="69" t="n">
        <f aca="false">-OtherBalances!J20+OtherBalances!J40-OtherBalances!J44</f>
        <v>-7.99570331639787</v>
      </c>
      <c r="K59" s="69" t="n">
        <f aca="false">-OtherBalances!K20+OtherBalances!K40-OtherBalances!K44</f>
        <v>-8.13871816149952</v>
      </c>
      <c r="L59" s="69" t="n">
        <f aca="false">-OtherBalances!L20+OtherBalances!L40-OtherBalances!L44</f>
        <v>-8.51938748798664</v>
      </c>
      <c r="M59" s="69" t="n">
        <f aca="false">-OtherBalances!M20+OtherBalances!M40-OtherBalances!M44</f>
        <v>-8.96708631731416</v>
      </c>
      <c r="N59" s="69" t="n">
        <f aca="false">-OtherBalances!N20+OtherBalances!N40-OtherBalances!N44</f>
        <v>-8.9355625541073</v>
      </c>
      <c r="O59" s="69" t="n">
        <f aca="false">-OtherBalances!O20+OtherBalances!O40-OtherBalances!O44</f>
        <v>-10.3256926251397</v>
      </c>
      <c r="P59" s="69" t="n">
        <f aca="false">-OtherBalances!P20+OtherBalances!P40-OtherBalances!P44</f>
        <v>-10.2070407494972</v>
      </c>
      <c r="Q59" s="69" t="n">
        <f aca="false">-OtherBalances!Q20+OtherBalances!Q40-OtherBalances!Q44</f>
        <v>-10.5307047178315</v>
      </c>
      <c r="R59" s="69" t="n">
        <f aca="false">-OtherBalances!R20+OtherBalances!R40-OtherBalances!R44</f>
        <v>-12.9346039521434</v>
      </c>
      <c r="S59" s="69" t="n">
        <f aca="false">-OtherBalances!S20+OtherBalances!S40-OtherBalances!S44</f>
        <v>-11.4351695373672</v>
      </c>
      <c r="T59" s="69" t="n">
        <f aca="false">-OtherBalances!T20+OtherBalances!T40-OtherBalances!T44</f>
        <v>-13.3893391284959</v>
      </c>
      <c r="U59" s="69" t="n">
        <f aca="false">-OtherBalances!U20+OtherBalances!U40-OtherBalances!U44</f>
        <v>-13.1540496526246</v>
      </c>
      <c r="V59" s="69" t="n">
        <f aca="false">-OtherBalances!V20+OtherBalances!V40-OtherBalances!V44</f>
        <v>-7.80064346152955</v>
      </c>
      <c r="W59" s="69" t="n">
        <f aca="false">-OtherBalances!W20+OtherBalances!W40-OtherBalances!W44</f>
        <v>-7.80129038488444</v>
      </c>
      <c r="X59" s="69" t="n">
        <f aca="false">-OtherBalances!X20+OtherBalances!X40-OtherBalances!X44</f>
        <v>-8.4925785754908</v>
      </c>
      <c r="Y59" s="69" t="n">
        <f aca="false">-OtherBalances!Y20+OtherBalances!Y40-OtherBalances!Y44</f>
        <v>-9.30843663966905</v>
      </c>
      <c r="Z59" s="69" t="n">
        <f aca="false">-OtherBalances!Z20+OtherBalances!Z40-OtherBalances!Z44</f>
        <v>-9.24562860448977</v>
      </c>
      <c r="AA59" s="69" t="n">
        <f aca="false">-OtherBalances!AA20+OtherBalances!AA40-OtherBalances!AA44</f>
        <v>-10.6751842706963</v>
      </c>
      <c r="AB59" s="69" t="n">
        <f aca="false">-OtherBalances!AB20+OtherBalances!AB40-OtherBalances!AB44</f>
        <v>-10.4982496274412</v>
      </c>
      <c r="AC59" s="69" t="n">
        <f aca="false">-OtherBalances!AC20+OtherBalances!AC40-OtherBalances!AC44</f>
        <v>-11.2187071333684</v>
      </c>
      <c r="AD59" s="69" t="n">
        <f aca="false">-OtherBalances!AD20+OtherBalances!AD40-OtherBalances!AD44</f>
        <v>-12.9435021498517</v>
      </c>
      <c r="AE59" s="69" t="n">
        <f aca="false">-OtherBalances!AE20+OtherBalances!AE40-OtherBalances!AE44</f>
        <v>-11.9121764005451</v>
      </c>
      <c r="AF59" s="69" t="n">
        <f aca="false">-OtherBalances!AF20+OtherBalances!AF40-OtherBalances!AF44</f>
        <v>-13.7055577418331</v>
      </c>
      <c r="AG59" s="69" t="n">
        <f aca="false">-OtherBalances!AG20+OtherBalances!AG40-OtherBalances!AG44</f>
        <v>-13.4558308564097</v>
      </c>
      <c r="AH59" s="69" t="n">
        <f aca="false">-OtherBalances!AH20+OtherBalances!AH40-OtherBalances!AH44</f>
        <v>-7.86299035358236</v>
      </c>
      <c r="AI59" s="69" t="n">
        <f aca="false">-OtherBalances!AI20+OtherBalances!AI40-OtherBalances!AI44</f>
        <v>-7.83784489743388</v>
      </c>
      <c r="AJ59" s="69" t="n">
        <f aca="false">-OtherBalances!AJ20+OtherBalances!AJ40-OtherBalances!AJ44</f>
        <v>-8.5383565324836</v>
      </c>
      <c r="AK59" s="69" t="n">
        <f aca="false">-OtherBalances!AK20+OtherBalances!AK40-OtherBalances!AK44</f>
        <v>-9.37048862456234</v>
      </c>
      <c r="AL59" s="69" t="n">
        <f aca="false">-OtherBalances!AL20+OtherBalances!AL40-OtherBalances!AL44</f>
        <v>-9.2832804825554</v>
      </c>
      <c r="AM59" s="69" t="n">
        <f aca="false">-OtherBalances!AM20+OtherBalances!AM40-OtherBalances!AM44</f>
        <v>-10.7389211868526</v>
      </c>
    </row>
    <row r="60" customFormat="false" ht="21" hidden="false" customHeight="true" outlineLevel="0" collapsed="false">
      <c r="C60" s="60" t="s">
        <v>218</v>
      </c>
      <c r="D60" s="70"/>
      <c r="E60" s="70"/>
      <c r="F60" s="70"/>
      <c r="G60" s="70"/>
      <c r="H60" s="70"/>
      <c r="I60" s="70"/>
      <c r="J60" s="70" t="n">
        <f aca="false">SUM(J53:J59)</f>
        <v>92.2218363819062</v>
      </c>
      <c r="K60" s="70" t="n">
        <f aca="false">SUM(K53:K59)</f>
        <v>388.307052758205</v>
      </c>
      <c r="L60" s="70" t="n">
        <f aca="false">SUM(L53:L59)</f>
        <v>105.057243277379</v>
      </c>
      <c r="M60" s="70" t="n">
        <f aca="false">SUM(M53:M59)</f>
        <v>162.204123031977</v>
      </c>
      <c r="N60" s="70" t="n">
        <f aca="false">SUM(N53:N59)</f>
        <v>632.116705371141</v>
      </c>
      <c r="O60" s="70" t="n">
        <f aca="false">SUM(O53:O59)</f>
        <v>-56.3265459014513</v>
      </c>
      <c r="P60" s="70" t="n">
        <f aca="false">SUM(P53:P59)</f>
        <v>837.363131073469</v>
      </c>
      <c r="Q60" s="70" t="n">
        <f aca="false">SUM(Q53:Q59)</f>
        <v>740.539702392308</v>
      </c>
      <c r="R60" s="70" t="n">
        <f aca="false">SUM(R53:R59)</f>
        <v>-621.549146254676</v>
      </c>
      <c r="S60" s="70" t="n">
        <f aca="false">SUM(S53:S59)</f>
        <v>907.14963537151</v>
      </c>
      <c r="T60" s="70" t="n">
        <f aca="false">SUM(T53:T59)</f>
        <v>128.517502946974</v>
      </c>
      <c r="U60" s="70" t="n">
        <f aca="false">SUM(U53:U59)</f>
        <v>447.839098143245</v>
      </c>
      <c r="V60" s="70" t="n">
        <f aca="false">SUM(V53:V59)</f>
        <v>12.7406172508973</v>
      </c>
      <c r="W60" s="70" t="n">
        <f aca="false">SUM(W53:W59)</f>
        <v>565.442566489296</v>
      </c>
      <c r="X60" s="70" t="n">
        <f aca="false">SUM(X53:X59)</f>
        <v>315.895952612814</v>
      </c>
      <c r="Y60" s="70" t="n">
        <f aca="false">SUM(Y53:Y59)</f>
        <v>151.642758429321</v>
      </c>
      <c r="Z60" s="70" t="n">
        <f aca="false">SUM(Z53:Z59)</f>
        <v>648.960131772334</v>
      </c>
      <c r="AA60" s="70" t="n">
        <f aca="false">SUM(AA53:AA59)</f>
        <v>-72.8661969320164</v>
      </c>
      <c r="AB60" s="70" t="n">
        <f aca="false">SUM(AB53:AB59)</f>
        <v>864.069852483662</v>
      </c>
      <c r="AC60" s="70" t="n">
        <f aca="false">SUM(AC53:AC59)</f>
        <v>557.201473215206</v>
      </c>
      <c r="AD60" s="70" t="n">
        <f aca="false">SUM(AD53:AD59)</f>
        <v>-347.369004691525</v>
      </c>
      <c r="AE60" s="70" t="n">
        <f aca="false">SUM(AE53:AE59)</f>
        <v>809.491292268866</v>
      </c>
      <c r="AF60" s="70" t="n">
        <f aca="false">SUM(AF53:AF59)</f>
        <v>126.783905945213</v>
      </c>
      <c r="AG60" s="70" t="n">
        <f aca="false">SUM(AG53:AG59)</f>
        <v>464.203317667835</v>
      </c>
      <c r="AH60" s="70" t="n">
        <f aca="false">SUM(AH53:AH59)</f>
        <v>-1.48569260862818</v>
      </c>
      <c r="AI60" s="70" t="n">
        <f aca="false">SUM(AI53:AI59)</f>
        <v>573.533415608169</v>
      </c>
      <c r="AJ60" s="70" t="n">
        <f aca="false">SUM(AJ53:AJ59)</f>
        <v>325.603493299535</v>
      </c>
      <c r="AK60" s="70" t="n">
        <f aca="false">SUM(AK53:AK59)</f>
        <v>139.316636907444</v>
      </c>
      <c r="AL60" s="70" t="n">
        <f aca="false">SUM(AL53:AL59)</f>
        <v>666.355501880938</v>
      </c>
      <c r="AM60" s="70" t="n">
        <f aca="false">SUM(AM53:AM59)</f>
        <v>-85.997571099116</v>
      </c>
    </row>
    <row r="61" customFormat="false" ht="21" hidden="false" customHeight="true" outlineLevel="0" collapsed="false">
      <c r="C61" s="60" t="s">
        <v>219</v>
      </c>
      <c r="D61" s="70"/>
      <c r="E61" s="70"/>
      <c r="F61" s="70"/>
      <c r="G61" s="70"/>
      <c r="H61" s="70"/>
      <c r="I61" s="70"/>
      <c r="J61" s="70" t="n">
        <f aca="false">J24-J60</f>
        <v>0</v>
      </c>
      <c r="K61" s="70" t="n">
        <f aca="false">K24-K60</f>
        <v>0</v>
      </c>
      <c r="L61" s="70" t="n">
        <f aca="false">L24-L60</f>
        <v>0</v>
      </c>
      <c r="M61" s="70" t="n">
        <f aca="false">M24-M60</f>
        <v>0</v>
      </c>
      <c r="N61" s="70" t="n">
        <f aca="false">N24-N60</f>
        <v>0</v>
      </c>
      <c r="O61" s="70" t="n">
        <f aca="false">O24-O60</f>
        <v>-3.62376795237651E-013</v>
      </c>
      <c r="P61" s="70" t="n">
        <f aca="false">P24-P60</f>
        <v>0</v>
      </c>
      <c r="Q61" s="70" t="n">
        <f aca="false">Q24-Q60</f>
        <v>0</v>
      </c>
      <c r="R61" s="70" t="n">
        <f aca="false">R24-R60</f>
        <v>0</v>
      </c>
      <c r="S61" s="70" t="n">
        <f aca="false">S24-S60</f>
        <v>0</v>
      </c>
      <c r="T61" s="70" t="n">
        <f aca="false">T24-T60</f>
        <v>0</v>
      </c>
      <c r="U61" s="70" t="n">
        <f aca="false">U24-U60</f>
        <v>0</v>
      </c>
      <c r="V61" s="70" t="n">
        <f aca="false">V24-V60</f>
        <v>-2.94875235340442E-013</v>
      </c>
      <c r="W61" s="70" t="n">
        <f aca="false">W24-W60</f>
        <v>0</v>
      </c>
      <c r="X61" s="70" t="n">
        <f aca="false">X24-X60</f>
        <v>0</v>
      </c>
      <c r="Y61" s="70" t="n">
        <f aca="false">Y24-Y60</f>
        <v>0</v>
      </c>
      <c r="Z61" s="70" t="n">
        <f aca="false">Z24-Z60</f>
        <v>0</v>
      </c>
      <c r="AA61" s="70" t="n">
        <f aca="false">AA24-AA60</f>
        <v>0</v>
      </c>
      <c r="AB61" s="70" t="n">
        <f aca="false">AB24-AB60</f>
        <v>0</v>
      </c>
      <c r="AC61" s="70" t="n">
        <f aca="false">AC24-AC60</f>
        <v>0</v>
      </c>
      <c r="AD61" s="70" t="n">
        <f aca="false">AD24-AD60</f>
        <v>0</v>
      </c>
      <c r="AE61" s="70" t="n">
        <f aca="false">AE24-AE60</f>
        <v>0</v>
      </c>
      <c r="AF61" s="70" t="n">
        <f aca="false">AF24-AF60</f>
        <v>7.8159700933611E-013</v>
      </c>
      <c r="AG61" s="70" t="n">
        <f aca="false">AG24-AG60</f>
        <v>0</v>
      </c>
      <c r="AH61" s="70" t="n">
        <f aca="false">AH24-AH60</f>
        <v>-3.28626015289046E-014</v>
      </c>
      <c r="AI61" s="70" t="n">
        <f aca="false">AI24-AI60</f>
        <v>0</v>
      </c>
      <c r="AJ61" s="70" t="n">
        <f aca="false">AJ24-AJ60</f>
        <v>0</v>
      </c>
      <c r="AK61" s="70" t="n">
        <f aca="false">AK24-AK60</f>
        <v>0</v>
      </c>
      <c r="AL61" s="70" t="n">
        <f aca="false">AL24-AL60</f>
        <v>0</v>
      </c>
      <c r="AM61" s="70" t="n">
        <f aca="false">AM24-AM60</f>
        <v>0</v>
      </c>
    </row>
    <row r="62" customFormat="false" ht="21" hidden="false" customHeight="true" outlineLevel="0" collapsed="false">
      <c r="C62" s="56" t="s">
        <v>125</v>
      </c>
      <c r="D62" s="71"/>
      <c r="E62" s="71"/>
      <c r="F62" s="71"/>
      <c r="G62" s="71"/>
      <c r="H62" s="71"/>
      <c r="I62" s="71" t="n">
        <f aca="false">I50+I48-I51</f>
        <v>0</v>
      </c>
      <c r="J62" s="71" t="n">
        <f aca="false">J50+J24+J34+J45+J47-J51</f>
        <v>0</v>
      </c>
      <c r="K62" s="71" t="n">
        <f aca="false">K50+K24+K34+K45+K47-K51</f>
        <v>0</v>
      </c>
      <c r="L62" s="71" t="n">
        <f aca="false">L50+L24+L34+L45+L47-L51</f>
        <v>0</v>
      </c>
      <c r="M62" s="71" t="n">
        <f aca="false">M50+M24+M34+M45+M47-M51</f>
        <v>0</v>
      </c>
      <c r="N62" s="71" t="n">
        <f aca="false">N50+N24+N34+N45+N47-N51</f>
        <v>0</v>
      </c>
      <c r="O62" s="71" t="n">
        <f aca="false">O50+O24+O34+O45+O47-O51</f>
        <v>0</v>
      </c>
      <c r="P62" s="71" t="n">
        <f aca="false">P50+P24+P34+P45+P47-P51</f>
        <v>0</v>
      </c>
      <c r="Q62" s="71" t="n">
        <f aca="false">Q50+Q24+Q34+Q45+Q47-Q51</f>
        <v>0</v>
      </c>
      <c r="R62" s="71" t="n">
        <f aca="false">R50+R24+R34+R45+R47-R51</f>
        <v>0</v>
      </c>
      <c r="S62" s="71" t="n">
        <f aca="false">S50+S24+S34+S45+S47-S51</f>
        <v>0</v>
      </c>
      <c r="T62" s="71" t="n">
        <f aca="false">T50+T24+T34+T45+T47-T51</f>
        <v>0</v>
      </c>
      <c r="U62" s="71" t="n">
        <f aca="false">U50+U24+U34+U45+U47-U51</f>
        <v>0</v>
      </c>
      <c r="V62" s="71" t="n">
        <f aca="false">V50+V24+V34+V45+V47-V51</f>
        <v>0</v>
      </c>
      <c r="W62" s="71" t="n">
        <f aca="false">W50+W24+W34+W45+W47-W51</f>
        <v>0</v>
      </c>
      <c r="X62" s="71" t="n">
        <f aca="false">X50+X24+X34+X45+X47-X51</f>
        <v>0</v>
      </c>
      <c r="Y62" s="71" t="n">
        <f aca="false">Y50+Y24+Y34+Y45+Y47-Y51</f>
        <v>0</v>
      </c>
      <c r="Z62" s="71" t="n">
        <f aca="false">Z50+Z24+Z34+Z45+Z47-Z51</f>
        <v>0</v>
      </c>
      <c r="AA62" s="71" t="n">
        <f aca="false">AA50+AA24+AA34+AA45+AA47-AA51</f>
        <v>0</v>
      </c>
      <c r="AB62" s="71" t="n">
        <f aca="false">AB50+AB24+AB34+AB45+AB47-AB51</f>
        <v>0</v>
      </c>
      <c r="AC62" s="71" t="n">
        <f aca="false">AC50+AC24+AC34+AC45+AC47-AC51</f>
        <v>0</v>
      </c>
      <c r="AD62" s="71" t="n">
        <f aca="false">AD50+AD24+AD34+AD45+AD47-AD51</f>
        <v>0</v>
      </c>
      <c r="AE62" s="71" t="n">
        <f aca="false">AE50+AE24+AE34+AE45+AE47-AE51</f>
        <v>0</v>
      </c>
      <c r="AF62" s="71" t="n">
        <f aca="false">AF50+AF24+AF34+AF45+AF47-AF51</f>
        <v>0</v>
      </c>
      <c r="AG62" s="71" t="n">
        <f aca="false">AG50+AG24+AG34+AG45+AG47-AG51</f>
        <v>0</v>
      </c>
      <c r="AH62" s="71" t="n">
        <f aca="false">AH50+AH24+AH34+AH45+AH47-AH51</f>
        <v>0</v>
      </c>
      <c r="AI62" s="71" t="n">
        <f aca="false">AI50+AI24+AI34+AI45+AI47-AI51</f>
        <v>0</v>
      </c>
      <c r="AJ62" s="71" t="n">
        <f aca="false">AJ50+AJ24+AJ34+AJ45+AJ47-AJ51</f>
        <v>0</v>
      </c>
      <c r="AK62" s="71" t="n">
        <f aca="false">AK50+AK24+AK34+AK45+AK47-AK51</f>
        <v>0</v>
      </c>
      <c r="AL62" s="71" t="n">
        <f aca="false">AL50+AL24+AL34+AL45+AL47-AL51</f>
        <v>0</v>
      </c>
      <c r="AM62" s="71" t="n">
        <f aca="false">AM50+AM24+AM34+AM45+AM47-AM51</f>
        <v>0</v>
      </c>
    </row>
    <row r="63" customFormat="false" ht="21" hidden="false" customHeight="true" outlineLevel="0" collapsed="false">
      <c r="C63" s="5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</row>
    <row r="64" customFormat="false" ht="21" hidden="false" customHeight="true" outlineLevel="0" collapsed="false">
      <c r="C64" s="56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</row>
    <row r="65" customFormat="false" ht="21" hidden="false" customHeight="true" outlineLevel="0" collapsed="false">
      <c r="C65" s="5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</row>
    <row r="66" customFormat="false" ht="21" hidden="false" customHeight="true" outlineLevel="0" collapsed="false">
      <c r="C66" s="56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</row>
    <row r="67" customFormat="false" ht="21" hidden="false" customHeight="true" outlineLevel="0" collapsed="false">
      <c r="C67" s="5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</row>
    <row r="68" customFormat="false" ht="21" hidden="false" customHeight="true" outlineLevel="0" collapsed="false">
      <c r="C68" s="56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</row>
    <row r="69" customFormat="false" ht="21" hidden="false" customHeight="true" outlineLevel="0" collapsed="false">
      <c r="C69" s="5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</row>
    <row r="70" customFormat="false" ht="21" hidden="false" customHeight="true" outlineLevel="0" collapsed="false">
      <c r="C70" s="56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</row>
    <row r="71" customFormat="false" ht="21" hidden="false" customHeight="true" outlineLevel="0" collapsed="false">
      <c r="C71" s="56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</row>
  </sheetData>
  <sheetProtection sheet="1" objects="1" scenarios="1" selectLockedCells="0" selectUnlockedCells="0"/>
  <mergeCells count="2">
    <mergeCell ref="C2:K2"/>
    <mergeCell ref="C3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C1:AM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39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customFormat="false" ht="33" hidden="false" customHeight="true" outlineLevel="0" collapsed="false">
      <c r="C2" s="57" t="s">
        <v>220</v>
      </c>
      <c r="D2" s="57"/>
      <c r="E2" s="57"/>
      <c r="F2" s="57"/>
      <c r="G2" s="57"/>
      <c r="H2" s="57"/>
      <c r="I2" s="57"/>
      <c r="J2" s="57"/>
      <c r="K2" s="57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</row>
    <row r="3" customFormat="false" ht="21" hidden="false" customHeight="true" outlineLevel="0" collapsed="false">
      <c r="C3" s="58" t="s">
        <v>129</v>
      </c>
      <c r="D3" s="58"/>
      <c r="E3" s="58"/>
      <c r="F3" s="58"/>
      <c r="G3" s="58"/>
      <c r="H3" s="58"/>
      <c r="I3" s="58"/>
      <c r="J3" s="58"/>
      <c r="K3" s="58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</row>
    <row r="6" customFormat="false" ht="21" hidden="false" customHeight="true" outlineLevel="0" collapsed="false">
      <c r="C6" s="56"/>
      <c r="D6" s="56" t="s">
        <v>130</v>
      </c>
      <c r="E6" s="56" t="s">
        <v>130</v>
      </c>
      <c r="F6" s="56" t="s">
        <v>130</v>
      </c>
      <c r="G6" s="56" t="s">
        <v>130</v>
      </c>
      <c r="H6" s="56" t="s">
        <v>130</v>
      </c>
      <c r="I6" s="56" t="s">
        <v>221</v>
      </c>
      <c r="J6" s="56" t="s">
        <v>132</v>
      </c>
      <c r="K6" s="56" t="s">
        <v>132</v>
      </c>
      <c r="L6" s="56" t="s">
        <v>132</v>
      </c>
      <c r="M6" s="56" t="s">
        <v>132</v>
      </c>
      <c r="N6" s="56" t="s">
        <v>132</v>
      </c>
      <c r="O6" s="56" t="s">
        <v>132</v>
      </c>
      <c r="P6" s="56" t="s">
        <v>132</v>
      </c>
      <c r="Q6" s="56" t="s">
        <v>132</v>
      </c>
      <c r="R6" s="56" t="s">
        <v>132</v>
      </c>
      <c r="S6" s="56" t="s">
        <v>132</v>
      </c>
      <c r="T6" s="56" t="s">
        <v>132</v>
      </c>
      <c r="U6" s="56" t="s">
        <v>132</v>
      </c>
      <c r="V6" s="56" t="s">
        <v>132</v>
      </c>
      <c r="W6" s="56" t="s">
        <v>132</v>
      </c>
      <c r="X6" s="56" t="s">
        <v>132</v>
      </c>
      <c r="Y6" s="56" t="s">
        <v>132</v>
      </c>
      <c r="Z6" s="56" t="s">
        <v>132</v>
      </c>
      <c r="AA6" s="56" t="s">
        <v>132</v>
      </c>
      <c r="AB6" s="56" t="s">
        <v>132</v>
      </c>
      <c r="AC6" s="56" t="s">
        <v>132</v>
      </c>
      <c r="AD6" s="56" t="s">
        <v>132</v>
      </c>
      <c r="AE6" s="56" t="s">
        <v>132</v>
      </c>
      <c r="AF6" s="56" t="s">
        <v>132</v>
      </c>
      <c r="AG6" s="56" t="s">
        <v>132</v>
      </c>
      <c r="AH6" s="56" t="s">
        <v>132</v>
      </c>
      <c r="AI6" s="56" t="s">
        <v>132</v>
      </c>
      <c r="AJ6" s="56" t="s">
        <v>132</v>
      </c>
      <c r="AK6" s="56" t="s">
        <v>132</v>
      </c>
      <c r="AL6" s="56" t="s">
        <v>132</v>
      </c>
      <c r="AM6" s="56" t="s">
        <v>132</v>
      </c>
    </row>
    <row r="7" customFormat="false" ht="21" hidden="false" customHeight="true" outlineLevel="0" collapsed="false">
      <c r="C7" s="63"/>
      <c r="D7" s="73" t="n">
        <v>46053</v>
      </c>
      <c r="E7" s="73" t="n">
        <v>46081</v>
      </c>
      <c r="F7" s="73" t="n">
        <v>46112</v>
      </c>
      <c r="G7" s="73" t="n">
        <v>46142</v>
      </c>
      <c r="H7" s="73" t="n">
        <v>46173</v>
      </c>
      <c r="I7" s="73" t="n">
        <v>46203</v>
      </c>
      <c r="J7" s="73" t="n">
        <v>46234</v>
      </c>
      <c r="K7" s="73" t="n">
        <v>46265</v>
      </c>
      <c r="L7" s="73" t="n">
        <v>46295</v>
      </c>
      <c r="M7" s="73" t="n">
        <v>46326</v>
      </c>
      <c r="N7" s="73" t="n">
        <v>46356</v>
      </c>
      <c r="O7" s="73" t="n">
        <v>46387</v>
      </c>
      <c r="P7" s="73" t="n">
        <v>46418</v>
      </c>
      <c r="Q7" s="73" t="n">
        <v>46446</v>
      </c>
      <c r="R7" s="73" t="n">
        <v>46477</v>
      </c>
      <c r="S7" s="73" t="n">
        <v>46507</v>
      </c>
      <c r="T7" s="73" t="n">
        <v>46538</v>
      </c>
      <c r="U7" s="73" t="n">
        <v>46568</v>
      </c>
      <c r="V7" s="73" t="n">
        <v>46599</v>
      </c>
      <c r="W7" s="73" t="n">
        <v>46630</v>
      </c>
      <c r="X7" s="73" t="n">
        <v>46660</v>
      </c>
      <c r="Y7" s="73" t="n">
        <v>46691</v>
      </c>
      <c r="Z7" s="73" t="n">
        <v>46721</v>
      </c>
      <c r="AA7" s="73" t="n">
        <v>46752</v>
      </c>
      <c r="AB7" s="73" t="n">
        <v>46783</v>
      </c>
      <c r="AC7" s="73" t="n">
        <v>46812</v>
      </c>
      <c r="AD7" s="73" t="n">
        <v>46843</v>
      </c>
      <c r="AE7" s="73" t="n">
        <v>46873</v>
      </c>
      <c r="AF7" s="73" t="n">
        <v>46904</v>
      </c>
      <c r="AG7" s="73" t="n">
        <v>46934</v>
      </c>
      <c r="AH7" s="73" t="n">
        <v>46965</v>
      </c>
      <c r="AI7" s="73" t="n">
        <v>46996</v>
      </c>
      <c r="AJ7" s="73" t="n">
        <v>47026</v>
      </c>
      <c r="AK7" s="73" t="n">
        <v>47057</v>
      </c>
      <c r="AL7" s="73" t="n">
        <v>47087</v>
      </c>
      <c r="AM7" s="73" t="n">
        <v>47118</v>
      </c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</row>
    <row r="9" customFormat="false" ht="25" hidden="false" customHeight="true" outlineLevel="0" collapsed="false">
      <c r="C9" s="74" t="s">
        <v>222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</row>
    <row r="10" customFormat="false" ht="21" hidden="false" customHeight="true" outlineLevel="0" collapsed="false">
      <c r="C10" s="56" t="s">
        <v>223</v>
      </c>
      <c r="D10" s="75"/>
      <c r="E10" s="75"/>
      <c r="F10" s="75"/>
      <c r="G10" s="75"/>
      <c r="H10" s="75"/>
      <c r="I10" s="75"/>
      <c r="J10" s="75" t="n">
        <f aca="false">(SourceAnalysis!D9-(SourceHistory!F64-SourceHistory!F66)*SourceAnalysis!D9/SourceAnalysis!D24)*1000000/SourceAnalysis!D13/6*(1+Inputs!J9)*Inputs!J5</f>
        <v>48342423.294986</v>
      </c>
      <c r="K10" s="75" t="n">
        <f aca="false">(SourceAnalysis!D9-(SourceHistory!F64-SourceHistory!F66)*SourceAnalysis!D9/SourceAnalysis!D24)*1000000/SourceAnalysis!D13/6*(1+Inputs!K9)*Inputs!K5</f>
        <v>48342423.294986</v>
      </c>
      <c r="L10" s="75" t="n">
        <f aca="false">(SourceAnalysis!D9-(SourceHistory!F64-SourceHistory!F66)*SourceAnalysis!D9/SourceAnalysis!D24)*1000000/SourceAnalysis!D13/6*(1+Inputs!L9)*Inputs!L5</f>
        <v>48342423.294986</v>
      </c>
      <c r="M10" s="75" t="n">
        <f aca="false">(SourceAnalysis!D9-(SourceHistory!F64-SourceHistory!F66)*SourceAnalysis!D9/SourceAnalysis!D24)*1000000/SourceAnalysis!D13/6*(1+Inputs!M9)*Inputs!M5</f>
        <v>48342423.294986</v>
      </c>
      <c r="N10" s="75" t="n">
        <f aca="false">(SourceAnalysis!D9-(SourceHistory!F64-SourceHistory!F66)*SourceAnalysis!D9/SourceAnalysis!D24)*1000000/SourceAnalysis!D13/6*(1+Inputs!N9)*Inputs!N5</f>
        <v>48342423.294986</v>
      </c>
      <c r="O10" s="75" t="n">
        <f aca="false">(SourceAnalysis!D9-(SourceHistory!F64-SourceHistory!F66)*SourceAnalysis!D9/SourceAnalysis!D24)*1000000/SourceAnalysis!D13/6*(1+Inputs!O9)*Inputs!O5</f>
        <v>48342423.294986</v>
      </c>
      <c r="P10" s="75" t="n">
        <f aca="false">((SourceHistory!F65-SourceHistory!F67)*SourceAnalysis!D9/SourceAnalysis!D24*1000000/SourceAnalysis!D13/6)*(1+Inputs!P9)*Inputs!P5</f>
        <v>51490345.8504186</v>
      </c>
      <c r="Q10" s="75" t="n">
        <f aca="false">((SourceHistory!F65-SourceHistory!F67)*SourceAnalysis!D9/SourceAnalysis!D24*1000000/SourceAnalysis!D13/6)*(1+Inputs!Q9)*Inputs!Q5</f>
        <v>51490345.8504186</v>
      </c>
      <c r="R10" s="75" t="n">
        <f aca="false">((SourceHistory!F65-SourceHistory!F67)*SourceAnalysis!D9/SourceAnalysis!D24*1000000/SourceAnalysis!D13/6)*(1+Inputs!R9)*Inputs!R5</f>
        <v>51490345.8504186</v>
      </c>
      <c r="S10" s="75" t="n">
        <f aca="false">((SourceHistory!F65-SourceHistory!F67)*SourceAnalysis!D9/SourceAnalysis!D24*1000000/SourceAnalysis!D13/6)*(1+Inputs!S9)*Inputs!S5</f>
        <v>51490345.8504186</v>
      </c>
      <c r="T10" s="75" t="n">
        <f aca="false">((SourceHistory!F65-SourceHistory!F67)*SourceAnalysis!D9/SourceAnalysis!D24*1000000/SourceAnalysis!D13/6)*(1+Inputs!T9)*Inputs!T5</f>
        <v>51490345.8504186</v>
      </c>
      <c r="U10" s="75" t="n">
        <f aca="false">((SourceHistory!F65-SourceHistory!F67)*SourceAnalysis!D9/SourceAnalysis!D24*1000000/SourceAnalysis!D13/6)*(1+Inputs!U9)*Inputs!U5</f>
        <v>51490345.8504186</v>
      </c>
      <c r="V10" s="75" t="n">
        <f aca="false">Revenue!J10*(1+Inputs!V9)*Inputs!V5</f>
        <v>49309271.7608857</v>
      </c>
      <c r="W10" s="75" t="n">
        <f aca="false">Revenue!K10*(1+Inputs!W9)*Inputs!W5</f>
        <v>49309271.7608857</v>
      </c>
      <c r="X10" s="75" t="n">
        <f aca="false">Revenue!L10*(1+Inputs!X9)*Inputs!X5</f>
        <v>49309271.7608857</v>
      </c>
      <c r="Y10" s="75" t="n">
        <f aca="false">Revenue!M10*(1+Inputs!Y9)*Inputs!Y5</f>
        <v>49309271.7608857</v>
      </c>
      <c r="Z10" s="75" t="n">
        <f aca="false">Revenue!N10*(1+Inputs!Z9)*Inputs!Z5</f>
        <v>49309271.7608857</v>
      </c>
      <c r="AA10" s="75" t="n">
        <f aca="false">Revenue!O10*(1+Inputs!AA9)*Inputs!AA5</f>
        <v>49309271.7608857</v>
      </c>
      <c r="AB10" s="75" t="n">
        <f aca="false">Revenue!P10*(1+Inputs!AB9)*Inputs!AB5</f>
        <v>52520152.767427</v>
      </c>
      <c r="AC10" s="75" t="n">
        <f aca="false">Revenue!Q10*(1+Inputs!AC9)*Inputs!AC5</f>
        <v>52520152.767427</v>
      </c>
      <c r="AD10" s="75" t="n">
        <f aca="false">Revenue!R10*(1+Inputs!AD9)*Inputs!AD5</f>
        <v>52520152.767427</v>
      </c>
      <c r="AE10" s="75" t="n">
        <f aca="false">Revenue!S10*(1+Inputs!AE9)*Inputs!AE5</f>
        <v>52520152.767427</v>
      </c>
      <c r="AF10" s="75" t="n">
        <f aca="false">Revenue!T10*(1+Inputs!AF9)*Inputs!AF5</f>
        <v>52520152.767427</v>
      </c>
      <c r="AG10" s="75" t="n">
        <f aca="false">Revenue!U10*(1+Inputs!AG9)*Inputs!AG5</f>
        <v>52520152.767427</v>
      </c>
      <c r="AH10" s="75" t="n">
        <f aca="false">Revenue!V10*(1+Inputs!AH9)*Inputs!AH5</f>
        <v>50295457.1961034</v>
      </c>
      <c r="AI10" s="75" t="n">
        <f aca="false">Revenue!W10*(1+Inputs!AI9)*Inputs!AI5</f>
        <v>50295457.1961034</v>
      </c>
      <c r="AJ10" s="75" t="n">
        <f aca="false">Revenue!X10*(1+Inputs!AJ9)*Inputs!AJ5</f>
        <v>50295457.1961034</v>
      </c>
      <c r="AK10" s="75" t="n">
        <f aca="false">Revenue!Y10*(1+Inputs!AK9)*Inputs!AK5</f>
        <v>50295457.1961034</v>
      </c>
      <c r="AL10" s="75" t="n">
        <f aca="false">Revenue!Z10*(1+Inputs!AL9)*Inputs!AL5</f>
        <v>50295457.1961034</v>
      </c>
      <c r="AM10" s="75" t="n">
        <f aca="false">Revenue!AA10*(1+Inputs!AM9)*Inputs!AM5</f>
        <v>50295457.1961034</v>
      </c>
    </row>
    <row r="11" customFormat="false" ht="21" hidden="false" customHeight="true" outlineLevel="0" collapsed="false">
      <c r="C11" s="56" t="s">
        <v>224</v>
      </c>
      <c r="D11" s="76"/>
      <c r="E11" s="76"/>
      <c r="F11" s="76"/>
      <c r="G11" s="76"/>
      <c r="H11" s="76"/>
      <c r="I11" s="76"/>
      <c r="J11" s="76" t="n">
        <f aca="false">SourceAnalysis!D13*(1+Inputs!J10)</f>
        <v>12.2181928727178</v>
      </c>
      <c r="K11" s="76" t="n">
        <f aca="false">SourceAnalysis!D13*(1+Inputs!K10)</f>
        <v>12.2181928727178</v>
      </c>
      <c r="L11" s="76" t="n">
        <f aca="false">SourceAnalysis!D13*(1+Inputs!L10)</f>
        <v>12.2181928727178</v>
      </c>
      <c r="M11" s="76" t="n">
        <f aca="false">SourceAnalysis!D13*(1+Inputs!M10)</f>
        <v>12.2181928727178</v>
      </c>
      <c r="N11" s="76" t="n">
        <f aca="false">SourceAnalysis!D13*(1+Inputs!N10)</f>
        <v>12.2181928727178</v>
      </c>
      <c r="O11" s="76" t="n">
        <f aca="false">SourceAnalysis!D13*(1+Inputs!O10)</f>
        <v>12.2181928727178</v>
      </c>
      <c r="P11" s="76" t="n">
        <f aca="false">(SourceAnalysis!D13)*(1+Inputs!P10)</f>
        <v>12.2181928727178</v>
      </c>
      <c r="Q11" s="76" t="n">
        <f aca="false">(SourceAnalysis!D13)*(1+Inputs!Q10)</f>
        <v>12.2181928727178</v>
      </c>
      <c r="R11" s="76" t="n">
        <f aca="false">(SourceAnalysis!D13)*(1+Inputs!R10)</f>
        <v>12.2181928727178</v>
      </c>
      <c r="S11" s="76" t="n">
        <f aca="false">(SourceAnalysis!D13)*(1+Inputs!S10)</f>
        <v>12.2181928727178</v>
      </c>
      <c r="T11" s="76" t="n">
        <f aca="false">(SourceAnalysis!D13)*(1+Inputs!T10)</f>
        <v>12.2181928727178</v>
      </c>
      <c r="U11" s="76" t="n">
        <f aca="false">(SourceAnalysis!D13)*(1+Inputs!U10)</f>
        <v>12.2181928727178</v>
      </c>
      <c r="V11" s="76" t="n">
        <f aca="false">Revenue!J11*(1+Inputs!V10)</f>
        <v>12.2181928727178</v>
      </c>
      <c r="W11" s="76" t="n">
        <f aca="false">Revenue!K11*(1+Inputs!W10)</f>
        <v>12.2181928727178</v>
      </c>
      <c r="X11" s="76" t="n">
        <f aca="false">Revenue!L11*(1+Inputs!X10)</f>
        <v>12.2181928727178</v>
      </c>
      <c r="Y11" s="76" t="n">
        <f aca="false">Revenue!M11*(1+Inputs!Y10)</f>
        <v>12.2181928727178</v>
      </c>
      <c r="Z11" s="76" t="n">
        <f aca="false">Revenue!N11*(1+Inputs!Z10)</f>
        <v>12.2181928727178</v>
      </c>
      <c r="AA11" s="76" t="n">
        <f aca="false">Revenue!O11*(1+Inputs!AA10)</f>
        <v>12.2181928727178</v>
      </c>
      <c r="AB11" s="76" t="n">
        <f aca="false">Revenue!P11*(1+Inputs!AB10)</f>
        <v>12.2181928727178</v>
      </c>
      <c r="AC11" s="76" t="n">
        <f aca="false">Revenue!Q11*(1+Inputs!AC10)</f>
        <v>12.2181928727178</v>
      </c>
      <c r="AD11" s="76" t="n">
        <f aca="false">Revenue!R11*(1+Inputs!AD10)</f>
        <v>12.2181928727178</v>
      </c>
      <c r="AE11" s="76" t="n">
        <f aca="false">Revenue!S11*(1+Inputs!AE10)</f>
        <v>12.2181928727178</v>
      </c>
      <c r="AF11" s="76" t="n">
        <f aca="false">Revenue!T11*(1+Inputs!AF10)</f>
        <v>12.2181928727178</v>
      </c>
      <c r="AG11" s="76" t="n">
        <f aca="false">Revenue!U11*(1+Inputs!AG10)</f>
        <v>12.2181928727178</v>
      </c>
      <c r="AH11" s="76" t="n">
        <f aca="false">Revenue!V11*(1+Inputs!AH10)</f>
        <v>12.2181928727178</v>
      </c>
      <c r="AI11" s="76" t="n">
        <f aca="false">Revenue!W11*(1+Inputs!AI10)</f>
        <v>12.2181928727178</v>
      </c>
      <c r="AJ11" s="76" t="n">
        <f aca="false">Revenue!X11*(1+Inputs!AJ10)</f>
        <v>12.2181928727178</v>
      </c>
      <c r="AK11" s="76" t="n">
        <f aca="false">Revenue!Y11*(1+Inputs!AK10)</f>
        <v>12.2181928727178</v>
      </c>
      <c r="AL11" s="76" t="n">
        <f aca="false">Revenue!Z11*(1+Inputs!AL10)</f>
        <v>12.2181928727178</v>
      </c>
      <c r="AM11" s="76" t="n">
        <f aca="false">Revenue!AA11*(1+Inputs!AM10)</f>
        <v>12.2181928727178</v>
      </c>
    </row>
    <row r="12" customFormat="false" ht="21" hidden="false" customHeight="true" outlineLevel="0" collapsed="false">
      <c r="C12" s="60" t="s">
        <v>225</v>
      </c>
      <c r="D12" s="70"/>
      <c r="E12" s="70"/>
      <c r="F12" s="70"/>
      <c r="G12" s="70"/>
      <c r="H12" s="70"/>
      <c r="I12" s="70"/>
      <c r="J12" s="70" t="n">
        <f aca="false">J10*J11/1000000</f>
        <v>590.657051752704</v>
      </c>
      <c r="K12" s="70" t="n">
        <f aca="false">K10*K11/1000000</f>
        <v>590.657051752704</v>
      </c>
      <c r="L12" s="70" t="n">
        <f aca="false">L10*L11/1000000</f>
        <v>590.657051752704</v>
      </c>
      <c r="M12" s="70" t="n">
        <f aca="false">M10*M11/1000000</f>
        <v>590.657051752704</v>
      </c>
      <c r="N12" s="70" t="n">
        <f aca="false">N10*N11/1000000</f>
        <v>590.657051752704</v>
      </c>
      <c r="O12" s="70" t="n">
        <f aca="false">O10*O11/1000000</f>
        <v>590.657051752704</v>
      </c>
      <c r="P12" s="70" t="n">
        <f aca="false">P10*P11/1000000</f>
        <v>629.118976683359</v>
      </c>
      <c r="Q12" s="70" t="n">
        <f aca="false">Q10*Q11/1000000</f>
        <v>629.118976683359</v>
      </c>
      <c r="R12" s="70" t="n">
        <f aca="false">R10*R11/1000000</f>
        <v>629.118976683359</v>
      </c>
      <c r="S12" s="70" t="n">
        <f aca="false">S10*S11/1000000</f>
        <v>629.118976683359</v>
      </c>
      <c r="T12" s="70" t="n">
        <f aca="false">T10*T11/1000000</f>
        <v>629.118976683359</v>
      </c>
      <c r="U12" s="70" t="n">
        <f aca="false">U10*U11/1000000</f>
        <v>629.118976683359</v>
      </c>
      <c r="V12" s="70" t="n">
        <f aca="false">V10*V11/1000000</f>
        <v>602.470192787758</v>
      </c>
      <c r="W12" s="70" t="n">
        <f aca="false">W10*W11/1000000</f>
        <v>602.470192787758</v>
      </c>
      <c r="X12" s="70" t="n">
        <f aca="false">X10*X11/1000000</f>
        <v>602.470192787758</v>
      </c>
      <c r="Y12" s="70" t="n">
        <f aca="false">Y10*Y11/1000000</f>
        <v>602.470192787758</v>
      </c>
      <c r="Z12" s="70" t="n">
        <f aca="false">Z10*Z11/1000000</f>
        <v>602.470192787758</v>
      </c>
      <c r="AA12" s="70" t="n">
        <f aca="false">AA10*AA11/1000000</f>
        <v>602.470192787758</v>
      </c>
      <c r="AB12" s="70" t="n">
        <f aca="false">AB10*AB11/1000000</f>
        <v>641.701356217026</v>
      </c>
      <c r="AC12" s="70" t="n">
        <f aca="false">AC10*AC11/1000000</f>
        <v>641.701356217026</v>
      </c>
      <c r="AD12" s="70" t="n">
        <f aca="false">AD10*AD11/1000000</f>
        <v>641.701356217026</v>
      </c>
      <c r="AE12" s="70" t="n">
        <f aca="false">AE10*AE11/1000000</f>
        <v>641.701356217026</v>
      </c>
      <c r="AF12" s="70" t="n">
        <f aca="false">AF10*AF11/1000000</f>
        <v>641.701356217026</v>
      </c>
      <c r="AG12" s="70" t="n">
        <f aca="false">AG10*AG11/1000000</f>
        <v>641.701356217026</v>
      </c>
      <c r="AH12" s="70" t="n">
        <f aca="false">AH10*AH11/1000000</f>
        <v>614.519596643513</v>
      </c>
      <c r="AI12" s="70" t="n">
        <f aca="false">AI10*AI11/1000000</f>
        <v>614.519596643513</v>
      </c>
      <c r="AJ12" s="70" t="n">
        <f aca="false">AJ10*AJ11/1000000</f>
        <v>614.519596643513</v>
      </c>
      <c r="AK12" s="70" t="n">
        <f aca="false">AK10*AK11/1000000</f>
        <v>614.519596643513</v>
      </c>
      <c r="AL12" s="70" t="n">
        <f aca="false">AL10*AL11/1000000</f>
        <v>614.519596643513</v>
      </c>
      <c r="AM12" s="70" t="n">
        <f aca="false">AM10*AM11/1000000</f>
        <v>614.519596643513</v>
      </c>
    </row>
    <row r="13" customFormat="false" ht="21" hidden="false" customHeight="true" outlineLevel="0" collapsed="false">
      <c r="C13" s="56" t="s">
        <v>226</v>
      </c>
      <c r="D13" s="71"/>
      <c r="E13" s="71"/>
      <c r="F13" s="71"/>
      <c r="G13" s="71"/>
      <c r="H13" s="71"/>
      <c r="I13" s="71"/>
      <c r="J13" s="71" t="n">
        <f aca="false">J10*J11/1000000-J12</f>
        <v>0</v>
      </c>
      <c r="K13" s="71" t="n">
        <f aca="false">K10*K11/1000000-K12</f>
        <v>0</v>
      </c>
      <c r="L13" s="71" t="n">
        <f aca="false">L10*L11/1000000-L12</f>
        <v>0</v>
      </c>
      <c r="M13" s="71" t="n">
        <f aca="false">M10*M11/1000000-M12</f>
        <v>0</v>
      </c>
      <c r="N13" s="71" t="n">
        <f aca="false">N10*N11/1000000-N12</f>
        <v>0</v>
      </c>
      <c r="O13" s="71" t="n">
        <f aca="false">O10*O11/1000000-O12</f>
        <v>0</v>
      </c>
      <c r="P13" s="71" t="n">
        <f aca="false">P10*P11/1000000-P12</f>
        <v>0</v>
      </c>
      <c r="Q13" s="71" t="n">
        <f aca="false">Q10*Q11/1000000-Q12</f>
        <v>0</v>
      </c>
      <c r="R13" s="71" t="n">
        <f aca="false">R10*R11/1000000-R12</f>
        <v>0</v>
      </c>
      <c r="S13" s="71" t="n">
        <f aca="false">S10*S11/1000000-S12</f>
        <v>0</v>
      </c>
      <c r="T13" s="71" t="n">
        <f aca="false">T10*T11/1000000-T12</f>
        <v>0</v>
      </c>
      <c r="U13" s="71" t="n">
        <f aca="false">U10*U11/1000000-U12</f>
        <v>0</v>
      </c>
      <c r="V13" s="71" t="n">
        <f aca="false">V10*V11/1000000-V12</f>
        <v>0</v>
      </c>
      <c r="W13" s="71" t="n">
        <f aca="false">W10*W11/1000000-W12</f>
        <v>0</v>
      </c>
      <c r="X13" s="71" t="n">
        <f aca="false">X10*X11/1000000-X12</f>
        <v>0</v>
      </c>
      <c r="Y13" s="71" t="n">
        <f aca="false">Y10*Y11/1000000-Y12</f>
        <v>0</v>
      </c>
      <c r="Z13" s="71" t="n">
        <f aca="false">Z10*Z11/1000000-Z12</f>
        <v>0</v>
      </c>
      <c r="AA13" s="71" t="n">
        <f aca="false">AA10*AA11/1000000-AA12</f>
        <v>0</v>
      </c>
      <c r="AB13" s="71" t="n">
        <f aca="false">AB10*AB11/1000000-AB12</f>
        <v>0</v>
      </c>
      <c r="AC13" s="71" t="n">
        <f aca="false">AC10*AC11/1000000-AC12</f>
        <v>0</v>
      </c>
      <c r="AD13" s="71" t="n">
        <f aca="false">AD10*AD11/1000000-AD12</f>
        <v>0</v>
      </c>
      <c r="AE13" s="71" t="n">
        <f aca="false">AE10*AE11/1000000-AE12</f>
        <v>0</v>
      </c>
      <c r="AF13" s="71" t="n">
        <f aca="false">AF10*AF11/1000000-AF12</f>
        <v>0</v>
      </c>
      <c r="AG13" s="71" t="n">
        <f aca="false">AG10*AG11/1000000-AG12</f>
        <v>0</v>
      </c>
      <c r="AH13" s="71" t="n">
        <f aca="false">AH10*AH11/1000000-AH12</f>
        <v>0</v>
      </c>
      <c r="AI13" s="71" t="n">
        <f aca="false">AI10*AI11/1000000-AI12</f>
        <v>0</v>
      </c>
      <c r="AJ13" s="71" t="n">
        <f aca="false">AJ10*AJ11/1000000-AJ12</f>
        <v>0</v>
      </c>
      <c r="AK13" s="71" t="n">
        <f aca="false">AK10*AK11/1000000-AK12</f>
        <v>0</v>
      </c>
      <c r="AL13" s="71" t="n">
        <f aca="false">AL10*AL11/1000000-AL12</f>
        <v>0</v>
      </c>
      <c r="AM13" s="71" t="n">
        <f aca="false">AM10*AM11/1000000-AM12</f>
        <v>0</v>
      </c>
    </row>
    <row r="14" customFormat="false" ht="21" hidden="false" customHeight="true" outlineLevel="0" collapsed="false">
      <c r="C14" s="56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</row>
    <row r="15" customFormat="false" ht="21" hidden="false" customHeight="true" outlineLevel="0" collapsed="false">
      <c r="C15" s="56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</row>
    <row r="16" customFormat="false" ht="21" hidden="false" customHeight="true" outlineLevel="0" collapsed="false">
      <c r="C16" s="5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</row>
    <row r="17" customFormat="false" ht="21" hidden="false" customHeight="true" outlineLevel="0" collapsed="false">
      <c r="C17" s="56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</row>
    <row r="18" customFormat="false" ht="25" hidden="false" customHeight="true" outlineLevel="0" collapsed="false">
      <c r="C18" s="74" t="s">
        <v>227</v>
      </c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</row>
    <row r="19" customFormat="false" ht="21" hidden="false" customHeight="true" outlineLevel="0" collapsed="false">
      <c r="C19" s="56" t="s">
        <v>223</v>
      </c>
      <c r="D19" s="75"/>
      <c r="E19" s="75"/>
      <c r="F19" s="75"/>
      <c r="G19" s="75"/>
      <c r="H19" s="75"/>
      <c r="I19" s="75"/>
      <c r="J19" s="75" t="n">
        <f aca="false">(SourceAnalysis!D14-(SourceHistory!F64-SourceHistory!F66)*SourceAnalysis!D14/SourceAnalysis!D24)*1000000/SourceAnalysis!D18/6*(1+Inputs!J13)*Inputs!J5</f>
        <v>88596987.1860354</v>
      </c>
      <c r="K19" s="75" t="n">
        <f aca="false">(SourceAnalysis!D14-(SourceHistory!F64-SourceHistory!F66)*SourceAnalysis!D14/SourceAnalysis!D24)*1000000/SourceAnalysis!D18/6*(1+Inputs!K13)*Inputs!K5</f>
        <v>88596987.1860354</v>
      </c>
      <c r="L19" s="75" t="n">
        <f aca="false">(SourceAnalysis!D14-(SourceHistory!F64-SourceHistory!F66)*SourceAnalysis!D14/SourceAnalysis!D24)*1000000/SourceAnalysis!D18/6*(1+Inputs!L13)*Inputs!L5</f>
        <v>88596987.1860354</v>
      </c>
      <c r="M19" s="75" t="n">
        <f aca="false">(SourceAnalysis!D14-(SourceHistory!F64-SourceHistory!F66)*SourceAnalysis!D14/SourceAnalysis!D24)*1000000/SourceAnalysis!D18/6*(1+Inputs!M13)*Inputs!M5</f>
        <v>88596987.1860354</v>
      </c>
      <c r="N19" s="75" t="n">
        <f aca="false">(SourceAnalysis!D14-(SourceHistory!F64-SourceHistory!F66)*SourceAnalysis!D14/SourceAnalysis!D24)*1000000/SourceAnalysis!D18/6*(1+Inputs!N13)*Inputs!N5</f>
        <v>88596987.1860354</v>
      </c>
      <c r="O19" s="75" t="n">
        <f aca="false">(SourceAnalysis!D14-(SourceHistory!F64-SourceHistory!F66)*SourceAnalysis!D14/SourceAnalysis!D24)*1000000/SourceAnalysis!D18/6*(1+Inputs!O13)*Inputs!O5</f>
        <v>88596987.1860354</v>
      </c>
      <c r="P19" s="75" t="n">
        <f aca="false">((SourceHistory!F65-SourceHistory!F67)*SourceAnalysis!D14/SourceAnalysis!D24*1000000/SourceAnalysis!D18/6)*(1+Inputs!P13)*Inputs!P5</f>
        <v>94366173.6540879</v>
      </c>
      <c r="Q19" s="75" t="n">
        <f aca="false">((SourceHistory!F65-SourceHistory!F67)*SourceAnalysis!D14/SourceAnalysis!D24*1000000/SourceAnalysis!D18/6)*(1+Inputs!Q13)*Inputs!Q5</f>
        <v>94366173.6540879</v>
      </c>
      <c r="R19" s="75" t="n">
        <f aca="false">((SourceHistory!F65-SourceHistory!F67)*SourceAnalysis!D14/SourceAnalysis!D24*1000000/SourceAnalysis!D18/6)*(1+Inputs!R13)*Inputs!R5</f>
        <v>94366173.6540879</v>
      </c>
      <c r="S19" s="75" t="n">
        <f aca="false">((SourceHistory!F65-SourceHistory!F67)*SourceAnalysis!D14/SourceAnalysis!D24*1000000/SourceAnalysis!D18/6)*(1+Inputs!S13)*Inputs!S5</f>
        <v>94366173.6540879</v>
      </c>
      <c r="T19" s="75" t="n">
        <f aca="false">((SourceHistory!F65-SourceHistory!F67)*SourceAnalysis!D14/SourceAnalysis!D24*1000000/SourceAnalysis!D18/6)*(1+Inputs!T13)*Inputs!T5</f>
        <v>94366173.6540879</v>
      </c>
      <c r="U19" s="75" t="n">
        <f aca="false">((SourceHistory!F65-SourceHistory!F67)*SourceAnalysis!D14/SourceAnalysis!D24*1000000/SourceAnalysis!D18/6)*(1+Inputs!U13)*Inputs!U5</f>
        <v>94366173.6540879</v>
      </c>
      <c r="V19" s="75" t="n">
        <f aca="false">Revenue!J19*(1+Inputs!V13)*Inputs!V5</f>
        <v>91254896.8016165</v>
      </c>
      <c r="W19" s="75" t="n">
        <f aca="false">Revenue!K19*(1+Inputs!W13)*Inputs!W5</f>
        <v>91254896.8016165</v>
      </c>
      <c r="X19" s="75" t="n">
        <f aca="false">Revenue!L19*(1+Inputs!X13)*Inputs!X5</f>
        <v>91254896.8016165</v>
      </c>
      <c r="Y19" s="75" t="n">
        <f aca="false">Revenue!M19*(1+Inputs!Y13)*Inputs!Y5</f>
        <v>91254896.8016165</v>
      </c>
      <c r="Z19" s="75" t="n">
        <f aca="false">Revenue!N19*(1+Inputs!Z13)*Inputs!Z5</f>
        <v>91254896.8016165</v>
      </c>
      <c r="AA19" s="75" t="n">
        <f aca="false">Revenue!O19*(1+Inputs!AA13)*Inputs!AA5</f>
        <v>91254896.8016165</v>
      </c>
      <c r="AB19" s="75" t="n">
        <f aca="false">Revenue!P19*(1+Inputs!AB13)*Inputs!AB5</f>
        <v>97197158.8637106</v>
      </c>
      <c r="AC19" s="75" t="n">
        <f aca="false">Revenue!Q19*(1+Inputs!AC13)*Inputs!AC5</f>
        <v>97197158.8637106</v>
      </c>
      <c r="AD19" s="75" t="n">
        <f aca="false">Revenue!R19*(1+Inputs!AD13)*Inputs!AD5</f>
        <v>97197158.8637106</v>
      </c>
      <c r="AE19" s="75" t="n">
        <f aca="false">Revenue!S19*(1+Inputs!AE13)*Inputs!AE5</f>
        <v>97197158.8637106</v>
      </c>
      <c r="AF19" s="75" t="n">
        <f aca="false">Revenue!T19*(1+Inputs!AF13)*Inputs!AF5</f>
        <v>97197158.8637106</v>
      </c>
      <c r="AG19" s="75" t="n">
        <f aca="false">Revenue!U19*(1+Inputs!AG13)*Inputs!AG5</f>
        <v>97197158.8637106</v>
      </c>
      <c r="AH19" s="75" t="n">
        <f aca="false">Revenue!V19*(1+Inputs!AH13)*Inputs!AH5</f>
        <v>93992543.705665</v>
      </c>
      <c r="AI19" s="75" t="n">
        <f aca="false">Revenue!W19*(1+Inputs!AI13)*Inputs!AI5</f>
        <v>93992543.705665</v>
      </c>
      <c r="AJ19" s="75" t="n">
        <f aca="false">Revenue!X19*(1+Inputs!AJ13)*Inputs!AJ5</f>
        <v>93992543.705665</v>
      </c>
      <c r="AK19" s="75" t="n">
        <f aca="false">Revenue!Y19*(1+Inputs!AK13)*Inputs!AK5</f>
        <v>93992543.705665</v>
      </c>
      <c r="AL19" s="75" t="n">
        <f aca="false">Revenue!Z19*(1+Inputs!AL13)*Inputs!AL5</f>
        <v>93992543.705665</v>
      </c>
      <c r="AM19" s="75" t="n">
        <f aca="false">Revenue!AA19*(1+Inputs!AM13)*Inputs!AM5</f>
        <v>93992543.705665</v>
      </c>
    </row>
    <row r="20" customFormat="false" ht="21" hidden="false" customHeight="true" outlineLevel="0" collapsed="false">
      <c r="C20" s="56" t="s">
        <v>224</v>
      </c>
      <c r="D20" s="76"/>
      <c r="E20" s="76"/>
      <c r="F20" s="76"/>
      <c r="G20" s="76"/>
      <c r="H20" s="76"/>
      <c r="I20" s="76"/>
      <c r="J20" s="76" t="n">
        <f aca="false">SourceAnalysis!D18*(1+Inputs!J14)</f>
        <v>7.78070793093049</v>
      </c>
      <c r="K20" s="76" t="n">
        <f aca="false">SourceAnalysis!D18*(1+Inputs!K14)</f>
        <v>7.78070793093049</v>
      </c>
      <c r="L20" s="76" t="n">
        <f aca="false">SourceAnalysis!D18*(1+Inputs!L14)</f>
        <v>7.78070793093049</v>
      </c>
      <c r="M20" s="76" t="n">
        <f aca="false">SourceAnalysis!D18*(1+Inputs!M14)</f>
        <v>7.78070793093049</v>
      </c>
      <c r="N20" s="76" t="n">
        <f aca="false">SourceAnalysis!D18*(1+Inputs!N14)</f>
        <v>7.78070793093049</v>
      </c>
      <c r="O20" s="76" t="n">
        <f aca="false">SourceAnalysis!D18*(1+Inputs!O14)</f>
        <v>7.78070793093049</v>
      </c>
      <c r="P20" s="76" t="n">
        <f aca="false">(SourceAnalysis!D18)*(1+Inputs!P14)</f>
        <v>7.78070793093049</v>
      </c>
      <c r="Q20" s="76" t="n">
        <f aca="false">(SourceAnalysis!D18)*(1+Inputs!Q14)</f>
        <v>7.78070793093049</v>
      </c>
      <c r="R20" s="76" t="n">
        <f aca="false">(SourceAnalysis!D18)*(1+Inputs!R14)</f>
        <v>7.78070793093049</v>
      </c>
      <c r="S20" s="76" t="n">
        <f aca="false">(SourceAnalysis!D18)*(1+Inputs!S14)</f>
        <v>7.78070793093049</v>
      </c>
      <c r="T20" s="76" t="n">
        <f aca="false">(SourceAnalysis!D18)*(1+Inputs!T14)</f>
        <v>7.78070793093049</v>
      </c>
      <c r="U20" s="76" t="n">
        <f aca="false">(SourceAnalysis!D18)*(1+Inputs!U14)</f>
        <v>7.78070793093049</v>
      </c>
      <c r="V20" s="76" t="n">
        <f aca="false">Revenue!J20*(1+Inputs!V14)</f>
        <v>7.85851501023979</v>
      </c>
      <c r="W20" s="76" t="n">
        <f aca="false">Revenue!K20*(1+Inputs!W14)</f>
        <v>7.85851501023979</v>
      </c>
      <c r="X20" s="76" t="n">
        <f aca="false">Revenue!L20*(1+Inputs!X14)</f>
        <v>7.85851501023979</v>
      </c>
      <c r="Y20" s="76" t="n">
        <f aca="false">Revenue!M20*(1+Inputs!Y14)</f>
        <v>7.85851501023979</v>
      </c>
      <c r="Z20" s="76" t="n">
        <f aca="false">Revenue!N20*(1+Inputs!Z14)</f>
        <v>7.85851501023979</v>
      </c>
      <c r="AA20" s="76" t="n">
        <f aca="false">Revenue!O20*(1+Inputs!AA14)</f>
        <v>7.85851501023979</v>
      </c>
      <c r="AB20" s="76" t="n">
        <f aca="false">Revenue!P20*(1+Inputs!AB14)</f>
        <v>7.85851501023979</v>
      </c>
      <c r="AC20" s="76" t="n">
        <f aca="false">Revenue!Q20*(1+Inputs!AC14)</f>
        <v>7.85851501023979</v>
      </c>
      <c r="AD20" s="76" t="n">
        <f aca="false">Revenue!R20*(1+Inputs!AD14)</f>
        <v>7.85851501023979</v>
      </c>
      <c r="AE20" s="76" t="n">
        <f aca="false">Revenue!S20*(1+Inputs!AE14)</f>
        <v>7.85851501023979</v>
      </c>
      <c r="AF20" s="76" t="n">
        <f aca="false">Revenue!T20*(1+Inputs!AF14)</f>
        <v>7.85851501023979</v>
      </c>
      <c r="AG20" s="76" t="n">
        <f aca="false">Revenue!U20*(1+Inputs!AG14)</f>
        <v>7.85851501023979</v>
      </c>
      <c r="AH20" s="76" t="n">
        <f aca="false">Revenue!V20*(1+Inputs!AH14)</f>
        <v>7.93710016034219</v>
      </c>
      <c r="AI20" s="76" t="n">
        <f aca="false">Revenue!W20*(1+Inputs!AI14)</f>
        <v>7.93710016034219</v>
      </c>
      <c r="AJ20" s="76" t="n">
        <f aca="false">Revenue!X20*(1+Inputs!AJ14)</f>
        <v>7.93710016034219</v>
      </c>
      <c r="AK20" s="76" t="n">
        <f aca="false">Revenue!Y20*(1+Inputs!AK14)</f>
        <v>7.93710016034219</v>
      </c>
      <c r="AL20" s="76" t="n">
        <f aca="false">Revenue!Z20*(1+Inputs!AL14)</f>
        <v>7.93710016034219</v>
      </c>
      <c r="AM20" s="76" t="n">
        <f aca="false">Revenue!AA20*(1+Inputs!AM14)</f>
        <v>7.93710016034219</v>
      </c>
    </row>
    <row r="21" customFormat="false" ht="21" hidden="false" customHeight="true" outlineLevel="0" collapsed="false">
      <c r="C21" s="60" t="s">
        <v>225</v>
      </c>
      <c r="D21" s="70"/>
      <c r="E21" s="70"/>
      <c r="F21" s="70"/>
      <c r="G21" s="70"/>
      <c r="H21" s="70"/>
      <c r="I21" s="70"/>
      <c r="J21" s="70" t="n">
        <f aca="false">J19*J20/1000000</f>
        <v>689.347280854933</v>
      </c>
      <c r="K21" s="70" t="n">
        <f aca="false">K19*K20/1000000</f>
        <v>689.347280854933</v>
      </c>
      <c r="L21" s="70" t="n">
        <f aca="false">L19*L20/1000000</f>
        <v>689.347280854933</v>
      </c>
      <c r="M21" s="70" t="n">
        <f aca="false">M19*M20/1000000</f>
        <v>689.347280854933</v>
      </c>
      <c r="N21" s="70" t="n">
        <f aca="false">N19*N20/1000000</f>
        <v>689.347280854933</v>
      </c>
      <c r="O21" s="70" t="n">
        <f aca="false">O19*O20/1000000</f>
        <v>689.347280854933</v>
      </c>
      <c r="P21" s="70" t="n">
        <f aca="false">P19*P20/1000000</f>
        <v>734.235635761926</v>
      </c>
      <c r="Q21" s="70" t="n">
        <f aca="false">Q19*Q20/1000000</f>
        <v>734.235635761926</v>
      </c>
      <c r="R21" s="70" t="n">
        <f aca="false">R19*R20/1000000</f>
        <v>734.235635761926</v>
      </c>
      <c r="S21" s="70" t="n">
        <f aca="false">S19*S20/1000000</f>
        <v>734.235635761926</v>
      </c>
      <c r="T21" s="70" t="n">
        <f aca="false">T19*T20/1000000</f>
        <v>734.235635761926</v>
      </c>
      <c r="U21" s="70" t="n">
        <f aca="false">U19*U20/1000000</f>
        <v>734.235635761926</v>
      </c>
      <c r="V21" s="70" t="n">
        <f aca="false">V19*V20/1000000</f>
        <v>717.127976273387</v>
      </c>
      <c r="W21" s="70" t="n">
        <f aca="false">W19*W20/1000000</f>
        <v>717.127976273387</v>
      </c>
      <c r="X21" s="70" t="n">
        <f aca="false">X19*X20/1000000</f>
        <v>717.127976273387</v>
      </c>
      <c r="Y21" s="70" t="n">
        <f aca="false">Y19*Y20/1000000</f>
        <v>717.127976273387</v>
      </c>
      <c r="Z21" s="70" t="n">
        <f aca="false">Z19*Z20/1000000</f>
        <v>717.127976273387</v>
      </c>
      <c r="AA21" s="70" t="n">
        <f aca="false">AA19*AA20/1000000</f>
        <v>717.127976273387</v>
      </c>
      <c r="AB21" s="70" t="n">
        <f aca="false">AB19*AB20/1000000</f>
        <v>763.825331883131</v>
      </c>
      <c r="AC21" s="70" t="n">
        <f aca="false">AC19*AC20/1000000</f>
        <v>763.825331883131</v>
      </c>
      <c r="AD21" s="70" t="n">
        <f aca="false">AD19*AD20/1000000</f>
        <v>763.825331883131</v>
      </c>
      <c r="AE21" s="70" t="n">
        <f aca="false">AE19*AE20/1000000</f>
        <v>763.825331883131</v>
      </c>
      <c r="AF21" s="70" t="n">
        <f aca="false">AF19*AF20/1000000</f>
        <v>763.825331883131</v>
      </c>
      <c r="AG21" s="70" t="n">
        <f aca="false">AG19*AG20/1000000</f>
        <v>763.825331883131</v>
      </c>
      <c r="AH21" s="70" t="n">
        <f aca="false">AH19*AH20/1000000</f>
        <v>746.028233717204</v>
      </c>
      <c r="AI21" s="70" t="n">
        <f aca="false">AI19*AI20/1000000</f>
        <v>746.028233717204</v>
      </c>
      <c r="AJ21" s="70" t="n">
        <f aca="false">AJ19*AJ20/1000000</f>
        <v>746.028233717204</v>
      </c>
      <c r="AK21" s="70" t="n">
        <f aca="false">AK19*AK20/1000000</f>
        <v>746.028233717204</v>
      </c>
      <c r="AL21" s="70" t="n">
        <f aca="false">AL19*AL20/1000000</f>
        <v>746.028233717204</v>
      </c>
      <c r="AM21" s="70" t="n">
        <f aca="false">AM19*AM20/1000000</f>
        <v>746.028233717204</v>
      </c>
    </row>
    <row r="22" customFormat="false" ht="21" hidden="false" customHeight="true" outlineLevel="0" collapsed="false">
      <c r="C22" s="56" t="s">
        <v>226</v>
      </c>
      <c r="D22" s="71"/>
      <c r="E22" s="71"/>
      <c r="F22" s="71"/>
      <c r="G22" s="71"/>
      <c r="H22" s="71"/>
      <c r="I22" s="71"/>
      <c r="J22" s="71" t="n">
        <f aca="false">J19*J20/1000000-J21</f>
        <v>0</v>
      </c>
      <c r="K22" s="71" t="n">
        <f aca="false">K19*K20/1000000-K21</f>
        <v>0</v>
      </c>
      <c r="L22" s="71" t="n">
        <f aca="false">L19*L20/1000000-L21</f>
        <v>0</v>
      </c>
      <c r="M22" s="71" t="n">
        <f aca="false">M19*M20/1000000-M21</f>
        <v>0</v>
      </c>
      <c r="N22" s="71" t="n">
        <f aca="false">N19*N20/1000000-N21</f>
        <v>0</v>
      </c>
      <c r="O22" s="71" t="n">
        <f aca="false">O19*O20/1000000-O21</f>
        <v>0</v>
      </c>
      <c r="P22" s="71" t="n">
        <f aca="false">P19*P20/1000000-P21</f>
        <v>0</v>
      </c>
      <c r="Q22" s="71" t="n">
        <f aca="false">Q19*Q20/1000000-Q21</f>
        <v>0</v>
      </c>
      <c r="R22" s="71" t="n">
        <f aca="false">R19*R20/1000000-R21</f>
        <v>0</v>
      </c>
      <c r="S22" s="71" t="n">
        <f aca="false">S19*S20/1000000-S21</f>
        <v>0</v>
      </c>
      <c r="T22" s="71" t="n">
        <f aca="false">T19*T20/1000000-T21</f>
        <v>0</v>
      </c>
      <c r="U22" s="71" t="n">
        <f aca="false">U19*U20/1000000-U21</f>
        <v>0</v>
      </c>
      <c r="V22" s="71" t="n">
        <f aca="false">V19*V20/1000000-V21</f>
        <v>0</v>
      </c>
      <c r="W22" s="71" t="n">
        <f aca="false">W19*W20/1000000-W21</f>
        <v>0</v>
      </c>
      <c r="X22" s="71" t="n">
        <f aca="false">X19*X20/1000000-X21</f>
        <v>0</v>
      </c>
      <c r="Y22" s="71" t="n">
        <f aca="false">Y19*Y20/1000000-Y21</f>
        <v>0</v>
      </c>
      <c r="Z22" s="71" t="n">
        <f aca="false">Z19*Z20/1000000-Z21</f>
        <v>0</v>
      </c>
      <c r="AA22" s="71" t="n">
        <f aca="false">AA19*AA20/1000000-AA21</f>
        <v>0</v>
      </c>
      <c r="AB22" s="71" t="n">
        <f aca="false">AB19*AB20/1000000-AB21</f>
        <v>0</v>
      </c>
      <c r="AC22" s="71" t="n">
        <f aca="false">AC19*AC20/1000000-AC21</f>
        <v>0</v>
      </c>
      <c r="AD22" s="71" t="n">
        <f aca="false">AD19*AD20/1000000-AD21</f>
        <v>0</v>
      </c>
      <c r="AE22" s="71" t="n">
        <f aca="false">AE19*AE20/1000000-AE21</f>
        <v>0</v>
      </c>
      <c r="AF22" s="71" t="n">
        <f aca="false">AF19*AF20/1000000-AF21</f>
        <v>0</v>
      </c>
      <c r="AG22" s="71" t="n">
        <f aca="false">AG19*AG20/1000000-AG21</f>
        <v>0</v>
      </c>
      <c r="AH22" s="71" t="n">
        <f aca="false">AH19*AH20/1000000-AH21</f>
        <v>0</v>
      </c>
      <c r="AI22" s="71" t="n">
        <f aca="false">AI19*AI20/1000000-AI21</f>
        <v>0</v>
      </c>
      <c r="AJ22" s="71" t="n">
        <f aca="false">AJ19*AJ20/1000000-AJ21</f>
        <v>0</v>
      </c>
      <c r="AK22" s="71" t="n">
        <f aca="false">AK19*AK20/1000000-AK21</f>
        <v>0</v>
      </c>
      <c r="AL22" s="71" t="n">
        <f aca="false">AL19*AL20/1000000-AL21</f>
        <v>0</v>
      </c>
      <c r="AM22" s="71" t="n">
        <f aca="false">AM19*AM20/1000000-AM21</f>
        <v>0</v>
      </c>
    </row>
    <row r="23" customFormat="false" ht="21" hidden="false" customHeight="true" outlineLevel="0" collapsed="false">
      <c r="C23" s="56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</row>
    <row r="24" customFormat="false" ht="21" hidden="false" customHeight="true" outlineLevel="0" collapsed="false">
      <c r="C24" s="56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</row>
    <row r="25" customFormat="false" ht="21" hidden="false" customHeight="true" outlineLevel="0" collapsed="false">
      <c r="C25" s="56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</row>
    <row r="26" customFormat="false" ht="21" hidden="false" customHeight="true" outlineLevel="0" collapsed="false">
      <c r="C26" s="56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</row>
    <row r="27" customFormat="false" ht="25" hidden="false" customHeight="true" outlineLevel="0" collapsed="false">
      <c r="C27" s="74" t="s">
        <v>228</v>
      </c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</row>
    <row r="28" customFormat="false" ht="21" hidden="false" customHeight="true" outlineLevel="0" collapsed="false">
      <c r="C28" s="56" t="s">
        <v>223</v>
      </c>
      <c r="D28" s="75"/>
      <c r="E28" s="75"/>
      <c r="F28" s="75"/>
      <c r="G28" s="75"/>
      <c r="H28" s="75"/>
      <c r="I28" s="75"/>
      <c r="J28" s="75" t="n">
        <f aca="false">(SourceAnalysis!D19-(SourceHistory!F64-SourceHistory!F66)*SourceAnalysis!D19/SourceAnalysis!D24)*1000000/SourceAnalysis!D23/6*(1+Inputs!J17)*Inputs!J5</f>
        <v>122044.410588278</v>
      </c>
      <c r="K28" s="75" t="n">
        <f aca="false">(SourceAnalysis!D19-(SourceHistory!F64-SourceHistory!F66)*SourceAnalysis!D19/SourceAnalysis!D24)*1000000/SourceAnalysis!D23/6*(1+Inputs!K17)*Inputs!K5</f>
        <v>122044.410588278</v>
      </c>
      <c r="L28" s="75" t="n">
        <f aca="false">(SourceAnalysis!D19-(SourceHistory!F64-SourceHistory!F66)*SourceAnalysis!D19/SourceAnalysis!D24)*1000000/SourceAnalysis!D23/6*(1+Inputs!L17)*Inputs!L5</f>
        <v>122044.410588278</v>
      </c>
      <c r="M28" s="75" t="n">
        <f aca="false">(SourceAnalysis!D19-(SourceHistory!F64-SourceHistory!F66)*SourceAnalysis!D19/SourceAnalysis!D24)*1000000/SourceAnalysis!D23/6*(1+Inputs!M17)*Inputs!M5</f>
        <v>122044.410588278</v>
      </c>
      <c r="N28" s="75" t="n">
        <f aca="false">(SourceAnalysis!D19-(SourceHistory!F64-SourceHistory!F66)*SourceAnalysis!D19/SourceAnalysis!D24)*1000000/SourceAnalysis!D23/6*(1+Inputs!N17)*Inputs!N5</f>
        <v>122044.410588278</v>
      </c>
      <c r="O28" s="75" t="n">
        <f aca="false">(SourceAnalysis!D19-(SourceHistory!F64-SourceHistory!F66)*SourceAnalysis!D19/SourceAnalysis!D24)*1000000/SourceAnalysis!D23/6*(1+Inputs!O17)*Inputs!O5</f>
        <v>122044.410588278</v>
      </c>
      <c r="P28" s="75" t="n">
        <f aca="false">((SourceHistory!F65-SourceHistory!F67)*SourceAnalysis!D19/SourceAnalysis!D24*1000000/SourceAnalysis!D23/6)*(1+Inputs!P17)*Inputs!P5</f>
        <v>129991.599137578</v>
      </c>
      <c r="Q28" s="75" t="n">
        <f aca="false">((SourceHistory!F65-SourceHistory!F67)*SourceAnalysis!D19/SourceAnalysis!D24*1000000/SourceAnalysis!D23/6)*(1+Inputs!Q17)*Inputs!Q5</f>
        <v>129991.599137578</v>
      </c>
      <c r="R28" s="75" t="n">
        <f aca="false">((SourceHistory!F65-SourceHistory!F67)*SourceAnalysis!D19/SourceAnalysis!D24*1000000/SourceAnalysis!D23/6)*(1+Inputs!R17)*Inputs!R5</f>
        <v>129991.599137578</v>
      </c>
      <c r="S28" s="75" t="n">
        <f aca="false">((SourceHistory!F65-SourceHistory!F67)*SourceAnalysis!D19/SourceAnalysis!D24*1000000/SourceAnalysis!D23/6)*(1+Inputs!S17)*Inputs!S5</f>
        <v>129991.599137578</v>
      </c>
      <c r="T28" s="75" t="n">
        <f aca="false">((SourceHistory!F65-SourceHistory!F67)*SourceAnalysis!D19/SourceAnalysis!D24*1000000/SourceAnalysis!D23/6)*(1+Inputs!T17)*Inputs!T5</f>
        <v>129991.599137578</v>
      </c>
      <c r="U28" s="75" t="n">
        <f aca="false">((SourceHistory!F65-SourceHistory!F67)*SourceAnalysis!D19/SourceAnalysis!D24*1000000/SourceAnalysis!D23/6)*(1+Inputs!U17)*Inputs!U5</f>
        <v>129991.599137578</v>
      </c>
      <c r="V28" s="75" t="n">
        <f aca="false">Revenue!J28*(1+Inputs!V17)*Inputs!V5</f>
        <v>140351.07217652</v>
      </c>
      <c r="W28" s="75" t="n">
        <f aca="false">Revenue!K28*(1+Inputs!W17)*Inputs!W5</f>
        <v>140351.07217652</v>
      </c>
      <c r="X28" s="75" t="n">
        <f aca="false">Revenue!L28*(1+Inputs!X17)*Inputs!X5</f>
        <v>140351.07217652</v>
      </c>
      <c r="Y28" s="75" t="n">
        <f aca="false">Revenue!M28*(1+Inputs!Y17)*Inputs!Y5</f>
        <v>140351.07217652</v>
      </c>
      <c r="Z28" s="75" t="n">
        <f aca="false">Revenue!N28*(1+Inputs!Z17)*Inputs!Z5</f>
        <v>140351.07217652</v>
      </c>
      <c r="AA28" s="75" t="n">
        <f aca="false">Revenue!O28*(1+Inputs!AA17)*Inputs!AA5</f>
        <v>140351.07217652</v>
      </c>
      <c r="AB28" s="75" t="n">
        <f aca="false">Revenue!P28*(1+Inputs!AB17)*Inputs!AB5</f>
        <v>149490.339008215</v>
      </c>
      <c r="AC28" s="75" t="n">
        <f aca="false">Revenue!Q28*(1+Inputs!AC17)*Inputs!AC5</f>
        <v>149490.339008215</v>
      </c>
      <c r="AD28" s="75" t="n">
        <f aca="false">Revenue!R28*(1+Inputs!AD17)*Inputs!AD5</f>
        <v>149490.339008215</v>
      </c>
      <c r="AE28" s="75" t="n">
        <f aca="false">Revenue!S28*(1+Inputs!AE17)*Inputs!AE5</f>
        <v>149490.339008215</v>
      </c>
      <c r="AF28" s="75" t="n">
        <f aca="false">Revenue!T28*(1+Inputs!AF17)*Inputs!AF5</f>
        <v>149490.339008215</v>
      </c>
      <c r="AG28" s="75" t="n">
        <f aca="false">Revenue!U28*(1+Inputs!AG17)*Inputs!AG5</f>
        <v>149490.339008215</v>
      </c>
      <c r="AH28" s="75" t="n">
        <f aca="false">Revenue!V28*(1+Inputs!AH17)*Inputs!AH5</f>
        <v>161403.733002997</v>
      </c>
      <c r="AI28" s="75" t="n">
        <f aca="false">Revenue!W28*(1+Inputs!AI17)*Inputs!AI5</f>
        <v>161403.733002997</v>
      </c>
      <c r="AJ28" s="75" t="n">
        <f aca="false">Revenue!X28*(1+Inputs!AJ17)*Inputs!AJ5</f>
        <v>161403.733002997</v>
      </c>
      <c r="AK28" s="75" t="n">
        <f aca="false">Revenue!Y28*(1+Inputs!AK17)*Inputs!AK5</f>
        <v>161403.733002997</v>
      </c>
      <c r="AL28" s="75" t="n">
        <f aca="false">Revenue!Z28*(1+Inputs!AL17)*Inputs!AL5</f>
        <v>161403.733002997</v>
      </c>
      <c r="AM28" s="75" t="n">
        <f aca="false">Revenue!AA28*(1+Inputs!AM17)*Inputs!AM5</f>
        <v>161403.733002997</v>
      </c>
    </row>
    <row r="29" customFormat="false" ht="21" hidden="false" customHeight="true" outlineLevel="0" collapsed="false">
      <c r="C29" s="56" t="s">
        <v>224</v>
      </c>
      <c r="D29" s="76"/>
      <c r="E29" s="76"/>
      <c r="F29" s="76"/>
      <c r="G29" s="76"/>
      <c r="H29" s="76"/>
      <c r="I29" s="76"/>
      <c r="J29" s="76" t="n">
        <f aca="false">SourceAnalysis!D23*(1+Inputs!J18)</f>
        <v>621.010452019277</v>
      </c>
      <c r="K29" s="76" t="n">
        <f aca="false">SourceAnalysis!D23*(1+Inputs!K18)</f>
        <v>621.010452019277</v>
      </c>
      <c r="L29" s="76" t="n">
        <f aca="false">SourceAnalysis!D23*(1+Inputs!L18)</f>
        <v>621.010452019277</v>
      </c>
      <c r="M29" s="76" t="n">
        <f aca="false">SourceAnalysis!D23*(1+Inputs!M18)</f>
        <v>621.010452019277</v>
      </c>
      <c r="N29" s="76" t="n">
        <f aca="false">SourceAnalysis!D23*(1+Inputs!N18)</f>
        <v>621.010452019277</v>
      </c>
      <c r="O29" s="76" t="n">
        <f aca="false">SourceAnalysis!D23*(1+Inputs!O18)</f>
        <v>621.010452019277</v>
      </c>
      <c r="P29" s="76" t="n">
        <f aca="false">(SourceAnalysis!D23)*(1+Inputs!P18)</f>
        <v>621.010452019277</v>
      </c>
      <c r="Q29" s="76" t="n">
        <f aca="false">(SourceAnalysis!D23)*(1+Inputs!Q18)</f>
        <v>621.010452019277</v>
      </c>
      <c r="R29" s="76" t="n">
        <f aca="false">(SourceAnalysis!D23)*(1+Inputs!R18)</f>
        <v>621.010452019277</v>
      </c>
      <c r="S29" s="76" t="n">
        <f aca="false">(SourceAnalysis!D23)*(1+Inputs!S18)</f>
        <v>621.010452019277</v>
      </c>
      <c r="T29" s="76" t="n">
        <f aca="false">(SourceAnalysis!D23)*(1+Inputs!T18)</f>
        <v>621.010452019277</v>
      </c>
      <c r="U29" s="76" t="n">
        <f aca="false">(SourceAnalysis!D23)*(1+Inputs!U18)</f>
        <v>621.010452019277</v>
      </c>
      <c r="V29" s="76" t="n">
        <f aca="false">Revenue!J29*(1+Inputs!V18)</f>
        <v>608.590242978891</v>
      </c>
      <c r="W29" s="76" t="n">
        <f aca="false">Revenue!K29*(1+Inputs!W18)</f>
        <v>608.590242978891</v>
      </c>
      <c r="X29" s="76" t="n">
        <f aca="false">Revenue!L29*(1+Inputs!X18)</f>
        <v>608.590242978891</v>
      </c>
      <c r="Y29" s="76" t="n">
        <f aca="false">Revenue!M29*(1+Inputs!Y18)</f>
        <v>608.590242978891</v>
      </c>
      <c r="Z29" s="76" t="n">
        <f aca="false">Revenue!N29*(1+Inputs!Z18)</f>
        <v>608.590242978891</v>
      </c>
      <c r="AA29" s="76" t="n">
        <f aca="false">Revenue!O29*(1+Inputs!AA18)</f>
        <v>608.590242978891</v>
      </c>
      <c r="AB29" s="76" t="n">
        <f aca="false">Revenue!P29*(1+Inputs!AB18)</f>
        <v>608.590242978891</v>
      </c>
      <c r="AC29" s="76" t="n">
        <f aca="false">Revenue!Q29*(1+Inputs!AC18)</f>
        <v>608.590242978891</v>
      </c>
      <c r="AD29" s="76" t="n">
        <f aca="false">Revenue!R29*(1+Inputs!AD18)</f>
        <v>608.590242978891</v>
      </c>
      <c r="AE29" s="76" t="n">
        <f aca="false">Revenue!S29*(1+Inputs!AE18)</f>
        <v>608.590242978891</v>
      </c>
      <c r="AF29" s="76" t="n">
        <f aca="false">Revenue!T29*(1+Inputs!AF18)</f>
        <v>608.590242978891</v>
      </c>
      <c r="AG29" s="76" t="n">
        <f aca="false">Revenue!U29*(1+Inputs!AG18)</f>
        <v>608.590242978891</v>
      </c>
      <c r="AH29" s="76" t="n">
        <f aca="false">Revenue!V29*(1+Inputs!AH18)</f>
        <v>596.418438119313</v>
      </c>
      <c r="AI29" s="76" t="n">
        <f aca="false">Revenue!W29*(1+Inputs!AI18)</f>
        <v>596.418438119313</v>
      </c>
      <c r="AJ29" s="76" t="n">
        <f aca="false">Revenue!X29*(1+Inputs!AJ18)</f>
        <v>596.418438119313</v>
      </c>
      <c r="AK29" s="76" t="n">
        <f aca="false">Revenue!Y29*(1+Inputs!AK18)</f>
        <v>596.418438119313</v>
      </c>
      <c r="AL29" s="76" t="n">
        <f aca="false">Revenue!Z29*(1+Inputs!AL18)</f>
        <v>596.418438119313</v>
      </c>
      <c r="AM29" s="76" t="n">
        <f aca="false">Revenue!AA29*(1+Inputs!AM18)</f>
        <v>596.418438119313</v>
      </c>
    </row>
    <row r="30" customFormat="false" ht="21" hidden="false" customHeight="true" outlineLevel="0" collapsed="false">
      <c r="C30" s="60" t="s">
        <v>225</v>
      </c>
      <c r="D30" s="70"/>
      <c r="E30" s="70"/>
      <c r="F30" s="70"/>
      <c r="G30" s="70"/>
      <c r="H30" s="70"/>
      <c r="I30" s="70"/>
      <c r="J30" s="70" t="n">
        <f aca="false">J28*J29/1000000</f>
        <v>75.7908545858527</v>
      </c>
      <c r="K30" s="70" t="n">
        <f aca="false">K28*K29/1000000</f>
        <v>75.7908545858527</v>
      </c>
      <c r="L30" s="70" t="n">
        <f aca="false">L28*L29/1000000</f>
        <v>75.7908545858527</v>
      </c>
      <c r="M30" s="70" t="n">
        <f aca="false">M28*M29/1000000</f>
        <v>75.7908545858527</v>
      </c>
      <c r="N30" s="70" t="n">
        <f aca="false">N28*N29/1000000</f>
        <v>75.7908545858527</v>
      </c>
      <c r="O30" s="70" t="n">
        <f aca="false">O28*O29/1000000</f>
        <v>75.7908545858527</v>
      </c>
      <c r="P30" s="70" t="n">
        <f aca="false">P28*P29/1000000</f>
        <v>80.7261417391358</v>
      </c>
      <c r="Q30" s="70" t="n">
        <f aca="false">Q28*Q29/1000000</f>
        <v>80.7261417391358</v>
      </c>
      <c r="R30" s="70" t="n">
        <f aca="false">R28*R29/1000000</f>
        <v>80.7261417391358</v>
      </c>
      <c r="S30" s="70" t="n">
        <f aca="false">S28*S29/1000000</f>
        <v>80.7261417391358</v>
      </c>
      <c r="T30" s="70" t="n">
        <f aca="false">T28*T29/1000000</f>
        <v>80.7261417391358</v>
      </c>
      <c r="U30" s="70" t="n">
        <f aca="false">U28*U29/1000000</f>
        <v>80.7261417391358</v>
      </c>
      <c r="V30" s="70" t="n">
        <f aca="false">V28*V29/1000000</f>
        <v>85.4162931182559</v>
      </c>
      <c r="W30" s="70" t="n">
        <f aca="false">W28*W29/1000000</f>
        <v>85.4162931182559</v>
      </c>
      <c r="X30" s="70" t="n">
        <f aca="false">X28*X29/1000000</f>
        <v>85.4162931182559</v>
      </c>
      <c r="Y30" s="70" t="n">
        <f aca="false">Y28*Y29/1000000</f>
        <v>85.4162931182559</v>
      </c>
      <c r="Z30" s="70" t="n">
        <f aca="false">Z28*Z29/1000000</f>
        <v>85.4162931182559</v>
      </c>
      <c r="AA30" s="70" t="n">
        <f aca="false">AA28*AA29/1000000</f>
        <v>85.4162931182559</v>
      </c>
      <c r="AB30" s="70" t="n">
        <f aca="false">AB28*AB29/1000000</f>
        <v>90.9783617400061</v>
      </c>
      <c r="AC30" s="70" t="n">
        <f aca="false">AC28*AC29/1000000</f>
        <v>90.9783617400061</v>
      </c>
      <c r="AD30" s="70" t="n">
        <f aca="false">AD28*AD29/1000000</f>
        <v>90.9783617400061</v>
      </c>
      <c r="AE30" s="70" t="n">
        <f aca="false">AE28*AE29/1000000</f>
        <v>90.9783617400061</v>
      </c>
      <c r="AF30" s="70" t="n">
        <f aca="false">AF28*AF29/1000000</f>
        <v>90.9783617400061</v>
      </c>
      <c r="AG30" s="70" t="n">
        <f aca="false">AG28*AG29/1000000</f>
        <v>90.9783617400061</v>
      </c>
      <c r="AH30" s="70" t="n">
        <f aca="false">AH28*AH29/1000000</f>
        <v>96.2641623442744</v>
      </c>
      <c r="AI30" s="70" t="n">
        <f aca="false">AI28*AI29/1000000</f>
        <v>96.2641623442744</v>
      </c>
      <c r="AJ30" s="70" t="n">
        <f aca="false">AJ28*AJ29/1000000</f>
        <v>96.2641623442744</v>
      </c>
      <c r="AK30" s="70" t="n">
        <f aca="false">AK28*AK29/1000000</f>
        <v>96.2641623442744</v>
      </c>
      <c r="AL30" s="70" t="n">
        <f aca="false">AL28*AL29/1000000</f>
        <v>96.2641623442744</v>
      </c>
      <c r="AM30" s="70" t="n">
        <f aca="false">AM28*AM29/1000000</f>
        <v>96.2641623442744</v>
      </c>
    </row>
    <row r="31" customFormat="false" ht="21" hidden="false" customHeight="true" outlineLevel="0" collapsed="false">
      <c r="C31" s="56" t="s">
        <v>226</v>
      </c>
      <c r="D31" s="71"/>
      <c r="E31" s="71"/>
      <c r="F31" s="71"/>
      <c r="G31" s="71"/>
      <c r="H31" s="71"/>
      <c r="I31" s="71"/>
      <c r="J31" s="71" t="n">
        <f aca="false">J28*J29/1000000-J30</f>
        <v>0</v>
      </c>
      <c r="K31" s="71" t="n">
        <f aca="false">K28*K29/1000000-K30</f>
        <v>0</v>
      </c>
      <c r="L31" s="71" t="n">
        <f aca="false">L28*L29/1000000-L30</f>
        <v>0</v>
      </c>
      <c r="M31" s="71" t="n">
        <f aca="false">M28*M29/1000000-M30</f>
        <v>0</v>
      </c>
      <c r="N31" s="71" t="n">
        <f aca="false">N28*N29/1000000-N30</f>
        <v>0</v>
      </c>
      <c r="O31" s="71" t="n">
        <f aca="false">O28*O29/1000000-O30</f>
        <v>0</v>
      </c>
      <c r="P31" s="71" t="n">
        <f aca="false">P28*P29/1000000-P30</f>
        <v>0</v>
      </c>
      <c r="Q31" s="71" t="n">
        <f aca="false">Q28*Q29/1000000-Q30</f>
        <v>0</v>
      </c>
      <c r="R31" s="71" t="n">
        <f aca="false">R28*R29/1000000-R30</f>
        <v>0</v>
      </c>
      <c r="S31" s="71" t="n">
        <f aca="false">S28*S29/1000000-S30</f>
        <v>0</v>
      </c>
      <c r="T31" s="71" t="n">
        <f aca="false">T28*T29/1000000-T30</f>
        <v>0</v>
      </c>
      <c r="U31" s="71" t="n">
        <f aca="false">U28*U29/1000000-U30</f>
        <v>0</v>
      </c>
      <c r="V31" s="71" t="n">
        <f aca="false">V28*V29/1000000-V30</f>
        <v>0</v>
      </c>
      <c r="W31" s="71" t="n">
        <f aca="false">W28*W29/1000000-W30</f>
        <v>0</v>
      </c>
      <c r="X31" s="71" t="n">
        <f aca="false">X28*X29/1000000-X30</f>
        <v>0</v>
      </c>
      <c r="Y31" s="71" t="n">
        <f aca="false">Y28*Y29/1000000-Y30</f>
        <v>0</v>
      </c>
      <c r="Z31" s="71" t="n">
        <f aca="false">Z28*Z29/1000000-Z30</f>
        <v>0</v>
      </c>
      <c r="AA31" s="71" t="n">
        <f aca="false">AA28*AA29/1000000-AA30</f>
        <v>0</v>
      </c>
      <c r="AB31" s="71" t="n">
        <f aca="false">AB28*AB29/1000000-AB30</f>
        <v>0</v>
      </c>
      <c r="AC31" s="71" t="n">
        <f aca="false">AC28*AC29/1000000-AC30</f>
        <v>0</v>
      </c>
      <c r="AD31" s="71" t="n">
        <f aca="false">AD28*AD29/1000000-AD30</f>
        <v>0</v>
      </c>
      <c r="AE31" s="71" t="n">
        <f aca="false">AE28*AE29/1000000-AE30</f>
        <v>0</v>
      </c>
      <c r="AF31" s="71" t="n">
        <f aca="false">AF28*AF29/1000000-AF30</f>
        <v>0</v>
      </c>
      <c r="AG31" s="71" t="n">
        <f aca="false">AG28*AG29/1000000-AG30</f>
        <v>0</v>
      </c>
      <c r="AH31" s="71" t="n">
        <f aca="false">AH28*AH29/1000000-AH30</f>
        <v>0</v>
      </c>
      <c r="AI31" s="71" t="n">
        <f aca="false">AI28*AI29/1000000-AI30</f>
        <v>0</v>
      </c>
      <c r="AJ31" s="71" t="n">
        <f aca="false">AJ28*AJ29/1000000-AJ30</f>
        <v>0</v>
      </c>
      <c r="AK31" s="71" t="n">
        <f aca="false">AK28*AK29/1000000-AK30</f>
        <v>0</v>
      </c>
      <c r="AL31" s="71" t="n">
        <f aca="false">AL28*AL29/1000000-AL30</f>
        <v>0</v>
      </c>
      <c r="AM31" s="71" t="n">
        <f aca="false">AM28*AM29/1000000-AM30</f>
        <v>0</v>
      </c>
    </row>
    <row r="32" customFormat="false" ht="21" hidden="false" customHeight="true" outlineLevel="0" collapsed="false">
      <c r="C32" s="56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</row>
    <row r="33" customFormat="false" ht="21" hidden="false" customHeight="true" outlineLevel="0" collapsed="false">
      <c r="C33" s="56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</row>
    <row r="34" customFormat="false" ht="21" hidden="false" customHeight="true" outlineLevel="0" collapsed="false">
      <c r="C34" s="56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</row>
    <row r="35" customFormat="false" ht="21" hidden="false" customHeight="true" outlineLevel="0" collapsed="false">
      <c r="C35" s="56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</row>
    <row r="36" customFormat="false" ht="21" hidden="false" customHeight="true" outlineLevel="0" collapsed="false">
      <c r="C36" s="56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</row>
    <row r="37" customFormat="false" ht="21" hidden="false" customHeight="true" outlineLevel="0" collapsed="false">
      <c r="C37" s="56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</row>
    <row r="38" customFormat="false" ht="21" hidden="false" customHeight="true" outlineLevel="0" collapsed="false">
      <c r="C38" s="5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</row>
    <row r="39" customFormat="false" ht="21" hidden="false" customHeight="true" outlineLevel="0" collapsed="false">
      <c r="C39" s="56" t="s">
        <v>229</v>
      </c>
      <c r="D39" s="69"/>
      <c r="E39" s="69"/>
      <c r="F39" s="69"/>
      <c r="G39" s="69"/>
      <c r="H39" s="69"/>
      <c r="I39" s="69"/>
      <c r="J39" s="69" t="n">
        <f aca="false">(SourceHistory!F9-SourceAnalysis!D24-SourceHistory!F66)/6</f>
        <v>0.762457244999992</v>
      </c>
      <c r="K39" s="69" t="n">
        <f aca="false">(SourceHistory!F9-SourceAnalysis!D24-SourceHistory!F66)/6</f>
        <v>0.762457244999992</v>
      </c>
      <c r="L39" s="69" t="n">
        <f aca="false">(SourceHistory!F9-SourceAnalysis!D24-SourceHistory!F66)/6</f>
        <v>0.762457244999992</v>
      </c>
      <c r="M39" s="69" t="n">
        <f aca="false">(SourceHistory!F9-SourceAnalysis!D24-SourceHistory!F66)/6</f>
        <v>0.762457244999992</v>
      </c>
      <c r="N39" s="69" t="n">
        <f aca="false">(SourceHistory!F9-SourceAnalysis!D24-SourceHistory!F66)/6</f>
        <v>0.762457244999992</v>
      </c>
      <c r="O39" s="69" t="n">
        <f aca="false">(SourceHistory!F9-SourceAnalysis!D24-SourceHistory!F66)/6</f>
        <v>0.762457244999992</v>
      </c>
      <c r="P39" s="69" t="n">
        <f aca="false">(SourceHistory!F67/6)</f>
        <v>4.76043585666667</v>
      </c>
      <c r="Q39" s="69" t="n">
        <f aca="false">(SourceHistory!F67/6)</f>
        <v>4.76043585666667</v>
      </c>
      <c r="R39" s="69" t="n">
        <f aca="false">(SourceHistory!F67/6)</f>
        <v>4.76043585666667</v>
      </c>
      <c r="S39" s="69" t="n">
        <f aca="false">(SourceHistory!F67/6)</f>
        <v>4.76043585666667</v>
      </c>
      <c r="T39" s="69" t="n">
        <f aca="false">(SourceHistory!F67/6)</f>
        <v>4.76043585666667</v>
      </c>
      <c r="U39" s="69" t="n">
        <f aca="false">(SourceHistory!F67/6)</f>
        <v>4.76043585666667</v>
      </c>
      <c r="V39" s="69" t="n">
        <f aca="false">Revenue!J39</f>
        <v>0.762457244999992</v>
      </c>
      <c r="W39" s="69" t="n">
        <f aca="false">Revenue!K39</f>
        <v>0.762457244999992</v>
      </c>
      <c r="X39" s="69" t="n">
        <f aca="false">Revenue!L39</f>
        <v>0.762457244999992</v>
      </c>
      <c r="Y39" s="69" t="n">
        <f aca="false">Revenue!M39</f>
        <v>0.762457244999992</v>
      </c>
      <c r="Z39" s="69" t="n">
        <f aca="false">Revenue!N39</f>
        <v>0.762457244999992</v>
      </c>
      <c r="AA39" s="69" t="n">
        <f aca="false">Revenue!O39</f>
        <v>0.762457244999992</v>
      </c>
      <c r="AB39" s="69" t="n">
        <f aca="false">Revenue!P39</f>
        <v>4.76043585666667</v>
      </c>
      <c r="AC39" s="69" t="n">
        <f aca="false">Revenue!Q39</f>
        <v>4.76043585666667</v>
      </c>
      <c r="AD39" s="69" t="n">
        <f aca="false">Revenue!R39</f>
        <v>4.76043585666667</v>
      </c>
      <c r="AE39" s="69" t="n">
        <f aca="false">Revenue!S39</f>
        <v>4.76043585666667</v>
      </c>
      <c r="AF39" s="69" t="n">
        <f aca="false">Revenue!T39</f>
        <v>4.76043585666667</v>
      </c>
      <c r="AG39" s="69" t="n">
        <f aca="false">Revenue!U39</f>
        <v>4.76043585666667</v>
      </c>
      <c r="AH39" s="69" t="n">
        <f aca="false">Revenue!V39</f>
        <v>0.762457244999992</v>
      </c>
      <c r="AI39" s="69" t="n">
        <f aca="false">Revenue!W39</f>
        <v>0.762457244999992</v>
      </c>
      <c r="AJ39" s="69" t="n">
        <f aca="false">Revenue!X39</f>
        <v>0.762457244999992</v>
      </c>
      <c r="AK39" s="69" t="n">
        <f aca="false">Revenue!Y39</f>
        <v>0.762457244999992</v>
      </c>
      <c r="AL39" s="69" t="n">
        <f aca="false">Revenue!Z39</f>
        <v>0.762457244999992</v>
      </c>
      <c r="AM39" s="69" t="n">
        <f aca="false">Revenue!AA39</f>
        <v>0.762457244999992</v>
      </c>
    </row>
    <row r="40" customFormat="false" ht="21" hidden="false" customHeight="true" outlineLevel="0" collapsed="false">
      <c r="C40" s="60" t="s">
        <v>230</v>
      </c>
      <c r="D40" s="70"/>
      <c r="E40" s="70"/>
      <c r="F40" s="70"/>
      <c r="G40" s="70"/>
      <c r="H40" s="70"/>
      <c r="I40" s="70" t="n">
        <f aca="false">H1Data!D83</f>
        <v>8393.79111374</v>
      </c>
      <c r="J40" s="70" t="n">
        <f aca="false">J12+J21+J30+J39</f>
        <v>1356.55764443849</v>
      </c>
      <c r="K40" s="70" t="n">
        <f aca="false">K12+K21+K30+K39</f>
        <v>1356.55764443849</v>
      </c>
      <c r="L40" s="70" t="n">
        <f aca="false">L12+L21+L30+L39</f>
        <v>1356.55764443849</v>
      </c>
      <c r="M40" s="70" t="n">
        <f aca="false">M12+M21+M30+M39</f>
        <v>1356.55764443849</v>
      </c>
      <c r="N40" s="70" t="n">
        <f aca="false">N12+N21+N30+N39</f>
        <v>1356.55764443849</v>
      </c>
      <c r="O40" s="70" t="n">
        <f aca="false">O12+O21+O30+O39</f>
        <v>1356.55764443849</v>
      </c>
      <c r="P40" s="70" t="n">
        <f aca="false">P12+P21+P30+P39</f>
        <v>1448.84119004109</v>
      </c>
      <c r="Q40" s="70" t="n">
        <f aca="false">Q12+Q21+Q30+Q39</f>
        <v>1448.84119004109</v>
      </c>
      <c r="R40" s="70" t="n">
        <f aca="false">R12+R21+R30+R39</f>
        <v>1448.84119004109</v>
      </c>
      <c r="S40" s="70" t="n">
        <f aca="false">S12+S21+S30+S39</f>
        <v>1448.84119004109</v>
      </c>
      <c r="T40" s="70" t="n">
        <f aca="false">T12+T21+T30+T39</f>
        <v>1448.84119004109</v>
      </c>
      <c r="U40" s="70" t="n">
        <f aca="false">U12+U21+U30+U39</f>
        <v>1448.84119004109</v>
      </c>
      <c r="V40" s="70" t="n">
        <f aca="false">V12+V21+V30+V39</f>
        <v>1405.7769194244</v>
      </c>
      <c r="W40" s="70" t="n">
        <f aca="false">W12+W21+W30+W39</f>
        <v>1405.7769194244</v>
      </c>
      <c r="X40" s="70" t="n">
        <f aca="false">X12+X21+X30+X39</f>
        <v>1405.7769194244</v>
      </c>
      <c r="Y40" s="70" t="n">
        <f aca="false">Y12+Y21+Y30+Y39</f>
        <v>1405.7769194244</v>
      </c>
      <c r="Z40" s="70" t="n">
        <f aca="false">Z12+Z21+Z30+Z39</f>
        <v>1405.7769194244</v>
      </c>
      <c r="AA40" s="70" t="n">
        <f aca="false">AA12+AA21+AA30+AA39</f>
        <v>1405.7769194244</v>
      </c>
      <c r="AB40" s="70" t="n">
        <f aca="false">AB12+AB21+AB30+AB39</f>
        <v>1501.26548569683</v>
      </c>
      <c r="AC40" s="70" t="n">
        <f aca="false">AC12+AC21+AC30+AC39</f>
        <v>1501.26548569683</v>
      </c>
      <c r="AD40" s="70" t="n">
        <f aca="false">AD12+AD21+AD30+AD39</f>
        <v>1501.26548569683</v>
      </c>
      <c r="AE40" s="70" t="n">
        <f aca="false">AE12+AE21+AE30+AE39</f>
        <v>1501.26548569683</v>
      </c>
      <c r="AF40" s="70" t="n">
        <f aca="false">AF12+AF21+AF30+AF39</f>
        <v>1501.26548569683</v>
      </c>
      <c r="AG40" s="70" t="n">
        <f aca="false">AG12+AG21+AG30+AG39</f>
        <v>1501.26548569683</v>
      </c>
      <c r="AH40" s="70" t="n">
        <f aca="false">AH12+AH21+AH30+AH39</f>
        <v>1457.57444994999</v>
      </c>
      <c r="AI40" s="70" t="n">
        <f aca="false">AI12+AI21+AI30+AI39</f>
        <v>1457.57444994999</v>
      </c>
      <c r="AJ40" s="70" t="n">
        <f aca="false">AJ12+AJ21+AJ30+AJ39</f>
        <v>1457.57444994999</v>
      </c>
      <c r="AK40" s="70" t="n">
        <f aca="false">AK12+AK21+AK30+AK39</f>
        <v>1457.57444994999</v>
      </c>
      <c r="AL40" s="70" t="n">
        <f aca="false">AL12+AL21+AL30+AL39</f>
        <v>1457.57444994999</v>
      </c>
      <c r="AM40" s="70" t="n">
        <f aca="false">AM12+AM21+AM30+AM39</f>
        <v>1457.57444994999</v>
      </c>
    </row>
    <row r="41" customFormat="false" ht="21" hidden="false" customHeight="true" outlineLevel="0" collapsed="false">
      <c r="C41" s="56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</row>
    <row r="42" customFormat="false" ht="21" hidden="false" customHeight="true" outlineLevel="0" collapsed="false">
      <c r="C42" s="56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</row>
    <row r="43" customFormat="false" ht="21" hidden="false" customHeight="true" outlineLevel="0" collapsed="false">
      <c r="C43" s="56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</row>
    <row r="44" customFormat="false" ht="25" hidden="false" customHeight="true" outlineLevel="0" collapsed="false">
      <c r="C44" s="58" t="s">
        <v>231</v>
      </c>
      <c r="D44" s="58"/>
      <c r="E44" s="58"/>
      <c r="F44" s="58"/>
      <c r="G44" s="58"/>
      <c r="H44" s="58"/>
      <c r="I44" s="58"/>
      <c r="J44" s="58"/>
      <c r="K44" s="58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</row>
    <row r="45" customFormat="false" ht="25" hidden="false" customHeight="true" outlineLevel="0" collapsed="false">
      <c r="C45" s="58"/>
      <c r="D45" s="58"/>
      <c r="E45" s="58"/>
      <c r="F45" s="58"/>
      <c r="G45" s="58"/>
      <c r="H45" s="58"/>
      <c r="I45" s="58"/>
      <c r="J45" s="58"/>
      <c r="K45" s="58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</row>
    <row r="46" customFormat="false" ht="21" hidden="false" customHeight="true" outlineLevel="0" collapsed="false">
      <c r="C46" s="56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</row>
    <row r="47" customFormat="false" ht="21" hidden="false" customHeight="true" outlineLevel="0" collapsed="false"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</row>
    <row r="48" customFormat="false" ht="21" hidden="false" customHeight="true" outlineLevel="0" collapsed="false">
      <c r="C48" s="56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</row>
    <row r="49" customFormat="false" ht="21" hidden="false" customHeight="true" outlineLevel="0" collapsed="false">
      <c r="C49" s="56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</row>
    <row r="50" customFormat="false" ht="21" hidden="false" customHeight="true" outlineLevel="0" collapsed="false">
      <c r="C50" s="56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</row>
    <row r="51" customFormat="false" ht="21" hidden="false" customHeight="true" outlineLevel="0" collapsed="false">
      <c r="C51" s="56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</row>
    <row r="52" customFormat="false" ht="21" hidden="false" customHeight="true" outlineLevel="0" collapsed="false">
      <c r="C52" s="56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</row>
    <row r="53" customFormat="false" ht="21" hidden="false" customHeight="true" outlineLevel="0" collapsed="false">
      <c r="C53" s="56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</row>
    <row r="54" customFormat="false" ht="21" hidden="false" customHeight="true" outlineLevel="0" collapsed="false">
      <c r="C54" s="56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</row>
    <row r="55" customFormat="false" ht="21" hidden="false" customHeight="true" outlineLevel="0" collapsed="false">
      <c r="C55" s="56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</row>
    <row r="56" customFormat="false" ht="21" hidden="false" customHeight="true" outlineLevel="0" collapsed="false">
      <c r="C56" s="56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</row>
    <row r="57" customFormat="false" ht="21" hidden="false" customHeight="true" outlineLevel="0" collapsed="false">
      <c r="C57" s="56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</row>
    <row r="58" customFormat="false" ht="21" hidden="false" customHeight="true" outlineLevel="0" collapsed="false">
      <c r="C58" s="56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</row>
    <row r="59" customFormat="false" ht="21" hidden="false" customHeight="true" outlineLevel="0" collapsed="false">
      <c r="C59" s="56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</row>
    <row r="60" customFormat="false" ht="21" hidden="false" customHeight="true" outlineLevel="0" collapsed="false">
      <c r="C60" s="56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</row>
    <row r="61" customFormat="false" ht="21" hidden="false" customHeight="true" outlineLevel="0" collapsed="false">
      <c r="C61" s="56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</row>
    <row r="62" customFormat="false" ht="21" hidden="false" customHeight="true" outlineLevel="0" collapsed="false">
      <c r="C62" s="56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</row>
    <row r="63" customFormat="false" ht="21" hidden="false" customHeight="true" outlineLevel="0" collapsed="false">
      <c r="C63" s="5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</row>
    <row r="64" customFormat="false" ht="21" hidden="false" customHeight="true" outlineLevel="0" collapsed="false">
      <c r="C64" s="56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</row>
    <row r="65" customFormat="false" ht="21" hidden="false" customHeight="true" outlineLevel="0" collapsed="false">
      <c r="C65" s="5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</row>
    <row r="66" customFormat="false" ht="21" hidden="false" customHeight="true" outlineLevel="0" collapsed="false">
      <c r="C66" s="56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</row>
    <row r="67" customFormat="false" ht="21" hidden="false" customHeight="true" outlineLevel="0" collapsed="false">
      <c r="C67" s="5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</row>
    <row r="68" customFormat="false" ht="21" hidden="false" customHeight="true" outlineLevel="0" collapsed="false">
      <c r="C68" s="56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</row>
    <row r="69" customFormat="false" ht="21" hidden="false" customHeight="true" outlineLevel="0" collapsed="false">
      <c r="C69" s="5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</row>
    <row r="70" customFormat="false" ht="21" hidden="false" customHeight="true" outlineLevel="0" collapsed="false">
      <c r="C70" s="56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</row>
    <row r="71" customFormat="false" ht="21" hidden="false" customHeight="true" outlineLevel="0" collapsed="false">
      <c r="C71" s="56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</row>
  </sheetData>
  <sheetProtection sheet="1" objects="1" scenarios="1" selectLockedCells="0" selectUnlockedCells="0"/>
  <mergeCells count="3">
    <mergeCell ref="C2:K2"/>
    <mergeCell ref="C3:K4"/>
    <mergeCell ref="C44:K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C1:AM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39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customFormat="false" ht="33" hidden="false" customHeight="true" outlineLevel="0" collapsed="false">
      <c r="C2" s="57" t="s">
        <v>232</v>
      </c>
      <c r="D2" s="57"/>
      <c r="E2" s="57"/>
      <c r="F2" s="57"/>
      <c r="G2" s="57"/>
      <c r="H2" s="57"/>
      <c r="I2" s="57"/>
      <c r="J2" s="57"/>
      <c r="K2" s="57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</row>
    <row r="3" customFormat="false" ht="21" hidden="false" customHeight="true" outlineLevel="0" collapsed="false">
      <c r="C3" s="58" t="s">
        <v>129</v>
      </c>
      <c r="D3" s="58"/>
      <c r="E3" s="58"/>
      <c r="F3" s="58"/>
      <c r="G3" s="58"/>
      <c r="H3" s="58"/>
      <c r="I3" s="58"/>
      <c r="J3" s="58"/>
      <c r="K3" s="58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</row>
    <row r="6" customFormat="false" ht="21" hidden="false" customHeight="true" outlineLevel="0" collapsed="false">
      <c r="C6" s="56"/>
      <c r="D6" s="56" t="s">
        <v>130</v>
      </c>
      <c r="E6" s="56" t="s">
        <v>130</v>
      </c>
      <c r="F6" s="56" t="s">
        <v>130</v>
      </c>
      <c r="G6" s="56" t="s">
        <v>130</v>
      </c>
      <c r="H6" s="56" t="s">
        <v>130</v>
      </c>
      <c r="I6" s="56" t="s">
        <v>221</v>
      </c>
      <c r="J6" s="56" t="s">
        <v>132</v>
      </c>
      <c r="K6" s="56" t="s">
        <v>132</v>
      </c>
      <c r="L6" s="56" t="s">
        <v>132</v>
      </c>
      <c r="M6" s="56" t="s">
        <v>132</v>
      </c>
      <c r="N6" s="56" t="s">
        <v>132</v>
      </c>
      <c r="O6" s="56" t="s">
        <v>132</v>
      </c>
      <c r="P6" s="56" t="s">
        <v>132</v>
      </c>
      <c r="Q6" s="56" t="s">
        <v>132</v>
      </c>
      <c r="R6" s="56" t="s">
        <v>132</v>
      </c>
      <c r="S6" s="56" t="s">
        <v>132</v>
      </c>
      <c r="T6" s="56" t="s">
        <v>132</v>
      </c>
      <c r="U6" s="56" t="s">
        <v>132</v>
      </c>
      <c r="V6" s="56" t="s">
        <v>132</v>
      </c>
      <c r="W6" s="56" t="s">
        <v>132</v>
      </c>
      <c r="X6" s="56" t="s">
        <v>132</v>
      </c>
      <c r="Y6" s="56" t="s">
        <v>132</v>
      </c>
      <c r="Z6" s="56" t="s">
        <v>132</v>
      </c>
      <c r="AA6" s="56" t="s">
        <v>132</v>
      </c>
      <c r="AB6" s="56" t="s">
        <v>132</v>
      </c>
      <c r="AC6" s="56" t="s">
        <v>132</v>
      </c>
      <c r="AD6" s="56" t="s">
        <v>132</v>
      </c>
      <c r="AE6" s="56" t="s">
        <v>132</v>
      </c>
      <c r="AF6" s="56" t="s">
        <v>132</v>
      </c>
      <c r="AG6" s="56" t="s">
        <v>132</v>
      </c>
      <c r="AH6" s="56" t="s">
        <v>132</v>
      </c>
      <c r="AI6" s="56" t="s">
        <v>132</v>
      </c>
      <c r="AJ6" s="56" t="s">
        <v>132</v>
      </c>
      <c r="AK6" s="56" t="s">
        <v>132</v>
      </c>
      <c r="AL6" s="56" t="s">
        <v>132</v>
      </c>
      <c r="AM6" s="56" t="s">
        <v>132</v>
      </c>
    </row>
    <row r="7" customFormat="false" ht="21" hidden="false" customHeight="true" outlineLevel="0" collapsed="false">
      <c r="C7" s="63"/>
      <c r="D7" s="73" t="n">
        <v>46053</v>
      </c>
      <c r="E7" s="73" t="n">
        <v>46081</v>
      </c>
      <c r="F7" s="73" t="n">
        <v>46112</v>
      </c>
      <c r="G7" s="73" t="n">
        <v>46142</v>
      </c>
      <c r="H7" s="73" t="n">
        <v>46173</v>
      </c>
      <c r="I7" s="73" t="n">
        <v>46203</v>
      </c>
      <c r="J7" s="73" t="n">
        <v>46234</v>
      </c>
      <c r="K7" s="73" t="n">
        <v>46265</v>
      </c>
      <c r="L7" s="73" t="n">
        <v>46295</v>
      </c>
      <c r="M7" s="73" t="n">
        <v>46326</v>
      </c>
      <c r="N7" s="73" t="n">
        <v>46356</v>
      </c>
      <c r="O7" s="73" t="n">
        <v>46387</v>
      </c>
      <c r="P7" s="73" t="n">
        <v>46418</v>
      </c>
      <c r="Q7" s="73" t="n">
        <v>46446</v>
      </c>
      <c r="R7" s="73" t="n">
        <v>46477</v>
      </c>
      <c r="S7" s="73" t="n">
        <v>46507</v>
      </c>
      <c r="T7" s="73" t="n">
        <v>46538</v>
      </c>
      <c r="U7" s="73" t="n">
        <v>46568</v>
      </c>
      <c r="V7" s="73" t="n">
        <v>46599</v>
      </c>
      <c r="W7" s="73" t="n">
        <v>46630</v>
      </c>
      <c r="X7" s="73" t="n">
        <v>46660</v>
      </c>
      <c r="Y7" s="73" t="n">
        <v>46691</v>
      </c>
      <c r="Z7" s="73" t="n">
        <v>46721</v>
      </c>
      <c r="AA7" s="73" t="n">
        <v>46752</v>
      </c>
      <c r="AB7" s="73" t="n">
        <v>46783</v>
      </c>
      <c r="AC7" s="73" t="n">
        <v>46812</v>
      </c>
      <c r="AD7" s="73" t="n">
        <v>46843</v>
      </c>
      <c r="AE7" s="73" t="n">
        <v>46873</v>
      </c>
      <c r="AF7" s="73" t="n">
        <v>46904</v>
      </c>
      <c r="AG7" s="73" t="n">
        <v>46934</v>
      </c>
      <c r="AH7" s="73" t="n">
        <v>46965</v>
      </c>
      <c r="AI7" s="73" t="n">
        <v>46996</v>
      </c>
      <c r="AJ7" s="73" t="n">
        <v>47026</v>
      </c>
      <c r="AK7" s="73" t="n">
        <v>47057</v>
      </c>
      <c r="AL7" s="73" t="n">
        <v>47087</v>
      </c>
      <c r="AM7" s="73" t="n">
        <v>47118</v>
      </c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</row>
    <row r="9" customFormat="false" ht="25" hidden="false" customHeight="true" outlineLevel="0" collapsed="false">
      <c r="C9" s="74" t="s">
        <v>222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</row>
    <row r="10" customFormat="false" ht="21" hidden="false" customHeight="true" outlineLevel="0" collapsed="false">
      <c r="C10" s="56" t="s">
        <v>233</v>
      </c>
      <c r="D10" s="75"/>
      <c r="E10" s="75"/>
      <c r="F10" s="75"/>
      <c r="G10" s="75"/>
      <c r="H10" s="75"/>
      <c r="I10" s="75"/>
      <c r="J10" s="75" t="n">
        <f aca="false">SourceAnalysis!D12</f>
        <v>34262900</v>
      </c>
      <c r="K10" s="75" t="n">
        <f aca="false">Production!J15</f>
        <v>33672008.6890433</v>
      </c>
      <c r="L10" s="75" t="n">
        <f aca="false">Production!K15</f>
        <v>33672008.6890433</v>
      </c>
      <c r="M10" s="75" t="n">
        <f aca="false">Production!L15</f>
        <v>34794408.9786781</v>
      </c>
      <c r="N10" s="75" t="n">
        <f aca="false">Production!M15</f>
        <v>33672008.6890433</v>
      </c>
      <c r="O10" s="75" t="n">
        <f aca="false">Production!N15</f>
        <v>34794408.9786781</v>
      </c>
      <c r="P10" s="75" t="n">
        <f aca="false">Production!O15</f>
        <v>33672008.6890433</v>
      </c>
      <c r="Q10" s="75" t="n">
        <f aca="false">Production!P15</f>
        <v>35864635.1321194</v>
      </c>
      <c r="R10" s="75" t="n">
        <f aca="false">Production!Q15</f>
        <v>39707274.6105608</v>
      </c>
      <c r="S10" s="75" t="n">
        <f aca="false">Production!R15</f>
        <v>35864635.1321194</v>
      </c>
      <c r="T10" s="75" t="n">
        <f aca="false">Production!S15</f>
        <v>37060122.9698567</v>
      </c>
      <c r="U10" s="75" t="n">
        <f aca="false">Production!T15</f>
        <v>35864635.1321194</v>
      </c>
      <c r="V10" s="75" t="n">
        <f aca="false">Production!U15</f>
        <v>37060122.9698567</v>
      </c>
      <c r="W10" s="75" t="n">
        <f aca="false">Production!V15</f>
        <v>34345448.8628242</v>
      </c>
      <c r="X10" s="75" t="n">
        <f aca="false">Production!W15</f>
        <v>34345448.8628242</v>
      </c>
      <c r="Y10" s="75" t="n">
        <f aca="false">Production!X15</f>
        <v>35490297.1582517</v>
      </c>
      <c r="Z10" s="75" t="n">
        <f aca="false">Production!Y15</f>
        <v>34345448.8628242</v>
      </c>
      <c r="AA10" s="75" t="n">
        <f aca="false">Production!Z15</f>
        <v>35490297.1582517</v>
      </c>
      <c r="AB10" s="75" t="n">
        <f aca="false">Production!AA15</f>
        <v>34345448.8628242</v>
      </c>
      <c r="AC10" s="75" t="n">
        <f aca="false">Production!AB15</f>
        <v>36581927.8347618</v>
      </c>
      <c r="AD10" s="75" t="n">
        <f aca="false">Production!AC15</f>
        <v>39104819.4095729</v>
      </c>
      <c r="AE10" s="75" t="n">
        <f aca="false">Production!AD15</f>
        <v>36581927.8347618</v>
      </c>
      <c r="AF10" s="75" t="n">
        <f aca="false">Production!AE15</f>
        <v>37801325.4292539</v>
      </c>
      <c r="AG10" s="75" t="n">
        <f aca="false">Production!AF15</f>
        <v>36581927.8347618</v>
      </c>
      <c r="AH10" s="75" t="n">
        <f aca="false">Production!AG15</f>
        <v>37801325.4292539</v>
      </c>
      <c r="AI10" s="75" t="n">
        <f aca="false">Production!AH15</f>
        <v>35032357.8400807</v>
      </c>
      <c r="AJ10" s="75" t="n">
        <f aca="false">Production!AI15</f>
        <v>35032357.8400807</v>
      </c>
      <c r="AK10" s="75" t="n">
        <f aca="false">Production!AJ15</f>
        <v>36200103.1014167</v>
      </c>
      <c r="AL10" s="75" t="n">
        <f aca="false">Production!AK15</f>
        <v>35032357.8400807</v>
      </c>
      <c r="AM10" s="75" t="n">
        <f aca="false">Production!AL15</f>
        <v>36200103.1014167</v>
      </c>
    </row>
    <row r="11" customFormat="false" ht="21" hidden="false" customHeight="true" outlineLevel="0" collapsed="false">
      <c r="C11" s="56" t="s">
        <v>234</v>
      </c>
      <c r="D11" s="75"/>
      <c r="E11" s="75"/>
      <c r="F11" s="75"/>
      <c r="G11" s="75"/>
      <c r="H11" s="75"/>
      <c r="I11" s="75"/>
      <c r="J11" s="75" t="n">
        <f aca="false">Revenue!J10/DAY(J$7)*MAX(0,Inputs!J25)</f>
        <v>33672008.6890433</v>
      </c>
      <c r="K11" s="75" t="n">
        <f aca="false">Revenue!K10/DAY(K$7)*MAX(0,Inputs!K25)</f>
        <v>33672008.6890433</v>
      </c>
      <c r="L11" s="75" t="n">
        <f aca="false">Revenue!L10/DAY(L$7)*MAX(0,Inputs!L25)</f>
        <v>34794408.9786781</v>
      </c>
      <c r="M11" s="75" t="n">
        <f aca="false">Revenue!M10/DAY(M$7)*MAX(0,Inputs!M25)</f>
        <v>33672008.6890433</v>
      </c>
      <c r="N11" s="75" t="n">
        <f aca="false">Revenue!N10/DAY(N$7)*MAX(0,Inputs!N25)</f>
        <v>34794408.9786781</v>
      </c>
      <c r="O11" s="75" t="n">
        <f aca="false">Revenue!O10/DAY(O$7)*MAX(0,Inputs!O25)</f>
        <v>33672008.6890433</v>
      </c>
      <c r="P11" s="75" t="n">
        <f aca="false">Revenue!P10/DAY(P$7)*MAX(0,Inputs!P25)</f>
        <v>35864635.1321194</v>
      </c>
      <c r="Q11" s="75" t="n">
        <f aca="false">Revenue!Q10/DAY(Q$7)*MAX(0,Inputs!Q25)</f>
        <v>39707274.6105608</v>
      </c>
      <c r="R11" s="75" t="n">
        <f aca="false">Revenue!R10/DAY(R$7)*MAX(0,Inputs!R25)</f>
        <v>35864635.1321194</v>
      </c>
      <c r="S11" s="75" t="n">
        <f aca="false">Revenue!S10/DAY(S$7)*MAX(0,Inputs!S25)</f>
        <v>37060122.9698567</v>
      </c>
      <c r="T11" s="75" t="n">
        <f aca="false">Revenue!T10/DAY(T$7)*MAX(0,Inputs!T25)</f>
        <v>35864635.1321194</v>
      </c>
      <c r="U11" s="75" t="n">
        <f aca="false">Revenue!U10/DAY(U$7)*MAX(0,Inputs!U25)</f>
        <v>37060122.9698567</v>
      </c>
      <c r="V11" s="75" t="n">
        <f aca="false">Revenue!V10/DAY(V$7)*MAX(0,Inputs!V25)</f>
        <v>34345448.8628242</v>
      </c>
      <c r="W11" s="75" t="n">
        <f aca="false">Revenue!W10/DAY(W$7)*MAX(0,Inputs!W25)</f>
        <v>34345448.8628242</v>
      </c>
      <c r="X11" s="75" t="n">
        <f aca="false">Revenue!X10/DAY(X$7)*MAX(0,Inputs!X25)</f>
        <v>35490297.1582517</v>
      </c>
      <c r="Y11" s="75" t="n">
        <f aca="false">Revenue!Y10/DAY(Y$7)*MAX(0,Inputs!Y25)</f>
        <v>34345448.8628242</v>
      </c>
      <c r="Z11" s="75" t="n">
        <f aca="false">Revenue!Z10/DAY(Z$7)*MAX(0,Inputs!Z25)</f>
        <v>35490297.1582517</v>
      </c>
      <c r="AA11" s="75" t="n">
        <f aca="false">Revenue!AA10/DAY(AA$7)*MAX(0,Inputs!AA25)</f>
        <v>34345448.8628242</v>
      </c>
      <c r="AB11" s="75" t="n">
        <f aca="false">Revenue!AB10/DAY(AB$7)*MAX(0,Inputs!AB25)</f>
        <v>36581927.8347618</v>
      </c>
      <c r="AC11" s="75" t="n">
        <f aca="false">Revenue!AC10/DAY(AC$7)*MAX(0,Inputs!AC25)</f>
        <v>39104819.4095729</v>
      </c>
      <c r="AD11" s="75" t="n">
        <f aca="false">Revenue!AD10/DAY(AD$7)*MAX(0,Inputs!AD25)</f>
        <v>36581927.8347618</v>
      </c>
      <c r="AE11" s="75" t="n">
        <f aca="false">Revenue!AE10/DAY(AE$7)*MAX(0,Inputs!AE25)</f>
        <v>37801325.4292538</v>
      </c>
      <c r="AF11" s="75" t="n">
        <f aca="false">Revenue!AF10/DAY(AF$7)*MAX(0,Inputs!AF25)</f>
        <v>36581927.8347618</v>
      </c>
      <c r="AG11" s="75" t="n">
        <f aca="false">Revenue!AG10/DAY(AG$7)*MAX(0,Inputs!AG25)</f>
        <v>37801325.4292538</v>
      </c>
      <c r="AH11" s="75" t="n">
        <f aca="false">Revenue!AH10/DAY(AH$7)*MAX(0,Inputs!AH25)</f>
        <v>35032357.8400807</v>
      </c>
      <c r="AI11" s="75" t="n">
        <f aca="false">Revenue!AI10/DAY(AI$7)*MAX(0,Inputs!AI25)</f>
        <v>35032357.8400807</v>
      </c>
      <c r="AJ11" s="75" t="n">
        <f aca="false">Revenue!AJ10/DAY(AJ$7)*MAX(0,Inputs!AJ25)</f>
        <v>36200103.1014167</v>
      </c>
      <c r="AK11" s="75" t="n">
        <f aca="false">Revenue!AK10/DAY(AK$7)*MAX(0,Inputs!AK25)</f>
        <v>35032357.8400807</v>
      </c>
      <c r="AL11" s="75" t="n">
        <f aca="false">Revenue!AL10/DAY(AL$7)*MAX(0,Inputs!AL25)</f>
        <v>36200103.1014167</v>
      </c>
      <c r="AM11" s="75" t="n">
        <f aca="false">Revenue!AM10/DAY(AM$7)*MAX(0,Inputs!AM25)</f>
        <v>35032357.8400807</v>
      </c>
    </row>
    <row r="12" customFormat="false" ht="21" hidden="false" customHeight="true" outlineLevel="0" collapsed="false">
      <c r="C12" s="56" t="s">
        <v>235</v>
      </c>
      <c r="D12" s="75"/>
      <c r="E12" s="75"/>
      <c r="F12" s="75"/>
      <c r="G12" s="75"/>
      <c r="H12" s="75"/>
      <c r="I12" s="75"/>
      <c r="J12" s="75" t="n">
        <f aca="false">Revenue!J10</f>
        <v>48342423.294986</v>
      </c>
      <c r="K12" s="75" t="n">
        <f aca="false">Revenue!K10</f>
        <v>48342423.294986</v>
      </c>
      <c r="L12" s="75" t="n">
        <f aca="false">Revenue!L10</f>
        <v>48342423.294986</v>
      </c>
      <c r="M12" s="75" t="n">
        <f aca="false">Revenue!M10</f>
        <v>48342423.294986</v>
      </c>
      <c r="N12" s="75" t="n">
        <f aca="false">Revenue!N10</f>
        <v>48342423.294986</v>
      </c>
      <c r="O12" s="75" t="n">
        <f aca="false">Revenue!O10</f>
        <v>48342423.294986</v>
      </c>
      <c r="P12" s="75" t="n">
        <f aca="false">Revenue!P10</f>
        <v>51490345.8504186</v>
      </c>
      <c r="Q12" s="75" t="n">
        <f aca="false">Revenue!Q10</f>
        <v>51490345.8504186</v>
      </c>
      <c r="R12" s="75" t="n">
        <f aca="false">Revenue!R10</f>
        <v>51490345.8504186</v>
      </c>
      <c r="S12" s="75" t="n">
        <f aca="false">Revenue!S10</f>
        <v>51490345.8504186</v>
      </c>
      <c r="T12" s="75" t="n">
        <f aca="false">Revenue!T10</f>
        <v>51490345.8504186</v>
      </c>
      <c r="U12" s="75" t="n">
        <f aca="false">Revenue!U10</f>
        <v>51490345.8504186</v>
      </c>
      <c r="V12" s="75" t="n">
        <f aca="false">Revenue!V10</f>
        <v>49309271.7608857</v>
      </c>
      <c r="W12" s="75" t="n">
        <f aca="false">Revenue!W10</f>
        <v>49309271.7608857</v>
      </c>
      <c r="X12" s="75" t="n">
        <f aca="false">Revenue!X10</f>
        <v>49309271.7608857</v>
      </c>
      <c r="Y12" s="75" t="n">
        <f aca="false">Revenue!Y10</f>
        <v>49309271.7608857</v>
      </c>
      <c r="Z12" s="75" t="n">
        <f aca="false">Revenue!Z10</f>
        <v>49309271.7608857</v>
      </c>
      <c r="AA12" s="75" t="n">
        <f aca="false">Revenue!AA10</f>
        <v>49309271.7608857</v>
      </c>
      <c r="AB12" s="75" t="n">
        <f aca="false">Revenue!AB10</f>
        <v>52520152.767427</v>
      </c>
      <c r="AC12" s="75" t="n">
        <f aca="false">Revenue!AC10</f>
        <v>52520152.767427</v>
      </c>
      <c r="AD12" s="75" t="n">
        <f aca="false">Revenue!AD10</f>
        <v>52520152.767427</v>
      </c>
      <c r="AE12" s="75" t="n">
        <f aca="false">Revenue!AE10</f>
        <v>52520152.767427</v>
      </c>
      <c r="AF12" s="75" t="n">
        <f aca="false">Revenue!AF10</f>
        <v>52520152.767427</v>
      </c>
      <c r="AG12" s="75" t="n">
        <f aca="false">Revenue!AG10</f>
        <v>52520152.767427</v>
      </c>
      <c r="AH12" s="75" t="n">
        <f aca="false">Revenue!AH10</f>
        <v>50295457.1961034</v>
      </c>
      <c r="AI12" s="75" t="n">
        <f aca="false">Revenue!AI10</f>
        <v>50295457.1961034</v>
      </c>
      <c r="AJ12" s="75" t="n">
        <f aca="false">Revenue!AJ10</f>
        <v>50295457.1961034</v>
      </c>
      <c r="AK12" s="75" t="n">
        <f aca="false">Revenue!AK10</f>
        <v>50295457.1961034</v>
      </c>
      <c r="AL12" s="75" t="n">
        <f aca="false">Revenue!AL10</f>
        <v>50295457.1961034</v>
      </c>
      <c r="AM12" s="75" t="n">
        <f aca="false">Revenue!AM10</f>
        <v>50295457.1961034</v>
      </c>
    </row>
    <row r="13" customFormat="false" ht="21" hidden="false" customHeight="true" outlineLevel="0" collapsed="false">
      <c r="C13" s="56" t="s">
        <v>236</v>
      </c>
      <c r="D13" s="77"/>
      <c r="E13" s="77"/>
      <c r="F13" s="77"/>
      <c r="G13" s="77"/>
      <c r="H13" s="77"/>
      <c r="I13" s="77"/>
      <c r="J13" s="77" t="n">
        <f aca="false">MAX(0,J12+J11-J10)</f>
        <v>47751531.9840293</v>
      </c>
      <c r="K13" s="77" t="n">
        <f aca="false">MAX(0,K12+K11-K10)</f>
        <v>48342423.294986</v>
      </c>
      <c r="L13" s="77" t="n">
        <f aca="false">MAX(0,L12+L11-L10)</f>
        <v>49464823.5846208</v>
      </c>
      <c r="M13" s="77" t="n">
        <f aca="false">MAX(0,M12+M11-M10)</f>
        <v>47220023.0053512</v>
      </c>
      <c r="N13" s="77" t="n">
        <f aca="false">MAX(0,N12+N11-N10)</f>
        <v>49464823.5846208</v>
      </c>
      <c r="O13" s="77" t="n">
        <f aca="false">MAX(0,O12+O11-O10)</f>
        <v>47220023.0053512</v>
      </c>
      <c r="P13" s="77" t="n">
        <f aca="false">MAX(0,P12+P11-P10)</f>
        <v>53682972.2934947</v>
      </c>
      <c r="Q13" s="77" t="n">
        <f aca="false">MAX(0,Q12+Q11-Q10)</f>
        <v>55332985.32886</v>
      </c>
      <c r="R13" s="77" t="n">
        <f aca="false">MAX(0,R12+R11-R10)</f>
        <v>47647706.3719772</v>
      </c>
      <c r="S13" s="77" t="n">
        <f aca="false">MAX(0,S12+S11-S10)</f>
        <v>52685833.6881559</v>
      </c>
      <c r="T13" s="77" t="n">
        <f aca="false">MAX(0,T12+T11-T10)</f>
        <v>50294858.0126813</v>
      </c>
      <c r="U13" s="77" t="n">
        <f aca="false">MAX(0,U12+U11-U10)</f>
        <v>52685833.6881559</v>
      </c>
      <c r="V13" s="77" t="n">
        <f aca="false">MAX(0,V12+V11-V10)</f>
        <v>46594597.6538532</v>
      </c>
      <c r="W13" s="77" t="n">
        <f aca="false">MAX(0,W12+W11-W10)</f>
        <v>49309271.7608857</v>
      </c>
      <c r="X13" s="77" t="n">
        <f aca="false">MAX(0,X12+X11-X10)</f>
        <v>50454120.0563132</v>
      </c>
      <c r="Y13" s="77" t="n">
        <f aca="false">MAX(0,Y12+Y11-Y10)</f>
        <v>48164423.4654582</v>
      </c>
      <c r="Z13" s="77" t="n">
        <f aca="false">MAX(0,Z12+Z11-Z10)</f>
        <v>50454120.0563132</v>
      </c>
      <c r="AA13" s="77" t="n">
        <f aca="false">MAX(0,AA12+AA11-AA10)</f>
        <v>48164423.4654582</v>
      </c>
      <c r="AB13" s="77" t="n">
        <f aca="false">MAX(0,AB12+AB11-AB10)</f>
        <v>54756631.7393646</v>
      </c>
      <c r="AC13" s="77" t="n">
        <f aca="false">MAX(0,AC12+AC11-AC10)</f>
        <v>55043044.3422381</v>
      </c>
      <c r="AD13" s="77" t="n">
        <f aca="false">MAX(0,AD12+AD11-AD10)</f>
        <v>49997261.1926158</v>
      </c>
      <c r="AE13" s="77" t="n">
        <f aca="false">MAX(0,AE12+AE11-AE10)</f>
        <v>53739550.361919</v>
      </c>
      <c r="AF13" s="77" t="n">
        <f aca="false">MAX(0,AF12+AF11-AF10)</f>
        <v>51300755.1729349</v>
      </c>
      <c r="AG13" s="77" t="n">
        <f aca="false">MAX(0,AG12+AG11-AG10)</f>
        <v>53739550.361919</v>
      </c>
      <c r="AH13" s="77" t="n">
        <f aca="false">MAX(0,AH12+AH11-AH10)</f>
        <v>47526489.6069302</v>
      </c>
      <c r="AI13" s="77" t="n">
        <f aca="false">MAX(0,AI12+AI11-AI10)</f>
        <v>50295457.1961034</v>
      </c>
      <c r="AJ13" s="77" t="n">
        <f aca="false">MAX(0,AJ12+AJ11-AJ10)</f>
        <v>51463202.4574394</v>
      </c>
      <c r="AK13" s="77" t="n">
        <f aca="false">MAX(0,AK12+AK11-AK10)</f>
        <v>49127711.9347674</v>
      </c>
      <c r="AL13" s="77" t="n">
        <f aca="false">MAX(0,AL12+AL11-AL10)</f>
        <v>51463202.4574394</v>
      </c>
      <c r="AM13" s="77" t="n">
        <f aca="false">MAX(0,AM12+AM11-AM10)</f>
        <v>49127711.9347674</v>
      </c>
    </row>
    <row r="14" customFormat="false" ht="21" hidden="false" customHeight="true" outlineLevel="0" collapsed="false">
      <c r="C14" s="56" t="s">
        <v>237</v>
      </c>
      <c r="D14" s="77"/>
      <c r="E14" s="77"/>
      <c r="F14" s="77"/>
      <c r="G14" s="77"/>
      <c r="H14" s="77"/>
      <c r="I14" s="77"/>
      <c r="J14" s="77" t="n">
        <f aca="false">J10+J13</f>
        <v>82014431.9840293</v>
      </c>
      <c r="K14" s="77" t="n">
        <f aca="false">K10+K13</f>
        <v>82014431.9840293</v>
      </c>
      <c r="L14" s="77" t="n">
        <f aca="false">L10+L13</f>
        <v>83136832.2736641</v>
      </c>
      <c r="M14" s="77" t="n">
        <f aca="false">M10+M13</f>
        <v>82014431.9840293</v>
      </c>
      <c r="N14" s="77" t="n">
        <f aca="false">N10+N13</f>
        <v>83136832.2736641</v>
      </c>
      <c r="O14" s="77" t="n">
        <f aca="false">O10+O13</f>
        <v>82014431.9840293</v>
      </c>
      <c r="P14" s="77" t="n">
        <f aca="false">P10+P13</f>
        <v>87354980.982538</v>
      </c>
      <c r="Q14" s="77" t="n">
        <f aca="false">Q10+Q13</f>
        <v>91197620.4609794</v>
      </c>
      <c r="R14" s="77" t="n">
        <f aca="false">R10+R13</f>
        <v>87354980.982538</v>
      </c>
      <c r="S14" s="77" t="n">
        <f aca="false">S10+S13</f>
        <v>88550468.8202753</v>
      </c>
      <c r="T14" s="77" t="n">
        <f aca="false">T10+T13</f>
        <v>87354980.982538</v>
      </c>
      <c r="U14" s="77" t="n">
        <f aca="false">U10+U13</f>
        <v>88550468.8202753</v>
      </c>
      <c r="V14" s="77" t="n">
        <f aca="false">V10+V13</f>
        <v>83654720.6237099</v>
      </c>
      <c r="W14" s="77" t="n">
        <f aca="false">W10+W13</f>
        <v>83654720.6237099</v>
      </c>
      <c r="X14" s="77" t="n">
        <f aca="false">X10+X13</f>
        <v>84799568.9191373</v>
      </c>
      <c r="Y14" s="77" t="n">
        <f aca="false">Y10+Y13</f>
        <v>83654720.6237099</v>
      </c>
      <c r="Z14" s="77" t="n">
        <f aca="false">Z10+Z13</f>
        <v>84799568.9191373</v>
      </c>
      <c r="AA14" s="77" t="n">
        <f aca="false">AA10+AA13</f>
        <v>83654720.6237099</v>
      </c>
      <c r="AB14" s="77" t="n">
        <f aca="false">AB10+AB13</f>
        <v>89102080.6021888</v>
      </c>
      <c r="AC14" s="77" t="n">
        <f aca="false">AC10+AC13</f>
        <v>91624972.1769999</v>
      </c>
      <c r="AD14" s="77" t="n">
        <f aca="false">AD10+AD13</f>
        <v>89102080.6021888</v>
      </c>
      <c r="AE14" s="77" t="n">
        <f aca="false">AE10+AE13</f>
        <v>90321478.1966808</v>
      </c>
      <c r="AF14" s="77" t="n">
        <f aca="false">AF10+AF13</f>
        <v>89102080.6021888</v>
      </c>
      <c r="AG14" s="77" t="n">
        <f aca="false">AG10+AG13</f>
        <v>90321478.1966808</v>
      </c>
      <c r="AH14" s="77" t="n">
        <f aca="false">AH10+AH13</f>
        <v>85327815.0361841</v>
      </c>
      <c r="AI14" s="77" t="n">
        <f aca="false">AI10+AI13</f>
        <v>85327815.0361841</v>
      </c>
      <c r="AJ14" s="77" t="n">
        <f aca="false">AJ10+AJ13</f>
        <v>86495560.2975201</v>
      </c>
      <c r="AK14" s="77" t="n">
        <f aca="false">AK10+AK13</f>
        <v>85327815.0361841</v>
      </c>
      <c r="AL14" s="77" t="n">
        <f aca="false">AL10+AL13</f>
        <v>86495560.2975201</v>
      </c>
      <c r="AM14" s="77" t="n">
        <f aca="false">AM10+AM13</f>
        <v>85327815.0361841</v>
      </c>
    </row>
    <row r="15" customFormat="false" ht="21" hidden="false" customHeight="true" outlineLevel="0" collapsed="false">
      <c r="C15" s="56" t="s">
        <v>238</v>
      </c>
      <c r="D15" s="77"/>
      <c r="E15" s="77"/>
      <c r="F15" s="77"/>
      <c r="G15" s="77"/>
      <c r="H15" s="77"/>
      <c r="I15" s="77"/>
      <c r="J15" s="77" t="n">
        <f aca="false">J14-J12</f>
        <v>33672008.6890433</v>
      </c>
      <c r="K15" s="77" t="n">
        <f aca="false">K14-K12</f>
        <v>33672008.6890433</v>
      </c>
      <c r="L15" s="77" t="n">
        <f aca="false">L14-L12</f>
        <v>34794408.9786781</v>
      </c>
      <c r="M15" s="77" t="n">
        <f aca="false">M14-M12</f>
        <v>33672008.6890433</v>
      </c>
      <c r="N15" s="77" t="n">
        <f aca="false">N14-N12</f>
        <v>34794408.9786781</v>
      </c>
      <c r="O15" s="77" t="n">
        <f aca="false">O14-O12</f>
        <v>33672008.6890433</v>
      </c>
      <c r="P15" s="77" t="n">
        <f aca="false">P14-P12</f>
        <v>35864635.1321194</v>
      </c>
      <c r="Q15" s="77" t="n">
        <f aca="false">Q14-Q12</f>
        <v>39707274.6105608</v>
      </c>
      <c r="R15" s="77" t="n">
        <f aca="false">R14-R12</f>
        <v>35864635.1321194</v>
      </c>
      <c r="S15" s="77" t="n">
        <f aca="false">S14-S12</f>
        <v>37060122.9698567</v>
      </c>
      <c r="T15" s="77" t="n">
        <f aca="false">T14-T12</f>
        <v>35864635.1321194</v>
      </c>
      <c r="U15" s="77" t="n">
        <f aca="false">U14-U12</f>
        <v>37060122.9698567</v>
      </c>
      <c r="V15" s="77" t="n">
        <f aca="false">V14-V12</f>
        <v>34345448.8628242</v>
      </c>
      <c r="W15" s="77" t="n">
        <f aca="false">W14-W12</f>
        <v>34345448.8628242</v>
      </c>
      <c r="X15" s="77" t="n">
        <f aca="false">X14-X12</f>
        <v>35490297.1582517</v>
      </c>
      <c r="Y15" s="77" t="n">
        <f aca="false">Y14-Y12</f>
        <v>34345448.8628242</v>
      </c>
      <c r="Z15" s="77" t="n">
        <f aca="false">Z14-Z12</f>
        <v>35490297.1582517</v>
      </c>
      <c r="AA15" s="77" t="n">
        <f aca="false">AA14-AA12</f>
        <v>34345448.8628242</v>
      </c>
      <c r="AB15" s="77" t="n">
        <f aca="false">AB14-AB12</f>
        <v>36581927.8347618</v>
      </c>
      <c r="AC15" s="77" t="n">
        <f aca="false">AC14-AC12</f>
        <v>39104819.4095729</v>
      </c>
      <c r="AD15" s="77" t="n">
        <f aca="false">AD14-AD12</f>
        <v>36581927.8347618</v>
      </c>
      <c r="AE15" s="77" t="n">
        <f aca="false">AE14-AE12</f>
        <v>37801325.4292539</v>
      </c>
      <c r="AF15" s="77" t="n">
        <f aca="false">AF14-AF12</f>
        <v>36581927.8347618</v>
      </c>
      <c r="AG15" s="77" t="n">
        <f aca="false">AG14-AG12</f>
        <v>37801325.4292539</v>
      </c>
      <c r="AH15" s="77" t="n">
        <f aca="false">AH14-AH12</f>
        <v>35032357.8400807</v>
      </c>
      <c r="AI15" s="77" t="n">
        <f aca="false">AI14-AI12</f>
        <v>35032357.8400807</v>
      </c>
      <c r="AJ15" s="77" t="n">
        <f aca="false">AJ14-AJ12</f>
        <v>36200103.1014167</v>
      </c>
      <c r="AK15" s="77" t="n">
        <f aca="false">AK14-AK12</f>
        <v>35032357.8400807</v>
      </c>
      <c r="AL15" s="77" t="n">
        <f aca="false">AL14-AL12</f>
        <v>36200103.1014167</v>
      </c>
      <c r="AM15" s="77" t="n">
        <f aca="false">AM14-AM12</f>
        <v>35032357.8400807</v>
      </c>
    </row>
    <row r="16" customFormat="false" ht="21" hidden="false" customHeight="true" outlineLevel="0" collapsed="false">
      <c r="C16" s="56" t="s">
        <v>239</v>
      </c>
      <c r="D16" s="77"/>
      <c r="E16" s="77"/>
      <c r="F16" s="77"/>
      <c r="G16" s="77"/>
      <c r="H16" s="77"/>
      <c r="I16" s="77"/>
      <c r="J16" s="77" t="n">
        <f aca="false">J10+J13-J12-J15</f>
        <v>0</v>
      </c>
      <c r="K16" s="77" t="n">
        <f aca="false">K10+K13-K12-K15</f>
        <v>0</v>
      </c>
      <c r="L16" s="77" t="n">
        <f aca="false">L10+L13-L12-L15</f>
        <v>0</v>
      </c>
      <c r="M16" s="77" t="n">
        <f aca="false">M10+M13-M12-M15</f>
        <v>0</v>
      </c>
      <c r="N16" s="77" t="n">
        <f aca="false">N10+N13-N12-N15</f>
        <v>0</v>
      </c>
      <c r="O16" s="77" t="n">
        <f aca="false">O10+O13-O12-O15</f>
        <v>0</v>
      </c>
      <c r="P16" s="77" t="n">
        <f aca="false">P10+P13-P12-P15</f>
        <v>0</v>
      </c>
      <c r="Q16" s="77" t="n">
        <f aca="false">Q10+Q13-Q12-Q15</f>
        <v>0</v>
      </c>
      <c r="R16" s="77" t="n">
        <f aca="false">R10+R13-R12-R15</f>
        <v>0</v>
      </c>
      <c r="S16" s="77" t="n">
        <f aca="false">S10+S13-S12-S15</f>
        <v>0</v>
      </c>
      <c r="T16" s="77" t="n">
        <f aca="false">T10+T13-T12-T15</f>
        <v>0</v>
      </c>
      <c r="U16" s="77" t="n">
        <f aca="false">U10+U13-U12-U15</f>
        <v>0</v>
      </c>
      <c r="V16" s="77" t="n">
        <f aca="false">V10+V13-V12-V15</f>
        <v>0</v>
      </c>
      <c r="W16" s="77" t="n">
        <f aca="false">W10+W13-W12-W15</f>
        <v>0</v>
      </c>
      <c r="X16" s="77" t="n">
        <f aca="false">X10+X13-X12-X15</f>
        <v>0</v>
      </c>
      <c r="Y16" s="77" t="n">
        <f aca="false">Y10+Y13-Y12-Y15</f>
        <v>0</v>
      </c>
      <c r="Z16" s="77" t="n">
        <f aca="false">Z10+Z13-Z12-Z15</f>
        <v>0</v>
      </c>
      <c r="AA16" s="77" t="n">
        <f aca="false">AA10+AA13-AA12-AA15</f>
        <v>0</v>
      </c>
      <c r="AB16" s="77" t="n">
        <f aca="false">AB10+AB13-AB12-AB15</f>
        <v>0</v>
      </c>
      <c r="AC16" s="77" t="n">
        <f aca="false">AC10+AC13-AC12-AC15</f>
        <v>0</v>
      </c>
      <c r="AD16" s="77" t="n">
        <f aca="false">AD10+AD13-AD12-AD15</f>
        <v>0</v>
      </c>
      <c r="AE16" s="77" t="n">
        <f aca="false">AE10+AE13-AE12-AE15</f>
        <v>0</v>
      </c>
      <c r="AF16" s="77" t="n">
        <f aca="false">AF10+AF13-AF12-AF15</f>
        <v>0</v>
      </c>
      <c r="AG16" s="77" t="n">
        <f aca="false">AG10+AG13-AG12-AG15</f>
        <v>0</v>
      </c>
      <c r="AH16" s="77" t="n">
        <f aca="false">AH10+AH13-AH12-AH15</f>
        <v>0</v>
      </c>
      <c r="AI16" s="77" t="n">
        <f aca="false">AI10+AI13-AI12-AI15</f>
        <v>0</v>
      </c>
      <c r="AJ16" s="77" t="n">
        <f aca="false">AJ10+AJ13-AJ12-AJ15</f>
        <v>0</v>
      </c>
      <c r="AK16" s="77" t="n">
        <f aca="false">AK10+AK13-AK12-AK15</f>
        <v>0</v>
      </c>
      <c r="AL16" s="77" t="n">
        <f aca="false">AL10+AL13-AL12-AL15</f>
        <v>0</v>
      </c>
      <c r="AM16" s="77" t="n">
        <f aca="false">AM10+AM13-AM12-AM15</f>
        <v>0</v>
      </c>
    </row>
    <row r="17" customFormat="false" ht="21" hidden="false" customHeight="true" outlineLevel="0" collapsed="false">
      <c r="C17" s="56" t="s">
        <v>240</v>
      </c>
      <c r="D17" s="76"/>
      <c r="E17" s="76"/>
      <c r="F17" s="76"/>
      <c r="G17" s="76"/>
      <c r="H17" s="76"/>
      <c r="I17" s="76"/>
      <c r="J17" s="76" t="n">
        <f aca="false">(SourceAnalysis!D10*SourceAnalysis!D25*1000000/SourceAnalysis!D11)*(1+Inputs!J21)</f>
        <v>6.07942528918828</v>
      </c>
      <c r="K17" s="76" t="n">
        <f aca="false">(Production!J17)*(1+Inputs!K21)</f>
        <v>6.07942528918828</v>
      </c>
      <c r="L17" s="76" t="n">
        <f aca="false">(Production!K17)*(1+Inputs!L21)</f>
        <v>6.07942528918828</v>
      </c>
      <c r="M17" s="76" t="n">
        <f aca="false">(Production!L17)*(1+Inputs!M21)</f>
        <v>6.07942528918828</v>
      </c>
      <c r="N17" s="76" t="n">
        <f aca="false">(Production!M17)*(1+Inputs!N21)</f>
        <v>6.07942528918828</v>
      </c>
      <c r="O17" s="76" t="n">
        <f aca="false">(Production!N17)*(1+Inputs!O21)</f>
        <v>6.07942528918828</v>
      </c>
      <c r="P17" s="76" t="n">
        <f aca="false">(Production!O17)*(1+Inputs!P21)</f>
        <v>6.20101379497205</v>
      </c>
      <c r="Q17" s="76" t="n">
        <f aca="false">(Production!P17)*(1+Inputs!Q21)</f>
        <v>6.20101379497205</v>
      </c>
      <c r="R17" s="76" t="n">
        <f aca="false">(Production!Q17)*(1+Inputs!R21)</f>
        <v>6.20101379497205</v>
      </c>
      <c r="S17" s="76" t="n">
        <f aca="false">(Production!R17)*(1+Inputs!S21)</f>
        <v>6.20101379497205</v>
      </c>
      <c r="T17" s="76" t="n">
        <f aca="false">(Production!S17)*(1+Inputs!T21)</f>
        <v>6.20101379497205</v>
      </c>
      <c r="U17" s="76" t="n">
        <f aca="false">(Production!T17)*(1+Inputs!U21)</f>
        <v>6.20101379497205</v>
      </c>
      <c r="V17" s="76" t="n">
        <f aca="false">(Production!U17)*(1+Inputs!V21)</f>
        <v>6.20101379497205</v>
      </c>
      <c r="W17" s="76" t="n">
        <f aca="false">(Production!V17)*(1+Inputs!W21)</f>
        <v>6.20101379497205</v>
      </c>
      <c r="X17" s="76" t="n">
        <f aca="false">(Production!W17)*(1+Inputs!X21)</f>
        <v>6.20101379497205</v>
      </c>
      <c r="Y17" s="76" t="n">
        <f aca="false">(Production!X17)*(1+Inputs!Y21)</f>
        <v>6.20101379497205</v>
      </c>
      <c r="Z17" s="76" t="n">
        <f aca="false">(Production!Y17)*(1+Inputs!Z21)</f>
        <v>6.20101379497205</v>
      </c>
      <c r="AA17" s="76" t="n">
        <f aca="false">(Production!Z17)*(1+Inputs!AA21)</f>
        <v>6.20101379497205</v>
      </c>
      <c r="AB17" s="76" t="n">
        <f aca="false">(Production!AA17)*(1+Inputs!AB21)</f>
        <v>6.32503407087149</v>
      </c>
      <c r="AC17" s="76" t="n">
        <f aca="false">(Production!AB17)*(1+Inputs!AC21)</f>
        <v>6.32503407087149</v>
      </c>
      <c r="AD17" s="76" t="n">
        <f aca="false">(Production!AC17)*(1+Inputs!AD21)</f>
        <v>6.32503407087149</v>
      </c>
      <c r="AE17" s="76" t="n">
        <f aca="false">(Production!AD17)*(1+Inputs!AE21)</f>
        <v>6.32503407087149</v>
      </c>
      <c r="AF17" s="76" t="n">
        <f aca="false">(Production!AE17)*(1+Inputs!AF21)</f>
        <v>6.32503407087149</v>
      </c>
      <c r="AG17" s="76" t="n">
        <f aca="false">(Production!AF17)*(1+Inputs!AG21)</f>
        <v>6.32503407087149</v>
      </c>
      <c r="AH17" s="76" t="n">
        <f aca="false">(Production!AG17)*(1+Inputs!AH21)</f>
        <v>6.32503407087149</v>
      </c>
      <c r="AI17" s="76" t="n">
        <f aca="false">(Production!AH17)*(1+Inputs!AI21)</f>
        <v>6.32503407087149</v>
      </c>
      <c r="AJ17" s="76" t="n">
        <f aca="false">(Production!AI17)*(1+Inputs!AJ21)</f>
        <v>6.32503407087149</v>
      </c>
      <c r="AK17" s="76" t="n">
        <f aca="false">(Production!AJ17)*(1+Inputs!AK21)</f>
        <v>6.32503407087149</v>
      </c>
      <c r="AL17" s="76" t="n">
        <f aca="false">(Production!AK17)*(1+Inputs!AL21)</f>
        <v>6.32503407087149</v>
      </c>
      <c r="AM17" s="76" t="n">
        <f aca="false">(Production!AL17)*(1+Inputs!AM21)</f>
        <v>6.32503407087149</v>
      </c>
    </row>
    <row r="18" customFormat="false" ht="21" hidden="false" customHeight="true" outlineLevel="0" collapsed="false">
      <c r="C18" s="56" t="s">
        <v>241</v>
      </c>
      <c r="D18" s="76"/>
      <c r="E18" s="76"/>
      <c r="F18" s="76"/>
      <c r="G18" s="76"/>
      <c r="H18" s="76"/>
      <c r="I18" s="76"/>
      <c r="J18" s="76" t="n">
        <f aca="false">(SourceAnalysis!D29*SourceAnalysis!D10/(SourceDetail!E80/1000000)*1000000/SourceAnalysis!D11)*(1+Inputs!J22)</f>
        <v>0.649755853083788</v>
      </c>
      <c r="K18" s="76" t="n">
        <f aca="false">(Production!J18)*(1+Inputs!K22)</f>
        <v>0.649755853083788</v>
      </c>
      <c r="L18" s="76" t="n">
        <f aca="false">(Production!K18)*(1+Inputs!L22)</f>
        <v>0.649755853083788</v>
      </c>
      <c r="M18" s="76" t="n">
        <f aca="false">(Production!L18)*(1+Inputs!M22)</f>
        <v>0.649755853083788</v>
      </c>
      <c r="N18" s="76" t="n">
        <f aca="false">(Production!M18)*(1+Inputs!N22)</f>
        <v>0.649755853083788</v>
      </c>
      <c r="O18" s="76" t="n">
        <f aca="false">(Production!N18)*(1+Inputs!O22)</f>
        <v>0.649755853083788</v>
      </c>
      <c r="P18" s="76" t="n">
        <f aca="false">(Production!O18)*(1+Inputs!P22)</f>
        <v>0.662750970145464</v>
      </c>
      <c r="Q18" s="76" t="n">
        <f aca="false">(Production!P18)*(1+Inputs!Q22)</f>
        <v>0.662750970145464</v>
      </c>
      <c r="R18" s="76" t="n">
        <f aca="false">(Production!Q18)*(1+Inputs!R22)</f>
        <v>0.662750970145464</v>
      </c>
      <c r="S18" s="76" t="n">
        <f aca="false">(Production!R18)*(1+Inputs!S22)</f>
        <v>0.662750970145464</v>
      </c>
      <c r="T18" s="76" t="n">
        <f aca="false">(Production!S18)*(1+Inputs!T22)</f>
        <v>0.662750970145464</v>
      </c>
      <c r="U18" s="76" t="n">
        <f aca="false">(Production!T18)*(1+Inputs!U22)</f>
        <v>0.662750970145464</v>
      </c>
      <c r="V18" s="76" t="n">
        <f aca="false">(Production!U18)*(1+Inputs!V22)</f>
        <v>0.662750970145464</v>
      </c>
      <c r="W18" s="76" t="n">
        <f aca="false">(Production!V18)*(1+Inputs!W22)</f>
        <v>0.662750970145464</v>
      </c>
      <c r="X18" s="76" t="n">
        <f aca="false">(Production!W18)*(1+Inputs!X22)</f>
        <v>0.662750970145464</v>
      </c>
      <c r="Y18" s="76" t="n">
        <f aca="false">(Production!X18)*(1+Inputs!Y22)</f>
        <v>0.662750970145464</v>
      </c>
      <c r="Z18" s="76" t="n">
        <f aca="false">(Production!Y18)*(1+Inputs!Z22)</f>
        <v>0.662750970145464</v>
      </c>
      <c r="AA18" s="76" t="n">
        <f aca="false">(Production!Z18)*(1+Inputs!AA22)</f>
        <v>0.662750970145464</v>
      </c>
      <c r="AB18" s="76" t="n">
        <f aca="false">(Production!AA18)*(1+Inputs!AB22)</f>
        <v>0.676005989548373</v>
      </c>
      <c r="AC18" s="76" t="n">
        <f aca="false">(Production!AB18)*(1+Inputs!AC22)</f>
        <v>0.676005989548373</v>
      </c>
      <c r="AD18" s="76" t="n">
        <f aca="false">(Production!AC18)*(1+Inputs!AD22)</f>
        <v>0.676005989548373</v>
      </c>
      <c r="AE18" s="76" t="n">
        <f aca="false">(Production!AD18)*(1+Inputs!AE22)</f>
        <v>0.676005989548373</v>
      </c>
      <c r="AF18" s="76" t="n">
        <f aca="false">(Production!AE18)*(1+Inputs!AF22)</f>
        <v>0.676005989548373</v>
      </c>
      <c r="AG18" s="76" t="n">
        <f aca="false">(Production!AF18)*(1+Inputs!AG22)</f>
        <v>0.676005989548373</v>
      </c>
      <c r="AH18" s="76" t="n">
        <f aca="false">(Production!AG18)*(1+Inputs!AH22)</f>
        <v>0.676005989548373</v>
      </c>
      <c r="AI18" s="76" t="n">
        <f aca="false">(Production!AH18)*(1+Inputs!AI22)</f>
        <v>0.676005989548373</v>
      </c>
      <c r="AJ18" s="76" t="n">
        <f aca="false">(Production!AI18)*(1+Inputs!AJ22)</f>
        <v>0.676005989548373</v>
      </c>
      <c r="AK18" s="76" t="n">
        <f aca="false">(Production!AJ18)*(1+Inputs!AK22)</f>
        <v>0.676005989548373</v>
      </c>
      <c r="AL18" s="76" t="n">
        <f aca="false">(Production!AK18)*(1+Inputs!AL22)</f>
        <v>0.676005989548373</v>
      </c>
      <c r="AM18" s="76" t="n">
        <f aca="false">(Production!AL18)*(1+Inputs!AM22)</f>
        <v>0.676005989548373</v>
      </c>
    </row>
    <row r="19" customFormat="false" ht="21" hidden="false" customHeight="true" outlineLevel="0" collapsed="false">
      <c r="C19" s="56" t="s">
        <v>242</v>
      </c>
      <c r="D19" s="71"/>
      <c r="E19" s="71"/>
      <c r="F19" s="71"/>
      <c r="G19" s="71"/>
      <c r="H19" s="71"/>
      <c r="I19" s="71"/>
      <c r="J19" s="71" t="n">
        <f aca="false">J13*J17/1000000</f>
        <v>290.301871141191</v>
      </c>
      <c r="K19" s="71" t="n">
        <f aca="false">K13*K17/1000000</f>
        <v>293.894150720182</v>
      </c>
      <c r="L19" s="71" t="n">
        <f aca="false">L13*L17/1000000</f>
        <v>300.71769942558</v>
      </c>
      <c r="M19" s="71" t="n">
        <f aca="false">M13*M17/1000000</f>
        <v>287.070602014784</v>
      </c>
      <c r="N19" s="71" t="n">
        <f aca="false">N13*N17/1000000</f>
        <v>300.71769942558</v>
      </c>
      <c r="O19" s="71" t="n">
        <f aca="false">O13*O17/1000000</f>
        <v>287.070602014784</v>
      </c>
      <c r="P19" s="71" t="n">
        <f aca="false">P13*P17/1000000</f>
        <v>332.888851747063</v>
      </c>
      <c r="Q19" s="71" t="n">
        <f aca="false">Q13*Q17/1000000</f>
        <v>343.120605341246</v>
      </c>
      <c r="R19" s="71" t="n">
        <f aca="false">R13*R17/1000000</f>
        <v>295.464084511408</v>
      </c>
      <c r="S19" s="71" t="n">
        <f aca="false">S13*S17/1000000</f>
        <v>326.705581499858</v>
      </c>
      <c r="T19" s="71" t="n">
        <f aca="false">T13*T17/1000000</f>
        <v>311.879108352797</v>
      </c>
      <c r="U19" s="71" t="n">
        <f aca="false">U13*U17/1000000</f>
        <v>326.705581499858</v>
      </c>
      <c r="V19" s="71" t="n">
        <f aca="false">V13*V17/1000000</f>
        <v>288.933742822716</v>
      </c>
      <c r="W19" s="71" t="n">
        <f aca="false">W13*W17/1000000</f>
        <v>305.767474409278</v>
      </c>
      <c r="X19" s="71" t="n">
        <f aca="false">X13*X17/1000000</f>
        <v>312.866694482374</v>
      </c>
      <c r="Y19" s="71" t="n">
        <f aca="false">Y13*Y17/1000000</f>
        <v>298.668254336182</v>
      </c>
      <c r="Z19" s="71" t="n">
        <f aca="false">Z13*Z17/1000000</f>
        <v>312.866694482374</v>
      </c>
      <c r="AA19" s="71" t="n">
        <f aca="false">AA13*AA17/1000000</f>
        <v>298.668254336182</v>
      </c>
      <c r="AB19" s="71" t="n">
        <f aca="false">AB13*AB17/1000000</f>
        <v>346.337561357644</v>
      </c>
      <c r="AC19" s="71" t="n">
        <f aca="false">AC13*AC17/1000000</f>
        <v>348.149130829146</v>
      </c>
      <c r="AD19" s="71" t="n">
        <f aca="false">AD13*AD17/1000000</f>
        <v>316.234380493556</v>
      </c>
      <c r="AE19" s="71" t="n">
        <f aca="false">AE13*AE17/1000000</f>
        <v>339.904486992452</v>
      </c>
      <c r="AF19" s="71" t="n">
        <f aca="false">AF13*AF17/1000000</f>
        <v>324.47902433025</v>
      </c>
      <c r="AG19" s="71" t="n">
        <f aca="false">AG13*AG17/1000000</f>
        <v>339.904486992452</v>
      </c>
      <c r="AH19" s="71" t="n">
        <f aca="false">AH13*AH17/1000000</f>
        <v>300.606666032753</v>
      </c>
      <c r="AI19" s="71" t="n">
        <f aca="false">AI13*AI17/1000000</f>
        <v>318.120480375412</v>
      </c>
      <c r="AJ19" s="71" t="n">
        <f aca="false">AJ13*AJ17/1000000</f>
        <v>325.506508939461</v>
      </c>
      <c r="AK19" s="71" t="n">
        <f aca="false">AK13*AK17/1000000</f>
        <v>310.734451811363</v>
      </c>
      <c r="AL19" s="71" t="n">
        <f aca="false">AL13*AL17/1000000</f>
        <v>325.506508939461</v>
      </c>
      <c r="AM19" s="71" t="n">
        <f aca="false">AM13*AM17/1000000</f>
        <v>310.734451811363</v>
      </c>
    </row>
    <row r="20" customFormat="false" ht="21" hidden="false" customHeight="true" outlineLevel="0" collapsed="false">
      <c r="C20" s="56" t="s">
        <v>243</v>
      </c>
      <c r="D20" s="69"/>
      <c r="E20" s="69"/>
      <c r="F20" s="69"/>
      <c r="G20" s="69"/>
      <c r="H20" s="69"/>
      <c r="I20" s="69"/>
      <c r="J20" s="69" t="n">
        <f aca="false">Payroll!J16*IF(Production!J84&gt;0,J13*SourceAnalysis!D10/SourceAnalysis!D11/Production!J84,0)</f>
        <v>20.9713876483102</v>
      </c>
      <c r="K20" s="69" t="n">
        <f aca="false">Payroll!K16*IF(Production!K84&gt;0,K13*SourceAnalysis!D10/SourceAnalysis!D11/Production!K84,0)</f>
        <v>21.2657743983692</v>
      </c>
      <c r="L20" s="69" t="n">
        <f aca="false">Payroll!L16*IF(Production!L84&gt;0,L13*SourceAnalysis!D10/SourceAnalysis!D11/Production!L84,0)</f>
        <v>21.2003200264952</v>
      </c>
      <c r="M20" s="69" t="n">
        <f aca="false">Payroll!M16*IF(Production!M84&gt;0,M13*SourceAnalysis!D10/SourceAnalysis!D11/Production!M84,0)</f>
        <v>21.3347752713789</v>
      </c>
      <c r="N20" s="69" t="n">
        <f aca="false">Payroll!N16*IF(Production!N84&gt;0,N13*SourceAnalysis!D10/SourceAnalysis!D11/Production!N84,0)</f>
        <v>21.2003200264952</v>
      </c>
      <c r="O20" s="69" t="n">
        <f aca="false">Payroll!O16*IF(Production!O84&gt;0,O13*SourceAnalysis!D10/SourceAnalysis!D11/Production!O84,0)</f>
        <v>21.3347752713789</v>
      </c>
      <c r="P20" s="69" t="n">
        <f aca="false">Payroll!P16*IF(Production!P84&gt;0,P13*SourceAnalysis!D10/SourceAnalysis!D11/Production!P84,0)</f>
        <v>21.7826921141234</v>
      </c>
      <c r="Q20" s="69" t="n">
        <f aca="false">Payroll!Q16*IF(Production!Q84&gt;0,Q13*SourceAnalysis!D10/SourceAnalysis!D11/Production!Q84,0)</f>
        <v>21.6987142947422</v>
      </c>
      <c r="R20" s="69" t="n">
        <f aca="false">Payroll!R16*IF(Production!R84&gt;0,R13*SourceAnalysis!D10/SourceAnalysis!D11/Production!R84,0)</f>
        <v>22.1467681452524</v>
      </c>
      <c r="S20" s="69" t="n">
        <f aca="false">Payroll!S16*IF(Production!S84&gt;0,S13*SourceAnalysis!D10/SourceAnalysis!D11/Production!S84,0)</f>
        <v>21.8363296272901</v>
      </c>
      <c r="T20" s="69" t="n">
        <f aca="false">Payroll!T16*IF(Production!T84&gt;0,T13*SourceAnalysis!D10/SourceAnalysis!D11/Production!T84,0)</f>
        <v>21.9748185295202</v>
      </c>
      <c r="U20" s="69" t="n">
        <f aca="false">Payroll!U16*IF(Production!U84&gt;0,U13*SourceAnalysis!D10/SourceAnalysis!D11/Production!U84,0)</f>
        <v>21.8363296272901</v>
      </c>
      <c r="V20" s="69" t="n">
        <f aca="false">Payroll!V16*IF(Production!V84&gt;0,V13*SourceAnalysis!D10/SourceAnalysis!D11/Production!V84,0)</f>
        <v>21.3833719543422</v>
      </c>
      <c r="W20" s="69" t="n">
        <f aca="false">Payroll!W16*IF(Production!W84&gt;0,W13*SourceAnalysis!D10/SourceAnalysis!D11/Production!W84,0)</f>
        <v>21.6075789667056</v>
      </c>
      <c r="X20" s="69" t="n">
        <f aca="false">Payroll!X16*IF(Production!X84&gt;0,X13*SourceAnalysis!D10/SourceAnalysis!D11/Production!X84,0)</f>
        <v>21.5369782813782</v>
      </c>
      <c r="Y20" s="69" t="n">
        <f aca="false">Payroll!Y16*IF(Production!Y84&gt;0,Y13*SourceAnalysis!D10/SourceAnalysis!D11/Production!Y84,0)</f>
        <v>21.6820340646554</v>
      </c>
      <c r="Z20" s="69" t="n">
        <f aca="false">Payroll!Z16*IF(Production!Z84&gt;0,Z13*SourceAnalysis!D10/SourceAnalysis!D11/Production!Z84,0)</f>
        <v>21.5369782813782</v>
      </c>
      <c r="AA20" s="69" t="n">
        <f aca="false">Payroll!AA16*IF(Production!AA84&gt;0,AA13*SourceAnalysis!D10/SourceAnalysis!D11/Production!AA84,0)</f>
        <v>21.6820340646554</v>
      </c>
      <c r="AB20" s="69" t="n">
        <f aca="false">Payroll!AB16*IF(Production!AB84&gt;0,AB13*SourceAnalysis!D10/SourceAnalysis!D11/Production!AB84,0)</f>
        <v>22.1252526390971</v>
      </c>
      <c r="AC20" s="69" t="n">
        <f aca="false">Payroll!AC16*IF(Production!AC84&gt;0,AC13*SourceAnalysis!D10/SourceAnalysis!D11/Production!AC84,0)</f>
        <v>22.1094046659021</v>
      </c>
      <c r="AD20" s="69" t="n">
        <f aca="false">Payroll!AD16*IF(Production!AD84&gt;0,AD13*SourceAnalysis!D10/SourceAnalysis!D11/Production!AD84,0)</f>
        <v>22.4192417366054</v>
      </c>
      <c r="AE20" s="69" t="n">
        <f aca="false">Payroll!AE16*IF(Production!AE84&gt;0,AE13*SourceAnalysis!D10/SourceAnalysis!D11/Production!AE84,0)</f>
        <v>22.1830876298196</v>
      </c>
      <c r="AF20" s="69" t="n">
        <f aca="false">Payroll!AF16*IF(Production!AF84&gt;0,AF13*SourceAnalysis!D10/SourceAnalysis!D11/Production!AF84,0)</f>
        <v>22.3324950865951</v>
      </c>
      <c r="AG20" s="69" t="n">
        <f aca="false">Payroll!AG16*IF(Production!AG84&gt;0,AG13*SourceAnalysis!D10/SourceAnalysis!D11/Production!AG84,0)</f>
        <v>22.1830876298196</v>
      </c>
      <c r="AH20" s="69" t="n">
        <f aca="false">Payroll!AH16*IF(Production!AH84&gt;0,AH13*SourceAnalysis!D10/SourceAnalysis!D11/Production!AH84,0)</f>
        <v>21.6824694446968</v>
      </c>
      <c r="AI20" s="69" t="n">
        <f aca="false">Payroll!AI16*IF(Production!AI84&gt;0,AI13*SourceAnalysis!D10/SourceAnalysis!D11/Production!AI84,0)</f>
        <v>21.9333383894335</v>
      </c>
      <c r="AJ20" s="69" t="n">
        <f aca="false">Payroll!AJ16*IF(Production!AJ84&gt;0,AJ13*SourceAnalysis!D10/SourceAnalysis!D11/Production!AJ84,0)</f>
        <v>21.8571143848878</v>
      </c>
      <c r="AK20" s="69" t="n">
        <f aca="false">Payroll!AK16*IF(Production!AK84&gt;0,AK13*SourceAnalysis!D10/SourceAnalysis!D11/Production!AK84,0)</f>
        <v>22.0137582655275</v>
      </c>
      <c r="AL20" s="69" t="n">
        <f aca="false">Payroll!AL16*IF(Production!AL84&gt;0,AL13*SourceAnalysis!D10/SourceAnalysis!D11/Production!AL84,0)</f>
        <v>21.8571143848878</v>
      </c>
      <c r="AM20" s="69" t="n">
        <f aca="false">Payroll!AM16*IF(Production!AM84&gt;0,AM13*SourceAnalysis!D10/SourceAnalysis!D11/Production!AM84,0)</f>
        <v>22.0137582655275</v>
      </c>
    </row>
    <row r="21" customFormat="false" ht="21" hidden="false" customHeight="true" outlineLevel="0" collapsed="false">
      <c r="C21" s="56" t="s">
        <v>244</v>
      </c>
      <c r="D21" s="71"/>
      <c r="E21" s="71"/>
      <c r="F21" s="71"/>
      <c r="G21" s="71"/>
      <c r="H21" s="71"/>
      <c r="I21" s="71"/>
      <c r="J21" s="71" t="n">
        <f aca="false">J13*J18/1000000</f>
        <v>31.0268374003407</v>
      </c>
      <c r="K21" s="71" t="n">
        <f aca="false">K13*K18/1000000</f>
        <v>31.4107724881712</v>
      </c>
      <c r="L21" s="71" t="n">
        <f aca="false">L13*L18/1000000</f>
        <v>32.1400586458643</v>
      </c>
      <c r="M21" s="71" t="n">
        <f aca="false">M13*M18/1000000</f>
        <v>30.681486330478</v>
      </c>
      <c r="N21" s="71" t="n">
        <f aca="false">N13*N18/1000000</f>
        <v>32.1400586458643</v>
      </c>
      <c r="O21" s="71" t="n">
        <f aca="false">O13*O18/1000000</f>
        <v>30.681486330478</v>
      </c>
      <c r="P21" s="71" t="n">
        <f aca="false">P13*P18/1000000</f>
        <v>35.5784419678056</v>
      </c>
      <c r="Q21" s="71" t="n">
        <f aca="false">Q13*Q18/1000000</f>
        <v>36.6719897077466</v>
      </c>
      <c r="R21" s="71" t="n">
        <f aca="false">R13*R18/1000000</f>
        <v>31.5785636232341</v>
      </c>
      <c r="S21" s="71" t="n">
        <f aca="false">S13*S18/1000000</f>
        <v>34.9175873897479</v>
      </c>
      <c r="T21" s="71" t="n">
        <f aca="false">T13*T18/1000000</f>
        <v>33.3329659412329</v>
      </c>
      <c r="U21" s="71" t="n">
        <f aca="false">U13*U18/1000000</f>
        <v>34.9175873897479</v>
      </c>
      <c r="V21" s="71" t="n">
        <f aca="false">V13*V18/1000000</f>
        <v>30.8806147986287</v>
      </c>
      <c r="W21" s="71" t="n">
        <f aca="false">W13*W18/1000000</f>
        <v>32.6797676966933</v>
      </c>
      <c r="X21" s="71" t="n">
        <f aca="false">X13*X18/1000000</f>
        <v>33.4385170151572</v>
      </c>
      <c r="Y21" s="71" t="n">
        <f aca="false">Y13*Y18/1000000</f>
        <v>31.9210183782294</v>
      </c>
      <c r="Z21" s="71" t="n">
        <f aca="false">Z13*Z18/1000000</f>
        <v>33.4385170151572</v>
      </c>
      <c r="AA21" s="71" t="n">
        <f aca="false">AA13*AA18/1000000</f>
        <v>31.9210183782294</v>
      </c>
      <c r="AB21" s="71" t="n">
        <f aca="false">AB13*AB18/1000000</f>
        <v>37.015811023305</v>
      </c>
      <c r="AC21" s="71" t="n">
        <f aca="false">AC13*AC18/1000000</f>
        <v>37.2094276583296</v>
      </c>
      <c r="AD21" s="71" t="n">
        <f aca="false">AD13*AD18/1000000</f>
        <v>33.7984480272227</v>
      </c>
      <c r="AE21" s="71" t="n">
        <f aca="false">AE13*AE18/1000000</f>
        <v>36.3282579202937</v>
      </c>
      <c r="AF21" s="71" t="n">
        <f aca="false">AF13*AF18/1000000</f>
        <v>34.6796177652587</v>
      </c>
      <c r="AG21" s="71" t="n">
        <f aca="false">AG13*AG18/1000000</f>
        <v>36.3282579202937</v>
      </c>
      <c r="AH21" s="71" t="n">
        <f aca="false">AH13*AH18/1000000</f>
        <v>32.1281916364933</v>
      </c>
      <c r="AI21" s="71" t="n">
        <f aca="false">AI13*AI18/1000000</f>
        <v>34.0000303116397</v>
      </c>
      <c r="AJ21" s="71" t="n">
        <f aca="false">AJ13*AJ18/1000000</f>
        <v>34.7894331025696</v>
      </c>
      <c r="AK21" s="71" t="n">
        <f aca="false">AK13*AK18/1000000</f>
        <v>33.2106275207098</v>
      </c>
      <c r="AL21" s="71" t="n">
        <f aca="false">AL13*AL18/1000000</f>
        <v>34.7894331025696</v>
      </c>
      <c r="AM21" s="71" t="n">
        <f aca="false">AM13*AM18/1000000</f>
        <v>33.2106275207098</v>
      </c>
    </row>
    <row r="22" customFormat="false" ht="21" hidden="false" customHeight="true" outlineLevel="0" collapsed="false">
      <c r="C22" s="56" t="s">
        <v>245</v>
      </c>
      <c r="D22" s="69"/>
      <c r="E22" s="69"/>
      <c r="F22" s="69"/>
      <c r="G22" s="69"/>
      <c r="H22" s="69"/>
      <c r="I22" s="69"/>
      <c r="J22" s="69" t="n">
        <f aca="false">Assets!J100*SourceAnalysis!D28*IF(Production!J84&gt;0,J13*SourceAnalysis!D10/SourceAnalysis!D11/Production!J84,0)</f>
        <v>7.34751428804882</v>
      </c>
      <c r="K22" s="69" t="n">
        <f aca="false">Assets!K100*SourceAnalysis!D28*IF(Production!K84&gt;0,K13*SourceAnalysis!D10/SourceAnalysis!D11/Production!K84,0)</f>
        <v>7.51029485190993</v>
      </c>
      <c r="L22" s="69" t="n">
        <f aca="false">Assets!L100*SourceAnalysis!D28*IF(Production!L84&gt;0,L13*SourceAnalysis!D10/SourceAnalysis!D11/Production!L84,0)</f>
        <v>7.54663471069876</v>
      </c>
      <c r="M22" s="69" t="n">
        <f aca="false">Assets!M100*SourceAnalysis!D28*IF(Production!M84&gt;0,M13*SourceAnalysis!D10/SourceAnalysis!D11/Production!M84,0)</f>
        <v>7.654329500147</v>
      </c>
      <c r="N22" s="69" t="n">
        <f aca="false">Assets!N100*SourceAnalysis!D28*IF(Production!N84&gt;0,N13*SourceAnalysis!D10/SourceAnalysis!D11/Production!N84,0)</f>
        <v>7.66554661553764</v>
      </c>
      <c r="O22" s="69" t="n">
        <f aca="false">Assets!O100*SourceAnalysis!D28*IF(Production!O84&gt;0,O13*SourceAnalysis!D10/SourceAnalysis!D11/Production!O84,0)</f>
        <v>7.77399556007717</v>
      </c>
      <c r="P22" s="69" t="n">
        <f aca="false">Assets!P100*SourceAnalysis!D28*IF(Production!P84&gt;0,P13*SourceAnalysis!D10/SourceAnalysis!D11/Production!P84,0)</f>
        <v>7.76533722098651</v>
      </c>
      <c r="Q22" s="69" t="n">
        <f aca="false">Assets!Q100*SourceAnalysis!D28*IF(Production!Q84&gt;0,Q13*SourceAnalysis!D10/SourceAnalysis!D11/Production!Q84,0)</f>
        <v>7.7974351866824</v>
      </c>
      <c r="R22" s="69" t="n">
        <f aca="false">Assets!R100*SourceAnalysis!D28*IF(Production!R84&gt;0,R13*SourceAnalysis!D10/SourceAnalysis!D11/Production!R84,0)</f>
        <v>8.02175965844025</v>
      </c>
      <c r="S22" s="69" t="n">
        <f aca="false">Assets!S100*SourceAnalysis!D28*IF(Production!S84&gt;0,S13*SourceAnalysis!D10/SourceAnalysis!D11/Production!S84,0)</f>
        <v>7.97174477049778</v>
      </c>
      <c r="T22" s="69" t="n">
        <f aca="false">Assets!T100*SourceAnalysis!D28*IF(Production!T84&gt;0,T13*SourceAnalysis!D10/SourceAnalysis!D11/Production!T84,0)</f>
        <v>8.08512731589559</v>
      </c>
      <c r="U22" s="69" t="n">
        <f aca="false">Assets!U100*SourceAnalysis!D28*IF(Production!U84&gt;0,U13*SourceAnalysis!D10/SourceAnalysis!D11/Production!U84,0)</f>
        <v>8.09660227057861</v>
      </c>
      <c r="V22" s="69" t="n">
        <f aca="false">Assets!V100*SourceAnalysis!D28*IF(Production!V84&gt;0,V13*SourceAnalysis!D10/SourceAnalysis!D11/Production!V84,0)</f>
        <v>7.98978574141283</v>
      </c>
      <c r="W22" s="69" t="n">
        <f aca="false">Assets!W100*SourceAnalysis!D28*IF(Production!W84&gt;0,W13*SourceAnalysis!D10/SourceAnalysis!D11/Production!W84,0)</f>
        <v>8.1353342914417</v>
      </c>
      <c r="X22" s="69" t="n">
        <f aca="false">Assets!X100*SourceAnalysis!D28*IF(Production!X84&gt;0,X13*SourceAnalysis!D10/SourceAnalysis!D11/Production!X84,0)</f>
        <v>7.82496108585048</v>
      </c>
      <c r="Y22" s="69" t="n">
        <f aca="false">Assets!Y100*SourceAnalysis!D28*IF(Production!Y84&gt;0,Y13*SourceAnalysis!D10/SourceAnalysis!D11/Production!Y84,0)</f>
        <v>7.93509667791158</v>
      </c>
      <c r="Z22" s="69" t="n">
        <f aca="false">Assets!Z100*SourceAnalysis!D28*IF(Production!Z84&gt;0,Z13*SourceAnalysis!D10/SourceAnalysis!D11/Production!Z84,0)</f>
        <v>7.94358271480631</v>
      </c>
      <c r="AA22" s="69" t="n">
        <f aca="false">Assets!AA100*SourceAnalysis!D28*IF(Production!AA84&gt;0,AA13*SourceAnalysis!D10/SourceAnalysis!D11/Production!AA84,0)</f>
        <v>8.05907193456813</v>
      </c>
      <c r="AB22" s="69" t="n">
        <f aca="false">Assets!AB100*SourceAnalysis!D28*IF(Production!AB84&gt;0,AB13*SourceAnalysis!D10/SourceAnalysis!D11/Production!AB84,0)</f>
        <v>8.04569725995776</v>
      </c>
      <c r="AC22" s="69" t="n">
        <f aca="false">Assets!AC100*SourceAnalysis!D28*IF(Production!AC84&gt;0,AC13*SourceAnalysis!D10/SourceAnalysis!D11/Production!AC84,0)</f>
        <v>8.10437107574012</v>
      </c>
      <c r="AD22" s="69" t="n">
        <f aca="false">Assets!AD100*SourceAnalysis!D28*IF(Production!AD84&gt;0,AD13*SourceAnalysis!D10/SourceAnalysis!D11/Production!AD84,0)</f>
        <v>8.28328404826292</v>
      </c>
      <c r="AE22" s="69" t="n">
        <f aca="false">Assets!AE100*SourceAnalysis!D28*IF(Production!AE84&gt;0,AE13*SourceAnalysis!D10/SourceAnalysis!D11/Production!AE84,0)</f>
        <v>8.26068326613612</v>
      </c>
      <c r="AF22" s="69" t="n">
        <f aca="false">Assets!AF100*SourceAnalysis!D28*IF(Production!AF84&gt;0,AF13*SourceAnalysis!D10/SourceAnalysis!D11/Production!AF84,0)</f>
        <v>8.38140760187516</v>
      </c>
      <c r="AG22" s="69" t="n">
        <f aca="false">Assets!AG100*SourceAnalysis!D28*IF(Production!AG84&gt;0,AG13*SourceAnalysis!D10/SourceAnalysis!D11/Production!AG84,0)</f>
        <v>8.38998640357158</v>
      </c>
      <c r="AH22" s="69" t="n">
        <f aca="false">Assets!AH100*SourceAnalysis!D28*IF(Production!AH84&gt;0,AH13*SourceAnalysis!D10/SourceAnalysis!D11/Production!AH84,0)</f>
        <v>8.26383741340463</v>
      </c>
      <c r="AI22" s="69" t="n">
        <f aca="false">Assets!AI100*SourceAnalysis!D28*IF(Production!AI84&gt;0,AI13*SourceAnalysis!D10/SourceAnalysis!D11/Production!AI84,0)</f>
        <v>8.42337475551814</v>
      </c>
      <c r="AJ22" s="69" t="n">
        <f aca="false">Assets!AJ100*SourceAnalysis!D28*IF(Production!AJ84&gt;0,AJ13*SourceAnalysis!D10/SourceAnalysis!D11/Production!AJ84,0)</f>
        <v>8.45780289197373</v>
      </c>
      <c r="AK22" s="69" t="n">
        <f aca="false">Assets!AK100*SourceAnalysis!D28*IF(Production!AK84&gt;0,AK13*SourceAnalysis!D10/SourceAnalysis!D11/Production!AK84,0)</f>
        <v>8.58257568726883</v>
      </c>
      <c r="AL22" s="69" t="n">
        <f aca="false">Assets!AL100*SourceAnalysis!D28*IF(Production!AL84&gt;0,AL13*SourceAnalysis!D10/SourceAnalysis!D11/Production!AL84,0)</f>
        <v>8.58520596193467</v>
      </c>
      <c r="AM22" s="69" t="n">
        <f aca="false">Assets!AM100*SourceAnalysis!D28*IF(Production!AM84&gt;0,AM13*SourceAnalysis!D10/SourceAnalysis!D11/Production!AM84,0)</f>
        <v>8.71089181971976</v>
      </c>
    </row>
    <row r="23" customFormat="false" ht="21" hidden="false" customHeight="true" outlineLevel="0" collapsed="false">
      <c r="C23" s="56" t="s">
        <v>246</v>
      </c>
      <c r="D23" s="71"/>
      <c r="E23" s="71"/>
      <c r="F23" s="71"/>
      <c r="G23" s="71"/>
      <c r="H23" s="71"/>
      <c r="I23" s="71"/>
      <c r="J23" s="71" t="n">
        <f aca="false">SUM(J19:J22)</f>
        <v>349.64761047789</v>
      </c>
      <c r="K23" s="71" t="n">
        <f aca="false">SUM(K19:K22)</f>
        <v>354.080992458633</v>
      </c>
      <c r="L23" s="71" t="n">
        <f aca="false">SUM(L19:L22)</f>
        <v>361.604712808639</v>
      </c>
      <c r="M23" s="71" t="n">
        <f aca="false">SUM(M19:M22)</f>
        <v>346.741193116788</v>
      </c>
      <c r="N23" s="71" t="n">
        <f aca="false">SUM(N19:N22)</f>
        <v>361.723624713477</v>
      </c>
      <c r="O23" s="71" t="n">
        <f aca="false">SUM(O19:O22)</f>
        <v>346.860859176718</v>
      </c>
      <c r="P23" s="71" t="n">
        <f aca="false">SUM(P19:P22)</f>
        <v>398.015323049978</v>
      </c>
      <c r="Q23" s="71" t="n">
        <f aca="false">SUM(Q19:Q22)</f>
        <v>409.288744530418</v>
      </c>
      <c r="R23" s="71" t="n">
        <f aca="false">SUM(R19:R22)</f>
        <v>357.211175938335</v>
      </c>
      <c r="S23" s="71" t="n">
        <f aca="false">SUM(S19:S22)</f>
        <v>391.431243287394</v>
      </c>
      <c r="T23" s="71" t="n">
        <f aca="false">SUM(T19:T22)</f>
        <v>375.272020139446</v>
      </c>
      <c r="U23" s="71" t="n">
        <f aca="false">SUM(U19:U22)</f>
        <v>391.556100787474</v>
      </c>
      <c r="V23" s="71" t="n">
        <f aca="false">SUM(V19:V22)</f>
        <v>349.187515317099</v>
      </c>
      <c r="W23" s="71" t="n">
        <f aca="false">SUM(W19:W22)</f>
        <v>368.190155364118</v>
      </c>
      <c r="X23" s="71" t="n">
        <f aca="false">SUM(X19:X22)</f>
        <v>375.66715086476</v>
      </c>
      <c r="Y23" s="71" t="n">
        <f aca="false">SUM(Y19:Y22)</f>
        <v>360.206403456978</v>
      </c>
      <c r="Z23" s="71" t="n">
        <f aca="false">SUM(Z19:Z22)</f>
        <v>375.785772493715</v>
      </c>
      <c r="AA23" s="71" t="n">
        <f aca="false">SUM(AA19:AA22)</f>
        <v>360.330378713635</v>
      </c>
      <c r="AB23" s="71" t="n">
        <f aca="false">SUM(AB19:AB22)</f>
        <v>413.524322280004</v>
      </c>
      <c r="AC23" s="71" t="n">
        <f aca="false">SUM(AC19:AC22)</f>
        <v>415.572334229118</v>
      </c>
      <c r="AD23" s="71" t="n">
        <f aca="false">SUM(AD19:AD22)</f>
        <v>380.735354305647</v>
      </c>
      <c r="AE23" s="71" t="n">
        <f aca="false">SUM(AE19:AE22)</f>
        <v>406.676515808701</v>
      </c>
      <c r="AF23" s="71" t="n">
        <f aca="false">SUM(AF19:AF22)</f>
        <v>389.872544783979</v>
      </c>
      <c r="AG23" s="71" t="n">
        <f aca="false">SUM(AG19:AG22)</f>
        <v>406.805818946137</v>
      </c>
      <c r="AH23" s="71" t="n">
        <f aca="false">SUM(AH19:AH22)</f>
        <v>362.681164527348</v>
      </c>
      <c r="AI23" s="71" t="n">
        <f aca="false">SUM(AI19:AI22)</f>
        <v>382.477223832004</v>
      </c>
      <c r="AJ23" s="71" t="n">
        <f aca="false">SUM(AJ19:AJ22)</f>
        <v>390.610859318893</v>
      </c>
      <c r="AK23" s="71" t="n">
        <f aca="false">SUM(AK19:AK22)</f>
        <v>374.54141328487</v>
      </c>
      <c r="AL23" s="71" t="n">
        <f aca="false">SUM(AL19:AL22)</f>
        <v>390.738262388854</v>
      </c>
      <c r="AM23" s="71" t="n">
        <f aca="false">SUM(AM19:AM22)</f>
        <v>374.66972941732</v>
      </c>
    </row>
    <row r="24" customFormat="false" ht="21" hidden="false" customHeight="true" outlineLevel="0" collapsed="false">
      <c r="C24" s="56" t="s">
        <v>247</v>
      </c>
      <c r="D24" s="69"/>
      <c r="E24" s="69"/>
      <c r="F24" s="69"/>
      <c r="G24" s="69"/>
      <c r="H24" s="69"/>
      <c r="I24" s="69"/>
      <c r="J24" s="69" t="n">
        <f aca="false">H1Data!D63*(SourceAnalysis!D12*SourceAnalysis!D10/SourceAnalysis!D11)/(SourceAnalysis!D12*SourceAnalysis!D10/SourceAnalysis!D11+SourceAnalysis!D17*SourceAnalysis!D15/SourceAnalysis!D16+SourceAnalysis!D22*SourceAnalysis!D20/SourceAnalysis!D21)</f>
        <v>362.489540857332</v>
      </c>
      <c r="K24" s="69" t="n">
        <f aca="false">Production!J28</f>
        <v>292.376448479453</v>
      </c>
      <c r="L24" s="69" t="n">
        <f aca="false">Production!K28</f>
        <v>265.410855647976</v>
      </c>
      <c r="M24" s="69" t="n">
        <f aca="false">Production!L28</f>
        <v>262.418419468561</v>
      </c>
      <c r="N24" s="69" t="n">
        <f aca="false">Production!M28</f>
        <v>250.097784887206</v>
      </c>
      <c r="O24" s="69" t="n">
        <f aca="false">Production!N28</f>
        <v>256.059363405659</v>
      </c>
      <c r="P24" s="69" t="n">
        <f aca="false">Production!O28</f>
        <v>247.536128489521</v>
      </c>
      <c r="Q24" s="69" t="n">
        <f aca="false">Production!P28</f>
        <v>265.038890834425</v>
      </c>
      <c r="R24" s="69" t="n">
        <f aca="false">Production!Q28</f>
        <v>293.601000328494</v>
      </c>
      <c r="S24" s="69" t="n">
        <f aca="false">Production!R28</f>
        <v>267.198744465599</v>
      </c>
      <c r="T24" s="69" t="n">
        <f aca="false">Production!S28</f>
        <v>275.6496793631</v>
      </c>
      <c r="U24" s="69" t="n">
        <f aca="false">Production!T28</f>
        <v>267.243710543586</v>
      </c>
      <c r="V24" s="69" t="n">
        <f aca="false">Production!U28</f>
        <v>275.720753890093</v>
      </c>
      <c r="W24" s="69" t="n">
        <f aca="false">Production!V28</f>
        <v>256.563584744416</v>
      </c>
      <c r="X24" s="69" t="n">
        <f aca="false">Production!W28</f>
        <v>256.500140969621</v>
      </c>
      <c r="Y24" s="69" t="n">
        <f aca="false">Production!X28</f>
        <v>264.574517617225</v>
      </c>
      <c r="Z24" s="69" t="n">
        <f aca="false">Production!Y28</f>
        <v>256.51130044107</v>
      </c>
      <c r="AA24" s="69" t="n">
        <f aca="false">Production!Z28</f>
        <v>264.628833575166</v>
      </c>
      <c r="AB24" s="69" t="n">
        <f aca="false">Production!AA28</f>
        <v>256.584500037554</v>
      </c>
      <c r="AC24" s="69" t="n">
        <f aca="false">Production!AB28</f>
        <v>275.121213935558</v>
      </c>
      <c r="AD24" s="69" t="n">
        <f aca="false">Production!AC28</f>
        <v>294.78258848647</v>
      </c>
      <c r="AE24" s="69" t="n">
        <f aca="false">Production!AD28</f>
        <v>277.341993220537</v>
      </c>
      <c r="AF24" s="69" t="n">
        <f aca="false">Production!AE28</f>
        <v>286.275277771057</v>
      </c>
      <c r="AG24" s="69" t="n">
        <f aca="false">Production!AF28</f>
        <v>277.60059791165</v>
      </c>
      <c r="AH24" s="69" t="n">
        <f aca="false">Production!AG28</f>
        <v>286.437624871174</v>
      </c>
      <c r="AI24" s="69" t="n">
        <f aca="false">Production!AH28</f>
        <v>266.503504177223</v>
      </c>
      <c r="AJ24" s="69" t="n">
        <f aca="false">Production!AI28</f>
        <v>266.446821418012</v>
      </c>
      <c r="AK24" s="69" t="n">
        <f aca="false">Production!AJ28</f>
        <v>274.991637772368</v>
      </c>
      <c r="AL24" s="69" t="n">
        <f aca="false">Production!AK28</f>
        <v>266.673584269645</v>
      </c>
      <c r="AM24" s="69" t="n">
        <f aca="false">Production!AL28</f>
        <v>275.139863216918</v>
      </c>
    </row>
    <row r="25" customFormat="false" ht="21" hidden="false" customHeight="true" outlineLevel="0" collapsed="false">
      <c r="C25" s="56" t="s">
        <v>248</v>
      </c>
      <c r="D25" s="69"/>
      <c r="E25" s="69"/>
      <c r="F25" s="69"/>
      <c r="G25" s="69"/>
      <c r="H25" s="69"/>
      <c r="I25" s="69"/>
      <c r="J25" s="69" t="n">
        <f aca="false">Inventory!J18*IF(Production!J84&gt;0,J13*SourceAnalysis!D10/SourceAnalysis!D11/Production!J84,0)</f>
        <v>0</v>
      </c>
      <c r="K25" s="69" t="n">
        <f aca="false">Inventory!K18*IF(Production!K84&gt;0,K13*SourceAnalysis!D10/SourceAnalysis!D11/Production!K84,0)</f>
        <v>0</v>
      </c>
      <c r="L25" s="69" t="n">
        <f aca="false">Inventory!L18*IF(Production!L84&gt;0,L13*SourceAnalysis!D10/SourceAnalysis!D11/Production!L84,0)</f>
        <v>0</v>
      </c>
      <c r="M25" s="69" t="n">
        <f aca="false">Inventory!M18*IF(Production!M84&gt;0,M13*SourceAnalysis!D10/SourceAnalysis!D11/Production!M84,0)</f>
        <v>0</v>
      </c>
      <c r="N25" s="69" t="n">
        <f aca="false">Inventory!N18*IF(Production!N84&gt;0,N13*SourceAnalysis!D10/SourceAnalysis!D11/Production!N84,0)</f>
        <v>0</v>
      </c>
      <c r="O25" s="69" t="n">
        <f aca="false">Inventory!O18*IF(Production!O84&gt;0,O13*SourceAnalysis!D10/SourceAnalysis!D11/Production!O84,0)</f>
        <v>0</v>
      </c>
      <c r="P25" s="69" t="n">
        <f aca="false">Inventory!P18*IF(Production!P84&gt;0,P13*SourceAnalysis!D10/SourceAnalysis!D11/Production!P84,0)</f>
        <v>0</v>
      </c>
      <c r="Q25" s="69" t="n">
        <f aca="false">Inventory!Q18*IF(Production!Q84&gt;0,Q13*SourceAnalysis!D10/SourceAnalysis!D11/Production!Q84,0)</f>
        <v>0</v>
      </c>
      <c r="R25" s="69" t="n">
        <f aca="false">Inventory!R18*IF(Production!R84&gt;0,R13*SourceAnalysis!D10/SourceAnalysis!D11/Production!R84,0)</f>
        <v>0</v>
      </c>
      <c r="S25" s="69" t="n">
        <f aca="false">Inventory!S18*IF(Production!S84&gt;0,S13*SourceAnalysis!D10/SourceAnalysis!D11/Production!S84,0)</f>
        <v>0</v>
      </c>
      <c r="T25" s="69" t="n">
        <f aca="false">Inventory!T18*IF(Production!T84&gt;0,T13*SourceAnalysis!D10/SourceAnalysis!D11/Production!T84,0)</f>
        <v>0</v>
      </c>
      <c r="U25" s="69" t="n">
        <f aca="false">Inventory!U18*IF(Production!U84&gt;0,U13*SourceAnalysis!D10/SourceAnalysis!D11/Production!U84,0)</f>
        <v>0</v>
      </c>
      <c r="V25" s="69" t="n">
        <f aca="false">Inventory!V18*IF(Production!V84&gt;0,V13*SourceAnalysis!D10/SourceAnalysis!D11/Production!V84,0)</f>
        <v>0</v>
      </c>
      <c r="W25" s="69" t="n">
        <f aca="false">Inventory!W18*IF(Production!W84&gt;0,W13*SourceAnalysis!D10/SourceAnalysis!D11/Production!W84,0)</f>
        <v>0</v>
      </c>
      <c r="X25" s="69" t="n">
        <f aca="false">Inventory!X18*IF(Production!X84&gt;0,X13*SourceAnalysis!D10/SourceAnalysis!D11/Production!X84,0)</f>
        <v>0</v>
      </c>
      <c r="Y25" s="69" t="n">
        <f aca="false">Inventory!Y18*IF(Production!Y84&gt;0,Y13*SourceAnalysis!D10/SourceAnalysis!D11/Production!Y84,0)</f>
        <v>0</v>
      </c>
      <c r="Z25" s="69" t="n">
        <f aca="false">Inventory!Z18*IF(Production!Z84&gt;0,Z13*SourceAnalysis!D10/SourceAnalysis!D11/Production!Z84,0)</f>
        <v>0</v>
      </c>
      <c r="AA25" s="69" t="n">
        <f aca="false">Inventory!AA18*IF(Production!AA84&gt;0,AA13*SourceAnalysis!D10/SourceAnalysis!D11/Production!AA84,0)</f>
        <v>0</v>
      </c>
      <c r="AB25" s="69" t="n">
        <f aca="false">Inventory!AB18*IF(Production!AB84&gt;0,AB13*SourceAnalysis!D10/SourceAnalysis!D11/Production!AB84,0)</f>
        <v>0</v>
      </c>
      <c r="AC25" s="69" t="n">
        <f aca="false">Inventory!AC18*IF(Production!AC84&gt;0,AC13*SourceAnalysis!D10/SourceAnalysis!D11/Production!AC84,0)</f>
        <v>0</v>
      </c>
      <c r="AD25" s="69" t="n">
        <f aca="false">Inventory!AD18*IF(Production!AD84&gt;0,AD13*SourceAnalysis!D10/SourceAnalysis!D11/Production!AD84,0)</f>
        <v>0</v>
      </c>
      <c r="AE25" s="69" t="n">
        <f aca="false">Inventory!AE18*IF(Production!AE84&gt;0,AE13*SourceAnalysis!D10/SourceAnalysis!D11/Production!AE84,0)</f>
        <v>0</v>
      </c>
      <c r="AF25" s="69" t="n">
        <f aca="false">Inventory!AF18*IF(Production!AF84&gt;0,AF13*SourceAnalysis!D10/SourceAnalysis!D11/Production!AF84,0)</f>
        <v>0</v>
      </c>
      <c r="AG25" s="69" t="n">
        <f aca="false">Inventory!AG18*IF(Production!AG84&gt;0,AG13*SourceAnalysis!D10/SourceAnalysis!D11/Production!AG84,0)</f>
        <v>0</v>
      </c>
      <c r="AH25" s="69" t="n">
        <f aca="false">Inventory!AH18*IF(Production!AH84&gt;0,AH13*SourceAnalysis!D10/SourceAnalysis!D11/Production!AH84,0)</f>
        <v>0</v>
      </c>
      <c r="AI25" s="69" t="n">
        <f aca="false">Inventory!AI18*IF(Production!AI84&gt;0,AI13*SourceAnalysis!D10/SourceAnalysis!D11/Production!AI84,0)</f>
        <v>0</v>
      </c>
      <c r="AJ25" s="69" t="n">
        <f aca="false">Inventory!AJ18*IF(Production!AJ84&gt;0,AJ13*SourceAnalysis!D10/SourceAnalysis!D11/Production!AJ84,0)</f>
        <v>0</v>
      </c>
      <c r="AK25" s="69" t="n">
        <f aca="false">Inventory!AK18*IF(Production!AK84&gt;0,AK13*SourceAnalysis!D10/SourceAnalysis!D11/Production!AK84,0)</f>
        <v>0</v>
      </c>
      <c r="AL25" s="69" t="n">
        <f aca="false">Inventory!AL18*IF(Production!AL84&gt;0,AL13*SourceAnalysis!D10/SourceAnalysis!D11/Production!AL84,0)</f>
        <v>0</v>
      </c>
      <c r="AM25" s="69" t="n">
        <f aca="false">Inventory!AM18*IF(Production!AM84&gt;0,AM13*SourceAnalysis!D10/SourceAnalysis!D11/Production!AM84,0)</f>
        <v>0</v>
      </c>
    </row>
    <row r="26" customFormat="false" ht="21" hidden="false" customHeight="true" outlineLevel="0" collapsed="false">
      <c r="C26" s="56" t="s">
        <v>249</v>
      </c>
      <c r="D26" s="78"/>
      <c r="E26" s="78"/>
      <c r="F26" s="78"/>
      <c r="G26" s="78"/>
      <c r="H26" s="78"/>
      <c r="I26" s="78"/>
      <c r="J26" s="78" t="n">
        <f aca="false">IF(J14&gt;0,(J24+J23+J25)*1000000/J14,0)</f>
        <v>8.68307118768922</v>
      </c>
      <c r="K26" s="78" t="n">
        <f aca="false">IF(K14&gt;0,(K24+K23+K25)*1000000/K14,0)</f>
        <v>7.8822400557986</v>
      </c>
      <c r="L26" s="78" t="n">
        <f aca="false">IF(L14&gt;0,(L24+L23+L25)*1000000/L14,0)</f>
        <v>7.5419708847295</v>
      </c>
      <c r="M26" s="78" t="n">
        <f aca="false">IF(M14&gt;0,(M24+M23+M25)*1000000/M14,0)</f>
        <v>7.42746853022126</v>
      </c>
      <c r="N26" s="78" t="n">
        <f aca="false">IF(N14&gt;0,(N24+N23+N25)*1000000/N14,0)</f>
        <v>7.35921002602952</v>
      </c>
      <c r="O26" s="78" t="n">
        <f aca="false">IF(O14&gt;0,(O24+O23+O25)*1000000/O14,0)</f>
        <v>7.3513917977239</v>
      </c>
      <c r="P26" s="78" t="n">
        <f aca="false">IF(P14&gt;0,(P24+P23+P25)*1000000/P14,0)</f>
        <v>7.38997873136213</v>
      </c>
      <c r="Q26" s="78" t="n">
        <f aca="false">IF(Q14&gt;0,(Q24+Q23+Q25)*1000000/Q14,0)</f>
        <v>7.39413629386709</v>
      </c>
      <c r="R26" s="78" t="n">
        <f aca="false">IF(R14&gt;0,(R24+R23+R25)*1000000/R14,0)</f>
        <v>7.4502011098477</v>
      </c>
      <c r="S26" s="78" t="n">
        <f aca="false">IF(S14&gt;0,(S24+S23+S25)*1000000/S14,0)</f>
        <v>7.43790514638344</v>
      </c>
      <c r="T26" s="78" t="n">
        <f aca="false">IF(T14&gt;0,(T24+T23+T25)*1000000/T14,0)</f>
        <v>7.45145488192211</v>
      </c>
      <c r="U26" s="78" t="n">
        <f aca="false">IF(U14&gt;0,(U24+U23+U25)*1000000/U14,0)</f>
        <v>7.43982296319832</v>
      </c>
      <c r="V26" s="78" t="n">
        <f aca="false">IF(V14&gt;0,(V24+V23+V25)*1000000/V14,0)</f>
        <v>7.47008972772874</v>
      </c>
      <c r="W26" s="78" t="n">
        <f aca="false">IF(W14&gt;0,(W24+W23+W25)*1000000/W14,0)</f>
        <v>7.46824250264082</v>
      </c>
      <c r="X26" s="78" t="n">
        <f aca="false">IF(X14&gt;0,(X24+X23+X25)*1000000/X14,0)</f>
        <v>7.4548408664341</v>
      </c>
      <c r="Y26" s="78" t="n">
        <f aca="false">IF(Y14&gt;0,(Y24+Y23+Y25)*1000000/Y14,0)</f>
        <v>7.46856742113276</v>
      </c>
      <c r="Z26" s="78" t="n">
        <f aca="false">IF(Z14&gt;0,(Z24+Z23+Z25)*1000000/Z14,0)</f>
        <v>7.4563713117189</v>
      </c>
      <c r="AA26" s="78" t="n">
        <f aca="false">IF(AA14&gt;0,(AA24+AA23+AA25)*1000000/AA14,0)</f>
        <v>7.47069869613158</v>
      </c>
      <c r="AB26" s="78" t="n">
        <f aca="false">IF(AB14&gt;0,(AB24+AB23+AB25)*1000000/AB14,0)</f>
        <v>7.52068658541625</v>
      </c>
      <c r="AC26" s="78" t="n">
        <f aca="false">IF(AC14&gt;0,(AC24+AC23+AC25)*1000000/AC14,0)</f>
        <v>7.53826748051179</v>
      </c>
      <c r="AD26" s="78" t="n">
        <f aca="false">IF(AD14&gt;0,(AD24+AD23+AD25)*1000000/AD14,0)</f>
        <v>7.58139359066238</v>
      </c>
      <c r="AE26" s="78" t="n">
        <f aca="false">IF(AE14&gt;0,(AE24+AE23+AE25)*1000000/AE14,0)</f>
        <v>7.57315449974971</v>
      </c>
      <c r="AF26" s="78" t="n">
        <f aca="false">IF(AF14&gt;0,(AF24+AF23+AF25)*1000000/AF14,0)</f>
        <v>7.58846278319596</v>
      </c>
      <c r="AG26" s="78" t="n">
        <f aca="false">IF(AG14&gt;0,(AG24+AG23+AG25)*1000000/AG14,0)</f>
        <v>7.57744924598608</v>
      </c>
      <c r="AH26" s="78" t="n">
        <f aca="false">IF(AH14&gt;0,(AH24+AH23+AH25)*1000000/AH14,0)</f>
        <v>7.60735276208886</v>
      </c>
      <c r="AI26" s="78" t="n">
        <f aca="false">IF(AI14&gt;0,(AI24+AI23+AI25)*1000000/AI14,0)</f>
        <v>7.60573475055022</v>
      </c>
      <c r="AJ26" s="78" t="n">
        <f aca="false">IF(AJ14&gt;0,(AJ24+AJ23+AJ25)*1000000/AJ14,0)</f>
        <v>7.59643244666909</v>
      </c>
      <c r="AK26" s="78" t="n">
        <f aca="false">IF(AK14&gt;0,(AK24+AK23+AK25)*1000000/AK14,0)</f>
        <v>7.61220770485916</v>
      </c>
      <c r="AL26" s="78" t="n">
        <f aca="false">IF(AL14&gt;0,(AL24+AL23+AL25)*1000000/AL14,0)</f>
        <v>7.60052706054727</v>
      </c>
      <c r="AM26" s="78" t="n">
        <f aca="false">IF(AM14&gt;0,(AM24+AM23+AM25)*1000000/AM14,0)</f>
        <v>7.61544863604771</v>
      </c>
    </row>
    <row r="27" customFormat="false" ht="21" hidden="false" customHeight="true" outlineLevel="0" collapsed="false">
      <c r="C27" s="56" t="s">
        <v>250</v>
      </c>
      <c r="D27" s="71"/>
      <c r="E27" s="71"/>
      <c r="F27" s="71"/>
      <c r="G27" s="71"/>
      <c r="H27" s="71"/>
      <c r="I27" s="71"/>
      <c r="J27" s="71" t="n">
        <f aca="false">J12*J26/1000000</f>
        <v>419.760702855769</v>
      </c>
      <c r="K27" s="71" t="n">
        <f aca="false">K12*K26/1000000</f>
        <v>381.04658529011</v>
      </c>
      <c r="L27" s="71" t="n">
        <f aca="false">L12*L26/1000000</f>
        <v>364.597148988053</v>
      </c>
      <c r="M27" s="71" t="n">
        <f aca="false">M12*M26/1000000</f>
        <v>359.061827698143</v>
      </c>
      <c r="N27" s="71" t="n">
        <f aca="false">N12*N26/1000000</f>
        <v>355.762046195024</v>
      </c>
      <c r="O27" s="71" t="n">
        <f aca="false">O12*O26/1000000</f>
        <v>355.384094092857</v>
      </c>
      <c r="P27" s="71" t="n">
        <f aca="false">P12*P26/1000000</f>
        <v>380.512560705074</v>
      </c>
      <c r="Q27" s="71" t="n">
        <f aca="false">Q12*Q26/1000000</f>
        <v>380.726635036349</v>
      </c>
      <c r="R27" s="71" t="n">
        <f aca="false">R12*R26/1000000</f>
        <v>383.613431801231</v>
      </c>
      <c r="S27" s="71" t="n">
        <f aca="false">S12*S26/1000000</f>
        <v>382.980308389892</v>
      </c>
      <c r="T27" s="71" t="n">
        <f aca="false">T12*T26/1000000</f>
        <v>383.67798895896</v>
      </c>
      <c r="U27" s="71" t="n">
        <f aca="false">U12*U26/1000000</f>
        <v>383.079057440967</v>
      </c>
      <c r="V27" s="71" t="n">
        <f aca="false">V12*V26/1000000</f>
        <v>368.344684462777</v>
      </c>
      <c r="W27" s="71" t="n">
        <f aca="false">W12*W26/1000000</f>
        <v>368.253599138913</v>
      </c>
      <c r="X27" s="71" t="n">
        <f aca="false">X12*X26/1000000</f>
        <v>367.592774217156</v>
      </c>
      <c r="Y27" s="71" t="n">
        <f aca="false">Y12*Y26/1000000</f>
        <v>368.269620633133</v>
      </c>
      <c r="Z27" s="71" t="n">
        <f aca="false">Z12*Z26/1000000</f>
        <v>367.668239359619</v>
      </c>
      <c r="AA27" s="71" t="n">
        <f aca="false">AA12*AA26/1000000</f>
        <v>368.374712251247</v>
      </c>
      <c r="AB27" s="71" t="n">
        <f aca="false">AB12*AB26/1000000</f>
        <v>394.987608382</v>
      </c>
      <c r="AC27" s="71" t="n">
        <f aca="false">AC12*AC26/1000000</f>
        <v>395.910959678206</v>
      </c>
      <c r="AD27" s="71" t="n">
        <f aca="false">AD12*AD26/1000000</f>
        <v>398.17594957158</v>
      </c>
      <c r="AE27" s="71" t="n">
        <f aca="false">AE12*AE26/1000000</f>
        <v>397.743231258181</v>
      </c>
      <c r="AF27" s="71" t="n">
        <f aca="false">AF12*AF26/1000000</f>
        <v>398.547224643386</v>
      </c>
      <c r="AG27" s="71" t="n">
        <f aca="false">AG12*AG26/1000000</f>
        <v>397.968791986613</v>
      </c>
      <c r="AH27" s="71" t="n">
        <f aca="false">AH12*AH26/1000000</f>
        <v>382.615285221299</v>
      </c>
      <c r="AI27" s="71" t="n">
        <f aca="false">AI12*AI26/1000000</f>
        <v>382.533906591215</v>
      </c>
      <c r="AJ27" s="71" t="n">
        <f aca="false">AJ12*AJ26/1000000</f>
        <v>382.066042964536</v>
      </c>
      <c r="AK27" s="71" t="n">
        <f aca="false">AK12*AK26/1000000</f>
        <v>382.859466787592</v>
      </c>
      <c r="AL27" s="71" t="n">
        <f aca="false">AL12*AL26/1000000</f>
        <v>382.27198344158</v>
      </c>
      <c r="AM27" s="71" t="n">
        <f aca="false">AM12*AM26/1000000</f>
        <v>383.022470903461</v>
      </c>
    </row>
    <row r="28" customFormat="false" ht="21" hidden="false" customHeight="true" outlineLevel="0" collapsed="false">
      <c r="C28" s="56" t="s">
        <v>251</v>
      </c>
      <c r="D28" s="71"/>
      <c r="E28" s="71"/>
      <c r="F28" s="71"/>
      <c r="G28" s="71"/>
      <c r="H28" s="71"/>
      <c r="I28" s="71"/>
      <c r="J28" s="71" t="n">
        <f aca="false">J24+J23+J25-J27</f>
        <v>292.376448479453</v>
      </c>
      <c r="K28" s="71" t="n">
        <f aca="false">K24+K23+K25-K27</f>
        <v>265.410855647976</v>
      </c>
      <c r="L28" s="71" t="n">
        <f aca="false">L24+L23+L25-L27</f>
        <v>262.418419468561</v>
      </c>
      <c r="M28" s="71" t="n">
        <f aca="false">M24+M23+M25-M27</f>
        <v>250.097784887206</v>
      </c>
      <c r="N28" s="71" t="n">
        <f aca="false">N24+N23+N25-N27</f>
        <v>256.059363405659</v>
      </c>
      <c r="O28" s="71" t="n">
        <f aca="false">O24+O23+O25-O27</f>
        <v>247.536128489521</v>
      </c>
      <c r="P28" s="71" t="n">
        <f aca="false">P24+P23+P25-P27</f>
        <v>265.038890834425</v>
      </c>
      <c r="Q28" s="71" t="n">
        <f aca="false">Q24+Q23+Q25-Q27</f>
        <v>293.601000328494</v>
      </c>
      <c r="R28" s="71" t="n">
        <f aca="false">R24+R23+R25-R27</f>
        <v>267.198744465599</v>
      </c>
      <c r="S28" s="71" t="n">
        <f aca="false">S24+S23+S25-S27</f>
        <v>275.6496793631</v>
      </c>
      <c r="T28" s="71" t="n">
        <f aca="false">T24+T23+T25-T27</f>
        <v>267.243710543586</v>
      </c>
      <c r="U28" s="71" t="n">
        <f aca="false">U24+U23+U25-U27</f>
        <v>275.720753890093</v>
      </c>
      <c r="V28" s="71" t="n">
        <f aca="false">V24+V23+V25-V27</f>
        <v>256.563584744416</v>
      </c>
      <c r="W28" s="71" t="n">
        <f aca="false">W24+W23+W25-W27</f>
        <v>256.500140969621</v>
      </c>
      <c r="X28" s="71" t="n">
        <f aca="false">X24+X23+X25-X27</f>
        <v>264.574517617225</v>
      </c>
      <c r="Y28" s="71" t="n">
        <f aca="false">Y24+Y23+Y25-Y27</f>
        <v>256.51130044107</v>
      </c>
      <c r="Z28" s="71" t="n">
        <f aca="false">Z24+Z23+Z25-Z27</f>
        <v>264.628833575166</v>
      </c>
      <c r="AA28" s="71" t="n">
        <f aca="false">AA24+AA23+AA25-AA27</f>
        <v>256.584500037554</v>
      </c>
      <c r="AB28" s="71" t="n">
        <f aca="false">AB24+AB23+AB25-AB27</f>
        <v>275.121213935558</v>
      </c>
      <c r="AC28" s="71" t="n">
        <f aca="false">AC24+AC23+AC25-AC27</f>
        <v>294.78258848647</v>
      </c>
      <c r="AD28" s="71" t="n">
        <f aca="false">AD24+AD23+AD25-AD27</f>
        <v>277.341993220537</v>
      </c>
      <c r="AE28" s="71" t="n">
        <f aca="false">AE24+AE23+AE25-AE27</f>
        <v>286.275277771057</v>
      </c>
      <c r="AF28" s="71" t="n">
        <f aca="false">AF24+AF23+AF25-AF27</f>
        <v>277.60059791165</v>
      </c>
      <c r="AG28" s="71" t="n">
        <f aca="false">AG24+AG23+AG25-AG27</f>
        <v>286.437624871174</v>
      </c>
      <c r="AH28" s="71" t="n">
        <f aca="false">AH24+AH23+AH25-AH27</f>
        <v>266.503504177223</v>
      </c>
      <c r="AI28" s="71" t="n">
        <f aca="false">AI24+AI23+AI25-AI27</f>
        <v>266.446821418012</v>
      </c>
      <c r="AJ28" s="71" t="n">
        <f aca="false">AJ24+AJ23+AJ25-AJ27</f>
        <v>274.991637772368</v>
      </c>
      <c r="AK28" s="71" t="n">
        <f aca="false">AK24+AK23+AK25-AK27</f>
        <v>266.673584269645</v>
      </c>
      <c r="AL28" s="71" t="n">
        <f aca="false">AL24+AL23+AL25-AL27</f>
        <v>275.139863216918</v>
      </c>
      <c r="AM28" s="71" t="n">
        <f aca="false">AM24+AM23+AM25-AM27</f>
        <v>266.787121730777</v>
      </c>
    </row>
    <row r="29" customFormat="false" ht="21" hidden="false" customHeight="true" outlineLevel="0" collapsed="false">
      <c r="C29" s="56" t="s">
        <v>252</v>
      </c>
      <c r="D29" s="71"/>
      <c r="E29" s="71"/>
      <c r="F29" s="71"/>
      <c r="G29" s="71"/>
      <c r="H29" s="71"/>
      <c r="I29" s="71"/>
      <c r="J29" s="71" t="n">
        <f aca="false">J24+J23+J25-J27-J28</f>
        <v>0</v>
      </c>
      <c r="K29" s="71" t="n">
        <f aca="false">K24+K23+K25-K27-K28</f>
        <v>0</v>
      </c>
      <c r="L29" s="71" t="n">
        <f aca="false">L24+L23+L25-L27-L28</f>
        <v>0</v>
      </c>
      <c r="M29" s="71" t="n">
        <f aca="false">M24+M23+M25-M27-M28</f>
        <v>0</v>
      </c>
      <c r="N29" s="71" t="n">
        <f aca="false">N24+N23+N25-N27-N28</f>
        <v>0</v>
      </c>
      <c r="O29" s="71" t="n">
        <f aca="false">O24+O23+O25-O27-O28</f>
        <v>0</v>
      </c>
      <c r="P29" s="71" t="n">
        <f aca="false">P24+P23+P25-P27-P28</f>
        <v>0</v>
      </c>
      <c r="Q29" s="71" t="n">
        <f aca="false">Q24+Q23+Q25-Q27-Q28</f>
        <v>0</v>
      </c>
      <c r="R29" s="71" t="n">
        <f aca="false">R24+R23+R25-R27-R28</f>
        <v>0</v>
      </c>
      <c r="S29" s="71" t="n">
        <f aca="false">S24+S23+S25-S27-S28</f>
        <v>0</v>
      </c>
      <c r="T29" s="71" t="n">
        <f aca="false">T24+T23+T25-T27-T28</f>
        <v>0</v>
      </c>
      <c r="U29" s="71" t="n">
        <f aca="false">U24+U23+U25-U27-U28</f>
        <v>0</v>
      </c>
      <c r="V29" s="71" t="n">
        <f aca="false">V24+V23+V25-V27-V28</f>
        <v>0</v>
      </c>
      <c r="W29" s="71" t="n">
        <f aca="false">W24+W23+W25-W27-W28</f>
        <v>0</v>
      </c>
      <c r="X29" s="71" t="n">
        <f aca="false">X24+X23+X25-X27-X28</f>
        <v>0</v>
      </c>
      <c r="Y29" s="71" t="n">
        <f aca="false">Y24+Y23+Y25-Y27-Y28</f>
        <v>0</v>
      </c>
      <c r="Z29" s="71" t="n">
        <f aca="false">Z24+Z23+Z25-Z27-Z28</f>
        <v>0</v>
      </c>
      <c r="AA29" s="71" t="n">
        <f aca="false">AA24+AA23+AA25-AA27-AA28</f>
        <v>0</v>
      </c>
      <c r="AB29" s="71" t="n">
        <f aca="false">AB24+AB23+AB25-AB27-AB28</f>
        <v>0</v>
      </c>
      <c r="AC29" s="71" t="n">
        <f aca="false">AC24+AC23+AC25-AC27-AC28</f>
        <v>0</v>
      </c>
      <c r="AD29" s="71" t="n">
        <f aca="false">AD24+AD23+AD25-AD27-AD28</f>
        <v>0</v>
      </c>
      <c r="AE29" s="71" t="n">
        <f aca="false">AE24+AE23+AE25-AE27-AE28</f>
        <v>0</v>
      </c>
      <c r="AF29" s="71" t="n">
        <f aca="false">AF24+AF23+AF25-AF27-AF28</f>
        <v>0</v>
      </c>
      <c r="AG29" s="71" t="n">
        <f aca="false">AG24+AG23+AG25-AG27-AG28</f>
        <v>0</v>
      </c>
      <c r="AH29" s="71" t="n">
        <f aca="false">AH24+AH23+AH25-AH27-AH28</f>
        <v>0</v>
      </c>
      <c r="AI29" s="71" t="n">
        <f aca="false">AI24+AI23+AI25-AI27-AI28</f>
        <v>0</v>
      </c>
      <c r="AJ29" s="71" t="n">
        <f aca="false">AJ24+AJ23+AJ25-AJ27-AJ28</f>
        <v>0</v>
      </c>
      <c r="AK29" s="71" t="n">
        <f aca="false">AK24+AK23+AK25-AK27-AK28</f>
        <v>0</v>
      </c>
      <c r="AL29" s="71" t="n">
        <f aca="false">AL24+AL23+AL25-AL27-AL28</f>
        <v>0</v>
      </c>
      <c r="AM29" s="71" t="n">
        <f aca="false">AM24+AM23+AM25-AM27-AM28</f>
        <v>0</v>
      </c>
    </row>
    <row r="30" customFormat="false" ht="21" hidden="false" customHeight="true" outlineLevel="0" collapsed="false">
      <c r="C30" s="56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</row>
    <row r="31" customFormat="false" ht="21" hidden="false" customHeight="true" outlineLevel="0" collapsed="false">
      <c r="C31" s="56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</row>
    <row r="32" customFormat="false" ht="21" hidden="false" customHeight="true" outlineLevel="0" collapsed="false">
      <c r="C32" s="56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</row>
    <row r="33" customFormat="false" ht="25" hidden="false" customHeight="true" outlineLevel="0" collapsed="false">
      <c r="C33" s="74" t="s">
        <v>227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</row>
    <row r="34" customFormat="false" ht="21" hidden="false" customHeight="true" outlineLevel="0" collapsed="false">
      <c r="C34" s="56" t="s">
        <v>233</v>
      </c>
      <c r="D34" s="75"/>
      <c r="E34" s="75"/>
      <c r="F34" s="75"/>
      <c r="G34" s="75"/>
      <c r="H34" s="75"/>
      <c r="I34" s="75"/>
      <c r="J34" s="75" t="n">
        <f aca="false">SourceAnalysis!D17</f>
        <v>69896800</v>
      </c>
      <c r="K34" s="75" t="n">
        <f aca="false">Production!J39</f>
        <v>69364818.2157244</v>
      </c>
      <c r="L34" s="75" t="n">
        <f aca="false">Production!K39</f>
        <v>69364818.2157244</v>
      </c>
      <c r="M34" s="75" t="n">
        <f aca="false">Production!L39</f>
        <v>71676978.8229152</v>
      </c>
      <c r="N34" s="75" t="n">
        <f aca="false">Production!M39</f>
        <v>69364818.2157244</v>
      </c>
      <c r="O34" s="75" t="n">
        <f aca="false">Production!N39</f>
        <v>71676978.8229152</v>
      </c>
      <c r="P34" s="75" t="n">
        <f aca="false">Production!O39</f>
        <v>69364818.2157244</v>
      </c>
      <c r="Q34" s="75" t="n">
        <f aca="false">Production!P39</f>
        <v>73881659.9653065</v>
      </c>
      <c r="R34" s="75" t="n">
        <f aca="false">Production!Q39</f>
        <v>81797552.1044464</v>
      </c>
      <c r="S34" s="75" t="n">
        <f aca="false">Production!R39</f>
        <v>73881659.9653065</v>
      </c>
      <c r="T34" s="75" t="n">
        <f aca="false">Production!S39</f>
        <v>76344381.96415</v>
      </c>
      <c r="U34" s="75" t="n">
        <f aca="false">Production!T39</f>
        <v>73881659.9653065</v>
      </c>
      <c r="V34" s="75" t="n">
        <f aca="false">Production!U39</f>
        <v>76344381.96415</v>
      </c>
      <c r="W34" s="75" t="n">
        <f aca="false">Production!V39</f>
        <v>71445762.7621961</v>
      </c>
      <c r="X34" s="75" t="n">
        <f aca="false">Production!W39</f>
        <v>71445762.7621961</v>
      </c>
      <c r="Y34" s="75" t="n">
        <f aca="false">Production!X39</f>
        <v>73827288.1876026</v>
      </c>
      <c r="Z34" s="75" t="n">
        <f aca="false">Production!Y39</f>
        <v>71445762.7621961</v>
      </c>
      <c r="AA34" s="75" t="n">
        <f aca="false">Production!Z39</f>
        <v>73827288.1876026</v>
      </c>
      <c r="AB34" s="75" t="n">
        <f aca="false">Production!AA39</f>
        <v>71445762.7621961</v>
      </c>
      <c r="AC34" s="75" t="n">
        <f aca="false">Production!AB39</f>
        <v>76098109.7642657</v>
      </c>
      <c r="AD34" s="75" t="n">
        <f aca="false">Production!AC39</f>
        <v>81346255.2652495</v>
      </c>
      <c r="AE34" s="75" t="n">
        <f aca="false">Production!AD39</f>
        <v>76098109.7642657</v>
      </c>
      <c r="AF34" s="75" t="n">
        <f aca="false">Production!AE39</f>
        <v>78634713.4230745</v>
      </c>
      <c r="AG34" s="75" t="n">
        <f aca="false">Production!AF39</f>
        <v>76098109.7642657</v>
      </c>
      <c r="AH34" s="75" t="n">
        <f aca="false">Production!AG39</f>
        <v>78634713.4230745</v>
      </c>
      <c r="AI34" s="75" t="n">
        <f aca="false">Production!AH39</f>
        <v>73589135.645062</v>
      </c>
      <c r="AJ34" s="75" t="n">
        <f aca="false">Production!AI39</f>
        <v>73589135.645062</v>
      </c>
      <c r="AK34" s="75" t="n">
        <f aca="false">Production!AJ39</f>
        <v>76042106.8332307</v>
      </c>
      <c r="AL34" s="75" t="n">
        <f aca="false">Production!AK39</f>
        <v>73589135.645062</v>
      </c>
      <c r="AM34" s="75" t="n">
        <f aca="false">Production!AL39</f>
        <v>76042106.8332307</v>
      </c>
    </row>
    <row r="35" customFormat="false" ht="21" hidden="false" customHeight="true" outlineLevel="0" collapsed="false">
      <c r="C35" s="56" t="s">
        <v>234</v>
      </c>
      <c r="D35" s="75"/>
      <c r="E35" s="75"/>
      <c r="F35" s="75"/>
      <c r="G35" s="75"/>
      <c r="H35" s="75"/>
      <c r="I35" s="75"/>
      <c r="J35" s="75" t="n">
        <f aca="false">Revenue!J19/DAY(J$7)*MAX(0,Inputs!J26)</f>
        <v>69364818.2157244</v>
      </c>
      <c r="K35" s="75" t="n">
        <f aca="false">Revenue!K19/DAY(K$7)*MAX(0,Inputs!K26)</f>
        <v>69364818.2157244</v>
      </c>
      <c r="L35" s="75" t="n">
        <f aca="false">Revenue!L19/DAY(L$7)*MAX(0,Inputs!L26)</f>
        <v>71676978.8229152</v>
      </c>
      <c r="M35" s="75" t="n">
        <f aca="false">Revenue!M19/DAY(M$7)*MAX(0,Inputs!M26)</f>
        <v>69364818.2157244</v>
      </c>
      <c r="N35" s="75" t="n">
        <f aca="false">Revenue!N19/DAY(N$7)*MAX(0,Inputs!N26)</f>
        <v>71676978.8229152</v>
      </c>
      <c r="O35" s="75" t="n">
        <f aca="false">Revenue!O19/DAY(O$7)*MAX(0,Inputs!O26)</f>
        <v>69364818.2157244</v>
      </c>
      <c r="P35" s="75" t="n">
        <f aca="false">Revenue!P19/DAY(P$7)*MAX(0,Inputs!P26)</f>
        <v>73881659.9653065</v>
      </c>
      <c r="Q35" s="75" t="n">
        <f aca="false">Revenue!Q19/DAY(Q$7)*MAX(0,Inputs!Q26)</f>
        <v>81797552.1044465</v>
      </c>
      <c r="R35" s="75" t="n">
        <f aca="false">Revenue!R19/DAY(R$7)*MAX(0,Inputs!R26)</f>
        <v>73881659.9653065</v>
      </c>
      <c r="S35" s="75" t="n">
        <f aca="false">Revenue!S19/DAY(S$7)*MAX(0,Inputs!S26)</f>
        <v>76344381.96415</v>
      </c>
      <c r="T35" s="75" t="n">
        <f aca="false">Revenue!T19/DAY(T$7)*MAX(0,Inputs!T26)</f>
        <v>73881659.9653065</v>
      </c>
      <c r="U35" s="75" t="n">
        <f aca="false">Revenue!U19/DAY(U$7)*MAX(0,Inputs!U26)</f>
        <v>76344381.96415</v>
      </c>
      <c r="V35" s="75" t="n">
        <f aca="false">Revenue!V19/DAY(V$7)*MAX(0,Inputs!V26)</f>
        <v>71445762.7621961</v>
      </c>
      <c r="W35" s="75" t="n">
        <f aca="false">Revenue!W19/DAY(W$7)*MAX(0,Inputs!W26)</f>
        <v>71445762.7621961</v>
      </c>
      <c r="X35" s="75" t="n">
        <f aca="false">Revenue!X19/DAY(X$7)*MAX(0,Inputs!X26)</f>
        <v>73827288.1876026</v>
      </c>
      <c r="Y35" s="75" t="n">
        <f aca="false">Revenue!Y19/DAY(Y$7)*MAX(0,Inputs!Y26)</f>
        <v>71445762.7621961</v>
      </c>
      <c r="Z35" s="75" t="n">
        <f aca="false">Revenue!Z19/DAY(Z$7)*MAX(0,Inputs!Z26)</f>
        <v>73827288.1876026</v>
      </c>
      <c r="AA35" s="75" t="n">
        <f aca="false">Revenue!AA19/DAY(AA$7)*MAX(0,Inputs!AA26)</f>
        <v>71445762.7621961</v>
      </c>
      <c r="AB35" s="75" t="n">
        <f aca="false">Revenue!AB19/DAY(AB$7)*MAX(0,Inputs!AB26)</f>
        <v>76098109.7642657</v>
      </c>
      <c r="AC35" s="75" t="n">
        <f aca="false">Revenue!AC19/DAY(AC$7)*MAX(0,Inputs!AC26)</f>
        <v>81346255.2652495</v>
      </c>
      <c r="AD35" s="75" t="n">
        <f aca="false">Revenue!AD19/DAY(AD$7)*MAX(0,Inputs!AD26)</f>
        <v>76098109.7642657</v>
      </c>
      <c r="AE35" s="75" t="n">
        <f aca="false">Revenue!AE19/DAY(AE$7)*MAX(0,Inputs!AE26)</f>
        <v>78634713.4230745</v>
      </c>
      <c r="AF35" s="75" t="n">
        <f aca="false">Revenue!AF19/DAY(AF$7)*MAX(0,Inputs!AF26)</f>
        <v>76098109.7642657</v>
      </c>
      <c r="AG35" s="75" t="n">
        <f aca="false">Revenue!AG19/DAY(AG$7)*MAX(0,Inputs!AG26)</f>
        <v>78634713.4230745</v>
      </c>
      <c r="AH35" s="75" t="n">
        <f aca="false">Revenue!AH19/DAY(AH$7)*MAX(0,Inputs!AH26)</f>
        <v>73589135.645062</v>
      </c>
      <c r="AI35" s="75" t="n">
        <f aca="false">Revenue!AI19/DAY(AI$7)*MAX(0,Inputs!AI26)</f>
        <v>73589135.645062</v>
      </c>
      <c r="AJ35" s="75" t="n">
        <f aca="false">Revenue!AJ19/DAY(AJ$7)*MAX(0,Inputs!AJ26)</f>
        <v>76042106.8332307</v>
      </c>
      <c r="AK35" s="75" t="n">
        <f aca="false">Revenue!AK19/DAY(AK$7)*MAX(0,Inputs!AK26)</f>
        <v>73589135.645062</v>
      </c>
      <c r="AL35" s="75" t="n">
        <f aca="false">Revenue!AL19/DAY(AL$7)*MAX(0,Inputs!AL26)</f>
        <v>76042106.8332307</v>
      </c>
      <c r="AM35" s="75" t="n">
        <f aca="false">Revenue!AM19/DAY(AM$7)*MAX(0,Inputs!AM26)</f>
        <v>73589135.645062</v>
      </c>
    </row>
    <row r="36" customFormat="false" ht="21" hidden="false" customHeight="true" outlineLevel="0" collapsed="false">
      <c r="C36" s="56" t="s">
        <v>235</v>
      </c>
      <c r="D36" s="75"/>
      <c r="E36" s="75"/>
      <c r="F36" s="75"/>
      <c r="G36" s="75"/>
      <c r="H36" s="75"/>
      <c r="I36" s="75"/>
      <c r="J36" s="75" t="n">
        <f aca="false">Revenue!J19</f>
        <v>88596987.1860354</v>
      </c>
      <c r="K36" s="75" t="n">
        <f aca="false">Revenue!K19</f>
        <v>88596987.1860354</v>
      </c>
      <c r="L36" s="75" t="n">
        <f aca="false">Revenue!L19</f>
        <v>88596987.1860354</v>
      </c>
      <c r="M36" s="75" t="n">
        <f aca="false">Revenue!M19</f>
        <v>88596987.1860354</v>
      </c>
      <c r="N36" s="75" t="n">
        <f aca="false">Revenue!N19</f>
        <v>88596987.1860354</v>
      </c>
      <c r="O36" s="75" t="n">
        <f aca="false">Revenue!O19</f>
        <v>88596987.1860354</v>
      </c>
      <c r="P36" s="75" t="n">
        <f aca="false">Revenue!P19</f>
        <v>94366173.6540879</v>
      </c>
      <c r="Q36" s="75" t="n">
        <f aca="false">Revenue!Q19</f>
        <v>94366173.6540879</v>
      </c>
      <c r="R36" s="75" t="n">
        <f aca="false">Revenue!R19</f>
        <v>94366173.6540879</v>
      </c>
      <c r="S36" s="75" t="n">
        <f aca="false">Revenue!S19</f>
        <v>94366173.6540879</v>
      </c>
      <c r="T36" s="75" t="n">
        <f aca="false">Revenue!T19</f>
        <v>94366173.6540879</v>
      </c>
      <c r="U36" s="75" t="n">
        <f aca="false">Revenue!U19</f>
        <v>94366173.6540879</v>
      </c>
      <c r="V36" s="75" t="n">
        <f aca="false">Revenue!V19</f>
        <v>91254896.8016165</v>
      </c>
      <c r="W36" s="75" t="n">
        <f aca="false">Revenue!W19</f>
        <v>91254896.8016165</v>
      </c>
      <c r="X36" s="75" t="n">
        <f aca="false">Revenue!X19</f>
        <v>91254896.8016165</v>
      </c>
      <c r="Y36" s="75" t="n">
        <f aca="false">Revenue!Y19</f>
        <v>91254896.8016165</v>
      </c>
      <c r="Z36" s="75" t="n">
        <f aca="false">Revenue!Z19</f>
        <v>91254896.8016165</v>
      </c>
      <c r="AA36" s="75" t="n">
        <f aca="false">Revenue!AA19</f>
        <v>91254896.8016165</v>
      </c>
      <c r="AB36" s="75" t="n">
        <f aca="false">Revenue!AB19</f>
        <v>97197158.8637106</v>
      </c>
      <c r="AC36" s="75" t="n">
        <f aca="false">Revenue!AC19</f>
        <v>97197158.8637106</v>
      </c>
      <c r="AD36" s="75" t="n">
        <f aca="false">Revenue!AD19</f>
        <v>97197158.8637106</v>
      </c>
      <c r="AE36" s="75" t="n">
        <f aca="false">Revenue!AE19</f>
        <v>97197158.8637106</v>
      </c>
      <c r="AF36" s="75" t="n">
        <f aca="false">Revenue!AF19</f>
        <v>97197158.8637106</v>
      </c>
      <c r="AG36" s="75" t="n">
        <f aca="false">Revenue!AG19</f>
        <v>97197158.8637106</v>
      </c>
      <c r="AH36" s="75" t="n">
        <f aca="false">Revenue!AH19</f>
        <v>93992543.705665</v>
      </c>
      <c r="AI36" s="75" t="n">
        <f aca="false">Revenue!AI19</f>
        <v>93992543.705665</v>
      </c>
      <c r="AJ36" s="75" t="n">
        <f aca="false">Revenue!AJ19</f>
        <v>93992543.705665</v>
      </c>
      <c r="AK36" s="75" t="n">
        <f aca="false">Revenue!AK19</f>
        <v>93992543.705665</v>
      </c>
      <c r="AL36" s="75" t="n">
        <f aca="false">Revenue!AL19</f>
        <v>93992543.705665</v>
      </c>
      <c r="AM36" s="75" t="n">
        <f aca="false">Revenue!AM19</f>
        <v>93992543.705665</v>
      </c>
    </row>
    <row r="37" customFormat="false" ht="21" hidden="false" customHeight="true" outlineLevel="0" collapsed="false">
      <c r="C37" s="56" t="s">
        <v>236</v>
      </c>
      <c r="D37" s="77"/>
      <c r="E37" s="77"/>
      <c r="F37" s="77"/>
      <c r="G37" s="77"/>
      <c r="H37" s="77"/>
      <c r="I37" s="77"/>
      <c r="J37" s="77" t="n">
        <f aca="false">MAX(0,J36+J35-J34)</f>
        <v>88065005.4017598</v>
      </c>
      <c r="K37" s="77" t="n">
        <f aca="false">MAX(0,K36+K35-K34)</f>
        <v>88596987.1860354</v>
      </c>
      <c r="L37" s="77" t="n">
        <f aca="false">MAX(0,L36+L35-L34)</f>
        <v>90909147.7932262</v>
      </c>
      <c r="M37" s="77" t="n">
        <f aca="false">MAX(0,M36+M35-M34)</f>
        <v>86284826.5788447</v>
      </c>
      <c r="N37" s="77" t="n">
        <f aca="false">MAX(0,N36+N35-N34)</f>
        <v>90909147.7932262</v>
      </c>
      <c r="O37" s="77" t="n">
        <f aca="false">MAX(0,O36+O35-O34)</f>
        <v>86284826.5788447</v>
      </c>
      <c r="P37" s="77" t="n">
        <f aca="false">MAX(0,P36+P35-P34)</f>
        <v>98883015.4036701</v>
      </c>
      <c r="Q37" s="77" t="n">
        <f aca="false">MAX(0,Q36+Q35-Q34)</f>
        <v>102282065.793228</v>
      </c>
      <c r="R37" s="77" t="n">
        <f aca="false">MAX(0,R36+R35-R34)</f>
        <v>86450281.514948</v>
      </c>
      <c r="S37" s="77" t="n">
        <f aca="false">MAX(0,S36+S35-S34)</f>
        <v>96828895.6529315</v>
      </c>
      <c r="T37" s="77" t="n">
        <f aca="false">MAX(0,T36+T35-T34)</f>
        <v>91903451.6552444</v>
      </c>
      <c r="U37" s="77" t="n">
        <f aca="false">MAX(0,U36+U35-U34)</f>
        <v>96828895.6529315</v>
      </c>
      <c r="V37" s="77" t="n">
        <f aca="false">MAX(0,V36+V35-V34)</f>
        <v>86356277.5996625</v>
      </c>
      <c r="W37" s="77" t="n">
        <f aca="false">MAX(0,W36+W35-W34)</f>
        <v>91254896.8016165</v>
      </c>
      <c r="X37" s="77" t="n">
        <f aca="false">MAX(0,X36+X35-X34)</f>
        <v>93636422.2270231</v>
      </c>
      <c r="Y37" s="77" t="n">
        <f aca="false">MAX(0,Y36+Y35-Y34)</f>
        <v>88873371.37621</v>
      </c>
      <c r="Z37" s="77" t="n">
        <f aca="false">MAX(0,Z36+Z35-Z34)</f>
        <v>93636422.2270231</v>
      </c>
      <c r="AA37" s="77" t="n">
        <f aca="false">MAX(0,AA36+AA35-AA34)</f>
        <v>88873371.37621</v>
      </c>
      <c r="AB37" s="77" t="n">
        <f aca="false">MAX(0,AB36+AB35-AB34)</f>
        <v>101849505.86578</v>
      </c>
      <c r="AC37" s="77" t="n">
        <f aca="false">MAX(0,AC36+AC35-AC34)</f>
        <v>102445304.364694</v>
      </c>
      <c r="AD37" s="77" t="n">
        <f aca="false">MAX(0,AD36+AD35-AD34)</f>
        <v>91949013.3627267</v>
      </c>
      <c r="AE37" s="77" t="n">
        <f aca="false">MAX(0,AE36+AE35-AE34)</f>
        <v>99733762.5225194</v>
      </c>
      <c r="AF37" s="77" t="n">
        <f aca="false">MAX(0,AF36+AF35-AF34)</f>
        <v>94660555.2049017</v>
      </c>
      <c r="AG37" s="77" t="n">
        <f aca="false">MAX(0,AG36+AG35-AG34)</f>
        <v>99733762.5225194</v>
      </c>
      <c r="AH37" s="77" t="n">
        <f aca="false">MAX(0,AH36+AH35-AH34)</f>
        <v>88946965.9276524</v>
      </c>
      <c r="AI37" s="77" t="n">
        <f aca="false">MAX(0,AI36+AI35-AI34)</f>
        <v>93992543.705665</v>
      </c>
      <c r="AJ37" s="77" t="n">
        <f aca="false">MAX(0,AJ36+AJ35-AJ34)</f>
        <v>96445514.8938338</v>
      </c>
      <c r="AK37" s="77" t="n">
        <f aca="false">MAX(0,AK36+AK35-AK34)</f>
        <v>91539572.5174962</v>
      </c>
      <c r="AL37" s="77" t="n">
        <f aca="false">MAX(0,AL36+AL35-AL34)</f>
        <v>96445514.8938338</v>
      </c>
      <c r="AM37" s="77" t="n">
        <f aca="false">MAX(0,AM36+AM35-AM34)</f>
        <v>91539572.5174962</v>
      </c>
    </row>
    <row r="38" customFormat="false" ht="21" hidden="false" customHeight="true" outlineLevel="0" collapsed="false">
      <c r="C38" s="56" t="s">
        <v>237</v>
      </c>
      <c r="D38" s="77"/>
      <c r="E38" s="77"/>
      <c r="F38" s="77"/>
      <c r="G38" s="77"/>
      <c r="H38" s="77"/>
      <c r="I38" s="77"/>
      <c r="J38" s="77" t="n">
        <f aca="false">J34+J37</f>
        <v>157961805.40176</v>
      </c>
      <c r="K38" s="77" t="n">
        <f aca="false">K34+K37</f>
        <v>157961805.40176</v>
      </c>
      <c r="L38" s="77" t="n">
        <f aca="false">L34+L37</f>
        <v>160273966.008951</v>
      </c>
      <c r="M38" s="77" t="n">
        <f aca="false">M34+M37</f>
        <v>157961805.40176</v>
      </c>
      <c r="N38" s="77" t="n">
        <f aca="false">N34+N37</f>
        <v>160273966.008951</v>
      </c>
      <c r="O38" s="77" t="n">
        <f aca="false">O34+O37</f>
        <v>157961805.40176</v>
      </c>
      <c r="P38" s="77" t="n">
        <f aca="false">P34+P37</f>
        <v>168247833.619394</v>
      </c>
      <c r="Q38" s="77" t="n">
        <f aca="false">Q34+Q37</f>
        <v>176163725.758534</v>
      </c>
      <c r="R38" s="77" t="n">
        <f aca="false">R34+R37</f>
        <v>168247833.619394</v>
      </c>
      <c r="S38" s="77" t="n">
        <f aca="false">S34+S37</f>
        <v>170710555.618238</v>
      </c>
      <c r="T38" s="77" t="n">
        <f aca="false">T34+T37</f>
        <v>168247833.619394</v>
      </c>
      <c r="U38" s="77" t="n">
        <f aca="false">U34+U37</f>
        <v>170710555.618238</v>
      </c>
      <c r="V38" s="77" t="n">
        <f aca="false">V34+V37</f>
        <v>162700659.563813</v>
      </c>
      <c r="W38" s="77" t="n">
        <f aca="false">W34+W37</f>
        <v>162700659.563813</v>
      </c>
      <c r="X38" s="77" t="n">
        <f aca="false">X34+X37</f>
        <v>165082184.989219</v>
      </c>
      <c r="Y38" s="77" t="n">
        <f aca="false">Y34+Y37</f>
        <v>162700659.563813</v>
      </c>
      <c r="Z38" s="77" t="n">
        <f aca="false">Z34+Z37</f>
        <v>165082184.989219</v>
      </c>
      <c r="AA38" s="77" t="n">
        <f aca="false">AA34+AA37</f>
        <v>162700659.563813</v>
      </c>
      <c r="AB38" s="77" t="n">
        <f aca="false">AB34+AB37</f>
        <v>173295268.627976</v>
      </c>
      <c r="AC38" s="77" t="n">
        <f aca="false">AC34+AC37</f>
        <v>178543414.12896</v>
      </c>
      <c r="AD38" s="77" t="n">
        <f aca="false">AD34+AD37</f>
        <v>173295268.627976</v>
      </c>
      <c r="AE38" s="77" t="n">
        <f aca="false">AE34+AE37</f>
        <v>175831872.286785</v>
      </c>
      <c r="AF38" s="77" t="n">
        <f aca="false">AF34+AF37</f>
        <v>173295268.627976</v>
      </c>
      <c r="AG38" s="77" t="n">
        <f aca="false">AG34+AG37</f>
        <v>175831872.286785</v>
      </c>
      <c r="AH38" s="77" t="n">
        <f aca="false">AH34+AH37</f>
        <v>167581679.350727</v>
      </c>
      <c r="AI38" s="77" t="n">
        <f aca="false">AI34+AI37</f>
        <v>167581679.350727</v>
      </c>
      <c r="AJ38" s="77" t="n">
        <f aca="false">AJ34+AJ37</f>
        <v>170034650.538896</v>
      </c>
      <c r="AK38" s="77" t="n">
        <f aca="false">AK34+AK37</f>
        <v>167581679.350727</v>
      </c>
      <c r="AL38" s="77" t="n">
        <f aca="false">AL34+AL37</f>
        <v>170034650.538896</v>
      </c>
      <c r="AM38" s="77" t="n">
        <f aca="false">AM34+AM37</f>
        <v>167581679.350727</v>
      </c>
    </row>
    <row r="39" customFormat="false" ht="21" hidden="false" customHeight="true" outlineLevel="0" collapsed="false">
      <c r="C39" s="56" t="s">
        <v>238</v>
      </c>
      <c r="D39" s="77"/>
      <c r="E39" s="77"/>
      <c r="F39" s="77"/>
      <c r="G39" s="77"/>
      <c r="H39" s="77"/>
      <c r="I39" s="77"/>
      <c r="J39" s="77" t="n">
        <f aca="false">J38-J36</f>
        <v>69364818.2157244</v>
      </c>
      <c r="K39" s="77" t="n">
        <f aca="false">K38-K36</f>
        <v>69364818.2157244</v>
      </c>
      <c r="L39" s="77" t="n">
        <f aca="false">L38-L36</f>
        <v>71676978.8229152</v>
      </c>
      <c r="M39" s="77" t="n">
        <f aca="false">M38-M36</f>
        <v>69364818.2157244</v>
      </c>
      <c r="N39" s="77" t="n">
        <f aca="false">N38-N36</f>
        <v>71676978.8229152</v>
      </c>
      <c r="O39" s="77" t="n">
        <f aca="false">O38-O36</f>
        <v>69364818.2157244</v>
      </c>
      <c r="P39" s="77" t="n">
        <f aca="false">P38-P36</f>
        <v>73881659.9653065</v>
      </c>
      <c r="Q39" s="77" t="n">
        <f aca="false">Q38-Q36</f>
        <v>81797552.1044464</v>
      </c>
      <c r="R39" s="77" t="n">
        <f aca="false">R38-R36</f>
        <v>73881659.9653065</v>
      </c>
      <c r="S39" s="77" t="n">
        <f aca="false">S38-S36</f>
        <v>76344381.96415</v>
      </c>
      <c r="T39" s="77" t="n">
        <f aca="false">T38-T36</f>
        <v>73881659.9653065</v>
      </c>
      <c r="U39" s="77" t="n">
        <f aca="false">U38-U36</f>
        <v>76344381.96415</v>
      </c>
      <c r="V39" s="77" t="n">
        <f aca="false">V38-V36</f>
        <v>71445762.7621961</v>
      </c>
      <c r="W39" s="77" t="n">
        <f aca="false">W38-W36</f>
        <v>71445762.7621961</v>
      </c>
      <c r="X39" s="77" t="n">
        <f aca="false">X38-X36</f>
        <v>73827288.1876026</v>
      </c>
      <c r="Y39" s="77" t="n">
        <f aca="false">Y38-Y36</f>
        <v>71445762.7621961</v>
      </c>
      <c r="Z39" s="77" t="n">
        <f aca="false">Z38-Z36</f>
        <v>73827288.1876026</v>
      </c>
      <c r="AA39" s="77" t="n">
        <f aca="false">AA38-AA36</f>
        <v>71445762.7621961</v>
      </c>
      <c r="AB39" s="77" t="n">
        <f aca="false">AB38-AB36</f>
        <v>76098109.7642657</v>
      </c>
      <c r="AC39" s="77" t="n">
        <f aca="false">AC38-AC36</f>
        <v>81346255.2652495</v>
      </c>
      <c r="AD39" s="77" t="n">
        <f aca="false">AD38-AD36</f>
        <v>76098109.7642657</v>
      </c>
      <c r="AE39" s="77" t="n">
        <f aca="false">AE38-AE36</f>
        <v>78634713.4230745</v>
      </c>
      <c r="AF39" s="77" t="n">
        <f aca="false">AF38-AF36</f>
        <v>76098109.7642657</v>
      </c>
      <c r="AG39" s="77" t="n">
        <f aca="false">AG38-AG36</f>
        <v>78634713.4230745</v>
      </c>
      <c r="AH39" s="77" t="n">
        <f aca="false">AH38-AH36</f>
        <v>73589135.645062</v>
      </c>
      <c r="AI39" s="77" t="n">
        <f aca="false">AI38-AI36</f>
        <v>73589135.645062</v>
      </c>
      <c r="AJ39" s="77" t="n">
        <f aca="false">AJ38-AJ36</f>
        <v>76042106.8332307</v>
      </c>
      <c r="AK39" s="77" t="n">
        <f aca="false">AK38-AK36</f>
        <v>73589135.645062</v>
      </c>
      <c r="AL39" s="77" t="n">
        <f aca="false">AL38-AL36</f>
        <v>76042106.8332307</v>
      </c>
      <c r="AM39" s="77" t="n">
        <f aca="false">AM38-AM36</f>
        <v>73589135.645062</v>
      </c>
    </row>
    <row r="40" customFormat="false" ht="21" hidden="false" customHeight="true" outlineLevel="0" collapsed="false">
      <c r="C40" s="56" t="s">
        <v>239</v>
      </c>
      <c r="D40" s="77"/>
      <c r="E40" s="77"/>
      <c r="F40" s="77"/>
      <c r="G40" s="77"/>
      <c r="H40" s="77"/>
      <c r="I40" s="77"/>
      <c r="J40" s="77" t="n">
        <f aca="false">J34+J37-J36-J39</f>
        <v>0</v>
      </c>
      <c r="K40" s="77" t="n">
        <f aca="false">K34+K37-K36-K39</f>
        <v>0</v>
      </c>
      <c r="L40" s="77" t="n">
        <f aca="false">L34+L37-L36-L39</f>
        <v>0</v>
      </c>
      <c r="M40" s="77" t="n">
        <f aca="false">M34+M37-M36-M39</f>
        <v>0</v>
      </c>
      <c r="N40" s="77" t="n">
        <f aca="false">N34+N37-N36-N39</f>
        <v>0</v>
      </c>
      <c r="O40" s="77" t="n">
        <f aca="false">O34+O37-O36-O39</f>
        <v>0</v>
      </c>
      <c r="P40" s="77" t="n">
        <f aca="false">P34+P37-P36-P39</f>
        <v>0</v>
      </c>
      <c r="Q40" s="77" t="n">
        <f aca="false">Q34+Q37-Q36-Q39</f>
        <v>0</v>
      </c>
      <c r="R40" s="77" t="n">
        <f aca="false">R34+R37-R36-R39</f>
        <v>0</v>
      </c>
      <c r="S40" s="77" t="n">
        <f aca="false">S34+S37-S36-S39</f>
        <v>0</v>
      </c>
      <c r="T40" s="77" t="n">
        <f aca="false">T34+T37-T36-T39</f>
        <v>0</v>
      </c>
      <c r="U40" s="77" t="n">
        <f aca="false">U34+U37-U36-U39</f>
        <v>0</v>
      </c>
      <c r="V40" s="77" t="n">
        <f aca="false">V34+V37-V36-V39</f>
        <v>0</v>
      </c>
      <c r="W40" s="77" t="n">
        <f aca="false">W34+W37-W36-W39</f>
        <v>0</v>
      </c>
      <c r="X40" s="77" t="n">
        <f aca="false">X34+X37-X36-X39</f>
        <v>0</v>
      </c>
      <c r="Y40" s="77" t="n">
        <f aca="false">Y34+Y37-Y36-Y39</f>
        <v>0</v>
      </c>
      <c r="Z40" s="77" t="n">
        <f aca="false">Z34+Z37-Z36-Z39</f>
        <v>0</v>
      </c>
      <c r="AA40" s="77" t="n">
        <f aca="false">AA34+AA37-AA36-AA39</f>
        <v>0</v>
      </c>
      <c r="AB40" s="77" t="n">
        <f aca="false">AB34+AB37-AB36-AB39</f>
        <v>0</v>
      </c>
      <c r="AC40" s="77" t="n">
        <f aca="false">AC34+AC37-AC36-AC39</f>
        <v>0</v>
      </c>
      <c r="AD40" s="77" t="n">
        <f aca="false">AD34+AD37-AD36-AD39</f>
        <v>0</v>
      </c>
      <c r="AE40" s="77" t="n">
        <f aca="false">AE34+AE37-AE36-AE39</f>
        <v>0</v>
      </c>
      <c r="AF40" s="77" t="n">
        <f aca="false">AF34+AF37-AF36-AF39</f>
        <v>0</v>
      </c>
      <c r="AG40" s="77" t="n">
        <f aca="false">AG34+AG37-AG36-AG39</f>
        <v>0</v>
      </c>
      <c r="AH40" s="77" t="n">
        <f aca="false">AH34+AH37-AH36-AH39</f>
        <v>0</v>
      </c>
      <c r="AI40" s="77" t="n">
        <f aca="false">AI34+AI37-AI36-AI39</f>
        <v>0</v>
      </c>
      <c r="AJ40" s="77" t="n">
        <f aca="false">AJ34+AJ37-AJ36-AJ39</f>
        <v>0</v>
      </c>
      <c r="AK40" s="77" t="n">
        <f aca="false">AK34+AK37-AK36-AK39</f>
        <v>0</v>
      </c>
      <c r="AL40" s="77" t="n">
        <f aca="false">AL34+AL37-AL36-AL39</f>
        <v>0</v>
      </c>
      <c r="AM40" s="77" t="n">
        <f aca="false">AM34+AM37-AM36-AM39</f>
        <v>0</v>
      </c>
    </row>
    <row r="41" customFormat="false" ht="21" hidden="false" customHeight="true" outlineLevel="0" collapsed="false">
      <c r="C41" s="56" t="s">
        <v>240</v>
      </c>
      <c r="D41" s="76"/>
      <c r="E41" s="76"/>
      <c r="F41" s="76"/>
      <c r="G41" s="76"/>
      <c r="H41" s="76"/>
      <c r="I41" s="76"/>
      <c r="J41" s="76" t="n">
        <f aca="false">(SourceAnalysis!D15*SourceAnalysis!D25*1000000/SourceAnalysis!D16)*(1+Inputs!J21)</f>
        <v>3.49654130741608</v>
      </c>
      <c r="K41" s="76" t="n">
        <f aca="false">(Production!J41)*(1+Inputs!K21)</f>
        <v>3.49654130741608</v>
      </c>
      <c r="L41" s="76" t="n">
        <f aca="false">(Production!K41)*(1+Inputs!L21)</f>
        <v>3.49654130741608</v>
      </c>
      <c r="M41" s="76" t="n">
        <f aca="false">(Production!L41)*(1+Inputs!M21)</f>
        <v>3.49654130741608</v>
      </c>
      <c r="N41" s="76" t="n">
        <f aca="false">(Production!M41)*(1+Inputs!N21)</f>
        <v>3.49654130741608</v>
      </c>
      <c r="O41" s="76" t="n">
        <f aca="false">(Production!N41)*(1+Inputs!O21)</f>
        <v>3.49654130741608</v>
      </c>
      <c r="P41" s="76" t="n">
        <f aca="false">(Production!O41)*(1+Inputs!P21)</f>
        <v>3.5664721335644</v>
      </c>
      <c r="Q41" s="76" t="n">
        <f aca="false">(Production!P41)*(1+Inputs!Q21)</f>
        <v>3.5664721335644</v>
      </c>
      <c r="R41" s="76" t="n">
        <f aca="false">(Production!Q41)*(1+Inputs!R21)</f>
        <v>3.5664721335644</v>
      </c>
      <c r="S41" s="76" t="n">
        <f aca="false">(Production!R41)*(1+Inputs!S21)</f>
        <v>3.5664721335644</v>
      </c>
      <c r="T41" s="76" t="n">
        <f aca="false">(Production!S41)*(1+Inputs!T21)</f>
        <v>3.5664721335644</v>
      </c>
      <c r="U41" s="76" t="n">
        <f aca="false">(Production!T41)*(1+Inputs!U21)</f>
        <v>3.5664721335644</v>
      </c>
      <c r="V41" s="76" t="n">
        <f aca="false">(Production!U41)*(1+Inputs!V21)</f>
        <v>3.5664721335644</v>
      </c>
      <c r="W41" s="76" t="n">
        <f aca="false">(Production!V41)*(1+Inputs!W21)</f>
        <v>3.5664721335644</v>
      </c>
      <c r="X41" s="76" t="n">
        <f aca="false">(Production!W41)*(1+Inputs!X21)</f>
        <v>3.5664721335644</v>
      </c>
      <c r="Y41" s="76" t="n">
        <f aca="false">(Production!X41)*(1+Inputs!Y21)</f>
        <v>3.5664721335644</v>
      </c>
      <c r="Z41" s="76" t="n">
        <f aca="false">(Production!Y41)*(1+Inputs!Z21)</f>
        <v>3.5664721335644</v>
      </c>
      <c r="AA41" s="76" t="n">
        <f aca="false">(Production!Z41)*(1+Inputs!AA21)</f>
        <v>3.5664721335644</v>
      </c>
      <c r="AB41" s="76" t="n">
        <f aca="false">(Production!AA41)*(1+Inputs!AB21)</f>
        <v>3.63780157623569</v>
      </c>
      <c r="AC41" s="76" t="n">
        <f aca="false">(Production!AB41)*(1+Inputs!AC21)</f>
        <v>3.63780157623569</v>
      </c>
      <c r="AD41" s="76" t="n">
        <f aca="false">(Production!AC41)*(1+Inputs!AD21)</f>
        <v>3.63780157623569</v>
      </c>
      <c r="AE41" s="76" t="n">
        <f aca="false">(Production!AD41)*(1+Inputs!AE21)</f>
        <v>3.63780157623569</v>
      </c>
      <c r="AF41" s="76" t="n">
        <f aca="false">(Production!AE41)*(1+Inputs!AF21)</f>
        <v>3.63780157623569</v>
      </c>
      <c r="AG41" s="76" t="n">
        <f aca="false">(Production!AF41)*(1+Inputs!AG21)</f>
        <v>3.63780157623569</v>
      </c>
      <c r="AH41" s="76" t="n">
        <f aca="false">(Production!AG41)*(1+Inputs!AH21)</f>
        <v>3.63780157623569</v>
      </c>
      <c r="AI41" s="76" t="n">
        <f aca="false">(Production!AH41)*(1+Inputs!AI21)</f>
        <v>3.63780157623569</v>
      </c>
      <c r="AJ41" s="76" t="n">
        <f aca="false">(Production!AI41)*(1+Inputs!AJ21)</f>
        <v>3.63780157623569</v>
      </c>
      <c r="AK41" s="76" t="n">
        <f aca="false">(Production!AJ41)*(1+Inputs!AK21)</f>
        <v>3.63780157623569</v>
      </c>
      <c r="AL41" s="76" t="n">
        <f aca="false">(Production!AK41)*(1+Inputs!AL21)</f>
        <v>3.63780157623569</v>
      </c>
      <c r="AM41" s="76" t="n">
        <f aca="false">(Production!AL41)*(1+Inputs!AM21)</f>
        <v>3.63780157623569</v>
      </c>
    </row>
    <row r="42" customFormat="false" ht="21" hidden="false" customHeight="true" outlineLevel="0" collapsed="false">
      <c r="C42" s="56" t="s">
        <v>241</v>
      </c>
      <c r="D42" s="76"/>
      <c r="E42" s="76"/>
      <c r="F42" s="76"/>
      <c r="G42" s="76"/>
      <c r="H42" s="76"/>
      <c r="I42" s="76"/>
      <c r="J42" s="76" t="n">
        <f aca="false">(SourceAnalysis!D29*SourceAnalysis!D15/(SourceDetail!E80/1000000)*1000000/SourceAnalysis!D16)*(1+Inputs!J22)</f>
        <v>0.373702788005834</v>
      </c>
      <c r="K42" s="76" t="n">
        <f aca="false">(Production!J42)*(1+Inputs!K22)</f>
        <v>0.373702788005834</v>
      </c>
      <c r="L42" s="76" t="n">
        <f aca="false">(Production!K42)*(1+Inputs!L22)</f>
        <v>0.373702788005834</v>
      </c>
      <c r="M42" s="76" t="n">
        <f aca="false">(Production!L42)*(1+Inputs!M22)</f>
        <v>0.373702788005834</v>
      </c>
      <c r="N42" s="76" t="n">
        <f aca="false">(Production!M42)*(1+Inputs!N22)</f>
        <v>0.373702788005834</v>
      </c>
      <c r="O42" s="76" t="n">
        <f aca="false">(Production!N42)*(1+Inputs!O22)</f>
        <v>0.373702788005834</v>
      </c>
      <c r="P42" s="76" t="n">
        <f aca="false">(Production!O42)*(1+Inputs!P22)</f>
        <v>0.381176843765951</v>
      </c>
      <c r="Q42" s="76" t="n">
        <f aca="false">(Production!P42)*(1+Inputs!Q22)</f>
        <v>0.381176843765951</v>
      </c>
      <c r="R42" s="76" t="n">
        <f aca="false">(Production!Q42)*(1+Inputs!R22)</f>
        <v>0.381176843765951</v>
      </c>
      <c r="S42" s="76" t="n">
        <f aca="false">(Production!R42)*(1+Inputs!S22)</f>
        <v>0.381176843765951</v>
      </c>
      <c r="T42" s="76" t="n">
        <f aca="false">(Production!S42)*(1+Inputs!T22)</f>
        <v>0.381176843765951</v>
      </c>
      <c r="U42" s="76" t="n">
        <f aca="false">(Production!T42)*(1+Inputs!U22)</f>
        <v>0.381176843765951</v>
      </c>
      <c r="V42" s="76" t="n">
        <f aca="false">(Production!U42)*(1+Inputs!V22)</f>
        <v>0.381176843765951</v>
      </c>
      <c r="W42" s="76" t="n">
        <f aca="false">(Production!V42)*(1+Inputs!W22)</f>
        <v>0.381176843765951</v>
      </c>
      <c r="X42" s="76" t="n">
        <f aca="false">(Production!W42)*(1+Inputs!X22)</f>
        <v>0.381176843765951</v>
      </c>
      <c r="Y42" s="76" t="n">
        <f aca="false">(Production!X42)*(1+Inputs!Y22)</f>
        <v>0.381176843765951</v>
      </c>
      <c r="Z42" s="76" t="n">
        <f aca="false">(Production!Y42)*(1+Inputs!Z22)</f>
        <v>0.381176843765951</v>
      </c>
      <c r="AA42" s="76" t="n">
        <f aca="false">(Production!Z42)*(1+Inputs!AA22)</f>
        <v>0.381176843765951</v>
      </c>
      <c r="AB42" s="76" t="n">
        <f aca="false">(Production!AA42)*(1+Inputs!AB22)</f>
        <v>0.38880038064127</v>
      </c>
      <c r="AC42" s="76" t="n">
        <f aca="false">(Production!AB42)*(1+Inputs!AC22)</f>
        <v>0.38880038064127</v>
      </c>
      <c r="AD42" s="76" t="n">
        <f aca="false">(Production!AC42)*(1+Inputs!AD22)</f>
        <v>0.38880038064127</v>
      </c>
      <c r="AE42" s="76" t="n">
        <f aca="false">(Production!AD42)*(1+Inputs!AE22)</f>
        <v>0.38880038064127</v>
      </c>
      <c r="AF42" s="76" t="n">
        <f aca="false">(Production!AE42)*(1+Inputs!AF22)</f>
        <v>0.38880038064127</v>
      </c>
      <c r="AG42" s="76" t="n">
        <f aca="false">(Production!AF42)*(1+Inputs!AG22)</f>
        <v>0.38880038064127</v>
      </c>
      <c r="AH42" s="76" t="n">
        <f aca="false">(Production!AG42)*(1+Inputs!AH22)</f>
        <v>0.38880038064127</v>
      </c>
      <c r="AI42" s="76" t="n">
        <f aca="false">(Production!AH42)*(1+Inputs!AI22)</f>
        <v>0.38880038064127</v>
      </c>
      <c r="AJ42" s="76" t="n">
        <f aca="false">(Production!AI42)*(1+Inputs!AJ22)</f>
        <v>0.38880038064127</v>
      </c>
      <c r="AK42" s="76" t="n">
        <f aca="false">(Production!AJ42)*(1+Inputs!AK22)</f>
        <v>0.38880038064127</v>
      </c>
      <c r="AL42" s="76" t="n">
        <f aca="false">(Production!AK42)*(1+Inputs!AL22)</f>
        <v>0.38880038064127</v>
      </c>
      <c r="AM42" s="76" t="n">
        <f aca="false">(Production!AL42)*(1+Inputs!AM22)</f>
        <v>0.38880038064127</v>
      </c>
    </row>
    <row r="43" customFormat="false" ht="21" hidden="false" customHeight="true" outlineLevel="0" collapsed="false">
      <c r="C43" s="56" t="s">
        <v>242</v>
      </c>
      <c r="D43" s="71"/>
      <c r="E43" s="71"/>
      <c r="F43" s="71"/>
      <c r="G43" s="71"/>
      <c r="H43" s="71"/>
      <c r="I43" s="71"/>
      <c r="J43" s="71" t="n">
        <f aca="false">J37*J41/1000000</f>
        <v>307.922929125073</v>
      </c>
      <c r="K43" s="71" t="n">
        <f aca="false">K37*K41/1000000</f>
        <v>309.783025408586</v>
      </c>
      <c r="L43" s="71" t="n">
        <f aca="false">L37*L41/1000000</f>
        <v>317.867590481009</v>
      </c>
      <c r="M43" s="71" t="n">
        <f aca="false">M37*M41/1000000</f>
        <v>301.698460336163</v>
      </c>
      <c r="N43" s="71" t="n">
        <f aca="false">N37*N41/1000000</f>
        <v>317.867590481009</v>
      </c>
      <c r="O43" s="71" t="n">
        <f aca="false">O37*O41/1000000</f>
        <v>301.698460336163</v>
      </c>
      <c r="P43" s="71" t="n">
        <f aca="false">P37*P41/1000000</f>
        <v>352.663518920009</v>
      </c>
      <c r="Q43" s="71" t="n">
        <f aca="false">Q37*Q41/1000000</f>
        <v>364.786137414948</v>
      </c>
      <c r="R43" s="71" t="n">
        <f aca="false">R37*R41/1000000</f>
        <v>308.32251996186</v>
      </c>
      <c r="S43" s="71" t="n">
        <f aca="false">S37*S41/1000000</f>
        <v>345.337558069995</v>
      </c>
      <c r="T43" s="71" t="n">
        <f aca="false">T37*T41/1000000</f>
        <v>327.771099306812</v>
      </c>
      <c r="U43" s="71" t="n">
        <f aca="false">U37*U41/1000000</f>
        <v>345.337558069995</v>
      </c>
      <c r="V43" s="71" t="n">
        <f aca="false">V37*V41/1000000</f>
        <v>307.987257617548</v>
      </c>
      <c r="W43" s="71" t="n">
        <f aca="false">W37*W41/1000000</f>
        <v>325.45804649426</v>
      </c>
      <c r="X43" s="71" t="n">
        <f aca="false">X37*X41/1000000</f>
        <v>333.951690559348</v>
      </c>
      <c r="Y43" s="71" t="n">
        <f aca="false">Y37*Y41/1000000</f>
        <v>316.964402429173</v>
      </c>
      <c r="Z43" s="71" t="n">
        <f aca="false">Z37*Z41/1000000</f>
        <v>333.951690559348</v>
      </c>
      <c r="AA43" s="71" t="n">
        <f aca="false">AA37*AA41/1000000</f>
        <v>316.964402429173</v>
      </c>
      <c r="AB43" s="71" t="n">
        <f aca="false">AB37*AB41/1000000</f>
        <v>370.508292977361</v>
      </c>
      <c r="AC43" s="71" t="n">
        <f aca="false">AC37*AC41/1000000</f>
        <v>372.67568969583</v>
      </c>
      <c r="AD43" s="71" t="n">
        <f aca="false">AD37*AD41/1000000</f>
        <v>334.492265744244</v>
      </c>
      <c r="AE43" s="71" t="n">
        <f aca="false">AE37*AE41/1000000</f>
        <v>362.811638508337</v>
      </c>
      <c r="AF43" s="71" t="n">
        <f aca="false">AF37*AF41/1000000</f>
        <v>344.356316931737</v>
      </c>
      <c r="AG43" s="71" t="n">
        <f aca="false">AG37*AG41/1000000</f>
        <v>362.811638508337</v>
      </c>
      <c r="AH43" s="71" t="n">
        <f aca="false">AH37*AH41/1000000</f>
        <v>323.571412852996</v>
      </c>
      <c r="AI43" s="71" t="n">
        <f aca="false">AI37*AI41/1000000</f>
        <v>341.92622364687</v>
      </c>
      <c r="AJ43" s="71" t="n">
        <f aca="false">AJ37*AJ41/1000000</f>
        <v>350.849646101651</v>
      </c>
      <c r="AK43" s="71" t="n">
        <f aca="false">AK37*AK41/1000000</f>
        <v>333.002801192089</v>
      </c>
      <c r="AL43" s="71" t="n">
        <f aca="false">AL37*AL41/1000000</f>
        <v>350.849646101651</v>
      </c>
      <c r="AM43" s="71" t="n">
        <f aca="false">AM37*AM41/1000000</f>
        <v>333.002801192089</v>
      </c>
    </row>
    <row r="44" customFormat="false" ht="21" hidden="false" customHeight="true" outlineLevel="0" collapsed="false">
      <c r="C44" s="56" t="s">
        <v>243</v>
      </c>
      <c r="D44" s="69"/>
      <c r="E44" s="69"/>
      <c r="F44" s="69"/>
      <c r="G44" s="69"/>
      <c r="H44" s="69"/>
      <c r="I44" s="69"/>
      <c r="J44" s="69" t="n">
        <f aca="false">Payroll!J16*IF(Production!J84&gt;0,J37*SourceAnalysis!D15/SourceAnalysis!D16/Production!J84,0)</f>
        <v>22.2443316920419</v>
      </c>
      <c r="K44" s="69" t="n">
        <f aca="false">Payroll!K16*IF(Production!K84&gt;0,K37*SourceAnalysis!D15/SourceAnalysis!D16/Production!K84,0)</f>
        <v>22.4154714023401</v>
      </c>
      <c r="L44" s="69" t="n">
        <f aca="false">Payroll!L16*IF(Production!L84&gt;0,L37*SourceAnalysis!D15/SourceAnalysis!D16/Production!L84,0)</f>
        <v>22.4093715039743</v>
      </c>
      <c r="M44" s="69" t="n">
        <f aca="false">Payroll!M16*IF(Production!M84&gt;0,M37*SourceAnalysis!D15/SourceAnalysis!D16/Production!M84,0)</f>
        <v>22.4219018102786</v>
      </c>
      <c r="N44" s="69" t="n">
        <f aca="false">Payroll!N16*IF(Production!N84&gt;0,N37*SourceAnalysis!D15/SourceAnalysis!D16/Production!N84,0)</f>
        <v>22.4093715039743</v>
      </c>
      <c r="O44" s="69" t="n">
        <f aca="false">Payroll!O16*IF(Production!O84&gt;0,O37*SourceAnalysis!D15/SourceAnalysis!D16/Production!O84,0)</f>
        <v>22.4219018102786</v>
      </c>
      <c r="P44" s="69" t="n">
        <f aca="false">Payroll!P16*IF(Production!P84&gt;0,P37*SourceAnalysis!D15/SourceAnalysis!D16/Production!P84,0)</f>
        <v>23.076654000882</v>
      </c>
      <c r="Q44" s="69" t="n">
        <f aca="false">Payroll!Q16*IF(Production!Q84&gt;0,Q37*SourceAnalysis!D15/SourceAnalysis!D16/Production!Q84,0)</f>
        <v>23.0688278443009</v>
      </c>
      <c r="R44" s="69" t="n">
        <f aca="false">Payroll!R16*IF(Production!R84&gt;0,R37*SourceAnalysis!D15/SourceAnalysis!D16/Production!R84,0)</f>
        <v>23.1105833889993</v>
      </c>
      <c r="S44" s="69" t="n">
        <f aca="false">Payroll!S16*IF(Production!S84&gt;0,S37*SourceAnalysis!D15/SourceAnalysis!D16/Production!S84,0)</f>
        <v>23.0816526490936</v>
      </c>
      <c r="T44" s="69" t="n">
        <f aca="false">Payroll!T16*IF(Production!T84&gt;0,T37*SourceAnalysis!D15/SourceAnalysis!D16/Production!T84,0)</f>
        <v>23.0945588645869</v>
      </c>
      <c r="U44" s="69" t="n">
        <f aca="false">Payroll!U16*IF(Production!U84&gt;0,U37*SourceAnalysis!D15/SourceAnalysis!D16/Production!U84,0)</f>
        <v>23.0816526490936</v>
      </c>
      <c r="V44" s="69" t="n">
        <f aca="false">Payroll!V16*IF(Production!V84&gt;0,V37*SourceAnalysis!D15/SourceAnalysis!D16/Production!V84,0)</f>
        <v>22.793482071337</v>
      </c>
      <c r="W44" s="69" t="n">
        <f aca="false">Payroll!W16*IF(Production!W84&gt;0,W37*SourceAnalysis!D15/SourceAnalysis!D16/Production!W84,0)</f>
        <v>22.9990467545985</v>
      </c>
      <c r="X44" s="69" t="n">
        <f aca="false">Payroll!X16*IF(Production!X84&gt;0,X37*SourceAnalysis!D15/SourceAnalysis!D16/Production!X84,0)</f>
        <v>22.9884178579814</v>
      </c>
      <c r="Y44" s="69" t="n">
        <f aca="false">Payroll!Y16*IF(Production!Y84&gt;0,Y37*SourceAnalysis!D15/SourceAnalysis!D16/Production!Y84,0)</f>
        <v>23.01025593104</v>
      </c>
      <c r="Z44" s="69" t="n">
        <f aca="false">Payroll!Z16*IF(Production!Z84&gt;0,Z37*SourceAnalysis!D15/SourceAnalysis!D16/Production!Z84,0)</f>
        <v>22.9884178579814</v>
      </c>
      <c r="AA44" s="69" t="n">
        <f aca="false">Payroll!AA16*IF(Production!AA84&gt;0,AA37*SourceAnalysis!D15/SourceAnalysis!D16/Production!AA84,0)</f>
        <v>23.01025593104</v>
      </c>
      <c r="AB44" s="69" t="n">
        <f aca="false">Payroll!AB16*IF(Production!AB84&gt;0,AB37*SourceAnalysis!D15/SourceAnalysis!D16/Production!AB84,0)</f>
        <v>23.6693633658162</v>
      </c>
      <c r="AC44" s="69" t="n">
        <f aca="false">Payroll!AC16*IF(Production!AC84&gt;0,AC37*SourceAnalysis!D15/SourceAnalysis!D16/Production!AC84,0)</f>
        <v>23.6669774616582</v>
      </c>
      <c r="AD44" s="69" t="n">
        <f aca="false">Payroll!AD16*IF(Production!AD84&gt;0,AD37*SourceAnalysis!D15/SourceAnalysis!D16/Production!AD84,0)</f>
        <v>23.7136232722105</v>
      </c>
      <c r="AE44" s="69" t="n">
        <f aca="false">Payroll!AE16*IF(Production!AE84&gt;0,AE37*SourceAnalysis!D15/SourceAnalysis!D16/Production!AE84,0)</f>
        <v>23.6780703937209</v>
      </c>
      <c r="AF44" s="69" t="n">
        <f aca="false">Payroll!AF16*IF(Production!AF84&gt;0,AF37*SourceAnalysis!D15/SourceAnalysis!D16/Production!AF84,0)</f>
        <v>23.7005636089712</v>
      </c>
      <c r="AG44" s="69" t="n">
        <f aca="false">Payroll!AG16*IF(Production!AG84&gt;0,AG37*SourceAnalysis!D15/SourceAnalysis!D16/Production!AG84,0)</f>
        <v>23.6780703937209</v>
      </c>
      <c r="AH44" s="69" t="n">
        <f aca="false">Payroll!AH16*IF(Production!AH84&gt;0,AH37*SourceAnalysis!D15/SourceAnalysis!D16/Production!AH84,0)</f>
        <v>23.3388945260384</v>
      </c>
      <c r="AI44" s="69" t="n">
        <f aca="false">Payroll!AI16*IF(Production!AI84&gt;0,AI37*SourceAnalysis!D15/SourceAnalysis!D16/Production!AI84,0)</f>
        <v>23.5746644121048</v>
      </c>
      <c r="AJ44" s="69" t="n">
        <f aca="false">Payroll!AJ16*IF(Production!AJ84&gt;0,AJ37*SourceAnalysis!D15/SourceAnalysis!D16/Production!AJ84,0)</f>
        <v>23.5588556177456</v>
      </c>
      <c r="AK44" s="69" t="n">
        <f aca="false">Payroll!AK16*IF(Production!AK84&gt;0,AK37*SourceAnalysis!D15/SourceAnalysis!D16/Production!AK84,0)</f>
        <v>23.59134342669</v>
      </c>
      <c r="AL44" s="69" t="n">
        <f aca="false">Payroll!AL16*IF(Production!AL84&gt;0,AL37*SourceAnalysis!D15/SourceAnalysis!D16/Production!AL84,0)</f>
        <v>23.5588556177456</v>
      </c>
      <c r="AM44" s="69" t="n">
        <f aca="false">Payroll!AM16*IF(Production!AM84&gt;0,AM37*SourceAnalysis!D15/SourceAnalysis!D16/Production!AM84,0)</f>
        <v>23.59134342669</v>
      </c>
    </row>
    <row r="45" customFormat="false" ht="21" hidden="false" customHeight="true" outlineLevel="0" collapsed="false">
      <c r="C45" s="56" t="s">
        <v>244</v>
      </c>
      <c r="D45" s="71"/>
      <c r="E45" s="71"/>
      <c r="F45" s="71"/>
      <c r="G45" s="71"/>
      <c r="H45" s="71"/>
      <c r="I45" s="71"/>
      <c r="J45" s="71" t="n">
        <f aca="false">J37*J42/1000000</f>
        <v>32.9101380443865</v>
      </c>
      <c r="K45" s="71" t="n">
        <f aca="false">K37*K42/1000000</f>
        <v>33.1089411203386</v>
      </c>
      <c r="L45" s="71" t="n">
        <f aca="false">L37*L42/1000000</f>
        <v>33.9730019855631</v>
      </c>
      <c r="M45" s="71" t="n">
        <f aca="false">M37*M42/1000000</f>
        <v>32.2448802551142</v>
      </c>
      <c r="N45" s="71" t="n">
        <f aca="false">N37*N42/1000000</f>
        <v>33.9730019855631</v>
      </c>
      <c r="O45" s="71" t="n">
        <f aca="false">O37*O42/1000000</f>
        <v>32.2448802551142</v>
      </c>
      <c r="P45" s="71" t="n">
        <f aca="false">P37*P42/1000000</f>
        <v>37.6919157136309</v>
      </c>
      <c r="Q45" s="71" t="n">
        <f aca="false">Q37*Q42/1000000</f>
        <v>38.987555012924</v>
      </c>
      <c r="R45" s="71" t="n">
        <f aca="false">R37*R42/1000000</f>
        <v>32.9528454505458</v>
      </c>
      <c r="S45" s="71" t="n">
        <f aca="false">S37*S42/1000000</f>
        <v>36.908932830327</v>
      </c>
      <c r="T45" s="71" t="n">
        <f aca="false">T37*T42/1000000</f>
        <v>35.0314676331427</v>
      </c>
      <c r="U45" s="71" t="n">
        <f aca="false">U37*U42/1000000</f>
        <v>36.908932830327</v>
      </c>
      <c r="V45" s="71" t="n">
        <f aca="false">V37*V42/1000000</f>
        <v>32.9170133348157</v>
      </c>
      <c r="W45" s="71" t="n">
        <f aca="false">W37*W42/1000000</f>
        <v>34.7842535410278</v>
      </c>
      <c r="X45" s="71" t="n">
        <f aca="false">X37*X42/1000000</f>
        <v>35.6920358860326</v>
      </c>
      <c r="Y45" s="71" t="n">
        <f aca="false">Y37*Y42/1000000</f>
        <v>33.8764711960229</v>
      </c>
      <c r="Z45" s="71" t="n">
        <f aca="false">Z37*Z42/1000000</f>
        <v>35.6920358860326</v>
      </c>
      <c r="AA45" s="71" t="n">
        <f aca="false">AA37*AA42/1000000</f>
        <v>33.8764711960229</v>
      </c>
      <c r="AB45" s="71" t="n">
        <f aca="false">AB37*AB42/1000000</f>
        <v>39.5991266487406</v>
      </c>
      <c r="AC45" s="71" t="n">
        <f aca="false">AC37*AC42/1000000</f>
        <v>39.830773331904</v>
      </c>
      <c r="AD45" s="71" t="n">
        <f aca="false">AD37*AD42/1000000</f>
        <v>35.7498113950174</v>
      </c>
      <c r="AE45" s="71" t="n">
        <f aca="false">AE37*AE42/1000000</f>
        <v>38.7765248315416</v>
      </c>
      <c r="AF45" s="71" t="n">
        <f aca="false">AF37*AF42/1000000</f>
        <v>36.8040598953798</v>
      </c>
      <c r="AG45" s="71" t="n">
        <f aca="false">AG37*AG42/1000000</f>
        <v>38.7765248315416</v>
      </c>
      <c r="AH45" s="71" t="n">
        <f aca="false">AH37*AH42/1000000</f>
        <v>34.5826142095574</v>
      </c>
      <c r="AI45" s="71" t="n">
        <f aca="false">AI37*AI42/1000000</f>
        <v>36.5443367702038</v>
      </c>
      <c r="AJ45" s="71" t="n">
        <f aca="false">AJ37*AJ42/1000000</f>
        <v>37.4980529018659</v>
      </c>
      <c r="AK45" s="71" t="n">
        <f aca="false">AK37*AK42/1000000</f>
        <v>35.5906206385417</v>
      </c>
      <c r="AL45" s="71" t="n">
        <f aca="false">AL37*AL42/1000000</f>
        <v>37.4980529018659</v>
      </c>
      <c r="AM45" s="71" t="n">
        <f aca="false">AM37*AM42/1000000</f>
        <v>35.5906206385417</v>
      </c>
    </row>
    <row r="46" customFormat="false" ht="21" hidden="false" customHeight="true" outlineLevel="0" collapsed="false">
      <c r="C46" s="56" t="s">
        <v>245</v>
      </c>
      <c r="D46" s="69"/>
      <c r="E46" s="69"/>
      <c r="F46" s="69"/>
      <c r="G46" s="69"/>
      <c r="H46" s="69"/>
      <c r="I46" s="69"/>
      <c r="J46" s="69" t="n">
        <f aca="false">Assets!J100*SourceAnalysis!D28*IF(Production!J84&gt;0,J37*SourceAnalysis!D15/SourceAnalysis!D16/Production!J84,0)</f>
        <v>7.79350168316329</v>
      </c>
      <c r="K46" s="69" t="n">
        <f aca="false">Assets!K100*SourceAnalysis!D28*IF(Production!K84&gt;0,K37*SourceAnalysis!D15/SourceAnalysis!D16/Production!K84,0)</f>
        <v>7.91632584464165</v>
      </c>
      <c r="L46" s="69" t="n">
        <f aca="false">Assets!L100*SourceAnalysis!D28*IF(Production!L84&gt;0,L37*SourceAnalysis!D15/SourceAnalysis!D16/Production!L84,0)</f>
        <v>7.97701830092581</v>
      </c>
      <c r="M46" s="69" t="n">
        <f aca="false">Assets!M100*SourceAnalysis!D28*IF(Production!M84&gt;0,M37*SourceAnalysis!D15/SourceAnalysis!D16/Production!M84,0)</f>
        <v>8.04436054716984</v>
      </c>
      <c r="N46" s="69" t="n">
        <f aca="false">Assets!N100*SourceAnalysis!D28*IF(Production!N84&gt;0,N37*SourceAnalysis!D15/SourceAnalysis!D16/Production!N84,0)</f>
        <v>8.10271173614044</v>
      </c>
      <c r="O46" s="69" t="n">
        <f aca="false">Assets!O100*SourceAnalysis!D28*IF(Production!O84&gt;0,O37*SourceAnalysis!D15/SourceAnalysis!D16/Production!O84,0)</f>
        <v>8.1701242644646</v>
      </c>
      <c r="P46" s="69" t="n">
        <f aca="false">Assets!P100*SourceAnalysis!D28*IF(Production!P84&gt;0,P37*SourceAnalysis!D15/SourceAnalysis!D16/Production!P84,0)</f>
        <v>8.22662319744623</v>
      </c>
      <c r="Q46" s="69" t="n">
        <f aca="false">Assets!Q100*SourceAnalysis!D28*IF(Production!Q84&gt;0,Q37*SourceAnalysis!D15/SourceAnalysis!D16/Production!Q84,0)</f>
        <v>8.28978562993737</v>
      </c>
      <c r="R46" s="69" t="n">
        <f aca="false">Assets!R100*SourceAnalysis!D28*IF(Production!R84&gt;0,R37*SourceAnalysis!D15/SourceAnalysis!D16/Production!R84,0)</f>
        <v>8.37086225389667</v>
      </c>
      <c r="S46" s="69" t="n">
        <f aca="false">Assets!S100*SourceAnalysis!D28*IF(Production!S84&gt;0,S37*SourceAnalysis!D15/SourceAnalysis!D16/Production!S84,0)</f>
        <v>8.42637233181813</v>
      </c>
      <c r="T46" s="69" t="n">
        <f aca="false">Assets!T100*SourceAnalysis!D28*IF(Production!T84&gt;0,T37*SourceAnalysis!D15/SourceAnalysis!D16/Production!T84,0)</f>
        <v>8.49710992943099</v>
      </c>
      <c r="U46" s="69" t="n">
        <f aca="false">Assets!U100*SourceAnalysis!D28*IF(Production!U84&gt;0,U37*SourceAnalysis!D15/SourceAnalysis!D16/Production!U84,0)</f>
        <v>8.5583504387935</v>
      </c>
      <c r="V46" s="69" t="n">
        <f aca="false">Assets!V100*SourceAnalysis!D28*IF(Production!V84&gt;0,V37*SourceAnalysis!D15/SourceAnalysis!D16/Production!V84,0)</f>
        <v>8.51666605433274</v>
      </c>
      <c r="W46" s="69" t="n">
        <f aca="false">Assets!W100*SourceAnalysis!D28*IF(Production!W84&gt;0,W37*SourceAnalysis!D15/SourceAnalysis!D16/Production!W84,0)</f>
        <v>8.65922711755258</v>
      </c>
      <c r="X46" s="69" t="n">
        <f aca="false">Assets!X100*SourceAnalysis!D28*IF(Production!X84&gt;0,X37*SourceAnalysis!D15/SourceAnalysis!D16/Production!X84,0)</f>
        <v>8.35230796139632</v>
      </c>
      <c r="Y46" s="69" t="n">
        <f aca="false">Assets!Y100*SourceAnalysis!D28*IF(Production!Y84&gt;0,Y37*SourceAnalysis!D15/SourceAnalysis!D16/Production!Y84,0)</f>
        <v>8.42119354908376</v>
      </c>
      <c r="Z46" s="69" t="n">
        <f aca="false">Assets!Z100*SourceAnalysis!D28*IF(Production!Z84&gt;0,Z37*SourceAnalysis!D15/SourceAnalysis!D16/Production!Z84,0)</f>
        <v>8.47892384677281</v>
      </c>
      <c r="AA46" s="69" t="n">
        <f aca="false">Assets!AA100*SourceAnalysis!D28*IF(Production!AA84&gt;0,AA37*SourceAnalysis!D15/SourceAnalysis!D16/Production!AA84,0)</f>
        <v>8.55276341823334</v>
      </c>
      <c r="AB46" s="69" t="n">
        <f aca="false">Assets!AB100*SourceAnalysis!D28*IF(Production!AB84&gt;0,AB37*SourceAnalysis!D15/SourceAnalysis!D16/Production!AB84,0)</f>
        <v>8.60720259712537</v>
      </c>
      <c r="AC46" s="69" t="n">
        <f aca="false">Assets!AC100*SourceAnalysis!D28*IF(Production!AC84&gt;0,AC37*SourceAnalysis!D15/SourceAnalysis!D16/Production!AC84,0)</f>
        <v>8.67531127539881</v>
      </c>
      <c r="AD46" s="69" t="n">
        <f aca="false">Assets!AD100*SourceAnalysis!D28*IF(Production!AD84&gt;0,AD37*SourceAnalysis!D15/SourceAnalysis!D16/Production!AD84,0)</f>
        <v>8.7615218964564</v>
      </c>
      <c r="AE46" s="69" t="n">
        <f aca="false">Assets!AE100*SourceAnalysis!D28*IF(Production!AE84&gt;0,AE37*SourceAnalysis!D15/SourceAnalysis!D16/Production!AE84,0)</f>
        <v>8.81739472610081</v>
      </c>
      <c r="AF46" s="69" t="n">
        <f aca="false">Assets!AF100*SourceAnalysis!D28*IF(Production!AF84&gt;0,AF37*SourceAnalysis!D15/SourceAnalysis!D16/Production!AF84,0)</f>
        <v>8.89484507802226</v>
      </c>
      <c r="AG46" s="69" t="n">
        <f aca="false">Assets!AG100*SourceAnalysis!D28*IF(Production!AG84&gt;0,AG37*SourceAnalysis!D15/SourceAnalysis!D16/Production!AG84,0)</f>
        <v>8.95541197786562</v>
      </c>
      <c r="AH46" s="69" t="n">
        <f aca="false">Assets!AH100*SourceAnalysis!D28*IF(Production!AH84&gt;0,AH37*SourceAnalysis!D15/SourceAnalysis!D16/Production!AH84,0)</f>
        <v>8.89515053918146</v>
      </c>
      <c r="AI46" s="69" t="n">
        <f aca="false">Assets!AI100*SourceAnalysis!D28*IF(Production!AI84&gt;0,AI37*SourceAnalysis!D15/SourceAnalysis!D16/Production!AI84,0)</f>
        <v>9.05371674630258</v>
      </c>
      <c r="AJ46" s="69" t="n">
        <f aca="false">Assets!AJ100*SourceAnalysis!D28*IF(Production!AJ84&gt;0,AJ37*SourceAnalysis!D15/SourceAnalysis!D16/Production!AJ84,0)</f>
        <v>9.11630664810574</v>
      </c>
      <c r="AK46" s="69" t="n">
        <f aca="false">Assets!AK100*SourceAnalysis!D28*IF(Production!AK84&gt;0,AK37*SourceAnalysis!D15/SourceAnalysis!D16/Production!AK84,0)</f>
        <v>9.19763395607851</v>
      </c>
      <c r="AL46" s="69" t="n">
        <f aca="false">Assets!AL100*SourceAnalysis!D28*IF(Production!AL84&gt;0,AL37*SourceAnalysis!D15/SourceAnalysis!D16/Production!AL84,0)</f>
        <v>9.25362900812151</v>
      </c>
      <c r="AM46" s="69" t="n">
        <f aca="false">Assets!AM100*SourceAnalysis!D28*IF(Production!AM84&gt;0,AM37*SourceAnalysis!D15/SourceAnalysis!D16/Production!AM84,0)</f>
        <v>9.33514568448587</v>
      </c>
    </row>
    <row r="47" customFormat="false" ht="21" hidden="false" customHeight="true" outlineLevel="0" collapsed="false">
      <c r="C47" s="56" t="s">
        <v>246</v>
      </c>
      <c r="D47" s="71"/>
      <c r="E47" s="71"/>
      <c r="F47" s="71"/>
      <c r="G47" s="71"/>
      <c r="H47" s="71"/>
      <c r="I47" s="71"/>
      <c r="J47" s="71" t="n">
        <f aca="false">SUM(J43:J46)</f>
        <v>370.870900544665</v>
      </c>
      <c r="K47" s="71" t="n">
        <f aca="false">SUM(K43:K46)</f>
        <v>373.223763775906</v>
      </c>
      <c r="L47" s="71" t="n">
        <f aca="false">SUM(L43:L46)</f>
        <v>382.226982271472</v>
      </c>
      <c r="M47" s="71" t="n">
        <f aca="false">SUM(M43:M46)</f>
        <v>364.409602948726</v>
      </c>
      <c r="N47" s="71" t="n">
        <f aca="false">SUM(N43:N46)</f>
        <v>382.352675706687</v>
      </c>
      <c r="O47" s="71" t="n">
        <f aca="false">SUM(O43:O46)</f>
        <v>364.535366666021</v>
      </c>
      <c r="P47" s="71" t="n">
        <f aca="false">SUM(P43:P46)</f>
        <v>421.658711831968</v>
      </c>
      <c r="Q47" s="71" t="n">
        <f aca="false">SUM(Q43:Q46)</f>
        <v>435.13230590211</v>
      </c>
      <c r="R47" s="71" t="n">
        <f aca="false">SUM(R43:R46)</f>
        <v>372.756811055301</v>
      </c>
      <c r="S47" s="71" t="n">
        <f aca="false">SUM(S43:S46)</f>
        <v>413.754515881234</v>
      </c>
      <c r="T47" s="71" t="n">
        <f aca="false">SUM(T43:T46)</f>
        <v>394.394235733973</v>
      </c>
      <c r="U47" s="71" t="n">
        <f aca="false">SUM(U43:U46)</f>
        <v>413.886493988209</v>
      </c>
      <c r="V47" s="71" t="n">
        <f aca="false">SUM(V43:V46)</f>
        <v>372.214419078034</v>
      </c>
      <c r="W47" s="71" t="n">
        <f aca="false">SUM(W43:W46)</f>
        <v>391.900573907439</v>
      </c>
      <c r="X47" s="71" t="n">
        <f aca="false">SUM(X43:X46)</f>
        <v>400.984452264758</v>
      </c>
      <c r="Y47" s="71" t="n">
        <f aca="false">SUM(Y43:Y46)</f>
        <v>382.27232310532</v>
      </c>
      <c r="Z47" s="71" t="n">
        <f aca="false">SUM(Z43:Z46)</f>
        <v>401.111068150135</v>
      </c>
      <c r="AA47" s="71" t="n">
        <f aca="false">SUM(AA43:AA46)</f>
        <v>382.403892974469</v>
      </c>
      <c r="AB47" s="71" t="n">
        <f aca="false">SUM(AB43:AB46)</f>
        <v>442.383985589043</v>
      </c>
      <c r="AC47" s="71" t="n">
        <f aca="false">SUM(AC43:AC46)</f>
        <v>444.848751764791</v>
      </c>
      <c r="AD47" s="71" t="n">
        <f aca="false">SUM(AD43:AD46)</f>
        <v>402.717222307928</v>
      </c>
      <c r="AE47" s="71" t="n">
        <f aca="false">SUM(AE43:AE46)</f>
        <v>434.0836284597</v>
      </c>
      <c r="AF47" s="71" t="n">
        <f aca="false">SUM(AF43:AF46)</f>
        <v>413.75578551411</v>
      </c>
      <c r="AG47" s="71" t="n">
        <f aca="false">SUM(AG43:AG46)</f>
        <v>434.221645711465</v>
      </c>
      <c r="AH47" s="71" t="n">
        <f aca="false">SUM(AH43:AH46)</f>
        <v>390.388072127773</v>
      </c>
      <c r="AI47" s="71" t="n">
        <f aca="false">SUM(AI43:AI46)</f>
        <v>411.098941575481</v>
      </c>
      <c r="AJ47" s="71" t="n">
        <f aca="false">SUM(AJ43:AJ46)</f>
        <v>421.022861269368</v>
      </c>
      <c r="AK47" s="71" t="n">
        <f aca="false">SUM(AK43:AK46)</f>
        <v>401.382399213399</v>
      </c>
      <c r="AL47" s="71" t="n">
        <f aca="false">SUM(AL43:AL46)</f>
        <v>421.160183629384</v>
      </c>
      <c r="AM47" s="71" t="n">
        <f aca="false">SUM(AM43:AM46)</f>
        <v>401.519910941807</v>
      </c>
    </row>
    <row r="48" customFormat="false" ht="21" hidden="false" customHeight="true" outlineLevel="0" collapsed="false">
      <c r="C48" s="56" t="s">
        <v>247</v>
      </c>
      <c r="D48" s="69"/>
      <c r="E48" s="69"/>
      <c r="F48" s="69"/>
      <c r="G48" s="69"/>
      <c r="H48" s="69"/>
      <c r="I48" s="69"/>
      <c r="J48" s="69" t="n">
        <f aca="false">H1Data!D63*(SourceAnalysis!D17*SourceAnalysis!D15/SourceAnalysis!D16)/(SourceAnalysis!D12*SourceAnalysis!D10/SourceAnalysis!D11+SourceAnalysis!D17*SourceAnalysis!D15/SourceAnalysis!D16+SourceAnalysis!D22*SourceAnalysis!D20/SourceAnalysis!D21)</f>
        <v>425.309214864435</v>
      </c>
      <c r="K48" s="69" t="n">
        <f aca="false">Production!J52</f>
        <v>349.621788835995</v>
      </c>
      <c r="L48" s="69" t="n">
        <f aca="false">Production!K52</f>
        <v>317.418823034108</v>
      </c>
      <c r="M48" s="69" t="n">
        <f aca="false">Production!L52</f>
        <v>312.892348141113</v>
      </c>
      <c r="N48" s="69" t="n">
        <f aca="false">Production!M52</f>
        <v>297.419535026274</v>
      </c>
      <c r="O48" s="69" t="n">
        <f aca="false">Production!N52</f>
        <v>304.00457146229</v>
      </c>
      <c r="P48" s="69" t="n">
        <f aca="false">Production!O52</f>
        <v>293.571924936389</v>
      </c>
      <c r="Q48" s="69" t="n">
        <f aca="false">Production!P52</f>
        <v>314.0749308073</v>
      </c>
      <c r="R48" s="69" t="n">
        <f aca="false">Production!Q52</f>
        <v>347.877054245359</v>
      </c>
      <c r="S48" s="69" t="n">
        <f aca="false">Production!R52</f>
        <v>316.447618077922</v>
      </c>
      <c r="T48" s="69" t="n">
        <f aca="false">Production!S52</f>
        <v>326.557607548783</v>
      </c>
      <c r="U48" s="69" t="n">
        <f aca="false">Production!T52</f>
        <v>316.587249838072</v>
      </c>
      <c r="V48" s="69" t="n">
        <f aca="false">Production!U52</f>
        <v>326.679075652299</v>
      </c>
      <c r="W48" s="69" t="n">
        <f aca="false">Production!V52</f>
        <v>306.900899814492</v>
      </c>
      <c r="X48" s="69" t="n">
        <f aca="false">Production!W52</f>
        <v>306.860491182143</v>
      </c>
      <c r="Y48" s="69" t="n">
        <f aca="false">Production!X52</f>
        <v>316.559128626777</v>
      </c>
      <c r="Z48" s="69" t="n">
        <f aca="false">Production!Y52</f>
        <v>306.873655245571</v>
      </c>
      <c r="AA48" s="69" t="n">
        <f aca="false">Production!Z52</f>
        <v>316.621640366393</v>
      </c>
      <c r="AB48" s="69" t="n">
        <f aca="false">Production!AA52</f>
        <v>306.958881135949</v>
      </c>
      <c r="AC48" s="69" t="n">
        <f aca="false">Production!AB52</f>
        <v>329.054429325038</v>
      </c>
      <c r="AD48" s="69" t="n">
        <f aca="false">Production!AC52</f>
        <v>352.598419978968</v>
      </c>
      <c r="AE48" s="69" t="n">
        <f aca="false">Production!AD52</f>
        <v>331.677218359648</v>
      </c>
      <c r="AF48" s="69" t="n">
        <f aca="false">Production!AE52</f>
        <v>342.460009992033</v>
      </c>
      <c r="AG48" s="69" t="n">
        <f aca="false">Production!AF52</f>
        <v>332.072497232667</v>
      </c>
      <c r="AH48" s="69" t="n">
        <f aca="false">Production!AG52</f>
        <v>342.698508208521</v>
      </c>
      <c r="AI48" s="69" t="n">
        <f aca="false">Production!AH52</f>
        <v>321.915903987557</v>
      </c>
      <c r="AJ48" s="69" t="n">
        <f aca="false">Production!AI52</f>
        <v>321.884403527721</v>
      </c>
      <c r="AK48" s="69" t="n">
        <f aca="false">Production!AJ52</f>
        <v>332.23953716399</v>
      </c>
      <c r="AL48" s="69" t="n">
        <f aca="false">Production!AK52</f>
        <v>322.150991668258</v>
      </c>
      <c r="AM48" s="69" t="n">
        <f aca="false">Production!AL52</f>
        <v>332.42017214243</v>
      </c>
    </row>
    <row r="49" customFormat="false" ht="21" hidden="false" customHeight="true" outlineLevel="0" collapsed="false">
      <c r="C49" s="56" t="s">
        <v>248</v>
      </c>
      <c r="D49" s="69"/>
      <c r="E49" s="69"/>
      <c r="F49" s="69"/>
      <c r="G49" s="69"/>
      <c r="H49" s="69"/>
      <c r="I49" s="69"/>
      <c r="J49" s="69" t="n">
        <f aca="false">Inventory!J18*IF(Production!J84&gt;0,J37*SourceAnalysis!D15/SourceAnalysis!D16/Production!J84,0)</f>
        <v>0</v>
      </c>
      <c r="K49" s="69" t="n">
        <f aca="false">Inventory!K18*IF(Production!K84&gt;0,K37*SourceAnalysis!D15/SourceAnalysis!D16/Production!K84,0)</f>
        <v>0</v>
      </c>
      <c r="L49" s="69" t="n">
        <f aca="false">Inventory!L18*IF(Production!L84&gt;0,L37*SourceAnalysis!D15/SourceAnalysis!D16/Production!L84,0)</f>
        <v>0</v>
      </c>
      <c r="M49" s="69" t="n">
        <f aca="false">Inventory!M18*IF(Production!M84&gt;0,M37*SourceAnalysis!D15/SourceAnalysis!D16/Production!M84,0)</f>
        <v>0</v>
      </c>
      <c r="N49" s="69" t="n">
        <f aca="false">Inventory!N18*IF(Production!N84&gt;0,N37*SourceAnalysis!D15/SourceAnalysis!D16/Production!N84,0)</f>
        <v>0</v>
      </c>
      <c r="O49" s="69" t="n">
        <f aca="false">Inventory!O18*IF(Production!O84&gt;0,O37*SourceAnalysis!D15/SourceAnalysis!D16/Production!O84,0)</f>
        <v>0</v>
      </c>
      <c r="P49" s="69" t="n">
        <f aca="false">Inventory!P18*IF(Production!P84&gt;0,P37*SourceAnalysis!D15/SourceAnalysis!D16/Production!P84,0)</f>
        <v>0</v>
      </c>
      <c r="Q49" s="69" t="n">
        <f aca="false">Inventory!Q18*IF(Production!Q84&gt;0,Q37*SourceAnalysis!D15/SourceAnalysis!D16/Production!Q84,0)</f>
        <v>0</v>
      </c>
      <c r="R49" s="69" t="n">
        <f aca="false">Inventory!R18*IF(Production!R84&gt;0,R37*SourceAnalysis!D15/SourceAnalysis!D16/Production!R84,0)</f>
        <v>0</v>
      </c>
      <c r="S49" s="69" t="n">
        <f aca="false">Inventory!S18*IF(Production!S84&gt;0,S37*SourceAnalysis!D15/SourceAnalysis!D16/Production!S84,0)</f>
        <v>0</v>
      </c>
      <c r="T49" s="69" t="n">
        <f aca="false">Inventory!T18*IF(Production!T84&gt;0,T37*SourceAnalysis!D15/SourceAnalysis!D16/Production!T84,0)</f>
        <v>0</v>
      </c>
      <c r="U49" s="69" t="n">
        <f aca="false">Inventory!U18*IF(Production!U84&gt;0,U37*SourceAnalysis!D15/SourceAnalysis!D16/Production!U84,0)</f>
        <v>0</v>
      </c>
      <c r="V49" s="69" t="n">
        <f aca="false">Inventory!V18*IF(Production!V84&gt;0,V37*SourceAnalysis!D15/SourceAnalysis!D16/Production!V84,0)</f>
        <v>0</v>
      </c>
      <c r="W49" s="69" t="n">
        <f aca="false">Inventory!W18*IF(Production!W84&gt;0,W37*SourceAnalysis!D15/SourceAnalysis!D16/Production!W84,0)</f>
        <v>0</v>
      </c>
      <c r="X49" s="69" t="n">
        <f aca="false">Inventory!X18*IF(Production!X84&gt;0,X37*SourceAnalysis!D15/SourceAnalysis!D16/Production!X84,0)</f>
        <v>0</v>
      </c>
      <c r="Y49" s="69" t="n">
        <f aca="false">Inventory!Y18*IF(Production!Y84&gt;0,Y37*SourceAnalysis!D15/SourceAnalysis!D16/Production!Y84,0)</f>
        <v>0</v>
      </c>
      <c r="Z49" s="69" t="n">
        <f aca="false">Inventory!Z18*IF(Production!Z84&gt;0,Z37*SourceAnalysis!D15/SourceAnalysis!D16/Production!Z84,0)</f>
        <v>0</v>
      </c>
      <c r="AA49" s="69" t="n">
        <f aca="false">Inventory!AA18*IF(Production!AA84&gt;0,AA37*SourceAnalysis!D15/SourceAnalysis!D16/Production!AA84,0)</f>
        <v>0</v>
      </c>
      <c r="AB49" s="69" t="n">
        <f aca="false">Inventory!AB18*IF(Production!AB84&gt;0,AB37*SourceAnalysis!D15/SourceAnalysis!D16/Production!AB84,0)</f>
        <v>0</v>
      </c>
      <c r="AC49" s="69" t="n">
        <f aca="false">Inventory!AC18*IF(Production!AC84&gt;0,AC37*SourceAnalysis!D15/SourceAnalysis!D16/Production!AC84,0)</f>
        <v>0</v>
      </c>
      <c r="AD49" s="69" t="n">
        <f aca="false">Inventory!AD18*IF(Production!AD84&gt;0,AD37*SourceAnalysis!D15/SourceAnalysis!D16/Production!AD84,0)</f>
        <v>0</v>
      </c>
      <c r="AE49" s="69" t="n">
        <f aca="false">Inventory!AE18*IF(Production!AE84&gt;0,AE37*SourceAnalysis!D15/SourceAnalysis!D16/Production!AE84,0)</f>
        <v>0</v>
      </c>
      <c r="AF49" s="69" t="n">
        <f aca="false">Inventory!AF18*IF(Production!AF84&gt;0,AF37*SourceAnalysis!D15/SourceAnalysis!D16/Production!AF84,0)</f>
        <v>0</v>
      </c>
      <c r="AG49" s="69" t="n">
        <f aca="false">Inventory!AG18*IF(Production!AG84&gt;0,AG37*SourceAnalysis!D15/SourceAnalysis!D16/Production!AG84,0)</f>
        <v>0</v>
      </c>
      <c r="AH49" s="69" t="n">
        <f aca="false">Inventory!AH18*IF(Production!AH84&gt;0,AH37*SourceAnalysis!D15/SourceAnalysis!D16/Production!AH84,0)</f>
        <v>0</v>
      </c>
      <c r="AI49" s="69" t="n">
        <f aca="false">Inventory!AI18*IF(Production!AI84&gt;0,AI37*SourceAnalysis!D15/SourceAnalysis!D16/Production!AI84,0)</f>
        <v>0</v>
      </c>
      <c r="AJ49" s="69" t="n">
        <f aca="false">Inventory!AJ18*IF(Production!AJ84&gt;0,AJ37*SourceAnalysis!D15/SourceAnalysis!D16/Production!AJ84,0)</f>
        <v>0</v>
      </c>
      <c r="AK49" s="69" t="n">
        <f aca="false">Inventory!AK18*IF(Production!AK84&gt;0,AK37*SourceAnalysis!D15/SourceAnalysis!D16/Production!AK84,0)</f>
        <v>0</v>
      </c>
      <c r="AL49" s="69" t="n">
        <f aca="false">Inventory!AL18*IF(Production!AL84&gt;0,AL37*SourceAnalysis!D15/SourceAnalysis!D16/Production!AL84,0)</f>
        <v>0</v>
      </c>
      <c r="AM49" s="69" t="n">
        <f aca="false">Inventory!AM18*IF(Production!AM84&gt;0,AM37*SourceAnalysis!D15/SourceAnalysis!D16/Production!AM84,0)</f>
        <v>0</v>
      </c>
    </row>
    <row r="50" customFormat="false" ht="21" hidden="false" customHeight="true" outlineLevel="0" collapsed="false">
      <c r="C50" s="56" t="s">
        <v>249</v>
      </c>
      <c r="D50" s="78"/>
      <c r="E50" s="78"/>
      <c r="F50" s="78"/>
      <c r="G50" s="78"/>
      <c r="H50" s="78"/>
      <c r="I50" s="78"/>
      <c r="J50" s="78" t="n">
        <f aca="false">IF(J38&gt;0,(J48+J47+J49)*1000000/J38,0)</f>
        <v>5.04033309434579</v>
      </c>
      <c r="K50" s="78" t="n">
        <f aca="false">IF(K38&gt;0,(K48+K47+K49)*1000000/K38,0)</f>
        <v>4.57607806376622</v>
      </c>
      <c r="L50" s="78" t="n">
        <f aca="false">IF(L38&gt;0,(L48+L47+L49)*1000000/L38,0)</f>
        <v>4.36531161440473</v>
      </c>
      <c r="M50" s="78" t="n">
        <f aca="false">IF(M38&gt;0,(M48+M47+M49)*1000000/M38,0)</f>
        <v>4.28775772324955</v>
      </c>
      <c r="N50" s="78" t="n">
        <f aca="false">IF(N38&gt;0,(N48+N47+N49)*1000000/N38,0)</f>
        <v>4.24131396795284</v>
      </c>
      <c r="O50" s="78" t="n">
        <f aca="false">IF(O38&gt;0,(O48+O47+O49)*1000000/O38,0)</f>
        <v>4.23228853600367</v>
      </c>
      <c r="P50" s="78" t="n">
        <f aca="false">IF(P38&gt;0,(P48+P47+P49)*1000000/P38,0)</f>
        <v>4.25105406341416</v>
      </c>
      <c r="Q50" s="78" t="n">
        <f aca="false">IF(Q38&gt;0,(Q48+Q47+Q49)*1000000/Q38,0)</f>
        <v>4.25290299398152</v>
      </c>
      <c r="R50" s="78" t="n">
        <f aca="false">IF(R38&gt;0,(R48+R47+R49)*1000000/R38,0)</f>
        <v>4.28316876240355</v>
      </c>
      <c r="S50" s="78" t="n">
        <f aca="false">IF(S38&gt;0,(S48+S47+S49)*1000000/S38,0)</f>
        <v>4.27742813743818</v>
      </c>
      <c r="T50" s="78" t="n">
        <f aca="false">IF(T38&gt;0,(T48+T47+T49)*1000000/T38,0)</f>
        <v>4.28505870045063</v>
      </c>
      <c r="U50" s="78" t="n">
        <f aca="false">IF(U38&gt;0,(U48+U47+U49)*1000000/U38,0)</f>
        <v>4.27901919234478</v>
      </c>
      <c r="V50" s="78" t="n">
        <f aca="false">IF(V38&gt;0,(V48+V47+V49)*1000000/V38,0)</f>
        <v>4.29557874322089</v>
      </c>
      <c r="W50" s="78" t="n">
        <f aca="false">IF(W38&gt;0,(W48+W47+W49)*1000000/W38,0)</f>
        <v>4.29501315849218</v>
      </c>
      <c r="X50" s="78" t="n">
        <f aca="false">IF(X38&gt;0,(X48+X47+X49)*1000000/X38,0)</f>
        <v>4.28783362355622</v>
      </c>
      <c r="Y50" s="78" t="n">
        <f aca="false">IF(Y38&gt;0,(Y48+Y47+Y49)*1000000/Y38,0)</f>
        <v>4.29519741103452</v>
      </c>
      <c r="Z50" s="78" t="n">
        <f aca="false">IF(Z38&gt;0,(Z48+Z47+Z49)*1000000/Z38,0)</f>
        <v>4.2886803530129</v>
      </c>
      <c r="AA50" s="78" t="n">
        <f aca="false">IF(AA38&gt;0,(AA48+AA47+AA49)*1000000/AA38,0)</f>
        <v>4.29639028640015</v>
      </c>
      <c r="AB50" s="78" t="n">
        <f aca="false">IF(AB38&gt;0,(AB48+AB47+AB49)*1000000/AB38,0)</f>
        <v>4.32408150930914</v>
      </c>
      <c r="AC50" s="78" t="n">
        <f aca="false">IF(AC38&gt;0,(AC48+AC47+AC49)*1000000/AC38,0)</f>
        <v>4.33453782020124</v>
      </c>
      <c r="AD50" s="78" t="n">
        <f aca="false">IF(AD38&gt;0,(AD48+AD47+AD49)*1000000/AD38,0)</f>
        <v>4.35854739870815</v>
      </c>
      <c r="AE50" s="78" t="n">
        <f aca="false">IF(AE38&gt;0,(AE48+AE47+AE49)*1000000/AE38,0)</f>
        <v>4.35507417887456</v>
      </c>
      <c r="AF50" s="78" t="n">
        <f aca="false">IF(AF38&gt;0,(AF48+AF47+AF49)*1000000/AF38,0)</f>
        <v>4.36374173105417</v>
      </c>
      <c r="AG50" s="78" t="n">
        <f aca="false">IF(AG38&gt;0,(AG48+AG47+AG49)*1000000/AG38,0)</f>
        <v>4.35810716781934</v>
      </c>
      <c r="AH50" s="78" t="n">
        <f aca="false">IF(AH38&gt;0,(AH48+AH47+AH49)*1000000/AH38,0)</f>
        <v>4.37450312693214</v>
      </c>
      <c r="AI50" s="78" t="n">
        <f aca="false">IF(AI38&gt;0,(AI48+AI47+AI49)*1000000/AI38,0)</f>
        <v>4.3740750683667</v>
      </c>
      <c r="AJ50" s="78" t="n">
        <f aca="false">IF(AJ38&gt;0,(AJ48+AJ47+AJ49)*1000000/AJ38,0)</f>
        <v>4.3691521842317</v>
      </c>
      <c r="AK50" s="78" t="n">
        <f aca="false">IF(AK38&gt;0,(AK48+AK47+AK49)*1000000/AK38,0)</f>
        <v>4.37769772459442</v>
      </c>
      <c r="AL50" s="78" t="n">
        <f aca="false">IF(AL38&gt;0,(AL48+AL47+AL49)*1000000/AL38,0)</f>
        <v>4.37152764417044</v>
      </c>
      <c r="AM50" s="78" t="n">
        <f aca="false">IF(AM38&gt;0,(AM48+AM47+AM49)*1000000/AM38,0)</f>
        <v>4.37959618215899</v>
      </c>
    </row>
    <row r="51" customFormat="false" ht="21" hidden="false" customHeight="true" outlineLevel="0" collapsed="false">
      <c r="C51" s="56" t="s">
        <v>250</v>
      </c>
      <c r="D51" s="71"/>
      <c r="E51" s="71"/>
      <c r="F51" s="71"/>
      <c r="G51" s="71"/>
      <c r="H51" s="71"/>
      <c r="I51" s="71"/>
      <c r="J51" s="71" t="n">
        <f aca="false">J36*J50/1000000</f>
        <v>446.558326573105</v>
      </c>
      <c r="K51" s="71" t="n">
        <f aca="false">K36*K50/1000000</f>
        <v>405.426729577794</v>
      </c>
      <c r="L51" s="71" t="n">
        <f aca="false">L36*L50/1000000</f>
        <v>386.753457164467</v>
      </c>
      <c r="M51" s="71" t="n">
        <f aca="false">M36*M50/1000000</f>
        <v>379.882416063565</v>
      </c>
      <c r="N51" s="71" t="n">
        <f aca="false">N36*N50/1000000</f>
        <v>375.767639270671</v>
      </c>
      <c r="O51" s="71" t="n">
        <f aca="false">O36*O50/1000000</f>
        <v>374.968013191922</v>
      </c>
      <c r="P51" s="71" t="n">
        <f aca="false">P36*P50/1000000</f>
        <v>401.155705961057</v>
      </c>
      <c r="Q51" s="71" t="n">
        <f aca="false">Q36*Q50/1000000</f>
        <v>401.33018246405</v>
      </c>
      <c r="R51" s="71" t="n">
        <f aca="false">R36*R50/1000000</f>
        <v>404.186247222739</v>
      </c>
      <c r="S51" s="71" t="n">
        <f aca="false">S36*S50/1000000</f>
        <v>403.644526410373</v>
      </c>
      <c r="T51" s="71" t="n">
        <f aca="false">T36*T50/1000000</f>
        <v>404.364593444684</v>
      </c>
      <c r="U51" s="71" t="n">
        <f aca="false">U36*U50/1000000</f>
        <v>403.794668173982</v>
      </c>
      <c r="V51" s="71" t="n">
        <f aca="false">V36*V50/1000000</f>
        <v>391.99259491584</v>
      </c>
      <c r="W51" s="71" t="n">
        <f aca="false">W36*W50/1000000</f>
        <v>391.940982539789</v>
      </c>
      <c r="X51" s="71" t="n">
        <f aca="false">X36*X50/1000000</f>
        <v>391.285814820124</v>
      </c>
      <c r="Y51" s="71" t="n">
        <f aca="false">Y36*Y50/1000000</f>
        <v>391.957796486526</v>
      </c>
      <c r="Z51" s="71" t="n">
        <f aca="false">Z36*Z50/1000000</f>
        <v>391.363083029313</v>
      </c>
      <c r="AA51" s="71" t="n">
        <f aca="false">AA36*AA50/1000000</f>
        <v>392.066652204913</v>
      </c>
      <c r="AB51" s="71" t="n">
        <f aca="false">AB36*AB50/1000000</f>
        <v>420.288437399954</v>
      </c>
      <c r="AC51" s="71" t="n">
        <f aca="false">AC36*AC50/1000000</f>
        <v>421.304761110861</v>
      </c>
      <c r="AD51" s="71" t="n">
        <f aca="false">AD36*AD50/1000000</f>
        <v>423.638423927249</v>
      </c>
      <c r="AE51" s="71" t="n">
        <f aca="false">AE36*AE50/1000000</f>
        <v>423.300836827315</v>
      </c>
      <c r="AF51" s="71" t="n">
        <f aca="false">AF36*AF50/1000000</f>
        <v>424.143298273476</v>
      </c>
      <c r="AG51" s="71" t="n">
        <f aca="false">AG36*AG50/1000000</f>
        <v>423.595634735612</v>
      </c>
      <c r="AH51" s="71" t="n">
        <f aca="false">AH36*AH50/1000000</f>
        <v>411.170676348737</v>
      </c>
      <c r="AI51" s="71" t="n">
        <f aca="false">AI36*AI50/1000000</f>
        <v>411.130442035317</v>
      </c>
      <c r="AJ51" s="71" t="n">
        <f aca="false">AJ36*AJ50/1000000</f>
        <v>410.667727633099</v>
      </c>
      <c r="AK51" s="71" t="n">
        <f aca="false">AK36*AK50/1000000</f>
        <v>411.470944709131</v>
      </c>
      <c r="AL51" s="71" t="n">
        <f aca="false">AL36*AL50/1000000</f>
        <v>410.891003155212</v>
      </c>
      <c r="AM51" s="71" t="n">
        <f aca="false">AM36*AM50/1000000</f>
        <v>411.649385564743</v>
      </c>
    </row>
    <row r="52" customFormat="false" ht="21" hidden="false" customHeight="true" outlineLevel="0" collapsed="false">
      <c r="C52" s="56" t="s">
        <v>251</v>
      </c>
      <c r="D52" s="71"/>
      <c r="E52" s="71"/>
      <c r="F52" s="71"/>
      <c r="G52" s="71"/>
      <c r="H52" s="71"/>
      <c r="I52" s="71"/>
      <c r="J52" s="71" t="n">
        <f aca="false">J48+J47+J49-J51</f>
        <v>349.621788835995</v>
      </c>
      <c r="K52" s="71" t="n">
        <f aca="false">K48+K47+K49-K51</f>
        <v>317.418823034108</v>
      </c>
      <c r="L52" s="71" t="n">
        <f aca="false">L48+L47+L49-L51</f>
        <v>312.892348141113</v>
      </c>
      <c r="M52" s="71" t="n">
        <f aca="false">M48+M47+M49-M51</f>
        <v>297.419535026274</v>
      </c>
      <c r="N52" s="71" t="n">
        <f aca="false">N48+N47+N49-N51</f>
        <v>304.00457146229</v>
      </c>
      <c r="O52" s="71" t="n">
        <f aca="false">O48+O47+O49-O51</f>
        <v>293.571924936389</v>
      </c>
      <c r="P52" s="71" t="n">
        <f aca="false">P48+P47+P49-P51</f>
        <v>314.0749308073</v>
      </c>
      <c r="Q52" s="71" t="n">
        <f aca="false">Q48+Q47+Q49-Q51</f>
        <v>347.877054245359</v>
      </c>
      <c r="R52" s="71" t="n">
        <f aca="false">R48+R47+R49-R51</f>
        <v>316.447618077922</v>
      </c>
      <c r="S52" s="71" t="n">
        <f aca="false">S48+S47+S49-S51</f>
        <v>326.557607548783</v>
      </c>
      <c r="T52" s="71" t="n">
        <f aca="false">T48+T47+T49-T51</f>
        <v>316.587249838072</v>
      </c>
      <c r="U52" s="71" t="n">
        <f aca="false">U48+U47+U49-U51</f>
        <v>326.679075652299</v>
      </c>
      <c r="V52" s="71" t="n">
        <f aca="false">V48+V47+V49-V51</f>
        <v>306.900899814492</v>
      </c>
      <c r="W52" s="71" t="n">
        <f aca="false">W48+W47+W49-W51</f>
        <v>306.860491182143</v>
      </c>
      <c r="X52" s="71" t="n">
        <f aca="false">X48+X47+X49-X51</f>
        <v>316.559128626777</v>
      </c>
      <c r="Y52" s="71" t="n">
        <f aca="false">Y48+Y47+Y49-Y51</f>
        <v>306.873655245571</v>
      </c>
      <c r="Z52" s="71" t="n">
        <f aca="false">Z48+Z47+Z49-Z51</f>
        <v>316.621640366393</v>
      </c>
      <c r="AA52" s="71" t="n">
        <f aca="false">AA48+AA47+AA49-AA51</f>
        <v>306.958881135949</v>
      </c>
      <c r="AB52" s="71" t="n">
        <f aca="false">AB48+AB47+AB49-AB51</f>
        <v>329.054429325038</v>
      </c>
      <c r="AC52" s="71" t="n">
        <f aca="false">AC48+AC47+AC49-AC51</f>
        <v>352.598419978968</v>
      </c>
      <c r="AD52" s="71" t="n">
        <f aca="false">AD48+AD47+AD49-AD51</f>
        <v>331.677218359648</v>
      </c>
      <c r="AE52" s="71" t="n">
        <f aca="false">AE48+AE47+AE49-AE51</f>
        <v>342.460009992033</v>
      </c>
      <c r="AF52" s="71" t="n">
        <f aca="false">AF48+AF47+AF49-AF51</f>
        <v>332.072497232667</v>
      </c>
      <c r="AG52" s="71" t="n">
        <f aca="false">AG48+AG47+AG49-AG51</f>
        <v>342.698508208521</v>
      </c>
      <c r="AH52" s="71" t="n">
        <f aca="false">AH48+AH47+AH49-AH51</f>
        <v>321.915903987557</v>
      </c>
      <c r="AI52" s="71" t="n">
        <f aca="false">AI48+AI47+AI49-AI51</f>
        <v>321.884403527721</v>
      </c>
      <c r="AJ52" s="71" t="n">
        <f aca="false">AJ48+AJ47+AJ49-AJ51</f>
        <v>332.23953716399</v>
      </c>
      <c r="AK52" s="71" t="n">
        <f aca="false">AK48+AK47+AK49-AK51</f>
        <v>322.150991668258</v>
      </c>
      <c r="AL52" s="71" t="n">
        <f aca="false">AL48+AL47+AL49-AL51</f>
        <v>332.42017214243</v>
      </c>
      <c r="AM52" s="71" t="n">
        <f aca="false">AM48+AM47+AM49-AM51</f>
        <v>322.290697519494</v>
      </c>
    </row>
    <row r="53" customFormat="false" ht="21" hidden="false" customHeight="true" outlineLevel="0" collapsed="false">
      <c r="C53" s="56" t="s">
        <v>252</v>
      </c>
      <c r="D53" s="71"/>
      <c r="E53" s="71"/>
      <c r="F53" s="71"/>
      <c r="G53" s="71"/>
      <c r="H53" s="71"/>
      <c r="I53" s="71"/>
      <c r="J53" s="71" t="n">
        <f aca="false">J48+J47+J49-J51-J52</f>
        <v>0</v>
      </c>
      <c r="K53" s="71" t="n">
        <f aca="false">K48+K47+K49-K51-K52</f>
        <v>0</v>
      </c>
      <c r="L53" s="71" t="n">
        <f aca="false">L48+L47+L49-L51-L52</f>
        <v>0</v>
      </c>
      <c r="M53" s="71" t="n">
        <f aca="false">M48+M47+M49-M51-M52</f>
        <v>0</v>
      </c>
      <c r="N53" s="71" t="n">
        <f aca="false">N48+N47+N49-N51-N52</f>
        <v>0</v>
      </c>
      <c r="O53" s="71" t="n">
        <f aca="false">O48+O47+O49-O51-O52</f>
        <v>0</v>
      </c>
      <c r="P53" s="71" t="n">
        <f aca="false">P48+P47+P49-P51-P52</f>
        <v>0</v>
      </c>
      <c r="Q53" s="71" t="n">
        <f aca="false">Q48+Q47+Q49-Q51-Q52</f>
        <v>0</v>
      </c>
      <c r="R53" s="71" t="n">
        <f aca="false">R48+R47+R49-R51-R52</f>
        <v>0</v>
      </c>
      <c r="S53" s="71" t="n">
        <f aca="false">S48+S47+S49-S51-S52</f>
        <v>0</v>
      </c>
      <c r="T53" s="71" t="n">
        <f aca="false">T48+T47+T49-T51-T52</f>
        <v>0</v>
      </c>
      <c r="U53" s="71" t="n">
        <f aca="false">U48+U47+U49-U51-U52</f>
        <v>0</v>
      </c>
      <c r="V53" s="71" t="n">
        <f aca="false">V48+V47+V49-V51-V52</f>
        <v>0</v>
      </c>
      <c r="W53" s="71" t="n">
        <f aca="false">W48+W47+W49-W51-W52</f>
        <v>0</v>
      </c>
      <c r="X53" s="71" t="n">
        <f aca="false">X48+X47+X49-X51-X52</f>
        <v>0</v>
      </c>
      <c r="Y53" s="71" t="n">
        <f aca="false">Y48+Y47+Y49-Y51-Y52</f>
        <v>0</v>
      </c>
      <c r="Z53" s="71" t="n">
        <f aca="false">Z48+Z47+Z49-Z51-Z52</f>
        <v>0</v>
      </c>
      <c r="AA53" s="71" t="n">
        <f aca="false">AA48+AA47+AA49-AA51-AA52</f>
        <v>0</v>
      </c>
      <c r="AB53" s="71" t="n">
        <f aca="false">AB48+AB47+AB49-AB51-AB52</f>
        <v>0</v>
      </c>
      <c r="AC53" s="71" t="n">
        <f aca="false">AC48+AC47+AC49-AC51-AC52</f>
        <v>0</v>
      </c>
      <c r="AD53" s="71" t="n">
        <f aca="false">AD48+AD47+AD49-AD51-AD52</f>
        <v>0</v>
      </c>
      <c r="AE53" s="71" t="n">
        <f aca="false">AE48+AE47+AE49-AE51-AE52</f>
        <v>0</v>
      </c>
      <c r="AF53" s="71" t="n">
        <f aca="false">AF48+AF47+AF49-AF51-AF52</f>
        <v>0</v>
      </c>
      <c r="AG53" s="71" t="n">
        <f aca="false">AG48+AG47+AG49-AG51-AG52</f>
        <v>0</v>
      </c>
      <c r="AH53" s="71" t="n">
        <f aca="false">AH48+AH47+AH49-AH51-AH52</f>
        <v>0</v>
      </c>
      <c r="AI53" s="71" t="n">
        <f aca="false">AI48+AI47+AI49-AI51-AI52</f>
        <v>0</v>
      </c>
      <c r="AJ53" s="71" t="n">
        <f aca="false">AJ48+AJ47+AJ49-AJ51-AJ52</f>
        <v>0</v>
      </c>
      <c r="AK53" s="71" t="n">
        <f aca="false">AK48+AK47+AK49-AK51-AK52</f>
        <v>0</v>
      </c>
      <c r="AL53" s="71" t="n">
        <f aca="false">AL48+AL47+AL49-AL51-AL52</f>
        <v>0</v>
      </c>
      <c r="AM53" s="71" t="n">
        <f aca="false">AM48+AM47+AM49-AM51-AM52</f>
        <v>0</v>
      </c>
    </row>
    <row r="54" customFormat="false" ht="21" hidden="false" customHeight="true" outlineLevel="0" collapsed="false">
      <c r="C54" s="56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</row>
    <row r="55" customFormat="false" ht="21" hidden="false" customHeight="true" outlineLevel="0" collapsed="false">
      <c r="C55" s="56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</row>
    <row r="56" customFormat="false" ht="21" hidden="false" customHeight="true" outlineLevel="0" collapsed="false">
      <c r="C56" s="56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</row>
    <row r="57" customFormat="false" ht="25" hidden="false" customHeight="true" outlineLevel="0" collapsed="false">
      <c r="C57" s="74" t="s">
        <v>228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</row>
    <row r="58" customFormat="false" ht="21" hidden="false" customHeight="true" outlineLevel="0" collapsed="false">
      <c r="C58" s="56" t="s">
        <v>233</v>
      </c>
      <c r="D58" s="75"/>
      <c r="E58" s="75"/>
      <c r="F58" s="75"/>
      <c r="G58" s="75"/>
      <c r="H58" s="75"/>
      <c r="I58" s="75"/>
      <c r="J58" s="75" t="n">
        <f aca="false">SourceAnalysis!D22</f>
        <v>160000</v>
      </c>
      <c r="K58" s="75" t="n">
        <f aca="false">Production!J63</f>
        <v>177281.148802863</v>
      </c>
      <c r="L58" s="75" t="n">
        <f aca="false">Production!K63</f>
        <v>177281.148802863</v>
      </c>
      <c r="M58" s="75" t="n">
        <f aca="false">Production!L63</f>
        <v>183190.520429625</v>
      </c>
      <c r="N58" s="75" t="n">
        <f aca="false">Production!M63</f>
        <v>177281.148802863</v>
      </c>
      <c r="O58" s="75" t="n">
        <f aca="false">Production!N63</f>
        <v>183190.520429625</v>
      </c>
      <c r="P58" s="75" t="n">
        <f aca="false">Production!O63</f>
        <v>177281.148802863</v>
      </c>
      <c r="Q58" s="75" t="n">
        <f aca="false">Production!P63</f>
        <v>188825.198292567</v>
      </c>
      <c r="R58" s="75" t="n">
        <f aca="false">Production!Q63</f>
        <v>209056.469538199</v>
      </c>
      <c r="S58" s="75" t="n">
        <f aca="false">Production!R63</f>
        <v>188825.198292567</v>
      </c>
      <c r="T58" s="75" t="n">
        <f aca="false">Production!S63</f>
        <v>195119.371568986</v>
      </c>
      <c r="U58" s="75" t="n">
        <f aca="false">Production!T63</f>
        <v>188825.198292567</v>
      </c>
      <c r="V58" s="75" t="n">
        <f aca="false">Production!U63</f>
        <v>195119.371568986</v>
      </c>
      <c r="W58" s="75" t="n">
        <f aca="false">Production!V63</f>
        <v>203873.321123293</v>
      </c>
      <c r="X58" s="75" t="n">
        <f aca="false">Production!W63</f>
        <v>203873.321123293</v>
      </c>
      <c r="Y58" s="75" t="n">
        <f aca="false">Production!X63</f>
        <v>210669.098494069</v>
      </c>
      <c r="Z58" s="75" t="n">
        <f aca="false">Production!Y63</f>
        <v>203873.321123293</v>
      </c>
      <c r="AA58" s="75" t="n">
        <f aca="false">Production!Z63</f>
        <v>210669.098494069</v>
      </c>
      <c r="AB58" s="75" t="n">
        <f aca="false">Production!AA63</f>
        <v>203873.321123293</v>
      </c>
      <c r="AC58" s="75" t="n">
        <f aca="false">Production!AB63</f>
        <v>217148.978036452</v>
      </c>
      <c r="AD58" s="75" t="n">
        <f aca="false">Production!AC63</f>
        <v>232124.769625173</v>
      </c>
      <c r="AE58" s="75" t="n">
        <f aca="false">Production!AD63</f>
        <v>217148.978036452</v>
      </c>
      <c r="AF58" s="75" t="n">
        <f aca="false">Production!AE63</f>
        <v>224387.277304334</v>
      </c>
      <c r="AG58" s="75" t="n">
        <f aca="false">Production!AF63</f>
        <v>217148.978036452</v>
      </c>
      <c r="AH58" s="75" t="n">
        <f aca="false">Production!AG63</f>
        <v>224387.277304334</v>
      </c>
      <c r="AI58" s="75" t="n">
        <f aca="false">Production!AH63</f>
        <v>234454.319291786</v>
      </c>
      <c r="AJ58" s="75" t="n">
        <f aca="false">Production!AI63</f>
        <v>234454.319291786</v>
      </c>
      <c r="AK58" s="75" t="n">
        <f aca="false">Production!AJ63</f>
        <v>242269.463268179</v>
      </c>
      <c r="AL58" s="75" t="n">
        <f aca="false">Production!AK63</f>
        <v>234454.319291786</v>
      </c>
      <c r="AM58" s="75" t="n">
        <f aca="false">Production!AL63</f>
        <v>242269.463268179</v>
      </c>
    </row>
    <row r="59" customFormat="false" ht="21" hidden="false" customHeight="true" outlineLevel="0" collapsed="false">
      <c r="C59" s="56" t="s">
        <v>234</v>
      </c>
      <c r="D59" s="75"/>
      <c r="E59" s="75"/>
      <c r="F59" s="75"/>
      <c r="G59" s="75"/>
      <c r="H59" s="75"/>
      <c r="I59" s="75"/>
      <c r="J59" s="75" t="n">
        <f aca="false">Revenue!J28/DAY(J$7)*MAX(0,Inputs!J27)</f>
        <v>177281.148802863</v>
      </c>
      <c r="K59" s="75" t="n">
        <f aca="false">Revenue!K28/DAY(K$7)*MAX(0,Inputs!K27)</f>
        <v>177281.148802863</v>
      </c>
      <c r="L59" s="75" t="n">
        <f aca="false">Revenue!L28/DAY(L$7)*MAX(0,Inputs!L27)</f>
        <v>183190.520429625</v>
      </c>
      <c r="M59" s="75" t="n">
        <f aca="false">Revenue!M28/DAY(M$7)*MAX(0,Inputs!M27)</f>
        <v>177281.148802863</v>
      </c>
      <c r="N59" s="75" t="n">
        <f aca="false">Revenue!N28/DAY(N$7)*MAX(0,Inputs!N27)</f>
        <v>183190.520429625</v>
      </c>
      <c r="O59" s="75" t="n">
        <f aca="false">Revenue!O28/DAY(O$7)*MAX(0,Inputs!O27)</f>
        <v>177281.148802863</v>
      </c>
      <c r="P59" s="75" t="n">
        <f aca="false">Revenue!P28/DAY(P$7)*MAX(0,Inputs!P27)</f>
        <v>188825.198292567</v>
      </c>
      <c r="Q59" s="75" t="n">
        <f aca="false">Revenue!Q28/DAY(Q$7)*MAX(0,Inputs!Q27)</f>
        <v>209056.469538199</v>
      </c>
      <c r="R59" s="75" t="n">
        <f aca="false">Revenue!R28/DAY(R$7)*MAX(0,Inputs!R27)</f>
        <v>188825.198292567</v>
      </c>
      <c r="S59" s="75" t="n">
        <f aca="false">Revenue!S28/DAY(S$7)*MAX(0,Inputs!S27)</f>
        <v>195119.371568986</v>
      </c>
      <c r="T59" s="75" t="n">
        <f aca="false">Revenue!T28/DAY(T$7)*MAX(0,Inputs!T27)</f>
        <v>188825.198292567</v>
      </c>
      <c r="U59" s="75" t="n">
        <f aca="false">Revenue!U28/DAY(U$7)*MAX(0,Inputs!U27)</f>
        <v>195119.371568986</v>
      </c>
      <c r="V59" s="75" t="n">
        <f aca="false">Revenue!V28/DAY(V$7)*MAX(0,Inputs!V27)</f>
        <v>203873.321123293</v>
      </c>
      <c r="W59" s="75" t="n">
        <f aca="false">Revenue!W28/DAY(W$7)*MAX(0,Inputs!W27)</f>
        <v>203873.321123293</v>
      </c>
      <c r="X59" s="75" t="n">
        <f aca="false">Revenue!X28/DAY(X$7)*MAX(0,Inputs!X27)</f>
        <v>210669.098494069</v>
      </c>
      <c r="Y59" s="75" t="n">
        <f aca="false">Revenue!Y28/DAY(Y$7)*MAX(0,Inputs!Y27)</f>
        <v>203873.321123293</v>
      </c>
      <c r="Z59" s="75" t="n">
        <f aca="false">Revenue!Z28/DAY(Z$7)*MAX(0,Inputs!Z27)</f>
        <v>210669.098494069</v>
      </c>
      <c r="AA59" s="75" t="n">
        <f aca="false">Revenue!AA28/DAY(AA$7)*MAX(0,Inputs!AA27)</f>
        <v>203873.321123293</v>
      </c>
      <c r="AB59" s="75" t="n">
        <f aca="false">Revenue!AB28/DAY(AB$7)*MAX(0,Inputs!AB27)</f>
        <v>217148.978036452</v>
      </c>
      <c r="AC59" s="75" t="n">
        <f aca="false">Revenue!AC28/DAY(AC$7)*MAX(0,Inputs!AC27)</f>
        <v>232124.769625173</v>
      </c>
      <c r="AD59" s="75" t="n">
        <f aca="false">Revenue!AD28/DAY(AD$7)*MAX(0,Inputs!AD27)</f>
        <v>217148.978036452</v>
      </c>
      <c r="AE59" s="75" t="n">
        <f aca="false">Revenue!AE28/DAY(AE$7)*MAX(0,Inputs!AE27)</f>
        <v>224387.277304334</v>
      </c>
      <c r="AF59" s="75" t="n">
        <f aca="false">Revenue!AF28/DAY(AF$7)*MAX(0,Inputs!AF27)</f>
        <v>217148.978036452</v>
      </c>
      <c r="AG59" s="75" t="n">
        <f aca="false">Revenue!AG28/DAY(AG$7)*MAX(0,Inputs!AG27)</f>
        <v>224387.277304334</v>
      </c>
      <c r="AH59" s="75" t="n">
        <f aca="false">Revenue!AH28/DAY(AH$7)*MAX(0,Inputs!AH27)</f>
        <v>234454.319291786</v>
      </c>
      <c r="AI59" s="75" t="n">
        <f aca="false">Revenue!AI28/DAY(AI$7)*MAX(0,Inputs!AI27)</f>
        <v>234454.319291786</v>
      </c>
      <c r="AJ59" s="75" t="n">
        <f aca="false">Revenue!AJ28/DAY(AJ$7)*MAX(0,Inputs!AJ27)</f>
        <v>242269.463268179</v>
      </c>
      <c r="AK59" s="75" t="n">
        <f aca="false">Revenue!AK28/DAY(AK$7)*MAX(0,Inputs!AK27)</f>
        <v>234454.319291786</v>
      </c>
      <c r="AL59" s="75" t="n">
        <f aca="false">Revenue!AL28/DAY(AL$7)*MAX(0,Inputs!AL27)</f>
        <v>242269.463268179</v>
      </c>
      <c r="AM59" s="75" t="n">
        <f aca="false">Revenue!AM28/DAY(AM$7)*MAX(0,Inputs!AM27)</f>
        <v>234454.319291786</v>
      </c>
    </row>
    <row r="60" customFormat="false" ht="21" hidden="false" customHeight="true" outlineLevel="0" collapsed="false">
      <c r="C60" s="56" t="s">
        <v>235</v>
      </c>
      <c r="D60" s="75"/>
      <c r="E60" s="75"/>
      <c r="F60" s="75"/>
      <c r="G60" s="75"/>
      <c r="H60" s="75"/>
      <c r="I60" s="75"/>
      <c r="J60" s="75" t="n">
        <f aca="false">Revenue!J28</f>
        <v>122044.410588278</v>
      </c>
      <c r="K60" s="75" t="n">
        <f aca="false">Revenue!K28</f>
        <v>122044.410588278</v>
      </c>
      <c r="L60" s="75" t="n">
        <f aca="false">Revenue!L28</f>
        <v>122044.410588278</v>
      </c>
      <c r="M60" s="75" t="n">
        <f aca="false">Revenue!M28</f>
        <v>122044.410588278</v>
      </c>
      <c r="N60" s="75" t="n">
        <f aca="false">Revenue!N28</f>
        <v>122044.410588278</v>
      </c>
      <c r="O60" s="75" t="n">
        <f aca="false">Revenue!O28</f>
        <v>122044.410588278</v>
      </c>
      <c r="P60" s="75" t="n">
        <f aca="false">Revenue!P28</f>
        <v>129991.599137578</v>
      </c>
      <c r="Q60" s="75" t="n">
        <f aca="false">Revenue!Q28</f>
        <v>129991.599137578</v>
      </c>
      <c r="R60" s="75" t="n">
        <f aca="false">Revenue!R28</f>
        <v>129991.599137578</v>
      </c>
      <c r="S60" s="75" t="n">
        <f aca="false">Revenue!S28</f>
        <v>129991.599137578</v>
      </c>
      <c r="T60" s="75" t="n">
        <f aca="false">Revenue!T28</f>
        <v>129991.599137578</v>
      </c>
      <c r="U60" s="75" t="n">
        <f aca="false">Revenue!U28</f>
        <v>129991.599137578</v>
      </c>
      <c r="V60" s="75" t="n">
        <f aca="false">Revenue!V28</f>
        <v>140351.07217652</v>
      </c>
      <c r="W60" s="75" t="n">
        <f aca="false">Revenue!W28</f>
        <v>140351.07217652</v>
      </c>
      <c r="X60" s="75" t="n">
        <f aca="false">Revenue!X28</f>
        <v>140351.07217652</v>
      </c>
      <c r="Y60" s="75" t="n">
        <f aca="false">Revenue!Y28</f>
        <v>140351.07217652</v>
      </c>
      <c r="Z60" s="75" t="n">
        <f aca="false">Revenue!Z28</f>
        <v>140351.07217652</v>
      </c>
      <c r="AA60" s="75" t="n">
        <f aca="false">Revenue!AA28</f>
        <v>140351.07217652</v>
      </c>
      <c r="AB60" s="75" t="n">
        <f aca="false">Revenue!AB28</f>
        <v>149490.339008215</v>
      </c>
      <c r="AC60" s="75" t="n">
        <f aca="false">Revenue!AC28</f>
        <v>149490.339008215</v>
      </c>
      <c r="AD60" s="75" t="n">
        <f aca="false">Revenue!AD28</f>
        <v>149490.339008215</v>
      </c>
      <c r="AE60" s="75" t="n">
        <f aca="false">Revenue!AE28</f>
        <v>149490.339008215</v>
      </c>
      <c r="AF60" s="75" t="n">
        <f aca="false">Revenue!AF28</f>
        <v>149490.339008215</v>
      </c>
      <c r="AG60" s="75" t="n">
        <f aca="false">Revenue!AG28</f>
        <v>149490.339008215</v>
      </c>
      <c r="AH60" s="75" t="n">
        <f aca="false">Revenue!AH28</f>
        <v>161403.733002997</v>
      </c>
      <c r="AI60" s="75" t="n">
        <f aca="false">Revenue!AI28</f>
        <v>161403.733002997</v>
      </c>
      <c r="AJ60" s="75" t="n">
        <f aca="false">Revenue!AJ28</f>
        <v>161403.733002997</v>
      </c>
      <c r="AK60" s="75" t="n">
        <f aca="false">Revenue!AK28</f>
        <v>161403.733002997</v>
      </c>
      <c r="AL60" s="75" t="n">
        <f aca="false">Revenue!AL28</f>
        <v>161403.733002997</v>
      </c>
      <c r="AM60" s="75" t="n">
        <f aca="false">Revenue!AM28</f>
        <v>161403.733002997</v>
      </c>
    </row>
    <row r="61" customFormat="false" ht="21" hidden="false" customHeight="true" outlineLevel="0" collapsed="false">
      <c r="C61" s="56" t="s">
        <v>236</v>
      </c>
      <c r="D61" s="77"/>
      <c r="E61" s="77"/>
      <c r="F61" s="77"/>
      <c r="G61" s="77"/>
      <c r="H61" s="77"/>
      <c r="I61" s="77"/>
      <c r="J61" s="77" t="n">
        <f aca="false">MAX(0,J60+J59-J58)</f>
        <v>139325.559391141</v>
      </c>
      <c r="K61" s="77" t="n">
        <f aca="false">MAX(0,K60+K59-K58)</f>
        <v>122044.410588278</v>
      </c>
      <c r="L61" s="77" t="n">
        <f aca="false">MAX(0,L60+L59-L58)</f>
        <v>127953.78221504</v>
      </c>
      <c r="M61" s="77" t="n">
        <f aca="false">MAX(0,M60+M59-M58)</f>
        <v>116135.038961516</v>
      </c>
      <c r="N61" s="77" t="n">
        <f aca="false">MAX(0,N60+N59-N58)</f>
        <v>127953.78221504</v>
      </c>
      <c r="O61" s="77" t="n">
        <f aca="false">MAX(0,O60+O59-O58)</f>
        <v>116135.038961516</v>
      </c>
      <c r="P61" s="77" t="n">
        <f aca="false">MAX(0,P60+P59-P58)</f>
        <v>141535.648627282</v>
      </c>
      <c r="Q61" s="77" t="n">
        <f aca="false">MAX(0,Q60+Q59-Q58)</f>
        <v>150222.87038321</v>
      </c>
      <c r="R61" s="77" t="n">
        <f aca="false">MAX(0,R60+R59-R58)</f>
        <v>109760.327891946</v>
      </c>
      <c r="S61" s="77" t="n">
        <f aca="false">MAX(0,S60+S59-S58)</f>
        <v>136285.772413997</v>
      </c>
      <c r="T61" s="77" t="n">
        <f aca="false">MAX(0,T60+T59-T58)</f>
        <v>123697.425861159</v>
      </c>
      <c r="U61" s="77" t="n">
        <f aca="false">MAX(0,U60+U59-U58)</f>
        <v>136285.772413997</v>
      </c>
      <c r="V61" s="77" t="n">
        <f aca="false">MAX(0,V60+V59-V58)</f>
        <v>149105.021730826</v>
      </c>
      <c r="W61" s="77" t="n">
        <f aca="false">MAX(0,W60+W59-W58)</f>
        <v>140351.07217652</v>
      </c>
      <c r="X61" s="77" t="n">
        <f aca="false">MAX(0,X60+X59-X58)</f>
        <v>147146.849547296</v>
      </c>
      <c r="Y61" s="77" t="n">
        <f aca="false">MAX(0,Y60+Y59-Y58)</f>
        <v>133555.294805743</v>
      </c>
      <c r="Z61" s="77" t="n">
        <f aca="false">MAX(0,Z60+Z59-Z58)</f>
        <v>147146.849547296</v>
      </c>
      <c r="AA61" s="77" t="n">
        <f aca="false">MAX(0,AA60+AA59-AA58)</f>
        <v>133555.294805743</v>
      </c>
      <c r="AB61" s="77" t="n">
        <f aca="false">MAX(0,AB60+AB59-AB58)</f>
        <v>162765.995921374</v>
      </c>
      <c r="AC61" s="77" t="n">
        <f aca="false">MAX(0,AC60+AC59-AC58)</f>
        <v>164466.130596935</v>
      </c>
      <c r="AD61" s="77" t="n">
        <f aca="false">MAX(0,AD60+AD59-AD58)</f>
        <v>134514.547419494</v>
      </c>
      <c r="AE61" s="77" t="n">
        <f aca="false">MAX(0,AE60+AE59-AE58)</f>
        <v>156728.638276096</v>
      </c>
      <c r="AF61" s="77" t="n">
        <f aca="false">MAX(0,AF60+AF59-AF58)</f>
        <v>142252.039740333</v>
      </c>
      <c r="AG61" s="77" t="n">
        <f aca="false">MAX(0,AG60+AG59-AG58)</f>
        <v>156728.638276096</v>
      </c>
      <c r="AH61" s="77" t="n">
        <f aca="false">MAX(0,AH60+AH59-AH58)</f>
        <v>171470.77499045</v>
      </c>
      <c r="AI61" s="77" t="n">
        <f aca="false">MAX(0,AI60+AI59-AI58)</f>
        <v>161403.733002997</v>
      </c>
      <c r="AJ61" s="77" t="n">
        <f aca="false">MAX(0,AJ60+AJ59-AJ58)</f>
        <v>169218.87697939</v>
      </c>
      <c r="AK61" s="77" t="n">
        <f aca="false">MAX(0,AK60+AK59-AK58)</f>
        <v>153588.589026605</v>
      </c>
      <c r="AL61" s="77" t="n">
        <f aca="false">MAX(0,AL60+AL59-AL58)</f>
        <v>169218.87697939</v>
      </c>
      <c r="AM61" s="77" t="n">
        <f aca="false">MAX(0,AM60+AM59-AM58)</f>
        <v>153588.589026605</v>
      </c>
    </row>
    <row r="62" customFormat="false" ht="21" hidden="false" customHeight="true" outlineLevel="0" collapsed="false">
      <c r="C62" s="56" t="s">
        <v>237</v>
      </c>
      <c r="D62" s="77"/>
      <c r="E62" s="77"/>
      <c r="F62" s="77"/>
      <c r="G62" s="77"/>
      <c r="H62" s="77"/>
      <c r="I62" s="77"/>
      <c r="J62" s="77" t="n">
        <f aca="false">J58+J61</f>
        <v>299325.559391141</v>
      </c>
      <c r="K62" s="77" t="n">
        <f aca="false">K58+K61</f>
        <v>299325.559391141</v>
      </c>
      <c r="L62" s="77" t="n">
        <f aca="false">L58+L61</f>
        <v>305234.931017903</v>
      </c>
      <c r="M62" s="77" t="n">
        <f aca="false">M58+M61</f>
        <v>299325.559391141</v>
      </c>
      <c r="N62" s="77" t="n">
        <f aca="false">N58+N61</f>
        <v>305234.931017903</v>
      </c>
      <c r="O62" s="77" t="n">
        <f aca="false">O58+O61</f>
        <v>299325.559391141</v>
      </c>
      <c r="P62" s="77" t="n">
        <f aca="false">P58+P61</f>
        <v>318816.797430145</v>
      </c>
      <c r="Q62" s="77" t="n">
        <f aca="false">Q58+Q61</f>
        <v>339048.068675777</v>
      </c>
      <c r="R62" s="77" t="n">
        <f aca="false">R58+R61</f>
        <v>318816.797430145</v>
      </c>
      <c r="S62" s="77" t="n">
        <f aca="false">S58+S61</f>
        <v>325110.970706564</v>
      </c>
      <c r="T62" s="77" t="n">
        <f aca="false">T58+T61</f>
        <v>318816.797430145</v>
      </c>
      <c r="U62" s="77" t="n">
        <f aca="false">U58+U61</f>
        <v>325110.970706564</v>
      </c>
      <c r="V62" s="77" t="n">
        <f aca="false">V58+V61</f>
        <v>344224.393299812</v>
      </c>
      <c r="W62" s="77" t="n">
        <f aca="false">W58+W61</f>
        <v>344224.393299812</v>
      </c>
      <c r="X62" s="77" t="n">
        <f aca="false">X58+X61</f>
        <v>351020.170670589</v>
      </c>
      <c r="Y62" s="77" t="n">
        <f aca="false">Y58+Y61</f>
        <v>344224.393299812</v>
      </c>
      <c r="Z62" s="77" t="n">
        <f aca="false">Z58+Z61</f>
        <v>351020.170670589</v>
      </c>
      <c r="AA62" s="77" t="n">
        <f aca="false">AA58+AA61</f>
        <v>344224.393299812</v>
      </c>
      <c r="AB62" s="77" t="n">
        <f aca="false">AB58+AB61</f>
        <v>366639.317044667</v>
      </c>
      <c r="AC62" s="77" t="n">
        <f aca="false">AC58+AC61</f>
        <v>381615.108633388</v>
      </c>
      <c r="AD62" s="77" t="n">
        <f aca="false">AD58+AD61</f>
        <v>366639.317044667</v>
      </c>
      <c r="AE62" s="77" t="n">
        <f aca="false">AE58+AE61</f>
        <v>373877.616312549</v>
      </c>
      <c r="AF62" s="77" t="n">
        <f aca="false">AF58+AF61</f>
        <v>366639.317044667</v>
      </c>
      <c r="AG62" s="77" t="n">
        <f aca="false">AG58+AG61</f>
        <v>373877.616312549</v>
      </c>
      <c r="AH62" s="77" t="n">
        <f aca="false">AH58+AH61</f>
        <v>395858.052294784</v>
      </c>
      <c r="AI62" s="77" t="n">
        <f aca="false">AI58+AI61</f>
        <v>395858.052294784</v>
      </c>
      <c r="AJ62" s="77" t="n">
        <f aca="false">AJ58+AJ61</f>
        <v>403673.196271177</v>
      </c>
      <c r="AK62" s="77" t="n">
        <f aca="false">AK58+AK61</f>
        <v>395858.052294784</v>
      </c>
      <c r="AL62" s="77" t="n">
        <f aca="false">AL58+AL61</f>
        <v>403673.196271177</v>
      </c>
      <c r="AM62" s="77" t="n">
        <f aca="false">AM58+AM61</f>
        <v>395858.052294784</v>
      </c>
    </row>
    <row r="63" customFormat="false" ht="21" hidden="false" customHeight="true" outlineLevel="0" collapsed="false">
      <c r="C63" s="56" t="s">
        <v>238</v>
      </c>
      <c r="D63" s="77"/>
      <c r="E63" s="77"/>
      <c r="F63" s="77"/>
      <c r="G63" s="77"/>
      <c r="H63" s="77"/>
      <c r="I63" s="77"/>
      <c r="J63" s="77" t="n">
        <f aca="false">J62-J60</f>
        <v>177281.148802863</v>
      </c>
      <c r="K63" s="77" t="n">
        <f aca="false">K62-K60</f>
        <v>177281.148802863</v>
      </c>
      <c r="L63" s="77" t="n">
        <f aca="false">L62-L60</f>
        <v>183190.520429625</v>
      </c>
      <c r="M63" s="77" t="n">
        <f aca="false">M62-M60</f>
        <v>177281.148802863</v>
      </c>
      <c r="N63" s="77" t="n">
        <f aca="false">N62-N60</f>
        <v>183190.520429625</v>
      </c>
      <c r="O63" s="77" t="n">
        <f aca="false">O62-O60</f>
        <v>177281.148802863</v>
      </c>
      <c r="P63" s="77" t="n">
        <f aca="false">P62-P60</f>
        <v>188825.198292567</v>
      </c>
      <c r="Q63" s="77" t="n">
        <f aca="false">Q62-Q60</f>
        <v>209056.469538199</v>
      </c>
      <c r="R63" s="77" t="n">
        <f aca="false">R62-R60</f>
        <v>188825.198292567</v>
      </c>
      <c r="S63" s="77" t="n">
        <f aca="false">S62-S60</f>
        <v>195119.371568986</v>
      </c>
      <c r="T63" s="77" t="n">
        <f aca="false">T62-T60</f>
        <v>188825.198292567</v>
      </c>
      <c r="U63" s="77" t="n">
        <f aca="false">U62-U60</f>
        <v>195119.371568986</v>
      </c>
      <c r="V63" s="77" t="n">
        <f aca="false">V62-V60</f>
        <v>203873.321123293</v>
      </c>
      <c r="W63" s="77" t="n">
        <f aca="false">W62-W60</f>
        <v>203873.321123293</v>
      </c>
      <c r="X63" s="77" t="n">
        <f aca="false">X62-X60</f>
        <v>210669.098494069</v>
      </c>
      <c r="Y63" s="77" t="n">
        <f aca="false">Y62-Y60</f>
        <v>203873.321123293</v>
      </c>
      <c r="Z63" s="77" t="n">
        <f aca="false">Z62-Z60</f>
        <v>210669.098494069</v>
      </c>
      <c r="AA63" s="77" t="n">
        <f aca="false">AA62-AA60</f>
        <v>203873.321123293</v>
      </c>
      <c r="AB63" s="77" t="n">
        <f aca="false">AB62-AB60</f>
        <v>217148.978036452</v>
      </c>
      <c r="AC63" s="77" t="n">
        <f aca="false">AC62-AC60</f>
        <v>232124.769625173</v>
      </c>
      <c r="AD63" s="77" t="n">
        <f aca="false">AD62-AD60</f>
        <v>217148.978036452</v>
      </c>
      <c r="AE63" s="77" t="n">
        <f aca="false">AE62-AE60</f>
        <v>224387.277304334</v>
      </c>
      <c r="AF63" s="77" t="n">
        <f aca="false">AF62-AF60</f>
        <v>217148.978036452</v>
      </c>
      <c r="AG63" s="77" t="n">
        <f aca="false">AG62-AG60</f>
        <v>224387.277304334</v>
      </c>
      <c r="AH63" s="77" t="n">
        <f aca="false">AH62-AH60</f>
        <v>234454.319291786</v>
      </c>
      <c r="AI63" s="77" t="n">
        <f aca="false">AI62-AI60</f>
        <v>234454.319291786</v>
      </c>
      <c r="AJ63" s="77" t="n">
        <f aca="false">AJ62-AJ60</f>
        <v>242269.463268179</v>
      </c>
      <c r="AK63" s="77" t="n">
        <f aca="false">AK62-AK60</f>
        <v>234454.319291786</v>
      </c>
      <c r="AL63" s="77" t="n">
        <f aca="false">AL62-AL60</f>
        <v>242269.463268179</v>
      </c>
      <c r="AM63" s="77" t="n">
        <f aca="false">AM62-AM60</f>
        <v>234454.319291786</v>
      </c>
    </row>
    <row r="64" customFormat="false" ht="21" hidden="false" customHeight="true" outlineLevel="0" collapsed="false">
      <c r="C64" s="56" t="s">
        <v>239</v>
      </c>
      <c r="D64" s="77"/>
      <c r="E64" s="77"/>
      <c r="F64" s="77"/>
      <c r="G64" s="77"/>
      <c r="H64" s="77"/>
      <c r="I64" s="77"/>
      <c r="J64" s="77" t="n">
        <f aca="false">J58+J61-J60-J63</f>
        <v>0</v>
      </c>
      <c r="K64" s="77" t="n">
        <f aca="false">K58+K61-K60-K63</f>
        <v>0</v>
      </c>
      <c r="L64" s="77" t="n">
        <f aca="false">L58+L61-L60-L63</f>
        <v>0</v>
      </c>
      <c r="M64" s="77" t="n">
        <f aca="false">M58+M61-M60-M63</f>
        <v>0</v>
      </c>
      <c r="N64" s="77" t="n">
        <f aca="false">N58+N61-N60-N63</f>
        <v>0</v>
      </c>
      <c r="O64" s="77" t="n">
        <f aca="false">O58+O61-O60-O63</f>
        <v>0</v>
      </c>
      <c r="P64" s="77" t="n">
        <f aca="false">P58+P61-P60-P63</f>
        <v>0</v>
      </c>
      <c r="Q64" s="77" t="n">
        <f aca="false">Q58+Q61-Q60-Q63</f>
        <v>0</v>
      </c>
      <c r="R64" s="77" t="n">
        <f aca="false">R58+R61-R60-R63</f>
        <v>0</v>
      </c>
      <c r="S64" s="77" t="n">
        <f aca="false">S58+S61-S60-S63</f>
        <v>0</v>
      </c>
      <c r="T64" s="77" t="n">
        <f aca="false">T58+T61-T60-T63</f>
        <v>0</v>
      </c>
      <c r="U64" s="77" t="n">
        <f aca="false">U58+U61-U60-U63</f>
        <v>0</v>
      </c>
      <c r="V64" s="77" t="n">
        <f aca="false">V58+V61-V60-V63</f>
        <v>0</v>
      </c>
      <c r="W64" s="77" t="n">
        <f aca="false">W58+W61-W60-W63</f>
        <v>0</v>
      </c>
      <c r="X64" s="77" t="n">
        <f aca="false">X58+X61-X60-X63</f>
        <v>0</v>
      </c>
      <c r="Y64" s="77" t="n">
        <f aca="false">Y58+Y61-Y60-Y63</f>
        <v>0</v>
      </c>
      <c r="Z64" s="77" t="n">
        <f aca="false">Z58+Z61-Z60-Z63</f>
        <v>0</v>
      </c>
      <c r="AA64" s="77" t="n">
        <f aca="false">AA58+AA61-AA60-AA63</f>
        <v>0</v>
      </c>
      <c r="AB64" s="77" t="n">
        <f aca="false">AB58+AB61-AB60-AB63</f>
        <v>0</v>
      </c>
      <c r="AC64" s="77" t="n">
        <f aca="false">AC58+AC61-AC60-AC63</f>
        <v>0</v>
      </c>
      <c r="AD64" s="77" t="n">
        <f aca="false">AD58+AD61-AD60-AD63</f>
        <v>0</v>
      </c>
      <c r="AE64" s="77" t="n">
        <f aca="false">AE58+AE61-AE60-AE63</f>
        <v>0</v>
      </c>
      <c r="AF64" s="77" t="n">
        <f aca="false">AF58+AF61-AF60-AF63</f>
        <v>0</v>
      </c>
      <c r="AG64" s="77" t="n">
        <f aca="false">AG58+AG61-AG60-AG63</f>
        <v>0</v>
      </c>
      <c r="AH64" s="77" t="n">
        <f aca="false">AH58+AH61-AH60-AH63</f>
        <v>0</v>
      </c>
      <c r="AI64" s="77" t="n">
        <f aca="false">AI58+AI61-AI60-AI63</f>
        <v>0</v>
      </c>
      <c r="AJ64" s="77" t="n">
        <f aca="false">AJ58+AJ61-AJ60-AJ63</f>
        <v>0</v>
      </c>
      <c r="AK64" s="77" t="n">
        <f aca="false">AK58+AK61-AK60-AK63</f>
        <v>0</v>
      </c>
      <c r="AL64" s="77" t="n">
        <f aca="false">AL58+AL61-AL60-AL63</f>
        <v>0</v>
      </c>
      <c r="AM64" s="77" t="n">
        <f aca="false">AM58+AM61-AM60-AM63</f>
        <v>0</v>
      </c>
    </row>
    <row r="65" customFormat="false" ht="21" hidden="false" customHeight="true" outlineLevel="0" collapsed="false">
      <c r="C65" s="56" t="s">
        <v>240</v>
      </c>
      <c r="D65" s="76"/>
      <c r="E65" s="76"/>
      <c r="F65" s="76"/>
      <c r="G65" s="76"/>
      <c r="H65" s="76"/>
      <c r="I65" s="76"/>
      <c r="J65" s="76" t="n">
        <f aca="false">(SourceAnalysis!D20*SourceAnalysis!D25*1000000/SourceAnalysis!D21)*(1+Inputs!J21)</f>
        <v>377.279247321924</v>
      </c>
      <c r="K65" s="76" t="n">
        <f aca="false">(Production!J65)*(1+Inputs!K21)</f>
        <v>377.279247321924</v>
      </c>
      <c r="L65" s="76" t="n">
        <f aca="false">(Production!K65)*(1+Inputs!L21)</f>
        <v>377.279247321924</v>
      </c>
      <c r="M65" s="76" t="n">
        <f aca="false">(Production!L65)*(1+Inputs!M21)</f>
        <v>377.279247321924</v>
      </c>
      <c r="N65" s="76" t="n">
        <f aca="false">(Production!M65)*(1+Inputs!N21)</f>
        <v>377.279247321924</v>
      </c>
      <c r="O65" s="76" t="n">
        <f aca="false">(Production!N65)*(1+Inputs!O21)</f>
        <v>377.279247321924</v>
      </c>
      <c r="P65" s="76" t="n">
        <f aca="false">(Production!O65)*(1+Inputs!P21)</f>
        <v>384.824832268363</v>
      </c>
      <c r="Q65" s="76" t="n">
        <f aca="false">(Production!P65)*(1+Inputs!Q21)</f>
        <v>384.824832268363</v>
      </c>
      <c r="R65" s="76" t="n">
        <f aca="false">(Production!Q65)*(1+Inputs!R21)</f>
        <v>384.824832268363</v>
      </c>
      <c r="S65" s="76" t="n">
        <f aca="false">(Production!R65)*(1+Inputs!S21)</f>
        <v>384.824832268363</v>
      </c>
      <c r="T65" s="76" t="n">
        <f aca="false">(Production!S65)*(1+Inputs!T21)</f>
        <v>384.824832268363</v>
      </c>
      <c r="U65" s="76" t="n">
        <f aca="false">(Production!T65)*(1+Inputs!U21)</f>
        <v>384.824832268363</v>
      </c>
      <c r="V65" s="76" t="n">
        <f aca="false">(Production!U65)*(1+Inputs!V21)</f>
        <v>384.824832268363</v>
      </c>
      <c r="W65" s="76" t="n">
        <f aca="false">(Production!V65)*(1+Inputs!W21)</f>
        <v>384.824832268363</v>
      </c>
      <c r="X65" s="76" t="n">
        <f aca="false">(Production!W65)*(1+Inputs!X21)</f>
        <v>384.824832268363</v>
      </c>
      <c r="Y65" s="76" t="n">
        <f aca="false">(Production!X65)*(1+Inputs!Y21)</f>
        <v>384.824832268363</v>
      </c>
      <c r="Z65" s="76" t="n">
        <f aca="false">(Production!Y65)*(1+Inputs!Z21)</f>
        <v>384.824832268363</v>
      </c>
      <c r="AA65" s="76" t="n">
        <f aca="false">(Production!Z65)*(1+Inputs!AA21)</f>
        <v>384.824832268363</v>
      </c>
      <c r="AB65" s="76" t="n">
        <f aca="false">(Production!AA65)*(1+Inputs!AB21)</f>
        <v>392.52132891373</v>
      </c>
      <c r="AC65" s="76" t="n">
        <f aca="false">(Production!AB65)*(1+Inputs!AC21)</f>
        <v>392.52132891373</v>
      </c>
      <c r="AD65" s="76" t="n">
        <f aca="false">(Production!AC65)*(1+Inputs!AD21)</f>
        <v>392.52132891373</v>
      </c>
      <c r="AE65" s="76" t="n">
        <f aca="false">(Production!AD65)*(1+Inputs!AE21)</f>
        <v>392.52132891373</v>
      </c>
      <c r="AF65" s="76" t="n">
        <f aca="false">(Production!AE65)*(1+Inputs!AF21)</f>
        <v>392.52132891373</v>
      </c>
      <c r="AG65" s="76" t="n">
        <f aca="false">(Production!AF65)*(1+Inputs!AG21)</f>
        <v>392.52132891373</v>
      </c>
      <c r="AH65" s="76" t="n">
        <f aca="false">(Production!AG65)*(1+Inputs!AH21)</f>
        <v>392.52132891373</v>
      </c>
      <c r="AI65" s="76" t="n">
        <f aca="false">(Production!AH65)*(1+Inputs!AI21)</f>
        <v>392.52132891373</v>
      </c>
      <c r="AJ65" s="76" t="n">
        <f aca="false">(Production!AI65)*(1+Inputs!AJ21)</f>
        <v>392.52132891373</v>
      </c>
      <c r="AK65" s="76" t="n">
        <f aca="false">(Production!AJ65)*(1+Inputs!AK21)</f>
        <v>392.52132891373</v>
      </c>
      <c r="AL65" s="76" t="n">
        <f aca="false">(Production!AK65)*(1+Inputs!AL21)</f>
        <v>392.52132891373</v>
      </c>
      <c r="AM65" s="76" t="n">
        <f aca="false">(Production!AL65)*(1+Inputs!AM21)</f>
        <v>392.52132891373</v>
      </c>
    </row>
    <row r="66" customFormat="false" ht="21" hidden="false" customHeight="true" outlineLevel="0" collapsed="false">
      <c r="C66" s="56" t="s">
        <v>241</v>
      </c>
      <c r="D66" s="76"/>
      <c r="E66" s="76"/>
      <c r="F66" s="76"/>
      <c r="G66" s="76"/>
      <c r="H66" s="76"/>
      <c r="I66" s="76"/>
      <c r="J66" s="76" t="n">
        <f aca="false">(SourceAnalysis!D29*SourceAnalysis!D20/(SourceDetail!E80/1000000)*1000000/SourceAnalysis!D21)*(1+Inputs!J22)</f>
        <v>40.3227916346674</v>
      </c>
      <c r="K66" s="76" t="n">
        <f aca="false">(Production!J66)*(1+Inputs!K22)</f>
        <v>40.3227916346674</v>
      </c>
      <c r="L66" s="76" t="n">
        <f aca="false">(Production!K66)*(1+Inputs!L22)</f>
        <v>40.3227916346674</v>
      </c>
      <c r="M66" s="76" t="n">
        <f aca="false">(Production!L66)*(1+Inputs!M22)</f>
        <v>40.3227916346674</v>
      </c>
      <c r="N66" s="76" t="n">
        <f aca="false">(Production!M66)*(1+Inputs!N22)</f>
        <v>40.3227916346674</v>
      </c>
      <c r="O66" s="76" t="n">
        <f aca="false">(Production!N66)*(1+Inputs!O22)</f>
        <v>40.3227916346674</v>
      </c>
      <c r="P66" s="76" t="n">
        <f aca="false">(Production!O66)*(1+Inputs!P22)</f>
        <v>41.1292474673607</v>
      </c>
      <c r="Q66" s="76" t="n">
        <f aca="false">(Production!P66)*(1+Inputs!Q22)</f>
        <v>41.1292474673607</v>
      </c>
      <c r="R66" s="76" t="n">
        <f aca="false">(Production!Q66)*(1+Inputs!R22)</f>
        <v>41.1292474673607</v>
      </c>
      <c r="S66" s="76" t="n">
        <f aca="false">(Production!R66)*(1+Inputs!S22)</f>
        <v>41.1292474673607</v>
      </c>
      <c r="T66" s="76" t="n">
        <f aca="false">(Production!S66)*(1+Inputs!T22)</f>
        <v>41.1292474673607</v>
      </c>
      <c r="U66" s="76" t="n">
        <f aca="false">(Production!T66)*(1+Inputs!U22)</f>
        <v>41.1292474673607</v>
      </c>
      <c r="V66" s="76" t="n">
        <f aca="false">(Production!U66)*(1+Inputs!V22)</f>
        <v>41.1292474673607</v>
      </c>
      <c r="W66" s="76" t="n">
        <f aca="false">(Production!V66)*(1+Inputs!W22)</f>
        <v>41.1292474673607</v>
      </c>
      <c r="X66" s="76" t="n">
        <f aca="false">(Production!W66)*(1+Inputs!X22)</f>
        <v>41.1292474673607</v>
      </c>
      <c r="Y66" s="76" t="n">
        <f aca="false">(Production!X66)*(1+Inputs!Y22)</f>
        <v>41.1292474673607</v>
      </c>
      <c r="Z66" s="76" t="n">
        <f aca="false">(Production!Y66)*(1+Inputs!Z22)</f>
        <v>41.1292474673607</v>
      </c>
      <c r="AA66" s="76" t="n">
        <f aca="false">(Production!Z66)*(1+Inputs!AA22)</f>
        <v>41.1292474673607</v>
      </c>
      <c r="AB66" s="76" t="n">
        <f aca="false">(Production!AA66)*(1+Inputs!AB22)</f>
        <v>41.9518324167079</v>
      </c>
      <c r="AC66" s="76" t="n">
        <f aca="false">(Production!AB66)*(1+Inputs!AC22)</f>
        <v>41.9518324167079</v>
      </c>
      <c r="AD66" s="76" t="n">
        <f aca="false">(Production!AC66)*(1+Inputs!AD22)</f>
        <v>41.9518324167079</v>
      </c>
      <c r="AE66" s="76" t="n">
        <f aca="false">(Production!AD66)*(1+Inputs!AE22)</f>
        <v>41.9518324167079</v>
      </c>
      <c r="AF66" s="76" t="n">
        <f aca="false">(Production!AE66)*(1+Inputs!AF22)</f>
        <v>41.9518324167079</v>
      </c>
      <c r="AG66" s="76" t="n">
        <f aca="false">(Production!AF66)*(1+Inputs!AG22)</f>
        <v>41.9518324167079</v>
      </c>
      <c r="AH66" s="76" t="n">
        <f aca="false">(Production!AG66)*(1+Inputs!AH22)</f>
        <v>41.9518324167079</v>
      </c>
      <c r="AI66" s="76" t="n">
        <f aca="false">(Production!AH66)*(1+Inputs!AI22)</f>
        <v>41.9518324167079</v>
      </c>
      <c r="AJ66" s="76" t="n">
        <f aca="false">(Production!AI66)*(1+Inputs!AJ22)</f>
        <v>41.9518324167079</v>
      </c>
      <c r="AK66" s="76" t="n">
        <f aca="false">(Production!AJ66)*(1+Inputs!AK22)</f>
        <v>41.9518324167079</v>
      </c>
      <c r="AL66" s="76" t="n">
        <f aca="false">(Production!AK66)*(1+Inputs!AL22)</f>
        <v>41.9518324167079</v>
      </c>
      <c r="AM66" s="76" t="n">
        <f aca="false">(Production!AL66)*(1+Inputs!AM22)</f>
        <v>41.9518324167079</v>
      </c>
    </row>
    <row r="67" customFormat="false" ht="21" hidden="false" customHeight="true" outlineLevel="0" collapsed="false">
      <c r="C67" s="56" t="s">
        <v>242</v>
      </c>
      <c r="D67" s="71"/>
      <c r="E67" s="71"/>
      <c r="F67" s="71"/>
      <c r="G67" s="71"/>
      <c r="H67" s="71"/>
      <c r="I67" s="71"/>
      <c r="J67" s="71" t="n">
        <f aca="false">J61*J65/1000000</f>
        <v>52.5646421797958</v>
      </c>
      <c r="K67" s="71" t="n">
        <f aca="false">K61*K65/1000000</f>
        <v>46.0448233665934</v>
      </c>
      <c r="L67" s="71" t="n">
        <f aca="false">L61*L65/1000000</f>
        <v>48.2743066460837</v>
      </c>
      <c r="M67" s="71" t="n">
        <f aca="false">M61*M65/1000000</f>
        <v>43.815340087103</v>
      </c>
      <c r="N67" s="71" t="n">
        <f aca="false">N61*N65/1000000</f>
        <v>48.2743066460837</v>
      </c>
      <c r="O67" s="71" t="n">
        <f aca="false">O61*O65/1000000</f>
        <v>43.815340087103</v>
      </c>
      <c r="P67" s="71" t="n">
        <f aca="false">P61*P65/1000000</f>
        <v>54.4664322429878</v>
      </c>
      <c r="Q67" s="71" t="n">
        <f aca="false">Q61*Q65/1000000</f>
        <v>57.8094908980909</v>
      </c>
      <c r="R67" s="71" t="n">
        <f aca="false">R61*R65/1000000</f>
        <v>42.2384997707385</v>
      </c>
      <c r="S67" s="71" t="n">
        <f aca="false">S61*S65/1000000</f>
        <v>52.4461495097806</v>
      </c>
      <c r="T67" s="71" t="n">
        <f aca="false">T61*T65/1000000</f>
        <v>47.6018411590488</v>
      </c>
      <c r="U67" s="71" t="n">
        <f aca="false">U61*U65/1000000</f>
        <v>52.4461495097806</v>
      </c>
      <c r="V67" s="71" t="n">
        <f aca="false">V61*V65/1000000</f>
        <v>57.3793149779357</v>
      </c>
      <c r="W67" s="71" t="n">
        <f aca="false">W61*W65/1000000</f>
        <v>54.010577809014</v>
      </c>
      <c r="X67" s="71" t="n">
        <f aca="false">X61*X65/1000000</f>
        <v>56.6257616958562</v>
      </c>
      <c r="Y67" s="71" t="n">
        <f aca="false">Y61*Y65/1000000</f>
        <v>51.3953939221719</v>
      </c>
      <c r="Z67" s="71" t="n">
        <f aca="false">Z61*Z65/1000000</f>
        <v>56.6257616958562</v>
      </c>
      <c r="AA67" s="71" t="n">
        <f aca="false">AA61*AA65/1000000</f>
        <v>51.3953939221719</v>
      </c>
      <c r="AB67" s="71" t="n">
        <f aca="false">AB61*AB65/1000000</f>
        <v>63.8891250210247</v>
      </c>
      <c r="AC67" s="71" t="n">
        <f aca="false">AC61*AC65/1000000</f>
        <v>64.5564641432082</v>
      </c>
      <c r="AD67" s="71" t="n">
        <f aca="false">AD61*AD65/1000000</f>
        <v>52.7998289113287</v>
      </c>
      <c r="AE67" s="71" t="n">
        <f aca="false">AE61*AE65/1000000</f>
        <v>61.5193333749726</v>
      </c>
      <c r="AF67" s="71" t="n">
        <f aca="false">AF61*AF65/1000000</f>
        <v>55.8369596795642</v>
      </c>
      <c r="AG67" s="71" t="n">
        <f aca="false">AG61*AG65/1000000</f>
        <v>61.5193333749726</v>
      </c>
      <c r="AH67" s="71" t="n">
        <f aca="false">AH61*AH65/1000000</f>
        <v>67.3059364691186</v>
      </c>
      <c r="AI67" s="71" t="n">
        <f aca="false">AI61*AI65/1000000</f>
        <v>63.3544077699735</v>
      </c>
      <c r="AJ67" s="71" t="n">
        <f aca="false">AJ61*AJ65/1000000</f>
        <v>66.4220184692393</v>
      </c>
      <c r="AK67" s="71" t="n">
        <f aca="false">AK61*AK65/1000000</f>
        <v>60.2867970707076</v>
      </c>
      <c r="AL67" s="71" t="n">
        <f aca="false">AL61*AL65/1000000</f>
        <v>66.4220184692393</v>
      </c>
      <c r="AM67" s="71" t="n">
        <f aca="false">AM61*AM65/1000000</f>
        <v>60.2867970707076</v>
      </c>
    </row>
    <row r="68" customFormat="false" ht="21" hidden="false" customHeight="true" outlineLevel="0" collapsed="false">
      <c r="C68" s="56" t="s">
        <v>243</v>
      </c>
      <c r="D68" s="69"/>
      <c r="E68" s="69"/>
      <c r="F68" s="69"/>
      <c r="G68" s="69"/>
      <c r="H68" s="69"/>
      <c r="I68" s="69"/>
      <c r="J68" s="69" t="n">
        <f aca="false">Payroll!J16*IF(Production!J84&gt;0,J61*SourceAnalysis!D20/SourceAnalysis!D21/Production!J84,0)</f>
        <v>3.79726621607297</v>
      </c>
      <c r="K68" s="69" t="n">
        <f aca="false">Payroll!K16*IF(Production!K84&gt;0,K61*SourceAnalysis!D20/SourceAnalysis!D21/Production!K84,0)</f>
        <v>3.33173975571571</v>
      </c>
      <c r="L68" s="69" t="n">
        <f aca="false">Payroll!L16*IF(Production!L84&gt;0,L61*SourceAnalysis!D20/SourceAnalysis!D21/Production!L84,0)</f>
        <v>3.40329402595544</v>
      </c>
      <c r="M68" s="69" t="n">
        <f aca="false">Payroll!M16*IF(Production!M84&gt;0,M61*SourceAnalysis!D20/SourceAnalysis!D21/Production!M84,0)</f>
        <v>3.25630847476761</v>
      </c>
      <c r="N68" s="69" t="n">
        <f aca="false">Payroll!N16*IF(Production!N84&gt;0,N61*SourceAnalysis!D20/SourceAnalysis!D21/Production!N84,0)</f>
        <v>3.40329402595544</v>
      </c>
      <c r="O68" s="69" t="n">
        <f aca="false">Payroll!O16*IF(Production!O84&gt;0,O61*SourceAnalysis!D20/SourceAnalysis!D21/Production!O84,0)</f>
        <v>3.25630847476761</v>
      </c>
      <c r="P68" s="69" t="n">
        <f aca="false">Payroll!P16*IF(Production!P84&gt;0,P61*SourceAnalysis!D20/SourceAnalysis!D21/Production!P84,0)</f>
        <v>3.56402900811241</v>
      </c>
      <c r="Q68" s="69" t="n">
        <f aca="false">Payroll!Q16*IF(Production!Q84&gt;0,Q61*SourceAnalysis!D20/SourceAnalysis!D21/Production!Q84,0)</f>
        <v>3.65583298407461</v>
      </c>
      <c r="R68" s="69" t="n">
        <f aca="false">Payroll!R16*IF(Production!R84&gt;0,R61*SourceAnalysis!D20/SourceAnalysis!D21/Production!R84,0)</f>
        <v>3.16602358886608</v>
      </c>
      <c r="S68" s="69" t="n">
        <f aca="false">Payroll!S16*IF(Production!S84&gt;0,S61*SourceAnalysis!D20/SourceAnalysis!D21/Production!S84,0)</f>
        <v>3.5053928467341</v>
      </c>
      <c r="T68" s="69" t="n">
        <f aca="false">Payroll!T16*IF(Production!T84&gt;0,T61*SourceAnalysis!D20/SourceAnalysis!D21/Production!T84,0)</f>
        <v>3.35399772901064</v>
      </c>
      <c r="U68" s="69" t="n">
        <f aca="false">Payroll!U16*IF(Production!U84&gt;0,U61*SourceAnalysis!D20/SourceAnalysis!D21/Production!U84,0)</f>
        <v>3.5053928467341</v>
      </c>
      <c r="V68" s="69" t="n">
        <f aca="false">Payroll!V16*IF(Production!V84&gt;0,V61*SourceAnalysis!D20/SourceAnalysis!D21/Production!V84,0)</f>
        <v>4.24652109743859</v>
      </c>
      <c r="W68" s="69" t="n">
        <f aca="false">Payroll!W16*IF(Production!W84&gt;0,W61*SourceAnalysis!D20/SourceAnalysis!D21/Production!W84,0)</f>
        <v>3.81674940181361</v>
      </c>
      <c r="X68" s="69" t="n">
        <f aca="false">Payroll!X16*IF(Production!X84&gt;0,X61*SourceAnalysis!D20/SourceAnalysis!D21/Production!X84,0)</f>
        <v>3.89797898375809</v>
      </c>
      <c r="Y68" s="69" t="n">
        <f aca="false">Payroll!Y16*IF(Production!Y84&gt;0,Y61*SourceAnalysis!D20/SourceAnalysis!D21/Production!Y84,0)</f>
        <v>3.73108512742233</v>
      </c>
      <c r="Z68" s="69" t="n">
        <f aca="false">Payroll!Z16*IF(Production!Z84&gt;0,Z61*SourceAnalysis!D20/SourceAnalysis!D21/Production!Z84,0)</f>
        <v>3.89797898375809</v>
      </c>
      <c r="AA68" s="69" t="n">
        <f aca="false">Payroll!AA16*IF(Production!AA84&gt;0,AA61*SourceAnalysis!D20/SourceAnalysis!D21/Production!AA84,0)</f>
        <v>3.73108512742233</v>
      </c>
      <c r="AB68" s="69" t="n">
        <f aca="false">Payroll!AB16*IF(Production!AB84&gt;0,AB61*SourceAnalysis!D20/SourceAnalysis!D21/Production!AB84,0)</f>
        <v>4.08146037189804</v>
      </c>
      <c r="AC68" s="69" t="n">
        <f aca="false">Payroll!AC16*IF(Production!AC84&gt;0,AC61*SourceAnalysis!D20/SourceAnalysis!D21/Production!AC84,0)</f>
        <v>4.09969424925102</v>
      </c>
      <c r="AD68" s="69" t="n">
        <f aca="false">Payroll!AD16*IF(Production!AD84&gt;0,AD61*SourceAnalysis!D20/SourceAnalysis!D21/Production!AD84,0)</f>
        <v>3.74321136799547</v>
      </c>
      <c r="AE68" s="69" t="n">
        <f aca="false">Payroll!AE16*IF(Production!AE84&gt;0,AE61*SourceAnalysis!D20/SourceAnalysis!D21/Production!AE84,0)</f>
        <v>4.01491835327083</v>
      </c>
      <c r="AF68" s="69" t="n">
        <f aca="false">Payroll!AF16*IF(Production!AF84&gt;0,AF61*SourceAnalysis!D20/SourceAnalysis!D21/Production!AF84,0)</f>
        <v>3.843017681245</v>
      </c>
      <c r="AG68" s="69" t="n">
        <f aca="false">Payroll!AG16*IF(Production!AG84&gt;0,AG61*SourceAnalysis!D20/SourceAnalysis!D21/Production!AG84,0)</f>
        <v>4.01491835327083</v>
      </c>
      <c r="AH68" s="69" t="n">
        <f aca="false">Payroll!AH16*IF(Production!AH84&gt;0,AH61*SourceAnalysis!D20/SourceAnalysis!D21/Production!AH84,0)</f>
        <v>4.85471240607606</v>
      </c>
      <c r="AI68" s="69" t="n">
        <f aca="false">Payroll!AI16*IF(Production!AI84&gt;0,AI61*SourceAnalysis!D20/SourceAnalysis!D21/Production!AI84,0)</f>
        <v>4.36807357527297</v>
      </c>
      <c r="AJ68" s="69" t="n">
        <f aca="false">Payroll!AJ16*IF(Production!AJ84&gt;0,AJ61*SourceAnalysis!D20/SourceAnalysis!D21/Production!AJ84,0)</f>
        <v>4.46010637417792</v>
      </c>
      <c r="AK68" s="69" t="n">
        <f aca="false">Payroll!AK16*IF(Production!AK84&gt;0,AK61*SourceAnalysis!D20/SourceAnalysis!D21/Production!AK84,0)</f>
        <v>4.2709746845938</v>
      </c>
      <c r="AL68" s="69" t="n">
        <f aca="false">Payroll!AL16*IF(Production!AL84&gt;0,AL61*SourceAnalysis!D20/SourceAnalysis!D21/Production!AL84,0)</f>
        <v>4.46010637417792</v>
      </c>
      <c r="AM68" s="69" t="n">
        <f aca="false">Payroll!AM16*IF(Production!AM84&gt;0,AM61*SourceAnalysis!D20/SourceAnalysis!D21/Production!AM84,0)</f>
        <v>4.2709746845938</v>
      </c>
    </row>
    <row r="69" customFormat="false" ht="21" hidden="false" customHeight="true" outlineLevel="0" collapsed="false">
      <c r="C69" s="56" t="s">
        <v>244</v>
      </c>
      <c r="D69" s="71"/>
      <c r="E69" s="71"/>
      <c r="F69" s="71"/>
      <c r="G69" s="71"/>
      <c r="H69" s="71"/>
      <c r="I69" s="71"/>
      <c r="J69" s="71" t="n">
        <f aca="false">J61*J66/1000000</f>
        <v>5.61799550071245</v>
      </c>
      <c r="K69" s="71" t="n">
        <f aca="false">K61*K66/1000000</f>
        <v>4.92117133832692</v>
      </c>
      <c r="L69" s="71" t="n">
        <f aca="false">L61*L66/1000000</f>
        <v>5.15945369912466</v>
      </c>
      <c r="M69" s="71" t="n">
        <f aca="false">M61*M66/1000000</f>
        <v>4.68288897752918</v>
      </c>
      <c r="N69" s="71" t="n">
        <f aca="false">N61*N66/1000000</f>
        <v>5.15945369912466</v>
      </c>
      <c r="O69" s="71" t="n">
        <f aca="false">O61*O66/1000000</f>
        <v>4.68288897752918</v>
      </c>
      <c r="P69" s="71" t="n">
        <f aca="false">P61*P66/1000000</f>
        <v>5.82125471784489</v>
      </c>
      <c r="Q69" s="71" t="n">
        <f aca="false">Q61*Q66/1000000</f>
        <v>6.1785536112483</v>
      </c>
      <c r="R69" s="71" t="n">
        <f aca="false">R61*R66/1000000</f>
        <v>4.51435968796649</v>
      </c>
      <c r="S69" s="71" t="n">
        <f aca="false">S61*S66/1000000</f>
        <v>5.60533125989567</v>
      </c>
      <c r="T69" s="71" t="n">
        <f aca="false">T61*T66/1000000</f>
        <v>5.08758203931911</v>
      </c>
      <c r="U69" s="71" t="n">
        <f aca="false">U61*U66/1000000</f>
        <v>5.60533125989567</v>
      </c>
      <c r="V69" s="71" t="n">
        <f aca="false">V61*V66/1000000</f>
        <v>6.13257733739334</v>
      </c>
      <c r="W69" s="71" t="n">
        <f aca="false">W61*W66/1000000</f>
        <v>5.77253397985748</v>
      </c>
      <c r="X69" s="71" t="n">
        <f aca="false">X61*X66/1000000</f>
        <v>6.05203918907323</v>
      </c>
      <c r="Y69" s="71" t="n">
        <f aca="false">Y61*Y66/1000000</f>
        <v>5.49302877064172</v>
      </c>
      <c r="Z69" s="71" t="n">
        <f aca="false">Z61*Z66/1000000</f>
        <v>6.05203918907323</v>
      </c>
      <c r="AA69" s="71" t="n">
        <f aca="false">AA61*AA66/1000000</f>
        <v>5.49302877064172</v>
      </c>
      <c r="AB69" s="71" t="n">
        <f aca="false">AB61*AB66/1000000</f>
        <v>6.82833178403206</v>
      </c>
      <c r="AC69" s="71" t="n">
        <f aca="false">AC61*AC66/1000000</f>
        <v>6.89965554902703</v>
      </c>
      <c r="AD69" s="71" t="n">
        <f aca="false">AD61*AD66/1000000</f>
        <v>5.64313175095191</v>
      </c>
      <c r="AE69" s="71" t="n">
        <f aca="false">AE61*AE66/1000000</f>
        <v>6.57505356785763</v>
      </c>
      <c r="AF69" s="71" t="n">
        <f aca="false">AF61*AF66/1000000</f>
        <v>5.96773373212132</v>
      </c>
      <c r="AG69" s="71" t="n">
        <f aca="false">AG61*AG66/1000000</f>
        <v>6.57505356785763</v>
      </c>
      <c r="AH69" s="71" t="n">
        <f aca="false">AH61*AH66/1000000</f>
        <v>7.19351321676238</v>
      </c>
      <c r="AI69" s="71" t="n">
        <f aca="false">AI61*AI66/1000000</f>
        <v>6.77118235837282</v>
      </c>
      <c r="AJ69" s="71" t="n">
        <f aca="false">AJ61*AJ66/1000000</f>
        <v>7.0990419687829</v>
      </c>
      <c r="AK69" s="71" t="n">
        <f aca="false">AK61*AK66/1000000</f>
        <v>6.44332274796274</v>
      </c>
      <c r="AL69" s="71" t="n">
        <f aca="false">AL61*AL66/1000000</f>
        <v>7.0990419687829</v>
      </c>
      <c r="AM69" s="71" t="n">
        <f aca="false">AM61*AM66/1000000</f>
        <v>6.44332274796274</v>
      </c>
    </row>
    <row r="70" customFormat="false" ht="21" hidden="false" customHeight="true" outlineLevel="0" collapsed="false">
      <c r="C70" s="56" t="s">
        <v>245</v>
      </c>
      <c r="D70" s="69"/>
      <c r="E70" s="69"/>
      <c r="F70" s="69"/>
      <c r="G70" s="69"/>
      <c r="H70" s="69"/>
      <c r="I70" s="69"/>
      <c r="J70" s="69" t="n">
        <f aca="false">Assets!J100*SourceAnalysis!D28*IF(Production!J84&gt;0,J61*SourceAnalysis!D20/SourceAnalysis!D21/Production!J84,0)</f>
        <v>1.33040637300744</v>
      </c>
      <c r="K70" s="69" t="n">
        <f aca="false">Assets!K100*SourceAnalysis!D28*IF(Production!K84&gt;0,K61*SourceAnalysis!D20/SourceAnalysis!D21/Production!K84,0)</f>
        <v>1.17664880039234</v>
      </c>
      <c r="L70" s="69" t="n">
        <f aca="false">Assets!L100*SourceAnalysis!D28*IF(Production!L84&gt;0,L61*SourceAnalysis!D20/SourceAnalysis!D21/Production!L84,0)</f>
        <v>1.21146363804372</v>
      </c>
      <c r="M70" s="69" t="n">
        <f aca="false">Assets!M100*SourceAnalysis!D28*IF(Production!M84&gt;0,M61*SourceAnalysis!D20/SourceAnalysis!D21/Production!M84,0)</f>
        <v>1.16827375507581</v>
      </c>
      <c r="N70" s="69" t="n">
        <f aca="false">Assets!N100*SourceAnalysis!D28*IF(Production!N84&gt;0,N61*SourceAnalysis!D20/SourceAnalysis!D21/Production!N84,0)</f>
        <v>1.23055260343893</v>
      </c>
      <c r="O70" s="69" t="n">
        <f aca="false">Assets!O100*SourceAnalysis!D28*IF(Production!O84&gt;0,O61*SourceAnalysis!D20/SourceAnalysis!D21/Production!O84,0)</f>
        <v>1.18653828329962</v>
      </c>
      <c r="P70" s="69" t="n">
        <f aca="false">Assets!P100*SourceAnalysis!D28*IF(Production!P84&gt;0,P61*SourceAnalysis!D20/SourceAnalysis!D21/Production!P84,0)</f>
        <v>1.27054484213302</v>
      </c>
      <c r="Q70" s="69" t="n">
        <f aca="false">Assets!Q100*SourceAnalysis!D28*IF(Production!Q84&gt;0,Q61*SourceAnalysis!D20/SourceAnalysis!D21/Production!Q84,0)</f>
        <v>1.31372395430658</v>
      </c>
      <c r="R70" s="69" t="n">
        <f aca="false">Assets!R100*SourceAnalysis!D28*IF(Production!R84&gt;0,R61*SourceAnalysis!D20/SourceAnalysis!D21/Production!R84,0)</f>
        <v>1.14676236895001</v>
      </c>
      <c r="S70" s="69" t="n">
        <f aca="false">Assets!S100*SourceAnalysis!D28*IF(Production!S84&gt;0,S61*SourceAnalysis!D20/SourceAnalysis!D21/Production!S84,0)</f>
        <v>1.2797066893316</v>
      </c>
      <c r="T70" s="69" t="n">
        <f aca="false">Assets!T100*SourceAnalysis!D28*IF(Production!T84&gt;0,T61*SourceAnalysis!D20/SourceAnalysis!D21/Production!T84,0)</f>
        <v>1.23402605668151</v>
      </c>
      <c r="U70" s="69" t="n">
        <f aca="false">Assets!U100*SourceAnalysis!D28*IF(Production!U84&gt;0,U61*SourceAnalysis!D20/SourceAnalysis!D21/Production!U84,0)</f>
        <v>1.29975010299657</v>
      </c>
      <c r="V70" s="69" t="n">
        <f aca="false">Assets!V100*SourceAnalysis!D28*IF(Production!V84&gt;0,V61*SourceAnalysis!D20/SourceAnalysis!D21/Production!V84,0)</f>
        <v>1.5866905269837</v>
      </c>
      <c r="W70" s="69" t="n">
        <f aca="false">Assets!W100*SourceAnalysis!D28*IF(Production!W84&gt;0,W61*SourceAnalysis!D20/SourceAnalysis!D21/Production!W84,0)</f>
        <v>1.43702042409557</v>
      </c>
      <c r="X70" s="69" t="n">
        <f aca="false">Assets!X100*SourceAnalysis!D28*IF(Production!X84&gt;0,X61*SourceAnalysis!D20/SourceAnalysis!D21/Production!X84,0)</f>
        <v>1.41624017366182</v>
      </c>
      <c r="Y70" s="69" t="n">
        <f aca="false">Assets!Y100*SourceAnalysis!D28*IF(Production!Y84&gt;0,Y61*SourceAnalysis!D20/SourceAnalysis!D21/Production!Y84,0)</f>
        <v>1.36548633358513</v>
      </c>
      <c r="Z70" s="69" t="n">
        <f aca="false">Assets!Z100*SourceAnalysis!D28*IF(Production!Z84&gt;0,Z61*SourceAnalysis!D20/SourceAnalysis!D21/Production!Z84,0)</f>
        <v>1.43770950936194</v>
      </c>
      <c r="AA70" s="69" t="n">
        <f aca="false">Assets!AA100*SourceAnalysis!D28*IF(Production!AA84&gt;0,AA61*SourceAnalysis!D20/SourceAnalysis!D21/Production!AA84,0)</f>
        <v>1.38682022850017</v>
      </c>
      <c r="AB70" s="69" t="n">
        <f aca="false">Assets!AB100*SourceAnalysis!D28*IF(Production!AB84&gt;0,AB61*SourceAnalysis!D20/SourceAnalysis!D21/Production!AB84,0)</f>
        <v>1.48419523457909</v>
      </c>
      <c r="AC70" s="69" t="n">
        <f aca="false">Assets!AC100*SourceAnalysis!D28*IF(Production!AC84&gt;0,AC61*SourceAnalysis!D20/SourceAnalysis!D21/Production!AC84,0)</f>
        <v>1.50277422640192</v>
      </c>
      <c r="AD70" s="69" t="n">
        <f aca="false">Assets!AD100*SourceAnalysis!D28*IF(Production!AD84&gt;0,AD61*SourceAnalysis!D20/SourceAnalysis!D21/Production!AD84,0)</f>
        <v>1.38301211870014</v>
      </c>
      <c r="AE70" s="69" t="n">
        <f aca="false">Assets!AE100*SourceAnalysis!D28*IF(Production!AE84&gt;0,AE61*SourceAnalysis!D20/SourceAnalysis!D21/Production!AE84,0)</f>
        <v>1.49510155706115</v>
      </c>
      <c r="AF70" s="69" t="n">
        <f aca="false">Assets!AF100*SourceAnalysis!D28*IF(Production!AF84&gt;0,AF61*SourceAnalysis!D20/SourceAnalysis!D21/Production!AF84,0)</f>
        <v>1.44228835527926</v>
      </c>
      <c r="AG70" s="69" t="n">
        <f aca="false">Assets!AG100*SourceAnalysis!D28*IF(Production!AG84&gt;0,AG61*SourceAnalysis!D20/SourceAnalysis!D21/Production!AG84,0)</f>
        <v>1.51850413961811</v>
      </c>
      <c r="AH70" s="69" t="n">
        <f aca="false">Assets!AH100*SourceAnalysis!D28*IF(Production!AH84&gt;0,AH61*SourceAnalysis!D20/SourceAnalysis!D21/Production!AH84,0)</f>
        <v>1.85027605434783</v>
      </c>
      <c r="AI70" s="69" t="n">
        <f aca="false">Assets!AI100*SourceAnalysis!D28*IF(Production!AI84&gt;0,AI61*SourceAnalysis!D20/SourceAnalysis!D21/Production!AI84,0)</f>
        <v>1.67753399099181</v>
      </c>
      <c r="AJ70" s="69" t="n">
        <f aca="false">Assets!AJ100*SourceAnalysis!D28*IF(Production!AJ84&gt;0,AJ61*SourceAnalysis!D20/SourceAnalysis!D21/Production!AJ84,0)</f>
        <v>1.72587743861167</v>
      </c>
      <c r="AK70" s="69" t="n">
        <f aca="false">Assets!AK100*SourceAnalysis!D28*IF(Production!AK84&gt;0,AK61*SourceAnalysis!D20/SourceAnalysis!D21/Production!AK84,0)</f>
        <v>1.66513882122241</v>
      </c>
      <c r="AL70" s="69" t="n">
        <f aca="false">Assets!AL100*SourceAnalysis!D28*IF(Production!AL84&gt;0,AL61*SourceAnalysis!D20/SourceAnalysis!D21/Production!AL84,0)</f>
        <v>1.75187498039219</v>
      </c>
      <c r="AM70" s="69" t="n">
        <f aca="false">Assets!AM100*SourceAnalysis!D28*IF(Production!AM84&gt;0,AM61*SourceAnalysis!D20/SourceAnalysis!D21/Production!AM84,0)</f>
        <v>1.69003393212135</v>
      </c>
    </row>
    <row r="71" customFormat="false" ht="21" hidden="false" customHeight="true" outlineLevel="0" collapsed="false">
      <c r="C71" s="56" t="s">
        <v>246</v>
      </c>
      <c r="D71" s="71"/>
      <c r="E71" s="71"/>
      <c r="F71" s="71"/>
      <c r="G71" s="71"/>
      <c r="H71" s="71"/>
      <c r="I71" s="71"/>
      <c r="J71" s="71" t="n">
        <f aca="false">SUM(J67:J70)</f>
        <v>63.3103102695886</v>
      </c>
      <c r="K71" s="71" t="n">
        <f aca="false">SUM(K67:K70)</f>
        <v>55.4743832610284</v>
      </c>
      <c r="L71" s="71" t="n">
        <f aca="false">SUM(L67:L70)</f>
        <v>58.0485180092076</v>
      </c>
      <c r="M71" s="71" t="n">
        <f aca="false">SUM(M67:M70)</f>
        <v>52.9228112944756</v>
      </c>
      <c r="N71" s="71" t="n">
        <f aca="false">SUM(N67:N70)</f>
        <v>58.0676069746028</v>
      </c>
      <c r="O71" s="71" t="n">
        <f aca="false">SUM(O67:O70)</f>
        <v>52.9410758226994</v>
      </c>
      <c r="P71" s="71" t="n">
        <f aca="false">SUM(P67:P70)</f>
        <v>65.1222608110781</v>
      </c>
      <c r="Q71" s="71" t="n">
        <f aca="false">SUM(Q67:Q70)</f>
        <v>68.9576014477203</v>
      </c>
      <c r="R71" s="71" t="n">
        <f aca="false">SUM(R67:R70)</f>
        <v>51.0656454165211</v>
      </c>
      <c r="S71" s="71" t="n">
        <f aca="false">SUM(S67:S70)</f>
        <v>62.836580305742</v>
      </c>
      <c r="T71" s="71" t="n">
        <f aca="false">SUM(T67:T70)</f>
        <v>57.27744698406</v>
      </c>
      <c r="U71" s="71" t="n">
        <f aca="false">SUM(U67:U70)</f>
        <v>62.8566237194069</v>
      </c>
      <c r="V71" s="71" t="n">
        <f aca="false">SUM(V67:V70)</f>
        <v>69.3451039397513</v>
      </c>
      <c r="W71" s="71" t="n">
        <f aca="false">SUM(W67:W70)</f>
        <v>65.0368816147807</v>
      </c>
      <c r="X71" s="71" t="n">
        <f aca="false">SUM(X67:X70)</f>
        <v>67.9920200423493</v>
      </c>
      <c r="Y71" s="71" t="n">
        <f aca="false">SUM(Y67:Y70)</f>
        <v>61.9849941538211</v>
      </c>
      <c r="Z71" s="71" t="n">
        <f aca="false">SUM(Z67:Z70)</f>
        <v>68.0134893780495</v>
      </c>
      <c r="AA71" s="71" t="n">
        <f aca="false">SUM(AA67:AA70)</f>
        <v>62.0063280487361</v>
      </c>
      <c r="AB71" s="71" t="n">
        <f aca="false">SUM(AB67:AB70)</f>
        <v>76.2831124115339</v>
      </c>
      <c r="AC71" s="71" t="n">
        <f aca="false">SUM(AC67:AC70)</f>
        <v>77.0585881678881</v>
      </c>
      <c r="AD71" s="71" t="n">
        <f aca="false">SUM(AD67:AD70)</f>
        <v>63.5691841489762</v>
      </c>
      <c r="AE71" s="71" t="n">
        <f aca="false">SUM(AE67:AE70)</f>
        <v>73.6044068531622</v>
      </c>
      <c r="AF71" s="71" t="n">
        <f aca="false">SUM(AF67:AF70)</f>
        <v>67.0899994482098</v>
      </c>
      <c r="AG71" s="71" t="n">
        <f aca="false">SUM(AG67:AG70)</f>
        <v>73.6278094357192</v>
      </c>
      <c r="AH71" s="71" t="n">
        <f aca="false">SUM(AH67:AH70)</f>
        <v>81.2044381463048</v>
      </c>
      <c r="AI71" s="71" t="n">
        <f aca="false">SUM(AI67:AI70)</f>
        <v>76.1711976946111</v>
      </c>
      <c r="AJ71" s="71" t="n">
        <f aca="false">SUM(AJ67:AJ70)</f>
        <v>79.7070442508118</v>
      </c>
      <c r="AK71" s="71" t="n">
        <f aca="false">SUM(AK67:AK70)</f>
        <v>72.6662333244866</v>
      </c>
      <c r="AL71" s="71" t="n">
        <f aca="false">SUM(AL67:AL70)</f>
        <v>79.7330417925923</v>
      </c>
      <c r="AM71" s="71" t="n">
        <f aca="false">SUM(AM67:AM70)</f>
        <v>72.6911284353855</v>
      </c>
    </row>
    <row r="72" customFormat="false" ht="21" hidden="false" customHeight="true" outlineLevel="0" collapsed="false">
      <c r="C72" s="56" t="s">
        <v>247</v>
      </c>
      <c r="D72" s="69"/>
      <c r="E72" s="69"/>
      <c r="F72" s="69"/>
      <c r="G72" s="69"/>
      <c r="H72" s="69"/>
      <c r="I72" s="69"/>
      <c r="J72" s="69" t="n">
        <f aca="false">H1Data!D63*(SourceAnalysis!D22*SourceAnalysis!D20/SourceAnalysis!D21)/(SourceAnalysis!D12*SourceAnalysis!D10/SourceAnalysis!D11+SourceAnalysis!D17*SourceAnalysis!D15/SourceAnalysis!D16+SourceAnalysis!D22*SourceAnalysis!D20/SourceAnalysis!D21)</f>
        <v>105.048954708233</v>
      </c>
      <c r="K72" s="69" t="n">
        <f aca="false">Production!J76</f>
        <v>99.713916738636</v>
      </c>
      <c r="L72" s="69" t="n">
        <f aca="false">Production!K76</f>
        <v>91.913166923219</v>
      </c>
      <c r="M72" s="69" t="n">
        <f aca="false">Production!L76</f>
        <v>90.0013606426435</v>
      </c>
      <c r="N72" s="69" t="n">
        <f aca="false">Production!M76</f>
        <v>84.6495081951906</v>
      </c>
      <c r="O72" s="69" t="n">
        <f aca="false">Production!N76</f>
        <v>85.6534424647346</v>
      </c>
      <c r="P72" s="69" t="n">
        <f aca="false">Production!O76</f>
        <v>82.0851900176986</v>
      </c>
      <c r="Q72" s="69" t="n">
        <f aca="false">Production!P76</f>
        <v>87.186360056758</v>
      </c>
      <c r="R72" s="69" t="n">
        <f aca="false">Production!Q76</f>
        <v>96.278104338799</v>
      </c>
      <c r="S72" s="69" t="n">
        <f aca="false">Production!R76</f>
        <v>87.2670856397231</v>
      </c>
      <c r="T72" s="69" t="n">
        <f aca="false">Production!S76</f>
        <v>90.0865723043066</v>
      </c>
      <c r="U72" s="69" t="n">
        <f aca="false">Production!T76</f>
        <v>87.2790906489562</v>
      </c>
      <c r="V72" s="69" t="n">
        <f aca="false">Production!U76</f>
        <v>90.1058065618342</v>
      </c>
      <c r="W72" s="69" t="n">
        <f aca="false">Production!V76</f>
        <v>94.437777545235</v>
      </c>
      <c r="X72" s="69" t="n">
        <f aca="false">Production!W76</f>
        <v>94.4518431314068</v>
      </c>
      <c r="Y72" s="69" t="n">
        <f aca="false">Production!X76</f>
        <v>97.4926943523832</v>
      </c>
      <c r="Z72" s="69" t="n">
        <f aca="false">Production!Y76</f>
        <v>94.453637318223</v>
      </c>
      <c r="AA72" s="69" t="n">
        <f aca="false">Production!Z76</f>
        <v>97.506656243254</v>
      </c>
      <c r="AB72" s="69" t="n">
        <f aca="false">Production!AA76</f>
        <v>94.4745419060729</v>
      </c>
      <c r="AC72" s="69" t="n">
        <f aca="false">Production!AB76</f>
        <v>101.134407585788</v>
      </c>
      <c r="AD72" s="69" t="n">
        <f aca="false">Production!AC76</f>
        <v>108.389335622134</v>
      </c>
      <c r="AE72" s="69" t="n">
        <f aca="false">Production!AD76</f>
        <v>101.845642562138</v>
      </c>
      <c r="AF72" s="69" t="n">
        <f aca="false">Production!AE76</f>
        <v>105.298517946844</v>
      </c>
      <c r="AG72" s="69" t="n">
        <f aca="false">Production!AF76</f>
        <v>102.100316679879</v>
      </c>
      <c r="AH72" s="69" t="n">
        <f aca="false">Production!AG76</f>
        <v>105.465409119087</v>
      </c>
      <c r="AI72" s="69" t="n">
        <f aca="false">Production!AH76</f>
        <v>110.558700825209</v>
      </c>
      <c r="AJ72" s="69" t="n">
        <f aca="false">Production!AI76</f>
        <v>110.59426730137</v>
      </c>
      <c r="AK72" s="69" t="n">
        <f aca="false">Production!AJ76</f>
        <v>114.211686668455</v>
      </c>
      <c r="AL72" s="69" t="n">
        <f aca="false">Production!AK76</f>
        <v>110.681935781321</v>
      </c>
      <c r="AM72" s="69" t="n">
        <f aca="false">Production!AL76</f>
        <v>114.279904737753</v>
      </c>
    </row>
    <row r="73" customFormat="false" ht="21" hidden="false" customHeight="true" outlineLevel="0" collapsed="false">
      <c r="C73" s="56" t="s">
        <v>248</v>
      </c>
      <c r="D73" s="69"/>
      <c r="E73" s="69"/>
      <c r="F73" s="69"/>
      <c r="G73" s="69"/>
      <c r="H73" s="69"/>
      <c r="I73" s="69"/>
      <c r="J73" s="69" t="n">
        <f aca="false">Inventory!J18*IF(Production!J84&gt;0,J61*SourceAnalysis!D20/SourceAnalysis!D21/Production!J84,0)</f>
        <v>0</v>
      </c>
      <c r="K73" s="69" t="n">
        <f aca="false">Inventory!K18*IF(Production!K84&gt;0,K61*SourceAnalysis!D20/SourceAnalysis!D21/Production!K84,0)</f>
        <v>0</v>
      </c>
      <c r="L73" s="69" t="n">
        <f aca="false">Inventory!L18*IF(Production!L84&gt;0,L61*SourceAnalysis!D20/SourceAnalysis!D21/Production!L84,0)</f>
        <v>0</v>
      </c>
      <c r="M73" s="69" t="n">
        <f aca="false">Inventory!M18*IF(Production!M84&gt;0,M61*SourceAnalysis!D20/SourceAnalysis!D21/Production!M84,0)</f>
        <v>0</v>
      </c>
      <c r="N73" s="69" t="n">
        <f aca="false">Inventory!N18*IF(Production!N84&gt;0,N61*SourceAnalysis!D20/SourceAnalysis!D21/Production!N84,0)</f>
        <v>0</v>
      </c>
      <c r="O73" s="69" t="n">
        <f aca="false">Inventory!O18*IF(Production!O84&gt;0,O61*SourceAnalysis!D20/SourceAnalysis!D21/Production!O84,0)</f>
        <v>0</v>
      </c>
      <c r="P73" s="69" t="n">
        <f aca="false">Inventory!P18*IF(Production!P84&gt;0,P61*SourceAnalysis!D20/SourceAnalysis!D21/Production!P84,0)</f>
        <v>0</v>
      </c>
      <c r="Q73" s="69" t="n">
        <f aca="false">Inventory!Q18*IF(Production!Q84&gt;0,Q61*SourceAnalysis!D20/SourceAnalysis!D21/Production!Q84,0)</f>
        <v>0</v>
      </c>
      <c r="R73" s="69" t="n">
        <f aca="false">Inventory!R18*IF(Production!R84&gt;0,R61*SourceAnalysis!D20/SourceAnalysis!D21/Production!R84,0)</f>
        <v>0</v>
      </c>
      <c r="S73" s="69" t="n">
        <f aca="false">Inventory!S18*IF(Production!S84&gt;0,S61*SourceAnalysis!D20/SourceAnalysis!D21/Production!S84,0)</f>
        <v>0</v>
      </c>
      <c r="T73" s="69" t="n">
        <f aca="false">Inventory!T18*IF(Production!T84&gt;0,T61*SourceAnalysis!D20/SourceAnalysis!D21/Production!T84,0)</f>
        <v>0</v>
      </c>
      <c r="U73" s="69" t="n">
        <f aca="false">Inventory!U18*IF(Production!U84&gt;0,U61*SourceAnalysis!D20/SourceAnalysis!D21/Production!U84,0)</f>
        <v>0</v>
      </c>
      <c r="V73" s="69" t="n">
        <f aca="false">Inventory!V18*IF(Production!V84&gt;0,V61*SourceAnalysis!D20/SourceAnalysis!D21/Production!V84,0)</f>
        <v>0</v>
      </c>
      <c r="W73" s="69" t="n">
        <f aca="false">Inventory!W18*IF(Production!W84&gt;0,W61*SourceAnalysis!D20/SourceAnalysis!D21/Production!W84,0)</f>
        <v>0</v>
      </c>
      <c r="X73" s="69" t="n">
        <f aca="false">Inventory!X18*IF(Production!X84&gt;0,X61*SourceAnalysis!D20/SourceAnalysis!D21/Production!X84,0)</f>
        <v>0</v>
      </c>
      <c r="Y73" s="69" t="n">
        <f aca="false">Inventory!Y18*IF(Production!Y84&gt;0,Y61*SourceAnalysis!D20/SourceAnalysis!D21/Production!Y84,0)</f>
        <v>0</v>
      </c>
      <c r="Z73" s="69" t="n">
        <f aca="false">Inventory!Z18*IF(Production!Z84&gt;0,Z61*SourceAnalysis!D20/SourceAnalysis!D21/Production!Z84,0)</f>
        <v>0</v>
      </c>
      <c r="AA73" s="69" t="n">
        <f aca="false">Inventory!AA18*IF(Production!AA84&gt;0,AA61*SourceAnalysis!D20/SourceAnalysis!D21/Production!AA84,0)</f>
        <v>0</v>
      </c>
      <c r="AB73" s="69" t="n">
        <f aca="false">Inventory!AB18*IF(Production!AB84&gt;0,AB61*SourceAnalysis!D20/SourceAnalysis!D21/Production!AB84,0)</f>
        <v>0</v>
      </c>
      <c r="AC73" s="69" t="n">
        <f aca="false">Inventory!AC18*IF(Production!AC84&gt;0,AC61*SourceAnalysis!D20/SourceAnalysis!D21/Production!AC84,0)</f>
        <v>0</v>
      </c>
      <c r="AD73" s="69" t="n">
        <f aca="false">Inventory!AD18*IF(Production!AD84&gt;0,AD61*SourceAnalysis!D20/SourceAnalysis!D21/Production!AD84,0)</f>
        <v>0</v>
      </c>
      <c r="AE73" s="69" t="n">
        <f aca="false">Inventory!AE18*IF(Production!AE84&gt;0,AE61*SourceAnalysis!D20/SourceAnalysis!D21/Production!AE84,0)</f>
        <v>0</v>
      </c>
      <c r="AF73" s="69" t="n">
        <f aca="false">Inventory!AF18*IF(Production!AF84&gt;0,AF61*SourceAnalysis!D20/SourceAnalysis!D21/Production!AF84,0)</f>
        <v>0</v>
      </c>
      <c r="AG73" s="69" t="n">
        <f aca="false">Inventory!AG18*IF(Production!AG84&gt;0,AG61*SourceAnalysis!D20/SourceAnalysis!D21/Production!AG84,0)</f>
        <v>0</v>
      </c>
      <c r="AH73" s="69" t="n">
        <f aca="false">Inventory!AH18*IF(Production!AH84&gt;0,AH61*SourceAnalysis!D20/SourceAnalysis!D21/Production!AH84,0)</f>
        <v>0</v>
      </c>
      <c r="AI73" s="69" t="n">
        <f aca="false">Inventory!AI18*IF(Production!AI84&gt;0,AI61*SourceAnalysis!D20/SourceAnalysis!D21/Production!AI84,0)</f>
        <v>0</v>
      </c>
      <c r="AJ73" s="69" t="n">
        <f aca="false">Inventory!AJ18*IF(Production!AJ84&gt;0,AJ61*SourceAnalysis!D20/SourceAnalysis!D21/Production!AJ84,0)</f>
        <v>0</v>
      </c>
      <c r="AK73" s="69" t="n">
        <f aca="false">Inventory!AK18*IF(Production!AK84&gt;0,AK61*SourceAnalysis!D20/SourceAnalysis!D21/Production!AK84,0)</f>
        <v>0</v>
      </c>
      <c r="AL73" s="69" t="n">
        <f aca="false">Inventory!AL18*IF(Production!AL84&gt;0,AL61*SourceAnalysis!D20/SourceAnalysis!D21/Production!AL84,0)</f>
        <v>0</v>
      </c>
      <c r="AM73" s="69" t="n">
        <f aca="false">Inventory!AM18*IF(Production!AM84&gt;0,AM61*SourceAnalysis!D20/SourceAnalysis!D21/Production!AM84,0)</f>
        <v>0</v>
      </c>
    </row>
    <row r="74" customFormat="false" ht="21" hidden="false" customHeight="true" outlineLevel="0" collapsed="false">
      <c r="C74" s="56" t="s">
        <v>249</v>
      </c>
      <c r="D74" s="78"/>
      <c r="E74" s="78"/>
      <c r="F74" s="78"/>
      <c r="G74" s="78"/>
      <c r="H74" s="78"/>
      <c r="I74" s="78"/>
      <c r="J74" s="78" t="n">
        <f aca="false">IF(J62&gt;0,(J72+J71+J73)*1000000/J62,0)</f>
        <v>562.462040730106</v>
      </c>
      <c r="K74" s="78" t="n">
        <f aca="false">IF(K62&gt;0,(K72+K71+K73)*1000000/K62,0)</f>
        <v>518.459901370713</v>
      </c>
      <c r="L74" s="78" t="n">
        <f aca="false">IF(L62&gt;0,(L72+L71+L73)*1000000/L62,0)</f>
        <v>491.299224608178</v>
      </c>
      <c r="M74" s="78" t="n">
        <f aca="false">IF(M62&gt;0,(M72+M71+M73)*1000000/M62,0)</f>
        <v>477.487362682431</v>
      </c>
      <c r="N74" s="78" t="n">
        <f aca="false">IF(N62&gt;0,(N72+N71+N73)*1000000/N62,0)</f>
        <v>467.56481865905</v>
      </c>
      <c r="O74" s="78" t="n">
        <f aca="false">IF(O62&gt;0,(O72+O71+O73)*1000000/O62,0)</f>
        <v>463.022665252341</v>
      </c>
      <c r="P74" s="78" t="n">
        <f aca="false">IF(P62&gt;0,(P72+P71+P73)*1000000/P62,0)</f>
        <v>461.730536205611</v>
      </c>
      <c r="Q74" s="78" t="n">
        <f aca="false">IF(Q62&gt;0,(Q72+Q71+Q73)*1000000/Q62,0)</f>
        <v>460.536354371022</v>
      </c>
      <c r="R74" s="78" t="n">
        <f aca="false">IF(R62&gt;0,(R72+R71+R73)*1000000/R62,0)</f>
        <v>462.158051090781</v>
      </c>
      <c r="S74" s="78" t="n">
        <f aca="false">IF(S62&gt;0,(S72+S71+S73)*1000000/S62,0)</f>
        <v>461.699787058076</v>
      </c>
      <c r="T74" s="78" t="n">
        <f aca="false">IF(T62&gt;0,(T72+T71+T73)*1000000/T62,0)</f>
        <v>462.221628459382</v>
      </c>
      <c r="U74" s="78" t="n">
        <f aca="false">IF(U62&gt;0,(U72+U71+U73)*1000000/U62,0)</f>
        <v>461.798363931162</v>
      </c>
      <c r="V74" s="78" t="n">
        <f aca="false">IF(V62&gt;0,(V72+V71+V73)*1000000/V62,0)</f>
        <v>463.217928784923</v>
      </c>
      <c r="W74" s="78" t="n">
        <f aca="false">IF(W62&gt;0,(W72+W71+W73)*1000000/W62,0)</f>
        <v>463.286920578916</v>
      </c>
      <c r="X74" s="78" t="n">
        <f aca="false">IF(X62&gt;0,(X72+X71+X73)*1000000/X62,0)</f>
        <v>462.776434936555</v>
      </c>
      <c r="Y74" s="78" t="n">
        <f aca="false">IF(Y62&gt;0,(Y72+Y71+Y73)*1000000/Y62,0)</f>
        <v>463.295721077218</v>
      </c>
      <c r="Z74" s="78" t="n">
        <f aca="false">IF(Z62&gt;0,(Z72+Z71+Z73)*1000000/Z62,0)</f>
        <v>462.842708969959</v>
      </c>
      <c r="AA74" s="78" t="n">
        <f aca="false">IF(AA62&gt;0,(AA72+AA71+AA73)*1000000/AA62,0)</f>
        <v>463.398258220061</v>
      </c>
      <c r="AB74" s="78" t="n">
        <f aca="false">IF(AB62&gt;0,(AB72+AB71+AB73)*1000000/AB62,0)</f>
        <v>465.737432891857</v>
      </c>
      <c r="AC74" s="78" t="n">
        <f aca="false">IF(AC62&gt;0,(AC72+AC71+AC73)*1000000/AC62,0)</f>
        <v>466.944289474826</v>
      </c>
      <c r="AD74" s="78" t="n">
        <f aca="false">IF(AD62&gt;0,(AD72+AD71+AD73)*1000000/AD62,0)</f>
        <v>469.012764798929</v>
      </c>
      <c r="AE74" s="78" t="n">
        <f aca="false">IF(AE62&gt;0,(AE72+AE71+AE73)*1000000/AE62,0)</f>
        <v>469.271338428109</v>
      </c>
      <c r="AF74" s="78" t="n">
        <f aca="false">IF(AF62&gt;0,(AF72+AF71+AF73)*1000000/AF62,0)</f>
        <v>470.185573071128</v>
      </c>
      <c r="AG74" s="78" t="n">
        <f aca="false">IF(AG62&gt;0,(AG72+AG71+AG73)*1000000/AG62,0)</f>
        <v>470.015102398363</v>
      </c>
      <c r="AH74" s="78" t="n">
        <f aca="false">IF(AH62&gt;0,(AH72+AH71+AH73)*1000000/AH62,0)</f>
        <v>471.557534786191</v>
      </c>
      <c r="AI74" s="78" t="n">
        <f aca="false">IF(AI62&gt;0,(AI72+AI71+AI73)*1000000/AI62,0)</f>
        <v>471.709233745151</v>
      </c>
      <c r="AJ74" s="78" t="n">
        <f aca="false">IF(AJ62&gt;0,(AJ72+AJ71+AJ73)*1000000/AJ62,0)</f>
        <v>471.424194893391</v>
      </c>
      <c r="AK74" s="78" t="n">
        <f aca="false">IF(AK62&gt;0,(AK72+AK71+AK73)*1000000/AK62,0)</f>
        <v>472.083159379008</v>
      </c>
      <c r="AL74" s="78" t="n">
        <f aca="false">IF(AL62&gt;0,(AL72+AL71+AL73)*1000000/AL62,0)</f>
        <v>471.705774207505</v>
      </c>
      <c r="AM74" s="78" t="n">
        <f aca="false">IF(AM62&gt;0,(AM72+AM71+AM73)*1000000/AM62,0)</f>
        <v>472.318377987438</v>
      </c>
    </row>
    <row r="75" customFormat="false" ht="21" hidden="false" customHeight="true" outlineLevel="0" collapsed="false">
      <c r="C75" s="56" t="s">
        <v>250</v>
      </c>
      <c r="D75" s="71"/>
      <c r="E75" s="71"/>
      <c r="F75" s="71"/>
      <c r="G75" s="71"/>
      <c r="H75" s="71"/>
      <c r="I75" s="71"/>
      <c r="J75" s="71" t="n">
        <f aca="false">J60*J74/1000000</f>
        <v>68.6453482391858</v>
      </c>
      <c r="K75" s="71" t="n">
        <f aca="false">K60*K74/1000000</f>
        <v>63.2751330764453</v>
      </c>
      <c r="L75" s="71" t="n">
        <f aca="false">L60*L74/1000000</f>
        <v>59.9603242897831</v>
      </c>
      <c r="M75" s="71" t="n">
        <f aca="false">M60*M74/1000000</f>
        <v>58.2746637419285</v>
      </c>
      <c r="N75" s="71" t="n">
        <f aca="false">N60*N74/1000000</f>
        <v>57.0636727050588</v>
      </c>
      <c r="O75" s="71" t="n">
        <f aca="false">O60*O74/1000000</f>
        <v>56.5093282697355</v>
      </c>
      <c r="P75" s="71" t="n">
        <f aca="false">P60*P74/1000000</f>
        <v>60.0210907720187</v>
      </c>
      <c r="Q75" s="71" t="n">
        <f aca="false">Q60*Q74/1000000</f>
        <v>59.8658571656794</v>
      </c>
      <c r="R75" s="71" t="n">
        <f aca="false">R60*R74/1000000</f>
        <v>60.076664115597</v>
      </c>
      <c r="S75" s="71" t="n">
        <f aca="false">S60*S74/1000000</f>
        <v>60.0170936411585</v>
      </c>
      <c r="T75" s="71" t="n">
        <f aca="false">T60*T74/1000000</f>
        <v>60.0849286394104</v>
      </c>
      <c r="U75" s="71" t="n">
        <f aca="false">U60*U74/1000000</f>
        <v>60.0299078065289</v>
      </c>
      <c r="V75" s="71" t="n">
        <f aca="false">V60*V74/1000000</f>
        <v>65.0131329563506</v>
      </c>
      <c r="W75" s="71" t="n">
        <f aca="false">W60*W74/1000000</f>
        <v>65.022816028609</v>
      </c>
      <c r="X75" s="71" t="n">
        <f aca="false">X60*X74/1000000</f>
        <v>64.9511688213729</v>
      </c>
      <c r="Y75" s="71" t="n">
        <f aca="false">Y60*Y74/1000000</f>
        <v>65.0240511879813</v>
      </c>
      <c r="Z75" s="71" t="n">
        <f aca="false">Z60*Z74/1000000</f>
        <v>64.9604704530185</v>
      </c>
      <c r="AA75" s="71" t="n">
        <f aca="false">AA60*AA74/1000000</f>
        <v>65.0384423859172</v>
      </c>
      <c r="AB75" s="71" t="n">
        <f aca="false">AB60*AB74/1000000</f>
        <v>69.6232467318192</v>
      </c>
      <c r="AC75" s="71" t="n">
        <f aca="false">AC60*AC74/1000000</f>
        <v>69.8036601315416</v>
      </c>
      <c r="AD75" s="71" t="n">
        <f aca="false">AD60*AD74/1000000</f>
        <v>70.1128772089719</v>
      </c>
      <c r="AE75" s="71" t="n">
        <f aca="false">AE60*AE74/1000000</f>
        <v>70.1515314684566</v>
      </c>
      <c r="AF75" s="71" t="n">
        <f aca="false">AF60*AF74/1000000</f>
        <v>70.2882007151746</v>
      </c>
      <c r="AG75" s="71" t="n">
        <f aca="false">AG60*AG74/1000000</f>
        <v>70.262716996512</v>
      </c>
      <c r="AH75" s="71" t="n">
        <f aca="false">AH60*AH74/1000000</f>
        <v>76.111146440182</v>
      </c>
      <c r="AI75" s="71" t="n">
        <f aca="false">AI60*AI74/1000000</f>
        <v>76.1356312184509</v>
      </c>
      <c r="AJ75" s="71" t="n">
        <f aca="false">AJ60*AJ74/1000000</f>
        <v>76.0896248837259</v>
      </c>
      <c r="AK75" s="71" t="n">
        <f aca="false">AK60*AK74/1000000</f>
        <v>76.1959842116208</v>
      </c>
      <c r="AL75" s="71" t="n">
        <f aca="false">AL60*AL74/1000000</f>
        <v>76.1350728361603</v>
      </c>
      <c r="AM75" s="71" t="n">
        <f aca="false">AM60*AM74/1000000</f>
        <v>76.2339493730933</v>
      </c>
    </row>
    <row r="76" customFormat="false" ht="21" hidden="false" customHeight="true" outlineLevel="0" collapsed="false">
      <c r="C76" s="56" t="s">
        <v>251</v>
      </c>
      <c r="D76" s="71"/>
      <c r="E76" s="71"/>
      <c r="F76" s="71"/>
      <c r="G76" s="71"/>
      <c r="H76" s="71"/>
      <c r="I76" s="71"/>
      <c r="J76" s="71" t="n">
        <f aca="false">J72+J71+J73-J75</f>
        <v>99.713916738636</v>
      </c>
      <c r="K76" s="71" t="n">
        <f aca="false">K72+K71+K73-K75</f>
        <v>91.913166923219</v>
      </c>
      <c r="L76" s="71" t="n">
        <f aca="false">L72+L71+L73-L75</f>
        <v>90.0013606426435</v>
      </c>
      <c r="M76" s="71" t="n">
        <f aca="false">M72+M71+M73-M75</f>
        <v>84.6495081951906</v>
      </c>
      <c r="N76" s="71" t="n">
        <f aca="false">N72+N71+N73-N75</f>
        <v>85.6534424647346</v>
      </c>
      <c r="O76" s="71" t="n">
        <f aca="false">O72+O71+O73-O75</f>
        <v>82.0851900176986</v>
      </c>
      <c r="P76" s="71" t="n">
        <f aca="false">P72+P71+P73-P75</f>
        <v>87.186360056758</v>
      </c>
      <c r="Q76" s="71" t="n">
        <f aca="false">Q72+Q71+Q73-Q75</f>
        <v>96.278104338799</v>
      </c>
      <c r="R76" s="71" t="n">
        <f aca="false">R72+R71+R73-R75</f>
        <v>87.2670856397231</v>
      </c>
      <c r="S76" s="71" t="n">
        <f aca="false">S72+S71+S73-S75</f>
        <v>90.0865723043066</v>
      </c>
      <c r="T76" s="71" t="n">
        <f aca="false">T72+T71+T73-T75</f>
        <v>87.2790906489562</v>
      </c>
      <c r="U76" s="71" t="n">
        <f aca="false">U72+U71+U73-U75</f>
        <v>90.1058065618342</v>
      </c>
      <c r="V76" s="71" t="n">
        <f aca="false">V72+V71+V73-V75</f>
        <v>94.437777545235</v>
      </c>
      <c r="W76" s="71" t="n">
        <f aca="false">W72+W71+W73-W75</f>
        <v>94.4518431314068</v>
      </c>
      <c r="X76" s="71" t="n">
        <f aca="false">X72+X71+X73-X75</f>
        <v>97.4926943523832</v>
      </c>
      <c r="Y76" s="71" t="n">
        <f aca="false">Y72+Y71+Y73-Y75</f>
        <v>94.453637318223</v>
      </c>
      <c r="Z76" s="71" t="n">
        <f aca="false">Z72+Z71+Z73-Z75</f>
        <v>97.506656243254</v>
      </c>
      <c r="AA76" s="71" t="n">
        <f aca="false">AA72+AA71+AA73-AA75</f>
        <v>94.4745419060729</v>
      </c>
      <c r="AB76" s="71" t="n">
        <f aca="false">AB72+AB71+AB73-AB75</f>
        <v>101.134407585788</v>
      </c>
      <c r="AC76" s="71" t="n">
        <f aca="false">AC72+AC71+AC73-AC75</f>
        <v>108.389335622134</v>
      </c>
      <c r="AD76" s="71" t="n">
        <f aca="false">AD72+AD71+AD73-AD75</f>
        <v>101.845642562138</v>
      </c>
      <c r="AE76" s="71" t="n">
        <f aca="false">AE72+AE71+AE73-AE75</f>
        <v>105.298517946844</v>
      </c>
      <c r="AF76" s="71" t="n">
        <f aca="false">AF72+AF71+AF73-AF75</f>
        <v>102.100316679879</v>
      </c>
      <c r="AG76" s="71" t="n">
        <f aca="false">AG72+AG71+AG73-AG75</f>
        <v>105.465409119087</v>
      </c>
      <c r="AH76" s="71" t="n">
        <f aca="false">AH72+AH71+AH73-AH75</f>
        <v>110.558700825209</v>
      </c>
      <c r="AI76" s="71" t="n">
        <f aca="false">AI72+AI71+AI73-AI75</f>
        <v>110.59426730137</v>
      </c>
      <c r="AJ76" s="71" t="n">
        <f aca="false">AJ72+AJ71+AJ73-AJ75</f>
        <v>114.211686668455</v>
      </c>
      <c r="AK76" s="71" t="n">
        <f aca="false">AK72+AK71+AK73-AK75</f>
        <v>110.681935781321</v>
      </c>
      <c r="AL76" s="71" t="n">
        <f aca="false">AL72+AL71+AL73-AL75</f>
        <v>114.279904737753</v>
      </c>
      <c r="AM76" s="71" t="n">
        <f aca="false">AM72+AM71+AM73-AM75</f>
        <v>110.737083800045</v>
      </c>
    </row>
    <row r="77" customFormat="false" ht="21" hidden="false" customHeight="true" outlineLevel="0" collapsed="false">
      <c r="C77" s="56" t="s">
        <v>252</v>
      </c>
      <c r="D77" s="71"/>
      <c r="E77" s="71"/>
      <c r="F77" s="71"/>
      <c r="G77" s="71"/>
      <c r="H77" s="71"/>
      <c r="I77" s="71"/>
      <c r="J77" s="71" t="n">
        <f aca="false">J72+J71+J73-J75-J76</f>
        <v>0</v>
      </c>
      <c r="K77" s="71" t="n">
        <f aca="false">K72+K71+K73-K75-K76</f>
        <v>0</v>
      </c>
      <c r="L77" s="71" t="n">
        <f aca="false">L72+L71+L73-L75-L76</f>
        <v>0</v>
      </c>
      <c r="M77" s="71" t="n">
        <f aca="false">M72+M71+M73-M75-M76</f>
        <v>0</v>
      </c>
      <c r="N77" s="71" t="n">
        <f aca="false">N72+N71+N73-N75-N76</f>
        <v>0</v>
      </c>
      <c r="O77" s="71" t="n">
        <f aca="false">O72+O71+O73-O75-O76</f>
        <v>0</v>
      </c>
      <c r="P77" s="71" t="n">
        <f aca="false">P72+P71+P73-P75-P76</f>
        <v>0</v>
      </c>
      <c r="Q77" s="71" t="n">
        <f aca="false">Q72+Q71+Q73-Q75-Q76</f>
        <v>0</v>
      </c>
      <c r="R77" s="71" t="n">
        <f aca="false">R72+R71+R73-R75-R76</f>
        <v>0</v>
      </c>
      <c r="S77" s="71" t="n">
        <f aca="false">S72+S71+S73-S75-S76</f>
        <v>0</v>
      </c>
      <c r="T77" s="71" t="n">
        <f aca="false">T72+T71+T73-T75-T76</f>
        <v>0</v>
      </c>
      <c r="U77" s="71" t="n">
        <f aca="false">U72+U71+U73-U75-U76</f>
        <v>0</v>
      </c>
      <c r="V77" s="71" t="n">
        <f aca="false">V72+V71+V73-V75-V76</f>
        <v>0</v>
      </c>
      <c r="W77" s="71" t="n">
        <f aca="false">W72+W71+W73-W75-W76</f>
        <v>0</v>
      </c>
      <c r="X77" s="71" t="n">
        <f aca="false">X72+X71+X73-X75-X76</f>
        <v>0</v>
      </c>
      <c r="Y77" s="71" t="n">
        <f aca="false">Y72+Y71+Y73-Y75-Y76</f>
        <v>0</v>
      </c>
      <c r="Z77" s="71" t="n">
        <f aca="false">Z72+Z71+Z73-Z75-Z76</f>
        <v>0</v>
      </c>
      <c r="AA77" s="71" t="n">
        <f aca="false">AA72+AA71+AA73-AA75-AA76</f>
        <v>0</v>
      </c>
      <c r="AB77" s="71" t="n">
        <f aca="false">AB72+AB71+AB73-AB75-AB76</f>
        <v>0</v>
      </c>
      <c r="AC77" s="71" t="n">
        <f aca="false">AC72+AC71+AC73-AC75-AC76</f>
        <v>0</v>
      </c>
      <c r="AD77" s="71" t="n">
        <f aca="false">AD72+AD71+AD73-AD75-AD76</f>
        <v>0</v>
      </c>
      <c r="AE77" s="71" t="n">
        <f aca="false">AE72+AE71+AE73-AE75-AE76</f>
        <v>0</v>
      </c>
      <c r="AF77" s="71" t="n">
        <f aca="false">AF72+AF71+AF73-AF75-AF76</f>
        <v>0</v>
      </c>
      <c r="AG77" s="71" t="n">
        <f aca="false">AG72+AG71+AG73-AG75-AG76</f>
        <v>0</v>
      </c>
      <c r="AH77" s="71" t="n">
        <f aca="false">AH72+AH71+AH73-AH75-AH76</f>
        <v>0</v>
      </c>
      <c r="AI77" s="71" t="n">
        <f aca="false">AI72+AI71+AI73-AI75-AI76</f>
        <v>0</v>
      </c>
      <c r="AJ77" s="71" t="n">
        <f aca="false">AJ72+AJ71+AJ73-AJ75-AJ76</f>
        <v>0</v>
      </c>
      <c r="AK77" s="71" t="n">
        <f aca="false">AK72+AK71+AK73-AK75-AK76</f>
        <v>0</v>
      </c>
      <c r="AL77" s="71" t="n">
        <f aca="false">AL72+AL71+AL73-AL75-AL76</f>
        <v>0</v>
      </c>
      <c r="AM77" s="71" t="n">
        <f aca="false">AM72+AM71+AM73-AM75-AM76</f>
        <v>0</v>
      </c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</row>
    <row r="84" customFormat="false" ht="21" hidden="false" customHeight="true" outlineLevel="0" collapsed="false">
      <c r="C84" s="56" t="s">
        <v>253</v>
      </c>
      <c r="D84" s="69"/>
      <c r="E84" s="69"/>
      <c r="F84" s="69"/>
      <c r="G84" s="69"/>
      <c r="H84" s="69"/>
      <c r="I84" s="69"/>
      <c r="J84" s="69" t="n">
        <f aca="false">J13*SourceAnalysis!D10/SourceAnalysis!D11+J37*SourceAnalysis!D15/SourceAnalysis!D16+J61*SourceAnalysis!D20/SourceAnalysis!D21</f>
        <v>770.11563671318</v>
      </c>
      <c r="K84" s="69" t="n">
        <f aca="false">K13*SourceAnalysis!D10/SourceAnalysis!D11+K37*SourceAnalysis!D15/SourceAnalysis!D16+K61*SourceAnalysis!D20/SourceAnalysis!D21</f>
        <v>768.85247161858</v>
      </c>
      <c r="L84" s="69" t="n">
        <f aca="false">L13*SourceAnalysis!D10/SourceAnalysis!D11+L37*SourceAnalysis!D15/SourceAnalysis!D16+L61*SourceAnalysis!D20/SourceAnalysis!D21</f>
        <v>789.132351113735</v>
      </c>
      <c r="M84" s="69" t="n">
        <f aca="false">M13*SourceAnalysis!D10/SourceAnalysis!D11+M37*SourceAnalysis!D15/SourceAnalysis!D16+M61*SourceAnalysis!D20/SourceAnalysis!D21</f>
        <v>748.572592123425</v>
      </c>
      <c r="N84" s="69" t="n">
        <f aca="false">N13*SourceAnalysis!D10/SourceAnalysis!D11+N37*SourceAnalysis!D15/SourceAnalysis!D16+N61*SourceAnalysis!D20/SourceAnalysis!D21</f>
        <v>789.132351113735</v>
      </c>
      <c r="O84" s="69" t="n">
        <f aca="false">O13*SourceAnalysis!D10/SourceAnalysis!D11+O37*SourceAnalysis!D15/SourceAnalysis!D16+O61*SourceAnalysis!D20/SourceAnalysis!D21</f>
        <v>748.572592123425</v>
      </c>
      <c r="P84" s="69" t="n">
        <f aca="false">P13*SourceAnalysis!D10/SourceAnalysis!D11+P37*SourceAnalysis!D15/SourceAnalysis!D16+P61*SourceAnalysis!D20/SourceAnalysis!D21</f>
        <v>858.535041176188</v>
      </c>
      <c r="Q84" s="69" t="n">
        <f aca="false">Q13*SourceAnalysis!D10/SourceAnalysis!D11+Q37*SourceAnalysis!D15/SourceAnalysis!D16+Q61*SourceAnalysis!D20/SourceAnalysis!D21</f>
        <v>888.347992786821</v>
      </c>
      <c r="R84" s="69" t="n">
        <f aca="false">R13*SourceAnalysis!D10/SourceAnalysis!D11+R37*SourceAnalysis!D15/SourceAnalysis!D16+R61*SourceAnalysis!D20/SourceAnalysis!D21</f>
        <v>749.487968808258</v>
      </c>
      <c r="S84" s="69" t="n">
        <f aca="false">S13*SourceAnalysis!D10/SourceAnalysis!D11+S37*SourceAnalysis!D15/SourceAnalysis!D16+S61*SourceAnalysis!D20/SourceAnalysis!D21</f>
        <v>840.518428971983</v>
      </c>
      <c r="T84" s="69" t="n">
        <f aca="false">T13*SourceAnalysis!D10/SourceAnalysis!D11+T37*SourceAnalysis!D15/SourceAnalysis!D16+T61*SourceAnalysis!D20/SourceAnalysis!D21</f>
        <v>797.317532623097</v>
      </c>
      <c r="U84" s="69" t="n">
        <f aca="false">U13*SourceAnalysis!D10/SourceAnalysis!D11+U37*SourceAnalysis!D15/SourceAnalysis!D16+U61*SourceAnalysis!D20/SourceAnalysis!D21</f>
        <v>840.518428971983</v>
      </c>
      <c r="V84" s="69" t="n">
        <f aca="false">V13*SourceAnalysis!D10/SourceAnalysis!D11+V37*SourceAnalysis!D15/SourceAnalysis!D16+V61*SourceAnalysis!D20/SourceAnalysis!D21</f>
        <v>759.088479955056</v>
      </c>
      <c r="W84" s="69" t="n">
        <f aca="false">W13*SourceAnalysis!D10/SourceAnalysis!D11+W37*SourceAnalysis!D15/SourceAnalysis!D16+W61*SourceAnalysis!D20/SourceAnalysis!D21</f>
        <v>794.978722040786</v>
      </c>
      <c r="X84" s="69" t="n">
        <f aca="false">X13*SourceAnalysis!D10/SourceAnalysis!D11+X37*SourceAnalysis!D15/SourceAnalysis!D16+X61*SourceAnalysis!D20/SourceAnalysis!D21</f>
        <v>816.10284375152</v>
      </c>
      <c r="Y84" s="69" t="n">
        <f aca="false">Y13*SourceAnalysis!D10/SourceAnalysis!D11+Y37*SourceAnalysis!D15/SourceAnalysis!D16+Y61*SourceAnalysis!D20/SourceAnalysis!D21</f>
        <v>773.854600330053</v>
      </c>
      <c r="Z84" s="69" t="n">
        <f aca="false">Z13*SourceAnalysis!D10/SourceAnalysis!D11+Z37*SourceAnalysis!D15/SourceAnalysis!D16+Z61*SourceAnalysis!D20/SourceAnalysis!D21</f>
        <v>816.10284375152</v>
      </c>
      <c r="AA84" s="69" t="n">
        <f aca="false">AA13*SourceAnalysis!D10/SourceAnalysis!D11+AA37*SourceAnalysis!D15/SourceAnalysis!D16+AA61*SourceAnalysis!D20/SourceAnalysis!D21</f>
        <v>773.854600330053</v>
      </c>
      <c r="AB84" s="69" t="n">
        <f aca="false">AB13*SourceAnalysis!D10/SourceAnalysis!D11+AB37*SourceAnalysis!D15/SourceAnalysis!D16+AB61*SourceAnalysis!D20/SourceAnalysis!D21</f>
        <v>888.01179981319</v>
      </c>
      <c r="AC84" s="69" t="n">
        <f aca="false">AC13*SourceAnalysis!D10/SourceAnalysis!D11+AC37*SourceAnalysis!D15/SourceAnalysis!D16+AC61*SourceAnalysis!D20/SourceAnalysis!D21</f>
        <v>893.29653029386</v>
      </c>
      <c r="AD84" s="69" t="n">
        <f aca="false">AD13*SourceAnalysis!D10/SourceAnalysis!D11+AD37*SourceAnalysis!D15/SourceAnalysis!D16+AD61*SourceAnalysis!D20/SourceAnalysis!D21</f>
        <v>800.194467946996</v>
      </c>
      <c r="AE84" s="69" t="n">
        <f aca="false">AE13*SourceAnalysis!D10/SourceAnalysis!D11+AE37*SourceAnalysis!D15/SourceAnalysis!D16+AE61*SourceAnalysis!D20/SourceAnalysis!D21</f>
        <v>869.245164187587</v>
      </c>
      <c r="AF84" s="69" t="n">
        <f aca="false">AF13*SourceAnalysis!D10/SourceAnalysis!D11+AF37*SourceAnalysis!D15/SourceAnalysis!D16+AF61*SourceAnalysis!D20/SourceAnalysis!D21</f>
        <v>824.245834053269</v>
      </c>
      <c r="AG84" s="69" t="n">
        <f aca="false">AG13*SourceAnalysis!D10/SourceAnalysis!D11+AG37*SourceAnalysis!D15/SourceAnalysis!D16+AG61*SourceAnalysis!D20/SourceAnalysis!D21</f>
        <v>869.245164187587</v>
      </c>
      <c r="AH84" s="69" t="n">
        <f aca="false">AH13*SourceAnalysis!D10/SourceAnalysis!D11+AH37*SourceAnalysis!D15/SourceAnalysis!D16+AH61*SourceAnalysis!D20/SourceAnalysis!D21</f>
        <v>786.497315034878</v>
      </c>
      <c r="AI84" s="69" t="n">
        <f aca="false">AI13*SourceAnalysis!D10/SourceAnalysis!D11+AI37*SourceAnalysis!D15/SourceAnalysis!D16+AI61*SourceAnalysis!D20/SourceAnalysis!D21</f>
        <v>822.799977271881</v>
      </c>
      <c r="AJ84" s="69" t="n">
        <f aca="false">AJ13*SourceAnalysis!D10/SourceAnalysis!D11+AJ37*SourceAnalysis!D15/SourceAnalysis!D16+AJ61*SourceAnalysis!D20/SourceAnalysis!D21</f>
        <v>844.839542433379</v>
      </c>
      <c r="AK84" s="69" t="n">
        <f aca="false">AK13*SourceAnalysis!D10/SourceAnalysis!D11+AK37*SourceAnalysis!D15/SourceAnalysis!D16+AK61*SourceAnalysis!D20/SourceAnalysis!D21</f>
        <v>800.760412110384</v>
      </c>
      <c r="AL84" s="69" t="n">
        <f aca="false">AL13*SourceAnalysis!D10/SourceAnalysis!D11+AL37*SourceAnalysis!D15/SourceAnalysis!D16+AL61*SourceAnalysis!D20/SourceAnalysis!D21</f>
        <v>844.839542433379</v>
      </c>
      <c r="AM84" s="69" t="n">
        <f aca="false">AM13*SourceAnalysis!D10/SourceAnalysis!D11+AM37*SourceAnalysis!D15/SourceAnalysis!D16+AM61*SourceAnalysis!D20/SourceAnalysis!D21</f>
        <v>800.760412110384</v>
      </c>
    </row>
    <row r="85" customFormat="false" ht="21" hidden="false" customHeight="true" outlineLevel="0" collapsed="false">
      <c r="C85" s="56" t="s">
        <v>254</v>
      </c>
      <c r="D85" s="71"/>
      <c r="E85" s="71"/>
      <c r="F85" s="71"/>
      <c r="G85" s="71"/>
      <c r="H85" s="71"/>
      <c r="I85" s="71"/>
      <c r="J85" s="71" t="n">
        <f aca="false">J19+J43+J67</f>
        <v>650.78944244606</v>
      </c>
      <c r="K85" s="71" t="n">
        <f aca="false">K19+K43+K67</f>
        <v>649.721999495362</v>
      </c>
      <c r="L85" s="71" t="n">
        <f aca="false">L19+L43+L67</f>
        <v>666.859596552673</v>
      </c>
      <c r="M85" s="71" t="n">
        <f aca="false">M19+M43+M67</f>
        <v>632.584402438051</v>
      </c>
      <c r="N85" s="71" t="n">
        <f aca="false">N19+N43+N67</f>
        <v>666.859596552673</v>
      </c>
      <c r="O85" s="71" t="n">
        <f aca="false">O19+O43+O67</f>
        <v>632.584402438051</v>
      </c>
      <c r="P85" s="71" t="n">
        <f aca="false">P19+P43+P67</f>
        <v>740.018802910059</v>
      </c>
      <c r="Q85" s="71" t="n">
        <f aca="false">Q19+Q43+Q67</f>
        <v>765.716233654285</v>
      </c>
      <c r="R85" s="71" t="n">
        <f aca="false">R19+R43+R67</f>
        <v>646.025104244006</v>
      </c>
      <c r="S85" s="71" t="n">
        <f aca="false">S19+S43+S67</f>
        <v>724.489289079634</v>
      </c>
      <c r="T85" s="71" t="n">
        <f aca="false">T19+T43+T67</f>
        <v>687.252048818658</v>
      </c>
      <c r="U85" s="71" t="n">
        <f aca="false">U19+U43+U67</f>
        <v>724.489289079634</v>
      </c>
      <c r="V85" s="71" t="n">
        <f aca="false">V19+V43+V67</f>
        <v>654.300315418199</v>
      </c>
      <c r="W85" s="71" t="n">
        <f aca="false">W19+W43+W67</f>
        <v>685.236098712552</v>
      </c>
      <c r="X85" s="71" t="n">
        <f aca="false">X19+X43+X67</f>
        <v>703.444146737578</v>
      </c>
      <c r="Y85" s="71" t="n">
        <f aca="false">Y19+Y43+Y67</f>
        <v>667.028050687527</v>
      </c>
      <c r="Z85" s="71" t="n">
        <f aca="false">Z19+Z43+Z67</f>
        <v>703.444146737578</v>
      </c>
      <c r="AA85" s="71" t="n">
        <f aca="false">AA19+AA43+AA67</f>
        <v>667.028050687527</v>
      </c>
      <c r="AB85" s="71" t="n">
        <f aca="false">AB19+AB43+AB67</f>
        <v>780.73497935603</v>
      </c>
      <c r="AC85" s="71" t="n">
        <f aca="false">AC19+AC43+AC67</f>
        <v>785.381284668184</v>
      </c>
      <c r="AD85" s="71" t="n">
        <f aca="false">AD19+AD43+AD67</f>
        <v>703.526475149128</v>
      </c>
      <c r="AE85" s="71" t="n">
        <f aca="false">AE19+AE43+AE67</f>
        <v>764.235458875762</v>
      </c>
      <c r="AF85" s="71" t="n">
        <f aca="false">AF19+AF43+AF67</f>
        <v>724.672300941551</v>
      </c>
      <c r="AG85" s="71" t="n">
        <f aca="false">AG19+AG43+AG67</f>
        <v>764.235458875762</v>
      </c>
      <c r="AH85" s="71" t="n">
        <f aca="false">AH19+AH43+AH67</f>
        <v>691.484015354868</v>
      </c>
      <c r="AI85" s="71" t="n">
        <f aca="false">AI19+AI43+AI67</f>
        <v>723.401111792256</v>
      </c>
      <c r="AJ85" s="71" t="n">
        <f aca="false">AJ19+AJ43+AJ67</f>
        <v>742.778173510352</v>
      </c>
      <c r="AK85" s="71" t="n">
        <f aca="false">AK19+AK43+AK67</f>
        <v>704.02405007416</v>
      </c>
      <c r="AL85" s="71" t="n">
        <f aca="false">AL19+AL43+AL67</f>
        <v>742.778173510352</v>
      </c>
      <c r="AM85" s="71" t="n">
        <f aca="false">AM19+AM43+AM67</f>
        <v>704.02405007416</v>
      </c>
    </row>
    <row r="86" customFormat="false" ht="21" hidden="false" customHeight="true" outlineLevel="0" collapsed="false">
      <c r="C86" s="56" t="s">
        <v>244</v>
      </c>
      <c r="D86" s="71"/>
      <c r="E86" s="71"/>
      <c r="F86" s="71"/>
      <c r="G86" s="71"/>
      <c r="H86" s="71"/>
      <c r="I86" s="71"/>
      <c r="J86" s="71" t="n">
        <f aca="false">J21+J45+J69</f>
        <v>69.5549709454397</v>
      </c>
      <c r="K86" s="71" t="n">
        <f aca="false">K21+K45+K69</f>
        <v>69.4408849468367</v>
      </c>
      <c r="L86" s="71" t="n">
        <f aca="false">L21+L45+L69</f>
        <v>71.2725143305521</v>
      </c>
      <c r="M86" s="71" t="n">
        <f aca="false">M21+M45+M69</f>
        <v>67.6092555631214</v>
      </c>
      <c r="N86" s="71" t="n">
        <f aca="false">N21+N45+N69</f>
        <v>71.2725143305521</v>
      </c>
      <c r="O86" s="71" t="n">
        <f aca="false">O21+O45+O69</f>
        <v>67.6092555631214</v>
      </c>
      <c r="P86" s="71" t="n">
        <f aca="false">P21+P45+P69</f>
        <v>79.0916123992814</v>
      </c>
      <c r="Q86" s="71" t="n">
        <f aca="false">Q21+Q45+Q69</f>
        <v>81.8380983319189</v>
      </c>
      <c r="R86" s="71" t="n">
        <f aca="false">R21+R45+R69</f>
        <v>69.0457687617464</v>
      </c>
      <c r="S86" s="71" t="n">
        <f aca="false">S21+S45+S69</f>
        <v>77.4318514799706</v>
      </c>
      <c r="T86" s="71" t="n">
        <f aca="false">T21+T45+T69</f>
        <v>73.4520156136947</v>
      </c>
      <c r="U86" s="71" t="n">
        <f aca="false">U21+U45+U69</f>
        <v>77.4318514799706</v>
      </c>
      <c r="V86" s="71" t="n">
        <f aca="false">V21+V45+V69</f>
        <v>69.9302054708377</v>
      </c>
      <c r="W86" s="71" t="n">
        <f aca="false">W21+W45+W69</f>
        <v>73.2365552175785</v>
      </c>
      <c r="X86" s="71" t="n">
        <f aca="false">X21+X45+X69</f>
        <v>75.182592090263</v>
      </c>
      <c r="Y86" s="71" t="n">
        <f aca="false">Y21+Y45+Y69</f>
        <v>71.290518344894</v>
      </c>
      <c r="Z86" s="71" t="n">
        <f aca="false">Z21+Z45+Z69</f>
        <v>75.182592090263</v>
      </c>
      <c r="AA86" s="71" t="n">
        <f aca="false">AA21+AA45+AA69</f>
        <v>71.290518344894</v>
      </c>
      <c r="AB86" s="71" t="n">
        <f aca="false">AB21+AB45+AB69</f>
        <v>83.4432694560776</v>
      </c>
      <c r="AC86" s="71" t="n">
        <f aca="false">AC21+AC45+AC69</f>
        <v>83.9398565392606</v>
      </c>
      <c r="AD86" s="71" t="n">
        <f aca="false">AD21+AD45+AD69</f>
        <v>75.191391173192</v>
      </c>
      <c r="AE86" s="71" t="n">
        <f aca="false">AE21+AE45+AE69</f>
        <v>81.6798363196929</v>
      </c>
      <c r="AF86" s="71" t="n">
        <f aca="false">AF21+AF45+AF69</f>
        <v>77.4514113927597</v>
      </c>
      <c r="AG86" s="71" t="n">
        <f aca="false">AG21+AG45+AG69</f>
        <v>81.6798363196929</v>
      </c>
      <c r="AH86" s="71" t="n">
        <f aca="false">AH21+AH45+AH69</f>
        <v>73.9043190628131</v>
      </c>
      <c r="AI86" s="71" t="n">
        <f aca="false">AI21+AI45+AI69</f>
        <v>77.3155494402163</v>
      </c>
      <c r="AJ86" s="71" t="n">
        <f aca="false">AJ21+AJ45+AJ69</f>
        <v>79.3865279732183</v>
      </c>
      <c r="AK86" s="71" t="n">
        <f aca="false">AK21+AK45+AK69</f>
        <v>75.2445709072143</v>
      </c>
      <c r="AL86" s="71" t="n">
        <f aca="false">AL21+AL45+AL69</f>
        <v>79.3865279732183</v>
      </c>
      <c r="AM86" s="71" t="n">
        <f aca="false">AM21+AM45+AM69</f>
        <v>75.2445709072143</v>
      </c>
    </row>
    <row r="87" customFormat="false" ht="21" hidden="false" customHeight="true" outlineLevel="0" collapsed="false">
      <c r="C87" s="56" t="s">
        <v>255</v>
      </c>
      <c r="D87" s="69"/>
      <c r="E87" s="69"/>
      <c r="F87" s="69"/>
      <c r="G87" s="69"/>
      <c r="H87" s="69"/>
      <c r="I87" s="69"/>
      <c r="J87" s="69" t="n">
        <f aca="false">Payroll!J16</f>
        <v>47.012985556425</v>
      </c>
      <c r="K87" s="69" t="n">
        <f aca="false">Payroll!K16</f>
        <v>47.012985556425</v>
      </c>
      <c r="L87" s="69" t="n">
        <f aca="false">Payroll!L16</f>
        <v>47.012985556425</v>
      </c>
      <c r="M87" s="69" t="n">
        <f aca="false">Payroll!M16</f>
        <v>47.012985556425</v>
      </c>
      <c r="N87" s="69" t="n">
        <f aca="false">Payroll!N16</f>
        <v>47.012985556425</v>
      </c>
      <c r="O87" s="69" t="n">
        <f aca="false">Payroll!O16</f>
        <v>47.012985556425</v>
      </c>
      <c r="P87" s="69" t="n">
        <f aca="false">Payroll!P16</f>
        <v>48.4233751231178</v>
      </c>
      <c r="Q87" s="69" t="n">
        <f aca="false">Payroll!Q16</f>
        <v>48.4233751231178</v>
      </c>
      <c r="R87" s="69" t="n">
        <f aca="false">Payroll!R16</f>
        <v>48.4233751231178</v>
      </c>
      <c r="S87" s="69" t="n">
        <f aca="false">Payroll!S16</f>
        <v>48.4233751231178</v>
      </c>
      <c r="T87" s="69" t="n">
        <f aca="false">Payroll!T16</f>
        <v>48.4233751231178</v>
      </c>
      <c r="U87" s="69" t="n">
        <f aca="false">Payroll!U16</f>
        <v>48.4233751231178</v>
      </c>
      <c r="V87" s="69" t="n">
        <f aca="false">Payroll!V16</f>
        <v>48.4233751231178</v>
      </c>
      <c r="W87" s="69" t="n">
        <f aca="false">Payroll!W16</f>
        <v>48.4233751231178</v>
      </c>
      <c r="X87" s="69" t="n">
        <f aca="false">Payroll!X16</f>
        <v>48.4233751231178</v>
      </c>
      <c r="Y87" s="69" t="n">
        <f aca="false">Payroll!Y16</f>
        <v>48.4233751231178</v>
      </c>
      <c r="Z87" s="69" t="n">
        <f aca="false">Payroll!Z16</f>
        <v>48.4233751231178</v>
      </c>
      <c r="AA87" s="69" t="n">
        <f aca="false">Payroll!AA16</f>
        <v>48.4233751231178</v>
      </c>
      <c r="AB87" s="69" t="n">
        <f aca="false">Payroll!AB16</f>
        <v>49.8760763768113</v>
      </c>
      <c r="AC87" s="69" t="n">
        <f aca="false">Payroll!AC16</f>
        <v>49.8760763768113</v>
      </c>
      <c r="AD87" s="69" t="n">
        <f aca="false">Payroll!AD16</f>
        <v>49.8760763768113</v>
      </c>
      <c r="AE87" s="69" t="n">
        <f aca="false">Payroll!AE16</f>
        <v>49.8760763768113</v>
      </c>
      <c r="AF87" s="69" t="n">
        <f aca="false">Payroll!AF16</f>
        <v>49.8760763768113</v>
      </c>
      <c r="AG87" s="69" t="n">
        <f aca="false">Payroll!AG16</f>
        <v>49.8760763768113</v>
      </c>
      <c r="AH87" s="69" t="n">
        <f aca="false">Payroll!AH16</f>
        <v>49.8760763768113</v>
      </c>
      <c r="AI87" s="69" t="n">
        <f aca="false">Payroll!AI16</f>
        <v>49.8760763768113</v>
      </c>
      <c r="AJ87" s="69" t="n">
        <f aca="false">Payroll!AJ16</f>
        <v>49.8760763768113</v>
      </c>
      <c r="AK87" s="69" t="n">
        <f aca="false">Payroll!AK16</f>
        <v>49.8760763768113</v>
      </c>
      <c r="AL87" s="69" t="n">
        <f aca="false">Payroll!AL16</f>
        <v>49.8760763768113</v>
      </c>
      <c r="AM87" s="69" t="n">
        <f aca="false">Payroll!AM16</f>
        <v>49.8760763768113</v>
      </c>
    </row>
    <row r="88" customFormat="false" ht="21" hidden="false" customHeight="true" outlineLevel="0" collapsed="false">
      <c r="C88" s="56" t="s">
        <v>256</v>
      </c>
      <c r="D88" s="71"/>
      <c r="E88" s="71"/>
      <c r="F88" s="71"/>
      <c r="G88" s="71"/>
      <c r="H88" s="71"/>
      <c r="I88" s="71"/>
      <c r="J88" s="71" t="n">
        <f aca="false">J27+J51+J75</f>
        <v>934.964377668059</v>
      </c>
      <c r="K88" s="71" t="n">
        <f aca="false">K27+K51+K75</f>
        <v>849.748447944349</v>
      </c>
      <c r="L88" s="71" t="n">
        <f aca="false">L27+L51+L75</f>
        <v>811.310930442304</v>
      </c>
      <c r="M88" s="71" t="n">
        <f aca="false">M27+M51+M75</f>
        <v>797.218907503637</v>
      </c>
      <c r="N88" s="71" t="n">
        <f aca="false">N27+N51+N75</f>
        <v>788.593358170753</v>
      </c>
      <c r="O88" s="71" t="n">
        <f aca="false">O27+O51+O75</f>
        <v>786.861435554514</v>
      </c>
      <c r="P88" s="71" t="n">
        <f aca="false">P27+P51+P75</f>
        <v>841.689357438149</v>
      </c>
      <c r="Q88" s="71" t="n">
        <f aca="false">Q27+Q51+Q75</f>
        <v>841.922674666078</v>
      </c>
      <c r="R88" s="71" t="n">
        <f aca="false">R27+R51+R75</f>
        <v>847.876343139566</v>
      </c>
      <c r="S88" s="71" t="n">
        <f aca="false">S27+S51+S75</f>
        <v>846.641928441423</v>
      </c>
      <c r="T88" s="71" t="n">
        <f aca="false">T27+T51+T75</f>
        <v>848.127511043055</v>
      </c>
      <c r="U88" s="71" t="n">
        <f aca="false">U27+U51+U75</f>
        <v>846.903633421479</v>
      </c>
      <c r="V88" s="71" t="n">
        <f aca="false">V27+V51+V75</f>
        <v>825.350412334967</v>
      </c>
      <c r="W88" s="71" t="n">
        <f aca="false">W27+W51+W75</f>
        <v>825.217397707311</v>
      </c>
      <c r="X88" s="71" t="n">
        <f aca="false">X27+X51+X75</f>
        <v>823.829757858652</v>
      </c>
      <c r="Y88" s="71" t="n">
        <f aca="false">Y27+Y51+Y75</f>
        <v>825.25146830764</v>
      </c>
      <c r="Z88" s="71" t="n">
        <f aca="false">Z27+Z51+Z75</f>
        <v>823.99179284195</v>
      </c>
      <c r="AA88" s="71" t="n">
        <f aca="false">AA27+AA51+AA75</f>
        <v>825.479806842077</v>
      </c>
      <c r="AB88" s="71" t="n">
        <f aca="false">AB27+AB51+AB75</f>
        <v>884.899292513773</v>
      </c>
      <c r="AC88" s="71" t="n">
        <f aca="false">AC27+AC51+AC75</f>
        <v>887.019380920609</v>
      </c>
      <c r="AD88" s="71" t="n">
        <f aca="false">AD27+AD51+AD75</f>
        <v>891.927250707801</v>
      </c>
      <c r="AE88" s="71" t="n">
        <f aca="false">AE27+AE51+AE75</f>
        <v>891.195599553953</v>
      </c>
      <c r="AF88" s="71" t="n">
        <f aca="false">AF27+AF51+AF75</f>
        <v>892.978723632036</v>
      </c>
      <c r="AG88" s="71" t="n">
        <f aca="false">AG27+AG51+AG75</f>
        <v>891.827143718737</v>
      </c>
      <c r="AH88" s="71" t="n">
        <f aca="false">AH27+AH51+AH75</f>
        <v>869.897108010218</v>
      </c>
      <c r="AI88" s="71" t="n">
        <f aca="false">AI27+AI51+AI75</f>
        <v>869.799979844982</v>
      </c>
      <c r="AJ88" s="71" t="n">
        <f aca="false">AJ27+AJ51+AJ75</f>
        <v>868.823395481362</v>
      </c>
      <c r="AK88" s="71" t="n">
        <f aca="false">AK27+AK51+AK75</f>
        <v>870.526395708345</v>
      </c>
      <c r="AL88" s="71" t="n">
        <f aca="false">AL27+AL51+AL75</f>
        <v>869.298059432953</v>
      </c>
      <c r="AM88" s="71" t="n">
        <f aca="false">AM27+AM51+AM75</f>
        <v>870.905805841298</v>
      </c>
    </row>
    <row r="89" customFormat="false" ht="21" hidden="false" customHeight="true" outlineLevel="0" collapsed="false">
      <c r="C89" s="56" t="s">
        <v>257</v>
      </c>
      <c r="D89" s="71"/>
      <c r="E89" s="71"/>
      <c r="F89" s="71"/>
      <c r="G89" s="71"/>
      <c r="H89" s="71"/>
      <c r="I89" s="71"/>
      <c r="J89" s="71" t="n">
        <f aca="false">J28+J52+J76</f>
        <v>741.712154054085</v>
      </c>
      <c r="K89" s="71" t="n">
        <f aca="false">K28+K52+K76</f>
        <v>674.742845605303</v>
      </c>
      <c r="L89" s="71" t="n">
        <f aca="false">L28+L52+L76</f>
        <v>665.312128252318</v>
      </c>
      <c r="M89" s="71" t="n">
        <f aca="false">M28+M52+M76</f>
        <v>632.16682810867</v>
      </c>
      <c r="N89" s="71" t="n">
        <f aca="false">N28+N52+N76</f>
        <v>645.717377332684</v>
      </c>
      <c r="O89" s="71" t="n">
        <f aca="false">O28+O52+O76</f>
        <v>623.193243443608</v>
      </c>
      <c r="P89" s="71" t="n">
        <f aca="false">P28+P52+P76</f>
        <v>666.300181698483</v>
      </c>
      <c r="Q89" s="71" t="n">
        <f aca="false">Q28+Q52+Q76</f>
        <v>737.756158912653</v>
      </c>
      <c r="R89" s="71" t="n">
        <f aca="false">R28+R52+R76</f>
        <v>670.913448183244</v>
      </c>
      <c r="S89" s="71" t="n">
        <f aca="false">S28+S52+S76</f>
        <v>692.29385921619</v>
      </c>
      <c r="T89" s="71" t="n">
        <f aca="false">T28+T52+T76</f>
        <v>671.110051030614</v>
      </c>
      <c r="U89" s="71" t="n">
        <f aca="false">U28+U52+U76</f>
        <v>692.505636104226</v>
      </c>
      <c r="V89" s="71" t="n">
        <f aca="false">V28+V52+V76</f>
        <v>657.902262104143</v>
      </c>
      <c r="W89" s="71" t="n">
        <f aca="false">W28+W52+W76</f>
        <v>657.81247528317</v>
      </c>
      <c r="X89" s="71" t="n">
        <f aca="false">X28+X52+X76</f>
        <v>678.626340596385</v>
      </c>
      <c r="Y89" s="71" t="n">
        <f aca="false">Y28+Y52+Y76</f>
        <v>657.838593004864</v>
      </c>
      <c r="Z89" s="71" t="n">
        <f aca="false">Z28+Z52+Z76</f>
        <v>678.757130184813</v>
      </c>
      <c r="AA89" s="71" t="n">
        <f aca="false">AA28+AA52+AA76</f>
        <v>658.017923079576</v>
      </c>
      <c r="AB89" s="71" t="n">
        <f aca="false">AB28+AB52+AB76</f>
        <v>705.310050846384</v>
      </c>
      <c r="AC89" s="71" t="n">
        <f aca="false">AC28+AC52+AC76</f>
        <v>755.770344087572</v>
      </c>
      <c r="AD89" s="71" t="n">
        <f aca="false">AD28+AD52+AD76</f>
        <v>710.864854142323</v>
      </c>
      <c r="AE89" s="71" t="n">
        <f aca="false">AE28+AE52+AE76</f>
        <v>734.033805709934</v>
      </c>
      <c r="AF89" s="71" t="n">
        <f aca="false">AF28+AF52+AF76</f>
        <v>711.773411824197</v>
      </c>
      <c r="AG89" s="71" t="n">
        <f aca="false">AG28+AG52+AG76</f>
        <v>734.601542198781</v>
      </c>
      <c r="AH89" s="71" t="n">
        <f aca="false">AH28+AH52+AH76</f>
        <v>698.978108989989</v>
      </c>
      <c r="AI89" s="71" t="n">
        <f aca="false">AI28+AI52+AI76</f>
        <v>698.925492247102</v>
      </c>
      <c r="AJ89" s="71" t="n">
        <f aca="false">AJ28+AJ52+AJ76</f>
        <v>721.442861604813</v>
      </c>
      <c r="AK89" s="71" t="n">
        <f aca="false">AK28+AK52+AK76</f>
        <v>699.506511719225</v>
      </c>
      <c r="AL89" s="71" t="n">
        <f aca="false">AL28+AL52+AL76</f>
        <v>721.839940097101</v>
      </c>
      <c r="AM89" s="71" t="n">
        <f aca="false">AM28+AM52+AM76</f>
        <v>699.814903050316</v>
      </c>
    </row>
    <row r="90" customFormat="false" ht="21" hidden="false" customHeight="true" outlineLevel="0" collapsed="false">
      <c r="C90" s="56" t="s">
        <v>258</v>
      </c>
      <c r="D90" s="69"/>
      <c r="E90" s="69"/>
      <c r="F90" s="69"/>
      <c r="G90" s="69"/>
      <c r="H90" s="69"/>
      <c r="I90" s="69"/>
      <c r="J90" s="69" t="n">
        <f aca="false">IF(J84=0,Payroll!J16+Assets!J100*SourceAnalysis!D28,0)</f>
        <v>0</v>
      </c>
      <c r="K90" s="69" t="n">
        <f aca="false">IF(K84=0,Payroll!K16+Assets!K100*SourceAnalysis!D28,0)</f>
        <v>0</v>
      </c>
      <c r="L90" s="69" t="n">
        <f aca="false">IF(L84=0,Payroll!L16+Assets!L100*SourceAnalysis!D28,0)</f>
        <v>0</v>
      </c>
      <c r="M90" s="69" t="n">
        <f aca="false">IF(M84=0,Payroll!M16+Assets!M100*SourceAnalysis!D28,0)</f>
        <v>0</v>
      </c>
      <c r="N90" s="69" t="n">
        <f aca="false">IF(N84=0,Payroll!N16+Assets!N100*SourceAnalysis!D28,0)</f>
        <v>0</v>
      </c>
      <c r="O90" s="69" t="n">
        <f aca="false">IF(O84=0,Payroll!O16+Assets!O100*SourceAnalysis!D28,0)</f>
        <v>0</v>
      </c>
      <c r="P90" s="69" t="n">
        <f aca="false">IF(P84=0,Payroll!P16+Assets!P100*SourceAnalysis!D28,0)</f>
        <v>0</v>
      </c>
      <c r="Q90" s="69" t="n">
        <f aca="false">IF(Q84=0,Payroll!Q16+Assets!Q100*SourceAnalysis!D28,0)</f>
        <v>0</v>
      </c>
      <c r="R90" s="69" t="n">
        <f aca="false">IF(R84=0,Payroll!R16+Assets!R100*SourceAnalysis!D28,0)</f>
        <v>0</v>
      </c>
      <c r="S90" s="69" t="n">
        <f aca="false">IF(S84=0,Payroll!S16+Assets!S100*SourceAnalysis!D28,0)</f>
        <v>0</v>
      </c>
      <c r="T90" s="69" t="n">
        <f aca="false">IF(T84=0,Payroll!T16+Assets!T100*SourceAnalysis!D28,0)</f>
        <v>0</v>
      </c>
      <c r="U90" s="69" t="n">
        <f aca="false">IF(U84=0,Payroll!U16+Assets!U100*SourceAnalysis!D28,0)</f>
        <v>0</v>
      </c>
      <c r="V90" s="69" t="n">
        <f aca="false">IF(V84=0,Payroll!V16+Assets!V100*SourceAnalysis!D28,0)</f>
        <v>0</v>
      </c>
      <c r="W90" s="69" t="n">
        <f aca="false">IF(W84=0,Payroll!W16+Assets!W100*SourceAnalysis!D28,0)</f>
        <v>0</v>
      </c>
      <c r="X90" s="69" t="n">
        <f aca="false">IF(X84=0,Payroll!X16+Assets!X100*SourceAnalysis!D28,0)</f>
        <v>0</v>
      </c>
      <c r="Y90" s="69" t="n">
        <f aca="false">IF(Y84=0,Payroll!Y16+Assets!Y100*SourceAnalysis!D28,0)</f>
        <v>0</v>
      </c>
      <c r="Z90" s="69" t="n">
        <f aca="false">IF(Z84=0,Payroll!Z16+Assets!Z100*SourceAnalysis!D28,0)</f>
        <v>0</v>
      </c>
      <c r="AA90" s="69" t="n">
        <f aca="false">IF(AA84=0,Payroll!AA16+Assets!AA100*SourceAnalysis!D28,0)</f>
        <v>0</v>
      </c>
      <c r="AB90" s="69" t="n">
        <f aca="false">IF(AB84=0,Payroll!AB16+Assets!AB100*SourceAnalysis!D28,0)</f>
        <v>0</v>
      </c>
      <c r="AC90" s="69" t="n">
        <f aca="false">IF(AC84=0,Payroll!AC16+Assets!AC100*SourceAnalysis!D28,0)</f>
        <v>0</v>
      </c>
      <c r="AD90" s="69" t="n">
        <f aca="false">IF(AD84=0,Payroll!AD16+Assets!AD100*SourceAnalysis!D28,0)</f>
        <v>0</v>
      </c>
      <c r="AE90" s="69" t="n">
        <f aca="false">IF(AE84=0,Payroll!AE16+Assets!AE100*SourceAnalysis!D28,0)</f>
        <v>0</v>
      </c>
      <c r="AF90" s="69" t="n">
        <f aca="false">IF(AF84=0,Payroll!AF16+Assets!AF100*SourceAnalysis!D28,0)</f>
        <v>0</v>
      </c>
      <c r="AG90" s="69" t="n">
        <f aca="false">IF(AG84=0,Payroll!AG16+Assets!AG100*SourceAnalysis!D28,0)</f>
        <v>0</v>
      </c>
      <c r="AH90" s="69" t="n">
        <f aca="false">IF(AH84=0,Payroll!AH16+Assets!AH100*SourceAnalysis!D28,0)</f>
        <v>0</v>
      </c>
      <c r="AI90" s="69" t="n">
        <f aca="false">IF(AI84=0,Payroll!AI16+Assets!AI100*SourceAnalysis!D28,0)</f>
        <v>0</v>
      </c>
      <c r="AJ90" s="69" t="n">
        <f aca="false">IF(AJ84=0,Payroll!AJ16+Assets!AJ100*SourceAnalysis!D28,0)</f>
        <v>0</v>
      </c>
      <c r="AK90" s="69" t="n">
        <f aca="false">IF(AK84=0,Payroll!AK16+Assets!AK100*SourceAnalysis!D28,0)</f>
        <v>0</v>
      </c>
      <c r="AL90" s="69" t="n">
        <f aca="false">IF(AL84=0,Payroll!AL16+Assets!AL100*SourceAnalysis!D28,0)</f>
        <v>0</v>
      </c>
      <c r="AM90" s="69" t="n">
        <f aca="false">IF(AM84=0,Payroll!AM16+Assets!AM100*SourceAnalysis!D28,0)</f>
        <v>0</v>
      </c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</row>
    <row r="95" customFormat="false" ht="25" hidden="false" customHeight="true" outlineLevel="0" collapsed="false">
      <c r="C95" s="58" t="s">
        <v>259</v>
      </c>
      <c r="D95" s="58"/>
      <c r="E95" s="58"/>
      <c r="F95" s="58"/>
      <c r="G95" s="58"/>
      <c r="H95" s="58"/>
      <c r="I95" s="58"/>
      <c r="J95" s="58"/>
      <c r="K95" s="58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</row>
    <row r="96" customFormat="false" ht="25" hidden="false" customHeight="true" outlineLevel="0" collapsed="false">
      <c r="C96" s="58"/>
      <c r="D96" s="58"/>
      <c r="E96" s="58"/>
      <c r="F96" s="58"/>
      <c r="G96" s="58"/>
      <c r="H96" s="58"/>
      <c r="I96" s="58"/>
      <c r="J96" s="58"/>
      <c r="K96" s="58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</row>
  </sheetData>
  <sheetProtection sheet="1" objects="1" scenarios="1" selectLockedCells="0" selectUnlockedCells="0"/>
  <mergeCells count="3">
    <mergeCell ref="C2:K2"/>
    <mergeCell ref="C3:K4"/>
    <mergeCell ref="C95:K9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C1:AM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39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customFormat="false" ht="33" hidden="false" customHeight="true" outlineLevel="0" collapsed="false">
      <c r="C2" s="57" t="s">
        <v>260</v>
      </c>
      <c r="D2" s="57"/>
      <c r="E2" s="57"/>
      <c r="F2" s="57"/>
      <c r="G2" s="57"/>
      <c r="H2" s="57"/>
      <c r="I2" s="57"/>
      <c r="J2" s="57"/>
      <c r="K2" s="57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</row>
    <row r="3" customFormat="false" ht="21" hidden="false" customHeight="true" outlineLevel="0" collapsed="false">
      <c r="C3" s="58" t="s">
        <v>129</v>
      </c>
      <c r="D3" s="58"/>
      <c r="E3" s="58"/>
      <c r="F3" s="58"/>
      <c r="G3" s="58"/>
      <c r="H3" s="58"/>
      <c r="I3" s="58"/>
      <c r="J3" s="58"/>
      <c r="K3" s="58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</row>
    <row r="6" customFormat="false" ht="21" hidden="false" customHeight="true" outlineLevel="0" collapsed="false">
      <c r="C6" s="56"/>
      <c r="D6" s="56" t="s">
        <v>130</v>
      </c>
      <c r="E6" s="56" t="s">
        <v>130</v>
      </c>
      <c r="F6" s="56" t="s">
        <v>130</v>
      </c>
      <c r="G6" s="56" t="s">
        <v>130</v>
      </c>
      <c r="H6" s="56" t="s">
        <v>130</v>
      </c>
      <c r="I6" s="56" t="s">
        <v>221</v>
      </c>
      <c r="J6" s="56" t="s">
        <v>132</v>
      </c>
      <c r="K6" s="56" t="s">
        <v>132</v>
      </c>
      <c r="L6" s="56" t="s">
        <v>132</v>
      </c>
      <c r="M6" s="56" t="s">
        <v>132</v>
      </c>
      <c r="N6" s="56" t="s">
        <v>132</v>
      </c>
      <c r="O6" s="56" t="s">
        <v>132</v>
      </c>
      <c r="P6" s="56" t="s">
        <v>132</v>
      </c>
      <c r="Q6" s="56" t="s">
        <v>132</v>
      </c>
      <c r="R6" s="56" t="s">
        <v>132</v>
      </c>
      <c r="S6" s="56" t="s">
        <v>132</v>
      </c>
      <c r="T6" s="56" t="s">
        <v>132</v>
      </c>
      <c r="U6" s="56" t="s">
        <v>132</v>
      </c>
      <c r="V6" s="56" t="s">
        <v>132</v>
      </c>
      <c r="W6" s="56" t="s">
        <v>132</v>
      </c>
      <c r="X6" s="56" t="s">
        <v>132</v>
      </c>
      <c r="Y6" s="56" t="s">
        <v>132</v>
      </c>
      <c r="Z6" s="56" t="s">
        <v>132</v>
      </c>
      <c r="AA6" s="56" t="s">
        <v>132</v>
      </c>
      <c r="AB6" s="56" t="s">
        <v>132</v>
      </c>
      <c r="AC6" s="56" t="s">
        <v>132</v>
      </c>
      <c r="AD6" s="56" t="s">
        <v>132</v>
      </c>
      <c r="AE6" s="56" t="s">
        <v>132</v>
      </c>
      <c r="AF6" s="56" t="s">
        <v>132</v>
      </c>
      <c r="AG6" s="56" t="s">
        <v>132</v>
      </c>
      <c r="AH6" s="56" t="s">
        <v>132</v>
      </c>
      <c r="AI6" s="56" t="s">
        <v>132</v>
      </c>
      <c r="AJ6" s="56" t="s">
        <v>132</v>
      </c>
      <c r="AK6" s="56" t="s">
        <v>132</v>
      </c>
      <c r="AL6" s="56" t="s">
        <v>132</v>
      </c>
      <c r="AM6" s="56" t="s">
        <v>132</v>
      </c>
    </row>
    <row r="7" customFormat="false" ht="21" hidden="false" customHeight="true" outlineLevel="0" collapsed="false">
      <c r="C7" s="63"/>
      <c r="D7" s="73" t="n">
        <v>46053</v>
      </c>
      <c r="E7" s="73" t="n">
        <v>46081</v>
      </c>
      <c r="F7" s="73" t="n">
        <v>46112</v>
      </c>
      <c r="G7" s="73" t="n">
        <v>46142</v>
      </c>
      <c r="H7" s="73" t="n">
        <v>46173</v>
      </c>
      <c r="I7" s="73" t="n">
        <v>46203</v>
      </c>
      <c r="J7" s="73" t="n">
        <v>46234</v>
      </c>
      <c r="K7" s="73" t="n">
        <v>46265</v>
      </c>
      <c r="L7" s="73" t="n">
        <v>46295</v>
      </c>
      <c r="M7" s="73" t="n">
        <v>46326</v>
      </c>
      <c r="N7" s="73" t="n">
        <v>46356</v>
      </c>
      <c r="O7" s="73" t="n">
        <v>46387</v>
      </c>
      <c r="P7" s="73" t="n">
        <v>46418</v>
      </c>
      <c r="Q7" s="73" t="n">
        <v>46446</v>
      </c>
      <c r="R7" s="73" t="n">
        <v>46477</v>
      </c>
      <c r="S7" s="73" t="n">
        <v>46507</v>
      </c>
      <c r="T7" s="73" t="n">
        <v>46538</v>
      </c>
      <c r="U7" s="73" t="n">
        <v>46568</v>
      </c>
      <c r="V7" s="73" t="n">
        <v>46599</v>
      </c>
      <c r="W7" s="73" t="n">
        <v>46630</v>
      </c>
      <c r="X7" s="73" t="n">
        <v>46660</v>
      </c>
      <c r="Y7" s="73" t="n">
        <v>46691</v>
      </c>
      <c r="Z7" s="73" t="n">
        <v>46721</v>
      </c>
      <c r="AA7" s="73" t="n">
        <v>46752</v>
      </c>
      <c r="AB7" s="73" t="n">
        <v>46783</v>
      </c>
      <c r="AC7" s="73" t="n">
        <v>46812</v>
      </c>
      <c r="AD7" s="73" t="n">
        <v>46843</v>
      </c>
      <c r="AE7" s="73" t="n">
        <v>46873</v>
      </c>
      <c r="AF7" s="73" t="n">
        <v>46904</v>
      </c>
      <c r="AG7" s="73" t="n">
        <v>46934</v>
      </c>
      <c r="AH7" s="73" t="n">
        <v>46965</v>
      </c>
      <c r="AI7" s="73" t="n">
        <v>46996</v>
      </c>
      <c r="AJ7" s="73" t="n">
        <v>47026</v>
      </c>
      <c r="AK7" s="73" t="n">
        <v>47057</v>
      </c>
      <c r="AL7" s="73" t="n">
        <v>47087</v>
      </c>
      <c r="AM7" s="73" t="n">
        <v>47118</v>
      </c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</row>
    <row r="9" customFormat="false" ht="25" hidden="false" customHeight="true" outlineLevel="0" collapsed="false">
      <c r="C9" s="63" t="s">
        <v>261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</row>
    <row r="10" customFormat="false" ht="21" hidden="false" customHeight="true" outlineLevel="0" collapsed="false">
      <c r="C10" s="56" t="s">
        <v>262</v>
      </c>
      <c r="D10" s="79"/>
      <c r="E10" s="79"/>
      <c r="F10" s="79"/>
      <c r="G10" s="79"/>
      <c r="H10" s="79"/>
      <c r="I10" s="79"/>
      <c r="J10" s="79" t="n">
        <f aca="false">(SourceDetail!E200/1)</f>
        <v>7734</v>
      </c>
      <c r="K10" s="79" t="n">
        <f aca="false">Payroll!J13</f>
        <v>7734</v>
      </c>
      <c r="L10" s="79" t="n">
        <f aca="false">Payroll!K13</f>
        <v>7734</v>
      </c>
      <c r="M10" s="79" t="n">
        <f aca="false">Payroll!L13</f>
        <v>7734</v>
      </c>
      <c r="N10" s="79" t="n">
        <f aca="false">Payroll!M13</f>
        <v>7734</v>
      </c>
      <c r="O10" s="79" t="n">
        <f aca="false">Payroll!N13</f>
        <v>7734</v>
      </c>
      <c r="P10" s="79" t="n">
        <f aca="false">Payroll!O13</f>
        <v>7734</v>
      </c>
      <c r="Q10" s="79" t="n">
        <f aca="false">Payroll!P13</f>
        <v>7734</v>
      </c>
      <c r="R10" s="79" t="n">
        <f aca="false">Payroll!Q13</f>
        <v>7734</v>
      </c>
      <c r="S10" s="79" t="n">
        <f aca="false">Payroll!R13</f>
        <v>7734</v>
      </c>
      <c r="T10" s="79" t="n">
        <f aca="false">Payroll!S13</f>
        <v>7734</v>
      </c>
      <c r="U10" s="79" t="n">
        <f aca="false">Payroll!T13</f>
        <v>7734</v>
      </c>
      <c r="V10" s="79" t="n">
        <f aca="false">Payroll!U13</f>
        <v>7734</v>
      </c>
      <c r="W10" s="79" t="n">
        <f aca="false">Payroll!V13</f>
        <v>7734</v>
      </c>
      <c r="X10" s="79" t="n">
        <f aca="false">Payroll!W13</f>
        <v>7734</v>
      </c>
      <c r="Y10" s="79" t="n">
        <f aca="false">Payroll!X13</f>
        <v>7734</v>
      </c>
      <c r="Z10" s="79" t="n">
        <f aca="false">Payroll!Y13</f>
        <v>7734</v>
      </c>
      <c r="AA10" s="79" t="n">
        <f aca="false">Payroll!Z13</f>
        <v>7734</v>
      </c>
      <c r="AB10" s="79" t="n">
        <f aca="false">Payroll!AA13</f>
        <v>7734</v>
      </c>
      <c r="AC10" s="79" t="n">
        <f aca="false">Payroll!AB13</f>
        <v>7734</v>
      </c>
      <c r="AD10" s="79" t="n">
        <f aca="false">Payroll!AC13</f>
        <v>7734</v>
      </c>
      <c r="AE10" s="79" t="n">
        <f aca="false">Payroll!AD13</f>
        <v>7734</v>
      </c>
      <c r="AF10" s="79" t="n">
        <f aca="false">Payroll!AE13</f>
        <v>7734</v>
      </c>
      <c r="AG10" s="79" t="n">
        <f aca="false">Payroll!AF13</f>
        <v>7734</v>
      </c>
      <c r="AH10" s="79" t="n">
        <f aca="false">Payroll!AG13</f>
        <v>7734</v>
      </c>
      <c r="AI10" s="79" t="n">
        <f aca="false">Payroll!AH13</f>
        <v>7734</v>
      </c>
      <c r="AJ10" s="79" t="n">
        <f aca="false">Payroll!AI13</f>
        <v>7734</v>
      </c>
      <c r="AK10" s="79" t="n">
        <f aca="false">Payroll!AJ13</f>
        <v>7734</v>
      </c>
      <c r="AL10" s="79" t="n">
        <f aca="false">Payroll!AK13</f>
        <v>7734</v>
      </c>
      <c r="AM10" s="79" t="n">
        <f aca="false">Payroll!AL13</f>
        <v>7734</v>
      </c>
    </row>
    <row r="11" customFormat="false" ht="21" hidden="false" customHeight="true" outlineLevel="0" collapsed="false">
      <c r="C11" s="56" t="s">
        <v>263</v>
      </c>
      <c r="D11" s="79"/>
      <c r="E11" s="79"/>
      <c r="F11" s="79"/>
      <c r="G11" s="79"/>
      <c r="H11" s="79"/>
      <c r="I11" s="79"/>
      <c r="J11" s="79" t="n">
        <f aca="false">MAX(0,Inputs!J70)</f>
        <v>0</v>
      </c>
      <c r="K11" s="79" t="n">
        <f aca="false">MAX(0,Inputs!K70)</f>
        <v>0</v>
      </c>
      <c r="L11" s="79" t="n">
        <f aca="false">MAX(0,Inputs!L70)</f>
        <v>0</v>
      </c>
      <c r="M11" s="79" t="n">
        <f aca="false">MAX(0,Inputs!M70)</f>
        <v>0</v>
      </c>
      <c r="N11" s="79" t="n">
        <f aca="false">MAX(0,Inputs!N70)</f>
        <v>0</v>
      </c>
      <c r="O11" s="79" t="n">
        <f aca="false">MAX(0,Inputs!O70)</f>
        <v>0</v>
      </c>
      <c r="P11" s="79" t="n">
        <f aca="false">MAX(0,Inputs!P70)</f>
        <v>0</v>
      </c>
      <c r="Q11" s="79" t="n">
        <f aca="false">MAX(0,Inputs!Q70)</f>
        <v>0</v>
      </c>
      <c r="R11" s="79" t="n">
        <f aca="false">MAX(0,Inputs!R70)</f>
        <v>0</v>
      </c>
      <c r="S11" s="79" t="n">
        <f aca="false">MAX(0,Inputs!S70)</f>
        <v>0</v>
      </c>
      <c r="T11" s="79" t="n">
        <f aca="false">MAX(0,Inputs!T70)</f>
        <v>0</v>
      </c>
      <c r="U11" s="79" t="n">
        <f aca="false">MAX(0,Inputs!U70)</f>
        <v>0</v>
      </c>
      <c r="V11" s="79" t="n">
        <f aca="false">MAX(0,Inputs!V70)</f>
        <v>0</v>
      </c>
      <c r="W11" s="79" t="n">
        <f aca="false">MAX(0,Inputs!W70)</f>
        <v>0</v>
      </c>
      <c r="X11" s="79" t="n">
        <f aca="false">MAX(0,Inputs!X70)</f>
        <v>0</v>
      </c>
      <c r="Y11" s="79" t="n">
        <f aca="false">MAX(0,Inputs!Y70)</f>
        <v>0</v>
      </c>
      <c r="Z11" s="79" t="n">
        <f aca="false">MAX(0,Inputs!Z70)</f>
        <v>0</v>
      </c>
      <c r="AA11" s="79" t="n">
        <f aca="false">MAX(0,Inputs!AA70)</f>
        <v>0</v>
      </c>
      <c r="AB11" s="79" t="n">
        <f aca="false">MAX(0,Inputs!AB70)</f>
        <v>0</v>
      </c>
      <c r="AC11" s="79" t="n">
        <f aca="false">MAX(0,Inputs!AC70)</f>
        <v>0</v>
      </c>
      <c r="AD11" s="79" t="n">
        <f aca="false">MAX(0,Inputs!AD70)</f>
        <v>0</v>
      </c>
      <c r="AE11" s="79" t="n">
        <f aca="false">MAX(0,Inputs!AE70)</f>
        <v>0</v>
      </c>
      <c r="AF11" s="79" t="n">
        <f aca="false">MAX(0,Inputs!AF70)</f>
        <v>0</v>
      </c>
      <c r="AG11" s="79" t="n">
        <f aca="false">MAX(0,Inputs!AG70)</f>
        <v>0</v>
      </c>
      <c r="AH11" s="79" t="n">
        <f aca="false">MAX(0,Inputs!AH70)</f>
        <v>0</v>
      </c>
      <c r="AI11" s="79" t="n">
        <f aca="false">MAX(0,Inputs!AI70)</f>
        <v>0</v>
      </c>
      <c r="AJ11" s="79" t="n">
        <f aca="false">MAX(0,Inputs!AJ70)</f>
        <v>0</v>
      </c>
      <c r="AK11" s="79" t="n">
        <f aca="false">MAX(0,Inputs!AK70)</f>
        <v>0</v>
      </c>
      <c r="AL11" s="79" t="n">
        <f aca="false">MAX(0,Inputs!AL70)</f>
        <v>0</v>
      </c>
      <c r="AM11" s="79" t="n">
        <f aca="false">MAX(0,Inputs!AM70)</f>
        <v>0</v>
      </c>
    </row>
    <row r="12" customFormat="false" ht="21" hidden="false" customHeight="true" outlineLevel="0" collapsed="false">
      <c r="C12" s="56" t="s">
        <v>264</v>
      </c>
      <c r="D12" s="79"/>
      <c r="E12" s="79"/>
      <c r="F12" s="79"/>
      <c r="G12" s="79"/>
      <c r="H12" s="79"/>
      <c r="I12" s="79"/>
      <c r="J12" s="79" t="n">
        <f aca="false">MIN(MAX(0,Inputs!J71),J10+J11)</f>
        <v>0</v>
      </c>
      <c r="K12" s="79" t="n">
        <f aca="false">MIN(MAX(0,Inputs!K71),K10+K11)</f>
        <v>0</v>
      </c>
      <c r="L12" s="79" t="n">
        <f aca="false">MIN(MAX(0,Inputs!L71),L10+L11)</f>
        <v>0</v>
      </c>
      <c r="M12" s="79" t="n">
        <f aca="false">MIN(MAX(0,Inputs!M71),M10+M11)</f>
        <v>0</v>
      </c>
      <c r="N12" s="79" t="n">
        <f aca="false">MIN(MAX(0,Inputs!N71),N10+N11)</f>
        <v>0</v>
      </c>
      <c r="O12" s="79" t="n">
        <f aca="false">MIN(MAX(0,Inputs!O71),O10+O11)</f>
        <v>0</v>
      </c>
      <c r="P12" s="79" t="n">
        <f aca="false">MIN(MAX(0,Inputs!P71),P10+P11)</f>
        <v>0</v>
      </c>
      <c r="Q12" s="79" t="n">
        <f aca="false">MIN(MAX(0,Inputs!Q71),Q10+Q11)</f>
        <v>0</v>
      </c>
      <c r="R12" s="79" t="n">
        <f aca="false">MIN(MAX(0,Inputs!R71),R10+R11)</f>
        <v>0</v>
      </c>
      <c r="S12" s="79" t="n">
        <f aca="false">MIN(MAX(0,Inputs!S71),S10+S11)</f>
        <v>0</v>
      </c>
      <c r="T12" s="79" t="n">
        <f aca="false">MIN(MAX(0,Inputs!T71),T10+T11)</f>
        <v>0</v>
      </c>
      <c r="U12" s="79" t="n">
        <f aca="false">MIN(MAX(0,Inputs!U71),U10+U11)</f>
        <v>0</v>
      </c>
      <c r="V12" s="79" t="n">
        <f aca="false">MIN(MAX(0,Inputs!V71),V10+V11)</f>
        <v>0</v>
      </c>
      <c r="W12" s="79" t="n">
        <f aca="false">MIN(MAX(0,Inputs!W71),W10+W11)</f>
        <v>0</v>
      </c>
      <c r="X12" s="79" t="n">
        <f aca="false">MIN(MAX(0,Inputs!X71),X10+X11)</f>
        <v>0</v>
      </c>
      <c r="Y12" s="79" t="n">
        <f aca="false">MIN(MAX(0,Inputs!Y71),Y10+Y11)</f>
        <v>0</v>
      </c>
      <c r="Z12" s="79" t="n">
        <f aca="false">MIN(MAX(0,Inputs!Z71),Z10+Z11)</f>
        <v>0</v>
      </c>
      <c r="AA12" s="79" t="n">
        <f aca="false">MIN(MAX(0,Inputs!AA71),AA10+AA11)</f>
        <v>0</v>
      </c>
      <c r="AB12" s="79" t="n">
        <f aca="false">MIN(MAX(0,Inputs!AB71),AB10+AB11)</f>
        <v>0</v>
      </c>
      <c r="AC12" s="79" t="n">
        <f aca="false">MIN(MAX(0,Inputs!AC71),AC10+AC11)</f>
        <v>0</v>
      </c>
      <c r="AD12" s="79" t="n">
        <f aca="false">MIN(MAX(0,Inputs!AD71),AD10+AD11)</f>
        <v>0</v>
      </c>
      <c r="AE12" s="79" t="n">
        <f aca="false">MIN(MAX(0,Inputs!AE71),AE10+AE11)</f>
        <v>0</v>
      </c>
      <c r="AF12" s="79" t="n">
        <f aca="false">MIN(MAX(0,Inputs!AF71),AF10+AF11)</f>
        <v>0</v>
      </c>
      <c r="AG12" s="79" t="n">
        <f aca="false">MIN(MAX(0,Inputs!AG71),AG10+AG11)</f>
        <v>0</v>
      </c>
      <c r="AH12" s="79" t="n">
        <f aca="false">MIN(MAX(0,Inputs!AH71),AH10+AH11)</f>
        <v>0</v>
      </c>
      <c r="AI12" s="79" t="n">
        <f aca="false">MIN(MAX(0,Inputs!AI71),AI10+AI11)</f>
        <v>0</v>
      </c>
      <c r="AJ12" s="79" t="n">
        <f aca="false">MIN(MAX(0,Inputs!AJ71),AJ10+AJ11)</f>
        <v>0</v>
      </c>
      <c r="AK12" s="79" t="n">
        <f aca="false">MIN(MAX(0,Inputs!AK71),AK10+AK11)</f>
        <v>0</v>
      </c>
      <c r="AL12" s="79" t="n">
        <f aca="false">MIN(MAX(0,Inputs!AL71),AL10+AL11)</f>
        <v>0</v>
      </c>
      <c r="AM12" s="79" t="n">
        <f aca="false">MIN(MAX(0,Inputs!AM71),AM10+AM11)</f>
        <v>0</v>
      </c>
    </row>
    <row r="13" customFormat="false" ht="21" hidden="false" customHeight="true" outlineLevel="0" collapsed="false">
      <c r="C13" s="56" t="s">
        <v>265</v>
      </c>
      <c r="D13" s="80"/>
      <c r="E13" s="80"/>
      <c r="F13" s="80"/>
      <c r="G13" s="80"/>
      <c r="H13" s="80"/>
      <c r="I13" s="80"/>
      <c r="J13" s="80" t="n">
        <f aca="false">J10+J11-J12</f>
        <v>7734</v>
      </c>
      <c r="K13" s="80" t="n">
        <f aca="false">K10+K11-K12</f>
        <v>7734</v>
      </c>
      <c r="L13" s="80" t="n">
        <f aca="false">L10+L11-L12</f>
        <v>7734</v>
      </c>
      <c r="M13" s="80" t="n">
        <f aca="false">M10+M11-M12</f>
        <v>7734</v>
      </c>
      <c r="N13" s="80" t="n">
        <f aca="false">N10+N11-N12</f>
        <v>7734</v>
      </c>
      <c r="O13" s="80" t="n">
        <f aca="false">O10+O11-O12</f>
        <v>7734</v>
      </c>
      <c r="P13" s="80" t="n">
        <f aca="false">P10+P11-P12</f>
        <v>7734</v>
      </c>
      <c r="Q13" s="80" t="n">
        <f aca="false">Q10+Q11-Q12</f>
        <v>7734</v>
      </c>
      <c r="R13" s="80" t="n">
        <f aca="false">R10+R11-R12</f>
        <v>7734</v>
      </c>
      <c r="S13" s="80" t="n">
        <f aca="false">S10+S11-S12</f>
        <v>7734</v>
      </c>
      <c r="T13" s="80" t="n">
        <f aca="false">T10+T11-T12</f>
        <v>7734</v>
      </c>
      <c r="U13" s="80" t="n">
        <f aca="false">U10+U11-U12</f>
        <v>7734</v>
      </c>
      <c r="V13" s="80" t="n">
        <f aca="false">V10+V11-V12</f>
        <v>7734</v>
      </c>
      <c r="W13" s="80" t="n">
        <f aca="false">W10+W11-W12</f>
        <v>7734</v>
      </c>
      <c r="X13" s="80" t="n">
        <f aca="false">X10+X11-X12</f>
        <v>7734</v>
      </c>
      <c r="Y13" s="80" t="n">
        <f aca="false">Y10+Y11-Y12</f>
        <v>7734</v>
      </c>
      <c r="Z13" s="80" t="n">
        <f aca="false">Z10+Z11-Z12</f>
        <v>7734</v>
      </c>
      <c r="AA13" s="80" t="n">
        <f aca="false">AA10+AA11-AA12</f>
        <v>7734</v>
      </c>
      <c r="AB13" s="80" t="n">
        <f aca="false">AB10+AB11-AB12</f>
        <v>7734</v>
      </c>
      <c r="AC13" s="80" t="n">
        <f aca="false">AC10+AC11-AC12</f>
        <v>7734</v>
      </c>
      <c r="AD13" s="80" t="n">
        <f aca="false">AD10+AD11-AD12</f>
        <v>7734</v>
      </c>
      <c r="AE13" s="80" t="n">
        <f aca="false">AE10+AE11-AE12</f>
        <v>7734</v>
      </c>
      <c r="AF13" s="80" t="n">
        <f aca="false">AF10+AF11-AF12</f>
        <v>7734</v>
      </c>
      <c r="AG13" s="80" t="n">
        <f aca="false">AG10+AG11-AG12</f>
        <v>7734</v>
      </c>
      <c r="AH13" s="80" t="n">
        <f aca="false">AH10+AH11-AH12</f>
        <v>7734</v>
      </c>
      <c r="AI13" s="80" t="n">
        <f aca="false">AI10+AI11-AI12</f>
        <v>7734</v>
      </c>
      <c r="AJ13" s="80" t="n">
        <f aca="false">AJ10+AJ11-AJ12</f>
        <v>7734</v>
      </c>
      <c r="AK13" s="80" t="n">
        <f aca="false">AK10+AK11-AK12</f>
        <v>7734</v>
      </c>
      <c r="AL13" s="80" t="n">
        <f aca="false">AL10+AL11-AL12</f>
        <v>7734</v>
      </c>
      <c r="AM13" s="80" t="n">
        <f aca="false">AM10+AM11-AM12</f>
        <v>7734</v>
      </c>
    </row>
    <row r="14" customFormat="false" ht="21" hidden="false" customHeight="true" outlineLevel="0" collapsed="false">
      <c r="C14" s="56" t="s">
        <v>266</v>
      </c>
      <c r="D14" s="80"/>
      <c r="E14" s="80"/>
      <c r="F14" s="80"/>
      <c r="G14" s="80"/>
      <c r="H14" s="80"/>
      <c r="I14" s="80"/>
      <c r="J14" s="80" t="n">
        <f aca="false">(J10+J13)/2</f>
        <v>7734</v>
      </c>
      <c r="K14" s="80" t="n">
        <f aca="false">(K10+K13)/2</f>
        <v>7734</v>
      </c>
      <c r="L14" s="80" t="n">
        <f aca="false">(L10+L13)/2</f>
        <v>7734</v>
      </c>
      <c r="M14" s="80" t="n">
        <f aca="false">(M10+M13)/2</f>
        <v>7734</v>
      </c>
      <c r="N14" s="80" t="n">
        <f aca="false">(N10+N13)/2</f>
        <v>7734</v>
      </c>
      <c r="O14" s="80" t="n">
        <f aca="false">(O10+O13)/2</f>
        <v>7734</v>
      </c>
      <c r="P14" s="80" t="n">
        <f aca="false">(P10+P13)/2</f>
        <v>7734</v>
      </c>
      <c r="Q14" s="80" t="n">
        <f aca="false">(Q10+Q13)/2</f>
        <v>7734</v>
      </c>
      <c r="R14" s="80" t="n">
        <f aca="false">(R10+R13)/2</f>
        <v>7734</v>
      </c>
      <c r="S14" s="80" t="n">
        <f aca="false">(S10+S13)/2</f>
        <v>7734</v>
      </c>
      <c r="T14" s="80" t="n">
        <f aca="false">(T10+T13)/2</f>
        <v>7734</v>
      </c>
      <c r="U14" s="80" t="n">
        <f aca="false">(U10+U13)/2</f>
        <v>7734</v>
      </c>
      <c r="V14" s="80" t="n">
        <f aca="false">(V10+V13)/2</f>
        <v>7734</v>
      </c>
      <c r="W14" s="80" t="n">
        <f aca="false">(W10+W13)/2</f>
        <v>7734</v>
      </c>
      <c r="X14" s="80" t="n">
        <f aca="false">(X10+X13)/2</f>
        <v>7734</v>
      </c>
      <c r="Y14" s="80" t="n">
        <f aca="false">(Y10+Y13)/2</f>
        <v>7734</v>
      </c>
      <c r="Z14" s="80" t="n">
        <f aca="false">(Z10+Z13)/2</f>
        <v>7734</v>
      </c>
      <c r="AA14" s="80" t="n">
        <f aca="false">(AA10+AA13)/2</f>
        <v>7734</v>
      </c>
      <c r="AB14" s="80" t="n">
        <f aca="false">(AB10+AB13)/2</f>
        <v>7734</v>
      </c>
      <c r="AC14" s="80" t="n">
        <f aca="false">(AC10+AC13)/2</f>
        <v>7734</v>
      </c>
      <c r="AD14" s="80" t="n">
        <f aca="false">(AD10+AD13)/2</f>
        <v>7734</v>
      </c>
      <c r="AE14" s="80" t="n">
        <f aca="false">(AE10+AE13)/2</f>
        <v>7734</v>
      </c>
      <c r="AF14" s="80" t="n">
        <f aca="false">(AF10+AF13)/2</f>
        <v>7734</v>
      </c>
      <c r="AG14" s="80" t="n">
        <f aca="false">(AG10+AG13)/2</f>
        <v>7734</v>
      </c>
      <c r="AH14" s="80" t="n">
        <f aca="false">(AH10+AH13)/2</f>
        <v>7734</v>
      </c>
      <c r="AI14" s="80" t="n">
        <f aca="false">(AI10+AI13)/2</f>
        <v>7734</v>
      </c>
      <c r="AJ14" s="80" t="n">
        <f aca="false">(AJ10+AJ13)/2</f>
        <v>7734</v>
      </c>
      <c r="AK14" s="80" t="n">
        <f aca="false">(AK10+AK13)/2</f>
        <v>7734</v>
      </c>
      <c r="AL14" s="80" t="n">
        <f aca="false">(AL10+AL13)/2</f>
        <v>7734</v>
      </c>
      <c r="AM14" s="80" t="n">
        <f aca="false">(AM10+AM13)/2</f>
        <v>7734</v>
      </c>
    </row>
    <row r="15" customFormat="false" ht="21" hidden="false" customHeight="true" outlineLevel="0" collapsed="false">
      <c r="C15" s="56" t="s">
        <v>267</v>
      </c>
      <c r="D15" s="69"/>
      <c r="E15" s="69"/>
      <c r="F15" s="69"/>
      <c r="G15" s="69"/>
      <c r="H15" s="69"/>
      <c r="I15" s="69"/>
      <c r="J15" s="69" t="n">
        <f aca="false">((SourceDetail!E76/1000000)*1000000/(SourceDetail!E200/1)/12)*(1+Inputs!J23)</f>
        <v>6078.74134424942</v>
      </c>
      <c r="K15" s="69" t="n">
        <f aca="false">(Payroll!J15)*(1+Inputs!K23)</f>
        <v>6078.74134424942</v>
      </c>
      <c r="L15" s="69" t="n">
        <f aca="false">(Payroll!K15)*(1+Inputs!L23)</f>
        <v>6078.74134424942</v>
      </c>
      <c r="M15" s="69" t="n">
        <f aca="false">(Payroll!L15)*(1+Inputs!M23)</f>
        <v>6078.74134424942</v>
      </c>
      <c r="N15" s="69" t="n">
        <f aca="false">(Payroll!M15)*(1+Inputs!N23)</f>
        <v>6078.74134424942</v>
      </c>
      <c r="O15" s="69" t="n">
        <f aca="false">(Payroll!N15)*(1+Inputs!O23)</f>
        <v>6078.74134424942</v>
      </c>
      <c r="P15" s="69" t="n">
        <f aca="false">(Payroll!O15)*(1+Inputs!P23)</f>
        <v>6261.1035845769</v>
      </c>
      <c r="Q15" s="69" t="n">
        <f aca="false">(Payroll!P15)*(1+Inputs!Q23)</f>
        <v>6261.1035845769</v>
      </c>
      <c r="R15" s="69" t="n">
        <f aca="false">(Payroll!Q15)*(1+Inputs!R23)</f>
        <v>6261.1035845769</v>
      </c>
      <c r="S15" s="69" t="n">
        <f aca="false">(Payroll!R15)*(1+Inputs!S23)</f>
        <v>6261.1035845769</v>
      </c>
      <c r="T15" s="69" t="n">
        <f aca="false">(Payroll!S15)*(1+Inputs!T23)</f>
        <v>6261.1035845769</v>
      </c>
      <c r="U15" s="69" t="n">
        <f aca="false">(Payroll!T15)*(1+Inputs!U23)</f>
        <v>6261.1035845769</v>
      </c>
      <c r="V15" s="69" t="n">
        <f aca="false">(Payroll!U15)*(1+Inputs!V23)</f>
        <v>6261.1035845769</v>
      </c>
      <c r="W15" s="69" t="n">
        <f aca="false">(Payroll!V15)*(1+Inputs!W23)</f>
        <v>6261.1035845769</v>
      </c>
      <c r="X15" s="69" t="n">
        <f aca="false">(Payroll!W15)*(1+Inputs!X23)</f>
        <v>6261.1035845769</v>
      </c>
      <c r="Y15" s="69" t="n">
        <f aca="false">(Payroll!X15)*(1+Inputs!Y23)</f>
        <v>6261.1035845769</v>
      </c>
      <c r="Z15" s="69" t="n">
        <f aca="false">(Payroll!Y15)*(1+Inputs!Z23)</f>
        <v>6261.1035845769</v>
      </c>
      <c r="AA15" s="69" t="n">
        <f aca="false">(Payroll!Z15)*(1+Inputs!AA23)</f>
        <v>6261.1035845769</v>
      </c>
      <c r="AB15" s="69" t="n">
        <f aca="false">(Payroll!AA15)*(1+Inputs!AB23)</f>
        <v>6448.93669211421</v>
      </c>
      <c r="AC15" s="69" t="n">
        <f aca="false">(Payroll!AB15)*(1+Inputs!AC23)</f>
        <v>6448.93669211421</v>
      </c>
      <c r="AD15" s="69" t="n">
        <f aca="false">(Payroll!AC15)*(1+Inputs!AD23)</f>
        <v>6448.93669211421</v>
      </c>
      <c r="AE15" s="69" t="n">
        <f aca="false">(Payroll!AD15)*(1+Inputs!AE23)</f>
        <v>6448.93669211421</v>
      </c>
      <c r="AF15" s="69" t="n">
        <f aca="false">(Payroll!AE15)*(1+Inputs!AF23)</f>
        <v>6448.93669211421</v>
      </c>
      <c r="AG15" s="69" t="n">
        <f aca="false">(Payroll!AF15)*(1+Inputs!AG23)</f>
        <v>6448.93669211421</v>
      </c>
      <c r="AH15" s="69" t="n">
        <f aca="false">(Payroll!AG15)*(1+Inputs!AH23)</f>
        <v>6448.93669211421</v>
      </c>
      <c r="AI15" s="69" t="n">
        <f aca="false">(Payroll!AH15)*(1+Inputs!AI23)</f>
        <v>6448.93669211421</v>
      </c>
      <c r="AJ15" s="69" t="n">
        <f aca="false">(Payroll!AI15)*(1+Inputs!AJ23)</f>
        <v>6448.93669211421</v>
      </c>
      <c r="AK15" s="69" t="n">
        <f aca="false">(Payroll!AJ15)*(1+Inputs!AK23)</f>
        <v>6448.93669211421</v>
      </c>
      <c r="AL15" s="69" t="n">
        <f aca="false">(Payroll!AK15)*(1+Inputs!AL23)</f>
        <v>6448.93669211421</v>
      </c>
      <c r="AM15" s="69" t="n">
        <f aca="false">(Payroll!AL15)*(1+Inputs!AM23)</f>
        <v>6448.93669211421</v>
      </c>
    </row>
    <row r="16" customFormat="false" ht="21" hidden="false" customHeight="true" outlineLevel="0" collapsed="false">
      <c r="C16" s="60" t="s">
        <v>268</v>
      </c>
      <c r="D16" s="70"/>
      <c r="E16" s="70"/>
      <c r="F16" s="70"/>
      <c r="G16" s="70"/>
      <c r="H16" s="70"/>
      <c r="I16" s="70"/>
      <c r="J16" s="70" t="n">
        <f aca="false">J14*J15/1000000</f>
        <v>47.012985556425</v>
      </c>
      <c r="K16" s="70" t="n">
        <f aca="false">K14*K15/1000000</f>
        <v>47.012985556425</v>
      </c>
      <c r="L16" s="70" t="n">
        <f aca="false">L14*L15/1000000</f>
        <v>47.012985556425</v>
      </c>
      <c r="M16" s="70" t="n">
        <f aca="false">M14*M15/1000000</f>
        <v>47.012985556425</v>
      </c>
      <c r="N16" s="70" t="n">
        <f aca="false">N14*N15/1000000</f>
        <v>47.012985556425</v>
      </c>
      <c r="O16" s="70" t="n">
        <f aca="false">O14*O15/1000000</f>
        <v>47.012985556425</v>
      </c>
      <c r="P16" s="70" t="n">
        <f aca="false">P14*P15/1000000</f>
        <v>48.4233751231178</v>
      </c>
      <c r="Q16" s="70" t="n">
        <f aca="false">Q14*Q15/1000000</f>
        <v>48.4233751231178</v>
      </c>
      <c r="R16" s="70" t="n">
        <f aca="false">R14*R15/1000000</f>
        <v>48.4233751231178</v>
      </c>
      <c r="S16" s="70" t="n">
        <f aca="false">S14*S15/1000000</f>
        <v>48.4233751231178</v>
      </c>
      <c r="T16" s="70" t="n">
        <f aca="false">T14*T15/1000000</f>
        <v>48.4233751231178</v>
      </c>
      <c r="U16" s="70" t="n">
        <f aca="false">U14*U15/1000000</f>
        <v>48.4233751231178</v>
      </c>
      <c r="V16" s="70" t="n">
        <f aca="false">V14*V15/1000000</f>
        <v>48.4233751231178</v>
      </c>
      <c r="W16" s="70" t="n">
        <f aca="false">W14*W15/1000000</f>
        <v>48.4233751231178</v>
      </c>
      <c r="X16" s="70" t="n">
        <f aca="false">X14*X15/1000000</f>
        <v>48.4233751231178</v>
      </c>
      <c r="Y16" s="70" t="n">
        <f aca="false">Y14*Y15/1000000</f>
        <v>48.4233751231178</v>
      </c>
      <c r="Z16" s="70" t="n">
        <f aca="false">Z14*Z15/1000000</f>
        <v>48.4233751231178</v>
      </c>
      <c r="AA16" s="70" t="n">
        <f aca="false">AA14*AA15/1000000</f>
        <v>48.4233751231178</v>
      </c>
      <c r="AB16" s="70" t="n">
        <f aca="false">AB14*AB15/1000000</f>
        <v>49.8760763768113</v>
      </c>
      <c r="AC16" s="70" t="n">
        <f aca="false">AC14*AC15/1000000</f>
        <v>49.8760763768113</v>
      </c>
      <c r="AD16" s="70" t="n">
        <f aca="false">AD14*AD15/1000000</f>
        <v>49.8760763768113</v>
      </c>
      <c r="AE16" s="70" t="n">
        <f aca="false">AE14*AE15/1000000</f>
        <v>49.8760763768113</v>
      </c>
      <c r="AF16" s="70" t="n">
        <f aca="false">AF14*AF15/1000000</f>
        <v>49.8760763768113</v>
      </c>
      <c r="AG16" s="70" t="n">
        <f aca="false">AG14*AG15/1000000</f>
        <v>49.8760763768113</v>
      </c>
      <c r="AH16" s="70" t="n">
        <f aca="false">AH14*AH15/1000000</f>
        <v>49.8760763768113</v>
      </c>
      <c r="AI16" s="70" t="n">
        <f aca="false">AI14*AI15/1000000</f>
        <v>49.8760763768113</v>
      </c>
      <c r="AJ16" s="70" t="n">
        <f aca="false">AJ14*AJ15/1000000</f>
        <v>49.8760763768113</v>
      </c>
      <c r="AK16" s="70" t="n">
        <f aca="false">AK14*AK15/1000000</f>
        <v>49.8760763768113</v>
      </c>
      <c r="AL16" s="70" t="n">
        <f aca="false">AL14*AL15/1000000</f>
        <v>49.8760763768113</v>
      </c>
      <c r="AM16" s="70" t="n">
        <f aca="false">AM14*AM15/1000000</f>
        <v>49.8760763768113</v>
      </c>
    </row>
    <row r="17" customFormat="false" ht="21" hidden="false" customHeight="true" outlineLevel="0" collapsed="false">
      <c r="C17" s="56" t="s">
        <v>269</v>
      </c>
      <c r="D17" s="71"/>
      <c r="E17" s="71"/>
      <c r="F17" s="71"/>
      <c r="G17" s="71"/>
      <c r="H17" s="71"/>
      <c r="I17" s="71"/>
      <c r="J17" s="71" t="n">
        <f aca="false">J10+J11-J12-J13</f>
        <v>0</v>
      </c>
      <c r="K17" s="71" t="n">
        <f aca="false">K10+K11-K12-K13</f>
        <v>0</v>
      </c>
      <c r="L17" s="71" t="n">
        <f aca="false">L10+L11-L12-L13</f>
        <v>0</v>
      </c>
      <c r="M17" s="71" t="n">
        <f aca="false">M10+M11-M12-M13</f>
        <v>0</v>
      </c>
      <c r="N17" s="71" t="n">
        <f aca="false">N10+N11-N12-N13</f>
        <v>0</v>
      </c>
      <c r="O17" s="71" t="n">
        <f aca="false">O10+O11-O12-O13</f>
        <v>0</v>
      </c>
      <c r="P17" s="71" t="n">
        <f aca="false">P10+P11-P12-P13</f>
        <v>0</v>
      </c>
      <c r="Q17" s="71" t="n">
        <f aca="false">Q10+Q11-Q12-Q13</f>
        <v>0</v>
      </c>
      <c r="R17" s="71" t="n">
        <f aca="false">R10+R11-R12-R13</f>
        <v>0</v>
      </c>
      <c r="S17" s="71" t="n">
        <f aca="false">S10+S11-S12-S13</f>
        <v>0</v>
      </c>
      <c r="T17" s="71" t="n">
        <f aca="false">T10+T11-T12-T13</f>
        <v>0</v>
      </c>
      <c r="U17" s="71" t="n">
        <f aca="false">U10+U11-U12-U13</f>
        <v>0</v>
      </c>
      <c r="V17" s="71" t="n">
        <f aca="false">V10+V11-V12-V13</f>
        <v>0</v>
      </c>
      <c r="W17" s="71" t="n">
        <f aca="false">W10+W11-W12-W13</f>
        <v>0</v>
      </c>
      <c r="X17" s="71" t="n">
        <f aca="false">X10+X11-X12-X13</f>
        <v>0</v>
      </c>
      <c r="Y17" s="71" t="n">
        <f aca="false">Y10+Y11-Y12-Y13</f>
        <v>0</v>
      </c>
      <c r="Z17" s="71" t="n">
        <f aca="false">Z10+Z11-Z12-Z13</f>
        <v>0</v>
      </c>
      <c r="AA17" s="71" t="n">
        <f aca="false">AA10+AA11-AA12-AA13</f>
        <v>0</v>
      </c>
      <c r="AB17" s="71" t="n">
        <f aca="false">AB10+AB11-AB12-AB13</f>
        <v>0</v>
      </c>
      <c r="AC17" s="71" t="n">
        <f aca="false">AC10+AC11-AC12-AC13</f>
        <v>0</v>
      </c>
      <c r="AD17" s="71" t="n">
        <f aca="false">AD10+AD11-AD12-AD13</f>
        <v>0</v>
      </c>
      <c r="AE17" s="71" t="n">
        <f aca="false">AE10+AE11-AE12-AE13</f>
        <v>0</v>
      </c>
      <c r="AF17" s="71" t="n">
        <f aca="false">AF10+AF11-AF12-AF13</f>
        <v>0</v>
      </c>
      <c r="AG17" s="71" t="n">
        <f aca="false">AG10+AG11-AG12-AG13</f>
        <v>0</v>
      </c>
      <c r="AH17" s="71" t="n">
        <f aca="false">AH10+AH11-AH12-AH13</f>
        <v>0</v>
      </c>
      <c r="AI17" s="71" t="n">
        <f aca="false">AI10+AI11-AI12-AI13</f>
        <v>0</v>
      </c>
      <c r="AJ17" s="71" t="n">
        <f aca="false">AJ10+AJ11-AJ12-AJ13</f>
        <v>0</v>
      </c>
      <c r="AK17" s="71" t="n">
        <f aca="false">AK10+AK11-AK12-AK13</f>
        <v>0</v>
      </c>
      <c r="AL17" s="71" t="n">
        <f aca="false">AL10+AL11-AL12-AL13</f>
        <v>0</v>
      </c>
      <c r="AM17" s="71" t="n">
        <f aca="false">AM10+AM11-AM12-AM13</f>
        <v>0</v>
      </c>
    </row>
    <row r="18" customFormat="false" ht="21" hidden="false" customHeight="true" outlineLevel="0" collapsed="false">
      <c r="C18" s="56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</row>
    <row r="19" customFormat="false" ht="21" hidden="false" customHeight="true" outlineLevel="0" collapsed="false">
      <c r="C19" s="56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</row>
    <row r="20" customFormat="false" ht="21" hidden="false" customHeight="true" outlineLevel="0" collapsed="false">
      <c r="C20" s="56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</row>
    <row r="21" customFormat="false" ht="25" hidden="false" customHeight="true" outlineLevel="0" collapsed="false">
      <c r="C21" s="63" t="s">
        <v>270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</row>
    <row r="22" customFormat="false" ht="21" hidden="false" customHeight="true" outlineLevel="0" collapsed="false">
      <c r="C22" s="56" t="s">
        <v>262</v>
      </c>
      <c r="D22" s="79"/>
      <c r="E22" s="79"/>
      <c r="F22" s="79"/>
      <c r="G22" s="79"/>
      <c r="H22" s="79"/>
      <c r="I22" s="79"/>
      <c r="J22" s="79" t="n">
        <f aca="false">(SourceDetail!E201/1)</f>
        <v>1066</v>
      </c>
      <c r="K22" s="79" t="n">
        <f aca="false">Payroll!J25</f>
        <v>1066</v>
      </c>
      <c r="L22" s="79" t="n">
        <f aca="false">Payroll!K25</f>
        <v>1066</v>
      </c>
      <c r="M22" s="79" t="n">
        <f aca="false">Payroll!L25</f>
        <v>1066</v>
      </c>
      <c r="N22" s="79" t="n">
        <f aca="false">Payroll!M25</f>
        <v>1066</v>
      </c>
      <c r="O22" s="79" t="n">
        <f aca="false">Payroll!N25</f>
        <v>1066</v>
      </c>
      <c r="P22" s="79" t="n">
        <f aca="false">Payroll!O25</f>
        <v>1066</v>
      </c>
      <c r="Q22" s="79" t="n">
        <f aca="false">Payroll!P25</f>
        <v>1066</v>
      </c>
      <c r="R22" s="79" t="n">
        <f aca="false">Payroll!Q25</f>
        <v>1066</v>
      </c>
      <c r="S22" s="79" t="n">
        <f aca="false">Payroll!R25</f>
        <v>1066</v>
      </c>
      <c r="T22" s="79" t="n">
        <f aca="false">Payroll!S25</f>
        <v>1066</v>
      </c>
      <c r="U22" s="79" t="n">
        <f aca="false">Payroll!T25</f>
        <v>1066</v>
      </c>
      <c r="V22" s="79" t="n">
        <f aca="false">Payroll!U25</f>
        <v>1066</v>
      </c>
      <c r="W22" s="79" t="n">
        <f aca="false">Payroll!V25</f>
        <v>1066</v>
      </c>
      <c r="X22" s="79" t="n">
        <f aca="false">Payroll!W25</f>
        <v>1066</v>
      </c>
      <c r="Y22" s="79" t="n">
        <f aca="false">Payroll!X25</f>
        <v>1066</v>
      </c>
      <c r="Z22" s="79" t="n">
        <f aca="false">Payroll!Y25</f>
        <v>1066</v>
      </c>
      <c r="AA22" s="79" t="n">
        <f aca="false">Payroll!Z25</f>
        <v>1066</v>
      </c>
      <c r="AB22" s="79" t="n">
        <f aca="false">Payroll!AA25</f>
        <v>1066</v>
      </c>
      <c r="AC22" s="79" t="n">
        <f aca="false">Payroll!AB25</f>
        <v>1066</v>
      </c>
      <c r="AD22" s="79" t="n">
        <f aca="false">Payroll!AC25</f>
        <v>1066</v>
      </c>
      <c r="AE22" s="79" t="n">
        <f aca="false">Payroll!AD25</f>
        <v>1066</v>
      </c>
      <c r="AF22" s="79" t="n">
        <f aca="false">Payroll!AE25</f>
        <v>1066</v>
      </c>
      <c r="AG22" s="79" t="n">
        <f aca="false">Payroll!AF25</f>
        <v>1066</v>
      </c>
      <c r="AH22" s="79" t="n">
        <f aca="false">Payroll!AG25</f>
        <v>1066</v>
      </c>
      <c r="AI22" s="79" t="n">
        <f aca="false">Payroll!AH25</f>
        <v>1066</v>
      </c>
      <c r="AJ22" s="79" t="n">
        <f aca="false">Payroll!AI25</f>
        <v>1066</v>
      </c>
      <c r="AK22" s="79" t="n">
        <f aca="false">Payroll!AJ25</f>
        <v>1066</v>
      </c>
      <c r="AL22" s="79" t="n">
        <f aca="false">Payroll!AK25</f>
        <v>1066</v>
      </c>
      <c r="AM22" s="79" t="n">
        <f aca="false">Payroll!AL25</f>
        <v>1066</v>
      </c>
    </row>
    <row r="23" customFormat="false" ht="21" hidden="false" customHeight="true" outlineLevel="0" collapsed="false">
      <c r="C23" s="56" t="s">
        <v>263</v>
      </c>
      <c r="D23" s="79"/>
      <c r="E23" s="79"/>
      <c r="F23" s="79"/>
      <c r="G23" s="79"/>
      <c r="H23" s="79"/>
      <c r="I23" s="79"/>
      <c r="J23" s="79" t="n">
        <f aca="false">MAX(0,Inputs!J72)</f>
        <v>0</v>
      </c>
      <c r="K23" s="79" t="n">
        <f aca="false">MAX(0,Inputs!K72)</f>
        <v>0</v>
      </c>
      <c r="L23" s="79" t="n">
        <f aca="false">MAX(0,Inputs!L72)</f>
        <v>0</v>
      </c>
      <c r="M23" s="79" t="n">
        <f aca="false">MAX(0,Inputs!M72)</f>
        <v>0</v>
      </c>
      <c r="N23" s="79" t="n">
        <f aca="false">MAX(0,Inputs!N72)</f>
        <v>0</v>
      </c>
      <c r="O23" s="79" t="n">
        <f aca="false">MAX(0,Inputs!O72)</f>
        <v>0</v>
      </c>
      <c r="P23" s="79" t="n">
        <f aca="false">MAX(0,Inputs!P72)</f>
        <v>0</v>
      </c>
      <c r="Q23" s="79" t="n">
        <f aca="false">MAX(0,Inputs!Q72)</f>
        <v>0</v>
      </c>
      <c r="R23" s="79" t="n">
        <f aca="false">MAX(0,Inputs!R72)</f>
        <v>0</v>
      </c>
      <c r="S23" s="79" t="n">
        <f aca="false">MAX(0,Inputs!S72)</f>
        <v>0</v>
      </c>
      <c r="T23" s="79" t="n">
        <f aca="false">MAX(0,Inputs!T72)</f>
        <v>0</v>
      </c>
      <c r="U23" s="79" t="n">
        <f aca="false">MAX(0,Inputs!U72)</f>
        <v>0</v>
      </c>
      <c r="V23" s="79" t="n">
        <f aca="false">MAX(0,Inputs!V72)</f>
        <v>0</v>
      </c>
      <c r="W23" s="79" t="n">
        <f aca="false">MAX(0,Inputs!W72)</f>
        <v>0</v>
      </c>
      <c r="X23" s="79" t="n">
        <f aca="false">MAX(0,Inputs!X72)</f>
        <v>0</v>
      </c>
      <c r="Y23" s="79" t="n">
        <f aca="false">MAX(0,Inputs!Y72)</f>
        <v>0</v>
      </c>
      <c r="Z23" s="79" t="n">
        <f aca="false">MAX(0,Inputs!Z72)</f>
        <v>0</v>
      </c>
      <c r="AA23" s="79" t="n">
        <f aca="false">MAX(0,Inputs!AA72)</f>
        <v>0</v>
      </c>
      <c r="AB23" s="79" t="n">
        <f aca="false">MAX(0,Inputs!AB72)</f>
        <v>0</v>
      </c>
      <c r="AC23" s="79" t="n">
        <f aca="false">MAX(0,Inputs!AC72)</f>
        <v>0</v>
      </c>
      <c r="AD23" s="79" t="n">
        <f aca="false">MAX(0,Inputs!AD72)</f>
        <v>0</v>
      </c>
      <c r="AE23" s="79" t="n">
        <f aca="false">MAX(0,Inputs!AE72)</f>
        <v>0</v>
      </c>
      <c r="AF23" s="79" t="n">
        <f aca="false">MAX(0,Inputs!AF72)</f>
        <v>0</v>
      </c>
      <c r="AG23" s="79" t="n">
        <f aca="false">MAX(0,Inputs!AG72)</f>
        <v>0</v>
      </c>
      <c r="AH23" s="79" t="n">
        <f aca="false">MAX(0,Inputs!AH72)</f>
        <v>0</v>
      </c>
      <c r="AI23" s="79" t="n">
        <f aca="false">MAX(0,Inputs!AI72)</f>
        <v>0</v>
      </c>
      <c r="AJ23" s="79" t="n">
        <f aca="false">MAX(0,Inputs!AJ72)</f>
        <v>0</v>
      </c>
      <c r="AK23" s="79" t="n">
        <f aca="false">MAX(0,Inputs!AK72)</f>
        <v>0</v>
      </c>
      <c r="AL23" s="79" t="n">
        <f aca="false">MAX(0,Inputs!AL72)</f>
        <v>0</v>
      </c>
      <c r="AM23" s="79" t="n">
        <f aca="false">MAX(0,Inputs!AM72)</f>
        <v>0</v>
      </c>
    </row>
    <row r="24" customFormat="false" ht="21" hidden="false" customHeight="true" outlineLevel="0" collapsed="false">
      <c r="C24" s="56" t="s">
        <v>264</v>
      </c>
      <c r="D24" s="79"/>
      <c r="E24" s="79"/>
      <c r="F24" s="79"/>
      <c r="G24" s="79"/>
      <c r="H24" s="79"/>
      <c r="I24" s="79"/>
      <c r="J24" s="79" t="n">
        <f aca="false">MIN(MAX(0,Inputs!J73),J22+J23)</f>
        <v>0</v>
      </c>
      <c r="K24" s="79" t="n">
        <f aca="false">MIN(MAX(0,Inputs!K73),K22+K23)</f>
        <v>0</v>
      </c>
      <c r="L24" s="79" t="n">
        <f aca="false">MIN(MAX(0,Inputs!L73),L22+L23)</f>
        <v>0</v>
      </c>
      <c r="M24" s="79" t="n">
        <f aca="false">MIN(MAX(0,Inputs!M73),M22+M23)</f>
        <v>0</v>
      </c>
      <c r="N24" s="79" t="n">
        <f aca="false">MIN(MAX(0,Inputs!N73),N22+N23)</f>
        <v>0</v>
      </c>
      <c r="O24" s="79" t="n">
        <f aca="false">MIN(MAX(0,Inputs!O73),O22+O23)</f>
        <v>0</v>
      </c>
      <c r="P24" s="79" t="n">
        <f aca="false">MIN(MAX(0,Inputs!P73),P22+P23)</f>
        <v>0</v>
      </c>
      <c r="Q24" s="79" t="n">
        <f aca="false">MIN(MAX(0,Inputs!Q73),Q22+Q23)</f>
        <v>0</v>
      </c>
      <c r="R24" s="79" t="n">
        <f aca="false">MIN(MAX(0,Inputs!R73),R22+R23)</f>
        <v>0</v>
      </c>
      <c r="S24" s="79" t="n">
        <f aca="false">MIN(MAX(0,Inputs!S73),S22+S23)</f>
        <v>0</v>
      </c>
      <c r="T24" s="79" t="n">
        <f aca="false">MIN(MAX(0,Inputs!T73),T22+T23)</f>
        <v>0</v>
      </c>
      <c r="U24" s="79" t="n">
        <f aca="false">MIN(MAX(0,Inputs!U73),U22+U23)</f>
        <v>0</v>
      </c>
      <c r="V24" s="79" t="n">
        <f aca="false">MIN(MAX(0,Inputs!V73),V22+V23)</f>
        <v>0</v>
      </c>
      <c r="W24" s="79" t="n">
        <f aca="false">MIN(MAX(0,Inputs!W73),W22+W23)</f>
        <v>0</v>
      </c>
      <c r="X24" s="79" t="n">
        <f aca="false">MIN(MAX(0,Inputs!X73),X22+X23)</f>
        <v>0</v>
      </c>
      <c r="Y24" s="79" t="n">
        <f aca="false">MIN(MAX(0,Inputs!Y73),Y22+Y23)</f>
        <v>0</v>
      </c>
      <c r="Z24" s="79" t="n">
        <f aca="false">MIN(MAX(0,Inputs!Z73),Z22+Z23)</f>
        <v>0</v>
      </c>
      <c r="AA24" s="79" t="n">
        <f aca="false">MIN(MAX(0,Inputs!AA73),AA22+AA23)</f>
        <v>0</v>
      </c>
      <c r="AB24" s="79" t="n">
        <f aca="false">MIN(MAX(0,Inputs!AB73),AB22+AB23)</f>
        <v>0</v>
      </c>
      <c r="AC24" s="79" t="n">
        <f aca="false">MIN(MAX(0,Inputs!AC73),AC22+AC23)</f>
        <v>0</v>
      </c>
      <c r="AD24" s="79" t="n">
        <f aca="false">MIN(MAX(0,Inputs!AD73),AD22+AD23)</f>
        <v>0</v>
      </c>
      <c r="AE24" s="79" t="n">
        <f aca="false">MIN(MAX(0,Inputs!AE73),AE22+AE23)</f>
        <v>0</v>
      </c>
      <c r="AF24" s="79" t="n">
        <f aca="false">MIN(MAX(0,Inputs!AF73),AF22+AF23)</f>
        <v>0</v>
      </c>
      <c r="AG24" s="79" t="n">
        <f aca="false">MIN(MAX(0,Inputs!AG73),AG22+AG23)</f>
        <v>0</v>
      </c>
      <c r="AH24" s="79" t="n">
        <f aca="false">MIN(MAX(0,Inputs!AH73),AH22+AH23)</f>
        <v>0</v>
      </c>
      <c r="AI24" s="79" t="n">
        <f aca="false">MIN(MAX(0,Inputs!AI73),AI22+AI23)</f>
        <v>0</v>
      </c>
      <c r="AJ24" s="79" t="n">
        <f aca="false">MIN(MAX(0,Inputs!AJ73),AJ22+AJ23)</f>
        <v>0</v>
      </c>
      <c r="AK24" s="79" t="n">
        <f aca="false">MIN(MAX(0,Inputs!AK73),AK22+AK23)</f>
        <v>0</v>
      </c>
      <c r="AL24" s="79" t="n">
        <f aca="false">MIN(MAX(0,Inputs!AL73),AL22+AL23)</f>
        <v>0</v>
      </c>
      <c r="AM24" s="79" t="n">
        <f aca="false">MIN(MAX(0,Inputs!AM73),AM22+AM23)</f>
        <v>0</v>
      </c>
    </row>
    <row r="25" customFormat="false" ht="21" hidden="false" customHeight="true" outlineLevel="0" collapsed="false">
      <c r="C25" s="56" t="s">
        <v>265</v>
      </c>
      <c r="D25" s="80"/>
      <c r="E25" s="80"/>
      <c r="F25" s="80"/>
      <c r="G25" s="80"/>
      <c r="H25" s="80"/>
      <c r="I25" s="80"/>
      <c r="J25" s="80" t="n">
        <f aca="false">J22+J23-J24</f>
        <v>1066</v>
      </c>
      <c r="K25" s="80" t="n">
        <f aca="false">K22+K23-K24</f>
        <v>1066</v>
      </c>
      <c r="L25" s="80" t="n">
        <f aca="false">L22+L23-L24</f>
        <v>1066</v>
      </c>
      <c r="M25" s="80" t="n">
        <f aca="false">M22+M23-M24</f>
        <v>1066</v>
      </c>
      <c r="N25" s="80" t="n">
        <f aca="false">N22+N23-N24</f>
        <v>1066</v>
      </c>
      <c r="O25" s="80" t="n">
        <f aca="false">O22+O23-O24</f>
        <v>1066</v>
      </c>
      <c r="P25" s="80" t="n">
        <f aca="false">P22+P23-P24</f>
        <v>1066</v>
      </c>
      <c r="Q25" s="80" t="n">
        <f aca="false">Q22+Q23-Q24</f>
        <v>1066</v>
      </c>
      <c r="R25" s="80" t="n">
        <f aca="false">R22+R23-R24</f>
        <v>1066</v>
      </c>
      <c r="S25" s="80" t="n">
        <f aca="false">S22+S23-S24</f>
        <v>1066</v>
      </c>
      <c r="T25" s="80" t="n">
        <f aca="false">T22+T23-T24</f>
        <v>1066</v>
      </c>
      <c r="U25" s="80" t="n">
        <f aca="false">U22+U23-U24</f>
        <v>1066</v>
      </c>
      <c r="V25" s="80" t="n">
        <f aca="false">V22+V23-V24</f>
        <v>1066</v>
      </c>
      <c r="W25" s="80" t="n">
        <f aca="false">W22+W23-W24</f>
        <v>1066</v>
      </c>
      <c r="X25" s="80" t="n">
        <f aca="false">X22+X23-X24</f>
        <v>1066</v>
      </c>
      <c r="Y25" s="80" t="n">
        <f aca="false">Y22+Y23-Y24</f>
        <v>1066</v>
      </c>
      <c r="Z25" s="80" t="n">
        <f aca="false">Z22+Z23-Z24</f>
        <v>1066</v>
      </c>
      <c r="AA25" s="80" t="n">
        <f aca="false">AA22+AA23-AA24</f>
        <v>1066</v>
      </c>
      <c r="AB25" s="80" t="n">
        <f aca="false">AB22+AB23-AB24</f>
        <v>1066</v>
      </c>
      <c r="AC25" s="80" t="n">
        <f aca="false">AC22+AC23-AC24</f>
        <v>1066</v>
      </c>
      <c r="AD25" s="80" t="n">
        <f aca="false">AD22+AD23-AD24</f>
        <v>1066</v>
      </c>
      <c r="AE25" s="80" t="n">
        <f aca="false">AE22+AE23-AE24</f>
        <v>1066</v>
      </c>
      <c r="AF25" s="80" t="n">
        <f aca="false">AF22+AF23-AF24</f>
        <v>1066</v>
      </c>
      <c r="AG25" s="80" t="n">
        <f aca="false">AG22+AG23-AG24</f>
        <v>1066</v>
      </c>
      <c r="AH25" s="80" t="n">
        <f aca="false">AH22+AH23-AH24</f>
        <v>1066</v>
      </c>
      <c r="AI25" s="80" t="n">
        <f aca="false">AI22+AI23-AI24</f>
        <v>1066</v>
      </c>
      <c r="AJ25" s="80" t="n">
        <f aca="false">AJ22+AJ23-AJ24</f>
        <v>1066</v>
      </c>
      <c r="AK25" s="80" t="n">
        <f aca="false">AK22+AK23-AK24</f>
        <v>1066</v>
      </c>
      <c r="AL25" s="80" t="n">
        <f aca="false">AL22+AL23-AL24</f>
        <v>1066</v>
      </c>
      <c r="AM25" s="80" t="n">
        <f aca="false">AM22+AM23-AM24</f>
        <v>1066</v>
      </c>
    </row>
    <row r="26" customFormat="false" ht="21" hidden="false" customHeight="true" outlineLevel="0" collapsed="false">
      <c r="C26" s="56" t="s">
        <v>266</v>
      </c>
      <c r="D26" s="80"/>
      <c r="E26" s="80"/>
      <c r="F26" s="80"/>
      <c r="G26" s="80"/>
      <c r="H26" s="80"/>
      <c r="I26" s="80"/>
      <c r="J26" s="80" t="n">
        <f aca="false">(J22+J25)/2</f>
        <v>1066</v>
      </c>
      <c r="K26" s="80" t="n">
        <f aca="false">(K22+K25)/2</f>
        <v>1066</v>
      </c>
      <c r="L26" s="80" t="n">
        <f aca="false">(L22+L25)/2</f>
        <v>1066</v>
      </c>
      <c r="M26" s="80" t="n">
        <f aca="false">(M22+M25)/2</f>
        <v>1066</v>
      </c>
      <c r="N26" s="80" t="n">
        <f aca="false">(N22+N25)/2</f>
        <v>1066</v>
      </c>
      <c r="O26" s="80" t="n">
        <f aca="false">(O22+O25)/2</f>
        <v>1066</v>
      </c>
      <c r="P26" s="80" t="n">
        <f aca="false">(P22+P25)/2</f>
        <v>1066</v>
      </c>
      <c r="Q26" s="80" t="n">
        <f aca="false">(Q22+Q25)/2</f>
        <v>1066</v>
      </c>
      <c r="R26" s="80" t="n">
        <f aca="false">(R22+R25)/2</f>
        <v>1066</v>
      </c>
      <c r="S26" s="80" t="n">
        <f aca="false">(S22+S25)/2</f>
        <v>1066</v>
      </c>
      <c r="T26" s="80" t="n">
        <f aca="false">(T22+T25)/2</f>
        <v>1066</v>
      </c>
      <c r="U26" s="80" t="n">
        <f aca="false">(U22+U25)/2</f>
        <v>1066</v>
      </c>
      <c r="V26" s="80" t="n">
        <f aca="false">(V22+V25)/2</f>
        <v>1066</v>
      </c>
      <c r="W26" s="80" t="n">
        <f aca="false">(W22+W25)/2</f>
        <v>1066</v>
      </c>
      <c r="X26" s="80" t="n">
        <f aca="false">(X22+X25)/2</f>
        <v>1066</v>
      </c>
      <c r="Y26" s="80" t="n">
        <f aca="false">(Y22+Y25)/2</f>
        <v>1066</v>
      </c>
      <c r="Z26" s="80" t="n">
        <f aca="false">(Z22+Z25)/2</f>
        <v>1066</v>
      </c>
      <c r="AA26" s="80" t="n">
        <f aca="false">(AA22+AA25)/2</f>
        <v>1066</v>
      </c>
      <c r="AB26" s="80" t="n">
        <f aca="false">(AB22+AB25)/2</f>
        <v>1066</v>
      </c>
      <c r="AC26" s="80" t="n">
        <f aca="false">(AC22+AC25)/2</f>
        <v>1066</v>
      </c>
      <c r="AD26" s="80" t="n">
        <f aca="false">(AD22+AD25)/2</f>
        <v>1066</v>
      </c>
      <c r="AE26" s="80" t="n">
        <f aca="false">(AE22+AE25)/2</f>
        <v>1066</v>
      </c>
      <c r="AF26" s="80" t="n">
        <f aca="false">(AF22+AF25)/2</f>
        <v>1066</v>
      </c>
      <c r="AG26" s="80" t="n">
        <f aca="false">(AG22+AG25)/2</f>
        <v>1066</v>
      </c>
      <c r="AH26" s="80" t="n">
        <f aca="false">(AH22+AH25)/2</f>
        <v>1066</v>
      </c>
      <c r="AI26" s="80" t="n">
        <f aca="false">(AI22+AI25)/2</f>
        <v>1066</v>
      </c>
      <c r="AJ26" s="80" t="n">
        <f aca="false">(AJ22+AJ25)/2</f>
        <v>1066</v>
      </c>
      <c r="AK26" s="80" t="n">
        <f aca="false">(AK22+AK25)/2</f>
        <v>1066</v>
      </c>
      <c r="AL26" s="80" t="n">
        <f aca="false">(AL22+AL25)/2</f>
        <v>1066</v>
      </c>
      <c r="AM26" s="80" t="n">
        <f aca="false">(AM22+AM25)/2</f>
        <v>1066</v>
      </c>
    </row>
    <row r="27" customFormat="false" ht="21" hidden="false" customHeight="true" outlineLevel="0" collapsed="false">
      <c r="C27" s="56" t="s">
        <v>267</v>
      </c>
      <c r="D27" s="69"/>
      <c r="E27" s="69"/>
      <c r="F27" s="69"/>
      <c r="G27" s="69"/>
      <c r="H27" s="69"/>
      <c r="I27" s="69"/>
      <c r="J27" s="69" t="n">
        <f aca="false">((SourceDetail!E10/1000000)*1000000/(SourceDetail!E201/1)/12)*(1+Inputs!J23)</f>
        <v>34991.6381681598</v>
      </c>
      <c r="K27" s="69" t="n">
        <f aca="false">(Payroll!J27)*(1+Inputs!K23)</f>
        <v>34991.6381681598</v>
      </c>
      <c r="L27" s="69" t="n">
        <f aca="false">(Payroll!K27)*(1+Inputs!L23)</f>
        <v>34991.6381681598</v>
      </c>
      <c r="M27" s="69" t="n">
        <f aca="false">(Payroll!L27)*(1+Inputs!M23)</f>
        <v>34991.6381681598</v>
      </c>
      <c r="N27" s="69" t="n">
        <f aca="false">(Payroll!M27)*(1+Inputs!N23)</f>
        <v>34991.6381681598</v>
      </c>
      <c r="O27" s="69" t="n">
        <f aca="false">(Payroll!N27)*(1+Inputs!O23)</f>
        <v>34991.6381681598</v>
      </c>
      <c r="P27" s="69" t="n">
        <f aca="false">(Payroll!O27)*(1+Inputs!P23)</f>
        <v>36041.3873132046</v>
      </c>
      <c r="Q27" s="69" t="n">
        <f aca="false">(Payroll!P27)*(1+Inputs!Q23)</f>
        <v>36041.3873132046</v>
      </c>
      <c r="R27" s="69" t="n">
        <f aca="false">(Payroll!Q27)*(1+Inputs!R23)</f>
        <v>36041.3873132046</v>
      </c>
      <c r="S27" s="69" t="n">
        <f aca="false">(Payroll!R27)*(1+Inputs!S23)</f>
        <v>36041.3873132046</v>
      </c>
      <c r="T27" s="69" t="n">
        <f aca="false">(Payroll!S27)*(1+Inputs!T23)</f>
        <v>36041.3873132046</v>
      </c>
      <c r="U27" s="69" t="n">
        <f aca="false">(Payroll!T27)*(1+Inputs!U23)</f>
        <v>36041.3873132046</v>
      </c>
      <c r="V27" s="69" t="n">
        <f aca="false">(Payroll!U27)*(1+Inputs!V23)</f>
        <v>36041.3873132046</v>
      </c>
      <c r="W27" s="69" t="n">
        <f aca="false">(Payroll!V27)*(1+Inputs!W23)</f>
        <v>36041.3873132046</v>
      </c>
      <c r="X27" s="69" t="n">
        <f aca="false">(Payroll!W27)*(1+Inputs!X23)</f>
        <v>36041.3873132046</v>
      </c>
      <c r="Y27" s="69" t="n">
        <f aca="false">(Payroll!X27)*(1+Inputs!Y23)</f>
        <v>36041.3873132046</v>
      </c>
      <c r="Z27" s="69" t="n">
        <f aca="false">(Payroll!Y27)*(1+Inputs!Z23)</f>
        <v>36041.3873132046</v>
      </c>
      <c r="AA27" s="69" t="n">
        <f aca="false">(Payroll!Z27)*(1+Inputs!AA23)</f>
        <v>36041.3873132046</v>
      </c>
      <c r="AB27" s="69" t="n">
        <f aca="false">(Payroll!AA27)*(1+Inputs!AB23)</f>
        <v>37122.6289326007</v>
      </c>
      <c r="AC27" s="69" t="n">
        <f aca="false">(Payroll!AB27)*(1+Inputs!AC23)</f>
        <v>37122.6289326007</v>
      </c>
      <c r="AD27" s="69" t="n">
        <f aca="false">(Payroll!AC27)*(1+Inputs!AD23)</f>
        <v>37122.6289326007</v>
      </c>
      <c r="AE27" s="69" t="n">
        <f aca="false">(Payroll!AD27)*(1+Inputs!AE23)</f>
        <v>37122.6289326007</v>
      </c>
      <c r="AF27" s="69" t="n">
        <f aca="false">(Payroll!AE27)*(1+Inputs!AF23)</f>
        <v>37122.6289326007</v>
      </c>
      <c r="AG27" s="69" t="n">
        <f aca="false">(Payroll!AF27)*(1+Inputs!AG23)</f>
        <v>37122.6289326007</v>
      </c>
      <c r="AH27" s="69" t="n">
        <f aca="false">(Payroll!AG27)*(1+Inputs!AH23)</f>
        <v>37122.6289326007</v>
      </c>
      <c r="AI27" s="69" t="n">
        <f aca="false">(Payroll!AH27)*(1+Inputs!AI23)</f>
        <v>37122.6289326007</v>
      </c>
      <c r="AJ27" s="69" t="n">
        <f aca="false">(Payroll!AI27)*(1+Inputs!AJ23)</f>
        <v>37122.6289326007</v>
      </c>
      <c r="AK27" s="69" t="n">
        <f aca="false">(Payroll!AJ27)*(1+Inputs!AK23)</f>
        <v>37122.6289326007</v>
      </c>
      <c r="AL27" s="69" t="n">
        <f aca="false">(Payroll!AK27)*(1+Inputs!AL23)</f>
        <v>37122.6289326007</v>
      </c>
      <c r="AM27" s="69" t="n">
        <f aca="false">(Payroll!AL27)*(1+Inputs!AM23)</f>
        <v>37122.6289326007</v>
      </c>
    </row>
    <row r="28" customFormat="false" ht="21" hidden="false" customHeight="true" outlineLevel="0" collapsed="false">
      <c r="C28" s="60" t="s">
        <v>268</v>
      </c>
      <c r="D28" s="70"/>
      <c r="E28" s="70"/>
      <c r="F28" s="70"/>
      <c r="G28" s="70"/>
      <c r="H28" s="70"/>
      <c r="I28" s="70"/>
      <c r="J28" s="70" t="n">
        <f aca="false">J26*J27/1000000</f>
        <v>37.3010862872583</v>
      </c>
      <c r="K28" s="70" t="n">
        <f aca="false">K26*K27/1000000</f>
        <v>37.3010862872583</v>
      </c>
      <c r="L28" s="70" t="n">
        <f aca="false">L26*L27/1000000</f>
        <v>37.3010862872583</v>
      </c>
      <c r="M28" s="70" t="n">
        <f aca="false">M26*M27/1000000</f>
        <v>37.3010862872583</v>
      </c>
      <c r="N28" s="70" t="n">
        <f aca="false">N26*N27/1000000</f>
        <v>37.3010862872583</v>
      </c>
      <c r="O28" s="70" t="n">
        <f aca="false">O26*O27/1000000</f>
        <v>37.3010862872583</v>
      </c>
      <c r="P28" s="70" t="n">
        <f aca="false">P26*P27/1000000</f>
        <v>38.4201188758761</v>
      </c>
      <c r="Q28" s="70" t="n">
        <f aca="false">Q26*Q27/1000000</f>
        <v>38.4201188758761</v>
      </c>
      <c r="R28" s="70" t="n">
        <f aca="false">R26*R27/1000000</f>
        <v>38.4201188758761</v>
      </c>
      <c r="S28" s="70" t="n">
        <f aca="false">S26*S27/1000000</f>
        <v>38.4201188758761</v>
      </c>
      <c r="T28" s="70" t="n">
        <f aca="false">T26*T27/1000000</f>
        <v>38.4201188758761</v>
      </c>
      <c r="U28" s="70" t="n">
        <f aca="false">U26*U27/1000000</f>
        <v>38.4201188758761</v>
      </c>
      <c r="V28" s="70" t="n">
        <f aca="false">V26*V27/1000000</f>
        <v>38.4201188758761</v>
      </c>
      <c r="W28" s="70" t="n">
        <f aca="false">W26*W27/1000000</f>
        <v>38.4201188758761</v>
      </c>
      <c r="X28" s="70" t="n">
        <f aca="false">X26*X27/1000000</f>
        <v>38.4201188758761</v>
      </c>
      <c r="Y28" s="70" t="n">
        <f aca="false">Y26*Y27/1000000</f>
        <v>38.4201188758761</v>
      </c>
      <c r="Z28" s="70" t="n">
        <f aca="false">Z26*Z27/1000000</f>
        <v>38.4201188758761</v>
      </c>
      <c r="AA28" s="70" t="n">
        <f aca="false">AA26*AA27/1000000</f>
        <v>38.4201188758761</v>
      </c>
      <c r="AB28" s="70" t="n">
        <f aca="false">AB26*AB27/1000000</f>
        <v>39.5727224421524</v>
      </c>
      <c r="AC28" s="70" t="n">
        <f aca="false">AC26*AC27/1000000</f>
        <v>39.5727224421524</v>
      </c>
      <c r="AD28" s="70" t="n">
        <f aca="false">AD26*AD27/1000000</f>
        <v>39.5727224421524</v>
      </c>
      <c r="AE28" s="70" t="n">
        <f aca="false">AE26*AE27/1000000</f>
        <v>39.5727224421524</v>
      </c>
      <c r="AF28" s="70" t="n">
        <f aca="false">AF26*AF27/1000000</f>
        <v>39.5727224421524</v>
      </c>
      <c r="AG28" s="70" t="n">
        <f aca="false">AG26*AG27/1000000</f>
        <v>39.5727224421524</v>
      </c>
      <c r="AH28" s="70" t="n">
        <f aca="false">AH26*AH27/1000000</f>
        <v>39.5727224421524</v>
      </c>
      <c r="AI28" s="70" t="n">
        <f aca="false">AI26*AI27/1000000</f>
        <v>39.5727224421524</v>
      </c>
      <c r="AJ28" s="70" t="n">
        <f aca="false">AJ26*AJ27/1000000</f>
        <v>39.5727224421524</v>
      </c>
      <c r="AK28" s="70" t="n">
        <f aca="false">AK26*AK27/1000000</f>
        <v>39.5727224421524</v>
      </c>
      <c r="AL28" s="70" t="n">
        <f aca="false">AL26*AL27/1000000</f>
        <v>39.5727224421524</v>
      </c>
      <c r="AM28" s="70" t="n">
        <f aca="false">AM26*AM27/1000000</f>
        <v>39.5727224421524</v>
      </c>
    </row>
    <row r="29" customFormat="false" ht="21" hidden="false" customHeight="true" outlineLevel="0" collapsed="false">
      <c r="C29" s="56" t="s">
        <v>269</v>
      </c>
      <c r="D29" s="71"/>
      <c r="E29" s="71"/>
      <c r="F29" s="71"/>
      <c r="G29" s="71"/>
      <c r="H29" s="71"/>
      <c r="I29" s="71"/>
      <c r="J29" s="71" t="n">
        <f aca="false">J22+J23-J24-J25</f>
        <v>0</v>
      </c>
      <c r="K29" s="71" t="n">
        <f aca="false">K22+K23-K24-K25</f>
        <v>0</v>
      </c>
      <c r="L29" s="71" t="n">
        <f aca="false">L22+L23-L24-L25</f>
        <v>0</v>
      </c>
      <c r="M29" s="71" t="n">
        <f aca="false">M22+M23-M24-M25</f>
        <v>0</v>
      </c>
      <c r="N29" s="71" t="n">
        <f aca="false">N22+N23-N24-N25</f>
        <v>0</v>
      </c>
      <c r="O29" s="71" t="n">
        <f aca="false">O22+O23-O24-O25</f>
        <v>0</v>
      </c>
      <c r="P29" s="71" t="n">
        <f aca="false">P22+P23-P24-P25</f>
        <v>0</v>
      </c>
      <c r="Q29" s="71" t="n">
        <f aca="false">Q22+Q23-Q24-Q25</f>
        <v>0</v>
      </c>
      <c r="R29" s="71" t="n">
        <f aca="false">R22+R23-R24-R25</f>
        <v>0</v>
      </c>
      <c r="S29" s="71" t="n">
        <f aca="false">S22+S23-S24-S25</f>
        <v>0</v>
      </c>
      <c r="T29" s="71" t="n">
        <f aca="false">T22+T23-T24-T25</f>
        <v>0</v>
      </c>
      <c r="U29" s="71" t="n">
        <f aca="false">U22+U23-U24-U25</f>
        <v>0</v>
      </c>
      <c r="V29" s="71" t="n">
        <f aca="false">V22+V23-V24-V25</f>
        <v>0</v>
      </c>
      <c r="W29" s="71" t="n">
        <f aca="false">W22+W23-W24-W25</f>
        <v>0</v>
      </c>
      <c r="X29" s="71" t="n">
        <f aca="false">X22+X23-X24-X25</f>
        <v>0</v>
      </c>
      <c r="Y29" s="71" t="n">
        <f aca="false">Y22+Y23-Y24-Y25</f>
        <v>0</v>
      </c>
      <c r="Z29" s="71" t="n">
        <f aca="false">Z22+Z23-Z24-Z25</f>
        <v>0</v>
      </c>
      <c r="AA29" s="71" t="n">
        <f aca="false">AA22+AA23-AA24-AA25</f>
        <v>0</v>
      </c>
      <c r="AB29" s="71" t="n">
        <f aca="false">AB22+AB23-AB24-AB25</f>
        <v>0</v>
      </c>
      <c r="AC29" s="71" t="n">
        <f aca="false">AC22+AC23-AC24-AC25</f>
        <v>0</v>
      </c>
      <c r="AD29" s="71" t="n">
        <f aca="false">AD22+AD23-AD24-AD25</f>
        <v>0</v>
      </c>
      <c r="AE29" s="71" t="n">
        <f aca="false">AE22+AE23-AE24-AE25</f>
        <v>0</v>
      </c>
      <c r="AF29" s="71" t="n">
        <f aca="false">AF22+AF23-AF24-AF25</f>
        <v>0</v>
      </c>
      <c r="AG29" s="71" t="n">
        <f aca="false">AG22+AG23-AG24-AG25</f>
        <v>0</v>
      </c>
      <c r="AH29" s="71" t="n">
        <f aca="false">AH22+AH23-AH24-AH25</f>
        <v>0</v>
      </c>
      <c r="AI29" s="71" t="n">
        <f aca="false">AI22+AI23-AI24-AI25</f>
        <v>0</v>
      </c>
      <c r="AJ29" s="71" t="n">
        <f aca="false">AJ22+AJ23-AJ24-AJ25</f>
        <v>0</v>
      </c>
      <c r="AK29" s="71" t="n">
        <f aca="false">AK22+AK23-AK24-AK25</f>
        <v>0</v>
      </c>
      <c r="AL29" s="71" t="n">
        <f aca="false">AL22+AL23-AL24-AL25</f>
        <v>0</v>
      </c>
      <c r="AM29" s="71" t="n">
        <f aca="false">AM22+AM23-AM24-AM25</f>
        <v>0</v>
      </c>
    </row>
    <row r="30" customFormat="false" ht="21" hidden="false" customHeight="true" outlineLevel="0" collapsed="false">
      <c r="C30" s="56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</row>
    <row r="31" customFormat="false" ht="21" hidden="false" customHeight="true" outlineLevel="0" collapsed="false">
      <c r="C31" s="56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</row>
    <row r="32" customFormat="false" ht="21" hidden="false" customHeight="true" outlineLevel="0" collapsed="false">
      <c r="C32" s="56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</row>
    <row r="33" customFormat="false" ht="25" hidden="false" customHeight="true" outlineLevel="0" collapsed="false">
      <c r="C33" s="63" t="s">
        <v>271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</row>
    <row r="34" customFormat="false" ht="21" hidden="false" customHeight="true" outlineLevel="0" collapsed="false">
      <c r="C34" s="56" t="s">
        <v>262</v>
      </c>
      <c r="D34" s="79"/>
      <c r="E34" s="79"/>
      <c r="F34" s="79"/>
      <c r="G34" s="79"/>
      <c r="H34" s="79"/>
      <c r="I34" s="79"/>
      <c r="J34" s="79" t="n">
        <f aca="false">(SourceDetail!E202/1)</f>
        <v>2010</v>
      </c>
      <c r="K34" s="79" t="n">
        <f aca="false">Payroll!J37</f>
        <v>2010</v>
      </c>
      <c r="L34" s="79" t="n">
        <f aca="false">Payroll!K37</f>
        <v>2010</v>
      </c>
      <c r="M34" s="79" t="n">
        <f aca="false">Payroll!L37</f>
        <v>2010</v>
      </c>
      <c r="N34" s="79" t="n">
        <f aca="false">Payroll!M37</f>
        <v>2010</v>
      </c>
      <c r="O34" s="79" t="n">
        <f aca="false">Payroll!N37</f>
        <v>2010</v>
      </c>
      <c r="P34" s="79" t="n">
        <f aca="false">Payroll!O37</f>
        <v>2010</v>
      </c>
      <c r="Q34" s="79" t="n">
        <f aca="false">Payroll!P37</f>
        <v>2010</v>
      </c>
      <c r="R34" s="79" t="n">
        <f aca="false">Payroll!Q37</f>
        <v>2010</v>
      </c>
      <c r="S34" s="79" t="n">
        <f aca="false">Payroll!R37</f>
        <v>2010</v>
      </c>
      <c r="T34" s="79" t="n">
        <f aca="false">Payroll!S37</f>
        <v>2010</v>
      </c>
      <c r="U34" s="79" t="n">
        <f aca="false">Payroll!T37</f>
        <v>2010</v>
      </c>
      <c r="V34" s="79" t="n">
        <f aca="false">Payroll!U37</f>
        <v>2010</v>
      </c>
      <c r="W34" s="79" t="n">
        <f aca="false">Payroll!V37</f>
        <v>2010</v>
      </c>
      <c r="X34" s="79" t="n">
        <f aca="false">Payroll!W37</f>
        <v>2010</v>
      </c>
      <c r="Y34" s="79" t="n">
        <f aca="false">Payroll!X37</f>
        <v>2010</v>
      </c>
      <c r="Z34" s="79" t="n">
        <f aca="false">Payroll!Y37</f>
        <v>2010</v>
      </c>
      <c r="AA34" s="79" t="n">
        <f aca="false">Payroll!Z37</f>
        <v>2010</v>
      </c>
      <c r="AB34" s="79" t="n">
        <f aca="false">Payroll!AA37</f>
        <v>2010</v>
      </c>
      <c r="AC34" s="79" t="n">
        <f aca="false">Payroll!AB37</f>
        <v>2010</v>
      </c>
      <c r="AD34" s="79" t="n">
        <f aca="false">Payroll!AC37</f>
        <v>2010</v>
      </c>
      <c r="AE34" s="79" t="n">
        <f aca="false">Payroll!AD37</f>
        <v>2010</v>
      </c>
      <c r="AF34" s="79" t="n">
        <f aca="false">Payroll!AE37</f>
        <v>2010</v>
      </c>
      <c r="AG34" s="79" t="n">
        <f aca="false">Payroll!AF37</f>
        <v>2010</v>
      </c>
      <c r="AH34" s="79" t="n">
        <f aca="false">Payroll!AG37</f>
        <v>2010</v>
      </c>
      <c r="AI34" s="79" t="n">
        <f aca="false">Payroll!AH37</f>
        <v>2010</v>
      </c>
      <c r="AJ34" s="79" t="n">
        <f aca="false">Payroll!AI37</f>
        <v>2010</v>
      </c>
      <c r="AK34" s="79" t="n">
        <f aca="false">Payroll!AJ37</f>
        <v>2010</v>
      </c>
      <c r="AL34" s="79" t="n">
        <f aca="false">Payroll!AK37</f>
        <v>2010</v>
      </c>
      <c r="AM34" s="79" t="n">
        <f aca="false">Payroll!AL37</f>
        <v>2010</v>
      </c>
    </row>
    <row r="35" customFormat="false" ht="21" hidden="false" customHeight="true" outlineLevel="0" collapsed="false">
      <c r="C35" s="56" t="s">
        <v>263</v>
      </c>
      <c r="D35" s="79"/>
      <c r="E35" s="79"/>
      <c r="F35" s="79"/>
      <c r="G35" s="79"/>
      <c r="H35" s="79"/>
      <c r="I35" s="79"/>
      <c r="J35" s="79" t="n">
        <f aca="false">MAX(0,Inputs!J74)</f>
        <v>0</v>
      </c>
      <c r="K35" s="79" t="n">
        <f aca="false">MAX(0,Inputs!K74)</f>
        <v>0</v>
      </c>
      <c r="L35" s="79" t="n">
        <f aca="false">MAX(0,Inputs!L74)</f>
        <v>0</v>
      </c>
      <c r="M35" s="79" t="n">
        <f aca="false">MAX(0,Inputs!M74)</f>
        <v>0</v>
      </c>
      <c r="N35" s="79" t="n">
        <f aca="false">MAX(0,Inputs!N74)</f>
        <v>0</v>
      </c>
      <c r="O35" s="79" t="n">
        <f aca="false">MAX(0,Inputs!O74)</f>
        <v>0</v>
      </c>
      <c r="P35" s="79" t="n">
        <f aca="false">MAX(0,Inputs!P74)</f>
        <v>0</v>
      </c>
      <c r="Q35" s="79" t="n">
        <f aca="false">MAX(0,Inputs!Q74)</f>
        <v>0</v>
      </c>
      <c r="R35" s="79" t="n">
        <f aca="false">MAX(0,Inputs!R74)</f>
        <v>0</v>
      </c>
      <c r="S35" s="79" t="n">
        <f aca="false">MAX(0,Inputs!S74)</f>
        <v>0</v>
      </c>
      <c r="T35" s="79" t="n">
        <f aca="false">MAX(0,Inputs!T74)</f>
        <v>0</v>
      </c>
      <c r="U35" s="79" t="n">
        <f aca="false">MAX(0,Inputs!U74)</f>
        <v>0</v>
      </c>
      <c r="V35" s="79" t="n">
        <f aca="false">MAX(0,Inputs!V74)</f>
        <v>0</v>
      </c>
      <c r="W35" s="79" t="n">
        <f aca="false">MAX(0,Inputs!W74)</f>
        <v>0</v>
      </c>
      <c r="X35" s="79" t="n">
        <f aca="false">MAX(0,Inputs!X74)</f>
        <v>0</v>
      </c>
      <c r="Y35" s="79" t="n">
        <f aca="false">MAX(0,Inputs!Y74)</f>
        <v>0</v>
      </c>
      <c r="Z35" s="79" t="n">
        <f aca="false">MAX(0,Inputs!Z74)</f>
        <v>0</v>
      </c>
      <c r="AA35" s="79" t="n">
        <f aca="false">MAX(0,Inputs!AA74)</f>
        <v>0</v>
      </c>
      <c r="AB35" s="79" t="n">
        <f aca="false">MAX(0,Inputs!AB74)</f>
        <v>0</v>
      </c>
      <c r="AC35" s="79" t="n">
        <f aca="false">MAX(0,Inputs!AC74)</f>
        <v>0</v>
      </c>
      <c r="AD35" s="79" t="n">
        <f aca="false">MAX(0,Inputs!AD74)</f>
        <v>0</v>
      </c>
      <c r="AE35" s="79" t="n">
        <f aca="false">MAX(0,Inputs!AE74)</f>
        <v>0</v>
      </c>
      <c r="AF35" s="79" t="n">
        <f aca="false">MAX(0,Inputs!AF74)</f>
        <v>0</v>
      </c>
      <c r="AG35" s="79" t="n">
        <f aca="false">MAX(0,Inputs!AG74)</f>
        <v>0</v>
      </c>
      <c r="AH35" s="79" t="n">
        <f aca="false">MAX(0,Inputs!AH74)</f>
        <v>0</v>
      </c>
      <c r="AI35" s="79" t="n">
        <f aca="false">MAX(0,Inputs!AI74)</f>
        <v>0</v>
      </c>
      <c r="AJ35" s="79" t="n">
        <f aca="false">MAX(0,Inputs!AJ74)</f>
        <v>0</v>
      </c>
      <c r="AK35" s="79" t="n">
        <f aca="false">MAX(0,Inputs!AK74)</f>
        <v>0</v>
      </c>
      <c r="AL35" s="79" t="n">
        <f aca="false">MAX(0,Inputs!AL74)</f>
        <v>0</v>
      </c>
      <c r="AM35" s="79" t="n">
        <f aca="false">MAX(0,Inputs!AM74)</f>
        <v>0</v>
      </c>
    </row>
    <row r="36" customFormat="false" ht="21" hidden="false" customHeight="true" outlineLevel="0" collapsed="false">
      <c r="C36" s="56" t="s">
        <v>264</v>
      </c>
      <c r="D36" s="79"/>
      <c r="E36" s="79"/>
      <c r="F36" s="79"/>
      <c r="G36" s="79"/>
      <c r="H36" s="79"/>
      <c r="I36" s="79"/>
      <c r="J36" s="79" t="n">
        <f aca="false">MIN(MAX(0,Inputs!J75),J34+J35)</f>
        <v>0</v>
      </c>
      <c r="K36" s="79" t="n">
        <f aca="false">MIN(MAX(0,Inputs!K75),K34+K35)</f>
        <v>0</v>
      </c>
      <c r="L36" s="79" t="n">
        <f aca="false">MIN(MAX(0,Inputs!L75),L34+L35)</f>
        <v>0</v>
      </c>
      <c r="M36" s="79" t="n">
        <f aca="false">MIN(MAX(0,Inputs!M75),M34+M35)</f>
        <v>0</v>
      </c>
      <c r="N36" s="79" t="n">
        <f aca="false">MIN(MAX(0,Inputs!N75),N34+N35)</f>
        <v>0</v>
      </c>
      <c r="O36" s="79" t="n">
        <f aca="false">MIN(MAX(0,Inputs!O75),O34+O35)</f>
        <v>0</v>
      </c>
      <c r="P36" s="79" t="n">
        <f aca="false">MIN(MAX(0,Inputs!P75),P34+P35)</f>
        <v>0</v>
      </c>
      <c r="Q36" s="79" t="n">
        <f aca="false">MIN(MAX(0,Inputs!Q75),Q34+Q35)</f>
        <v>0</v>
      </c>
      <c r="R36" s="79" t="n">
        <f aca="false">MIN(MAX(0,Inputs!R75),R34+R35)</f>
        <v>0</v>
      </c>
      <c r="S36" s="79" t="n">
        <f aca="false">MIN(MAX(0,Inputs!S75),S34+S35)</f>
        <v>0</v>
      </c>
      <c r="T36" s="79" t="n">
        <f aca="false">MIN(MAX(0,Inputs!T75),T34+T35)</f>
        <v>0</v>
      </c>
      <c r="U36" s="79" t="n">
        <f aca="false">MIN(MAX(0,Inputs!U75),U34+U35)</f>
        <v>0</v>
      </c>
      <c r="V36" s="79" t="n">
        <f aca="false">MIN(MAX(0,Inputs!V75),V34+V35)</f>
        <v>0</v>
      </c>
      <c r="W36" s="79" t="n">
        <f aca="false">MIN(MAX(0,Inputs!W75),W34+W35)</f>
        <v>0</v>
      </c>
      <c r="X36" s="79" t="n">
        <f aca="false">MIN(MAX(0,Inputs!X75),X34+X35)</f>
        <v>0</v>
      </c>
      <c r="Y36" s="79" t="n">
        <f aca="false">MIN(MAX(0,Inputs!Y75),Y34+Y35)</f>
        <v>0</v>
      </c>
      <c r="Z36" s="79" t="n">
        <f aca="false">MIN(MAX(0,Inputs!Z75),Z34+Z35)</f>
        <v>0</v>
      </c>
      <c r="AA36" s="79" t="n">
        <f aca="false">MIN(MAX(0,Inputs!AA75),AA34+AA35)</f>
        <v>0</v>
      </c>
      <c r="AB36" s="79" t="n">
        <f aca="false">MIN(MAX(0,Inputs!AB75),AB34+AB35)</f>
        <v>0</v>
      </c>
      <c r="AC36" s="79" t="n">
        <f aca="false">MIN(MAX(0,Inputs!AC75),AC34+AC35)</f>
        <v>0</v>
      </c>
      <c r="AD36" s="79" t="n">
        <f aca="false">MIN(MAX(0,Inputs!AD75),AD34+AD35)</f>
        <v>0</v>
      </c>
      <c r="AE36" s="79" t="n">
        <f aca="false">MIN(MAX(0,Inputs!AE75),AE34+AE35)</f>
        <v>0</v>
      </c>
      <c r="AF36" s="79" t="n">
        <f aca="false">MIN(MAX(0,Inputs!AF75),AF34+AF35)</f>
        <v>0</v>
      </c>
      <c r="AG36" s="79" t="n">
        <f aca="false">MIN(MAX(0,Inputs!AG75),AG34+AG35)</f>
        <v>0</v>
      </c>
      <c r="AH36" s="79" t="n">
        <f aca="false">MIN(MAX(0,Inputs!AH75),AH34+AH35)</f>
        <v>0</v>
      </c>
      <c r="AI36" s="79" t="n">
        <f aca="false">MIN(MAX(0,Inputs!AI75),AI34+AI35)</f>
        <v>0</v>
      </c>
      <c r="AJ36" s="79" t="n">
        <f aca="false">MIN(MAX(0,Inputs!AJ75),AJ34+AJ35)</f>
        <v>0</v>
      </c>
      <c r="AK36" s="79" t="n">
        <f aca="false">MIN(MAX(0,Inputs!AK75),AK34+AK35)</f>
        <v>0</v>
      </c>
      <c r="AL36" s="79" t="n">
        <f aca="false">MIN(MAX(0,Inputs!AL75),AL34+AL35)</f>
        <v>0</v>
      </c>
      <c r="AM36" s="79" t="n">
        <f aca="false">MIN(MAX(0,Inputs!AM75),AM34+AM35)</f>
        <v>0</v>
      </c>
    </row>
    <row r="37" customFormat="false" ht="21" hidden="false" customHeight="true" outlineLevel="0" collapsed="false">
      <c r="C37" s="56" t="s">
        <v>265</v>
      </c>
      <c r="D37" s="80"/>
      <c r="E37" s="80"/>
      <c r="F37" s="80"/>
      <c r="G37" s="80"/>
      <c r="H37" s="80"/>
      <c r="I37" s="80"/>
      <c r="J37" s="80" t="n">
        <f aca="false">J34+J35-J36</f>
        <v>2010</v>
      </c>
      <c r="K37" s="80" t="n">
        <f aca="false">K34+K35-K36</f>
        <v>2010</v>
      </c>
      <c r="L37" s="80" t="n">
        <f aca="false">L34+L35-L36</f>
        <v>2010</v>
      </c>
      <c r="M37" s="80" t="n">
        <f aca="false">M34+M35-M36</f>
        <v>2010</v>
      </c>
      <c r="N37" s="80" t="n">
        <f aca="false">N34+N35-N36</f>
        <v>2010</v>
      </c>
      <c r="O37" s="80" t="n">
        <f aca="false">O34+O35-O36</f>
        <v>2010</v>
      </c>
      <c r="P37" s="80" t="n">
        <f aca="false">P34+P35-P36</f>
        <v>2010</v>
      </c>
      <c r="Q37" s="80" t="n">
        <f aca="false">Q34+Q35-Q36</f>
        <v>2010</v>
      </c>
      <c r="R37" s="80" t="n">
        <f aca="false">R34+R35-R36</f>
        <v>2010</v>
      </c>
      <c r="S37" s="80" t="n">
        <f aca="false">S34+S35-S36</f>
        <v>2010</v>
      </c>
      <c r="T37" s="80" t="n">
        <f aca="false">T34+T35-T36</f>
        <v>2010</v>
      </c>
      <c r="U37" s="80" t="n">
        <f aca="false">U34+U35-U36</f>
        <v>2010</v>
      </c>
      <c r="V37" s="80" t="n">
        <f aca="false">V34+V35-V36</f>
        <v>2010</v>
      </c>
      <c r="W37" s="80" t="n">
        <f aca="false">W34+W35-W36</f>
        <v>2010</v>
      </c>
      <c r="X37" s="80" t="n">
        <f aca="false">X34+X35-X36</f>
        <v>2010</v>
      </c>
      <c r="Y37" s="80" t="n">
        <f aca="false">Y34+Y35-Y36</f>
        <v>2010</v>
      </c>
      <c r="Z37" s="80" t="n">
        <f aca="false">Z34+Z35-Z36</f>
        <v>2010</v>
      </c>
      <c r="AA37" s="80" t="n">
        <f aca="false">AA34+AA35-AA36</f>
        <v>2010</v>
      </c>
      <c r="AB37" s="80" t="n">
        <f aca="false">AB34+AB35-AB36</f>
        <v>2010</v>
      </c>
      <c r="AC37" s="80" t="n">
        <f aca="false">AC34+AC35-AC36</f>
        <v>2010</v>
      </c>
      <c r="AD37" s="80" t="n">
        <f aca="false">AD34+AD35-AD36</f>
        <v>2010</v>
      </c>
      <c r="AE37" s="80" t="n">
        <f aca="false">AE34+AE35-AE36</f>
        <v>2010</v>
      </c>
      <c r="AF37" s="80" t="n">
        <f aca="false">AF34+AF35-AF36</f>
        <v>2010</v>
      </c>
      <c r="AG37" s="80" t="n">
        <f aca="false">AG34+AG35-AG36</f>
        <v>2010</v>
      </c>
      <c r="AH37" s="80" t="n">
        <f aca="false">AH34+AH35-AH36</f>
        <v>2010</v>
      </c>
      <c r="AI37" s="80" t="n">
        <f aca="false">AI34+AI35-AI36</f>
        <v>2010</v>
      </c>
      <c r="AJ37" s="80" t="n">
        <f aca="false">AJ34+AJ35-AJ36</f>
        <v>2010</v>
      </c>
      <c r="AK37" s="80" t="n">
        <f aca="false">AK34+AK35-AK36</f>
        <v>2010</v>
      </c>
      <c r="AL37" s="80" t="n">
        <f aca="false">AL34+AL35-AL36</f>
        <v>2010</v>
      </c>
      <c r="AM37" s="80" t="n">
        <f aca="false">AM34+AM35-AM36</f>
        <v>2010</v>
      </c>
    </row>
    <row r="38" customFormat="false" ht="21" hidden="false" customHeight="true" outlineLevel="0" collapsed="false">
      <c r="C38" s="56" t="s">
        <v>266</v>
      </c>
      <c r="D38" s="80"/>
      <c r="E38" s="80"/>
      <c r="F38" s="80"/>
      <c r="G38" s="80"/>
      <c r="H38" s="80"/>
      <c r="I38" s="80"/>
      <c r="J38" s="80" t="n">
        <f aca="false">(J34+J37)/2</f>
        <v>2010</v>
      </c>
      <c r="K38" s="80" t="n">
        <f aca="false">(K34+K37)/2</f>
        <v>2010</v>
      </c>
      <c r="L38" s="80" t="n">
        <f aca="false">(L34+L37)/2</f>
        <v>2010</v>
      </c>
      <c r="M38" s="80" t="n">
        <f aca="false">(M34+M37)/2</f>
        <v>2010</v>
      </c>
      <c r="N38" s="80" t="n">
        <f aca="false">(N34+N37)/2</f>
        <v>2010</v>
      </c>
      <c r="O38" s="80" t="n">
        <f aca="false">(O34+O37)/2</f>
        <v>2010</v>
      </c>
      <c r="P38" s="80" t="n">
        <f aca="false">(P34+P37)/2</f>
        <v>2010</v>
      </c>
      <c r="Q38" s="80" t="n">
        <f aca="false">(Q34+Q37)/2</f>
        <v>2010</v>
      </c>
      <c r="R38" s="80" t="n">
        <f aca="false">(R34+R37)/2</f>
        <v>2010</v>
      </c>
      <c r="S38" s="80" t="n">
        <f aca="false">(S34+S37)/2</f>
        <v>2010</v>
      </c>
      <c r="T38" s="80" t="n">
        <f aca="false">(T34+T37)/2</f>
        <v>2010</v>
      </c>
      <c r="U38" s="80" t="n">
        <f aca="false">(U34+U37)/2</f>
        <v>2010</v>
      </c>
      <c r="V38" s="80" t="n">
        <f aca="false">(V34+V37)/2</f>
        <v>2010</v>
      </c>
      <c r="W38" s="80" t="n">
        <f aca="false">(W34+W37)/2</f>
        <v>2010</v>
      </c>
      <c r="X38" s="80" t="n">
        <f aca="false">(X34+X37)/2</f>
        <v>2010</v>
      </c>
      <c r="Y38" s="80" t="n">
        <f aca="false">(Y34+Y37)/2</f>
        <v>2010</v>
      </c>
      <c r="Z38" s="80" t="n">
        <f aca="false">(Z34+Z37)/2</f>
        <v>2010</v>
      </c>
      <c r="AA38" s="80" t="n">
        <f aca="false">(AA34+AA37)/2</f>
        <v>2010</v>
      </c>
      <c r="AB38" s="80" t="n">
        <f aca="false">(AB34+AB37)/2</f>
        <v>2010</v>
      </c>
      <c r="AC38" s="80" t="n">
        <f aca="false">(AC34+AC37)/2</f>
        <v>2010</v>
      </c>
      <c r="AD38" s="80" t="n">
        <f aca="false">(AD34+AD37)/2</f>
        <v>2010</v>
      </c>
      <c r="AE38" s="80" t="n">
        <f aca="false">(AE34+AE37)/2</f>
        <v>2010</v>
      </c>
      <c r="AF38" s="80" t="n">
        <f aca="false">(AF34+AF37)/2</f>
        <v>2010</v>
      </c>
      <c r="AG38" s="80" t="n">
        <f aca="false">(AG34+AG37)/2</f>
        <v>2010</v>
      </c>
      <c r="AH38" s="80" t="n">
        <f aca="false">(AH34+AH37)/2</f>
        <v>2010</v>
      </c>
      <c r="AI38" s="80" t="n">
        <f aca="false">(AI34+AI37)/2</f>
        <v>2010</v>
      </c>
      <c r="AJ38" s="80" t="n">
        <f aca="false">(AJ34+AJ37)/2</f>
        <v>2010</v>
      </c>
      <c r="AK38" s="80" t="n">
        <f aca="false">(AK34+AK37)/2</f>
        <v>2010</v>
      </c>
      <c r="AL38" s="80" t="n">
        <f aca="false">(AL34+AL37)/2</f>
        <v>2010</v>
      </c>
      <c r="AM38" s="80" t="n">
        <f aca="false">(AM34+AM37)/2</f>
        <v>2010</v>
      </c>
    </row>
    <row r="39" customFormat="false" ht="21" hidden="false" customHeight="true" outlineLevel="0" collapsed="false">
      <c r="C39" s="56" t="s">
        <v>267</v>
      </c>
      <c r="D39" s="69"/>
      <c r="E39" s="69"/>
      <c r="F39" s="69"/>
      <c r="G39" s="69"/>
      <c r="H39" s="69"/>
      <c r="I39" s="69"/>
      <c r="J39" s="69" t="n">
        <f aca="false">((SourceDetail!E46/1000000)*1000000/(SourceDetail!E202/1)/12)*(1+Inputs!J23)</f>
        <v>16467.6446819735</v>
      </c>
      <c r="K39" s="69" t="n">
        <f aca="false">(Payroll!J39)*(1+Inputs!K23)</f>
        <v>16467.6446819735</v>
      </c>
      <c r="L39" s="69" t="n">
        <f aca="false">(Payroll!K39)*(1+Inputs!L23)</f>
        <v>16467.6446819735</v>
      </c>
      <c r="M39" s="69" t="n">
        <f aca="false">(Payroll!L39)*(1+Inputs!M23)</f>
        <v>16467.6446819735</v>
      </c>
      <c r="N39" s="69" t="n">
        <f aca="false">(Payroll!M39)*(1+Inputs!N23)</f>
        <v>16467.6446819735</v>
      </c>
      <c r="O39" s="69" t="n">
        <f aca="false">(Payroll!N39)*(1+Inputs!O23)</f>
        <v>16467.6446819735</v>
      </c>
      <c r="P39" s="69" t="n">
        <f aca="false">(Payroll!O39)*(1+Inputs!P23)</f>
        <v>16961.6740224327</v>
      </c>
      <c r="Q39" s="69" t="n">
        <f aca="false">(Payroll!P39)*(1+Inputs!Q23)</f>
        <v>16961.6740224327</v>
      </c>
      <c r="R39" s="69" t="n">
        <f aca="false">(Payroll!Q39)*(1+Inputs!R23)</f>
        <v>16961.6740224327</v>
      </c>
      <c r="S39" s="69" t="n">
        <f aca="false">(Payroll!R39)*(1+Inputs!S23)</f>
        <v>16961.6740224327</v>
      </c>
      <c r="T39" s="69" t="n">
        <f aca="false">(Payroll!S39)*(1+Inputs!T23)</f>
        <v>16961.6740224327</v>
      </c>
      <c r="U39" s="69" t="n">
        <f aca="false">(Payroll!T39)*(1+Inputs!U23)</f>
        <v>16961.6740224327</v>
      </c>
      <c r="V39" s="69" t="n">
        <f aca="false">(Payroll!U39)*(1+Inputs!V23)</f>
        <v>16961.6740224327</v>
      </c>
      <c r="W39" s="69" t="n">
        <f aca="false">(Payroll!V39)*(1+Inputs!W23)</f>
        <v>16961.6740224327</v>
      </c>
      <c r="X39" s="69" t="n">
        <f aca="false">(Payroll!W39)*(1+Inputs!X23)</f>
        <v>16961.6740224327</v>
      </c>
      <c r="Y39" s="69" t="n">
        <f aca="false">(Payroll!X39)*(1+Inputs!Y23)</f>
        <v>16961.6740224327</v>
      </c>
      <c r="Z39" s="69" t="n">
        <f aca="false">(Payroll!Y39)*(1+Inputs!Z23)</f>
        <v>16961.6740224327</v>
      </c>
      <c r="AA39" s="69" t="n">
        <f aca="false">(Payroll!Z39)*(1+Inputs!AA23)</f>
        <v>16961.6740224327</v>
      </c>
      <c r="AB39" s="69" t="n">
        <f aca="false">(Payroll!AA39)*(1+Inputs!AB23)</f>
        <v>17470.5242431057</v>
      </c>
      <c r="AC39" s="69" t="n">
        <f aca="false">(Payroll!AB39)*(1+Inputs!AC23)</f>
        <v>17470.5242431057</v>
      </c>
      <c r="AD39" s="69" t="n">
        <f aca="false">(Payroll!AC39)*(1+Inputs!AD23)</f>
        <v>17470.5242431057</v>
      </c>
      <c r="AE39" s="69" t="n">
        <f aca="false">(Payroll!AD39)*(1+Inputs!AE23)</f>
        <v>17470.5242431057</v>
      </c>
      <c r="AF39" s="69" t="n">
        <f aca="false">(Payroll!AE39)*(1+Inputs!AF23)</f>
        <v>17470.5242431057</v>
      </c>
      <c r="AG39" s="69" t="n">
        <f aca="false">(Payroll!AF39)*(1+Inputs!AG23)</f>
        <v>17470.5242431057</v>
      </c>
      <c r="AH39" s="69" t="n">
        <f aca="false">(Payroll!AG39)*(1+Inputs!AH23)</f>
        <v>17470.5242431057</v>
      </c>
      <c r="AI39" s="69" t="n">
        <f aca="false">(Payroll!AH39)*(1+Inputs!AI23)</f>
        <v>17470.5242431057</v>
      </c>
      <c r="AJ39" s="69" t="n">
        <f aca="false">(Payroll!AI39)*(1+Inputs!AJ23)</f>
        <v>17470.5242431057</v>
      </c>
      <c r="AK39" s="69" t="n">
        <f aca="false">(Payroll!AJ39)*(1+Inputs!AK23)</f>
        <v>17470.5242431057</v>
      </c>
      <c r="AL39" s="69" t="n">
        <f aca="false">(Payroll!AK39)*(1+Inputs!AL23)</f>
        <v>17470.5242431057</v>
      </c>
      <c r="AM39" s="69" t="n">
        <f aca="false">(Payroll!AL39)*(1+Inputs!AM23)</f>
        <v>17470.5242431057</v>
      </c>
    </row>
    <row r="40" customFormat="false" ht="21" hidden="false" customHeight="true" outlineLevel="0" collapsed="false">
      <c r="C40" s="60" t="s">
        <v>268</v>
      </c>
      <c r="D40" s="70"/>
      <c r="E40" s="70"/>
      <c r="F40" s="70"/>
      <c r="G40" s="70"/>
      <c r="H40" s="70"/>
      <c r="I40" s="70"/>
      <c r="J40" s="70" t="n">
        <f aca="false">J38*J39/1000000</f>
        <v>33.0999658107667</v>
      </c>
      <c r="K40" s="70" t="n">
        <f aca="false">K38*K39/1000000</f>
        <v>33.0999658107667</v>
      </c>
      <c r="L40" s="70" t="n">
        <f aca="false">L38*L39/1000000</f>
        <v>33.0999658107667</v>
      </c>
      <c r="M40" s="70" t="n">
        <f aca="false">M38*M39/1000000</f>
        <v>33.0999658107667</v>
      </c>
      <c r="N40" s="70" t="n">
        <f aca="false">N38*N39/1000000</f>
        <v>33.0999658107667</v>
      </c>
      <c r="O40" s="70" t="n">
        <f aca="false">O38*O39/1000000</f>
        <v>33.0999658107667</v>
      </c>
      <c r="P40" s="70" t="n">
        <f aca="false">P38*P39/1000000</f>
        <v>34.0929647850897</v>
      </c>
      <c r="Q40" s="70" t="n">
        <f aca="false">Q38*Q39/1000000</f>
        <v>34.0929647850897</v>
      </c>
      <c r="R40" s="70" t="n">
        <f aca="false">R38*R39/1000000</f>
        <v>34.0929647850897</v>
      </c>
      <c r="S40" s="70" t="n">
        <f aca="false">S38*S39/1000000</f>
        <v>34.0929647850897</v>
      </c>
      <c r="T40" s="70" t="n">
        <f aca="false">T38*T39/1000000</f>
        <v>34.0929647850897</v>
      </c>
      <c r="U40" s="70" t="n">
        <f aca="false">U38*U39/1000000</f>
        <v>34.0929647850897</v>
      </c>
      <c r="V40" s="70" t="n">
        <f aca="false">V38*V39/1000000</f>
        <v>34.0929647850897</v>
      </c>
      <c r="W40" s="70" t="n">
        <f aca="false">W38*W39/1000000</f>
        <v>34.0929647850897</v>
      </c>
      <c r="X40" s="70" t="n">
        <f aca="false">X38*X39/1000000</f>
        <v>34.0929647850897</v>
      </c>
      <c r="Y40" s="70" t="n">
        <f aca="false">Y38*Y39/1000000</f>
        <v>34.0929647850897</v>
      </c>
      <c r="Z40" s="70" t="n">
        <f aca="false">Z38*Z39/1000000</f>
        <v>34.0929647850897</v>
      </c>
      <c r="AA40" s="70" t="n">
        <f aca="false">AA38*AA39/1000000</f>
        <v>34.0929647850897</v>
      </c>
      <c r="AB40" s="70" t="n">
        <f aca="false">AB38*AB39/1000000</f>
        <v>35.1157537286424</v>
      </c>
      <c r="AC40" s="70" t="n">
        <f aca="false">AC38*AC39/1000000</f>
        <v>35.1157537286424</v>
      </c>
      <c r="AD40" s="70" t="n">
        <f aca="false">AD38*AD39/1000000</f>
        <v>35.1157537286424</v>
      </c>
      <c r="AE40" s="70" t="n">
        <f aca="false">AE38*AE39/1000000</f>
        <v>35.1157537286424</v>
      </c>
      <c r="AF40" s="70" t="n">
        <f aca="false">AF38*AF39/1000000</f>
        <v>35.1157537286424</v>
      </c>
      <c r="AG40" s="70" t="n">
        <f aca="false">AG38*AG39/1000000</f>
        <v>35.1157537286424</v>
      </c>
      <c r="AH40" s="70" t="n">
        <f aca="false">AH38*AH39/1000000</f>
        <v>35.1157537286424</v>
      </c>
      <c r="AI40" s="70" t="n">
        <f aca="false">AI38*AI39/1000000</f>
        <v>35.1157537286424</v>
      </c>
      <c r="AJ40" s="70" t="n">
        <f aca="false">AJ38*AJ39/1000000</f>
        <v>35.1157537286424</v>
      </c>
      <c r="AK40" s="70" t="n">
        <f aca="false">AK38*AK39/1000000</f>
        <v>35.1157537286424</v>
      </c>
      <c r="AL40" s="70" t="n">
        <f aca="false">AL38*AL39/1000000</f>
        <v>35.1157537286424</v>
      </c>
      <c r="AM40" s="70" t="n">
        <f aca="false">AM38*AM39/1000000</f>
        <v>35.1157537286424</v>
      </c>
    </row>
    <row r="41" customFormat="false" ht="21" hidden="false" customHeight="true" outlineLevel="0" collapsed="false">
      <c r="C41" s="56" t="s">
        <v>269</v>
      </c>
      <c r="D41" s="71"/>
      <c r="E41" s="71"/>
      <c r="F41" s="71"/>
      <c r="G41" s="71"/>
      <c r="H41" s="71"/>
      <c r="I41" s="71"/>
      <c r="J41" s="71" t="n">
        <f aca="false">J34+J35-J36-J37</f>
        <v>0</v>
      </c>
      <c r="K41" s="71" t="n">
        <f aca="false">K34+K35-K36-K37</f>
        <v>0</v>
      </c>
      <c r="L41" s="71" t="n">
        <f aca="false">L34+L35-L36-L37</f>
        <v>0</v>
      </c>
      <c r="M41" s="71" t="n">
        <f aca="false">M34+M35-M36-M37</f>
        <v>0</v>
      </c>
      <c r="N41" s="71" t="n">
        <f aca="false">N34+N35-N36-N37</f>
        <v>0</v>
      </c>
      <c r="O41" s="71" t="n">
        <f aca="false">O34+O35-O36-O37</f>
        <v>0</v>
      </c>
      <c r="P41" s="71" t="n">
        <f aca="false">P34+P35-P36-P37</f>
        <v>0</v>
      </c>
      <c r="Q41" s="71" t="n">
        <f aca="false">Q34+Q35-Q36-Q37</f>
        <v>0</v>
      </c>
      <c r="R41" s="71" t="n">
        <f aca="false">R34+R35-R36-R37</f>
        <v>0</v>
      </c>
      <c r="S41" s="71" t="n">
        <f aca="false">S34+S35-S36-S37</f>
        <v>0</v>
      </c>
      <c r="T41" s="71" t="n">
        <f aca="false">T34+T35-T36-T37</f>
        <v>0</v>
      </c>
      <c r="U41" s="71" t="n">
        <f aca="false">U34+U35-U36-U37</f>
        <v>0</v>
      </c>
      <c r="V41" s="71" t="n">
        <f aca="false">V34+V35-V36-V37</f>
        <v>0</v>
      </c>
      <c r="W41" s="71" t="n">
        <f aca="false">W34+W35-W36-W37</f>
        <v>0</v>
      </c>
      <c r="X41" s="71" t="n">
        <f aca="false">X34+X35-X36-X37</f>
        <v>0</v>
      </c>
      <c r="Y41" s="71" t="n">
        <f aca="false">Y34+Y35-Y36-Y37</f>
        <v>0</v>
      </c>
      <c r="Z41" s="71" t="n">
        <f aca="false">Z34+Z35-Z36-Z37</f>
        <v>0</v>
      </c>
      <c r="AA41" s="71" t="n">
        <f aca="false">AA34+AA35-AA36-AA37</f>
        <v>0</v>
      </c>
      <c r="AB41" s="71" t="n">
        <f aca="false">AB34+AB35-AB36-AB37</f>
        <v>0</v>
      </c>
      <c r="AC41" s="71" t="n">
        <f aca="false">AC34+AC35-AC36-AC37</f>
        <v>0</v>
      </c>
      <c r="AD41" s="71" t="n">
        <f aca="false">AD34+AD35-AD36-AD37</f>
        <v>0</v>
      </c>
      <c r="AE41" s="71" t="n">
        <f aca="false">AE34+AE35-AE36-AE37</f>
        <v>0</v>
      </c>
      <c r="AF41" s="71" t="n">
        <f aca="false">AF34+AF35-AF36-AF37</f>
        <v>0</v>
      </c>
      <c r="AG41" s="71" t="n">
        <f aca="false">AG34+AG35-AG36-AG37</f>
        <v>0</v>
      </c>
      <c r="AH41" s="71" t="n">
        <f aca="false">AH34+AH35-AH36-AH37</f>
        <v>0</v>
      </c>
      <c r="AI41" s="71" t="n">
        <f aca="false">AI34+AI35-AI36-AI37</f>
        <v>0</v>
      </c>
      <c r="AJ41" s="71" t="n">
        <f aca="false">AJ34+AJ35-AJ36-AJ37</f>
        <v>0</v>
      </c>
      <c r="AK41" s="71" t="n">
        <f aca="false">AK34+AK35-AK36-AK37</f>
        <v>0</v>
      </c>
      <c r="AL41" s="71" t="n">
        <f aca="false">AL34+AL35-AL36-AL37</f>
        <v>0</v>
      </c>
      <c r="AM41" s="71" t="n">
        <f aca="false">AM34+AM35-AM36-AM37</f>
        <v>0</v>
      </c>
    </row>
    <row r="42" customFormat="false" ht="21" hidden="false" customHeight="true" outlineLevel="0" collapsed="false">
      <c r="C42" s="56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</row>
    <row r="43" customFormat="false" ht="21" hidden="false" customHeight="true" outlineLevel="0" collapsed="false">
      <c r="C43" s="56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</row>
    <row r="44" customFormat="false" ht="21" hidden="false" customHeight="true" outlineLevel="0" collapsed="false">
      <c r="C44" s="56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</row>
    <row r="45" customFormat="false" ht="25" hidden="false" customHeight="true" outlineLevel="0" collapsed="false">
      <c r="C45" s="63" t="s">
        <v>272</v>
      </c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</row>
    <row r="46" customFormat="false" ht="21" hidden="false" customHeight="true" outlineLevel="0" collapsed="false">
      <c r="C46" s="56" t="s">
        <v>262</v>
      </c>
      <c r="D46" s="79"/>
      <c r="E46" s="79"/>
      <c r="F46" s="79"/>
      <c r="G46" s="79"/>
      <c r="H46" s="79"/>
      <c r="I46" s="79"/>
      <c r="J46" s="79" t="n">
        <f aca="false">((SourceDetail!E203/1)+(SourceDetail!E204/1))</f>
        <v>1702</v>
      </c>
      <c r="K46" s="79" t="n">
        <f aca="false">Payroll!J49</f>
        <v>1702</v>
      </c>
      <c r="L46" s="79" t="n">
        <f aca="false">Payroll!K49</f>
        <v>1702</v>
      </c>
      <c r="M46" s="79" t="n">
        <f aca="false">Payroll!L49</f>
        <v>1702</v>
      </c>
      <c r="N46" s="79" t="n">
        <f aca="false">Payroll!M49</f>
        <v>1702</v>
      </c>
      <c r="O46" s="79" t="n">
        <f aca="false">Payroll!N49</f>
        <v>1702</v>
      </c>
      <c r="P46" s="79" t="n">
        <f aca="false">Payroll!O49</f>
        <v>1702</v>
      </c>
      <c r="Q46" s="79" t="n">
        <f aca="false">Payroll!P49</f>
        <v>1702</v>
      </c>
      <c r="R46" s="79" t="n">
        <f aca="false">Payroll!Q49</f>
        <v>1702</v>
      </c>
      <c r="S46" s="79" t="n">
        <f aca="false">Payroll!R49</f>
        <v>1702</v>
      </c>
      <c r="T46" s="79" t="n">
        <f aca="false">Payroll!S49</f>
        <v>1702</v>
      </c>
      <c r="U46" s="79" t="n">
        <f aca="false">Payroll!T49</f>
        <v>1702</v>
      </c>
      <c r="V46" s="79" t="n">
        <f aca="false">Payroll!U49</f>
        <v>1702</v>
      </c>
      <c r="W46" s="79" t="n">
        <f aca="false">Payroll!V49</f>
        <v>1702</v>
      </c>
      <c r="X46" s="79" t="n">
        <f aca="false">Payroll!W49</f>
        <v>1702</v>
      </c>
      <c r="Y46" s="79" t="n">
        <f aca="false">Payroll!X49</f>
        <v>1702</v>
      </c>
      <c r="Z46" s="79" t="n">
        <f aca="false">Payroll!Y49</f>
        <v>1702</v>
      </c>
      <c r="AA46" s="79" t="n">
        <f aca="false">Payroll!Z49</f>
        <v>1702</v>
      </c>
      <c r="AB46" s="79" t="n">
        <f aca="false">Payroll!AA49</f>
        <v>1702</v>
      </c>
      <c r="AC46" s="79" t="n">
        <f aca="false">Payroll!AB49</f>
        <v>1702</v>
      </c>
      <c r="AD46" s="79" t="n">
        <f aca="false">Payroll!AC49</f>
        <v>1702</v>
      </c>
      <c r="AE46" s="79" t="n">
        <f aca="false">Payroll!AD49</f>
        <v>1702</v>
      </c>
      <c r="AF46" s="79" t="n">
        <f aca="false">Payroll!AE49</f>
        <v>1702</v>
      </c>
      <c r="AG46" s="79" t="n">
        <f aca="false">Payroll!AF49</f>
        <v>1702</v>
      </c>
      <c r="AH46" s="79" t="n">
        <f aca="false">Payroll!AG49</f>
        <v>1702</v>
      </c>
      <c r="AI46" s="79" t="n">
        <f aca="false">Payroll!AH49</f>
        <v>1702</v>
      </c>
      <c r="AJ46" s="79" t="n">
        <f aca="false">Payroll!AI49</f>
        <v>1702</v>
      </c>
      <c r="AK46" s="79" t="n">
        <f aca="false">Payroll!AJ49</f>
        <v>1702</v>
      </c>
      <c r="AL46" s="79" t="n">
        <f aca="false">Payroll!AK49</f>
        <v>1702</v>
      </c>
      <c r="AM46" s="79" t="n">
        <f aca="false">Payroll!AL49</f>
        <v>1702</v>
      </c>
    </row>
    <row r="47" customFormat="false" ht="21" hidden="false" customHeight="true" outlineLevel="0" collapsed="false">
      <c r="C47" s="56" t="s">
        <v>263</v>
      </c>
      <c r="D47" s="79"/>
      <c r="E47" s="79"/>
      <c r="F47" s="79"/>
      <c r="G47" s="79"/>
      <c r="H47" s="79"/>
      <c r="I47" s="79"/>
      <c r="J47" s="79" t="n">
        <f aca="false">MAX(0,Inputs!J76)</f>
        <v>0</v>
      </c>
      <c r="K47" s="79" t="n">
        <f aca="false">MAX(0,Inputs!K76)</f>
        <v>0</v>
      </c>
      <c r="L47" s="79" t="n">
        <f aca="false">MAX(0,Inputs!L76)</f>
        <v>0</v>
      </c>
      <c r="M47" s="79" t="n">
        <f aca="false">MAX(0,Inputs!M76)</f>
        <v>0</v>
      </c>
      <c r="N47" s="79" t="n">
        <f aca="false">MAX(0,Inputs!N76)</f>
        <v>0</v>
      </c>
      <c r="O47" s="79" t="n">
        <f aca="false">MAX(0,Inputs!O76)</f>
        <v>0</v>
      </c>
      <c r="P47" s="79" t="n">
        <f aca="false">MAX(0,Inputs!P76)</f>
        <v>0</v>
      </c>
      <c r="Q47" s="79" t="n">
        <f aca="false">MAX(0,Inputs!Q76)</f>
        <v>0</v>
      </c>
      <c r="R47" s="79" t="n">
        <f aca="false">MAX(0,Inputs!R76)</f>
        <v>0</v>
      </c>
      <c r="S47" s="79" t="n">
        <f aca="false">MAX(0,Inputs!S76)</f>
        <v>0</v>
      </c>
      <c r="T47" s="79" t="n">
        <f aca="false">MAX(0,Inputs!T76)</f>
        <v>0</v>
      </c>
      <c r="U47" s="79" t="n">
        <f aca="false">MAX(0,Inputs!U76)</f>
        <v>0</v>
      </c>
      <c r="V47" s="79" t="n">
        <f aca="false">MAX(0,Inputs!V76)</f>
        <v>0</v>
      </c>
      <c r="W47" s="79" t="n">
        <f aca="false">MAX(0,Inputs!W76)</f>
        <v>0</v>
      </c>
      <c r="X47" s="79" t="n">
        <f aca="false">MAX(0,Inputs!X76)</f>
        <v>0</v>
      </c>
      <c r="Y47" s="79" t="n">
        <f aca="false">MAX(0,Inputs!Y76)</f>
        <v>0</v>
      </c>
      <c r="Z47" s="79" t="n">
        <f aca="false">MAX(0,Inputs!Z76)</f>
        <v>0</v>
      </c>
      <c r="AA47" s="79" t="n">
        <f aca="false">MAX(0,Inputs!AA76)</f>
        <v>0</v>
      </c>
      <c r="AB47" s="79" t="n">
        <f aca="false">MAX(0,Inputs!AB76)</f>
        <v>0</v>
      </c>
      <c r="AC47" s="79" t="n">
        <f aca="false">MAX(0,Inputs!AC76)</f>
        <v>0</v>
      </c>
      <c r="AD47" s="79" t="n">
        <f aca="false">MAX(0,Inputs!AD76)</f>
        <v>0</v>
      </c>
      <c r="AE47" s="79" t="n">
        <f aca="false">MAX(0,Inputs!AE76)</f>
        <v>0</v>
      </c>
      <c r="AF47" s="79" t="n">
        <f aca="false">MAX(0,Inputs!AF76)</f>
        <v>0</v>
      </c>
      <c r="AG47" s="79" t="n">
        <f aca="false">MAX(0,Inputs!AG76)</f>
        <v>0</v>
      </c>
      <c r="AH47" s="79" t="n">
        <f aca="false">MAX(0,Inputs!AH76)</f>
        <v>0</v>
      </c>
      <c r="AI47" s="79" t="n">
        <f aca="false">MAX(0,Inputs!AI76)</f>
        <v>0</v>
      </c>
      <c r="AJ47" s="79" t="n">
        <f aca="false">MAX(0,Inputs!AJ76)</f>
        <v>0</v>
      </c>
      <c r="AK47" s="79" t="n">
        <f aca="false">MAX(0,Inputs!AK76)</f>
        <v>0</v>
      </c>
      <c r="AL47" s="79" t="n">
        <f aca="false">MAX(0,Inputs!AL76)</f>
        <v>0</v>
      </c>
      <c r="AM47" s="79" t="n">
        <f aca="false">MAX(0,Inputs!AM76)</f>
        <v>0</v>
      </c>
    </row>
    <row r="48" customFormat="false" ht="21" hidden="false" customHeight="true" outlineLevel="0" collapsed="false">
      <c r="C48" s="56" t="s">
        <v>264</v>
      </c>
      <c r="D48" s="79"/>
      <c r="E48" s="79"/>
      <c r="F48" s="79"/>
      <c r="G48" s="79"/>
      <c r="H48" s="79"/>
      <c r="I48" s="79"/>
      <c r="J48" s="79" t="n">
        <f aca="false">MIN(MAX(0,Inputs!J77),J46+J47)</f>
        <v>0</v>
      </c>
      <c r="K48" s="79" t="n">
        <f aca="false">MIN(MAX(0,Inputs!K77),K46+K47)</f>
        <v>0</v>
      </c>
      <c r="L48" s="79" t="n">
        <f aca="false">MIN(MAX(0,Inputs!L77),L46+L47)</f>
        <v>0</v>
      </c>
      <c r="M48" s="79" t="n">
        <f aca="false">MIN(MAX(0,Inputs!M77),M46+M47)</f>
        <v>0</v>
      </c>
      <c r="N48" s="79" t="n">
        <f aca="false">MIN(MAX(0,Inputs!N77),N46+N47)</f>
        <v>0</v>
      </c>
      <c r="O48" s="79" t="n">
        <f aca="false">MIN(MAX(0,Inputs!O77),O46+O47)</f>
        <v>0</v>
      </c>
      <c r="P48" s="79" t="n">
        <f aca="false">MIN(MAX(0,Inputs!P77),P46+P47)</f>
        <v>0</v>
      </c>
      <c r="Q48" s="79" t="n">
        <f aca="false">MIN(MAX(0,Inputs!Q77),Q46+Q47)</f>
        <v>0</v>
      </c>
      <c r="R48" s="79" t="n">
        <f aca="false">MIN(MAX(0,Inputs!R77),R46+R47)</f>
        <v>0</v>
      </c>
      <c r="S48" s="79" t="n">
        <f aca="false">MIN(MAX(0,Inputs!S77),S46+S47)</f>
        <v>0</v>
      </c>
      <c r="T48" s="79" t="n">
        <f aca="false">MIN(MAX(0,Inputs!T77),T46+T47)</f>
        <v>0</v>
      </c>
      <c r="U48" s="79" t="n">
        <f aca="false">MIN(MAX(0,Inputs!U77),U46+U47)</f>
        <v>0</v>
      </c>
      <c r="V48" s="79" t="n">
        <f aca="false">MIN(MAX(0,Inputs!V77),V46+V47)</f>
        <v>0</v>
      </c>
      <c r="W48" s="79" t="n">
        <f aca="false">MIN(MAX(0,Inputs!W77),W46+W47)</f>
        <v>0</v>
      </c>
      <c r="X48" s="79" t="n">
        <f aca="false">MIN(MAX(0,Inputs!X77),X46+X47)</f>
        <v>0</v>
      </c>
      <c r="Y48" s="79" t="n">
        <f aca="false">MIN(MAX(0,Inputs!Y77),Y46+Y47)</f>
        <v>0</v>
      </c>
      <c r="Z48" s="79" t="n">
        <f aca="false">MIN(MAX(0,Inputs!Z77),Z46+Z47)</f>
        <v>0</v>
      </c>
      <c r="AA48" s="79" t="n">
        <f aca="false">MIN(MAX(0,Inputs!AA77),AA46+AA47)</f>
        <v>0</v>
      </c>
      <c r="AB48" s="79" t="n">
        <f aca="false">MIN(MAX(0,Inputs!AB77),AB46+AB47)</f>
        <v>0</v>
      </c>
      <c r="AC48" s="79" t="n">
        <f aca="false">MIN(MAX(0,Inputs!AC77),AC46+AC47)</f>
        <v>0</v>
      </c>
      <c r="AD48" s="79" t="n">
        <f aca="false">MIN(MAX(0,Inputs!AD77),AD46+AD47)</f>
        <v>0</v>
      </c>
      <c r="AE48" s="79" t="n">
        <f aca="false">MIN(MAX(0,Inputs!AE77),AE46+AE47)</f>
        <v>0</v>
      </c>
      <c r="AF48" s="79" t="n">
        <f aca="false">MIN(MAX(0,Inputs!AF77),AF46+AF47)</f>
        <v>0</v>
      </c>
      <c r="AG48" s="79" t="n">
        <f aca="false">MIN(MAX(0,Inputs!AG77),AG46+AG47)</f>
        <v>0</v>
      </c>
      <c r="AH48" s="79" t="n">
        <f aca="false">MIN(MAX(0,Inputs!AH77),AH46+AH47)</f>
        <v>0</v>
      </c>
      <c r="AI48" s="79" t="n">
        <f aca="false">MIN(MAX(0,Inputs!AI77),AI46+AI47)</f>
        <v>0</v>
      </c>
      <c r="AJ48" s="79" t="n">
        <f aca="false">MIN(MAX(0,Inputs!AJ77),AJ46+AJ47)</f>
        <v>0</v>
      </c>
      <c r="AK48" s="79" t="n">
        <f aca="false">MIN(MAX(0,Inputs!AK77),AK46+AK47)</f>
        <v>0</v>
      </c>
      <c r="AL48" s="79" t="n">
        <f aca="false">MIN(MAX(0,Inputs!AL77),AL46+AL47)</f>
        <v>0</v>
      </c>
      <c r="AM48" s="79" t="n">
        <f aca="false">MIN(MAX(0,Inputs!AM77),AM46+AM47)</f>
        <v>0</v>
      </c>
    </row>
    <row r="49" customFormat="false" ht="21" hidden="false" customHeight="true" outlineLevel="0" collapsed="false">
      <c r="C49" s="56" t="s">
        <v>265</v>
      </c>
      <c r="D49" s="80"/>
      <c r="E49" s="80"/>
      <c r="F49" s="80"/>
      <c r="G49" s="80"/>
      <c r="H49" s="80"/>
      <c r="I49" s="80"/>
      <c r="J49" s="80" t="n">
        <f aca="false">J46+J47-J48</f>
        <v>1702</v>
      </c>
      <c r="K49" s="80" t="n">
        <f aca="false">K46+K47-K48</f>
        <v>1702</v>
      </c>
      <c r="L49" s="80" t="n">
        <f aca="false">L46+L47-L48</f>
        <v>1702</v>
      </c>
      <c r="M49" s="80" t="n">
        <f aca="false">M46+M47-M48</f>
        <v>1702</v>
      </c>
      <c r="N49" s="80" t="n">
        <f aca="false">N46+N47-N48</f>
        <v>1702</v>
      </c>
      <c r="O49" s="80" t="n">
        <f aca="false">O46+O47-O48</f>
        <v>1702</v>
      </c>
      <c r="P49" s="80" t="n">
        <f aca="false">P46+P47-P48</f>
        <v>1702</v>
      </c>
      <c r="Q49" s="80" t="n">
        <f aca="false">Q46+Q47-Q48</f>
        <v>1702</v>
      </c>
      <c r="R49" s="80" t="n">
        <f aca="false">R46+R47-R48</f>
        <v>1702</v>
      </c>
      <c r="S49" s="80" t="n">
        <f aca="false">S46+S47-S48</f>
        <v>1702</v>
      </c>
      <c r="T49" s="80" t="n">
        <f aca="false">T46+T47-T48</f>
        <v>1702</v>
      </c>
      <c r="U49" s="80" t="n">
        <f aca="false">U46+U47-U48</f>
        <v>1702</v>
      </c>
      <c r="V49" s="80" t="n">
        <f aca="false">V46+V47-V48</f>
        <v>1702</v>
      </c>
      <c r="W49" s="80" t="n">
        <f aca="false">W46+W47-W48</f>
        <v>1702</v>
      </c>
      <c r="X49" s="80" t="n">
        <f aca="false">X46+X47-X48</f>
        <v>1702</v>
      </c>
      <c r="Y49" s="80" t="n">
        <f aca="false">Y46+Y47-Y48</f>
        <v>1702</v>
      </c>
      <c r="Z49" s="80" t="n">
        <f aca="false">Z46+Z47-Z48</f>
        <v>1702</v>
      </c>
      <c r="AA49" s="80" t="n">
        <f aca="false">AA46+AA47-AA48</f>
        <v>1702</v>
      </c>
      <c r="AB49" s="80" t="n">
        <f aca="false">AB46+AB47-AB48</f>
        <v>1702</v>
      </c>
      <c r="AC49" s="80" t="n">
        <f aca="false">AC46+AC47-AC48</f>
        <v>1702</v>
      </c>
      <c r="AD49" s="80" t="n">
        <f aca="false">AD46+AD47-AD48</f>
        <v>1702</v>
      </c>
      <c r="AE49" s="80" t="n">
        <f aca="false">AE46+AE47-AE48</f>
        <v>1702</v>
      </c>
      <c r="AF49" s="80" t="n">
        <f aca="false">AF46+AF47-AF48</f>
        <v>1702</v>
      </c>
      <c r="AG49" s="80" t="n">
        <f aca="false">AG46+AG47-AG48</f>
        <v>1702</v>
      </c>
      <c r="AH49" s="80" t="n">
        <f aca="false">AH46+AH47-AH48</f>
        <v>1702</v>
      </c>
      <c r="AI49" s="80" t="n">
        <f aca="false">AI46+AI47-AI48</f>
        <v>1702</v>
      </c>
      <c r="AJ49" s="80" t="n">
        <f aca="false">AJ46+AJ47-AJ48</f>
        <v>1702</v>
      </c>
      <c r="AK49" s="80" t="n">
        <f aca="false">AK46+AK47-AK48</f>
        <v>1702</v>
      </c>
      <c r="AL49" s="80" t="n">
        <f aca="false">AL46+AL47-AL48</f>
        <v>1702</v>
      </c>
      <c r="AM49" s="80" t="n">
        <f aca="false">AM46+AM47-AM48</f>
        <v>1702</v>
      </c>
    </row>
    <row r="50" customFormat="false" ht="21" hidden="false" customHeight="true" outlineLevel="0" collapsed="false">
      <c r="C50" s="56" t="s">
        <v>266</v>
      </c>
      <c r="D50" s="80"/>
      <c r="E50" s="80"/>
      <c r="F50" s="80"/>
      <c r="G50" s="80"/>
      <c r="H50" s="80"/>
      <c r="I50" s="80"/>
      <c r="J50" s="80" t="n">
        <f aca="false">(J46+J49)/2</f>
        <v>1702</v>
      </c>
      <c r="K50" s="80" t="n">
        <f aca="false">(K46+K49)/2</f>
        <v>1702</v>
      </c>
      <c r="L50" s="80" t="n">
        <f aca="false">(L46+L49)/2</f>
        <v>1702</v>
      </c>
      <c r="M50" s="80" t="n">
        <f aca="false">(M46+M49)/2</f>
        <v>1702</v>
      </c>
      <c r="N50" s="80" t="n">
        <f aca="false">(N46+N49)/2</f>
        <v>1702</v>
      </c>
      <c r="O50" s="80" t="n">
        <f aca="false">(O46+O49)/2</f>
        <v>1702</v>
      </c>
      <c r="P50" s="80" t="n">
        <f aca="false">(P46+P49)/2</f>
        <v>1702</v>
      </c>
      <c r="Q50" s="80" t="n">
        <f aca="false">(Q46+Q49)/2</f>
        <v>1702</v>
      </c>
      <c r="R50" s="80" t="n">
        <f aca="false">(R46+R49)/2</f>
        <v>1702</v>
      </c>
      <c r="S50" s="80" t="n">
        <f aca="false">(S46+S49)/2</f>
        <v>1702</v>
      </c>
      <c r="T50" s="80" t="n">
        <f aca="false">(T46+T49)/2</f>
        <v>1702</v>
      </c>
      <c r="U50" s="80" t="n">
        <f aca="false">(U46+U49)/2</f>
        <v>1702</v>
      </c>
      <c r="V50" s="80" t="n">
        <f aca="false">(V46+V49)/2</f>
        <v>1702</v>
      </c>
      <c r="W50" s="80" t="n">
        <f aca="false">(W46+W49)/2</f>
        <v>1702</v>
      </c>
      <c r="X50" s="80" t="n">
        <f aca="false">(X46+X49)/2</f>
        <v>1702</v>
      </c>
      <c r="Y50" s="80" t="n">
        <f aca="false">(Y46+Y49)/2</f>
        <v>1702</v>
      </c>
      <c r="Z50" s="80" t="n">
        <f aca="false">(Z46+Z49)/2</f>
        <v>1702</v>
      </c>
      <c r="AA50" s="80" t="n">
        <f aca="false">(AA46+AA49)/2</f>
        <v>1702</v>
      </c>
      <c r="AB50" s="80" t="n">
        <f aca="false">(AB46+AB49)/2</f>
        <v>1702</v>
      </c>
      <c r="AC50" s="80" t="n">
        <f aca="false">(AC46+AC49)/2</f>
        <v>1702</v>
      </c>
      <c r="AD50" s="80" t="n">
        <f aca="false">(AD46+AD49)/2</f>
        <v>1702</v>
      </c>
      <c r="AE50" s="80" t="n">
        <f aca="false">(AE46+AE49)/2</f>
        <v>1702</v>
      </c>
      <c r="AF50" s="80" t="n">
        <f aca="false">(AF46+AF49)/2</f>
        <v>1702</v>
      </c>
      <c r="AG50" s="80" t="n">
        <f aca="false">(AG46+AG49)/2</f>
        <v>1702</v>
      </c>
      <c r="AH50" s="80" t="n">
        <f aca="false">(AH46+AH49)/2</f>
        <v>1702</v>
      </c>
      <c r="AI50" s="80" t="n">
        <f aca="false">(AI46+AI49)/2</f>
        <v>1702</v>
      </c>
      <c r="AJ50" s="80" t="n">
        <f aca="false">(AJ46+AJ49)/2</f>
        <v>1702</v>
      </c>
      <c r="AK50" s="80" t="n">
        <f aca="false">(AK46+AK49)/2</f>
        <v>1702</v>
      </c>
      <c r="AL50" s="80" t="n">
        <f aca="false">(AL46+AL49)/2</f>
        <v>1702</v>
      </c>
      <c r="AM50" s="80" t="n">
        <f aca="false">(AM46+AM49)/2</f>
        <v>1702</v>
      </c>
    </row>
    <row r="51" customFormat="false" ht="21" hidden="false" customHeight="true" outlineLevel="0" collapsed="false">
      <c r="C51" s="56" t="s">
        <v>267</v>
      </c>
      <c r="D51" s="69"/>
      <c r="E51" s="69"/>
      <c r="F51" s="69"/>
      <c r="G51" s="69"/>
      <c r="H51" s="69"/>
      <c r="I51" s="69"/>
      <c r="J51" s="69" t="n">
        <f aca="false">((SourceDetail!E24/1000000)*1000000/((SourceDetail!E203/1)+(SourceDetail!E204/1))/12)*(1+Inputs!J23)</f>
        <v>21627.0947146445</v>
      </c>
      <c r="K51" s="69" t="n">
        <f aca="false">(Payroll!J51)*(1+Inputs!K23)</f>
        <v>21627.0947146445</v>
      </c>
      <c r="L51" s="69" t="n">
        <f aca="false">(Payroll!K51)*(1+Inputs!L23)</f>
        <v>21627.0947146445</v>
      </c>
      <c r="M51" s="69" t="n">
        <f aca="false">(Payroll!L51)*(1+Inputs!M23)</f>
        <v>21627.0947146445</v>
      </c>
      <c r="N51" s="69" t="n">
        <f aca="false">(Payroll!M51)*(1+Inputs!N23)</f>
        <v>21627.0947146445</v>
      </c>
      <c r="O51" s="69" t="n">
        <f aca="false">(Payroll!N51)*(1+Inputs!O23)</f>
        <v>21627.0947146445</v>
      </c>
      <c r="P51" s="69" t="n">
        <f aca="false">(Payroll!O51)*(1+Inputs!P23)</f>
        <v>22275.9075560839</v>
      </c>
      <c r="Q51" s="69" t="n">
        <f aca="false">(Payroll!P51)*(1+Inputs!Q23)</f>
        <v>22275.9075560839</v>
      </c>
      <c r="R51" s="69" t="n">
        <f aca="false">(Payroll!Q51)*(1+Inputs!R23)</f>
        <v>22275.9075560839</v>
      </c>
      <c r="S51" s="69" t="n">
        <f aca="false">(Payroll!R51)*(1+Inputs!S23)</f>
        <v>22275.9075560839</v>
      </c>
      <c r="T51" s="69" t="n">
        <f aca="false">(Payroll!S51)*(1+Inputs!T23)</f>
        <v>22275.9075560839</v>
      </c>
      <c r="U51" s="69" t="n">
        <f aca="false">(Payroll!T51)*(1+Inputs!U23)</f>
        <v>22275.9075560839</v>
      </c>
      <c r="V51" s="69" t="n">
        <f aca="false">(Payroll!U51)*(1+Inputs!V23)</f>
        <v>22275.9075560839</v>
      </c>
      <c r="W51" s="69" t="n">
        <f aca="false">(Payroll!V51)*(1+Inputs!W23)</f>
        <v>22275.9075560839</v>
      </c>
      <c r="X51" s="69" t="n">
        <f aca="false">(Payroll!W51)*(1+Inputs!X23)</f>
        <v>22275.9075560839</v>
      </c>
      <c r="Y51" s="69" t="n">
        <f aca="false">(Payroll!X51)*(1+Inputs!Y23)</f>
        <v>22275.9075560839</v>
      </c>
      <c r="Z51" s="69" t="n">
        <f aca="false">(Payroll!Y51)*(1+Inputs!Z23)</f>
        <v>22275.9075560839</v>
      </c>
      <c r="AA51" s="69" t="n">
        <f aca="false">(Payroll!Z51)*(1+Inputs!AA23)</f>
        <v>22275.9075560839</v>
      </c>
      <c r="AB51" s="69" t="n">
        <f aca="false">(Payroll!AA51)*(1+Inputs!AB23)</f>
        <v>22944.1847827664</v>
      </c>
      <c r="AC51" s="69" t="n">
        <f aca="false">(Payroll!AB51)*(1+Inputs!AC23)</f>
        <v>22944.1847827664</v>
      </c>
      <c r="AD51" s="69" t="n">
        <f aca="false">(Payroll!AC51)*(1+Inputs!AD23)</f>
        <v>22944.1847827664</v>
      </c>
      <c r="AE51" s="69" t="n">
        <f aca="false">(Payroll!AD51)*(1+Inputs!AE23)</f>
        <v>22944.1847827664</v>
      </c>
      <c r="AF51" s="69" t="n">
        <f aca="false">(Payroll!AE51)*(1+Inputs!AF23)</f>
        <v>22944.1847827664</v>
      </c>
      <c r="AG51" s="69" t="n">
        <f aca="false">(Payroll!AF51)*(1+Inputs!AG23)</f>
        <v>22944.1847827664</v>
      </c>
      <c r="AH51" s="69" t="n">
        <f aca="false">(Payroll!AG51)*(1+Inputs!AH23)</f>
        <v>22944.1847827664</v>
      </c>
      <c r="AI51" s="69" t="n">
        <f aca="false">(Payroll!AH51)*(1+Inputs!AI23)</f>
        <v>22944.1847827664</v>
      </c>
      <c r="AJ51" s="69" t="n">
        <f aca="false">(Payroll!AI51)*(1+Inputs!AJ23)</f>
        <v>22944.1847827664</v>
      </c>
      <c r="AK51" s="69" t="n">
        <f aca="false">(Payroll!AJ51)*(1+Inputs!AK23)</f>
        <v>22944.1847827664</v>
      </c>
      <c r="AL51" s="69" t="n">
        <f aca="false">(Payroll!AK51)*(1+Inputs!AL23)</f>
        <v>22944.1847827664</v>
      </c>
      <c r="AM51" s="69" t="n">
        <f aca="false">(Payroll!AL51)*(1+Inputs!AM23)</f>
        <v>22944.1847827664</v>
      </c>
    </row>
    <row r="52" customFormat="false" ht="21" hidden="false" customHeight="true" outlineLevel="0" collapsed="false">
      <c r="C52" s="60" t="s">
        <v>268</v>
      </c>
      <c r="D52" s="70"/>
      <c r="E52" s="70"/>
      <c r="F52" s="70"/>
      <c r="G52" s="70"/>
      <c r="H52" s="70"/>
      <c r="I52" s="70"/>
      <c r="J52" s="70" t="n">
        <f aca="false">J50*J51/1000000</f>
        <v>36.809315204325</v>
      </c>
      <c r="K52" s="70" t="n">
        <f aca="false">K50*K51/1000000</f>
        <v>36.809315204325</v>
      </c>
      <c r="L52" s="70" t="n">
        <f aca="false">L50*L51/1000000</f>
        <v>36.809315204325</v>
      </c>
      <c r="M52" s="70" t="n">
        <f aca="false">M50*M51/1000000</f>
        <v>36.809315204325</v>
      </c>
      <c r="N52" s="70" t="n">
        <f aca="false">N50*N51/1000000</f>
        <v>36.809315204325</v>
      </c>
      <c r="O52" s="70" t="n">
        <f aca="false">O50*O51/1000000</f>
        <v>36.809315204325</v>
      </c>
      <c r="P52" s="70" t="n">
        <f aca="false">P50*P51/1000000</f>
        <v>37.9135946604548</v>
      </c>
      <c r="Q52" s="70" t="n">
        <f aca="false">Q50*Q51/1000000</f>
        <v>37.9135946604548</v>
      </c>
      <c r="R52" s="70" t="n">
        <f aca="false">R50*R51/1000000</f>
        <v>37.9135946604548</v>
      </c>
      <c r="S52" s="70" t="n">
        <f aca="false">S50*S51/1000000</f>
        <v>37.9135946604548</v>
      </c>
      <c r="T52" s="70" t="n">
        <f aca="false">T50*T51/1000000</f>
        <v>37.9135946604548</v>
      </c>
      <c r="U52" s="70" t="n">
        <f aca="false">U50*U51/1000000</f>
        <v>37.9135946604548</v>
      </c>
      <c r="V52" s="70" t="n">
        <f aca="false">V50*V51/1000000</f>
        <v>37.9135946604548</v>
      </c>
      <c r="W52" s="70" t="n">
        <f aca="false">W50*W51/1000000</f>
        <v>37.9135946604548</v>
      </c>
      <c r="X52" s="70" t="n">
        <f aca="false">X50*X51/1000000</f>
        <v>37.9135946604548</v>
      </c>
      <c r="Y52" s="70" t="n">
        <f aca="false">Y50*Y51/1000000</f>
        <v>37.9135946604548</v>
      </c>
      <c r="Z52" s="70" t="n">
        <f aca="false">Z50*Z51/1000000</f>
        <v>37.9135946604548</v>
      </c>
      <c r="AA52" s="70" t="n">
        <f aca="false">AA50*AA51/1000000</f>
        <v>37.9135946604548</v>
      </c>
      <c r="AB52" s="70" t="n">
        <f aca="false">AB50*AB51/1000000</f>
        <v>39.0510025002684</v>
      </c>
      <c r="AC52" s="70" t="n">
        <f aca="false">AC50*AC51/1000000</f>
        <v>39.0510025002684</v>
      </c>
      <c r="AD52" s="70" t="n">
        <f aca="false">AD50*AD51/1000000</f>
        <v>39.0510025002684</v>
      </c>
      <c r="AE52" s="70" t="n">
        <f aca="false">AE50*AE51/1000000</f>
        <v>39.0510025002684</v>
      </c>
      <c r="AF52" s="70" t="n">
        <f aca="false">AF50*AF51/1000000</f>
        <v>39.0510025002684</v>
      </c>
      <c r="AG52" s="70" t="n">
        <f aca="false">AG50*AG51/1000000</f>
        <v>39.0510025002684</v>
      </c>
      <c r="AH52" s="70" t="n">
        <f aca="false">AH50*AH51/1000000</f>
        <v>39.0510025002684</v>
      </c>
      <c r="AI52" s="70" t="n">
        <f aca="false">AI50*AI51/1000000</f>
        <v>39.0510025002684</v>
      </c>
      <c r="AJ52" s="70" t="n">
        <f aca="false">AJ50*AJ51/1000000</f>
        <v>39.0510025002684</v>
      </c>
      <c r="AK52" s="70" t="n">
        <f aca="false">AK50*AK51/1000000</f>
        <v>39.0510025002684</v>
      </c>
      <c r="AL52" s="70" t="n">
        <f aca="false">AL50*AL51/1000000</f>
        <v>39.0510025002684</v>
      </c>
      <c r="AM52" s="70" t="n">
        <f aca="false">AM50*AM51/1000000</f>
        <v>39.0510025002684</v>
      </c>
    </row>
    <row r="53" customFormat="false" ht="21" hidden="false" customHeight="true" outlineLevel="0" collapsed="false">
      <c r="C53" s="56" t="s">
        <v>269</v>
      </c>
      <c r="D53" s="71"/>
      <c r="E53" s="71"/>
      <c r="F53" s="71"/>
      <c r="G53" s="71"/>
      <c r="H53" s="71"/>
      <c r="I53" s="71"/>
      <c r="J53" s="71" t="n">
        <f aca="false">J46+J47-J48-J49</f>
        <v>0</v>
      </c>
      <c r="K53" s="71" t="n">
        <f aca="false">K46+K47-K48-K49</f>
        <v>0</v>
      </c>
      <c r="L53" s="71" t="n">
        <f aca="false">L46+L47-L48-L49</f>
        <v>0</v>
      </c>
      <c r="M53" s="71" t="n">
        <f aca="false">M46+M47-M48-M49</f>
        <v>0</v>
      </c>
      <c r="N53" s="71" t="n">
        <f aca="false">N46+N47-N48-N49</f>
        <v>0</v>
      </c>
      <c r="O53" s="71" t="n">
        <f aca="false">O46+O47-O48-O49</f>
        <v>0</v>
      </c>
      <c r="P53" s="71" t="n">
        <f aca="false">P46+P47-P48-P49</f>
        <v>0</v>
      </c>
      <c r="Q53" s="71" t="n">
        <f aca="false">Q46+Q47-Q48-Q49</f>
        <v>0</v>
      </c>
      <c r="R53" s="71" t="n">
        <f aca="false">R46+R47-R48-R49</f>
        <v>0</v>
      </c>
      <c r="S53" s="71" t="n">
        <f aca="false">S46+S47-S48-S49</f>
        <v>0</v>
      </c>
      <c r="T53" s="71" t="n">
        <f aca="false">T46+T47-T48-T49</f>
        <v>0</v>
      </c>
      <c r="U53" s="71" t="n">
        <f aca="false">U46+U47-U48-U49</f>
        <v>0</v>
      </c>
      <c r="V53" s="71" t="n">
        <f aca="false">V46+V47-V48-V49</f>
        <v>0</v>
      </c>
      <c r="W53" s="71" t="n">
        <f aca="false">W46+W47-W48-W49</f>
        <v>0</v>
      </c>
      <c r="X53" s="71" t="n">
        <f aca="false">X46+X47-X48-X49</f>
        <v>0</v>
      </c>
      <c r="Y53" s="71" t="n">
        <f aca="false">Y46+Y47-Y48-Y49</f>
        <v>0</v>
      </c>
      <c r="Z53" s="71" t="n">
        <f aca="false">Z46+Z47-Z48-Z49</f>
        <v>0</v>
      </c>
      <c r="AA53" s="71" t="n">
        <f aca="false">AA46+AA47-AA48-AA49</f>
        <v>0</v>
      </c>
      <c r="AB53" s="71" t="n">
        <f aca="false">AB46+AB47-AB48-AB49</f>
        <v>0</v>
      </c>
      <c r="AC53" s="71" t="n">
        <f aca="false">AC46+AC47-AC48-AC49</f>
        <v>0</v>
      </c>
      <c r="AD53" s="71" t="n">
        <f aca="false">AD46+AD47-AD48-AD49</f>
        <v>0</v>
      </c>
      <c r="AE53" s="71" t="n">
        <f aca="false">AE46+AE47-AE48-AE49</f>
        <v>0</v>
      </c>
      <c r="AF53" s="71" t="n">
        <f aca="false">AF46+AF47-AF48-AF49</f>
        <v>0</v>
      </c>
      <c r="AG53" s="71" t="n">
        <f aca="false">AG46+AG47-AG48-AG49</f>
        <v>0</v>
      </c>
      <c r="AH53" s="71" t="n">
        <f aca="false">AH46+AH47-AH48-AH49</f>
        <v>0</v>
      </c>
      <c r="AI53" s="71" t="n">
        <f aca="false">AI46+AI47-AI48-AI49</f>
        <v>0</v>
      </c>
      <c r="AJ53" s="71" t="n">
        <f aca="false">AJ46+AJ47-AJ48-AJ49</f>
        <v>0</v>
      </c>
      <c r="AK53" s="71" t="n">
        <f aca="false">AK46+AK47-AK48-AK49</f>
        <v>0</v>
      </c>
      <c r="AL53" s="71" t="n">
        <f aca="false">AL46+AL47-AL48-AL49</f>
        <v>0</v>
      </c>
      <c r="AM53" s="71" t="n">
        <f aca="false">AM46+AM47-AM48-AM49</f>
        <v>0</v>
      </c>
    </row>
    <row r="54" customFormat="false" ht="21" hidden="false" customHeight="true" outlineLevel="0" collapsed="false">
      <c r="C54" s="56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</row>
    <row r="55" customFormat="false" ht="21" hidden="false" customHeight="true" outlineLevel="0" collapsed="false">
      <c r="C55" s="56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</row>
    <row r="56" customFormat="false" ht="21" hidden="false" customHeight="true" outlineLevel="0" collapsed="false">
      <c r="C56" s="56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</row>
    <row r="57" customFormat="false" ht="21" hidden="false" customHeight="true" outlineLevel="0" collapsed="false">
      <c r="C57" s="56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</row>
    <row r="58" customFormat="false" ht="21" hidden="false" customHeight="true" outlineLevel="0" collapsed="false">
      <c r="C58" s="56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</row>
    <row r="59" customFormat="false" ht="21" hidden="false" customHeight="true" outlineLevel="0" collapsed="false">
      <c r="C59" s="56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</row>
    <row r="60" customFormat="false" ht="21" hidden="false" customHeight="true" outlineLevel="0" collapsed="false">
      <c r="C60" s="56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</row>
    <row r="61" customFormat="false" ht="25" hidden="false" customHeight="true" outlineLevel="0" collapsed="false">
      <c r="C61" s="58" t="s">
        <v>273</v>
      </c>
      <c r="D61" s="58"/>
      <c r="E61" s="58"/>
      <c r="F61" s="58"/>
      <c r="G61" s="58"/>
      <c r="H61" s="58"/>
      <c r="I61" s="58"/>
      <c r="J61" s="58"/>
      <c r="K61" s="58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</row>
    <row r="62" customFormat="false" ht="25" hidden="false" customHeight="true" outlineLevel="0" collapsed="false">
      <c r="C62" s="58"/>
      <c r="D62" s="58"/>
      <c r="E62" s="58"/>
      <c r="F62" s="58"/>
      <c r="G62" s="58"/>
      <c r="H62" s="58"/>
      <c r="I62" s="58"/>
      <c r="J62" s="58"/>
      <c r="K62" s="58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</row>
    <row r="63" customFormat="false" ht="21" hidden="false" customHeight="true" outlineLevel="0" collapsed="false">
      <c r="C63" s="5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</row>
    <row r="64" customFormat="false" ht="21" hidden="false" customHeight="true" outlineLevel="0" collapsed="false">
      <c r="C64" s="56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</row>
    <row r="65" customFormat="false" ht="21" hidden="false" customHeight="true" outlineLevel="0" collapsed="false">
      <c r="C65" s="5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</row>
    <row r="66" customFormat="false" ht="21" hidden="false" customHeight="true" outlineLevel="0" collapsed="false">
      <c r="C66" s="56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</row>
    <row r="67" customFormat="false" ht="21" hidden="false" customHeight="true" outlineLevel="0" collapsed="false">
      <c r="C67" s="5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</row>
    <row r="68" customFormat="false" ht="21" hidden="false" customHeight="true" outlineLevel="0" collapsed="false">
      <c r="C68" s="56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</row>
    <row r="69" customFormat="false" ht="21" hidden="false" customHeight="true" outlineLevel="0" collapsed="false">
      <c r="C69" s="5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</row>
    <row r="70" customFormat="false" ht="21" hidden="false" customHeight="true" outlineLevel="0" collapsed="false">
      <c r="C70" s="56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</row>
    <row r="71" customFormat="false" ht="21" hidden="false" customHeight="true" outlineLevel="0" collapsed="false">
      <c r="C71" s="56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</row>
  </sheetData>
  <sheetProtection sheet="1" objects="1" scenarios="1" selectLockedCells="0" selectUnlockedCells="0"/>
  <mergeCells count="3">
    <mergeCell ref="C2:K2"/>
    <mergeCell ref="C3:K4"/>
    <mergeCell ref="C61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C1:AM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39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customFormat="false" ht="33" hidden="false" customHeight="true" outlineLevel="0" collapsed="false">
      <c r="C2" s="57" t="s">
        <v>274</v>
      </c>
      <c r="D2" s="57"/>
      <c r="E2" s="57"/>
      <c r="F2" s="57"/>
      <c r="G2" s="57"/>
      <c r="H2" s="57"/>
      <c r="I2" s="57"/>
      <c r="J2" s="57"/>
      <c r="K2" s="57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</row>
    <row r="3" customFormat="false" ht="21" hidden="false" customHeight="true" outlineLevel="0" collapsed="false">
      <c r="C3" s="58" t="s">
        <v>129</v>
      </c>
      <c r="D3" s="58"/>
      <c r="E3" s="58"/>
      <c r="F3" s="58"/>
      <c r="G3" s="58"/>
      <c r="H3" s="58"/>
      <c r="I3" s="58"/>
      <c r="J3" s="58"/>
      <c r="K3" s="58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</row>
    <row r="6" customFormat="false" ht="21" hidden="false" customHeight="true" outlineLevel="0" collapsed="false">
      <c r="C6" s="56"/>
      <c r="D6" s="56" t="s">
        <v>130</v>
      </c>
      <c r="E6" s="56" t="s">
        <v>130</v>
      </c>
      <c r="F6" s="56" t="s">
        <v>130</v>
      </c>
      <c r="G6" s="56" t="s">
        <v>130</v>
      </c>
      <c r="H6" s="56" t="s">
        <v>130</v>
      </c>
      <c r="I6" s="56" t="s">
        <v>221</v>
      </c>
      <c r="J6" s="56" t="s">
        <v>132</v>
      </c>
      <c r="K6" s="56" t="s">
        <v>132</v>
      </c>
      <c r="L6" s="56" t="s">
        <v>132</v>
      </c>
      <c r="M6" s="56" t="s">
        <v>132</v>
      </c>
      <c r="N6" s="56" t="s">
        <v>132</v>
      </c>
      <c r="O6" s="56" t="s">
        <v>132</v>
      </c>
      <c r="P6" s="56" t="s">
        <v>132</v>
      </c>
      <c r="Q6" s="56" t="s">
        <v>132</v>
      </c>
      <c r="R6" s="56" t="s">
        <v>132</v>
      </c>
      <c r="S6" s="56" t="s">
        <v>132</v>
      </c>
      <c r="T6" s="56" t="s">
        <v>132</v>
      </c>
      <c r="U6" s="56" t="s">
        <v>132</v>
      </c>
      <c r="V6" s="56" t="s">
        <v>132</v>
      </c>
      <c r="W6" s="56" t="s">
        <v>132</v>
      </c>
      <c r="X6" s="56" t="s">
        <v>132</v>
      </c>
      <c r="Y6" s="56" t="s">
        <v>132</v>
      </c>
      <c r="Z6" s="56" t="s">
        <v>132</v>
      </c>
      <c r="AA6" s="56" t="s">
        <v>132</v>
      </c>
      <c r="AB6" s="56" t="s">
        <v>132</v>
      </c>
      <c r="AC6" s="56" t="s">
        <v>132</v>
      </c>
      <c r="AD6" s="56" t="s">
        <v>132</v>
      </c>
      <c r="AE6" s="56" t="s">
        <v>132</v>
      </c>
      <c r="AF6" s="56" t="s">
        <v>132</v>
      </c>
      <c r="AG6" s="56" t="s">
        <v>132</v>
      </c>
      <c r="AH6" s="56" t="s">
        <v>132</v>
      </c>
      <c r="AI6" s="56" t="s">
        <v>132</v>
      </c>
      <c r="AJ6" s="56" t="s">
        <v>132</v>
      </c>
      <c r="AK6" s="56" t="s">
        <v>132</v>
      </c>
      <c r="AL6" s="56" t="s">
        <v>132</v>
      </c>
      <c r="AM6" s="56" t="s">
        <v>132</v>
      </c>
    </row>
    <row r="7" customFormat="false" ht="21" hidden="false" customHeight="true" outlineLevel="0" collapsed="false">
      <c r="C7" s="63"/>
      <c r="D7" s="73" t="n">
        <v>46053</v>
      </c>
      <c r="E7" s="73" t="n">
        <v>46081</v>
      </c>
      <c r="F7" s="73" t="n">
        <v>46112</v>
      </c>
      <c r="G7" s="73" t="n">
        <v>46142</v>
      </c>
      <c r="H7" s="73" t="n">
        <v>46173</v>
      </c>
      <c r="I7" s="73" t="n">
        <v>46203</v>
      </c>
      <c r="J7" s="73" t="n">
        <v>46234</v>
      </c>
      <c r="K7" s="73" t="n">
        <v>46265</v>
      </c>
      <c r="L7" s="73" t="n">
        <v>46295</v>
      </c>
      <c r="M7" s="73" t="n">
        <v>46326</v>
      </c>
      <c r="N7" s="73" t="n">
        <v>46356</v>
      </c>
      <c r="O7" s="73" t="n">
        <v>46387</v>
      </c>
      <c r="P7" s="73" t="n">
        <v>46418</v>
      </c>
      <c r="Q7" s="73" t="n">
        <v>46446</v>
      </c>
      <c r="R7" s="73" t="n">
        <v>46477</v>
      </c>
      <c r="S7" s="73" t="n">
        <v>46507</v>
      </c>
      <c r="T7" s="73" t="n">
        <v>46538</v>
      </c>
      <c r="U7" s="73" t="n">
        <v>46568</v>
      </c>
      <c r="V7" s="73" t="n">
        <v>46599</v>
      </c>
      <c r="W7" s="73" t="n">
        <v>46630</v>
      </c>
      <c r="X7" s="73" t="n">
        <v>46660</v>
      </c>
      <c r="Y7" s="73" t="n">
        <v>46691</v>
      </c>
      <c r="Z7" s="73" t="n">
        <v>46721</v>
      </c>
      <c r="AA7" s="73" t="n">
        <v>46752</v>
      </c>
      <c r="AB7" s="73" t="n">
        <v>46783</v>
      </c>
      <c r="AC7" s="73" t="n">
        <v>46812</v>
      </c>
      <c r="AD7" s="73" t="n">
        <v>46843</v>
      </c>
      <c r="AE7" s="73" t="n">
        <v>46873</v>
      </c>
      <c r="AF7" s="73" t="n">
        <v>46904</v>
      </c>
      <c r="AG7" s="73" t="n">
        <v>46934</v>
      </c>
      <c r="AH7" s="73" t="n">
        <v>46965</v>
      </c>
      <c r="AI7" s="73" t="n">
        <v>46996</v>
      </c>
      <c r="AJ7" s="73" t="n">
        <v>47026</v>
      </c>
      <c r="AK7" s="73" t="n">
        <v>47057</v>
      </c>
      <c r="AL7" s="73" t="n">
        <v>47087</v>
      </c>
      <c r="AM7" s="73" t="n">
        <v>47118</v>
      </c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</row>
    <row r="9" customFormat="false" ht="25" hidden="false" customHeight="true" outlineLevel="0" collapsed="false">
      <c r="C9" s="63" t="s">
        <v>275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</row>
    <row r="10" customFormat="false" ht="21" hidden="false" customHeight="true" outlineLevel="0" collapsed="false">
      <c r="C10" s="56" t="s">
        <v>276</v>
      </c>
      <c r="D10" s="69"/>
      <c r="E10" s="69"/>
      <c r="F10" s="69"/>
      <c r="G10" s="69"/>
      <c r="H10" s="69"/>
      <c r="I10" s="69"/>
      <c r="J10" s="69" t="n">
        <f aca="false">(Revenue!J40*(SourceDetail!E8/1000000)/SourceHistory!F9)*Inputs!J130</f>
        <v>46.3205653367858</v>
      </c>
      <c r="K10" s="69" t="n">
        <f aca="false">(Revenue!K40*(SourceDetail!E8/1000000)/SourceHistory!F9)*Inputs!K130</f>
        <v>46.3205653367858</v>
      </c>
      <c r="L10" s="69" t="n">
        <f aca="false">(Revenue!L40*(SourceDetail!E8/1000000)/SourceHistory!F9)*Inputs!L130</f>
        <v>46.3205653367858</v>
      </c>
      <c r="M10" s="69" t="n">
        <f aca="false">(Revenue!M40*(SourceDetail!E8/1000000)/SourceHistory!F9)*Inputs!M130</f>
        <v>46.3205653367858</v>
      </c>
      <c r="N10" s="69" t="n">
        <f aca="false">(Revenue!N40*(SourceDetail!E8/1000000)/SourceHistory!F9)*Inputs!N130</f>
        <v>46.3205653367858</v>
      </c>
      <c r="O10" s="69" t="n">
        <f aca="false">(Revenue!O40*(SourceDetail!E8/1000000)/SourceHistory!F9)*Inputs!O130</f>
        <v>46.3205653367858</v>
      </c>
      <c r="P10" s="69" t="n">
        <f aca="false">(Revenue!P40*(SourceDetail!E8/1000000)/SourceHistory!F9)*Inputs!P130</f>
        <v>49.4716485370612</v>
      </c>
      <c r="Q10" s="69" t="n">
        <f aca="false">(Revenue!Q40*(SourceDetail!E8/1000000)/SourceHistory!F9)*Inputs!Q130</f>
        <v>49.4716485370612</v>
      </c>
      <c r="R10" s="69" t="n">
        <f aca="false">(Revenue!R40*(SourceDetail!E8/1000000)/SourceHistory!F9)*Inputs!R130</f>
        <v>49.4716485370612</v>
      </c>
      <c r="S10" s="69" t="n">
        <f aca="false">(Revenue!S40*(SourceDetail!E8/1000000)/SourceHistory!F9)*Inputs!S130</f>
        <v>49.4716485370612</v>
      </c>
      <c r="T10" s="69" t="n">
        <f aca="false">(Revenue!T40*(SourceDetail!E8/1000000)/SourceHistory!F9)*Inputs!T130</f>
        <v>49.4716485370612</v>
      </c>
      <c r="U10" s="69" t="n">
        <f aca="false">(Revenue!U40*(SourceDetail!E8/1000000)/SourceHistory!F9)*Inputs!U130</f>
        <v>49.4716485370612</v>
      </c>
      <c r="V10" s="69" t="n">
        <f aca="false">(Revenue!V40*(SourceDetail!E8/1000000)/SourceHistory!F9)*Inputs!V130</f>
        <v>48.0011903011291</v>
      </c>
      <c r="W10" s="69" t="n">
        <f aca="false">(Revenue!W40*(SourceDetail!E8/1000000)/SourceHistory!F9)*Inputs!W130</f>
        <v>48.0011903011291</v>
      </c>
      <c r="X10" s="69" t="n">
        <f aca="false">(Revenue!X40*(SourceDetail!E8/1000000)/SourceHistory!F9)*Inputs!X130</f>
        <v>48.0011903011291</v>
      </c>
      <c r="Y10" s="69" t="n">
        <f aca="false">(Revenue!Y40*(SourceDetail!E8/1000000)/SourceHistory!F9)*Inputs!Y130</f>
        <v>48.0011903011291</v>
      </c>
      <c r="Z10" s="69" t="n">
        <f aca="false">(Revenue!Z40*(SourceDetail!E8/1000000)/SourceHistory!F9)*Inputs!Z130</f>
        <v>48.0011903011291</v>
      </c>
      <c r="AA10" s="69" t="n">
        <f aca="false">(Revenue!AA40*(SourceDetail!E8/1000000)/SourceHistory!F9)*Inputs!AA130</f>
        <v>48.0011903011291</v>
      </c>
      <c r="AB10" s="69" t="n">
        <f aca="false">(Revenue!AB40*(SourceDetail!E8/1000000)/SourceHistory!F9)*Inputs!AB130</f>
        <v>51.2617110693187</v>
      </c>
      <c r="AC10" s="69" t="n">
        <f aca="false">(Revenue!AC40*(SourceDetail!E8/1000000)/SourceHistory!F9)*Inputs!AC130</f>
        <v>51.2617110693187</v>
      </c>
      <c r="AD10" s="69" t="n">
        <f aca="false">(Revenue!AD40*(SourceDetail!E8/1000000)/SourceHistory!F9)*Inputs!AD130</f>
        <v>51.2617110693187</v>
      </c>
      <c r="AE10" s="69" t="n">
        <f aca="false">(Revenue!AE40*(SourceDetail!E8/1000000)/SourceHistory!F9)*Inputs!AE130</f>
        <v>51.2617110693187</v>
      </c>
      <c r="AF10" s="69" t="n">
        <f aca="false">(Revenue!AF40*(SourceDetail!E8/1000000)/SourceHistory!F9)*Inputs!AF130</f>
        <v>51.2617110693187</v>
      </c>
      <c r="AG10" s="69" t="n">
        <f aca="false">(Revenue!AG40*(SourceDetail!E8/1000000)/SourceHistory!F9)*Inputs!AG130</f>
        <v>51.2617110693187</v>
      </c>
      <c r="AH10" s="69" t="n">
        <f aca="false">(Revenue!AH40*(SourceDetail!E8/1000000)/SourceHistory!F9)*Inputs!AH130</f>
        <v>49.7698515200837</v>
      </c>
      <c r="AI10" s="69" t="n">
        <f aca="false">(Revenue!AI40*(SourceDetail!E8/1000000)/SourceHistory!F9)*Inputs!AI130</f>
        <v>49.7698515200837</v>
      </c>
      <c r="AJ10" s="69" t="n">
        <f aca="false">(Revenue!AJ40*(SourceDetail!E8/1000000)/SourceHistory!F9)*Inputs!AJ130</f>
        <v>49.7698515200837</v>
      </c>
      <c r="AK10" s="69" t="n">
        <f aca="false">(Revenue!AK40*(SourceDetail!E8/1000000)/SourceHistory!F9)*Inputs!AK130</f>
        <v>49.7698515200837</v>
      </c>
      <c r="AL10" s="69" t="n">
        <f aca="false">(Revenue!AL40*(SourceDetail!E8/1000000)/SourceHistory!F9)*Inputs!AL130</f>
        <v>49.7698515200837</v>
      </c>
      <c r="AM10" s="69" t="n">
        <f aca="false">(Revenue!AM40*(SourceDetail!E8/1000000)/SourceHistory!F9)*Inputs!AM130</f>
        <v>49.7698515200837</v>
      </c>
    </row>
    <row r="11" customFormat="false" ht="21" hidden="false" customHeight="true" outlineLevel="0" collapsed="false">
      <c r="C11" s="56" t="s">
        <v>277</v>
      </c>
      <c r="D11" s="69"/>
      <c r="E11" s="69"/>
      <c r="F11" s="69"/>
      <c r="G11" s="69"/>
      <c r="H11" s="69"/>
      <c r="I11" s="69"/>
      <c r="J11" s="69" t="n">
        <f aca="false">Payroll!J28</f>
        <v>37.3010862872583</v>
      </c>
      <c r="K11" s="69" t="n">
        <f aca="false">Payroll!K28</f>
        <v>37.3010862872583</v>
      </c>
      <c r="L11" s="69" t="n">
        <f aca="false">Payroll!L28</f>
        <v>37.3010862872583</v>
      </c>
      <c r="M11" s="69" t="n">
        <f aca="false">Payroll!M28</f>
        <v>37.3010862872583</v>
      </c>
      <c r="N11" s="69" t="n">
        <f aca="false">Payroll!N28</f>
        <v>37.3010862872583</v>
      </c>
      <c r="O11" s="69" t="n">
        <f aca="false">Payroll!O28</f>
        <v>37.3010862872583</v>
      </c>
      <c r="P11" s="69" t="n">
        <f aca="false">Payroll!P28</f>
        <v>38.4201188758761</v>
      </c>
      <c r="Q11" s="69" t="n">
        <f aca="false">Payroll!Q28</f>
        <v>38.4201188758761</v>
      </c>
      <c r="R11" s="69" t="n">
        <f aca="false">Payroll!R28</f>
        <v>38.4201188758761</v>
      </c>
      <c r="S11" s="69" t="n">
        <f aca="false">Payroll!S28</f>
        <v>38.4201188758761</v>
      </c>
      <c r="T11" s="69" t="n">
        <f aca="false">Payroll!T28</f>
        <v>38.4201188758761</v>
      </c>
      <c r="U11" s="69" t="n">
        <f aca="false">Payroll!U28</f>
        <v>38.4201188758761</v>
      </c>
      <c r="V11" s="69" t="n">
        <f aca="false">Payroll!V28</f>
        <v>38.4201188758761</v>
      </c>
      <c r="W11" s="69" t="n">
        <f aca="false">Payroll!W28</f>
        <v>38.4201188758761</v>
      </c>
      <c r="X11" s="69" t="n">
        <f aca="false">Payroll!X28</f>
        <v>38.4201188758761</v>
      </c>
      <c r="Y11" s="69" t="n">
        <f aca="false">Payroll!Y28</f>
        <v>38.4201188758761</v>
      </c>
      <c r="Z11" s="69" t="n">
        <f aca="false">Payroll!Z28</f>
        <v>38.4201188758761</v>
      </c>
      <c r="AA11" s="69" t="n">
        <f aca="false">Payroll!AA28</f>
        <v>38.4201188758761</v>
      </c>
      <c r="AB11" s="69" t="n">
        <f aca="false">Payroll!AB28</f>
        <v>39.5727224421524</v>
      </c>
      <c r="AC11" s="69" t="n">
        <f aca="false">Payroll!AC28</f>
        <v>39.5727224421524</v>
      </c>
      <c r="AD11" s="69" t="n">
        <f aca="false">Payroll!AD28</f>
        <v>39.5727224421524</v>
      </c>
      <c r="AE11" s="69" t="n">
        <f aca="false">Payroll!AE28</f>
        <v>39.5727224421524</v>
      </c>
      <c r="AF11" s="69" t="n">
        <f aca="false">Payroll!AF28</f>
        <v>39.5727224421524</v>
      </c>
      <c r="AG11" s="69" t="n">
        <f aca="false">Payroll!AG28</f>
        <v>39.5727224421524</v>
      </c>
      <c r="AH11" s="69" t="n">
        <f aca="false">Payroll!AH28</f>
        <v>39.5727224421524</v>
      </c>
      <c r="AI11" s="69" t="n">
        <f aca="false">Payroll!AI28</f>
        <v>39.5727224421524</v>
      </c>
      <c r="AJ11" s="69" t="n">
        <f aca="false">Payroll!AJ28</f>
        <v>39.5727224421524</v>
      </c>
      <c r="AK11" s="69" t="n">
        <f aca="false">Payroll!AK28</f>
        <v>39.5727224421524</v>
      </c>
      <c r="AL11" s="69" t="n">
        <f aca="false">Payroll!AL28</f>
        <v>39.5727224421524</v>
      </c>
      <c r="AM11" s="69" t="n">
        <f aca="false">Payroll!AM28</f>
        <v>39.5727224421524</v>
      </c>
    </row>
    <row r="12" customFormat="false" ht="21" hidden="false" customHeight="true" outlineLevel="0" collapsed="false">
      <c r="C12" s="56" t="s">
        <v>278</v>
      </c>
      <c r="D12" s="69"/>
      <c r="E12" s="69"/>
      <c r="F12" s="69"/>
      <c r="G12" s="69"/>
      <c r="H12" s="69"/>
      <c r="I12" s="69"/>
      <c r="J12" s="69" t="n">
        <f aca="false">((SourceDetail!E12/1000000)/12*(1.02^1))*Inputs!J132</f>
        <v>6.55503245395</v>
      </c>
      <c r="K12" s="69" t="n">
        <f aca="false">((SourceDetail!E12/1000000)/12*(1.02^1))*Inputs!K132</f>
        <v>6.55503245395</v>
      </c>
      <c r="L12" s="69" t="n">
        <f aca="false">((SourceDetail!E12/1000000)/12*(1.02^1))*Inputs!L132</f>
        <v>6.55503245395</v>
      </c>
      <c r="M12" s="69" t="n">
        <f aca="false">((SourceDetail!E12/1000000)/12*(1.02^1))*Inputs!M132</f>
        <v>6.55503245395</v>
      </c>
      <c r="N12" s="69" t="n">
        <f aca="false">((SourceDetail!E12/1000000)/12*(1.02^1))*Inputs!N132</f>
        <v>6.55503245395</v>
      </c>
      <c r="O12" s="69" t="n">
        <f aca="false">((SourceDetail!E12/1000000)/12*(1.02^1))*Inputs!O132</f>
        <v>6.55503245395</v>
      </c>
      <c r="P12" s="69" t="n">
        <f aca="false">((SourceDetail!E12/1000000)/12*(1.02^2))*Inputs!P132</f>
        <v>6.686133103029</v>
      </c>
      <c r="Q12" s="69" t="n">
        <f aca="false">((SourceDetail!E12/1000000)/12*(1.02^2))*Inputs!Q132</f>
        <v>6.686133103029</v>
      </c>
      <c r="R12" s="69" t="n">
        <f aca="false">((SourceDetail!E12/1000000)/12*(1.02^2))*Inputs!R132</f>
        <v>6.686133103029</v>
      </c>
      <c r="S12" s="69" t="n">
        <f aca="false">((SourceDetail!E12/1000000)/12*(1.02^2))*Inputs!S132</f>
        <v>6.686133103029</v>
      </c>
      <c r="T12" s="69" t="n">
        <f aca="false">((SourceDetail!E12/1000000)/12*(1.02^2))*Inputs!T132</f>
        <v>6.686133103029</v>
      </c>
      <c r="U12" s="69" t="n">
        <f aca="false">((SourceDetail!E12/1000000)/12*(1.02^2))*Inputs!U132</f>
        <v>6.686133103029</v>
      </c>
      <c r="V12" s="69" t="n">
        <f aca="false">((SourceDetail!E12/1000000)/12*(1.02^2))*Inputs!V132</f>
        <v>6.686133103029</v>
      </c>
      <c r="W12" s="69" t="n">
        <f aca="false">((SourceDetail!E12/1000000)/12*(1.02^2))*Inputs!W132</f>
        <v>6.686133103029</v>
      </c>
      <c r="X12" s="69" t="n">
        <f aca="false">((SourceDetail!E12/1000000)/12*(1.02^2))*Inputs!X132</f>
        <v>6.686133103029</v>
      </c>
      <c r="Y12" s="69" t="n">
        <f aca="false">((SourceDetail!E12/1000000)/12*(1.02^2))*Inputs!Y132</f>
        <v>6.686133103029</v>
      </c>
      <c r="Z12" s="69" t="n">
        <f aca="false">((SourceDetail!E12/1000000)/12*(1.02^2))*Inputs!Z132</f>
        <v>6.686133103029</v>
      </c>
      <c r="AA12" s="69" t="n">
        <f aca="false">((SourceDetail!E12/1000000)/12*(1.02^2))*Inputs!AA132</f>
        <v>6.686133103029</v>
      </c>
      <c r="AB12" s="69" t="n">
        <f aca="false">((SourceDetail!E12/1000000)/12*(1.02^3))*Inputs!AB132</f>
        <v>6.81985576508958</v>
      </c>
      <c r="AC12" s="69" t="n">
        <f aca="false">((SourceDetail!E12/1000000)/12*(1.02^3))*Inputs!AC132</f>
        <v>6.81985576508958</v>
      </c>
      <c r="AD12" s="69" t="n">
        <f aca="false">((SourceDetail!E12/1000000)/12*(1.02^3))*Inputs!AD132</f>
        <v>6.81985576508958</v>
      </c>
      <c r="AE12" s="69" t="n">
        <f aca="false">((SourceDetail!E12/1000000)/12*(1.02^3))*Inputs!AE132</f>
        <v>6.81985576508958</v>
      </c>
      <c r="AF12" s="69" t="n">
        <f aca="false">((SourceDetail!E12/1000000)/12*(1.02^3))*Inputs!AF132</f>
        <v>6.81985576508958</v>
      </c>
      <c r="AG12" s="69" t="n">
        <f aca="false">((SourceDetail!E12/1000000)/12*(1.02^3))*Inputs!AG132</f>
        <v>6.81985576508958</v>
      </c>
      <c r="AH12" s="69" t="n">
        <f aca="false">((SourceDetail!E12/1000000)/12*(1.02^3))*Inputs!AH132</f>
        <v>6.81985576508958</v>
      </c>
      <c r="AI12" s="69" t="n">
        <f aca="false">((SourceDetail!E12/1000000)/12*(1.02^3))*Inputs!AI132</f>
        <v>6.81985576508958</v>
      </c>
      <c r="AJ12" s="69" t="n">
        <f aca="false">((SourceDetail!E12/1000000)/12*(1.02^3))*Inputs!AJ132</f>
        <v>6.81985576508958</v>
      </c>
      <c r="AK12" s="69" t="n">
        <f aca="false">((SourceDetail!E12/1000000)/12*(1.02^3))*Inputs!AK132</f>
        <v>6.81985576508958</v>
      </c>
      <c r="AL12" s="69" t="n">
        <f aca="false">((SourceDetail!E12/1000000)/12*(1.02^3))*Inputs!AL132</f>
        <v>6.81985576508958</v>
      </c>
      <c r="AM12" s="69" t="n">
        <f aca="false">((SourceDetail!E12/1000000)/12*(1.02^3))*Inputs!AM132</f>
        <v>6.81985576508958</v>
      </c>
    </row>
    <row r="13" customFormat="false" ht="21" hidden="false" customHeight="true" outlineLevel="0" collapsed="false">
      <c r="C13" s="56" t="s">
        <v>279</v>
      </c>
      <c r="D13" s="69"/>
      <c r="E13" s="69"/>
      <c r="F13" s="69"/>
      <c r="G13" s="69"/>
      <c r="H13" s="69"/>
      <c r="I13" s="69"/>
      <c r="J13" s="69" t="n">
        <f aca="false">((SourceDetail!E14/1000000)/12/(SourceDetail!E201/1)*Payroll!J26)*Inputs!J133</f>
        <v>4.73310539833333</v>
      </c>
      <c r="K13" s="69" t="n">
        <f aca="false">((SourceDetail!E14/1000000)/12/(SourceDetail!E201/1)*Payroll!K26)*Inputs!K133</f>
        <v>4.73310539833333</v>
      </c>
      <c r="L13" s="69" t="n">
        <f aca="false">((SourceDetail!E14/1000000)/12/(SourceDetail!E201/1)*Payroll!L26)*Inputs!L133</f>
        <v>4.73310539833333</v>
      </c>
      <c r="M13" s="69" t="n">
        <f aca="false">((SourceDetail!E14/1000000)/12/(SourceDetail!E201/1)*Payroll!M26)*Inputs!M133</f>
        <v>4.73310539833333</v>
      </c>
      <c r="N13" s="69" t="n">
        <f aca="false">((SourceDetail!E14/1000000)/12/(SourceDetail!E201/1)*Payroll!N26)*Inputs!N133</f>
        <v>4.73310539833333</v>
      </c>
      <c r="O13" s="69" t="n">
        <f aca="false">((SourceDetail!E14/1000000)/12/(SourceDetail!E201/1)*Payroll!O26)*Inputs!O133</f>
        <v>4.73310539833333</v>
      </c>
      <c r="P13" s="69" t="n">
        <f aca="false">((SourceDetail!E14/1000000)/12/(SourceDetail!E201/1)*Payroll!P26)*Inputs!P133</f>
        <v>4.73310539833333</v>
      </c>
      <c r="Q13" s="69" t="n">
        <f aca="false">((SourceDetail!E14/1000000)/12/(SourceDetail!E201/1)*Payroll!Q26)*Inputs!Q133</f>
        <v>4.73310539833333</v>
      </c>
      <c r="R13" s="69" t="n">
        <f aca="false">((SourceDetail!E14/1000000)/12/(SourceDetail!E201/1)*Payroll!R26)*Inputs!R133</f>
        <v>4.73310539833333</v>
      </c>
      <c r="S13" s="69" t="n">
        <f aca="false">((SourceDetail!E14/1000000)/12/(SourceDetail!E201/1)*Payroll!S26)*Inputs!S133</f>
        <v>4.73310539833333</v>
      </c>
      <c r="T13" s="69" t="n">
        <f aca="false">((SourceDetail!E14/1000000)/12/(SourceDetail!E201/1)*Payroll!T26)*Inputs!T133</f>
        <v>4.73310539833333</v>
      </c>
      <c r="U13" s="69" t="n">
        <f aca="false">((SourceDetail!E14/1000000)/12/(SourceDetail!E201/1)*Payroll!U26)*Inputs!U133</f>
        <v>4.73310539833333</v>
      </c>
      <c r="V13" s="69" t="n">
        <f aca="false">((SourceDetail!E14/1000000)/12/(SourceDetail!E201/1)*Payroll!V26)*Inputs!V133</f>
        <v>4.73310539833333</v>
      </c>
      <c r="W13" s="69" t="n">
        <f aca="false">((SourceDetail!E14/1000000)/12/(SourceDetail!E201/1)*Payroll!W26)*Inputs!W133</f>
        <v>4.73310539833333</v>
      </c>
      <c r="X13" s="69" t="n">
        <f aca="false">((SourceDetail!E14/1000000)/12/(SourceDetail!E201/1)*Payroll!X26)*Inputs!X133</f>
        <v>4.73310539833333</v>
      </c>
      <c r="Y13" s="69" t="n">
        <f aca="false">((SourceDetail!E14/1000000)/12/(SourceDetail!E201/1)*Payroll!Y26)*Inputs!Y133</f>
        <v>4.73310539833333</v>
      </c>
      <c r="Z13" s="69" t="n">
        <f aca="false">((SourceDetail!E14/1000000)/12/(SourceDetail!E201/1)*Payroll!Z26)*Inputs!Z133</f>
        <v>4.73310539833333</v>
      </c>
      <c r="AA13" s="69" t="n">
        <f aca="false">((SourceDetail!E14/1000000)/12/(SourceDetail!E201/1)*Payroll!AA26)*Inputs!AA133</f>
        <v>4.73310539833333</v>
      </c>
      <c r="AB13" s="69" t="n">
        <f aca="false">((SourceDetail!E14/1000000)/12/(SourceDetail!E201/1)*Payroll!AB26)*Inputs!AB133</f>
        <v>4.73310539833333</v>
      </c>
      <c r="AC13" s="69" t="n">
        <f aca="false">((SourceDetail!E14/1000000)/12/(SourceDetail!E201/1)*Payroll!AC26)*Inputs!AC133</f>
        <v>4.73310539833333</v>
      </c>
      <c r="AD13" s="69" t="n">
        <f aca="false">((SourceDetail!E14/1000000)/12/(SourceDetail!E201/1)*Payroll!AD26)*Inputs!AD133</f>
        <v>4.73310539833333</v>
      </c>
      <c r="AE13" s="69" t="n">
        <f aca="false">((SourceDetail!E14/1000000)/12/(SourceDetail!E201/1)*Payroll!AE26)*Inputs!AE133</f>
        <v>4.73310539833333</v>
      </c>
      <c r="AF13" s="69" t="n">
        <f aca="false">((SourceDetail!E14/1000000)/12/(SourceDetail!E201/1)*Payroll!AF26)*Inputs!AF133</f>
        <v>4.73310539833333</v>
      </c>
      <c r="AG13" s="69" t="n">
        <f aca="false">((SourceDetail!E14/1000000)/12/(SourceDetail!E201/1)*Payroll!AG26)*Inputs!AG133</f>
        <v>4.73310539833333</v>
      </c>
      <c r="AH13" s="69" t="n">
        <f aca="false">((SourceDetail!E14/1000000)/12/(SourceDetail!E201/1)*Payroll!AH26)*Inputs!AH133</f>
        <v>4.73310539833333</v>
      </c>
      <c r="AI13" s="69" t="n">
        <f aca="false">((SourceDetail!E14/1000000)/12/(SourceDetail!E201/1)*Payroll!AI26)*Inputs!AI133</f>
        <v>4.73310539833333</v>
      </c>
      <c r="AJ13" s="69" t="n">
        <f aca="false">((SourceDetail!E14/1000000)/12/(SourceDetail!E201/1)*Payroll!AJ26)*Inputs!AJ133</f>
        <v>4.73310539833333</v>
      </c>
      <c r="AK13" s="69" t="n">
        <f aca="false">((SourceDetail!E14/1000000)/12/(SourceDetail!E201/1)*Payroll!AK26)*Inputs!AK133</f>
        <v>4.73310539833333</v>
      </c>
      <c r="AL13" s="69" t="n">
        <f aca="false">((SourceDetail!E14/1000000)/12/(SourceDetail!E201/1)*Payroll!AL26)*Inputs!AL133</f>
        <v>4.73310539833333</v>
      </c>
      <c r="AM13" s="69" t="n">
        <f aca="false">((SourceDetail!E14/1000000)/12/(SourceDetail!E201/1)*Payroll!AM26)*Inputs!AM133</f>
        <v>4.73310539833333</v>
      </c>
    </row>
    <row r="14" customFormat="false" ht="21" hidden="false" customHeight="true" outlineLevel="0" collapsed="false">
      <c r="C14" s="56" t="s">
        <v>280</v>
      </c>
      <c r="D14" s="69"/>
      <c r="E14" s="69"/>
      <c r="F14" s="69"/>
      <c r="G14" s="69"/>
      <c r="H14" s="69"/>
      <c r="I14" s="69"/>
      <c r="J14" s="69" t="n">
        <f aca="false">((SourceDetail!E16/1000000)/12/(SourceDetail!E201/1)*Payroll!J26)*Inputs!J134</f>
        <v>5.05753378333333</v>
      </c>
      <c r="K14" s="69" t="n">
        <f aca="false">((SourceDetail!E16/1000000)/12/(SourceDetail!E201/1)*Payroll!K26)*Inputs!K134</f>
        <v>5.05753378333333</v>
      </c>
      <c r="L14" s="69" t="n">
        <f aca="false">((SourceDetail!E16/1000000)/12/(SourceDetail!E201/1)*Payroll!L26)*Inputs!L134</f>
        <v>5.05753378333333</v>
      </c>
      <c r="M14" s="69" t="n">
        <f aca="false">((SourceDetail!E16/1000000)/12/(SourceDetail!E201/1)*Payroll!M26)*Inputs!M134</f>
        <v>5.05753378333333</v>
      </c>
      <c r="N14" s="69" t="n">
        <f aca="false">((SourceDetail!E16/1000000)/12/(SourceDetail!E201/1)*Payroll!N26)*Inputs!N134</f>
        <v>5.05753378333333</v>
      </c>
      <c r="O14" s="69" t="n">
        <f aca="false">((SourceDetail!E16/1000000)/12/(SourceDetail!E201/1)*Payroll!O26)*Inputs!O134</f>
        <v>5.05753378333333</v>
      </c>
      <c r="P14" s="69" t="n">
        <f aca="false">((SourceDetail!E16/1000000)/12/(SourceDetail!E201/1)*Payroll!P26)*Inputs!P134</f>
        <v>5.05753378333333</v>
      </c>
      <c r="Q14" s="69" t="n">
        <f aca="false">((SourceDetail!E16/1000000)/12/(SourceDetail!E201/1)*Payroll!Q26)*Inputs!Q134</f>
        <v>5.05753378333333</v>
      </c>
      <c r="R14" s="69" t="n">
        <f aca="false">((SourceDetail!E16/1000000)/12/(SourceDetail!E201/1)*Payroll!R26)*Inputs!R134</f>
        <v>5.05753378333333</v>
      </c>
      <c r="S14" s="69" t="n">
        <f aca="false">((SourceDetail!E16/1000000)/12/(SourceDetail!E201/1)*Payroll!S26)*Inputs!S134</f>
        <v>5.05753378333333</v>
      </c>
      <c r="T14" s="69" t="n">
        <f aca="false">((SourceDetail!E16/1000000)/12/(SourceDetail!E201/1)*Payroll!T26)*Inputs!T134</f>
        <v>5.05753378333333</v>
      </c>
      <c r="U14" s="69" t="n">
        <f aca="false">((SourceDetail!E16/1000000)/12/(SourceDetail!E201/1)*Payroll!U26)*Inputs!U134</f>
        <v>5.05753378333333</v>
      </c>
      <c r="V14" s="69" t="n">
        <f aca="false">((SourceDetail!E16/1000000)/12/(SourceDetail!E201/1)*Payroll!V26)*Inputs!V134</f>
        <v>5.05753378333333</v>
      </c>
      <c r="W14" s="69" t="n">
        <f aca="false">((SourceDetail!E16/1000000)/12/(SourceDetail!E201/1)*Payroll!W26)*Inputs!W134</f>
        <v>5.05753378333333</v>
      </c>
      <c r="X14" s="69" t="n">
        <f aca="false">((SourceDetail!E16/1000000)/12/(SourceDetail!E201/1)*Payroll!X26)*Inputs!X134</f>
        <v>5.05753378333333</v>
      </c>
      <c r="Y14" s="69" t="n">
        <f aca="false">((SourceDetail!E16/1000000)/12/(SourceDetail!E201/1)*Payroll!Y26)*Inputs!Y134</f>
        <v>5.05753378333333</v>
      </c>
      <c r="Z14" s="69" t="n">
        <f aca="false">((SourceDetail!E16/1000000)/12/(SourceDetail!E201/1)*Payroll!Z26)*Inputs!Z134</f>
        <v>5.05753378333333</v>
      </c>
      <c r="AA14" s="69" t="n">
        <f aca="false">((SourceDetail!E16/1000000)/12/(SourceDetail!E201/1)*Payroll!AA26)*Inputs!AA134</f>
        <v>5.05753378333333</v>
      </c>
      <c r="AB14" s="69" t="n">
        <f aca="false">((SourceDetail!E16/1000000)/12/(SourceDetail!E201/1)*Payroll!AB26)*Inputs!AB134</f>
        <v>5.05753378333333</v>
      </c>
      <c r="AC14" s="69" t="n">
        <f aca="false">((SourceDetail!E16/1000000)/12/(SourceDetail!E201/1)*Payroll!AC26)*Inputs!AC134</f>
        <v>5.05753378333333</v>
      </c>
      <c r="AD14" s="69" t="n">
        <f aca="false">((SourceDetail!E16/1000000)/12/(SourceDetail!E201/1)*Payroll!AD26)*Inputs!AD134</f>
        <v>5.05753378333333</v>
      </c>
      <c r="AE14" s="69" t="n">
        <f aca="false">((SourceDetail!E16/1000000)/12/(SourceDetail!E201/1)*Payroll!AE26)*Inputs!AE134</f>
        <v>5.05753378333333</v>
      </c>
      <c r="AF14" s="69" t="n">
        <f aca="false">((SourceDetail!E16/1000000)/12/(SourceDetail!E201/1)*Payroll!AF26)*Inputs!AF134</f>
        <v>5.05753378333333</v>
      </c>
      <c r="AG14" s="69" t="n">
        <f aca="false">((SourceDetail!E16/1000000)/12/(SourceDetail!E201/1)*Payroll!AG26)*Inputs!AG134</f>
        <v>5.05753378333333</v>
      </c>
      <c r="AH14" s="69" t="n">
        <f aca="false">((SourceDetail!E16/1000000)/12/(SourceDetail!E201/1)*Payroll!AH26)*Inputs!AH134</f>
        <v>5.05753378333333</v>
      </c>
      <c r="AI14" s="69" t="n">
        <f aca="false">((SourceDetail!E16/1000000)/12/(SourceDetail!E201/1)*Payroll!AI26)*Inputs!AI134</f>
        <v>5.05753378333333</v>
      </c>
      <c r="AJ14" s="69" t="n">
        <f aca="false">((SourceDetail!E16/1000000)/12/(SourceDetail!E201/1)*Payroll!AJ26)*Inputs!AJ134</f>
        <v>5.05753378333333</v>
      </c>
      <c r="AK14" s="69" t="n">
        <f aca="false">((SourceDetail!E16/1000000)/12/(SourceDetail!E201/1)*Payroll!AK26)*Inputs!AK134</f>
        <v>5.05753378333333</v>
      </c>
      <c r="AL14" s="69" t="n">
        <f aca="false">((SourceDetail!E16/1000000)/12/(SourceDetail!E201/1)*Payroll!AL26)*Inputs!AL134</f>
        <v>5.05753378333333</v>
      </c>
      <c r="AM14" s="69" t="n">
        <f aca="false">((SourceDetail!E16/1000000)/12/(SourceDetail!E201/1)*Payroll!AM26)*Inputs!AM134</f>
        <v>5.05753378333333</v>
      </c>
    </row>
    <row r="15" customFormat="false" ht="21" hidden="false" customHeight="true" outlineLevel="0" collapsed="false">
      <c r="C15" s="56" t="s">
        <v>281</v>
      </c>
      <c r="D15" s="69"/>
      <c r="E15" s="69"/>
      <c r="F15" s="69"/>
      <c r="G15" s="69"/>
      <c r="H15" s="69"/>
      <c r="I15" s="69"/>
      <c r="J15" s="69" t="n">
        <f aca="false">((SourceDetail!E18/1000000)/12*(1.02^1))*Inputs!J135</f>
        <v>0.16431249105</v>
      </c>
      <c r="K15" s="69" t="n">
        <f aca="false">((SourceDetail!E18/1000000)/12*(1.02^1))*Inputs!K135</f>
        <v>0.16431249105</v>
      </c>
      <c r="L15" s="69" t="n">
        <f aca="false">((SourceDetail!E18/1000000)/12*(1.02^1))*Inputs!L135</f>
        <v>0.16431249105</v>
      </c>
      <c r="M15" s="69" t="n">
        <f aca="false">((SourceDetail!E18/1000000)/12*(1.02^1))*Inputs!M135</f>
        <v>0.16431249105</v>
      </c>
      <c r="N15" s="69" t="n">
        <f aca="false">((SourceDetail!E18/1000000)/12*(1.02^1))*Inputs!N135</f>
        <v>0.16431249105</v>
      </c>
      <c r="O15" s="69" t="n">
        <f aca="false">((SourceDetail!E18/1000000)/12*(1.02^1))*Inputs!O135</f>
        <v>0.16431249105</v>
      </c>
      <c r="P15" s="69" t="n">
        <f aca="false">((SourceDetail!E18/1000000)/12*(1.02^2))*Inputs!P135</f>
        <v>0.167598740871</v>
      </c>
      <c r="Q15" s="69" t="n">
        <f aca="false">((SourceDetail!E18/1000000)/12*(1.02^2))*Inputs!Q135</f>
        <v>0.167598740871</v>
      </c>
      <c r="R15" s="69" t="n">
        <f aca="false">((SourceDetail!E18/1000000)/12*(1.02^2))*Inputs!R135</f>
        <v>0.167598740871</v>
      </c>
      <c r="S15" s="69" t="n">
        <f aca="false">((SourceDetail!E18/1000000)/12*(1.02^2))*Inputs!S135</f>
        <v>0.167598740871</v>
      </c>
      <c r="T15" s="69" t="n">
        <f aca="false">((SourceDetail!E18/1000000)/12*(1.02^2))*Inputs!T135</f>
        <v>0.167598740871</v>
      </c>
      <c r="U15" s="69" t="n">
        <f aca="false">((SourceDetail!E18/1000000)/12*(1.02^2))*Inputs!U135</f>
        <v>0.167598740871</v>
      </c>
      <c r="V15" s="69" t="n">
        <f aca="false">((SourceDetail!E18/1000000)/12*(1.02^2))*Inputs!V135</f>
        <v>0.167598740871</v>
      </c>
      <c r="W15" s="69" t="n">
        <f aca="false">((SourceDetail!E18/1000000)/12*(1.02^2))*Inputs!W135</f>
        <v>0.167598740871</v>
      </c>
      <c r="X15" s="69" t="n">
        <f aca="false">((SourceDetail!E18/1000000)/12*(1.02^2))*Inputs!X135</f>
        <v>0.167598740871</v>
      </c>
      <c r="Y15" s="69" t="n">
        <f aca="false">((SourceDetail!E18/1000000)/12*(1.02^2))*Inputs!Y135</f>
        <v>0.167598740871</v>
      </c>
      <c r="Z15" s="69" t="n">
        <f aca="false">((SourceDetail!E18/1000000)/12*(1.02^2))*Inputs!Z135</f>
        <v>0.167598740871</v>
      </c>
      <c r="AA15" s="69" t="n">
        <f aca="false">((SourceDetail!E18/1000000)/12*(1.02^2))*Inputs!AA135</f>
        <v>0.167598740871</v>
      </c>
      <c r="AB15" s="69" t="n">
        <f aca="false">((SourceDetail!E18/1000000)/12*(1.02^3))*Inputs!AB135</f>
        <v>0.17095071568842</v>
      </c>
      <c r="AC15" s="69" t="n">
        <f aca="false">((SourceDetail!E18/1000000)/12*(1.02^3))*Inputs!AC135</f>
        <v>0.17095071568842</v>
      </c>
      <c r="AD15" s="69" t="n">
        <f aca="false">((SourceDetail!E18/1000000)/12*(1.02^3))*Inputs!AD135</f>
        <v>0.17095071568842</v>
      </c>
      <c r="AE15" s="69" t="n">
        <f aca="false">((SourceDetail!E18/1000000)/12*(1.02^3))*Inputs!AE135</f>
        <v>0.17095071568842</v>
      </c>
      <c r="AF15" s="69" t="n">
        <f aca="false">((SourceDetail!E18/1000000)/12*(1.02^3))*Inputs!AF135</f>
        <v>0.17095071568842</v>
      </c>
      <c r="AG15" s="69" t="n">
        <f aca="false">((SourceDetail!E18/1000000)/12*(1.02^3))*Inputs!AG135</f>
        <v>0.17095071568842</v>
      </c>
      <c r="AH15" s="69" t="n">
        <f aca="false">((SourceDetail!E18/1000000)/12*(1.02^3))*Inputs!AH135</f>
        <v>0.17095071568842</v>
      </c>
      <c r="AI15" s="69" t="n">
        <f aca="false">((SourceDetail!E18/1000000)/12*(1.02^3))*Inputs!AI135</f>
        <v>0.17095071568842</v>
      </c>
      <c r="AJ15" s="69" t="n">
        <f aca="false">((SourceDetail!E18/1000000)/12*(1.02^3))*Inputs!AJ135</f>
        <v>0.17095071568842</v>
      </c>
      <c r="AK15" s="69" t="n">
        <f aca="false">((SourceDetail!E18/1000000)/12*(1.02^3))*Inputs!AK135</f>
        <v>0.17095071568842</v>
      </c>
      <c r="AL15" s="69" t="n">
        <f aca="false">((SourceDetail!E18/1000000)/12*(1.02^3))*Inputs!AL135</f>
        <v>0.17095071568842</v>
      </c>
      <c r="AM15" s="69" t="n">
        <f aca="false">((SourceDetail!E18/1000000)/12*(1.02^3))*Inputs!AM135</f>
        <v>0.17095071568842</v>
      </c>
    </row>
    <row r="16" customFormat="false" ht="21" hidden="false" customHeight="true" outlineLevel="0" collapsed="false">
      <c r="C16" s="56" t="s">
        <v>282</v>
      </c>
      <c r="D16" s="69"/>
      <c r="E16" s="69"/>
      <c r="F16" s="69"/>
      <c r="G16" s="69"/>
      <c r="H16" s="69"/>
      <c r="I16" s="69"/>
      <c r="J16" s="69" t="n">
        <f aca="false">((SourceDetail!E20/1000000)/12*(1.02^1))*Inputs!J136</f>
        <v>0.43646948265</v>
      </c>
      <c r="K16" s="69" t="n">
        <f aca="false">((SourceDetail!E20/1000000)/12*(1.02^1))*Inputs!K136</f>
        <v>0.43646948265</v>
      </c>
      <c r="L16" s="69" t="n">
        <f aca="false">((SourceDetail!E20/1000000)/12*(1.02^1))*Inputs!L136</f>
        <v>0.43646948265</v>
      </c>
      <c r="M16" s="69" t="n">
        <f aca="false">((SourceDetail!E20/1000000)/12*(1.02^1))*Inputs!M136</f>
        <v>0.43646948265</v>
      </c>
      <c r="N16" s="69" t="n">
        <f aca="false">((SourceDetail!E20/1000000)/12*(1.02^1))*Inputs!N136</f>
        <v>0.43646948265</v>
      </c>
      <c r="O16" s="69" t="n">
        <f aca="false">((SourceDetail!E20/1000000)/12*(1.02^1))*Inputs!O136</f>
        <v>0.43646948265</v>
      </c>
      <c r="P16" s="69" t="n">
        <f aca="false">((SourceDetail!E20/1000000)/12*(1.02^2))*Inputs!P136</f>
        <v>0.445198872303</v>
      </c>
      <c r="Q16" s="69" t="n">
        <f aca="false">((SourceDetail!E20/1000000)/12*(1.02^2))*Inputs!Q136</f>
        <v>0.445198872303</v>
      </c>
      <c r="R16" s="69" t="n">
        <f aca="false">((SourceDetail!E20/1000000)/12*(1.02^2))*Inputs!R136</f>
        <v>0.445198872303</v>
      </c>
      <c r="S16" s="69" t="n">
        <f aca="false">((SourceDetail!E20/1000000)/12*(1.02^2))*Inputs!S136</f>
        <v>0.445198872303</v>
      </c>
      <c r="T16" s="69" t="n">
        <f aca="false">((SourceDetail!E20/1000000)/12*(1.02^2))*Inputs!T136</f>
        <v>0.445198872303</v>
      </c>
      <c r="U16" s="69" t="n">
        <f aca="false">((SourceDetail!E20/1000000)/12*(1.02^2))*Inputs!U136</f>
        <v>0.445198872303</v>
      </c>
      <c r="V16" s="69" t="n">
        <f aca="false">((SourceDetail!E20/1000000)/12*(1.02^2))*Inputs!V136</f>
        <v>0.445198872303</v>
      </c>
      <c r="W16" s="69" t="n">
        <f aca="false">((SourceDetail!E20/1000000)/12*(1.02^2))*Inputs!W136</f>
        <v>0.445198872303</v>
      </c>
      <c r="X16" s="69" t="n">
        <f aca="false">((SourceDetail!E20/1000000)/12*(1.02^2))*Inputs!X136</f>
        <v>0.445198872303</v>
      </c>
      <c r="Y16" s="69" t="n">
        <f aca="false">((SourceDetail!E20/1000000)/12*(1.02^2))*Inputs!Y136</f>
        <v>0.445198872303</v>
      </c>
      <c r="Z16" s="69" t="n">
        <f aca="false">((SourceDetail!E20/1000000)/12*(1.02^2))*Inputs!Z136</f>
        <v>0.445198872303</v>
      </c>
      <c r="AA16" s="69" t="n">
        <f aca="false">((SourceDetail!E20/1000000)/12*(1.02^2))*Inputs!AA136</f>
        <v>0.445198872303</v>
      </c>
      <c r="AB16" s="69" t="n">
        <f aca="false">((SourceDetail!E20/1000000)/12*(1.02^3))*Inputs!AB136</f>
        <v>0.45410284974906</v>
      </c>
      <c r="AC16" s="69" t="n">
        <f aca="false">((SourceDetail!E20/1000000)/12*(1.02^3))*Inputs!AC136</f>
        <v>0.45410284974906</v>
      </c>
      <c r="AD16" s="69" t="n">
        <f aca="false">((SourceDetail!E20/1000000)/12*(1.02^3))*Inputs!AD136</f>
        <v>0.45410284974906</v>
      </c>
      <c r="AE16" s="69" t="n">
        <f aca="false">((SourceDetail!E20/1000000)/12*(1.02^3))*Inputs!AE136</f>
        <v>0.45410284974906</v>
      </c>
      <c r="AF16" s="69" t="n">
        <f aca="false">((SourceDetail!E20/1000000)/12*(1.02^3))*Inputs!AF136</f>
        <v>0.45410284974906</v>
      </c>
      <c r="AG16" s="69" t="n">
        <f aca="false">((SourceDetail!E20/1000000)/12*(1.02^3))*Inputs!AG136</f>
        <v>0.45410284974906</v>
      </c>
      <c r="AH16" s="69" t="n">
        <f aca="false">((SourceDetail!E20/1000000)/12*(1.02^3))*Inputs!AH136</f>
        <v>0.45410284974906</v>
      </c>
      <c r="AI16" s="69" t="n">
        <f aca="false">((SourceDetail!E20/1000000)/12*(1.02^3))*Inputs!AI136</f>
        <v>0.45410284974906</v>
      </c>
      <c r="AJ16" s="69" t="n">
        <f aca="false">((SourceDetail!E20/1000000)/12*(1.02^3))*Inputs!AJ136</f>
        <v>0.45410284974906</v>
      </c>
      <c r="AK16" s="69" t="n">
        <f aca="false">((SourceDetail!E20/1000000)/12*(1.02^3))*Inputs!AK136</f>
        <v>0.45410284974906</v>
      </c>
      <c r="AL16" s="69" t="n">
        <f aca="false">((SourceDetail!E20/1000000)/12*(1.02^3))*Inputs!AL136</f>
        <v>0.45410284974906</v>
      </c>
      <c r="AM16" s="69" t="n">
        <f aca="false">((SourceDetail!E20/1000000)/12*(1.02^3))*Inputs!AM136</f>
        <v>0.45410284974906</v>
      </c>
    </row>
    <row r="17" customFormat="false" ht="21" hidden="false" customHeight="true" outlineLevel="0" collapsed="false">
      <c r="C17" s="60" t="s">
        <v>283</v>
      </c>
      <c r="D17" s="70"/>
      <c r="E17" s="70"/>
      <c r="F17" s="70"/>
      <c r="G17" s="70"/>
      <c r="H17" s="70"/>
      <c r="I17" s="70"/>
      <c r="J17" s="70" t="n">
        <f aca="false">J10+J11+J12+J13+J14+J15+J16</f>
        <v>100.568105233361</v>
      </c>
      <c r="K17" s="70" t="n">
        <f aca="false">K10+K11+K12+K13+K14+K15+K16</f>
        <v>100.568105233361</v>
      </c>
      <c r="L17" s="70" t="n">
        <f aca="false">L10+L11+L12+L13+L14+L15+L16</f>
        <v>100.568105233361</v>
      </c>
      <c r="M17" s="70" t="n">
        <f aca="false">M10+M11+M12+M13+M14+M15+M16</f>
        <v>100.568105233361</v>
      </c>
      <c r="N17" s="70" t="n">
        <f aca="false">N10+N11+N12+N13+N14+N15+N16</f>
        <v>100.568105233361</v>
      </c>
      <c r="O17" s="70" t="n">
        <f aca="false">O10+O11+O12+O13+O14+O15+O16</f>
        <v>100.568105233361</v>
      </c>
      <c r="P17" s="70" t="n">
        <f aca="false">P10+P11+P12+P13+P14+P15+P16</f>
        <v>104.981337310807</v>
      </c>
      <c r="Q17" s="70" t="n">
        <f aca="false">Q10+Q11+Q12+Q13+Q14+Q15+Q16</f>
        <v>104.981337310807</v>
      </c>
      <c r="R17" s="70" t="n">
        <f aca="false">R10+R11+R12+R13+R14+R15+R16</f>
        <v>104.981337310807</v>
      </c>
      <c r="S17" s="70" t="n">
        <f aca="false">S10+S11+S12+S13+S14+S15+S16</f>
        <v>104.981337310807</v>
      </c>
      <c r="T17" s="70" t="n">
        <f aca="false">T10+T11+T12+T13+T14+T15+T16</f>
        <v>104.981337310807</v>
      </c>
      <c r="U17" s="70" t="n">
        <f aca="false">U10+U11+U12+U13+U14+U15+U16</f>
        <v>104.981337310807</v>
      </c>
      <c r="V17" s="70" t="n">
        <f aca="false">V10+V11+V12+V13+V14+V15+V16</f>
        <v>103.510879074875</v>
      </c>
      <c r="W17" s="70" t="n">
        <f aca="false">W10+W11+W12+W13+W14+W15+W16</f>
        <v>103.510879074875</v>
      </c>
      <c r="X17" s="70" t="n">
        <f aca="false">X10+X11+X12+X13+X14+X15+X16</f>
        <v>103.510879074875</v>
      </c>
      <c r="Y17" s="70" t="n">
        <f aca="false">Y10+Y11+Y12+Y13+Y14+Y15+Y16</f>
        <v>103.510879074875</v>
      </c>
      <c r="Z17" s="70" t="n">
        <f aca="false">Z10+Z11+Z12+Z13+Z14+Z15+Z16</f>
        <v>103.510879074875</v>
      </c>
      <c r="AA17" s="70" t="n">
        <f aca="false">AA10+AA11+AA12+AA13+AA14+AA15+AA16</f>
        <v>103.510879074875</v>
      </c>
      <c r="AB17" s="70" t="n">
        <f aca="false">AB10+AB11+AB12+AB13+AB14+AB15+AB16</f>
        <v>108.069982023665</v>
      </c>
      <c r="AC17" s="70" t="n">
        <f aca="false">AC10+AC11+AC12+AC13+AC14+AC15+AC16</f>
        <v>108.069982023665</v>
      </c>
      <c r="AD17" s="70" t="n">
        <f aca="false">AD10+AD11+AD12+AD13+AD14+AD15+AD16</f>
        <v>108.069982023665</v>
      </c>
      <c r="AE17" s="70" t="n">
        <f aca="false">AE10+AE11+AE12+AE13+AE14+AE15+AE16</f>
        <v>108.069982023665</v>
      </c>
      <c r="AF17" s="70" t="n">
        <f aca="false">AF10+AF11+AF12+AF13+AF14+AF15+AF16</f>
        <v>108.069982023665</v>
      </c>
      <c r="AG17" s="70" t="n">
        <f aca="false">AG10+AG11+AG12+AG13+AG14+AG15+AG16</f>
        <v>108.069982023665</v>
      </c>
      <c r="AH17" s="70" t="n">
        <f aca="false">AH10+AH11+AH12+AH13+AH14+AH15+AH16</f>
        <v>106.57812247443</v>
      </c>
      <c r="AI17" s="70" t="n">
        <f aca="false">AI10+AI11+AI12+AI13+AI14+AI15+AI16</f>
        <v>106.57812247443</v>
      </c>
      <c r="AJ17" s="70" t="n">
        <f aca="false">AJ10+AJ11+AJ12+AJ13+AJ14+AJ15+AJ16</f>
        <v>106.57812247443</v>
      </c>
      <c r="AK17" s="70" t="n">
        <f aca="false">AK10+AK11+AK12+AK13+AK14+AK15+AK16</f>
        <v>106.57812247443</v>
      </c>
      <c r="AL17" s="70" t="n">
        <f aca="false">AL10+AL11+AL12+AL13+AL14+AL15+AL16</f>
        <v>106.57812247443</v>
      </c>
      <c r="AM17" s="70" t="n">
        <f aca="false">AM10+AM11+AM12+AM13+AM14+AM15+AM16</f>
        <v>106.57812247443</v>
      </c>
    </row>
    <row r="18" customFormat="false" ht="21" hidden="false" customHeight="true" outlineLevel="0" collapsed="false">
      <c r="C18" s="56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</row>
    <row r="19" customFormat="false" ht="21" hidden="false" customHeight="true" outlineLevel="0" collapsed="false">
      <c r="C19" s="56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</row>
    <row r="20" customFormat="false" ht="25" hidden="false" customHeight="true" outlineLevel="0" collapsed="false">
      <c r="C20" s="63" t="s">
        <v>284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</row>
    <row r="21" customFormat="false" ht="21" hidden="false" customHeight="true" outlineLevel="0" collapsed="false">
      <c r="C21" s="56" t="s">
        <v>285</v>
      </c>
      <c r="D21" s="69"/>
      <c r="E21" s="69"/>
      <c r="F21" s="69"/>
      <c r="G21" s="69"/>
      <c r="H21" s="69"/>
      <c r="I21" s="69"/>
      <c r="J21" s="69" t="n">
        <f aca="false">Payroll!J52</f>
        <v>36.809315204325</v>
      </c>
      <c r="K21" s="69" t="n">
        <f aca="false">Payroll!K52</f>
        <v>36.809315204325</v>
      </c>
      <c r="L21" s="69" t="n">
        <f aca="false">Payroll!L52</f>
        <v>36.809315204325</v>
      </c>
      <c r="M21" s="69" t="n">
        <f aca="false">Payroll!M52</f>
        <v>36.809315204325</v>
      </c>
      <c r="N21" s="69" t="n">
        <f aca="false">Payroll!N52</f>
        <v>36.809315204325</v>
      </c>
      <c r="O21" s="69" t="n">
        <f aca="false">Payroll!O52</f>
        <v>36.809315204325</v>
      </c>
      <c r="P21" s="69" t="n">
        <f aca="false">Payroll!P52</f>
        <v>37.9135946604548</v>
      </c>
      <c r="Q21" s="69" t="n">
        <f aca="false">Payroll!Q52</f>
        <v>37.9135946604548</v>
      </c>
      <c r="R21" s="69" t="n">
        <f aca="false">Payroll!R52</f>
        <v>37.9135946604548</v>
      </c>
      <c r="S21" s="69" t="n">
        <f aca="false">Payroll!S52</f>
        <v>37.9135946604548</v>
      </c>
      <c r="T21" s="69" t="n">
        <f aca="false">Payroll!T52</f>
        <v>37.9135946604548</v>
      </c>
      <c r="U21" s="69" t="n">
        <f aca="false">Payroll!U52</f>
        <v>37.9135946604548</v>
      </c>
      <c r="V21" s="69" t="n">
        <f aca="false">Payroll!V52</f>
        <v>37.9135946604548</v>
      </c>
      <c r="W21" s="69" t="n">
        <f aca="false">Payroll!W52</f>
        <v>37.9135946604548</v>
      </c>
      <c r="X21" s="69" t="n">
        <f aca="false">Payroll!X52</f>
        <v>37.9135946604548</v>
      </c>
      <c r="Y21" s="69" t="n">
        <f aca="false">Payroll!Y52</f>
        <v>37.9135946604548</v>
      </c>
      <c r="Z21" s="69" t="n">
        <f aca="false">Payroll!Z52</f>
        <v>37.9135946604548</v>
      </c>
      <c r="AA21" s="69" t="n">
        <f aca="false">Payroll!AA52</f>
        <v>37.9135946604548</v>
      </c>
      <c r="AB21" s="69" t="n">
        <f aca="false">Payroll!AB52</f>
        <v>39.0510025002684</v>
      </c>
      <c r="AC21" s="69" t="n">
        <f aca="false">Payroll!AC52</f>
        <v>39.0510025002684</v>
      </c>
      <c r="AD21" s="69" t="n">
        <f aca="false">Payroll!AD52</f>
        <v>39.0510025002684</v>
      </c>
      <c r="AE21" s="69" t="n">
        <f aca="false">Payroll!AE52</f>
        <v>39.0510025002684</v>
      </c>
      <c r="AF21" s="69" t="n">
        <f aca="false">Payroll!AF52</f>
        <v>39.0510025002684</v>
      </c>
      <c r="AG21" s="69" t="n">
        <f aca="false">Payroll!AG52</f>
        <v>39.0510025002684</v>
      </c>
      <c r="AH21" s="69" t="n">
        <f aca="false">Payroll!AH52</f>
        <v>39.0510025002684</v>
      </c>
      <c r="AI21" s="69" t="n">
        <f aca="false">Payroll!AI52</f>
        <v>39.0510025002684</v>
      </c>
      <c r="AJ21" s="69" t="n">
        <f aca="false">Payroll!AJ52</f>
        <v>39.0510025002684</v>
      </c>
      <c r="AK21" s="69" t="n">
        <f aca="false">Payroll!AK52</f>
        <v>39.0510025002684</v>
      </c>
      <c r="AL21" s="69" t="n">
        <f aca="false">Payroll!AL52</f>
        <v>39.0510025002684</v>
      </c>
      <c r="AM21" s="69" t="n">
        <f aca="false">Payroll!AM52</f>
        <v>39.0510025002684</v>
      </c>
    </row>
    <row r="22" customFormat="false" ht="21" hidden="false" customHeight="true" outlineLevel="0" collapsed="false">
      <c r="C22" s="56" t="s">
        <v>286</v>
      </c>
      <c r="D22" s="69"/>
      <c r="E22" s="69"/>
      <c r="F22" s="69"/>
      <c r="G22" s="69"/>
      <c r="H22" s="69"/>
      <c r="I22" s="69"/>
      <c r="J22" s="69" t="n">
        <f aca="false">MAX(0,Inputs!J58)</f>
        <v>3.76704643916667</v>
      </c>
      <c r="K22" s="69" t="n">
        <f aca="false">MAX(0,Inputs!K58)</f>
        <v>3.76704643916667</v>
      </c>
      <c r="L22" s="69" t="n">
        <f aca="false">MAX(0,Inputs!L58)</f>
        <v>3.76704643916667</v>
      </c>
      <c r="M22" s="69" t="n">
        <f aca="false">MAX(0,Inputs!M58)</f>
        <v>3.76704643916667</v>
      </c>
      <c r="N22" s="69" t="n">
        <f aca="false">MAX(0,Inputs!N58)</f>
        <v>3.76704643916667</v>
      </c>
      <c r="O22" s="69" t="n">
        <f aca="false">MAX(0,Inputs!O58)</f>
        <v>3.76704643916667</v>
      </c>
      <c r="P22" s="69" t="n">
        <f aca="false">MAX(0,Inputs!P58)</f>
        <v>3.76704643916667</v>
      </c>
      <c r="Q22" s="69" t="n">
        <f aca="false">MAX(0,Inputs!Q58)</f>
        <v>3.76704643916667</v>
      </c>
      <c r="R22" s="69" t="n">
        <f aca="false">MAX(0,Inputs!R58)</f>
        <v>3.76704643916667</v>
      </c>
      <c r="S22" s="69" t="n">
        <f aca="false">MAX(0,Inputs!S58)</f>
        <v>3.76704643916667</v>
      </c>
      <c r="T22" s="69" t="n">
        <f aca="false">MAX(0,Inputs!T58)</f>
        <v>3.76704643916667</v>
      </c>
      <c r="U22" s="69" t="n">
        <f aca="false">MAX(0,Inputs!U58)</f>
        <v>3.76704643916667</v>
      </c>
      <c r="V22" s="69" t="n">
        <f aca="false">MAX(0,Inputs!V58)</f>
        <v>3.76704643916667</v>
      </c>
      <c r="W22" s="69" t="n">
        <f aca="false">MAX(0,Inputs!W58)</f>
        <v>3.76704643916667</v>
      </c>
      <c r="X22" s="69" t="n">
        <f aca="false">MAX(0,Inputs!X58)</f>
        <v>3.76704643916667</v>
      </c>
      <c r="Y22" s="69" t="n">
        <f aca="false">MAX(0,Inputs!Y58)</f>
        <v>3.76704643916667</v>
      </c>
      <c r="Z22" s="69" t="n">
        <f aca="false">MAX(0,Inputs!Z58)</f>
        <v>3.76704643916667</v>
      </c>
      <c r="AA22" s="69" t="n">
        <f aca="false">MAX(0,Inputs!AA58)</f>
        <v>3.76704643916667</v>
      </c>
      <c r="AB22" s="69" t="n">
        <f aca="false">MAX(0,Inputs!AB58)</f>
        <v>3.76704643916667</v>
      </c>
      <c r="AC22" s="69" t="n">
        <f aca="false">MAX(0,Inputs!AC58)</f>
        <v>3.76704643916667</v>
      </c>
      <c r="AD22" s="69" t="n">
        <f aca="false">MAX(0,Inputs!AD58)</f>
        <v>3.76704643916667</v>
      </c>
      <c r="AE22" s="69" t="n">
        <f aca="false">MAX(0,Inputs!AE58)</f>
        <v>3.76704643916667</v>
      </c>
      <c r="AF22" s="69" t="n">
        <f aca="false">MAX(0,Inputs!AF58)</f>
        <v>3.76704643916667</v>
      </c>
      <c r="AG22" s="69" t="n">
        <f aca="false">MAX(0,Inputs!AG58)</f>
        <v>3.76704643916667</v>
      </c>
      <c r="AH22" s="69" t="n">
        <f aca="false">MAX(0,Inputs!AH58)</f>
        <v>3.76704643916667</v>
      </c>
      <c r="AI22" s="69" t="n">
        <f aca="false">MAX(0,Inputs!AI58)</f>
        <v>3.76704643916667</v>
      </c>
      <c r="AJ22" s="69" t="n">
        <f aca="false">MAX(0,Inputs!AJ58)</f>
        <v>3.76704643916667</v>
      </c>
      <c r="AK22" s="69" t="n">
        <f aca="false">MAX(0,Inputs!AK58)</f>
        <v>3.76704643916667</v>
      </c>
      <c r="AL22" s="69" t="n">
        <f aca="false">MAX(0,Inputs!AL58)</f>
        <v>3.76704643916667</v>
      </c>
      <c r="AM22" s="69" t="n">
        <f aca="false">MAX(0,Inputs!AM58)</f>
        <v>3.76704643916667</v>
      </c>
    </row>
    <row r="23" customFormat="false" ht="21" hidden="false" customHeight="true" outlineLevel="0" collapsed="false">
      <c r="C23" s="56" t="s">
        <v>287</v>
      </c>
      <c r="D23" s="69"/>
      <c r="E23" s="69"/>
      <c r="F23" s="69"/>
      <c r="G23" s="69"/>
      <c r="H23" s="69"/>
      <c r="I23" s="69"/>
      <c r="J23" s="69" t="n">
        <f aca="false">Assets!J100*SourceAnalysis!D26</f>
        <v>8.70323446766719</v>
      </c>
      <c r="K23" s="69" t="n">
        <f aca="false">Assets!K100*SourceAnalysis!D26</f>
        <v>8.77290038115506</v>
      </c>
      <c r="L23" s="69" t="n">
        <f aca="false">Assets!L100*SourceAnalysis!D26</f>
        <v>8.84256629464293</v>
      </c>
      <c r="M23" s="69" t="n">
        <f aca="false">Assets!M100*SourceAnalysis!D26</f>
        <v>8.91223220813079</v>
      </c>
      <c r="N23" s="69" t="n">
        <f aca="false">Assets!N100*SourceAnalysis!D26</f>
        <v>8.98189812161866</v>
      </c>
      <c r="O23" s="69" t="n">
        <f aca="false">Assets!O100*SourceAnalysis!D26</f>
        <v>9.05156403510652</v>
      </c>
      <c r="P23" s="69" t="n">
        <f aca="false">Assets!P100*SourceAnalysis!D26</f>
        <v>9.12122994859439</v>
      </c>
      <c r="Q23" s="69" t="n">
        <f aca="false">Assets!Q100*SourceAnalysis!D26</f>
        <v>9.19437915775665</v>
      </c>
      <c r="R23" s="69" t="n">
        <f aca="false">Assets!R100*SourceAnalysis!D26</f>
        <v>9.26752836691891</v>
      </c>
      <c r="S23" s="69" t="n">
        <f aca="false">Assets!S100*SourceAnalysis!D26</f>
        <v>9.34067757608116</v>
      </c>
      <c r="T23" s="69" t="n">
        <f aca="false">Assets!T100*SourceAnalysis!D26</f>
        <v>9.41382678524342</v>
      </c>
      <c r="U23" s="69" t="n">
        <f aca="false">Assets!U100*SourceAnalysis!D26</f>
        <v>9.48697599440568</v>
      </c>
      <c r="V23" s="69" t="n">
        <f aca="false">Assets!V100*SourceAnalysis!D26</f>
        <v>9.56012520356794</v>
      </c>
      <c r="W23" s="69" t="n">
        <f aca="false">Assets!W100*SourceAnalysis!D26</f>
        <v>9.6332744127302</v>
      </c>
      <c r="X23" s="69" t="n">
        <f aca="false">Assets!X100*SourceAnalysis!D26</f>
        <v>9.29612711390212</v>
      </c>
      <c r="Y23" s="69" t="n">
        <f aca="false">Assets!Y100*SourceAnalysis!D26</f>
        <v>9.36390151178827</v>
      </c>
      <c r="Z23" s="69" t="n">
        <f aca="false">Assets!Z100*SourceAnalysis!D26</f>
        <v>9.43705072095053</v>
      </c>
      <c r="AA23" s="69" t="n">
        <f aca="false">Assets!AA100*SourceAnalysis!D26</f>
        <v>9.51019993011279</v>
      </c>
      <c r="AB23" s="69" t="n">
        <f aca="false">Assets!AB100*SourceAnalysis!D26</f>
        <v>9.58334913927505</v>
      </c>
      <c r="AC23" s="69" t="n">
        <f aca="false">Assets!AC100*SourceAnalysis!D26</f>
        <v>9.66015580889542</v>
      </c>
      <c r="AD23" s="69" t="n">
        <f aca="false">Assets!AD100*SourceAnalysis!D26</f>
        <v>9.73696247851579</v>
      </c>
      <c r="AE23" s="69" t="n">
        <f aca="false">Assets!AE100*SourceAnalysis!D26</f>
        <v>9.81376914813616</v>
      </c>
      <c r="AF23" s="69" t="n">
        <f aca="false">Assets!AF100*SourceAnalysis!D26</f>
        <v>9.89057581775654</v>
      </c>
      <c r="AG23" s="69" t="n">
        <f aca="false">Assets!AG100*SourceAnalysis!D26</f>
        <v>9.9673824873769</v>
      </c>
      <c r="AH23" s="69" t="n">
        <f aca="false">Assets!AH100*SourceAnalysis!D26</f>
        <v>10.0441891569973</v>
      </c>
      <c r="AI23" s="69" t="n">
        <f aca="false">Assets!AI100*SourceAnalysis!D26</f>
        <v>10.1209958266177</v>
      </c>
      <c r="AJ23" s="69" t="n">
        <f aca="false">Assets!AJ100*SourceAnalysis!D26</f>
        <v>10.197802496238</v>
      </c>
      <c r="AK23" s="69" t="n">
        <f aca="false">Assets!AK100*SourceAnalysis!D26</f>
        <v>10.2746091658584</v>
      </c>
      <c r="AL23" s="69" t="n">
        <f aca="false">Assets!AL100*SourceAnalysis!D26</f>
        <v>10.3514158354788</v>
      </c>
      <c r="AM23" s="69" t="n">
        <f aca="false">Assets!AM100*SourceAnalysis!D26</f>
        <v>10.4282225050991</v>
      </c>
    </row>
    <row r="24" customFormat="false" ht="21" hidden="false" customHeight="true" outlineLevel="0" collapsed="false">
      <c r="C24" s="56" t="s">
        <v>288</v>
      </c>
      <c r="D24" s="69"/>
      <c r="E24" s="69"/>
      <c r="F24" s="69"/>
      <c r="G24" s="69"/>
      <c r="H24" s="69"/>
      <c r="I24" s="69"/>
      <c r="J24" s="69" t="n">
        <f aca="false">((SourceDetail!E30/1000000)/12/((SourceDetail!E203/1)+(SourceDetail!E204/1))*Payroll!J50)*Inputs!J144</f>
        <v>5.43769508333333</v>
      </c>
      <c r="K24" s="69" t="n">
        <f aca="false">((SourceDetail!E30/1000000)/12/((SourceDetail!E203/1)+(SourceDetail!E204/1))*Payroll!K50)*Inputs!K144</f>
        <v>5.43769508333333</v>
      </c>
      <c r="L24" s="69" t="n">
        <f aca="false">((SourceDetail!E30/1000000)/12/((SourceDetail!E203/1)+(SourceDetail!E204/1))*Payroll!L50)*Inputs!L144</f>
        <v>5.43769508333333</v>
      </c>
      <c r="M24" s="69" t="n">
        <f aca="false">((SourceDetail!E30/1000000)/12/((SourceDetail!E203/1)+(SourceDetail!E204/1))*Payroll!M50)*Inputs!M144</f>
        <v>5.43769508333333</v>
      </c>
      <c r="N24" s="69" t="n">
        <f aca="false">((SourceDetail!E30/1000000)/12/((SourceDetail!E203/1)+(SourceDetail!E204/1))*Payroll!N50)*Inputs!N144</f>
        <v>5.43769508333333</v>
      </c>
      <c r="O24" s="69" t="n">
        <f aca="false">((SourceDetail!E30/1000000)/12/((SourceDetail!E203/1)+(SourceDetail!E204/1))*Payroll!O50)*Inputs!O144</f>
        <v>5.43769508333333</v>
      </c>
      <c r="P24" s="69" t="n">
        <f aca="false">((SourceDetail!E30/1000000)/12/((SourceDetail!E203/1)+(SourceDetail!E204/1))*Payroll!P50)*Inputs!P144</f>
        <v>5.43769508333333</v>
      </c>
      <c r="Q24" s="69" t="n">
        <f aca="false">((SourceDetail!E30/1000000)/12/((SourceDetail!E203/1)+(SourceDetail!E204/1))*Payroll!Q50)*Inputs!Q144</f>
        <v>5.43769508333333</v>
      </c>
      <c r="R24" s="69" t="n">
        <f aca="false">((SourceDetail!E30/1000000)/12/((SourceDetail!E203/1)+(SourceDetail!E204/1))*Payroll!R50)*Inputs!R144</f>
        <v>5.43769508333333</v>
      </c>
      <c r="S24" s="69" t="n">
        <f aca="false">((SourceDetail!E30/1000000)/12/((SourceDetail!E203/1)+(SourceDetail!E204/1))*Payroll!S50)*Inputs!S144</f>
        <v>5.43769508333333</v>
      </c>
      <c r="T24" s="69" t="n">
        <f aca="false">((SourceDetail!E30/1000000)/12/((SourceDetail!E203/1)+(SourceDetail!E204/1))*Payroll!T50)*Inputs!T144</f>
        <v>5.43769508333333</v>
      </c>
      <c r="U24" s="69" t="n">
        <f aca="false">((SourceDetail!E30/1000000)/12/((SourceDetail!E203/1)+(SourceDetail!E204/1))*Payroll!U50)*Inputs!U144</f>
        <v>5.43769508333333</v>
      </c>
      <c r="V24" s="69" t="n">
        <f aca="false">((SourceDetail!E30/1000000)/12/((SourceDetail!E203/1)+(SourceDetail!E204/1))*Payroll!V50)*Inputs!V144</f>
        <v>5.43769508333333</v>
      </c>
      <c r="W24" s="69" t="n">
        <f aca="false">((SourceDetail!E30/1000000)/12/((SourceDetail!E203/1)+(SourceDetail!E204/1))*Payroll!W50)*Inputs!W144</f>
        <v>5.43769508333333</v>
      </c>
      <c r="X24" s="69" t="n">
        <f aca="false">((SourceDetail!E30/1000000)/12/((SourceDetail!E203/1)+(SourceDetail!E204/1))*Payroll!X50)*Inputs!X144</f>
        <v>5.43769508333333</v>
      </c>
      <c r="Y24" s="69" t="n">
        <f aca="false">((SourceDetail!E30/1000000)/12/((SourceDetail!E203/1)+(SourceDetail!E204/1))*Payroll!Y50)*Inputs!Y144</f>
        <v>5.43769508333333</v>
      </c>
      <c r="Z24" s="69" t="n">
        <f aca="false">((SourceDetail!E30/1000000)/12/((SourceDetail!E203/1)+(SourceDetail!E204/1))*Payroll!Z50)*Inputs!Z144</f>
        <v>5.43769508333333</v>
      </c>
      <c r="AA24" s="69" t="n">
        <f aca="false">((SourceDetail!E30/1000000)/12/((SourceDetail!E203/1)+(SourceDetail!E204/1))*Payroll!AA50)*Inputs!AA144</f>
        <v>5.43769508333333</v>
      </c>
      <c r="AB24" s="69" t="n">
        <f aca="false">((SourceDetail!E30/1000000)/12/((SourceDetail!E203/1)+(SourceDetail!E204/1))*Payroll!AB50)*Inputs!AB144</f>
        <v>5.43769508333333</v>
      </c>
      <c r="AC24" s="69" t="n">
        <f aca="false">((SourceDetail!E30/1000000)/12/((SourceDetail!E203/1)+(SourceDetail!E204/1))*Payroll!AC50)*Inputs!AC144</f>
        <v>5.43769508333333</v>
      </c>
      <c r="AD24" s="69" t="n">
        <f aca="false">((SourceDetail!E30/1000000)/12/((SourceDetail!E203/1)+(SourceDetail!E204/1))*Payroll!AD50)*Inputs!AD144</f>
        <v>5.43769508333333</v>
      </c>
      <c r="AE24" s="69" t="n">
        <f aca="false">((SourceDetail!E30/1000000)/12/((SourceDetail!E203/1)+(SourceDetail!E204/1))*Payroll!AE50)*Inputs!AE144</f>
        <v>5.43769508333333</v>
      </c>
      <c r="AF24" s="69" t="n">
        <f aca="false">((SourceDetail!E30/1000000)/12/((SourceDetail!E203/1)+(SourceDetail!E204/1))*Payroll!AF50)*Inputs!AF144</f>
        <v>5.43769508333333</v>
      </c>
      <c r="AG24" s="69" t="n">
        <f aca="false">((SourceDetail!E30/1000000)/12/((SourceDetail!E203/1)+(SourceDetail!E204/1))*Payroll!AG50)*Inputs!AG144</f>
        <v>5.43769508333333</v>
      </c>
      <c r="AH24" s="69" t="n">
        <f aca="false">((SourceDetail!E30/1000000)/12/((SourceDetail!E203/1)+(SourceDetail!E204/1))*Payroll!AH50)*Inputs!AH144</f>
        <v>5.43769508333333</v>
      </c>
      <c r="AI24" s="69" t="n">
        <f aca="false">((SourceDetail!E30/1000000)/12/((SourceDetail!E203/1)+(SourceDetail!E204/1))*Payroll!AI50)*Inputs!AI144</f>
        <v>5.43769508333333</v>
      </c>
      <c r="AJ24" s="69" t="n">
        <f aca="false">((SourceDetail!E30/1000000)/12/((SourceDetail!E203/1)+(SourceDetail!E204/1))*Payroll!AJ50)*Inputs!AJ144</f>
        <v>5.43769508333333</v>
      </c>
      <c r="AK24" s="69" t="n">
        <f aca="false">((SourceDetail!E30/1000000)/12/((SourceDetail!E203/1)+(SourceDetail!E204/1))*Payroll!AK50)*Inputs!AK144</f>
        <v>5.43769508333333</v>
      </c>
      <c r="AL24" s="69" t="n">
        <f aca="false">((SourceDetail!E30/1000000)/12/((SourceDetail!E203/1)+(SourceDetail!E204/1))*Payroll!AL50)*Inputs!AL144</f>
        <v>5.43769508333333</v>
      </c>
      <c r="AM24" s="69" t="n">
        <f aca="false">((SourceDetail!E30/1000000)/12/((SourceDetail!E203/1)+(SourceDetail!E204/1))*Payroll!AM50)*Inputs!AM144</f>
        <v>5.43769508333333</v>
      </c>
    </row>
    <row r="25" customFormat="false" ht="21" hidden="false" customHeight="true" outlineLevel="0" collapsed="false">
      <c r="C25" s="56" t="s">
        <v>289</v>
      </c>
      <c r="D25" s="69"/>
      <c r="E25" s="69"/>
      <c r="F25" s="69"/>
      <c r="G25" s="69"/>
      <c r="H25" s="69"/>
      <c r="I25" s="69"/>
      <c r="J25" s="69" t="n">
        <f aca="false">((SourceDetail!E32/1000000)/12*(1.02^1))*Inputs!J145</f>
        <v>1.726531849</v>
      </c>
      <c r="K25" s="69" t="n">
        <f aca="false">((SourceDetail!E32/1000000)/12*(1.02^1))*Inputs!K145</f>
        <v>1.726531849</v>
      </c>
      <c r="L25" s="69" t="n">
        <f aca="false">((SourceDetail!E32/1000000)/12*(1.02^1))*Inputs!L145</f>
        <v>1.726531849</v>
      </c>
      <c r="M25" s="69" t="n">
        <f aca="false">((SourceDetail!E32/1000000)/12*(1.02^1))*Inputs!M145</f>
        <v>1.726531849</v>
      </c>
      <c r="N25" s="69" t="n">
        <f aca="false">((SourceDetail!E32/1000000)/12*(1.02^1))*Inputs!N145</f>
        <v>1.726531849</v>
      </c>
      <c r="O25" s="69" t="n">
        <f aca="false">((SourceDetail!E32/1000000)/12*(1.02^1))*Inputs!O145</f>
        <v>1.726531849</v>
      </c>
      <c r="P25" s="69" t="n">
        <f aca="false">((SourceDetail!E32/1000000)/12*(1.02^2))*Inputs!P145</f>
        <v>1.76106248598</v>
      </c>
      <c r="Q25" s="69" t="n">
        <f aca="false">((SourceDetail!E32/1000000)/12*(1.02^2))*Inputs!Q145</f>
        <v>1.76106248598</v>
      </c>
      <c r="R25" s="69" t="n">
        <f aca="false">((SourceDetail!E32/1000000)/12*(1.02^2))*Inputs!R145</f>
        <v>1.76106248598</v>
      </c>
      <c r="S25" s="69" t="n">
        <f aca="false">((SourceDetail!E32/1000000)/12*(1.02^2))*Inputs!S145</f>
        <v>1.76106248598</v>
      </c>
      <c r="T25" s="69" t="n">
        <f aca="false">((SourceDetail!E32/1000000)/12*(1.02^2))*Inputs!T145</f>
        <v>1.76106248598</v>
      </c>
      <c r="U25" s="69" t="n">
        <f aca="false">((SourceDetail!E32/1000000)/12*(1.02^2))*Inputs!U145</f>
        <v>1.76106248598</v>
      </c>
      <c r="V25" s="69" t="n">
        <f aca="false">((SourceDetail!E32/1000000)/12*(1.02^2))*Inputs!V145</f>
        <v>1.76106248598</v>
      </c>
      <c r="W25" s="69" t="n">
        <f aca="false">((SourceDetail!E32/1000000)/12*(1.02^2))*Inputs!W145</f>
        <v>1.76106248598</v>
      </c>
      <c r="X25" s="69" t="n">
        <f aca="false">((SourceDetail!E32/1000000)/12*(1.02^2))*Inputs!X145</f>
        <v>1.76106248598</v>
      </c>
      <c r="Y25" s="69" t="n">
        <f aca="false">((SourceDetail!E32/1000000)/12*(1.02^2))*Inputs!Y145</f>
        <v>1.76106248598</v>
      </c>
      <c r="Z25" s="69" t="n">
        <f aca="false">((SourceDetail!E32/1000000)/12*(1.02^2))*Inputs!Z145</f>
        <v>1.76106248598</v>
      </c>
      <c r="AA25" s="69" t="n">
        <f aca="false">((SourceDetail!E32/1000000)/12*(1.02^2))*Inputs!AA145</f>
        <v>1.76106248598</v>
      </c>
      <c r="AB25" s="69" t="n">
        <f aca="false">((SourceDetail!E32/1000000)/12*(1.02^3))*Inputs!AB145</f>
        <v>1.7962837356996</v>
      </c>
      <c r="AC25" s="69" t="n">
        <f aca="false">((SourceDetail!E32/1000000)/12*(1.02^3))*Inputs!AC145</f>
        <v>1.7962837356996</v>
      </c>
      <c r="AD25" s="69" t="n">
        <f aca="false">((SourceDetail!E32/1000000)/12*(1.02^3))*Inputs!AD145</f>
        <v>1.7962837356996</v>
      </c>
      <c r="AE25" s="69" t="n">
        <f aca="false">((SourceDetail!E32/1000000)/12*(1.02^3))*Inputs!AE145</f>
        <v>1.7962837356996</v>
      </c>
      <c r="AF25" s="69" t="n">
        <f aca="false">((SourceDetail!E32/1000000)/12*(1.02^3))*Inputs!AF145</f>
        <v>1.7962837356996</v>
      </c>
      <c r="AG25" s="69" t="n">
        <f aca="false">((SourceDetail!E32/1000000)/12*(1.02^3))*Inputs!AG145</f>
        <v>1.7962837356996</v>
      </c>
      <c r="AH25" s="69" t="n">
        <f aca="false">((SourceDetail!E32/1000000)/12*(1.02^3))*Inputs!AH145</f>
        <v>1.7962837356996</v>
      </c>
      <c r="AI25" s="69" t="n">
        <f aca="false">((SourceDetail!E32/1000000)/12*(1.02^3))*Inputs!AI145</f>
        <v>1.7962837356996</v>
      </c>
      <c r="AJ25" s="69" t="n">
        <f aca="false">((SourceDetail!E32/1000000)/12*(1.02^3))*Inputs!AJ145</f>
        <v>1.7962837356996</v>
      </c>
      <c r="AK25" s="69" t="n">
        <f aca="false">((SourceDetail!E32/1000000)/12*(1.02^3))*Inputs!AK145</f>
        <v>1.7962837356996</v>
      </c>
      <c r="AL25" s="69" t="n">
        <f aca="false">((SourceDetail!E32/1000000)/12*(1.02^3))*Inputs!AL145</f>
        <v>1.7962837356996</v>
      </c>
      <c r="AM25" s="69" t="n">
        <f aca="false">((SourceDetail!E32/1000000)/12*(1.02^3))*Inputs!AM145</f>
        <v>1.7962837356996</v>
      </c>
    </row>
    <row r="26" customFormat="false" ht="21" hidden="false" customHeight="true" outlineLevel="0" collapsed="false">
      <c r="C26" s="56" t="s">
        <v>290</v>
      </c>
      <c r="D26" s="69"/>
      <c r="E26" s="69"/>
      <c r="F26" s="69"/>
      <c r="G26" s="69"/>
      <c r="H26" s="69"/>
      <c r="I26" s="69"/>
      <c r="J26" s="69" t="n">
        <f aca="false">Inputs!J99</f>
        <v>0</v>
      </c>
      <c r="K26" s="69" t="n">
        <f aca="false">Inputs!K99</f>
        <v>0</v>
      </c>
      <c r="L26" s="69" t="n">
        <f aca="false">Inputs!L99</f>
        <v>0</v>
      </c>
      <c r="M26" s="69" t="n">
        <f aca="false">Inputs!M99</f>
        <v>0</v>
      </c>
      <c r="N26" s="69" t="n">
        <f aca="false">Inputs!N99</f>
        <v>0</v>
      </c>
      <c r="O26" s="69" t="n">
        <f aca="false">Inputs!O99</f>
        <v>0</v>
      </c>
      <c r="P26" s="69" t="n">
        <f aca="false">Inputs!P99</f>
        <v>0</v>
      </c>
      <c r="Q26" s="69" t="n">
        <f aca="false">Inputs!Q99</f>
        <v>0</v>
      </c>
      <c r="R26" s="69" t="n">
        <f aca="false">Inputs!R99</f>
        <v>0</v>
      </c>
      <c r="S26" s="69" t="n">
        <f aca="false">Inputs!S99</f>
        <v>0</v>
      </c>
      <c r="T26" s="69" t="n">
        <f aca="false">Inputs!T99</f>
        <v>0</v>
      </c>
      <c r="U26" s="69" t="n">
        <f aca="false">Inputs!U99</f>
        <v>0</v>
      </c>
      <c r="V26" s="69" t="n">
        <f aca="false">Inputs!V99</f>
        <v>0</v>
      </c>
      <c r="W26" s="69" t="n">
        <f aca="false">Inputs!W99</f>
        <v>0</v>
      </c>
      <c r="X26" s="69" t="n">
        <f aca="false">Inputs!X99</f>
        <v>0</v>
      </c>
      <c r="Y26" s="69" t="n">
        <f aca="false">Inputs!Y99</f>
        <v>0</v>
      </c>
      <c r="Z26" s="69" t="n">
        <f aca="false">Inputs!Z99</f>
        <v>0</v>
      </c>
      <c r="AA26" s="69" t="n">
        <f aca="false">Inputs!AA99</f>
        <v>0</v>
      </c>
      <c r="AB26" s="69" t="n">
        <f aca="false">Inputs!AB99</f>
        <v>0</v>
      </c>
      <c r="AC26" s="69" t="n">
        <f aca="false">Inputs!AC99</f>
        <v>0</v>
      </c>
      <c r="AD26" s="69" t="n">
        <f aca="false">Inputs!AD99</f>
        <v>0</v>
      </c>
      <c r="AE26" s="69" t="n">
        <f aca="false">Inputs!AE99</f>
        <v>0</v>
      </c>
      <c r="AF26" s="69" t="n">
        <f aca="false">Inputs!AF99</f>
        <v>0</v>
      </c>
      <c r="AG26" s="69" t="n">
        <f aca="false">Inputs!AG99</f>
        <v>0</v>
      </c>
      <c r="AH26" s="69" t="n">
        <f aca="false">Inputs!AH99</f>
        <v>0</v>
      </c>
      <c r="AI26" s="69" t="n">
        <f aca="false">Inputs!AI99</f>
        <v>0</v>
      </c>
      <c r="AJ26" s="69" t="n">
        <f aca="false">Inputs!AJ99</f>
        <v>0</v>
      </c>
      <c r="AK26" s="69" t="n">
        <f aca="false">Inputs!AK99</f>
        <v>0</v>
      </c>
      <c r="AL26" s="69" t="n">
        <f aca="false">Inputs!AL99</f>
        <v>0</v>
      </c>
      <c r="AM26" s="69" t="n">
        <f aca="false">Inputs!AM99</f>
        <v>0</v>
      </c>
    </row>
    <row r="27" customFormat="false" ht="21" hidden="false" customHeight="true" outlineLevel="0" collapsed="false">
      <c r="C27" s="56" t="s">
        <v>291</v>
      </c>
      <c r="D27" s="69"/>
      <c r="E27" s="69"/>
      <c r="F27" s="69"/>
      <c r="G27" s="69"/>
      <c r="H27" s="69"/>
      <c r="I27" s="69"/>
      <c r="J27" s="69" t="n">
        <f aca="false">((SourceDetail!E36/1000000)/12*(1.02^1))*Inputs!J147</f>
        <v>2.27357632205</v>
      </c>
      <c r="K27" s="69" t="n">
        <f aca="false">((SourceDetail!E36/1000000)/12*(1.02^1))*Inputs!K147</f>
        <v>2.27357632205</v>
      </c>
      <c r="L27" s="69" t="n">
        <f aca="false">((SourceDetail!E36/1000000)/12*(1.02^1))*Inputs!L147</f>
        <v>2.27357632205</v>
      </c>
      <c r="M27" s="69" t="n">
        <f aca="false">((SourceDetail!E36/1000000)/12*(1.02^1))*Inputs!M147</f>
        <v>2.27357632205</v>
      </c>
      <c r="N27" s="69" t="n">
        <f aca="false">((SourceDetail!E36/1000000)/12*(1.02^1))*Inputs!N147</f>
        <v>2.27357632205</v>
      </c>
      <c r="O27" s="69" t="n">
        <f aca="false">((SourceDetail!E36/1000000)/12*(1.02^1))*Inputs!O147</f>
        <v>2.27357632205</v>
      </c>
      <c r="P27" s="69" t="n">
        <f aca="false">((SourceDetail!E36/1000000)/12*(1.02^2))*Inputs!P147</f>
        <v>2.319047848491</v>
      </c>
      <c r="Q27" s="69" t="n">
        <f aca="false">((SourceDetail!E36/1000000)/12*(1.02^2))*Inputs!Q147</f>
        <v>2.319047848491</v>
      </c>
      <c r="R27" s="69" t="n">
        <f aca="false">((SourceDetail!E36/1000000)/12*(1.02^2))*Inputs!R147</f>
        <v>2.319047848491</v>
      </c>
      <c r="S27" s="69" t="n">
        <f aca="false">((SourceDetail!E36/1000000)/12*(1.02^2))*Inputs!S147</f>
        <v>2.319047848491</v>
      </c>
      <c r="T27" s="69" t="n">
        <f aca="false">((SourceDetail!E36/1000000)/12*(1.02^2))*Inputs!T147</f>
        <v>2.319047848491</v>
      </c>
      <c r="U27" s="69" t="n">
        <f aca="false">((SourceDetail!E36/1000000)/12*(1.02^2))*Inputs!U147</f>
        <v>2.319047848491</v>
      </c>
      <c r="V27" s="69" t="n">
        <f aca="false">((SourceDetail!E36/1000000)/12*(1.02^2))*Inputs!V147</f>
        <v>2.319047848491</v>
      </c>
      <c r="W27" s="69" t="n">
        <f aca="false">((SourceDetail!E36/1000000)/12*(1.02^2))*Inputs!W147</f>
        <v>2.319047848491</v>
      </c>
      <c r="X27" s="69" t="n">
        <f aca="false">((SourceDetail!E36/1000000)/12*(1.02^2))*Inputs!X147</f>
        <v>2.319047848491</v>
      </c>
      <c r="Y27" s="69" t="n">
        <f aca="false">((SourceDetail!E36/1000000)/12*(1.02^2))*Inputs!Y147</f>
        <v>2.319047848491</v>
      </c>
      <c r="Z27" s="69" t="n">
        <f aca="false">((SourceDetail!E36/1000000)/12*(1.02^2))*Inputs!Z147</f>
        <v>2.319047848491</v>
      </c>
      <c r="AA27" s="69" t="n">
        <f aca="false">((SourceDetail!E36/1000000)/12*(1.02^2))*Inputs!AA147</f>
        <v>2.319047848491</v>
      </c>
      <c r="AB27" s="69" t="n">
        <f aca="false">((SourceDetail!E36/1000000)/12*(1.02^3))*Inputs!AB147</f>
        <v>2.36542880546082</v>
      </c>
      <c r="AC27" s="69" t="n">
        <f aca="false">((SourceDetail!E36/1000000)/12*(1.02^3))*Inputs!AC147</f>
        <v>2.36542880546082</v>
      </c>
      <c r="AD27" s="69" t="n">
        <f aca="false">((SourceDetail!E36/1000000)/12*(1.02^3))*Inputs!AD147</f>
        <v>2.36542880546082</v>
      </c>
      <c r="AE27" s="69" t="n">
        <f aca="false">((SourceDetail!E36/1000000)/12*(1.02^3))*Inputs!AE147</f>
        <v>2.36542880546082</v>
      </c>
      <c r="AF27" s="69" t="n">
        <f aca="false">((SourceDetail!E36/1000000)/12*(1.02^3))*Inputs!AF147</f>
        <v>2.36542880546082</v>
      </c>
      <c r="AG27" s="69" t="n">
        <f aca="false">((SourceDetail!E36/1000000)/12*(1.02^3))*Inputs!AG147</f>
        <v>2.36542880546082</v>
      </c>
      <c r="AH27" s="69" t="n">
        <f aca="false">((SourceDetail!E36/1000000)/12*(1.02^3))*Inputs!AH147</f>
        <v>2.36542880546082</v>
      </c>
      <c r="AI27" s="69" t="n">
        <f aca="false">((SourceDetail!E36/1000000)/12*(1.02^3))*Inputs!AI147</f>
        <v>2.36542880546082</v>
      </c>
      <c r="AJ27" s="69" t="n">
        <f aca="false">((SourceDetail!E36/1000000)/12*(1.02^3))*Inputs!AJ147</f>
        <v>2.36542880546082</v>
      </c>
      <c r="AK27" s="69" t="n">
        <f aca="false">((SourceDetail!E36/1000000)/12*(1.02^3))*Inputs!AK147</f>
        <v>2.36542880546082</v>
      </c>
      <c r="AL27" s="69" t="n">
        <f aca="false">((SourceDetail!E36/1000000)/12*(1.02^3))*Inputs!AL147</f>
        <v>2.36542880546082</v>
      </c>
      <c r="AM27" s="69" t="n">
        <f aca="false">((SourceDetail!E36/1000000)/12*(1.02^3))*Inputs!AM147</f>
        <v>2.36542880546082</v>
      </c>
    </row>
    <row r="28" customFormat="false" ht="21" hidden="false" customHeight="true" outlineLevel="0" collapsed="false">
      <c r="C28" s="56" t="s">
        <v>292</v>
      </c>
      <c r="D28" s="69"/>
      <c r="E28" s="69"/>
      <c r="F28" s="69"/>
      <c r="G28" s="69"/>
      <c r="H28" s="69"/>
      <c r="I28" s="69"/>
      <c r="J28" s="69" t="n">
        <f aca="false">((SourceDetail!E38/1000000)/12*(1.02^1))*Inputs!J148</f>
        <v>0.3490797646</v>
      </c>
      <c r="K28" s="69" t="n">
        <f aca="false">((SourceDetail!E38/1000000)/12*(1.02^1))*Inputs!K148</f>
        <v>0.3490797646</v>
      </c>
      <c r="L28" s="69" t="n">
        <f aca="false">((SourceDetail!E38/1000000)/12*(1.02^1))*Inputs!L148</f>
        <v>0.3490797646</v>
      </c>
      <c r="M28" s="69" t="n">
        <f aca="false">((SourceDetail!E38/1000000)/12*(1.02^1))*Inputs!M148</f>
        <v>0.3490797646</v>
      </c>
      <c r="N28" s="69" t="n">
        <f aca="false">((SourceDetail!E38/1000000)/12*(1.02^1))*Inputs!N148</f>
        <v>0.3490797646</v>
      </c>
      <c r="O28" s="69" t="n">
        <f aca="false">((SourceDetail!E38/1000000)/12*(1.02^1))*Inputs!O148</f>
        <v>0.3490797646</v>
      </c>
      <c r="P28" s="69" t="n">
        <f aca="false">((SourceDetail!E38/1000000)/12*(1.02^2))*Inputs!P148</f>
        <v>0.356061359892</v>
      </c>
      <c r="Q28" s="69" t="n">
        <f aca="false">((SourceDetail!E38/1000000)/12*(1.02^2))*Inputs!Q148</f>
        <v>0.356061359892</v>
      </c>
      <c r="R28" s="69" t="n">
        <f aca="false">((SourceDetail!E38/1000000)/12*(1.02^2))*Inputs!R148</f>
        <v>0.356061359892</v>
      </c>
      <c r="S28" s="69" t="n">
        <f aca="false">((SourceDetail!E38/1000000)/12*(1.02^2))*Inputs!S148</f>
        <v>0.356061359892</v>
      </c>
      <c r="T28" s="69" t="n">
        <f aca="false">((SourceDetail!E38/1000000)/12*(1.02^2))*Inputs!T148</f>
        <v>0.356061359892</v>
      </c>
      <c r="U28" s="69" t="n">
        <f aca="false">((SourceDetail!E38/1000000)/12*(1.02^2))*Inputs!U148</f>
        <v>0.356061359892</v>
      </c>
      <c r="V28" s="69" t="n">
        <f aca="false">((SourceDetail!E38/1000000)/12*(1.02^2))*Inputs!V148</f>
        <v>0.356061359892</v>
      </c>
      <c r="W28" s="69" t="n">
        <f aca="false">((SourceDetail!E38/1000000)/12*(1.02^2))*Inputs!W148</f>
        <v>0.356061359892</v>
      </c>
      <c r="X28" s="69" t="n">
        <f aca="false">((SourceDetail!E38/1000000)/12*(1.02^2))*Inputs!X148</f>
        <v>0.356061359892</v>
      </c>
      <c r="Y28" s="69" t="n">
        <f aca="false">((SourceDetail!E38/1000000)/12*(1.02^2))*Inputs!Y148</f>
        <v>0.356061359892</v>
      </c>
      <c r="Z28" s="69" t="n">
        <f aca="false">((SourceDetail!E38/1000000)/12*(1.02^2))*Inputs!Z148</f>
        <v>0.356061359892</v>
      </c>
      <c r="AA28" s="69" t="n">
        <f aca="false">((SourceDetail!E38/1000000)/12*(1.02^2))*Inputs!AA148</f>
        <v>0.356061359892</v>
      </c>
      <c r="AB28" s="69" t="n">
        <f aca="false">((SourceDetail!E38/1000000)/12*(1.02^3))*Inputs!AB148</f>
        <v>0.36318258708984</v>
      </c>
      <c r="AC28" s="69" t="n">
        <f aca="false">((SourceDetail!E38/1000000)/12*(1.02^3))*Inputs!AC148</f>
        <v>0.36318258708984</v>
      </c>
      <c r="AD28" s="69" t="n">
        <f aca="false">((SourceDetail!E38/1000000)/12*(1.02^3))*Inputs!AD148</f>
        <v>0.36318258708984</v>
      </c>
      <c r="AE28" s="69" t="n">
        <f aca="false">((SourceDetail!E38/1000000)/12*(1.02^3))*Inputs!AE148</f>
        <v>0.36318258708984</v>
      </c>
      <c r="AF28" s="69" t="n">
        <f aca="false">((SourceDetail!E38/1000000)/12*(1.02^3))*Inputs!AF148</f>
        <v>0.36318258708984</v>
      </c>
      <c r="AG28" s="69" t="n">
        <f aca="false">((SourceDetail!E38/1000000)/12*(1.02^3))*Inputs!AG148</f>
        <v>0.36318258708984</v>
      </c>
      <c r="AH28" s="69" t="n">
        <f aca="false">((SourceDetail!E38/1000000)/12*(1.02^3))*Inputs!AH148</f>
        <v>0.36318258708984</v>
      </c>
      <c r="AI28" s="69" t="n">
        <f aca="false">((SourceDetail!E38/1000000)/12*(1.02^3))*Inputs!AI148</f>
        <v>0.36318258708984</v>
      </c>
      <c r="AJ28" s="69" t="n">
        <f aca="false">((SourceDetail!E38/1000000)/12*(1.02^3))*Inputs!AJ148</f>
        <v>0.36318258708984</v>
      </c>
      <c r="AK28" s="69" t="n">
        <f aca="false">((SourceDetail!E38/1000000)/12*(1.02^3))*Inputs!AK148</f>
        <v>0.36318258708984</v>
      </c>
      <c r="AL28" s="69" t="n">
        <f aca="false">((SourceDetail!E38/1000000)/12*(1.02^3))*Inputs!AL148</f>
        <v>0.36318258708984</v>
      </c>
      <c r="AM28" s="69" t="n">
        <f aca="false">((SourceDetail!E38/1000000)/12*(1.02^3))*Inputs!AM148</f>
        <v>0.36318258708984</v>
      </c>
    </row>
    <row r="29" customFormat="false" ht="21" hidden="false" customHeight="true" outlineLevel="0" collapsed="false">
      <c r="C29" s="56" t="s">
        <v>293</v>
      </c>
      <c r="D29" s="69"/>
      <c r="E29" s="69"/>
      <c r="F29" s="69"/>
      <c r="G29" s="69"/>
      <c r="H29" s="69"/>
      <c r="I29" s="69"/>
      <c r="J29" s="69" t="n">
        <f aca="false">((SourceDetail!E40/1000000)/12*(1.02^1))*Inputs!J149</f>
        <v>0.6932374342</v>
      </c>
      <c r="K29" s="69" t="n">
        <f aca="false">((SourceDetail!E40/1000000)/12*(1.02^1))*Inputs!K149</f>
        <v>0.6932374342</v>
      </c>
      <c r="L29" s="69" t="n">
        <f aca="false">((SourceDetail!E40/1000000)/12*(1.02^1))*Inputs!L149</f>
        <v>0.6932374342</v>
      </c>
      <c r="M29" s="69" t="n">
        <f aca="false">((SourceDetail!E40/1000000)/12*(1.02^1))*Inputs!M149</f>
        <v>0.6932374342</v>
      </c>
      <c r="N29" s="69" t="n">
        <f aca="false">((SourceDetail!E40/1000000)/12*(1.02^1))*Inputs!N149</f>
        <v>0.6932374342</v>
      </c>
      <c r="O29" s="69" t="n">
        <f aca="false">((SourceDetail!E40/1000000)/12*(1.02^1))*Inputs!O149</f>
        <v>0.6932374342</v>
      </c>
      <c r="P29" s="69" t="n">
        <f aca="false">((SourceDetail!E40/1000000)/12*(1.02^2))*Inputs!P149</f>
        <v>0.707102182884</v>
      </c>
      <c r="Q29" s="69" t="n">
        <f aca="false">((SourceDetail!E40/1000000)/12*(1.02^2))*Inputs!Q149</f>
        <v>0.707102182884</v>
      </c>
      <c r="R29" s="69" t="n">
        <f aca="false">((SourceDetail!E40/1000000)/12*(1.02^2))*Inputs!R149</f>
        <v>0.707102182884</v>
      </c>
      <c r="S29" s="69" t="n">
        <f aca="false">((SourceDetail!E40/1000000)/12*(1.02^2))*Inputs!S149</f>
        <v>0.707102182884</v>
      </c>
      <c r="T29" s="69" t="n">
        <f aca="false">((SourceDetail!E40/1000000)/12*(1.02^2))*Inputs!T149</f>
        <v>0.707102182884</v>
      </c>
      <c r="U29" s="69" t="n">
        <f aca="false">((SourceDetail!E40/1000000)/12*(1.02^2))*Inputs!U149</f>
        <v>0.707102182884</v>
      </c>
      <c r="V29" s="69" t="n">
        <f aca="false">((SourceDetail!E40/1000000)/12*(1.02^2))*Inputs!V149</f>
        <v>0.707102182884</v>
      </c>
      <c r="W29" s="69" t="n">
        <f aca="false">((SourceDetail!E40/1000000)/12*(1.02^2))*Inputs!W149</f>
        <v>0.707102182884</v>
      </c>
      <c r="X29" s="69" t="n">
        <f aca="false">((SourceDetail!E40/1000000)/12*(1.02^2))*Inputs!X149</f>
        <v>0.707102182884</v>
      </c>
      <c r="Y29" s="69" t="n">
        <f aca="false">((SourceDetail!E40/1000000)/12*(1.02^2))*Inputs!Y149</f>
        <v>0.707102182884</v>
      </c>
      <c r="Z29" s="69" t="n">
        <f aca="false">((SourceDetail!E40/1000000)/12*(1.02^2))*Inputs!Z149</f>
        <v>0.707102182884</v>
      </c>
      <c r="AA29" s="69" t="n">
        <f aca="false">((SourceDetail!E40/1000000)/12*(1.02^2))*Inputs!AA149</f>
        <v>0.707102182884</v>
      </c>
      <c r="AB29" s="69" t="n">
        <f aca="false">((SourceDetail!E40/1000000)/12*(1.02^3))*Inputs!AB149</f>
        <v>0.72124422654168</v>
      </c>
      <c r="AC29" s="69" t="n">
        <f aca="false">((SourceDetail!E40/1000000)/12*(1.02^3))*Inputs!AC149</f>
        <v>0.72124422654168</v>
      </c>
      <c r="AD29" s="69" t="n">
        <f aca="false">((SourceDetail!E40/1000000)/12*(1.02^3))*Inputs!AD149</f>
        <v>0.72124422654168</v>
      </c>
      <c r="AE29" s="69" t="n">
        <f aca="false">((SourceDetail!E40/1000000)/12*(1.02^3))*Inputs!AE149</f>
        <v>0.72124422654168</v>
      </c>
      <c r="AF29" s="69" t="n">
        <f aca="false">((SourceDetail!E40/1000000)/12*(1.02^3))*Inputs!AF149</f>
        <v>0.72124422654168</v>
      </c>
      <c r="AG29" s="69" t="n">
        <f aca="false">((SourceDetail!E40/1000000)/12*(1.02^3))*Inputs!AG149</f>
        <v>0.72124422654168</v>
      </c>
      <c r="AH29" s="69" t="n">
        <f aca="false">((SourceDetail!E40/1000000)/12*(1.02^3))*Inputs!AH149</f>
        <v>0.72124422654168</v>
      </c>
      <c r="AI29" s="69" t="n">
        <f aca="false">((SourceDetail!E40/1000000)/12*(1.02^3))*Inputs!AI149</f>
        <v>0.72124422654168</v>
      </c>
      <c r="AJ29" s="69" t="n">
        <f aca="false">((SourceDetail!E40/1000000)/12*(1.02^3))*Inputs!AJ149</f>
        <v>0.72124422654168</v>
      </c>
      <c r="AK29" s="69" t="n">
        <f aca="false">((SourceDetail!E40/1000000)/12*(1.02^3))*Inputs!AK149</f>
        <v>0.72124422654168</v>
      </c>
      <c r="AL29" s="69" t="n">
        <f aca="false">((SourceDetail!E40/1000000)/12*(1.02^3))*Inputs!AL149</f>
        <v>0.72124422654168</v>
      </c>
      <c r="AM29" s="69" t="n">
        <f aca="false">((SourceDetail!E40/1000000)/12*(1.02^3))*Inputs!AM149</f>
        <v>0.72124422654168</v>
      </c>
    </row>
    <row r="30" customFormat="false" ht="21" hidden="false" customHeight="true" outlineLevel="0" collapsed="false">
      <c r="C30" s="56" t="s">
        <v>294</v>
      </c>
      <c r="D30" s="69"/>
      <c r="E30" s="69"/>
      <c r="F30" s="69"/>
      <c r="G30" s="69"/>
      <c r="H30" s="69"/>
      <c r="I30" s="69"/>
      <c r="J30" s="69" t="n">
        <f aca="false">((SourceDetail!E42/1000000)/12*(1.02^1))*Inputs!J150</f>
        <v>0.3771058915</v>
      </c>
      <c r="K30" s="69" t="n">
        <f aca="false">((SourceDetail!E42/1000000)/12*(1.02^1))*Inputs!K150</f>
        <v>0.3771058915</v>
      </c>
      <c r="L30" s="69" t="n">
        <f aca="false">((SourceDetail!E42/1000000)/12*(1.02^1))*Inputs!L150</f>
        <v>0.3771058915</v>
      </c>
      <c r="M30" s="69" t="n">
        <f aca="false">((SourceDetail!E42/1000000)/12*(1.02^1))*Inputs!M150</f>
        <v>0.3771058915</v>
      </c>
      <c r="N30" s="69" t="n">
        <f aca="false">((SourceDetail!E42/1000000)/12*(1.02^1))*Inputs!N150</f>
        <v>0.3771058915</v>
      </c>
      <c r="O30" s="69" t="n">
        <f aca="false">((SourceDetail!E42/1000000)/12*(1.02^1))*Inputs!O150</f>
        <v>0.3771058915</v>
      </c>
      <c r="P30" s="69" t="n">
        <f aca="false">((SourceDetail!E42/1000000)/12*(1.02^2))*Inputs!P150</f>
        <v>0.38464800933</v>
      </c>
      <c r="Q30" s="69" t="n">
        <f aca="false">((SourceDetail!E42/1000000)/12*(1.02^2))*Inputs!Q150</f>
        <v>0.38464800933</v>
      </c>
      <c r="R30" s="69" t="n">
        <f aca="false">((SourceDetail!E42/1000000)/12*(1.02^2))*Inputs!R150</f>
        <v>0.38464800933</v>
      </c>
      <c r="S30" s="69" t="n">
        <f aca="false">((SourceDetail!E42/1000000)/12*(1.02^2))*Inputs!S150</f>
        <v>0.38464800933</v>
      </c>
      <c r="T30" s="69" t="n">
        <f aca="false">((SourceDetail!E42/1000000)/12*(1.02^2))*Inputs!T150</f>
        <v>0.38464800933</v>
      </c>
      <c r="U30" s="69" t="n">
        <f aca="false">((SourceDetail!E42/1000000)/12*(1.02^2))*Inputs!U150</f>
        <v>0.38464800933</v>
      </c>
      <c r="V30" s="69" t="n">
        <f aca="false">((SourceDetail!E42/1000000)/12*(1.02^2))*Inputs!V150</f>
        <v>0.38464800933</v>
      </c>
      <c r="W30" s="69" t="n">
        <f aca="false">((SourceDetail!E42/1000000)/12*(1.02^2))*Inputs!W150</f>
        <v>0.38464800933</v>
      </c>
      <c r="X30" s="69" t="n">
        <f aca="false">((SourceDetail!E42/1000000)/12*(1.02^2))*Inputs!X150</f>
        <v>0.38464800933</v>
      </c>
      <c r="Y30" s="69" t="n">
        <f aca="false">((SourceDetail!E42/1000000)/12*(1.02^2))*Inputs!Y150</f>
        <v>0.38464800933</v>
      </c>
      <c r="Z30" s="69" t="n">
        <f aca="false">((SourceDetail!E42/1000000)/12*(1.02^2))*Inputs!Z150</f>
        <v>0.38464800933</v>
      </c>
      <c r="AA30" s="69" t="n">
        <f aca="false">((SourceDetail!E42/1000000)/12*(1.02^2))*Inputs!AA150</f>
        <v>0.38464800933</v>
      </c>
      <c r="AB30" s="69" t="n">
        <f aca="false">((SourceDetail!E42/1000000)/12*(1.02^3))*Inputs!AB150</f>
        <v>0.3923409695166</v>
      </c>
      <c r="AC30" s="69" t="n">
        <f aca="false">((SourceDetail!E42/1000000)/12*(1.02^3))*Inputs!AC150</f>
        <v>0.3923409695166</v>
      </c>
      <c r="AD30" s="69" t="n">
        <f aca="false">((SourceDetail!E42/1000000)/12*(1.02^3))*Inputs!AD150</f>
        <v>0.3923409695166</v>
      </c>
      <c r="AE30" s="69" t="n">
        <f aca="false">((SourceDetail!E42/1000000)/12*(1.02^3))*Inputs!AE150</f>
        <v>0.3923409695166</v>
      </c>
      <c r="AF30" s="69" t="n">
        <f aca="false">((SourceDetail!E42/1000000)/12*(1.02^3))*Inputs!AF150</f>
        <v>0.3923409695166</v>
      </c>
      <c r="AG30" s="69" t="n">
        <f aca="false">((SourceDetail!E42/1000000)/12*(1.02^3))*Inputs!AG150</f>
        <v>0.3923409695166</v>
      </c>
      <c r="AH30" s="69" t="n">
        <f aca="false">((SourceDetail!E42/1000000)/12*(1.02^3))*Inputs!AH150</f>
        <v>0.3923409695166</v>
      </c>
      <c r="AI30" s="69" t="n">
        <f aca="false">((SourceDetail!E42/1000000)/12*(1.02^3))*Inputs!AI150</f>
        <v>0.3923409695166</v>
      </c>
      <c r="AJ30" s="69" t="n">
        <f aca="false">((SourceDetail!E42/1000000)/12*(1.02^3))*Inputs!AJ150</f>
        <v>0.3923409695166</v>
      </c>
      <c r="AK30" s="69" t="n">
        <f aca="false">((SourceDetail!E42/1000000)/12*(1.02^3))*Inputs!AK150</f>
        <v>0.3923409695166</v>
      </c>
      <c r="AL30" s="69" t="n">
        <f aca="false">((SourceDetail!E42/1000000)/12*(1.02^3))*Inputs!AL150</f>
        <v>0.3923409695166</v>
      </c>
      <c r="AM30" s="69" t="n">
        <f aca="false">((SourceDetail!E42/1000000)/12*(1.02^3))*Inputs!AM150</f>
        <v>0.3923409695166</v>
      </c>
    </row>
    <row r="31" customFormat="false" ht="21" hidden="false" customHeight="true" outlineLevel="0" collapsed="false">
      <c r="C31" s="60" t="s">
        <v>295</v>
      </c>
      <c r="D31" s="70"/>
      <c r="E31" s="70"/>
      <c r="F31" s="70"/>
      <c r="G31" s="70"/>
      <c r="H31" s="70"/>
      <c r="I31" s="70"/>
      <c r="J31" s="70" t="n">
        <f aca="false">J21+J22+J23+J24+J25+J26+J27+J28+J29+J30</f>
        <v>60.1368224558422</v>
      </c>
      <c r="K31" s="70" t="n">
        <f aca="false">K21+K22+K23+K24+K25+K26+K27+K28+K29+K30</f>
        <v>60.2064883693301</v>
      </c>
      <c r="L31" s="70" t="n">
        <f aca="false">L21+L22+L23+L24+L25+L26+L27+L28+L29+L30</f>
        <v>60.2761542828179</v>
      </c>
      <c r="M31" s="70" t="n">
        <f aca="false">M21+M22+M23+M24+M25+M26+M27+M28+M29+M30</f>
        <v>60.3458201963058</v>
      </c>
      <c r="N31" s="70" t="n">
        <f aca="false">N21+N22+N23+N24+N25+N26+N27+N28+N29+N30</f>
        <v>60.4154861097937</v>
      </c>
      <c r="O31" s="70" t="n">
        <f aca="false">O21+O22+O23+O24+O25+O26+O27+O28+O29+O30</f>
        <v>60.4851520232815</v>
      </c>
      <c r="P31" s="70" t="n">
        <f aca="false">P21+P22+P23+P24+P25+P26+P27+P28+P29+P30</f>
        <v>61.7674880181261</v>
      </c>
      <c r="Q31" s="70" t="n">
        <f aca="false">Q21+Q22+Q23+Q24+Q25+Q26+Q27+Q28+Q29+Q30</f>
        <v>61.8406372272884</v>
      </c>
      <c r="R31" s="70" t="n">
        <f aca="false">R21+R22+R23+R24+R25+R26+R27+R28+R29+R30</f>
        <v>61.9137864364507</v>
      </c>
      <c r="S31" s="70" t="n">
        <f aca="false">S21+S22+S23+S24+S25+S26+S27+S28+S29+S30</f>
        <v>61.9869356456129</v>
      </c>
      <c r="T31" s="70" t="n">
        <f aca="false">T21+T22+T23+T24+T25+T26+T27+T28+T29+T30</f>
        <v>62.0600848547752</v>
      </c>
      <c r="U31" s="70" t="n">
        <f aca="false">U21+U22+U23+U24+U25+U26+U27+U28+U29+U30</f>
        <v>62.1332340639374</v>
      </c>
      <c r="V31" s="70" t="n">
        <f aca="false">V21+V22+V23+V24+V25+V26+V27+V28+V29+V30</f>
        <v>62.2063832730997</v>
      </c>
      <c r="W31" s="70" t="n">
        <f aca="false">W21+W22+W23+W24+W25+W26+W27+W28+W29+W30</f>
        <v>62.279532482262</v>
      </c>
      <c r="X31" s="70" t="n">
        <f aca="false">X21+X22+X23+X24+X25+X26+X27+X28+X29+X30</f>
        <v>61.9423851834339</v>
      </c>
      <c r="Y31" s="70" t="n">
        <f aca="false">Y21+Y22+Y23+Y24+Y25+Y26+Y27+Y28+Y29+Y30</f>
        <v>62.01015958132</v>
      </c>
      <c r="Z31" s="70" t="n">
        <f aca="false">Z21+Z22+Z23+Z24+Z25+Z26+Z27+Z28+Z29+Z30</f>
        <v>62.0833087904823</v>
      </c>
      <c r="AA31" s="70" t="n">
        <f aca="false">AA21+AA22+AA23+AA24+AA25+AA26+AA27+AA28+AA29+AA30</f>
        <v>62.1564579996445</v>
      </c>
      <c r="AB31" s="70" t="n">
        <f aca="false">AB21+AB22+AB23+AB24+AB25+AB26+AB27+AB28+AB29+AB30</f>
        <v>63.477573486352</v>
      </c>
      <c r="AC31" s="70" t="n">
        <f aca="false">AC21+AC22+AC23+AC24+AC25+AC26+AC27+AC28+AC29+AC30</f>
        <v>63.5543801559724</v>
      </c>
      <c r="AD31" s="70" t="n">
        <f aca="false">AD21+AD22+AD23+AD24+AD25+AD26+AD27+AD28+AD29+AD30</f>
        <v>63.6311868255927</v>
      </c>
      <c r="AE31" s="70" t="n">
        <f aca="false">AE21+AE22+AE23+AE24+AE25+AE26+AE27+AE28+AE29+AE30</f>
        <v>63.7079934952131</v>
      </c>
      <c r="AF31" s="70" t="n">
        <f aca="false">AF21+AF22+AF23+AF24+AF25+AF26+AF27+AF28+AF29+AF30</f>
        <v>63.7848001648335</v>
      </c>
      <c r="AG31" s="70" t="n">
        <f aca="false">AG21+AG22+AG23+AG24+AG25+AG26+AG27+AG28+AG29+AG30</f>
        <v>63.8616068344538</v>
      </c>
      <c r="AH31" s="70" t="n">
        <f aca="false">AH21+AH22+AH23+AH24+AH25+AH26+AH27+AH28+AH29+AH30</f>
        <v>63.9384135040742</v>
      </c>
      <c r="AI31" s="70" t="n">
        <f aca="false">AI21+AI22+AI23+AI24+AI25+AI26+AI27+AI28+AI29+AI30</f>
        <v>64.0152201736946</v>
      </c>
      <c r="AJ31" s="70" t="n">
        <f aca="false">AJ21+AJ22+AJ23+AJ24+AJ25+AJ26+AJ27+AJ28+AJ29+AJ30</f>
        <v>64.092026843315</v>
      </c>
      <c r="AK31" s="70" t="n">
        <f aca="false">AK21+AK22+AK23+AK24+AK25+AK26+AK27+AK28+AK29+AK30</f>
        <v>64.1688335129353</v>
      </c>
      <c r="AL31" s="70" t="n">
        <f aca="false">AL21+AL22+AL23+AL24+AL25+AL26+AL27+AL28+AL29+AL30</f>
        <v>64.2456401825557</v>
      </c>
      <c r="AM31" s="70" t="n">
        <f aca="false">AM21+AM22+AM23+AM24+AM25+AM26+AM27+AM28+AM29+AM30</f>
        <v>64.3224468521761</v>
      </c>
    </row>
    <row r="32" customFormat="false" ht="21" hidden="false" customHeight="true" outlineLevel="0" collapsed="false">
      <c r="C32" s="56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</row>
    <row r="33" customFormat="false" ht="21" hidden="false" customHeight="true" outlineLevel="0" collapsed="false">
      <c r="C33" s="56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</row>
    <row r="34" customFormat="false" ht="25" hidden="false" customHeight="true" outlineLevel="0" collapsed="false">
      <c r="C34" s="63" t="s">
        <v>296</v>
      </c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</row>
    <row r="35" customFormat="false" ht="21" hidden="false" customHeight="true" outlineLevel="0" collapsed="false">
      <c r="C35" s="56" t="s">
        <v>297</v>
      </c>
      <c r="D35" s="69"/>
      <c r="E35" s="69"/>
      <c r="F35" s="69"/>
      <c r="G35" s="69"/>
      <c r="H35" s="69"/>
      <c r="I35" s="69"/>
      <c r="J35" s="69" t="n">
        <f aca="false">Payroll!J40</f>
        <v>33.0999658107667</v>
      </c>
      <c r="K35" s="69" t="n">
        <f aca="false">Payroll!K40</f>
        <v>33.0999658107667</v>
      </c>
      <c r="L35" s="69" t="n">
        <f aca="false">Payroll!L40</f>
        <v>33.0999658107667</v>
      </c>
      <c r="M35" s="69" t="n">
        <f aca="false">Payroll!M40</f>
        <v>33.0999658107667</v>
      </c>
      <c r="N35" s="69" t="n">
        <f aca="false">Payroll!N40</f>
        <v>33.0999658107667</v>
      </c>
      <c r="O35" s="69" t="n">
        <f aca="false">Payroll!O40</f>
        <v>33.0999658107667</v>
      </c>
      <c r="P35" s="69" t="n">
        <f aca="false">Payroll!P40</f>
        <v>34.0929647850897</v>
      </c>
      <c r="Q35" s="69" t="n">
        <f aca="false">Payroll!Q40</f>
        <v>34.0929647850897</v>
      </c>
      <c r="R35" s="69" t="n">
        <f aca="false">Payroll!R40</f>
        <v>34.0929647850897</v>
      </c>
      <c r="S35" s="69" t="n">
        <f aca="false">Payroll!S40</f>
        <v>34.0929647850897</v>
      </c>
      <c r="T35" s="69" t="n">
        <f aca="false">Payroll!T40</f>
        <v>34.0929647850897</v>
      </c>
      <c r="U35" s="69" t="n">
        <f aca="false">Payroll!U40</f>
        <v>34.0929647850897</v>
      </c>
      <c r="V35" s="69" t="n">
        <f aca="false">Payroll!V40</f>
        <v>34.0929647850897</v>
      </c>
      <c r="W35" s="69" t="n">
        <f aca="false">Payroll!W40</f>
        <v>34.0929647850897</v>
      </c>
      <c r="X35" s="69" t="n">
        <f aca="false">Payroll!X40</f>
        <v>34.0929647850897</v>
      </c>
      <c r="Y35" s="69" t="n">
        <f aca="false">Payroll!Y40</f>
        <v>34.0929647850897</v>
      </c>
      <c r="Z35" s="69" t="n">
        <f aca="false">Payroll!Z40</f>
        <v>34.0929647850897</v>
      </c>
      <c r="AA35" s="69" t="n">
        <f aca="false">Payroll!AA40</f>
        <v>34.0929647850897</v>
      </c>
      <c r="AB35" s="69" t="n">
        <f aca="false">Payroll!AB40</f>
        <v>35.1157537286424</v>
      </c>
      <c r="AC35" s="69" t="n">
        <f aca="false">Payroll!AC40</f>
        <v>35.1157537286424</v>
      </c>
      <c r="AD35" s="69" t="n">
        <f aca="false">Payroll!AD40</f>
        <v>35.1157537286424</v>
      </c>
      <c r="AE35" s="69" t="n">
        <f aca="false">Payroll!AE40</f>
        <v>35.1157537286424</v>
      </c>
      <c r="AF35" s="69" t="n">
        <f aca="false">Payroll!AF40</f>
        <v>35.1157537286424</v>
      </c>
      <c r="AG35" s="69" t="n">
        <f aca="false">Payroll!AG40</f>
        <v>35.1157537286424</v>
      </c>
      <c r="AH35" s="69" t="n">
        <f aca="false">Payroll!AH40</f>
        <v>35.1157537286424</v>
      </c>
      <c r="AI35" s="69" t="n">
        <f aca="false">Payroll!AI40</f>
        <v>35.1157537286424</v>
      </c>
      <c r="AJ35" s="69" t="n">
        <f aca="false">Payroll!AJ40</f>
        <v>35.1157537286424</v>
      </c>
      <c r="AK35" s="69" t="n">
        <f aca="false">Payroll!AK40</f>
        <v>35.1157537286424</v>
      </c>
      <c r="AL35" s="69" t="n">
        <f aca="false">Payroll!AL40</f>
        <v>35.1157537286424</v>
      </c>
      <c r="AM35" s="69" t="n">
        <f aca="false">Payroll!AM40</f>
        <v>35.1157537286424</v>
      </c>
    </row>
    <row r="36" customFormat="false" ht="21" hidden="false" customHeight="true" outlineLevel="0" collapsed="false">
      <c r="C36" s="56" t="s">
        <v>298</v>
      </c>
      <c r="D36" s="69"/>
      <c r="E36" s="69"/>
      <c r="F36" s="69"/>
      <c r="G36" s="69"/>
      <c r="H36" s="69"/>
      <c r="I36" s="69"/>
      <c r="J36" s="69" t="n">
        <f aca="false">(Revenue!J40*(SourceDetail!E48/1000000)/SourceHistory!F9)*Inputs!J156</f>
        <v>15.6356205192953</v>
      </c>
      <c r="K36" s="69" t="n">
        <f aca="false">(Revenue!K40*(SourceDetail!E48/1000000)/SourceHistory!F9)*Inputs!K156</f>
        <v>15.6356205192953</v>
      </c>
      <c r="L36" s="69" t="n">
        <f aca="false">(Revenue!L40*(SourceDetail!E48/1000000)/SourceHistory!F9)*Inputs!L156</f>
        <v>15.6356205192953</v>
      </c>
      <c r="M36" s="69" t="n">
        <f aca="false">(Revenue!M40*(SourceDetail!E48/1000000)/SourceHistory!F9)*Inputs!M156</f>
        <v>15.6356205192953</v>
      </c>
      <c r="N36" s="69" t="n">
        <f aca="false">(Revenue!N40*(SourceDetail!E48/1000000)/SourceHistory!F9)*Inputs!N156</f>
        <v>15.6356205192953</v>
      </c>
      <c r="O36" s="69" t="n">
        <f aca="false">(Revenue!O40*(SourceDetail!E48/1000000)/SourceHistory!F9)*Inputs!O156</f>
        <v>15.6356205192953</v>
      </c>
      <c r="P36" s="69" t="n">
        <f aca="false">(Revenue!P40*(SourceDetail!E48/1000000)/SourceHistory!F9)*Inputs!P156</f>
        <v>16.6992763876123</v>
      </c>
      <c r="Q36" s="69" t="n">
        <f aca="false">(Revenue!Q40*(SourceDetail!E48/1000000)/SourceHistory!F9)*Inputs!Q156</f>
        <v>16.6992763876123</v>
      </c>
      <c r="R36" s="69" t="n">
        <f aca="false">(Revenue!R40*(SourceDetail!E48/1000000)/SourceHistory!F9)*Inputs!R156</f>
        <v>16.6992763876123</v>
      </c>
      <c r="S36" s="69" t="n">
        <f aca="false">(Revenue!S40*(SourceDetail!E48/1000000)/SourceHistory!F9)*Inputs!S156</f>
        <v>16.6992763876123</v>
      </c>
      <c r="T36" s="69" t="n">
        <f aca="false">(Revenue!T40*(SourceDetail!E48/1000000)/SourceHistory!F9)*Inputs!T156</f>
        <v>16.6992763876123</v>
      </c>
      <c r="U36" s="69" t="n">
        <f aca="false">(Revenue!U40*(SourceDetail!E48/1000000)/SourceHistory!F9)*Inputs!U156</f>
        <v>16.6992763876123</v>
      </c>
      <c r="V36" s="69" t="n">
        <f aca="false">(Revenue!V40*(SourceDetail!E48/1000000)/SourceHistory!F9)*Inputs!V156</f>
        <v>16.2029196009596</v>
      </c>
      <c r="W36" s="69" t="n">
        <f aca="false">(Revenue!W40*(SourceDetail!E48/1000000)/SourceHistory!F9)*Inputs!W156</f>
        <v>16.2029196009596</v>
      </c>
      <c r="X36" s="69" t="n">
        <f aca="false">(Revenue!X40*(SourceDetail!E48/1000000)/SourceHistory!F9)*Inputs!X156</f>
        <v>16.2029196009596</v>
      </c>
      <c r="Y36" s="69" t="n">
        <f aca="false">(Revenue!Y40*(SourceDetail!E48/1000000)/SourceHistory!F9)*Inputs!Y156</f>
        <v>16.2029196009596</v>
      </c>
      <c r="Z36" s="69" t="n">
        <f aca="false">(Revenue!Z40*(SourceDetail!E48/1000000)/SourceHistory!F9)*Inputs!Z156</f>
        <v>16.2029196009596</v>
      </c>
      <c r="AA36" s="69" t="n">
        <f aca="false">(Revenue!AA40*(SourceDetail!E48/1000000)/SourceHistory!F9)*Inputs!AA156</f>
        <v>16.2029196009596</v>
      </c>
      <c r="AB36" s="69" t="n">
        <f aca="false">(Revenue!AB40*(SourceDetail!E48/1000000)/SourceHistory!F9)*Inputs!AB156</f>
        <v>17.3035163889311</v>
      </c>
      <c r="AC36" s="69" t="n">
        <f aca="false">(Revenue!AC40*(SourceDetail!E48/1000000)/SourceHistory!F9)*Inputs!AC156</f>
        <v>17.3035163889311</v>
      </c>
      <c r="AD36" s="69" t="n">
        <f aca="false">(Revenue!AD40*(SourceDetail!E48/1000000)/SourceHistory!F9)*Inputs!AD156</f>
        <v>17.3035163889311</v>
      </c>
      <c r="AE36" s="69" t="n">
        <f aca="false">(Revenue!AE40*(SourceDetail!E48/1000000)/SourceHistory!F9)*Inputs!AE156</f>
        <v>17.3035163889311</v>
      </c>
      <c r="AF36" s="69" t="n">
        <f aca="false">(Revenue!AF40*(SourceDetail!E48/1000000)/SourceHistory!F9)*Inputs!AF156</f>
        <v>17.3035163889311</v>
      </c>
      <c r="AG36" s="69" t="n">
        <f aca="false">(Revenue!AG40*(SourceDetail!E48/1000000)/SourceHistory!F9)*Inputs!AG156</f>
        <v>17.3035163889311</v>
      </c>
      <c r="AH36" s="69" t="n">
        <f aca="false">(Revenue!AH40*(SourceDetail!E48/1000000)/SourceHistory!F9)*Inputs!AH156</f>
        <v>16.7999355364453</v>
      </c>
      <c r="AI36" s="69" t="n">
        <f aca="false">(Revenue!AI40*(SourceDetail!E48/1000000)/SourceHistory!F9)*Inputs!AI156</f>
        <v>16.7999355364453</v>
      </c>
      <c r="AJ36" s="69" t="n">
        <f aca="false">(Revenue!AJ40*(SourceDetail!E48/1000000)/SourceHistory!F9)*Inputs!AJ156</f>
        <v>16.7999355364453</v>
      </c>
      <c r="AK36" s="69" t="n">
        <f aca="false">(Revenue!AK40*(SourceDetail!E48/1000000)/SourceHistory!F9)*Inputs!AK156</f>
        <v>16.7999355364453</v>
      </c>
      <c r="AL36" s="69" t="n">
        <f aca="false">(Revenue!AL40*(SourceDetail!E48/1000000)/SourceHistory!F9)*Inputs!AL156</f>
        <v>16.7999355364453</v>
      </c>
      <c r="AM36" s="69" t="n">
        <f aca="false">(Revenue!AM40*(SourceDetail!E48/1000000)/SourceHistory!F9)*Inputs!AM156</f>
        <v>16.7999355364453</v>
      </c>
    </row>
    <row r="37" customFormat="false" ht="21" hidden="false" customHeight="true" outlineLevel="0" collapsed="false">
      <c r="C37" s="56" t="s">
        <v>299</v>
      </c>
      <c r="D37" s="69"/>
      <c r="E37" s="69"/>
      <c r="F37" s="69"/>
      <c r="G37" s="69"/>
      <c r="H37" s="69"/>
      <c r="I37" s="69"/>
      <c r="J37" s="69" t="n">
        <f aca="false">Assets!J100*SourceAnalysis!D27</f>
        <v>1.20581899311326</v>
      </c>
      <c r="K37" s="69" t="n">
        <f aca="false">Assets!K100*SourceAnalysis!D27</f>
        <v>1.21547109222289</v>
      </c>
      <c r="L37" s="69" t="n">
        <f aca="false">Assets!L100*SourceAnalysis!D27</f>
        <v>1.22512319133251</v>
      </c>
      <c r="M37" s="69" t="n">
        <f aca="false">Assets!M100*SourceAnalysis!D27</f>
        <v>1.23477529044214</v>
      </c>
      <c r="N37" s="69" t="n">
        <f aca="false">Assets!N100*SourceAnalysis!D27</f>
        <v>1.24442738955177</v>
      </c>
      <c r="O37" s="69" t="n">
        <f aca="false">Assets!O100*SourceAnalysis!D27</f>
        <v>1.2540794886614</v>
      </c>
      <c r="P37" s="69" t="n">
        <f aca="false">Assets!P100*SourceAnalysis!D27</f>
        <v>1.26373158777103</v>
      </c>
      <c r="Q37" s="69" t="n">
        <f aca="false">Assets!Q100*SourceAnalysis!D27</f>
        <v>1.27386629183613</v>
      </c>
      <c r="R37" s="69" t="n">
        <f aca="false">Assets!R100*SourceAnalysis!D27</f>
        <v>1.28400099590124</v>
      </c>
      <c r="S37" s="69" t="n">
        <f aca="false">Assets!S100*SourceAnalysis!D27</f>
        <v>1.29413569996635</v>
      </c>
      <c r="T37" s="69" t="n">
        <f aca="false">Assets!T100*SourceAnalysis!D27</f>
        <v>1.30427040403146</v>
      </c>
      <c r="U37" s="69" t="n">
        <f aca="false">Assets!U100*SourceAnalysis!D27</f>
        <v>1.31440510809657</v>
      </c>
      <c r="V37" s="69" t="n">
        <f aca="false">Assets!V100*SourceAnalysis!D27</f>
        <v>1.32453981216168</v>
      </c>
      <c r="W37" s="69" t="n">
        <f aca="false">Assets!W100*SourceAnalysis!D27</f>
        <v>1.33467451622679</v>
      </c>
      <c r="X37" s="69" t="n">
        <f aca="false">Assets!X100*SourceAnalysis!D27</f>
        <v>1.28796330582403</v>
      </c>
      <c r="Y37" s="69" t="n">
        <f aca="false">Assets!Y100*SourceAnalysis!D27</f>
        <v>1.29735333852067</v>
      </c>
      <c r="Z37" s="69" t="n">
        <f aca="false">Assets!Z100*SourceAnalysis!D27</f>
        <v>1.30748804258578</v>
      </c>
      <c r="AA37" s="69" t="n">
        <f aca="false">Assets!AA100*SourceAnalysis!D27</f>
        <v>1.31762274665089</v>
      </c>
      <c r="AB37" s="69" t="n">
        <f aca="false">Assets!AB100*SourceAnalysis!D27</f>
        <v>1.327757450716</v>
      </c>
      <c r="AC37" s="69" t="n">
        <f aca="false">Assets!AC100*SourceAnalysis!D27</f>
        <v>1.33839888998437</v>
      </c>
      <c r="AD37" s="69" t="n">
        <f aca="false">Assets!AD100*SourceAnalysis!D27</f>
        <v>1.34904032925273</v>
      </c>
      <c r="AE37" s="69" t="n">
        <f aca="false">Assets!AE100*SourceAnalysis!D27</f>
        <v>1.3596817685211</v>
      </c>
      <c r="AF37" s="69" t="n">
        <f aca="false">Assets!AF100*SourceAnalysis!D27</f>
        <v>1.37032320778946</v>
      </c>
      <c r="AG37" s="69" t="n">
        <f aca="false">Assets!AG100*SourceAnalysis!D27</f>
        <v>1.38096464705783</v>
      </c>
      <c r="AH37" s="69" t="n">
        <f aca="false">Assets!AH100*SourceAnalysis!D27</f>
        <v>1.39160608632619</v>
      </c>
      <c r="AI37" s="69" t="n">
        <f aca="false">Assets!AI100*SourceAnalysis!D27</f>
        <v>1.40224752559456</v>
      </c>
      <c r="AJ37" s="69" t="n">
        <f aca="false">Assets!AJ100*SourceAnalysis!D27</f>
        <v>1.41288896486292</v>
      </c>
      <c r="AK37" s="69" t="n">
        <f aca="false">Assets!AK100*SourceAnalysis!D27</f>
        <v>1.42353040413129</v>
      </c>
      <c r="AL37" s="69" t="n">
        <f aca="false">Assets!AL100*SourceAnalysis!D27</f>
        <v>1.43417184339965</v>
      </c>
      <c r="AM37" s="69" t="n">
        <f aca="false">Assets!AM100*SourceAnalysis!D27</f>
        <v>1.44481328266802</v>
      </c>
    </row>
    <row r="38" customFormat="false" ht="21" hidden="false" customHeight="true" outlineLevel="0" collapsed="false">
      <c r="C38" s="56" t="s">
        <v>300</v>
      </c>
      <c r="D38" s="69"/>
      <c r="E38" s="69"/>
      <c r="F38" s="69"/>
      <c r="G38" s="69"/>
      <c r="H38" s="69"/>
      <c r="I38" s="69"/>
      <c r="J38" s="69" t="n">
        <f aca="false">((SourceDetail!E52/1000000)/12*(1.02^1))*Inputs!J158</f>
        <v>4.9699059377</v>
      </c>
      <c r="K38" s="69" t="n">
        <f aca="false">((SourceDetail!E52/1000000)/12*(1.02^1))*Inputs!K158</f>
        <v>4.9699059377</v>
      </c>
      <c r="L38" s="69" t="n">
        <f aca="false">((SourceDetail!E52/1000000)/12*(1.02^1))*Inputs!L158</f>
        <v>4.9699059377</v>
      </c>
      <c r="M38" s="69" t="n">
        <f aca="false">((SourceDetail!E52/1000000)/12*(1.02^1))*Inputs!M158</f>
        <v>4.9699059377</v>
      </c>
      <c r="N38" s="69" t="n">
        <f aca="false">((SourceDetail!E52/1000000)/12*(1.02^1))*Inputs!N158</f>
        <v>4.9699059377</v>
      </c>
      <c r="O38" s="69" t="n">
        <f aca="false">((SourceDetail!E52/1000000)/12*(1.02^1))*Inputs!O158</f>
        <v>4.9699059377</v>
      </c>
      <c r="P38" s="69" t="n">
        <f aca="false">((SourceDetail!E52/1000000)/12*(1.02^2))*Inputs!P158</f>
        <v>5.069304056454</v>
      </c>
      <c r="Q38" s="69" t="n">
        <f aca="false">((SourceDetail!E52/1000000)/12*(1.02^2))*Inputs!Q158</f>
        <v>5.069304056454</v>
      </c>
      <c r="R38" s="69" t="n">
        <f aca="false">((SourceDetail!E52/1000000)/12*(1.02^2))*Inputs!R158</f>
        <v>5.069304056454</v>
      </c>
      <c r="S38" s="69" t="n">
        <f aca="false">((SourceDetail!E52/1000000)/12*(1.02^2))*Inputs!S158</f>
        <v>5.069304056454</v>
      </c>
      <c r="T38" s="69" t="n">
        <f aca="false">((SourceDetail!E52/1000000)/12*(1.02^2))*Inputs!T158</f>
        <v>5.069304056454</v>
      </c>
      <c r="U38" s="69" t="n">
        <f aca="false">((SourceDetail!E52/1000000)/12*(1.02^2))*Inputs!U158</f>
        <v>5.069304056454</v>
      </c>
      <c r="V38" s="69" t="n">
        <f aca="false">((SourceDetail!E52/1000000)/12*(1.02^2))*Inputs!V158</f>
        <v>5.069304056454</v>
      </c>
      <c r="W38" s="69" t="n">
        <f aca="false">((SourceDetail!E52/1000000)/12*(1.02^2))*Inputs!W158</f>
        <v>5.069304056454</v>
      </c>
      <c r="X38" s="69" t="n">
        <f aca="false">((SourceDetail!E52/1000000)/12*(1.02^2))*Inputs!X158</f>
        <v>5.069304056454</v>
      </c>
      <c r="Y38" s="69" t="n">
        <f aca="false">((SourceDetail!E52/1000000)/12*(1.02^2))*Inputs!Y158</f>
        <v>5.069304056454</v>
      </c>
      <c r="Z38" s="69" t="n">
        <f aca="false">((SourceDetail!E52/1000000)/12*(1.02^2))*Inputs!Z158</f>
        <v>5.069304056454</v>
      </c>
      <c r="AA38" s="69" t="n">
        <f aca="false">((SourceDetail!E52/1000000)/12*(1.02^2))*Inputs!AA158</f>
        <v>5.069304056454</v>
      </c>
      <c r="AB38" s="69" t="n">
        <f aca="false">((SourceDetail!E52/1000000)/12*(1.02^3))*Inputs!AB158</f>
        <v>5.17069013758308</v>
      </c>
      <c r="AC38" s="69" t="n">
        <f aca="false">((SourceDetail!E52/1000000)/12*(1.02^3))*Inputs!AC158</f>
        <v>5.17069013758308</v>
      </c>
      <c r="AD38" s="69" t="n">
        <f aca="false">((SourceDetail!E52/1000000)/12*(1.02^3))*Inputs!AD158</f>
        <v>5.17069013758308</v>
      </c>
      <c r="AE38" s="69" t="n">
        <f aca="false">((SourceDetail!E52/1000000)/12*(1.02^3))*Inputs!AE158</f>
        <v>5.17069013758308</v>
      </c>
      <c r="AF38" s="69" t="n">
        <f aca="false">((SourceDetail!E52/1000000)/12*(1.02^3))*Inputs!AF158</f>
        <v>5.17069013758308</v>
      </c>
      <c r="AG38" s="69" t="n">
        <f aca="false">((SourceDetail!E52/1000000)/12*(1.02^3))*Inputs!AG158</f>
        <v>5.17069013758308</v>
      </c>
      <c r="AH38" s="69" t="n">
        <f aca="false">((SourceDetail!E52/1000000)/12*(1.02^3))*Inputs!AH158</f>
        <v>5.17069013758308</v>
      </c>
      <c r="AI38" s="69" t="n">
        <f aca="false">((SourceDetail!E52/1000000)/12*(1.02^3))*Inputs!AI158</f>
        <v>5.17069013758308</v>
      </c>
      <c r="AJ38" s="69" t="n">
        <f aca="false">((SourceDetail!E52/1000000)/12*(1.02^3))*Inputs!AJ158</f>
        <v>5.17069013758308</v>
      </c>
      <c r="AK38" s="69" t="n">
        <f aca="false">((SourceDetail!E52/1000000)/12*(1.02^3))*Inputs!AK158</f>
        <v>5.17069013758308</v>
      </c>
      <c r="AL38" s="69" t="n">
        <f aca="false">((SourceDetail!E52/1000000)/12*(1.02^3))*Inputs!AL158</f>
        <v>5.17069013758308</v>
      </c>
      <c r="AM38" s="69" t="n">
        <f aca="false">((SourceDetail!E52/1000000)/12*(1.02^3))*Inputs!AM158</f>
        <v>5.17069013758308</v>
      </c>
    </row>
    <row r="39" customFormat="false" ht="21" hidden="false" customHeight="true" outlineLevel="0" collapsed="false">
      <c r="C39" s="60" t="s">
        <v>301</v>
      </c>
      <c r="D39" s="70"/>
      <c r="E39" s="70"/>
      <c r="F39" s="70"/>
      <c r="G39" s="70"/>
      <c r="H39" s="70"/>
      <c r="I39" s="70"/>
      <c r="J39" s="70" t="n">
        <f aca="false">J35+J36+J37+J38</f>
        <v>54.9113112608752</v>
      </c>
      <c r="K39" s="70" t="n">
        <f aca="false">K35+K36+K37+K38</f>
        <v>54.9209633599849</v>
      </c>
      <c r="L39" s="70" t="n">
        <f aca="false">L35+L36+L37+L38</f>
        <v>54.9306154590945</v>
      </c>
      <c r="M39" s="70" t="n">
        <f aca="false">M35+M36+M37+M38</f>
        <v>54.9402675582041</v>
      </c>
      <c r="N39" s="70" t="n">
        <f aca="false">N35+N36+N37+N38</f>
        <v>54.9499196573138</v>
      </c>
      <c r="O39" s="70" t="n">
        <f aca="false">O35+O36+O37+O38</f>
        <v>54.9595717564234</v>
      </c>
      <c r="P39" s="70" t="n">
        <f aca="false">P35+P36+P37+P38</f>
        <v>57.125276816927</v>
      </c>
      <c r="Q39" s="70" t="n">
        <f aca="false">Q35+Q36+Q37+Q38</f>
        <v>57.1354115209921</v>
      </c>
      <c r="R39" s="70" t="n">
        <f aca="false">R35+R36+R37+R38</f>
        <v>57.1455462250572</v>
      </c>
      <c r="S39" s="70" t="n">
        <f aca="false">S35+S36+S37+S38</f>
        <v>57.1556809291224</v>
      </c>
      <c r="T39" s="70" t="n">
        <f aca="false">T35+T36+T37+T38</f>
        <v>57.1658156331875</v>
      </c>
      <c r="U39" s="70" t="n">
        <f aca="false">U35+U36+U37+U38</f>
        <v>57.1759503372526</v>
      </c>
      <c r="V39" s="70" t="n">
        <f aca="false">V35+V36+V37+V38</f>
        <v>56.6897282546649</v>
      </c>
      <c r="W39" s="70" t="n">
        <f aca="false">W35+W36+W37+W38</f>
        <v>56.69986295873</v>
      </c>
      <c r="X39" s="70" t="n">
        <f aca="false">X35+X36+X37+X38</f>
        <v>56.6531517483273</v>
      </c>
      <c r="Y39" s="70" t="n">
        <f aca="false">Y35+Y36+Y37+Y38</f>
        <v>56.6625417810239</v>
      </c>
      <c r="Z39" s="70" t="n">
        <f aca="false">Z35+Z36+Z37+Z38</f>
        <v>56.672676485089</v>
      </c>
      <c r="AA39" s="70" t="n">
        <f aca="false">AA35+AA36+AA37+AA38</f>
        <v>56.6828111891541</v>
      </c>
      <c r="AB39" s="70" t="n">
        <f aca="false">AB35+AB36+AB37+AB38</f>
        <v>58.9177177058726</v>
      </c>
      <c r="AC39" s="70" t="n">
        <f aca="false">AC35+AC36+AC37+AC38</f>
        <v>58.9283591451409</v>
      </c>
      <c r="AD39" s="70" t="n">
        <f aca="false">AD35+AD36+AD37+AD38</f>
        <v>58.9390005844093</v>
      </c>
      <c r="AE39" s="70" t="n">
        <f aca="false">AE35+AE36+AE37+AE38</f>
        <v>58.9496420236777</v>
      </c>
      <c r="AF39" s="70" t="n">
        <f aca="false">AF35+AF36+AF37+AF38</f>
        <v>58.960283462946</v>
      </c>
      <c r="AG39" s="70" t="n">
        <f aca="false">AG35+AG36+AG37+AG38</f>
        <v>58.9709249022144</v>
      </c>
      <c r="AH39" s="70" t="n">
        <f aca="false">AH35+AH36+AH37+AH38</f>
        <v>58.4779854889969</v>
      </c>
      <c r="AI39" s="70" t="n">
        <f aca="false">AI35+AI36+AI37+AI38</f>
        <v>58.4886269282653</v>
      </c>
      <c r="AJ39" s="70" t="n">
        <f aca="false">AJ35+AJ36+AJ37+AJ38</f>
        <v>58.4992683675336</v>
      </c>
      <c r="AK39" s="70" t="n">
        <f aca="false">AK35+AK36+AK37+AK38</f>
        <v>58.509909806802</v>
      </c>
      <c r="AL39" s="70" t="n">
        <f aca="false">AL35+AL36+AL37+AL38</f>
        <v>58.5205512460704</v>
      </c>
      <c r="AM39" s="70" t="n">
        <f aca="false">AM35+AM36+AM37+AM38</f>
        <v>58.5311926853387</v>
      </c>
    </row>
    <row r="40" customFormat="false" ht="21" hidden="false" customHeight="true" outlineLevel="0" collapsed="false">
      <c r="C40" s="56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</row>
    <row r="41" customFormat="false" ht="21" hidden="false" customHeight="true" outlineLevel="0" collapsed="false">
      <c r="C41" s="56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</row>
    <row r="42" customFormat="false" ht="21" hidden="false" customHeight="true" outlineLevel="0" collapsed="false">
      <c r="C42" s="56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</row>
    <row r="43" customFormat="false" ht="21" hidden="false" customHeight="true" outlineLevel="0" collapsed="false">
      <c r="C43" s="56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</row>
    <row r="44" customFormat="false" ht="21" hidden="false" customHeight="true" outlineLevel="0" collapsed="false">
      <c r="C44" s="56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</row>
    <row r="45" customFormat="false" ht="21" hidden="false" customHeight="true" outlineLevel="0" collapsed="false">
      <c r="C45" s="56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</row>
    <row r="46" customFormat="false" ht="21" hidden="false" customHeight="true" outlineLevel="0" collapsed="false">
      <c r="C46" s="56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</row>
    <row r="47" customFormat="false" ht="21" hidden="false" customHeight="true" outlineLevel="0" collapsed="false"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</row>
    <row r="48" customFormat="false" ht="21" hidden="false" customHeight="true" outlineLevel="0" collapsed="false">
      <c r="C48" s="56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</row>
    <row r="49" customFormat="false" ht="21" hidden="false" customHeight="true" outlineLevel="0" collapsed="false">
      <c r="C49" s="56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</row>
    <row r="50" customFormat="false" ht="21" hidden="false" customHeight="true" outlineLevel="0" collapsed="false">
      <c r="C50" s="56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</row>
    <row r="51" customFormat="false" ht="21" hidden="false" customHeight="true" outlineLevel="0" collapsed="false">
      <c r="C51" s="56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</row>
    <row r="52" customFormat="false" ht="21" hidden="false" customHeight="true" outlineLevel="0" collapsed="false">
      <c r="C52" s="56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</row>
    <row r="53" customFormat="false" ht="21" hidden="false" customHeight="true" outlineLevel="0" collapsed="false">
      <c r="C53" s="56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</row>
    <row r="54" customFormat="false" ht="21" hidden="false" customHeight="true" outlineLevel="0" collapsed="false">
      <c r="C54" s="56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</row>
    <row r="55" customFormat="false" ht="21" hidden="false" customHeight="true" outlineLevel="0" collapsed="false">
      <c r="C55" s="56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</row>
    <row r="56" customFormat="false" ht="21" hidden="false" customHeight="true" outlineLevel="0" collapsed="false">
      <c r="C56" s="56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</row>
    <row r="57" customFormat="false" ht="21" hidden="false" customHeight="true" outlineLevel="0" collapsed="false">
      <c r="C57" s="56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</row>
    <row r="58" customFormat="false" ht="21" hidden="false" customHeight="true" outlineLevel="0" collapsed="false">
      <c r="C58" s="56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</row>
    <row r="59" customFormat="false" ht="21" hidden="false" customHeight="true" outlineLevel="0" collapsed="false">
      <c r="C59" s="56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</row>
    <row r="60" customFormat="false" ht="21" hidden="false" customHeight="true" outlineLevel="0" collapsed="false">
      <c r="C60" s="56" t="s">
        <v>302</v>
      </c>
      <c r="D60" s="69"/>
      <c r="E60" s="69"/>
      <c r="F60" s="69"/>
      <c r="G60" s="69"/>
      <c r="H60" s="69"/>
      <c r="I60" s="69"/>
      <c r="J60" s="69" t="n">
        <f aca="false">J17+J31+J39-Assets!J100*(SourceAnalysis!D26+SourceAnalysis!D27)-MAX(0,Inputs!J58)</f>
        <v>201.940139050131</v>
      </c>
      <c r="K60" s="69" t="n">
        <f aca="false">K17+K31+K39-Assets!K100*(SourceAnalysis!D26+SourceAnalysis!D27)-MAX(0,Inputs!K58)</f>
        <v>201.940139050131</v>
      </c>
      <c r="L60" s="69" t="n">
        <f aca="false">L17+L31+L39-Assets!L100*(SourceAnalysis!D26+SourceAnalysis!D27)-MAX(0,Inputs!L58)</f>
        <v>201.940139050131</v>
      </c>
      <c r="M60" s="69" t="n">
        <f aca="false">M17+M31+M39-Assets!M100*(SourceAnalysis!D26+SourceAnalysis!D27)-MAX(0,Inputs!M58)</f>
        <v>201.940139050131</v>
      </c>
      <c r="N60" s="69" t="n">
        <f aca="false">N17+N31+N39-Assets!N100*(SourceAnalysis!D26+SourceAnalysis!D27)-MAX(0,Inputs!N58)</f>
        <v>201.940139050131</v>
      </c>
      <c r="O60" s="69" t="n">
        <f aca="false">O17+O31+O39-Assets!O100*(SourceAnalysis!D26+SourceAnalysis!D27)-MAX(0,Inputs!O58)</f>
        <v>201.940139050131</v>
      </c>
      <c r="P60" s="69" t="n">
        <f aca="false">P17+P31+P39-Assets!P100*(SourceAnalysis!D26+SourceAnalysis!D27)-MAX(0,Inputs!P58)</f>
        <v>209.722094170328</v>
      </c>
      <c r="Q60" s="69" t="n">
        <f aca="false">Q17+Q31+Q39-Assets!Q100*(SourceAnalysis!D26+SourceAnalysis!D27)-MAX(0,Inputs!Q58)</f>
        <v>209.722094170328</v>
      </c>
      <c r="R60" s="69" t="n">
        <f aca="false">R17+R31+R39-Assets!R100*(SourceAnalysis!D26+SourceAnalysis!D27)-MAX(0,Inputs!R58)</f>
        <v>209.722094170328</v>
      </c>
      <c r="S60" s="69" t="n">
        <f aca="false">S17+S31+S39-Assets!S100*(SourceAnalysis!D26+SourceAnalysis!D27)-MAX(0,Inputs!S58)</f>
        <v>209.722094170328</v>
      </c>
      <c r="T60" s="69" t="n">
        <f aca="false">T17+T31+T39-Assets!T100*(SourceAnalysis!D26+SourceAnalysis!D27)-MAX(0,Inputs!T58)</f>
        <v>209.722094170328</v>
      </c>
      <c r="U60" s="69" t="n">
        <f aca="false">U17+U31+U39-Assets!U100*(SourceAnalysis!D26+SourceAnalysis!D27)-MAX(0,Inputs!U58)</f>
        <v>209.722094170328</v>
      </c>
      <c r="V60" s="69" t="n">
        <f aca="false">V17+V31+V39-Assets!V100*(SourceAnalysis!D26+SourceAnalysis!D27)-MAX(0,Inputs!V58)</f>
        <v>207.755279147743</v>
      </c>
      <c r="W60" s="69" t="n">
        <f aca="false">W17+W31+W39-Assets!W100*(SourceAnalysis!D26+SourceAnalysis!D27)-MAX(0,Inputs!W58)</f>
        <v>207.755279147743</v>
      </c>
      <c r="X60" s="69" t="n">
        <f aca="false">X17+X31+X39-Assets!X100*(SourceAnalysis!D26+SourceAnalysis!D27)-MAX(0,Inputs!X58)</f>
        <v>207.755279147743</v>
      </c>
      <c r="Y60" s="69" t="n">
        <f aca="false">Y17+Y31+Y39-Assets!Y100*(SourceAnalysis!D26+SourceAnalysis!D27)-MAX(0,Inputs!Y58)</f>
        <v>207.755279147743</v>
      </c>
      <c r="Z60" s="69" t="n">
        <f aca="false">Z17+Z31+Z39-Assets!Z100*(SourceAnalysis!D26+SourceAnalysis!D27)-MAX(0,Inputs!Z58)</f>
        <v>207.755279147743</v>
      </c>
      <c r="AA60" s="69" t="n">
        <f aca="false">AA17+AA31+AA39-Assets!AA100*(SourceAnalysis!D26+SourceAnalysis!D27)-MAX(0,Inputs!AA58)</f>
        <v>207.755279147743</v>
      </c>
      <c r="AB60" s="69" t="n">
        <f aca="false">AB17+AB31+AB39-Assets!AB100*(SourceAnalysis!D26+SourceAnalysis!D27)-MAX(0,Inputs!AB58)</f>
        <v>215.787120186732</v>
      </c>
      <c r="AC60" s="69" t="n">
        <f aca="false">AC17+AC31+AC39-Assets!AC100*(SourceAnalysis!D26+SourceAnalysis!D27)-MAX(0,Inputs!AC58)</f>
        <v>215.787120186732</v>
      </c>
      <c r="AD60" s="69" t="n">
        <f aca="false">AD17+AD31+AD39-Assets!AD100*(SourceAnalysis!D26+SourceAnalysis!D27)-MAX(0,Inputs!AD58)</f>
        <v>215.787120186732</v>
      </c>
      <c r="AE60" s="69" t="n">
        <f aca="false">AE17+AE31+AE39-Assets!AE100*(SourceAnalysis!D26+SourceAnalysis!D27)-MAX(0,Inputs!AE58)</f>
        <v>215.787120186732</v>
      </c>
      <c r="AF60" s="69" t="n">
        <f aca="false">AF17+AF31+AF39-Assets!AF100*(SourceAnalysis!D26+SourceAnalysis!D27)-MAX(0,Inputs!AF58)</f>
        <v>215.787120186732</v>
      </c>
      <c r="AG60" s="69" t="n">
        <f aca="false">AG17+AG31+AG39-Assets!AG100*(SourceAnalysis!D26+SourceAnalysis!D27)-MAX(0,Inputs!AG58)</f>
        <v>215.787120186732</v>
      </c>
      <c r="AH60" s="69" t="n">
        <f aca="false">AH17+AH31+AH39-Assets!AH100*(SourceAnalysis!D26+SourceAnalysis!D27)-MAX(0,Inputs!AH58)</f>
        <v>213.791679785011</v>
      </c>
      <c r="AI60" s="69" t="n">
        <f aca="false">AI17+AI31+AI39-Assets!AI100*(SourceAnalysis!D26+SourceAnalysis!D27)-MAX(0,Inputs!AI58)</f>
        <v>213.791679785011</v>
      </c>
      <c r="AJ60" s="69" t="n">
        <f aca="false">AJ17+AJ31+AJ39-Assets!AJ100*(SourceAnalysis!D26+SourceAnalysis!D27)-MAX(0,Inputs!AJ58)</f>
        <v>213.791679785011</v>
      </c>
      <c r="AK60" s="69" t="n">
        <f aca="false">AK17+AK31+AK39-Assets!AK100*(SourceAnalysis!D26+SourceAnalysis!D27)-MAX(0,Inputs!AK58)</f>
        <v>213.791679785011</v>
      </c>
      <c r="AL60" s="69" t="n">
        <f aca="false">AL17+AL31+AL39-Assets!AL100*(SourceAnalysis!D26+SourceAnalysis!D27)-MAX(0,Inputs!AL58)</f>
        <v>213.791679785011</v>
      </c>
      <c r="AM60" s="69" t="n">
        <f aca="false">AM17+AM31+AM39-Assets!AM100*(SourceAnalysis!D26+SourceAnalysis!D27)-MAX(0,Inputs!AM58)</f>
        <v>213.791679785011</v>
      </c>
    </row>
    <row r="61" customFormat="false" ht="21" hidden="false" customHeight="true" outlineLevel="0" collapsed="false">
      <c r="C61" s="56" t="s">
        <v>140</v>
      </c>
      <c r="D61" s="69"/>
      <c r="E61" s="69"/>
      <c r="F61" s="69"/>
      <c r="G61" s="69"/>
      <c r="H61" s="69"/>
      <c r="I61" s="69"/>
      <c r="J61" s="69" t="n">
        <f aca="false">Revenue!J40*SourceHistory!F14/SourceHistory!F9</f>
        <v>12.9955369947422</v>
      </c>
      <c r="K61" s="69" t="n">
        <f aca="false">Revenue!K40*SourceHistory!F14/SourceHistory!F9</f>
        <v>12.9955369947422</v>
      </c>
      <c r="L61" s="69" t="n">
        <f aca="false">Revenue!L40*SourceHistory!F14/SourceHistory!F9</f>
        <v>12.9955369947422</v>
      </c>
      <c r="M61" s="69" t="n">
        <f aca="false">Revenue!M40*SourceHistory!F14/SourceHistory!F9</f>
        <v>12.9955369947422</v>
      </c>
      <c r="N61" s="69" t="n">
        <f aca="false">Revenue!N40*SourceHistory!F14/SourceHistory!F9</f>
        <v>12.9955369947422</v>
      </c>
      <c r="O61" s="69" t="n">
        <f aca="false">Revenue!O40*SourceHistory!F14/SourceHistory!F9</f>
        <v>12.9955369947422</v>
      </c>
      <c r="P61" s="69" t="n">
        <f aca="false">Revenue!P40*SourceHistory!F14/SourceHistory!F9</f>
        <v>13.8795939574531</v>
      </c>
      <c r="Q61" s="69" t="n">
        <f aca="false">Revenue!Q40*SourceHistory!F14/SourceHistory!F9</f>
        <v>13.8795939574531</v>
      </c>
      <c r="R61" s="69" t="n">
        <f aca="false">Revenue!R40*SourceHistory!F14/SourceHistory!F9</f>
        <v>13.8795939574531</v>
      </c>
      <c r="S61" s="69" t="n">
        <f aca="false">Revenue!S40*SourceHistory!F14/SourceHistory!F9</f>
        <v>13.8795939574531</v>
      </c>
      <c r="T61" s="69" t="n">
        <f aca="false">Revenue!T40*SourceHistory!F14/SourceHistory!F9</f>
        <v>13.8795939574531</v>
      </c>
      <c r="U61" s="69" t="n">
        <f aca="false">Revenue!U40*SourceHistory!F14/SourceHistory!F9</f>
        <v>13.8795939574531</v>
      </c>
      <c r="V61" s="69" t="n">
        <f aca="false">Revenue!V40*SourceHistory!F14/SourceHistory!F9</f>
        <v>13.4670472999298</v>
      </c>
      <c r="W61" s="69" t="n">
        <f aca="false">Revenue!W40*SourceHistory!F14/SourceHistory!F9</f>
        <v>13.4670472999298</v>
      </c>
      <c r="X61" s="69" t="n">
        <f aca="false">Revenue!X40*SourceHistory!F14/SourceHistory!F9</f>
        <v>13.4670472999298</v>
      </c>
      <c r="Y61" s="69" t="n">
        <f aca="false">Revenue!Y40*SourceHistory!F14/SourceHistory!F9</f>
        <v>13.4670472999298</v>
      </c>
      <c r="Z61" s="69" t="n">
        <f aca="false">Revenue!Z40*SourceHistory!F14/SourceHistory!F9</f>
        <v>13.4670472999298</v>
      </c>
      <c r="AA61" s="69" t="n">
        <f aca="false">Revenue!AA40*SourceHistory!F14/SourceHistory!F9</f>
        <v>13.4670472999298</v>
      </c>
      <c r="AB61" s="69" t="n">
        <f aca="false">Revenue!AB40*SourceHistory!F14/SourceHistory!F9</f>
        <v>14.3818076867484</v>
      </c>
      <c r="AC61" s="69" t="n">
        <f aca="false">Revenue!AC40*SourceHistory!F14/SourceHistory!F9</f>
        <v>14.3818076867484</v>
      </c>
      <c r="AD61" s="69" t="n">
        <f aca="false">Revenue!AD40*SourceHistory!F14/SourceHistory!F9</f>
        <v>14.3818076867484</v>
      </c>
      <c r="AE61" s="69" t="n">
        <f aca="false">Revenue!AE40*SourceHistory!F14/SourceHistory!F9</f>
        <v>14.3818076867484</v>
      </c>
      <c r="AF61" s="69" t="n">
        <f aca="false">Revenue!AF40*SourceHistory!F14/SourceHistory!F9</f>
        <v>14.3818076867484</v>
      </c>
      <c r="AG61" s="69" t="n">
        <f aca="false">Revenue!AG40*SourceHistory!F14/SourceHistory!F9</f>
        <v>14.3818076867484</v>
      </c>
      <c r="AH61" s="69" t="n">
        <f aca="false">Revenue!AH40*SourceHistory!F14/SourceHistory!F9</f>
        <v>13.9632567510661</v>
      </c>
      <c r="AI61" s="69" t="n">
        <f aca="false">Revenue!AI40*SourceHistory!F14/SourceHistory!F9</f>
        <v>13.9632567510661</v>
      </c>
      <c r="AJ61" s="69" t="n">
        <f aca="false">Revenue!AJ40*SourceHistory!F14/SourceHistory!F9</f>
        <v>13.9632567510661</v>
      </c>
      <c r="AK61" s="69" t="n">
        <f aca="false">Revenue!AK40*SourceHistory!F14/SourceHistory!F9</f>
        <v>13.9632567510661</v>
      </c>
      <c r="AL61" s="69" t="n">
        <f aca="false">Revenue!AL40*SourceHistory!F14/SourceHistory!F9</f>
        <v>13.9632567510661</v>
      </c>
      <c r="AM61" s="69" t="n">
        <f aca="false">Revenue!AM40*SourceHistory!F14/SourceHistory!F9</f>
        <v>13.9632567510661</v>
      </c>
    </row>
    <row r="62" customFormat="false" ht="21" hidden="false" customHeight="true" outlineLevel="0" collapsed="false">
      <c r="C62" s="56" t="s">
        <v>187</v>
      </c>
      <c r="D62" s="69"/>
      <c r="E62" s="69"/>
      <c r="F62" s="69"/>
      <c r="G62" s="69"/>
      <c r="H62" s="69"/>
      <c r="I62" s="69"/>
      <c r="J62" s="69" t="n">
        <f aca="false">Revenue!J39*(SourceDetail!E82/1000000)/(SourceHistory!F9-SourceAnalysis!D24)</f>
        <v>0.458753386620674</v>
      </c>
      <c r="K62" s="69" t="n">
        <f aca="false">Revenue!K39*(SourceDetail!E82/1000000)/(SourceHistory!F9-SourceAnalysis!D24)</f>
        <v>0.458753386620674</v>
      </c>
      <c r="L62" s="69" t="n">
        <f aca="false">Revenue!L39*(SourceDetail!E82/1000000)/(SourceHistory!F9-SourceAnalysis!D24)</f>
        <v>0.458753386620674</v>
      </c>
      <c r="M62" s="69" t="n">
        <f aca="false">Revenue!M39*(SourceDetail!E82/1000000)/(SourceHistory!F9-SourceAnalysis!D24)</f>
        <v>0.458753386620674</v>
      </c>
      <c r="N62" s="69" t="n">
        <f aca="false">Revenue!N39*(SourceDetail!E82/1000000)/(SourceHistory!F9-SourceAnalysis!D24)</f>
        <v>0.458753386620674</v>
      </c>
      <c r="O62" s="69" t="n">
        <f aca="false">Revenue!O39*(SourceDetail!E82/1000000)/(SourceHistory!F9-SourceAnalysis!D24)</f>
        <v>0.458753386620674</v>
      </c>
      <c r="P62" s="69" t="n">
        <f aca="false">Revenue!P39*(SourceDetail!E82/1000000)/(SourceHistory!F9-SourceAnalysis!D24)</f>
        <v>2.86424725498719</v>
      </c>
      <c r="Q62" s="69" t="n">
        <f aca="false">Revenue!Q39*(SourceDetail!E82/1000000)/(SourceHistory!F9-SourceAnalysis!D24)</f>
        <v>2.86424725498719</v>
      </c>
      <c r="R62" s="69" t="n">
        <f aca="false">Revenue!R39*(SourceDetail!E82/1000000)/(SourceHistory!F9-SourceAnalysis!D24)</f>
        <v>2.86424725498719</v>
      </c>
      <c r="S62" s="69" t="n">
        <f aca="false">Revenue!S39*(SourceDetail!E82/1000000)/(SourceHistory!F9-SourceAnalysis!D24)</f>
        <v>2.86424725498719</v>
      </c>
      <c r="T62" s="69" t="n">
        <f aca="false">Revenue!T39*(SourceDetail!E82/1000000)/(SourceHistory!F9-SourceAnalysis!D24)</f>
        <v>2.86424725498719</v>
      </c>
      <c r="U62" s="69" t="n">
        <f aca="false">Revenue!U39*(SourceDetail!E82/1000000)/(SourceHistory!F9-SourceAnalysis!D24)</f>
        <v>2.86424725498719</v>
      </c>
      <c r="V62" s="69" t="n">
        <f aca="false">Revenue!V39*(SourceDetail!E82/1000000)/(SourceHistory!F9-SourceAnalysis!D24)</f>
        <v>0.458753386620674</v>
      </c>
      <c r="W62" s="69" t="n">
        <f aca="false">Revenue!W39*(SourceDetail!E82/1000000)/(SourceHistory!F9-SourceAnalysis!D24)</f>
        <v>0.458753386620674</v>
      </c>
      <c r="X62" s="69" t="n">
        <f aca="false">Revenue!X39*(SourceDetail!E82/1000000)/(SourceHistory!F9-SourceAnalysis!D24)</f>
        <v>0.458753386620674</v>
      </c>
      <c r="Y62" s="69" t="n">
        <f aca="false">Revenue!Y39*(SourceDetail!E82/1000000)/(SourceHistory!F9-SourceAnalysis!D24)</f>
        <v>0.458753386620674</v>
      </c>
      <c r="Z62" s="69" t="n">
        <f aca="false">Revenue!Z39*(SourceDetail!E82/1000000)/(SourceHistory!F9-SourceAnalysis!D24)</f>
        <v>0.458753386620674</v>
      </c>
      <c r="AA62" s="69" t="n">
        <f aca="false">Revenue!AA39*(SourceDetail!E82/1000000)/(SourceHistory!F9-SourceAnalysis!D24)</f>
        <v>0.458753386620674</v>
      </c>
      <c r="AB62" s="69" t="n">
        <f aca="false">Revenue!AB39*(SourceDetail!E82/1000000)/(SourceHistory!F9-SourceAnalysis!D24)</f>
        <v>2.86424725498719</v>
      </c>
      <c r="AC62" s="69" t="n">
        <f aca="false">Revenue!AC39*(SourceDetail!E82/1000000)/(SourceHistory!F9-SourceAnalysis!D24)</f>
        <v>2.86424725498719</v>
      </c>
      <c r="AD62" s="69" t="n">
        <f aca="false">Revenue!AD39*(SourceDetail!E82/1000000)/(SourceHistory!F9-SourceAnalysis!D24)</f>
        <v>2.86424725498719</v>
      </c>
      <c r="AE62" s="69" t="n">
        <f aca="false">Revenue!AE39*(SourceDetail!E82/1000000)/(SourceHistory!F9-SourceAnalysis!D24)</f>
        <v>2.86424725498719</v>
      </c>
      <c r="AF62" s="69" t="n">
        <f aca="false">Revenue!AF39*(SourceDetail!E82/1000000)/(SourceHistory!F9-SourceAnalysis!D24)</f>
        <v>2.86424725498719</v>
      </c>
      <c r="AG62" s="69" t="n">
        <f aca="false">Revenue!AG39*(SourceDetail!E82/1000000)/(SourceHistory!F9-SourceAnalysis!D24)</f>
        <v>2.86424725498719</v>
      </c>
      <c r="AH62" s="69" t="n">
        <f aca="false">Revenue!AH39*(SourceDetail!E82/1000000)/(SourceHistory!F9-SourceAnalysis!D24)</f>
        <v>0.458753386620674</v>
      </c>
      <c r="AI62" s="69" t="n">
        <f aca="false">Revenue!AI39*(SourceDetail!E82/1000000)/(SourceHistory!F9-SourceAnalysis!D24)</f>
        <v>0.458753386620674</v>
      </c>
      <c r="AJ62" s="69" t="n">
        <f aca="false">Revenue!AJ39*(SourceDetail!E82/1000000)/(SourceHistory!F9-SourceAnalysis!D24)</f>
        <v>0.458753386620674</v>
      </c>
      <c r="AK62" s="69" t="n">
        <f aca="false">Revenue!AK39*(SourceDetail!E82/1000000)/(SourceHistory!F9-SourceAnalysis!D24)</f>
        <v>0.458753386620674</v>
      </c>
      <c r="AL62" s="69" t="n">
        <f aca="false">Revenue!AL39*(SourceDetail!E82/1000000)/(SourceHistory!F9-SourceAnalysis!D24)</f>
        <v>0.458753386620674</v>
      </c>
      <c r="AM62" s="69" t="n">
        <f aca="false">Revenue!AM39*(SourceDetail!E82/1000000)/(SourceHistory!F9-SourceAnalysis!D24)</f>
        <v>0.458753386620674</v>
      </c>
    </row>
    <row r="63" customFormat="false" ht="21" hidden="false" customHeight="true" outlineLevel="0" collapsed="false">
      <c r="C63" s="5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</row>
    <row r="64" customFormat="false" ht="21" hidden="false" customHeight="true" outlineLevel="0" collapsed="false">
      <c r="C64" s="56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</row>
    <row r="65" customFormat="false" ht="21" hidden="false" customHeight="true" outlineLevel="0" collapsed="false">
      <c r="C65" s="5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</row>
    <row r="66" customFormat="false" ht="21" hidden="false" customHeight="true" outlineLevel="0" collapsed="false">
      <c r="C66" s="56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</row>
    <row r="67" customFormat="false" ht="25" hidden="false" customHeight="true" outlineLevel="0" collapsed="false">
      <c r="C67" s="58" t="s">
        <v>303</v>
      </c>
      <c r="D67" s="58"/>
      <c r="E67" s="58"/>
      <c r="F67" s="58"/>
      <c r="G67" s="58"/>
      <c r="H67" s="58"/>
      <c r="I67" s="58"/>
      <c r="J67" s="58"/>
      <c r="K67" s="58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</row>
    <row r="68" customFormat="false" ht="25" hidden="false" customHeight="true" outlineLevel="0" collapsed="false">
      <c r="C68" s="58"/>
      <c r="D68" s="58"/>
      <c r="E68" s="58"/>
      <c r="F68" s="58"/>
      <c r="G68" s="58"/>
      <c r="H68" s="58"/>
      <c r="I68" s="58"/>
      <c r="J68" s="58"/>
      <c r="K68" s="58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</row>
    <row r="69" customFormat="false" ht="21" hidden="false" customHeight="true" outlineLevel="0" collapsed="false">
      <c r="C69" s="5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</row>
    <row r="70" customFormat="false" ht="21" hidden="false" customHeight="true" outlineLevel="0" collapsed="false">
      <c r="C70" s="56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</row>
    <row r="71" customFormat="false" ht="21" hidden="false" customHeight="true" outlineLevel="0" collapsed="false">
      <c r="C71" s="56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</row>
  </sheetData>
  <sheetProtection sheet="1" objects="1" scenarios="1" selectLockedCells="0" selectUnlockedCells="0"/>
  <mergeCells count="3">
    <mergeCell ref="C2:K2"/>
    <mergeCell ref="C3:K4"/>
    <mergeCell ref="C67:K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C1:AM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39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customFormat="false" ht="33" hidden="false" customHeight="true" outlineLevel="0" collapsed="false">
      <c r="C2" s="57" t="s">
        <v>304</v>
      </c>
      <c r="D2" s="57"/>
      <c r="E2" s="57"/>
      <c r="F2" s="57"/>
      <c r="G2" s="57"/>
      <c r="H2" s="57"/>
      <c r="I2" s="57"/>
      <c r="J2" s="57"/>
      <c r="K2" s="57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</row>
    <row r="3" customFormat="false" ht="21" hidden="false" customHeight="true" outlineLevel="0" collapsed="false">
      <c r="C3" s="58" t="s">
        <v>129</v>
      </c>
      <c r="D3" s="58"/>
      <c r="E3" s="58"/>
      <c r="F3" s="58"/>
      <c r="G3" s="58"/>
      <c r="H3" s="58"/>
      <c r="I3" s="58"/>
      <c r="J3" s="58"/>
      <c r="K3" s="58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</row>
    <row r="6" customFormat="false" ht="21" hidden="false" customHeight="true" outlineLevel="0" collapsed="false">
      <c r="C6" s="56"/>
      <c r="D6" s="56" t="s">
        <v>130</v>
      </c>
      <c r="E6" s="56" t="s">
        <v>130</v>
      </c>
      <c r="F6" s="56" t="s">
        <v>130</v>
      </c>
      <c r="G6" s="56" t="s">
        <v>130</v>
      </c>
      <c r="H6" s="56" t="s">
        <v>130</v>
      </c>
      <c r="I6" s="56" t="s">
        <v>221</v>
      </c>
      <c r="J6" s="56" t="s">
        <v>132</v>
      </c>
      <c r="K6" s="56" t="s">
        <v>132</v>
      </c>
      <c r="L6" s="56" t="s">
        <v>132</v>
      </c>
      <c r="M6" s="56" t="s">
        <v>132</v>
      </c>
      <c r="N6" s="56" t="s">
        <v>132</v>
      </c>
      <c r="O6" s="56" t="s">
        <v>132</v>
      </c>
      <c r="P6" s="56" t="s">
        <v>132</v>
      </c>
      <c r="Q6" s="56" t="s">
        <v>132</v>
      </c>
      <c r="R6" s="56" t="s">
        <v>132</v>
      </c>
      <c r="S6" s="56" t="s">
        <v>132</v>
      </c>
      <c r="T6" s="56" t="s">
        <v>132</v>
      </c>
      <c r="U6" s="56" t="s">
        <v>132</v>
      </c>
      <c r="V6" s="56" t="s">
        <v>132</v>
      </c>
      <c r="W6" s="56" t="s">
        <v>132</v>
      </c>
      <c r="X6" s="56" t="s">
        <v>132</v>
      </c>
      <c r="Y6" s="56" t="s">
        <v>132</v>
      </c>
      <c r="Z6" s="56" t="s">
        <v>132</v>
      </c>
      <c r="AA6" s="56" t="s">
        <v>132</v>
      </c>
      <c r="AB6" s="56" t="s">
        <v>132</v>
      </c>
      <c r="AC6" s="56" t="s">
        <v>132</v>
      </c>
      <c r="AD6" s="56" t="s">
        <v>132</v>
      </c>
      <c r="AE6" s="56" t="s">
        <v>132</v>
      </c>
      <c r="AF6" s="56" t="s">
        <v>132</v>
      </c>
      <c r="AG6" s="56" t="s">
        <v>132</v>
      </c>
      <c r="AH6" s="56" t="s">
        <v>132</v>
      </c>
      <c r="AI6" s="56" t="s">
        <v>132</v>
      </c>
      <c r="AJ6" s="56" t="s">
        <v>132</v>
      </c>
      <c r="AK6" s="56" t="s">
        <v>132</v>
      </c>
      <c r="AL6" s="56" t="s">
        <v>132</v>
      </c>
      <c r="AM6" s="56" t="s">
        <v>132</v>
      </c>
    </row>
    <row r="7" customFormat="false" ht="21" hidden="false" customHeight="true" outlineLevel="0" collapsed="false">
      <c r="C7" s="63"/>
      <c r="D7" s="73" t="n">
        <v>46053</v>
      </c>
      <c r="E7" s="73" t="n">
        <v>46081</v>
      </c>
      <c r="F7" s="73" t="n">
        <v>46112</v>
      </c>
      <c r="G7" s="73" t="n">
        <v>46142</v>
      </c>
      <c r="H7" s="73" t="n">
        <v>46173</v>
      </c>
      <c r="I7" s="73" t="n">
        <v>46203</v>
      </c>
      <c r="J7" s="73" t="n">
        <v>46234</v>
      </c>
      <c r="K7" s="73" t="n">
        <v>46265</v>
      </c>
      <c r="L7" s="73" t="n">
        <v>46295</v>
      </c>
      <c r="M7" s="73" t="n">
        <v>46326</v>
      </c>
      <c r="N7" s="73" t="n">
        <v>46356</v>
      </c>
      <c r="O7" s="73" t="n">
        <v>46387</v>
      </c>
      <c r="P7" s="73" t="n">
        <v>46418</v>
      </c>
      <c r="Q7" s="73" t="n">
        <v>46446</v>
      </c>
      <c r="R7" s="73" t="n">
        <v>46477</v>
      </c>
      <c r="S7" s="73" t="n">
        <v>46507</v>
      </c>
      <c r="T7" s="73" t="n">
        <v>46538</v>
      </c>
      <c r="U7" s="73" t="n">
        <v>46568</v>
      </c>
      <c r="V7" s="73" t="n">
        <v>46599</v>
      </c>
      <c r="W7" s="73" t="n">
        <v>46630</v>
      </c>
      <c r="X7" s="73" t="n">
        <v>46660</v>
      </c>
      <c r="Y7" s="73" t="n">
        <v>46691</v>
      </c>
      <c r="Z7" s="73" t="n">
        <v>46721</v>
      </c>
      <c r="AA7" s="73" t="n">
        <v>46752</v>
      </c>
      <c r="AB7" s="73" t="n">
        <v>46783</v>
      </c>
      <c r="AC7" s="73" t="n">
        <v>46812</v>
      </c>
      <c r="AD7" s="73" t="n">
        <v>46843</v>
      </c>
      <c r="AE7" s="73" t="n">
        <v>46873</v>
      </c>
      <c r="AF7" s="73" t="n">
        <v>46904</v>
      </c>
      <c r="AG7" s="73" t="n">
        <v>46934</v>
      </c>
      <c r="AH7" s="73" t="n">
        <v>46965</v>
      </c>
      <c r="AI7" s="73" t="n">
        <v>46996</v>
      </c>
      <c r="AJ7" s="73" t="n">
        <v>47026</v>
      </c>
      <c r="AK7" s="73" t="n">
        <v>47057</v>
      </c>
      <c r="AL7" s="73" t="n">
        <v>47087</v>
      </c>
      <c r="AM7" s="73" t="n">
        <v>47118</v>
      </c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</row>
    <row r="9" customFormat="false" ht="21" hidden="false" customHeight="true" outlineLevel="0" collapsed="false">
      <c r="C9" s="56" t="s">
        <v>305</v>
      </c>
      <c r="D9" s="69"/>
      <c r="E9" s="69"/>
      <c r="F9" s="69"/>
      <c r="G9" s="69"/>
      <c r="H9" s="69"/>
      <c r="I9" s="69"/>
      <c r="J9" s="69" t="n">
        <f aca="false">H1Data!D61</f>
        <v>99.72852189</v>
      </c>
      <c r="K9" s="69" t="n">
        <f aca="false">Inventory!J13</f>
        <v>99.7055684576861</v>
      </c>
      <c r="L9" s="69" t="n">
        <f aca="false">Inventory!K13</f>
        <v>99.5420286101503</v>
      </c>
      <c r="M9" s="69" t="n">
        <f aca="false">Inventory!L13</f>
        <v>105.573217971546</v>
      </c>
      <c r="N9" s="69" t="n">
        <f aca="false">Inventory!M13</f>
        <v>96.9164269252558</v>
      </c>
      <c r="O9" s="69" t="n">
        <f aca="false">Inventory!N13</f>
        <v>105.573217971546</v>
      </c>
      <c r="P9" s="69" t="n">
        <f aca="false">Inventory!O13</f>
        <v>96.9164269252558</v>
      </c>
      <c r="Q9" s="69" t="n">
        <f aca="false">Inventory!P13</f>
        <v>113.376140731784</v>
      </c>
      <c r="R9" s="69" t="n">
        <f aca="false">Inventory!Q13</f>
        <v>129.882437972539</v>
      </c>
      <c r="S9" s="69" t="n">
        <f aca="false">Inventory!R13</f>
        <v>98.97563797975</v>
      </c>
      <c r="T9" s="69" t="n">
        <f aca="false">Inventory!S13</f>
        <v>114.696805788583</v>
      </c>
      <c r="U9" s="69" t="n">
        <f aca="false">Inventory!T13</f>
        <v>105.291898933737</v>
      </c>
      <c r="V9" s="69" t="n">
        <f aca="false">Inventory!U13</f>
        <v>114.696805788583</v>
      </c>
      <c r="W9" s="69" t="n">
        <f aca="false">Inventory!V13</f>
        <v>100.243459152646</v>
      </c>
      <c r="X9" s="69" t="n">
        <f aca="false">Inventory!W13</f>
        <v>104.983041047911</v>
      </c>
      <c r="Y9" s="69" t="n">
        <f aca="false">Inventory!X13</f>
        <v>111.365064877594</v>
      </c>
      <c r="Z9" s="69" t="n">
        <f aca="false">Inventory!Y13</f>
        <v>102.193438665893</v>
      </c>
      <c r="AA9" s="69" t="n">
        <f aca="false">Inventory!Z13</f>
        <v>111.365064877594</v>
      </c>
      <c r="AB9" s="69" t="n">
        <f aca="false">Inventory!AA13</f>
        <v>102.193438665893</v>
      </c>
      <c r="AC9" s="69" t="n">
        <f aca="false">Inventory!AB13</f>
        <v>119.614148377868</v>
      </c>
      <c r="AD9" s="69" t="n">
        <f aca="false">Inventory!AC13</f>
        <v>128.624339886915</v>
      </c>
      <c r="AE9" s="69" t="n">
        <f aca="false">Inventory!AD13</f>
        <v>107.785256727778</v>
      </c>
      <c r="AF9" s="69" t="n">
        <f aca="false">Inventory!AE13</f>
        <v>120.989181378756</v>
      </c>
      <c r="AG9" s="69" t="n">
        <f aca="false">Inventory!AF13</f>
        <v>111.024947545773</v>
      </c>
      <c r="AH9" s="69" t="n">
        <f aca="false">Inventory!AG13</f>
        <v>120.989181378756</v>
      </c>
      <c r="AI9" s="69" t="n">
        <f aca="false">Inventory!AH13</f>
        <v>105.940266288316</v>
      </c>
      <c r="AJ9" s="69" t="n">
        <f aca="false">Inventory!AI13</f>
        <v>110.830192332364</v>
      </c>
      <c r="AK9" s="69" t="n">
        <f aca="false">Inventory!AJ13</f>
        <v>117.592192452346</v>
      </c>
      <c r="AL9" s="69" t="n">
        <f aca="false">Inventory!AK13</f>
        <v>107.861488743104</v>
      </c>
      <c r="AM9" s="69" t="n">
        <f aca="false">Inventory!AL13</f>
        <v>117.592192452346</v>
      </c>
    </row>
    <row r="10" customFormat="false" ht="21" hidden="false" customHeight="true" outlineLevel="0" collapsed="false">
      <c r="C10" s="56" t="s">
        <v>306</v>
      </c>
      <c r="D10" s="69"/>
      <c r="E10" s="69"/>
      <c r="F10" s="69"/>
      <c r="G10" s="69"/>
      <c r="H10" s="69"/>
      <c r="I10" s="69"/>
      <c r="J10" s="69" t="n">
        <f aca="false">Production!J85</f>
        <v>650.78944244606</v>
      </c>
      <c r="K10" s="69" t="n">
        <f aca="false">Production!K85</f>
        <v>649.721999495362</v>
      </c>
      <c r="L10" s="69" t="n">
        <f aca="false">Production!L85</f>
        <v>666.859596552673</v>
      </c>
      <c r="M10" s="69" t="n">
        <f aca="false">Production!M85</f>
        <v>632.584402438051</v>
      </c>
      <c r="N10" s="69" t="n">
        <f aca="false">Production!N85</f>
        <v>666.859596552673</v>
      </c>
      <c r="O10" s="69" t="n">
        <f aca="false">Production!O85</f>
        <v>632.584402438051</v>
      </c>
      <c r="P10" s="69" t="n">
        <f aca="false">Production!P85</f>
        <v>740.018802910059</v>
      </c>
      <c r="Q10" s="69" t="n">
        <f aca="false">Production!Q85</f>
        <v>765.716233654285</v>
      </c>
      <c r="R10" s="69" t="n">
        <f aca="false">Production!R85</f>
        <v>646.025104244006</v>
      </c>
      <c r="S10" s="69" t="n">
        <f aca="false">Production!S85</f>
        <v>724.489289079634</v>
      </c>
      <c r="T10" s="69" t="n">
        <f aca="false">Production!T85</f>
        <v>687.252048818658</v>
      </c>
      <c r="U10" s="69" t="n">
        <f aca="false">Production!U85</f>
        <v>724.489289079634</v>
      </c>
      <c r="V10" s="69" t="n">
        <f aca="false">Production!V85</f>
        <v>654.300315418199</v>
      </c>
      <c r="W10" s="69" t="n">
        <f aca="false">Production!W85</f>
        <v>685.236098712552</v>
      </c>
      <c r="X10" s="69" t="n">
        <f aca="false">Production!X85</f>
        <v>703.444146737578</v>
      </c>
      <c r="Y10" s="69" t="n">
        <f aca="false">Production!Y85</f>
        <v>667.028050687527</v>
      </c>
      <c r="Z10" s="69" t="n">
        <f aca="false">Production!Z85</f>
        <v>703.444146737578</v>
      </c>
      <c r="AA10" s="69" t="n">
        <f aca="false">Production!AA85</f>
        <v>667.028050687527</v>
      </c>
      <c r="AB10" s="69" t="n">
        <f aca="false">Production!AB85</f>
        <v>780.73497935603</v>
      </c>
      <c r="AC10" s="69" t="n">
        <f aca="false">Production!AC85</f>
        <v>785.381284668184</v>
      </c>
      <c r="AD10" s="69" t="n">
        <f aca="false">Production!AD85</f>
        <v>703.526475149128</v>
      </c>
      <c r="AE10" s="69" t="n">
        <f aca="false">Production!AE85</f>
        <v>764.235458875762</v>
      </c>
      <c r="AF10" s="69" t="n">
        <f aca="false">Production!AF85</f>
        <v>724.672300941551</v>
      </c>
      <c r="AG10" s="69" t="n">
        <f aca="false">Production!AG85</f>
        <v>764.235458875762</v>
      </c>
      <c r="AH10" s="69" t="n">
        <f aca="false">Production!AH85</f>
        <v>691.484015354868</v>
      </c>
      <c r="AI10" s="69" t="n">
        <f aca="false">Production!AI85</f>
        <v>723.401111792256</v>
      </c>
      <c r="AJ10" s="69" t="n">
        <f aca="false">Production!AJ85</f>
        <v>742.778173510352</v>
      </c>
      <c r="AK10" s="69" t="n">
        <f aca="false">Production!AK85</f>
        <v>704.02405007416</v>
      </c>
      <c r="AL10" s="69" t="n">
        <f aca="false">Production!AL85</f>
        <v>742.778173510352</v>
      </c>
      <c r="AM10" s="69" t="n">
        <f aca="false">Production!AM85</f>
        <v>704.02405007416</v>
      </c>
    </row>
    <row r="11" customFormat="false" ht="21" hidden="false" customHeight="true" outlineLevel="0" collapsed="false">
      <c r="C11" s="56" t="s">
        <v>307</v>
      </c>
      <c r="D11" s="69"/>
      <c r="E11" s="69"/>
      <c r="F11" s="69"/>
      <c r="G11" s="69"/>
      <c r="H11" s="69"/>
      <c r="I11" s="69"/>
      <c r="J11" s="69" t="n">
        <f aca="false">J10/DAY(J$7)*MAX(0,Inputs!J29)</f>
        <v>99.7055684576861</v>
      </c>
      <c r="K11" s="69" t="n">
        <f aca="false">K10/DAY(K$7)*MAX(0,Inputs!K29)</f>
        <v>99.5420286101503</v>
      </c>
      <c r="L11" s="69" t="n">
        <f aca="false">L10/DAY(L$7)*MAX(0,Inputs!L29)</f>
        <v>105.573217971546</v>
      </c>
      <c r="M11" s="69" t="n">
        <f aca="false">M10/DAY(M$7)*MAX(0,Inputs!M29)</f>
        <v>96.9164269252558</v>
      </c>
      <c r="N11" s="69" t="n">
        <f aca="false">N10/DAY(N$7)*MAX(0,Inputs!N29)</f>
        <v>105.573217971546</v>
      </c>
      <c r="O11" s="69" t="n">
        <f aca="false">O10/DAY(O$7)*MAX(0,Inputs!O29)</f>
        <v>96.9164269252558</v>
      </c>
      <c r="P11" s="69" t="n">
        <f aca="false">P10/DAY(P$7)*MAX(0,Inputs!P29)</f>
        <v>113.376140731784</v>
      </c>
      <c r="Q11" s="69" t="n">
        <f aca="false">Q10/DAY(Q$7)*MAX(0,Inputs!Q29)</f>
        <v>129.882437972539</v>
      </c>
      <c r="R11" s="69" t="n">
        <f aca="false">R10/DAY(R$7)*MAX(0,Inputs!R29)</f>
        <v>98.97563797975</v>
      </c>
      <c r="S11" s="69" t="n">
        <f aca="false">S10/DAY(S$7)*MAX(0,Inputs!S29)</f>
        <v>114.696805788583</v>
      </c>
      <c r="T11" s="69" t="n">
        <f aca="false">T10/DAY(T$7)*MAX(0,Inputs!T29)</f>
        <v>105.291898933737</v>
      </c>
      <c r="U11" s="69" t="n">
        <f aca="false">U10/DAY(U$7)*MAX(0,Inputs!U29)</f>
        <v>114.696805788583</v>
      </c>
      <c r="V11" s="69" t="n">
        <f aca="false">V10/DAY(V$7)*MAX(0,Inputs!V29)</f>
        <v>100.243459152646</v>
      </c>
      <c r="W11" s="69" t="n">
        <f aca="false">W10/DAY(W$7)*MAX(0,Inputs!W29)</f>
        <v>104.983041047911</v>
      </c>
      <c r="X11" s="69" t="n">
        <f aca="false">X10/DAY(X$7)*MAX(0,Inputs!X29)</f>
        <v>111.365064877594</v>
      </c>
      <c r="Y11" s="69" t="n">
        <f aca="false">Y10/DAY(Y$7)*MAX(0,Inputs!Y29)</f>
        <v>102.193438665893</v>
      </c>
      <c r="Z11" s="69" t="n">
        <f aca="false">Z10/DAY(Z$7)*MAX(0,Inputs!Z29)</f>
        <v>111.365064877594</v>
      </c>
      <c r="AA11" s="69" t="n">
        <f aca="false">AA10/DAY(AA$7)*MAX(0,Inputs!AA29)</f>
        <v>102.193438665893</v>
      </c>
      <c r="AB11" s="69" t="n">
        <f aca="false">AB10/DAY(AB$7)*MAX(0,Inputs!AB29)</f>
        <v>119.614148377868</v>
      </c>
      <c r="AC11" s="69" t="n">
        <f aca="false">AC10/DAY(AC$7)*MAX(0,Inputs!AC29)</f>
        <v>128.624339886915</v>
      </c>
      <c r="AD11" s="69" t="n">
        <f aca="false">AD10/DAY(AD$7)*MAX(0,Inputs!AD29)</f>
        <v>107.785256727778</v>
      </c>
      <c r="AE11" s="69" t="n">
        <f aca="false">AE10/DAY(AE$7)*MAX(0,Inputs!AE29)</f>
        <v>120.989181378756</v>
      </c>
      <c r="AF11" s="69" t="n">
        <f aca="false">AF10/DAY(AF$7)*MAX(0,Inputs!AF29)</f>
        <v>111.024947545773</v>
      </c>
      <c r="AG11" s="69" t="n">
        <f aca="false">AG10/DAY(AG$7)*MAX(0,Inputs!AG29)</f>
        <v>120.989181378756</v>
      </c>
      <c r="AH11" s="69" t="n">
        <f aca="false">AH10/DAY(AH$7)*MAX(0,Inputs!AH29)</f>
        <v>105.940266288316</v>
      </c>
      <c r="AI11" s="69" t="n">
        <f aca="false">AI10/DAY(AI$7)*MAX(0,Inputs!AI29)</f>
        <v>110.830192332364</v>
      </c>
      <c r="AJ11" s="69" t="n">
        <f aca="false">AJ10/DAY(AJ$7)*MAX(0,Inputs!AJ29)</f>
        <v>117.592192452346</v>
      </c>
      <c r="AK11" s="69" t="n">
        <f aca="false">AK10/DAY(AK$7)*MAX(0,Inputs!AK29)</f>
        <v>107.861488743104</v>
      </c>
      <c r="AL11" s="69" t="n">
        <f aca="false">AL10/DAY(AL$7)*MAX(0,Inputs!AL29)</f>
        <v>117.592192452346</v>
      </c>
      <c r="AM11" s="69" t="n">
        <f aca="false">AM10/DAY(AM$7)*MAX(0,Inputs!AM29)</f>
        <v>107.861488743104</v>
      </c>
    </row>
    <row r="12" customFormat="false" ht="21" hidden="false" customHeight="true" outlineLevel="0" collapsed="false">
      <c r="C12" s="56" t="s">
        <v>308</v>
      </c>
      <c r="D12" s="71"/>
      <c r="E12" s="71"/>
      <c r="F12" s="71"/>
      <c r="G12" s="71"/>
      <c r="H12" s="71"/>
      <c r="I12" s="71"/>
      <c r="J12" s="71" t="n">
        <f aca="false">MAX(0,J10+J11-J9)</f>
        <v>650.766489013746</v>
      </c>
      <c r="K12" s="71" t="n">
        <f aca="false">MAX(0,K10+K11-K9)</f>
        <v>649.558459647826</v>
      </c>
      <c r="L12" s="71" t="n">
        <f aca="false">MAX(0,L10+L11-L9)</f>
        <v>672.890785914069</v>
      </c>
      <c r="M12" s="71" t="n">
        <f aca="false">MAX(0,M10+M11-M9)</f>
        <v>623.92761139176</v>
      </c>
      <c r="N12" s="71" t="n">
        <f aca="false">MAX(0,N10+N11-N9)</f>
        <v>675.516387598963</v>
      </c>
      <c r="O12" s="71" t="n">
        <f aca="false">MAX(0,O10+O11-O9)</f>
        <v>623.92761139176</v>
      </c>
      <c r="P12" s="71" t="n">
        <f aca="false">MAX(0,P10+P11-P9)</f>
        <v>756.478516716588</v>
      </c>
      <c r="Q12" s="71" t="n">
        <f aca="false">MAX(0,Q10+Q11-Q9)</f>
        <v>782.22253089504</v>
      </c>
      <c r="R12" s="71" t="n">
        <f aca="false">MAX(0,R10+R11-R9)</f>
        <v>615.118304251217</v>
      </c>
      <c r="S12" s="71" t="n">
        <f aca="false">MAX(0,S10+S11-S9)</f>
        <v>740.210456888467</v>
      </c>
      <c r="T12" s="71" t="n">
        <f aca="false">MAX(0,T10+T11-T9)</f>
        <v>677.847141963812</v>
      </c>
      <c r="U12" s="71" t="n">
        <f aca="false">MAX(0,U10+U11-U9)</f>
        <v>733.89419593448</v>
      </c>
      <c r="V12" s="71" t="n">
        <f aca="false">MAX(0,V10+V11-V9)</f>
        <v>639.846968782262</v>
      </c>
      <c r="W12" s="71" t="n">
        <f aca="false">MAX(0,W10+W11-W9)</f>
        <v>689.975680607818</v>
      </c>
      <c r="X12" s="71" t="n">
        <f aca="false">MAX(0,X10+X11-X9)</f>
        <v>709.826170567261</v>
      </c>
      <c r="Y12" s="71" t="n">
        <f aca="false">MAX(0,Y10+Y11-Y9)</f>
        <v>657.856424475825</v>
      </c>
      <c r="Z12" s="71" t="n">
        <f aca="false">MAX(0,Z10+Z11-Z9)</f>
        <v>712.615772949279</v>
      </c>
      <c r="AA12" s="71" t="n">
        <f aca="false">MAX(0,AA10+AA11-AA9)</f>
        <v>657.856424475825</v>
      </c>
      <c r="AB12" s="71" t="n">
        <f aca="false">MAX(0,AB10+AB11-AB9)</f>
        <v>798.155689068004</v>
      </c>
      <c r="AC12" s="71" t="n">
        <f aca="false">MAX(0,AC10+AC11-AC9)</f>
        <v>794.391476177232</v>
      </c>
      <c r="AD12" s="71" t="n">
        <f aca="false">MAX(0,AD10+AD11-AD9)</f>
        <v>682.687391989991</v>
      </c>
      <c r="AE12" s="71" t="n">
        <f aca="false">MAX(0,AE10+AE11-AE9)</f>
        <v>777.43938352674</v>
      </c>
      <c r="AF12" s="71" t="n">
        <f aca="false">MAX(0,AF10+AF11-AF9)</f>
        <v>714.708067108568</v>
      </c>
      <c r="AG12" s="71" t="n">
        <f aca="false">MAX(0,AG10+AG11-AG9)</f>
        <v>774.199692708745</v>
      </c>
      <c r="AH12" s="71" t="n">
        <f aca="false">MAX(0,AH10+AH11-AH9)</f>
        <v>676.435100264428</v>
      </c>
      <c r="AI12" s="71" t="n">
        <f aca="false">MAX(0,AI10+AI11-AI9)</f>
        <v>728.291037836304</v>
      </c>
      <c r="AJ12" s="71" t="n">
        <f aca="false">MAX(0,AJ10+AJ11-AJ9)</f>
        <v>749.540173630333</v>
      </c>
      <c r="AK12" s="71" t="n">
        <f aca="false">MAX(0,AK10+AK11-AK9)</f>
        <v>694.293346364918</v>
      </c>
      <c r="AL12" s="71" t="n">
        <f aca="false">MAX(0,AL10+AL11-AL9)</f>
        <v>752.508877219594</v>
      </c>
      <c r="AM12" s="71" t="n">
        <f aca="false">MAX(0,AM10+AM11-AM9)</f>
        <v>694.293346364918</v>
      </c>
    </row>
    <row r="13" customFormat="false" ht="21" hidden="false" customHeight="true" outlineLevel="0" collapsed="false">
      <c r="C13" s="60" t="s">
        <v>309</v>
      </c>
      <c r="D13" s="70"/>
      <c r="E13" s="70"/>
      <c r="F13" s="70"/>
      <c r="G13" s="70"/>
      <c r="H13" s="70"/>
      <c r="I13" s="70"/>
      <c r="J13" s="70" t="n">
        <f aca="false">J9+J12-J10</f>
        <v>99.7055684576861</v>
      </c>
      <c r="K13" s="70" t="n">
        <f aca="false">K9+K12-K10</f>
        <v>99.5420286101503</v>
      </c>
      <c r="L13" s="70" t="n">
        <f aca="false">L9+L12-L10</f>
        <v>105.573217971546</v>
      </c>
      <c r="M13" s="70" t="n">
        <f aca="false">M9+M12-M10</f>
        <v>96.9164269252558</v>
      </c>
      <c r="N13" s="70" t="n">
        <f aca="false">N9+N12-N10</f>
        <v>105.573217971546</v>
      </c>
      <c r="O13" s="70" t="n">
        <f aca="false">O9+O12-O10</f>
        <v>96.9164269252558</v>
      </c>
      <c r="P13" s="70" t="n">
        <f aca="false">P9+P12-P10</f>
        <v>113.376140731784</v>
      </c>
      <c r="Q13" s="70" t="n">
        <f aca="false">Q9+Q12-Q10</f>
        <v>129.882437972539</v>
      </c>
      <c r="R13" s="70" t="n">
        <f aca="false">R9+R12-R10</f>
        <v>98.97563797975</v>
      </c>
      <c r="S13" s="70" t="n">
        <f aca="false">S9+S12-S10</f>
        <v>114.696805788583</v>
      </c>
      <c r="T13" s="70" t="n">
        <f aca="false">T9+T12-T10</f>
        <v>105.291898933737</v>
      </c>
      <c r="U13" s="70" t="n">
        <f aca="false">U9+U12-U10</f>
        <v>114.696805788583</v>
      </c>
      <c r="V13" s="70" t="n">
        <f aca="false">V9+V12-V10</f>
        <v>100.243459152646</v>
      </c>
      <c r="W13" s="70" t="n">
        <f aca="false">W9+W12-W10</f>
        <v>104.983041047911</v>
      </c>
      <c r="X13" s="70" t="n">
        <f aca="false">X9+X12-X10</f>
        <v>111.365064877594</v>
      </c>
      <c r="Y13" s="70" t="n">
        <f aca="false">Y9+Y12-Y10</f>
        <v>102.193438665893</v>
      </c>
      <c r="Z13" s="70" t="n">
        <f aca="false">Z9+Z12-Z10</f>
        <v>111.365064877594</v>
      </c>
      <c r="AA13" s="70" t="n">
        <f aca="false">AA9+AA12-AA10</f>
        <v>102.193438665893</v>
      </c>
      <c r="AB13" s="70" t="n">
        <f aca="false">AB9+AB12-AB10</f>
        <v>119.614148377868</v>
      </c>
      <c r="AC13" s="70" t="n">
        <f aca="false">AC9+AC12-AC10</f>
        <v>128.624339886915</v>
      </c>
      <c r="AD13" s="70" t="n">
        <f aca="false">AD9+AD12-AD10</f>
        <v>107.785256727778</v>
      </c>
      <c r="AE13" s="70" t="n">
        <f aca="false">AE9+AE12-AE10</f>
        <v>120.989181378756</v>
      </c>
      <c r="AF13" s="70" t="n">
        <f aca="false">AF9+AF12-AF10</f>
        <v>111.024947545773</v>
      </c>
      <c r="AG13" s="70" t="n">
        <f aca="false">AG9+AG12-AG10</f>
        <v>120.989181378756</v>
      </c>
      <c r="AH13" s="70" t="n">
        <f aca="false">AH9+AH12-AH10</f>
        <v>105.940266288316</v>
      </c>
      <c r="AI13" s="70" t="n">
        <f aca="false">AI9+AI12-AI10</f>
        <v>110.830192332364</v>
      </c>
      <c r="AJ13" s="70" t="n">
        <f aca="false">AJ9+AJ12-AJ10</f>
        <v>117.592192452346</v>
      </c>
      <c r="AK13" s="70" t="n">
        <f aca="false">AK9+AK12-AK10</f>
        <v>107.861488743104</v>
      </c>
      <c r="AL13" s="70" t="n">
        <f aca="false">AL9+AL12-AL10</f>
        <v>117.592192452346</v>
      </c>
      <c r="AM13" s="70" t="n">
        <f aca="false">AM9+AM12-AM10</f>
        <v>107.861488743104</v>
      </c>
    </row>
    <row r="14" customFormat="false" ht="21" hidden="false" customHeight="true" outlineLevel="0" collapsed="false">
      <c r="C14" s="56" t="s">
        <v>310</v>
      </c>
      <c r="D14" s="71"/>
      <c r="E14" s="71"/>
      <c r="F14" s="71"/>
      <c r="G14" s="71"/>
      <c r="H14" s="71"/>
      <c r="I14" s="71"/>
      <c r="J14" s="71" t="n">
        <f aca="false">J9+J12-J10-J13</f>
        <v>0</v>
      </c>
      <c r="K14" s="71" t="n">
        <f aca="false">K9+K12-K10-K13</f>
        <v>0</v>
      </c>
      <c r="L14" s="71" t="n">
        <f aca="false">L9+L12-L10-L13</f>
        <v>0</v>
      </c>
      <c r="M14" s="71" t="n">
        <f aca="false">M9+M12-M10-M13</f>
        <v>0</v>
      </c>
      <c r="N14" s="71" t="n">
        <f aca="false">N9+N12-N10-N13</f>
        <v>0</v>
      </c>
      <c r="O14" s="71" t="n">
        <f aca="false">O9+O12-O10-O13</f>
        <v>0</v>
      </c>
      <c r="P14" s="71" t="n">
        <f aca="false">P9+P12-P10-P13</f>
        <v>0</v>
      </c>
      <c r="Q14" s="71" t="n">
        <f aca="false">Q9+Q12-Q10-Q13</f>
        <v>0</v>
      </c>
      <c r="R14" s="71" t="n">
        <f aca="false">R9+R12-R10-R13</f>
        <v>0</v>
      </c>
      <c r="S14" s="71" t="n">
        <f aca="false">S9+S12-S10-S13</f>
        <v>0</v>
      </c>
      <c r="T14" s="71" t="n">
        <f aca="false">T9+T12-T10-T13</f>
        <v>0</v>
      </c>
      <c r="U14" s="71" t="n">
        <f aca="false">U9+U12-U10-U13</f>
        <v>0</v>
      </c>
      <c r="V14" s="71" t="n">
        <f aca="false">V9+V12-V10-V13</f>
        <v>0</v>
      </c>
      <c r="W14" s="71" t="n">
        <f aca="false">W9+W12-W10-W13</f>
        <v>0</v>
      </c>
      <c r="X14" s="71" t="n">
        <f aca="false">X9+X12-X10-X13</f>
        <v>0</v>
      </c>
      <c r="Y14" s="71" t="n">
        <f aca="false">Y9+Y12-Y10-Y13</f>
        <v>0</v>
      </c>
      <c r="Z14" s="71" t="n">
        <f aca="false">Z9+Z12-Z10-Z13</f>
        <v>0</v>
      </c>
      <c r="AA14" s="71" t="n">
        <f aca="false">AA9+AA12-AA10-AA13</f>
        <v>0</v>
      </c>
      <c r="AB14" s="71" t="n">
        <f aca="false">AB9+AB12-AB10-AB13</f>
        <v>0</v>
      </c>
      <c r="AC14" s="71" t="n">
        <f aca="false">AC9+AC12-AC10-AC13</f>
        <v>0</v>
      </c>
      <c r="AD14" s="71" t="n">
        <f aca="false">AD9+AD12-AD10-AD13</f>
        <v>0</v>
      </c>
      <c r="AE14" s="71" t="n">
        <f aca="false">AE9+AE12-AE10-AE13</f>
        <v>0</v>
      </c>
      <c r="AF14" s="71" t="n">
        <f aca="false">AF9+AF12-AF10-AF13</f>
        <v>0</v>
      </c>
      <c r="AG14" s="71" t="n">
        <f aca="false">AG9+AG12-AG10-AG13</f>
        <v>0</v>
      </c>
      <c r="AH14" s="71" t="n">
        <f aca="false">AH9+AH12-AH10-AH13</f>
        <v>0</v>
      </c>
      <c r="AI14" s="71" t="n">
        <f aca="false">AI9+AI12-AI10-AI13</f>
        <v>0</v>
      </c>
      <c r="AJ14" s="71" t="n">
        <f aca="false">AJ9+AJ12-AJ10-AJ13</f>
        <v>0</v>
      </c>
      <c r="AK14" s="71" t="n">
        <f aca="false">AK9+AK12-AK10-AK13</f>
        <v>0</v>
      </c>
      <c r="AL14" s="71" t="n">
        <f aca="false">AL9+AL12-AL10-AL13</f>
        <v>0</v>
      </c>
      <c r="AM14" s="71" t="n">
        <f aca="false">AM9+AM12-AM10-AM13</f>
        <v>0</v>
      </c>
    </row>
    <row r="15" customFormat="false" ht="21" hidden="false" customHeight="true" outlineLevel="0" collapsed="false">
      <c r="C15" s="56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</row>
    <row r="16" customFormat="false" ht="21" hidden="false" customHeight="true" outlineLevel="0" collapsed="false">
      <c r="C16" s="56" t="s">
        <v>311</v>
      </c>
      <c r="D16" s="69"/>
      <c r="E16" s="69"/>
      <c r="F16" s="69"/>
      <c r="G16" s="69"/>
      <c r="H16" s="69"/>
      <c r="I16" s="69"/>
      <c r="J16" s="69" t="n">
        <f aca="false">H1Data!D62</f>
        <v>237.42780274</v>
      </c>
      <c r="K16" s="69" t="n">
        <f aca="false">Inventory!J19</f>
        <v>237.42780274</v>
      </c>
      <c r="L16" s="69" t="n">
        <f aca="false">Inventory!K19</f>
        <v>237.42780274</v>
      </c>
      <c r="M16" s="69" t="n">
        <f aca="false">Inventory!L19</f>
        <v>237.42780274</v>
      </c>
      <c r="N16" s="69" t="n">
        <f aca="false">Inventory!M19</f>
        <v>237.42780274</v>
      </c>
      <c r="O16" s="69" t="n">
        <f aca="false">Inventory!N19</f>
        <v>237.42780274</v>
      </c>
      <c r="P16" s="69" t="n">
        <f aca="false">Inventory!O19</f>
        <v>237.42780274</v>
      </c>
      <c r="Q16" s="69" t="n">
        <f aca="false">Inventory!P19</f>
        <v>237.42780274</v>
      </c>
      <c r="R16" s="69" t="n">
        <f aca="false">Inventory!Q19</f>
        <v>237.42780274</v>
      </c>
      <c r="S16" s="69" t="n">
        <f aca="false">Inventory!R19</f>
        <v>237.42780274</v>
      </c>
      <c r="T16" s="69" t="n">
        <f aca="false">Inventory!S19</f>
        <v>237.42780274</v>
      </c>
      <c r="U16" s="69" t="n">
        <f aca="false">Inventory!T19</f>
        <v>237.42780274</v>
      </c>
      <c r="V16" s="69" t="n">
        <f aca="false">Inventory!U19</f>
        <v>237.42780274</v>
      </c>
      <c r="W16" s="69" t="n">
        <f aca="false">Inventory!V19</f>
        <v>237.42780274</v>
      </c>
      <c r="X16" s="69" t="n">
        <f aca="false">Inventory!W19</f>
        <v>237.42780274</v>
      </c>
      <c r="Y16" s="69" t="n">
        <f aca="false">Inventory!X19</f>
        <v>237.42780274</v>
      </c>
      <c r="Z16" s="69" t="n">
        <f aca="false">Inventory!Y19</f>
        <v>237.42780274</v>
      </c>
      <c r="AA16" s="69" t="n">
        <f aca="false">Inventory!Z19</f>
        <v>237.42780274</v>
      </c>
      <c r="AB16" s="69" t="n">
        <f aca="false">Inventory!AA19</f>
        <v>237.42780274</v>
      </c>
      <c r="AC16" s="69" t="n">
        <f aca="false">Inventory!AB19</f>
        <v>237.42780274</v>
      </c>
      <c r="AD16" s="69" t="n">
        <f aca="false">Inventory!AC19</f>
        <v>237.42780274</v>
      </c>
      <c r="AE16" s="69" t="n">
        <f aca="false">Inventory!AD19</f>
        <v>237.42780274</v>
      </c>
      <c r="AF16" s="69" t="n">
        <f aca="false">Inventory!AE19</f>
        <v>237.42780274</v>
      </c>
      <c r="AG16" s="69" t="n">
        <f aca="false">Inventory!AF19</f>
        <v>237.42780274</v>
      </c>
      <c r="AH16" s="69" t="n">
        <f aca="false">Inventory!AG19</f>
        <v>237.42780274</v>
      </c>
      <c r="AI16" s="69" t="n">
        <f aca="false">Inventory!AH19</f>
        <v>237.42780274</v>
      </c>
      <c r="AJ16" s="69" t="n">
        <f aca="false">Inventory!AI19</f>
        <v>237.42780274</v>
      </c>
      <c r="AK16" s="69" t="n">
        <f aca="false">Inventory!AJ19</f>
        <v>237.42780274</v>
      </c>
      <c r="AL16" s="69" t="n">
        <f aca="false">Inventory!AK19</f>
        <v>237.42780274</v>
      </c>
      <c r="AM16" s="69" t="n">
        <f aca="false">Inventory!AL19</f>
        <v>237.42780274</v>
      </c>
    </row>
    <row r="17" customFormat="false" ht="21" hidden="false" customHeight="true" outlineLevel="0" collapsed="false">
      <c r="C17" s="56" t="s">
        <v>184</v>
      </c>
      <c r="D17" s="69"/>
      <c r="E17" s="69"/>
      <c r="F17" s="69"/>
      <c r="G17" s="69"/>
      <c r="H17" s="69"/>
      <c r="I17" s="69"/>
      <c r="J17" s="69" t="n">
        <f aca="false">MAX(0,Inputs!J33)</f>
        <v>0</v>
      </c>
      <c r="K17" s="69" t="n">
        <f aca="false">MAX(0,Inputs!K33)</f>
        <v>0</v>
      </c>
      <c r="L17" s="69" t="n">
        <f aca="false">MAX(0,Inputs!L33)</f>
        <v>0</v>
      </c>
      <c r="M17" s="69" t="n">
        <f aca="false">MAX(0,Inputs!M33)</f>
        <v>0</v>
      </c>
      <c r="N17" s="69" t="n">
        <f aca="false">MAX(0,Inputs!N33)</f>
        <v>0</v>
      </c>
      <c r="O17" s="69" t="n">
        <f aca="false">MAX(0,Inputs!O33)</f>
        <v>0</v>
      </c>
      <c r="P17" s="69" t="n">
        <f aca="false">MAX(0,Inputs!P33)</f>
        <v>0</v>
      </c>
      <c r="Q17" s="69" t="n">
        <f aca="false">MAX(0,Inputs!Q33)</f>
        <v>0</v>
      </c>
      <c r="R17" s="69" t="n">
        <f aca="false">MAX(0,Inputs!R33)</f>
        <v>0</v>
      </c>
      <c r="S17" s="69" t="n">
        <f aca="false">MAX(0,Inputs!S33)</f>
        <v>0</v>
      </c>
      <c r="T17" s="69" t="n">
        <f aca="false">MAX(0,Inputs!T33)</f>
        <v>0</v>
      </c>
      <c r="U17" s="69" t="n">
        <f aca="false">MAX(0,Inputs!U33)</f>
        <v>0</v>
      </c>
      <c r="V17" s="69" t="n">
        <f aca="false">MAX(0,Inputs!V33)</f>
        <v>0</v>
      </c>
      <c r="W17" s="69" t="n">
        <f aca="false">MAX(0,Inputs!W33)</f>
        <v>0</v>
      </c>
      <c r="X17" s="69" t="n">
        <f aca="false">MAX(0,Inputs!X33)</f>
        <v>0</v>
      </c>
      <c r="Y17" s="69" t="n">
        <f aca="false">MAX(0,Inputs!Y33)</f>
        <v>0</v>
      </c>
      <c r="Z17" s="69" t="n">
        <f aca="false">MAX(0,Inputs!Z33)</f>
        <v>0</v>
      </c>
      <c r="AA17" s="69" t="n">
        <f aca="false">MAX(0,Inputs!AA33)</f>
        <v>0</v>
      </c>
      <c r="AB17" s="69" t="n">
        <f aca="false">MAX(0,Inputs!AB33)</f>
        <v>0</v>
      </c>
      <c r="AC17" s="69" t="n">
        <f aca="false">MAX(0,Inputs!AC33)</f>
        <v>0</v>
      </c>
      <c r="AD17" s="69" t="n">
        <f aca="false">MAX(0,Inputs!AD33)</f>
        <v>0</v>
      </c>
      <c r="AE17" s="69" t="n">
        <f aca="false">MAX(0,Inputs!AE33)</f>
        <v>0</v>
      </c>
      <c r="AF17" s="69" t="n">
        <f aca="false">MAX(0,Inputs!AF33)</f>
        <v>0</v>
      </c>
      <c r="AG17" s="69" t="n">
        <f aca="false">MAX(0,Inputs!AG33)</f>
        <v>0</v>
      </c>
      <c r="AH17" s="69" t="n">
        <f aca="false">MAX(0,Inputs!AH33)</f>
        <v>0</v>
      </c>
      <c r="AI17" s="69" t="n">
        <f aca="false">MAX(0,Inputs!AI33)</f>
        <v>0</v>
      </c>
      <c r="AJ17" s="69" t="n">
        <f aca="false">MAX(0,Inputs!AJ33)</f>
        <v>0</v>
      </c>
      <c r="AK17" s="69" t="n">
        <f aca="false">MAX(0,Inputs!AK33)</f>
        <v>0</v>
      </c>
      <c r="AL17" s="69" t="n">
        <f aca="false">MAX(0,Inputs!AL33)</f>
        <v>0</v>
      </c>
      <c r="AM17" s="69" t="n">
        <f aca="false">MAX(0,Inputs!AM33)</f>
        <v>0</v>
      </c>
    </row>
    <row r="18" customFormat="false" ht="21" hidden="false" customHeight="true" outlineLevel="0" collapsed="false">
      <c r="C18" s="56" t="s">
        <v>312</v>
      </c>
      <c r="D18" s="69"/>
      <c r="E18" s="69"/>
      <c r="F18" s="69"/>
      <c r="G18" s="69"/>
      <c r="H18" s="69"/>
      <c r="I18" s="69"/>
      <c r="J18" s="69" t="n">
        <f aca="false">IF(Production!J84&gt;0,MIN(MAX(0,Inputs!J34),J16+J17),0)</f>
        <v>0</v>
      </c>
      <c r="K18" s="69" t="n">
        <f aca="false">IF(Production!K84&gt;0,MIN(MAX(0,Inputs!K34),K16+K17),0)</f>
        <v>0</v>
      </c>
      <c r="L18" s="69" t="n">
        <f aca="false">IF(Production!L84&gt;0,MIN(MAX(0,Inputs!L34),L16+L17),0)</f>
        <v>0</v>
      </c>
      <c r="M18" s="69" t="n">
        <f aca="false">IF(Production!M84&gt;0,MIN(MAX(0,Inputs!M34),M16+M17),0)</f>
        <v>0</v>
      </c>
      <c r="N18" s="69" t="n">
        <f aca="false">IF(Production!N84&gt;0,MIN(MAX(0,Inputs!N34),N16+N17),0)</f>
        <v>0</v>
      </c>
      <c r="O18" s="69" t="n">
        <f aca="false">IF(Production!O84&gt;0,MIN(MAX(0,Inputs!O34),O16+O17),0)</f>
        <v>0</v>
      </c>
      <c r="P18" s="69" t="n">
        <f aca="false">IF(Production!P84&gt;0,MIN(MAX(0,Inputs!P34),P16+P17),0)</f>
        <v>0</v>
      </c>
      <c r="Q18" s="69" t="n">
        <f aca="false">IF(Production!Q84&gt;0,MIN(MAX(0,Inputs!Q34),Q16+Q17),0)</f>
        <v>0</v>
      </c>
      <c r="R18" s="69" t="n">
        <f aca="false">IF(Production!R84&gt;0,MIN(MAX(0,Inputs!R34),R16+R17),0)</f>
        <v>0</v>
      </c>
      <c r="S18" s="69" t="n">
        <f aca="false">IF(Production!S84&gt;0,MIN(MAX(0,Inputs!S34),S16+S17),0)</f>
        <v>0</v>
      </c>
      <c r="T18" s="69" t="n">
        <f aca="false">IF(Production!T84&gt;0,MIN(MAX(0,Inputs!T34),T16+T17),0)</f>
        <v>0</v>
      </c>
      <c r="U18" s="69" t="n">
        <f aca="false">IF(Production!U84&gt;0,MIN(MAX(0,Inputs!U34),U16+U17),0)</f>
        <v>0</v>
      </c>
      <c r="V18" s="69" t="n">
        <f aca="false">IF(Production!V84&gt;0,MIN(MAX(0,Inputs!V34),V16+V17),0)</f>
        <v>0</v>
      </c>
      <c r="W18" s="69" t="n">
        <f aca="false">IF(Production!W84&gt;0,MIN(MAX(0,Inputs!W34),W16+W17),0)</f>
        <v>0</v>
      </c>
      <c r="X18" s="69" t="n">
        <f aca="false">IF(Production!X84&gt;0,MIN(MAX(0,Inputs!X34),X16+X17),0)</f>
        <v>0</v>
      </c>
      <c r="Y18" s="69" t="n">
        <f aca="false">IF(Production!Y84&gt;0,MIN(MAX(0,Inputs!Y34),Y16+Y17),0)</f>
        <v>0</v>
      </c>
      <c r="Z18" s="69" t="n">
        <f aca="false">IF(Production!Z84&gt;0,MIN(MAX(0,Inputs!Z34),Z16+Z17),0)</f>
        <v>0</v>
      </c>
      <c r="AA18" s="69" t="n">
        <f aca="false">IF(Production!AA84&gt;0,MIN(MAX(0,Inputs!AA34),AA16+AA17),0)</f>
        <v>0</v>
      </c>
      <c r="AB18" s="69" t="n">
        <f aca="false">IF(Production!AB84&gt;0,MIN(MAX(0,Inputs!AB34),AB16+AB17),0)</f>
        <v>0</v>
      </c>
      <c r="AC18" s="69" t="n">
        <f aca="false">IF(Production!AC84&gt;0,MIN(MAX(0,Inputs!AC34),AC16+AC17),0)</f>
        <v>0</v>
      </c>
      <c r="AD18" s="69" t="n">
        <f aca="false">IF(Production!AD84&gt;0,MIN(MAX(0,Inputs!AD34),AD16+AD17),0)</f>
        <v>0</v>
      </c>
      <c r="AE18" s="69" t="n">
        <f aca="false">IF(Production!AE84&gt;0,MIN(MAX(0,Inputs!AE34),AE16+AE17),0)</f>
        <v>0</v>
      </c>
      <c r="AF18" s="69" t="n">
        <f aca="false">IF(Production!AF84&gt;0,MIN(MAX(0,Inputs!AF34),AF16+AF17),0)</f>
        <v>0</v>
      </c>
      <c r="AG18" s="69" t="n">
        <f aca="false">IF(Production!AG84&gt;0,MIN(MAX(0,Inputs!AG34),AG16+AG17),0)</f>
        <v>0</v>
      </c>
      <c r="AH18" s="69" t="n">
        <f aca="false">IF(Production!AH84&gt;0,MIN(MAX(0,Inputs!AH34),AH16+AH17),0)</f>
        <v>0</v>
      </c>
      <c r="AI18" s="69" t="n">
        <f aca="false">IF(Production!AI84&gt;0,MIN(MAX(0,Inputs!AI34),AI16+AI17),0)</f>
        <v>0</v>
      </c>
      <c r="AJ18" s="69" t="n">
        <f aca="false">IF(Production!AJ84&gt;0,MIN(MAX(0,Inputs!AJ34),AJ16+AJ17),0)</f>
        <v>0</v>
      </c>
      <c r="AK18" s="69" t="n">
        <f aca="false">IF(Production!AK84&gt;0,MIN(MAX(0,Inputs!AK34),AK16+AK17),0)</f>
        <v>0</v>
      </c>
      <c r="AL18" s="69" t="n">
        <f aca="false">IF(Production!AL84&gt;0,MIN(MAX(0,Inputs!AL34),AL16+AL17),0)</f>
        <v>0</v>
      </c>
      <c r="AM18" s="69" t="n">
        <f aca="false">IF(Production!AM84&gt;0,MIN(MAX(0,Inputs!AM34),AM16+AM17),0)</f>
        <v>0</v>
      </c>
    </row>
    <row r="19" customFormat="false" ht="21" hidden="false" customHeight="true" outlineLevel="0" collapsed="false">
      <c r="C19" s="60" t="s">
        <v>313</v>
      </c>
      <c r="D19" s="70"/>
      <c r="E19" s="70"/>
      <c r="F19" s="70"/>
      <c r="G19" s="70"/>
      <c r="H19" s="70"/>
      <c r="I19" s="70"/>
      <c r="J19" s="70" t="n">
        <f aca="false">J16+J17-J18</f>
        <v>237.42780274</v>
      </c>
      <c r="K19" s="70" t="n">
        <f aca="false">K16+K17-K18</f>
        <v>237.42780274</v>
      </c>
      <c r="L19" s="70" t="n">
        <f aca="false">L16+L17-L18</f>
        <v>237.42780274</v>
      </c>
      <c r="M19" s="70" t="n">
        <f aca="false">M16+M17-M18</f>
        <v>237.42780274</v>
      </c>
      <c r="N19" s="70" t="n">
        <f aca="false">N16+N17-N18</f>
        <v>237.42780274</v>
      </c>
      <c r="O19" s="70" t="n">
        <f aca="false">O16+O17-O18</f>
        <v>237.42780274</v>
      </c>
      <c r="P19" s="70" t="n">
        <f aca="false">P16+P17-P18</f>
        <v>237.42780274</v>
      </c>
      <c r="Q19" s="70" t="n">
        <f aca="false">Q16+Q17-Q18</f>
        <v>237.42780274</v>
      </c>
      <c r="R19" s="70" t="n">
        <f aca="false">R16+R17-R18</f>
        <v>237.42780274</v>
      </c>
      <c r="S19" s="70" t="n">
        <f aca="false">S16+S17-S18</f>
        <v>237.42780274</v>
      </c>
      <c r="T19" s="70" t="n">
        <f aca="false">T16+T17-T18</f>
        <v>237.42780274</v>
      </c>
      <c r="U19" s="70" t="n">
        <f aca="false">U16+U17-U18</f>
        <v>237.42780274</v>
      </c>
      <c r="V19" s="70" t="n">
        <f aca="false">V16+V17-V18</f>
        <v>237.42780274</v>
      </c>
      <c r="W19" s="70" t="n">
        <f aca="false">W16+W17-W18</f>
        <v>237.42780274</v>
      </c>
      <c r="X19" s="70" t="n">
        <f aca="false">X16+X17-X18</f>
        <v>237.42780274</v>
      </c>
      <c r="Y19" s="70" t="n">
        <f aca="false">Y16+Y17-Y18</f>
        <v>237.42780274</v>
      </c>
      <c r="Z19" s="70" t="n">
        <f aca="false">Z16+Z17-Z18</f>
        <v>237.42780274</v>
      </c>
      <c r="AA19" s="70" t="n">
        <f aca="false">AA16+AA17-AA18</f>
        <v>237.42780274</v>
      </c>
      <c r="AB19" s="70" t="n">
        <f aca="false">AB16+AB17-AB18</f>
        <v>237.42780274</v>
      </c>
      <c r="AC19" s="70" t="n">
        <f aca="false">AC16+AC17-AC18</f>
        <v>237.42780274</v>
      </c>
      <c r="AD19" s="70" t="n">
        <f aca="false">AD16+AD17-AD18</f>
        <v>237.42780274</v>
      </c>
      <c r="AE19" s="70" t="n">
        <f aca="false">AE16+AE17-AE18</f>
        <v>237.42780274</v>
      </c>
      <c r="AF19" s="70" t="n">
        <f aca="false">AF16+AF17-AF18</f>
        <v>237.42780274</v>
      </c>
      <c r="AG19" s="70" t="n">
        <f aca="false">AG16+AG17-AG18</f>
        <v>237.42780274</v>
      </c>
      <c r="AH19" s="70" t="n">
        <f aca="false">AH16+AH17-AH18</f>
        <v>237.42780274</v>
      </c>
      <c r="AI19" s="70" t="n">
        <f aca="false">AI16+AI17-AI18</f>
        <v>237.42780274</v>
      </c>
      <c r="AJ19" s="70" t="n">
        <f aca="false">AJ16+AJ17-AJ18</f>
        <v>237.42780274</v>
      </c>
      <c r="AK19" s="70" t="n">
        <f aca="false">AK16+AK17-AK18</f>
        <v>237.42780274</v>
      </c>
      <c r="AL19" s="70" t="n">
        <f aca="false">AL16+AL17-AL18</f>
        <v>237.42780274</v>
      </c>
      <c r="AM19" s="70" t="n">
        <f aca="false">AM16+AM17-AM18</f>
        <v>237.42780274</v>
      </c>
    </row>
    <row r="20" customFormat="false" ht="21" hidden="false" customHeight="true" outlineLevel="0" collapsed="false">
      <c r="C20" s="56" t="s">
        <v>314</v>
      </c>
      <c r="D20" s="71"/>
      <c r="E20" s="71"/>
      <c r="F20" s="71"/>
      <c r="G20" s="71"/>
      <c r="H20" s="71"/>
      <c r="I20" s="71"/>
      <c r="J20" s="71" t="n">
        <f aca="false">J16+J17-J18-J19</f>
        <v>0</v>
      </c>
      <c r="K20" s="71" t="n">
        <f aca="false">K16+K17-K18-K19</f>
        <v>0</v>
      </c>
      <c r="L20" s="71" t="n">
        <f aca="false">L16+L17-L18-L19</f>
        <v>0</v>
      </c>
      <c r="M20" s="71" t="n">
        <f aca="false">M16+M17-M18-M19</f>
        <v>0</v>
      </c>
      <c r="N20" s="71" t="n">
        <f aca="false">N16+N17-N18-N19</f>
        <v>0</v>
      </c>
      <c r="O20" s="71" t="n">
        <f aca="false">O16+O17-O18-O19</f>
        <v>0</v>
      </c>
      <c r="P20" s="71" t="n">
        <f aca="false">P16+P17-P18-P19</f>
        <v>0</v>
      </c>
      <c r="Q20" s="71" t="n">
        <f aca="false">Q16+Q17-Q18-Q19</f>
        <v>0</v>
      </c>
      <c r="R20" s="71" t="n">
        <f aca="false">R16+R17-R18-R19</f>
        <v>0</v>
      </c>
      <c r="S20" s="71" t="n">
        <f aca="false">S16+S17-S18-S19</f>
        <v>0</v>
      </c>
      <c r="T20" s="71" t="n">
        <f aca="false">T16+T17-T18-T19</f>
        <v>0</v>
      </c>
      <c r="U20" s="71" t="n">
        <f aca="false">U16+U17-U18-U19</f>
        <v>0</v>
      </c>
      <c r="V20" s="71" t="n">
        <f aca="false">V16+V17-V18-V19</f>
        <v>0</v>
      </c>
      <c r="W20" s="71" t="n">
        <f aca="false">W16+W17-W18-W19</f>
        <v>0</v>
      </c>
      <c r="X20" s="71" t="n">
        <f aca="false">X16+X17-X18-X19</f>
        <v>0</v>
      </c>
      <c r="Y20" s="71" t="n">
        <f aca="false">Y16+Y17-Y18-Y19</f>
        <v>0</v>
      </c>
      <c r="Z20" s="71" t="n">
        <f aca="false">Z16+Z17-Z18-Z19</f>
        <v>0</v>
      </c>
      <c r="AA20" s="71" t="n">
        <f aca="false">AA16+AA17-AA18-AA19</f>
        <v>0</v>
      </c>
      <c r="AB20" s="71" t="n">
        <f aca="false">AB16+AB17-AB18-AB19</f>
        <v>0</v>
      </c>
      <c r="AC20" s="71" t="n">
        <f aca="false">AC16+AC17-AC18-AC19</f>
        <v>0</v>
      </c>
      <c r="AD20" s="71" t="n">
        <f aca="false">AD16+AD17-AD18-AD19</f>
        <v>0</v>
      </c>
      <c r="AE20" s="71" t="n">
        <f aca="false">AE16+AE17-AE18-AE19</f>
        <v>0</v>
      </c>
      <c r="AF20" s="71" t="n">
        <f aca="false">AF16+AF17-AF18-AF19</f>
        <v>0</v>
      </c>
      <c r="AG20" s="71" t="n">
        <f aca="false">AG16+AG17-AG18-AG19</f>
        <v>0</v>
      </c>
      <c r="AH20" s="71" t="n">
        <f aca="false">AH16+AH17-AH18-AH19</f>
        <v>0</v>
      </c>
      <c r="AI20" s="71" t="n">
        <f aca="false">AI16+AI17-AI18-AI19</f>
        <v>0</v>
      </c>
      <c r="AJ20" s="71" t="n">
        <f aca="false">AJ16+AJ17-AJ18-AJ19</f>
        <v>0</v>
      </c>
      <c r="AK20" s="71" t="n">
        <f aca="false">AK16+AK17-AK18-AK19</f>
        <v>0</v>
      </c>
      <c r="AL20" s="71" t="n">
        <f aca="false">AL16+AL17-AL18-AL19</f>
        <v>0</v>
      </c>
      <c r="AM20" s="71" t="n">
        <f aca="false">AM16+AM17-AM18-AM19</f>
        <v>0</v>
      </c>
    </row>
    <row r="21" customFormat="false" ht="21" hidden="false" customHeight="true" outlineLevel="0" collapsed="false">
      <c r="C21" s="56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</row>
    <row r="22" customFormat="false" ht="21" hidden="false" customHeight="true" outlineLevel="0" collapsed="false">
      <c r="C22" s="56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</row>
    <row r="23" customFormat="false" ht="21" hidden="false" customHeight="true" outlineLevel="0" collapsed="false">
      <c r="C23" s="56" t="s">
        <v>315</v>
      </c>
      <c r="D23" s="69"/>
      <c r="E23" s="69"/>
      <c r="F23" s="69"/>
      <c r="G23" s="69"/>
      <c r="H23" s="69"/>
      <c r="I23" s="69"/>
      <c r="J23" s="69" t="n">
        <f aca="false">Production!J89</f>
        <v>741.712154054085</v>
      </c>
      <c r="K23" s="69" t="n">
        <f aca="false">Production!K89</f>
        <v>674.742845605303</v>
      </c>
      <c r="L23" s="69" t="n">
        <f aca="false">Production!L89</f>
        <v>665.312128252318</v>
      </c>
      <c r="M23" s="69" t="n">
        <f aca="false">Production!M89</f>
        <v>632.16682810867</v>
      </c>
      <c r="N23" s="69" t="n">
        <f aca="false">Production!N89</f>
        <v>645.717377332684</v>
      </c>
      <c r="O23" s="69" t="n">
        <f aca="false">Production!O89</f>
        <v>623.193243443608</v>
      </c>
      <c r="P23" s="69" t="n">
        <f aca="false">Production!P89</f>
        <v>666.300181698483</v>
      </c>
      <c r="Q23" s="69" t="n">
        <f aca="false">Production!Q89</f>
        <v>737.756158912653</v>
      </c>
      <c r="R23" s="69" t="n">
        <f aca="false">Production!R89</f>
        <v>670.913448183244</v>
      </c>
      <c r="S23" s="69" t="n">
        <f aca="false">Production!S89</f>
        <v>692.29385921619</v>
      </c>
      <c r="T23" s="69" t="n">
        <f aca="false">Production!T89</f>
        <v>671.110051030614</v>
      </c>
      <c r="U23" s="69" t="n">
        <f aca="false">Production!U89</f>
        <v>692.505636104226</v>
      </c>
      <c r="V23" s="69" t="n">
        <f aca="false">Production!V89</f>
        <v>657.902262104143</v>
      </c>
      <c r="W23" s="69" t="n">
        <f aca="false">Production!W89</f>
        <v>657.81247528317</v>
      </c>
      <c r="X23" s="69" t="n">
        <f aca="false">Production!X89</f>
        <v>678.626340596385</v>
      </c>
      <c r="Y23" s="69" t="n">
        <f aca="false">Production!Y89</f>
        <v>657.838593004864</v>
      </c>
      <c r="Z23" s="69" t="n">
        <f aca="false">Production!Z89</f>
        <v>678.757130184813</v>
      </c>
      <c r="AA23" s="69" t="n">
        <f aca="false">Production!AA89</f>
        <v>658.017923079576</v>
      </c>
      <c r="AB23" s="69" t="n">
        <f aca="false">Production!AB89</f>
        <v>705.310050846384</v>
      </c>
      <c r="AC23" s="69" t="n">
        <f aca="false">Production!AC89</f>
        <v>755.770344087572</v>
      </c>
      <c r="AD23" s="69" t="n">
        <f aca="false">Production!AD89</f>
        <v>710.864854142323</v>
      </c>
      <c r="AE23" s="69" t="n">
        <f aca="false">Production!AE89</f>
        <v>734.033805709934</v>
      </c>
      <c r="AF23" s="69" t="n">
        <f aca="false">Production!AF89</f>
        <v>711.773411824197</v>
      </c>
      <c r="AG23" s="69" t="n">
        <f aca="false">Production!AG89</f>
        <v>734.601542198781</v>
      </c>
      <c r="AH23" s="69" t="n">
        <f aca="false">Production!AH89</f>
        <v>698.978108989989</v>
      </c>
      <c r="AI23" s="69" t="n">
        <f aca="false">Production!AI89</f>
        <v>698.925492247102</v>
      </c>
      <c r="AJ23" s="69" t="n">
        <f aca="false">Production!AJ89</f>
        <v>721.442861604813</v>
      </c>
      <c r="AK23" s="69" t="n">
        <f aca="false">Production!AK89</f>
        <v>699.506511719225</v>
      </c>
      <c r="AL23" s="69" t="n">
        <f aca="false">Production!AL89</f>
        <v>721.839940097101</v>
      </c>
      <c r="AM23" s="69" t="n">
        <f aca="false">Production!AM89</f>
        <v>699.814903050316</v>
      </c>
    </row>
    <row r="24" customFormat="false" ht="21" hidden="false" customHeight="true" outlineLevel="0" collapsed="false">
      <c r="C24" s="56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</row>
    <row r="25" customFormat="false" ht="21" hidden="false" customHeight="true" outlineLevel="0" collapsed="false">
      <c r="C25" s="56" t="s">
        <v>316</v>
      </c>
      <c r="D25" s="69"/>
      <c r="E25" s="69"/>
      <c r="F25" s="69"/>
      <c r="G25" s="69"/>
      <c r="H25" s="69"/>
      <c r="I25" s="69"/>
      <c r="J25" s="69" t="n">
        <f aca="false">H1Data!D64</f>
        <v>319.15065797</v>
      </c>
      <c r="K25" s="69" t="n">
        <f aca="false">H1Data!D64</f>
        <v>319.15065797</v>
      </c>
      <c r="L25" s="69" t="n">
        <f aca="false">H1Data!D64</f>
        <v>319.15065797</v>
      </c>
      <c r="M25" s="69" t="n">
        <f aca="false">H1Data!D64</f>
        <v>319.15065797</v>
      </c>
      <c r="N25" s="69" t="n">
        <f aca="false">H1Data!D64</f>
        <v>319.15065797</v>
      </c>
      <c r="O25" s="69" t="n">
        <f aca="false">H1Data!D64</f>
        <v>319.15065797</v>
      </c>
      <c r="P25" s="69" t="n">
        <f aca="false">H1Data!D64</f>
        <v>319.15065797</v>
      </c>
      <c r="Q25" s="69" t="n">
        <f aca="false">H1Data!D64</f>
        <v>319.15065797</v>
      </c>
      <c r="R25" s="69" t="n">
        <f aca="false">H1Data!D64</f>
        <v>319.15065797</v>
      </c>
      <c r="S25" s="69" t="n">
        <f aca="false">H1Data!D64</f>
        <v>319.15065797</v>
      </c>
      <c r="T25" s="69" t="n">
        <f aca="false">H1Data!D64</f>
        <v>319.15065797</v>
      </c>
      <c r="U25" s="69" t="n">
        <f aca="false">H1Data!D64</f>
        <v>319.15065797</v>
      </c>
      <c r="V25" s="69" t="n">
        <f aca="false">H1Data!D64</f>
        <v>319.15065797</v>
      </c>
      <c r="W25" s="69" t="n">
        <f aca="false">H1Data!D64</f>
        <v>319.15065797</v>
      </c>
      <c r="X25" s="69" t="n">
        <f aca="false">H1Data!D64</f>
        <v>319.15065797</v>
      </c>
      <c r="Y25" s="69" t="n">
        <f aca="false">H1Data!D64</f>
        <v>319.15065797</v>
      </c>
      <c r="Z25" s="69" t="n">
        <f aca="false">H1Data!D64</f>
        <v>319.15065797</v>
      </c>
      <c r="AA25" s="69" t="n">
        <f aca="false">H1Data!D64</f>
        <v>319.15065797</v>
      </c>
      <c r="AB25" s="69" t="n">
        <f aca="false">H1Data!D64</f>
        <v>319.15065797</v>
      </c>
      <c r="AC25" s="69" t="n">
        <f aca="false">H1Data!D64</f>
        <v>319.15065797</v>
      </c>
      <c r="AD25" s="69" t="n">
        <f aca="false">H1Data!D64</f>
        <v>319.15065797</v>
      </c>
      <c r="AE25" s="69" t="n">
        <f aca="false">H1Data!D64</f>
        <v>319.15065797</v>
      </c>
      <c r="AF25" s="69" t="n">
        <f aca="false">H1Data!D64</f>
        <v>319.15065797</v>
      </c>
      <c r="AG25" s="69" t="n">
        <f aca="false">H1Data!D64</f>
        <v>319.15065797</v>
      </c>
      <c r="AH25" s="69" t="n">
        <f aca="false">H1Data!D64</f>
        <v>319.15065797</v>
      </c>
      <c r="AI25" s="69" t="n">
        <f aca="false">H1Data!D64</f>
        <v>319.15065797</v>
      </c>
      <c r="AJ25" s="69" t="n">
        <f aca="false">H1Data!D64</f>
        <v>319.15065797</v>
      </c>
      <c r="AK25" s="69" t="n">
        <f aca="false">H1Data!D64</f>
        <v>319.15065797</v>
      </c>
      <c r="AL25" s="69" t="n">
        <f aca="false">H1Data!D64</f>
        <v>319.15065797</v>
      </c>
      <c r="AM25" s="69" t="n">
        <f aca="false">H1Data!D64</f>
        <v>319.15065797</v>
      </c>
    </row>
    <row r="26" customFormat="false" ht="21" hidden="false" customHeight="true" outlineLevel="0" collapsed="false">
      <c r="C26" s="56" t="s">
        <v>317</v>
      </c>
      <c r="D26" s="69"/>
      <c r="E26" s="69"/>
      <c r="F26" s="69"/>
      <c r="G26" s="69"/>
      <c r="H26" s="69"/>
      <c r="I26" s="69"/>
      <c r="J26" s="69" t="n">
        <f aca="false">H1Data!D65</f>
        <v>66.36601785</v>
      </c>
      <c r="K26" s="69" t="n">
        <f aca="false">H1Data!D65</f>
        <v>66.36601785</v>
      </c>
      <c r="L26" s="69" t="n">
        <f aca="false">H1Data!D65</f>
        <v>66.36601785</v>
      </c>
      <c r="M26" s="69" t="n">
        <f aca="false">H1Data!D65</f>
        <v>66.36601785</v>
      </c>
      <c r="N26" s="69" t="n">
        <f aca="false">H1Data!D65</f>
        <v>66.36601785</v>
      </c>
      <c r="O26" s="69" t="n">
        <f aca="false">H1Data!D65</f>
        <v>66.36601785</v>
      </c>
      <c r="P26" s="69" t="n">
        <f aca="false">H1Data!D65</f>
        <v>66.36601785</v>
      </c>
      <c r="Q26" s="69" t="n">
        <f aca="false">H1Data!D65</f>
        <v>66.36601785</v>
      </c>
      <c r="R26" s="69" t="n">
        <f aca="false">H1Data!D65</f>
        <v>66.36601785</v>
      </c>
      <c r="S26" s="69" t="n">
        <f aca="false">H1Data!D65</f>
        <v>66.36601785</v>
      </c>
      <c r="T26" s="69" t="n">
        <f aca="false">H1Data!D65</f>
        <v>66.36601785</v>
      </c>
      <c r="U26" s="69" t="n">
        <f aca="false">H1Data!D65</f>
        <v>66.36601785</v>
      </c>
      <c r="V26" s="69" t="n">
        <f aca="false">H1Data!D65</f>
        <v>66.36601785</v>
      </c>
      <c r="W26" s="69" t="n">
        <f aca="false">H1Data!D65</f>
        <v>66.36601785</v>
      </c>
      <c r="X26" s="69" t="n">
        <f aca="false">H1Data!D65</f>
        <v>66.36601785</v>
      </c>
      <c r="Y26" s="69" t="n">
        <f aca="false">H1Data!D65</f>
        <v>66.36601785</v>
      </c>
      <c r="Z26" s="69" t="n">
        <f aca="false">H1Data!D65</f>
        <v>66.36601785</v>
      </c>
      <c r="AA26" s="69" t="n">
        <f aca="false">H1Data!D65</f>
        <v>66.36601785</v>
      </c>
      <c r="AB26" s="69" t="n">
        <f aca="false">H1Data!D65</f>
        <v>66.36601785</v>
      </c>
      <c r="AC26" s="69" t="n">
        <f aca="false">H1Data!D65</f>
        <v>66.36601785</v>
      </c>
      <c r="AD26" s="69" t="n">
        <f aca="false">H1Data!D65</f>
        <v>66.36601785</v>
      </c>
      <c r="AE26" s="69" t="n">
        <f aca="false">H1Data!D65</f>
        <v>66.36601785</v>
      </c>
      <c r="AF26" s="69" t="n">
        <f aca="false">H1Data!D65</f>
        <v>66.36601785</v>
      </c>
      <c r="AG26" s="69" t="n">
        <f aca="false">H1Data!D65</f>
        <v>66.36601785</v>
      </c>
      <c r="AH26" s="69" t="n">
        <f aca="false">H1Data!D65</f>
        <v>66.36601785</v>
      </c>
      <c r="AI26" s="69" t="n">
        <f aca="false">H1Data!D65</f>
        <v>66.36601785</v>
      </c>
      <c r="AJ26" s="69" t="n">
        <f aca="false">H1Data!D65</f>
        <v>66.36601785</v>
      </c>
      <c r="AK26" s="69" t="n">
        <f aca="false">H1Data!D65</f>
        <v>66.36601785</v>
      </c>
      <c r="AL26" s="69" t="n">
        <f aca="false">H1Data!D65</f>
        <v>66.36601785</v>
      </c>
      <c r="AM26" s="69" t="n">
        <f aca="false">H1Data!D65</f>
        <v>66.36601785</v>
      </c>
    </row>
    <row r="27" customFormat="false" ht="21" hidden="false" customHeight="true" outlineLevel="0" collapsed="false">
      <c r="C27" s="56" t="s">
        <v>318</v>
      </c>
      <c r="D27" s="69"/>
      <c r="E27" s="69"/>
      <c r="F27" s="69"/>
      <c r="G27" s="69"/>
      <c r="H27" s="69"/>
      <c r="I27" s="69"/>
      <c r="J27" s="69" t="n">
        <f aca="false">H1Data!D66</f>
        <v>10.3506264</v>
      </c>
      <c r="K27" s="69" t="n">
        <f aca="false">H1Data!D66</f>
        <v>10.3506264</v>
      </c>
      <c r="L27" s="69" t="n">
        <f aca="false">H1Data!D66</f>
        <v>10.3506264</v>
      </c>
      <c r="M27" s="69" t="n">
        <f aca="false">H1Data!D66</f>
        <v>10.3506264</v>
      </c>
      <c r="N27" s="69" t="n">
        <f aca="false">H1Data!D66</f>
        <v>10.3506264</v>
      </c>
      <c r="O27" s="69" t="n">
        <f aca="false">H1Data!D66</f>
        <v>10.3506264</v>
      </c>
      <c r="P27" s="69" t="n">
        <f aca="false">H1Data!D66</f>
        <v>10.3506264</v>
      </c>
      <c r="Q27" s="69" t="n">
        <f aca="false">H1Data!D66</f>
        <v>10.3506264</v>
      </c>
      <c r="R27" s="69" t="n">
        <f aca="false">H1Data!D66</f>
        <v>10.3506264</v>
      </c>
      <c r="S27" s="69" t="n">
        <f aca="false">H1Data!D66</f>
        <v>10.3506264</v>
      </c>
      <c r="T27" s="69" t="n">
        <f aca="false">H1Data!D66</f>
        <v>10.3506264</v>
      </c>
      <c r="U27" s="69" t="n">
        <f aca="false">H1Data!D66</f>
        <v>10.3506264</v>
      </c>
      <c r="V27" s="69" t="n">
        <f aca="false">H1Data!D66</f>
        <v>10.3506264</v>
      </c>
      <c r="W27" s="69" t="n">
        <f aca="false">H1Data!D66</f>
        <v>10.3506264</v>
      </c>
      <c r="X27" s="69" t="n">
        <f aca="false">H1Data!D66</f>
        <v>10.3506264</v>
      </c>
      <c r="Y27" s="69" t="n">
        <f aca="false">H1Data!D66</f>
        <v>10.3506264</v>
      </c>
      <c r="Z27" s="69" t="n">
        <f aca="false">H1Data!D66</f>
        <v>10.3506264</v>
      </c>
      <c r="AA27" s="69" t="n">
        <f aca="false">H1Data!D66</f>
        <v>10.3506264</v>
      </c>
      <c r="AB27" s="69" t="n">
        <f aca="false">H1Data!D66</f>
        <v>10.3506264</v>
      </c>
      <c r="AC27" s="69" t="n">
        <f aca="false">H1Data!D66</f>
        <v>10.3506264</v>
      </c>
      <c r="AD27" s="69" t="n">
        <f aca="false">H1Data!D66</f>
        <v>10.3506264</v>
      </c>
      <c r="AE27" s="69" t="n">
        <f aca="false">H1Data!D66</f>
        <v>10.3506264</v>
      </c>
      <c r="AF27" s="69" t="n">
        <f aca="false">H1Data!D66</f>
        <v>10.3506264</v>
      </c>
      <c r="AG27" s="69" t="n">
        <f aca="false">H1Data!D66</f>
        <v>10.3506264</v>
      </c>
      <c r="AH27" s="69" t="n">
        <f aca="false">H1Data!D66</f>
        <v>10.3506264</v>
      </c>
      <c r="AI27" s="69" t="n">
        <f aca="false">H1Data!D66</f>
        <v>10.3506264</v>
      </c>
      <c r="AJ27" s="69" t="n">
        <f aca="false">H1Data!D66</f>
        <v>10.3506264</v>
      </c>
      <c r="AK27" s="69" t="n">
        <f aca="false">H1Data!D66</f>
        <v>10.3506264</v>
      </c>
      <c r="AL27" s="69" t="n">
        <f aca="false">H1Data!D66</f>
        <v>10.3506264</v>
      </c>
      <c r="AM27" s="69" t="n">
        <f aca="false">H1Data!D66</f>
        <v>10.3506264</v>
      </c>
    </row>
    <row r="28" customFormat="false" ht="21" hidden="false" customHeight="true" outlineLevel="0" collapsed="false">
      <c r="C28" s="56" t="s">
        <v>319</v>
      </c>
      <c r="D28" s="69"/>
      <c r="E28" s="69"/>
      <c r="F28" s="69"/>
      <c r="G28" s="69"/>
      <c r="H28" s="69"/>
      <c r="I28" s="69"/>
      <c r="J28" s="69" t="n">
        <f aca="false">H1Data!D67</f>
        <v>11.09291106</v>
      </c>
      <c r="K28" s="69" t="n">
        <f aca="false">H1Data!D67</f>
        <v>11.09291106</v>
      </c>
      <c r="L28" s="69" t="n">
        <f aca="false">H1Data!D67</f>
        <v>11.09291106</v>
      </c>
      <c r="M28" s="69" t="n">
        <f aca="false">H1Data!D67</f>
        <v>11.09291106</v>
      </c>
      <c r="N28" s="69" t="n">
        <f aca="false">H1Data!D67</f>
        <v>11.09291106</v>
      </c>
      <c r="O28" s="69" t="n">
        <f aca="false">H1Data!D67</f>
        <v>11.09291106</v>
      </c>
      <c r="P28" s="69" t="n">
        <f aca="false">H1Data!D67</f>
        <v>11.09291106</v>
      </c>
      <c r="Q28" s="69" t="n">
        <f aca="false">H1Data!D67</f>
        <v>11.09291106</v>
      </c>
      <c r="R28" s="69" t="n">
        <f aca="false">H1Data!D67</f>
        <v>11.09291106</v>
      </c>
      <c r="S28" s="69" t="n">
        <f aca="false">H1Data!D67</f>
        <v>11.09291106</v>
      </c>
      <c r="T28" s="69" t="n">
        <f aca="false">H1Data!D67</f>
        <v>11.09291106</v>
      </c>
      <c r="U28" s="69" t="n">
        <f aca="false">H1Data!D67</f>
        <v>11.09291106</v>
      </c>
      <c r="V28" s="69" t="n">
        <f aca="false">H1Data!D67</f>
        <v>11.09291106</v>
      </c>
      <c r="W28" s="69" t="n">
        <f aca="false">H1Data!D67</f>
        <v>11.09291106</v>
      </c>
      <c r="X28" s="69" t="n">
        <f aca="false">H1Data!D67</f>
        <v>11.09291106</v>
      </c>
      <c r="Y28" s="69" t="n">
        <f aca="false">H1Data!D67</f>
        <v>11.09291106</v>
      </c>
      <c r="Z28" s="69" t="n">
        <f aca="false">H1Data!D67</f>
        <v>11.09291106</v>
      </c>
      <c r="AA28" s="69" t="n">
        <f aca="false">H1Data!D67</f>
        <v>11.09291106</v>
      </c>
      <c r="AB28" s="69" t="n">
        <f aca="false">H1Data!D67</f>
        <v>11.09291106</v>
      </c>
      <c r="AC28" s="69" t="n">
        <f aca="false">H1Data!D67</f>
        <v>11.09291106</v>
      </c>
      <c r="AD28" s="69" t="n">
        <f aca="false">H1Data!D67</f>
        <v>11.09291106</v>
      </c>
      <c r="AE28" s="69" t="n">
        <f aca="false">H1Data!D67</f>
        <v>11.09291106</v>
      </c>
      <c r="AF28" s="69" t="n">
        <f aca="false">H1Data!D67</f>
        <v>11.09291106</v>
      </c>
      <c r="AG28" s="69" t="n">
        <f aca="false">H1Data!D67</f>
        <v>11.09291106</v>
      </c>
      <c r="AH28" s="69" t="n">
        <f aca="false">H1Data!D67</f>
        <v>11.09291106</v>
      </c>
      <c r="AI28" s="69" t="n">
        <f aca="false">H1Data!D67</f>
        <v>11.09291106</v>
      </c>
      <c r="AJ28" s="69" t="n">
        <f aca="false">H1Data!D67</f>
        <v>11.09291106</v>
      </c>
      <c r="AK28" s="69" t="n">
        <f aca="false">H1Data!D67</f>
        <v>11.09291106</v>
      </c>
      <c r="AL28" s="69" t="n">
        <f aca="false">H1Data!D67</f>
        <v>11.09291106</v>
      </c>
      <c r="AM28" s="69" t="n">
        <f aca="false">H1Data!D67</f>
        <v>11.09291106</v>
      </c>
    </row>
    <row r="29" customFormat="false" ht="21" hidden="false" customHeight="true" outlineLevel="0" collapsed="false">
      <c r="C29" s="56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</row>
    <row r="30" customFormat="false" ht="21" hidden="false" customHeight="true" outlineLevel="0" collapsed="false">
      <c r="C30" s="60" t="s">
        <v>320</v>
      </c>
      <c r="D30" s="70"/>
      <c r="E30" s="70"/>
      <c r="F30" s="70"/>
      <c r="G30" s="70"/>
      <c r="H30" s="70"/>
      <c r="I30" s="70"/>
      <c r="J30" s="70" t="n">
        <f aca="false">SUM(J13,J19,J23,J25:J28)</f>
        <v>1485.80573853177</v>
      </c>
      <c r="K30" s="70" t="n">
        <f aca="false">SUM(K13,K19,K23,K25:K28)</f>
        <v>1418.67289023545</v>
      </c>
      <c r="L30" s="70" t="n">
        <f aca="false">SUM(L13,L19,L23,L25:L28)</f>
        <v>1415.27336224386</v>
      </c>
      <c r="M30" s="70" t="n">
        <f aca="false">SUM(M13,M19,M23,M25:M28)</f>
        <v>1373.47127105393</v>
      </c>
      <c r="N30" s="70" t="n">
        <f aca="false">SUM(N13,N19,N23,N25:N28)</f>
        <v>1395.67861132423</v>
      </c>
      <c r="O30" s="70" t="n">
        <f aca="false">SUM(O13,O19,O23,O25:O28)</f>
        <v>1364.49768638886</v>
      </c>
      <c r="P30" s="70" t="n">
        <f aca="false">SUM(P13,P19,P23,P25:P28)</f>
        <v>1424.06433845027</v>
      </c>
      <c r="Q30" s="70" t="n">
        <f aca="false">SUM(Q13,Q19,Q23,Q25:Q28)</f>
        <v>1512.02661290519</v>
      </c>
      <c r="R30" s="70" t="n">
        <f aca="false">SUM(R13,R19,R23,R25:R28)</f>
        <v>1414.27710218299</v>
      </c>
      <c r="S30" s="70" t="n">
        <f aca="false">SUM(S13,S19,S23,S25:S28)</f>
        <v>1451.37868102477</v>
      </c>
      <c r="T30" s="70" t="n">
        <f aca="false">SUM(T13,T19,T23,T25:T28)</f>
        <v>1420.78996598435</v>
      </c>
      <c r="U30" s="70" t="n">
        <f aca="false">SUM(U13,U19,U23,U25:U28)</f>
        <v>1451.59045791281</v>
      </c>
      <c r="V30" s="70" t="n">
        <f aca="false">SUM(V13,V19,V23,V25:V28)</f>
        <v>1402.53373727679</v>
      </c>
      <c r="W30" s="70" t="n">
        <f aca="false">SUM(W13,W19,W23,W25:W28)</f>
        <v>1407.18353235108</v>
      </c>
      <c r="X30" s="70" t="n">
        <f aca="false">SUM(X13,X19,X23,X25:X28)</f>
        <v>1434.37942149398</v>
      </c>
      <c r="Y30" s="70" t="n">
        <f aca="false">SUM(Y13,Y19,Y23,Y25:Y28)</f>
        <v>1404.42004769076</v>
      </c>
      <c r="Z30" s="70" t="n">
        <f aca="false">SUM(Z13,Z19,Z23,Z25:Z28)</f>
        <v>1434.51021108241</v>
      </c>
      <c r="AA30" s="70" t="n">
        <f aca="false">SUM(AA13,AA19,AA23,AA25:AA28)</f>
        <v>1404.59937776547</v>
      </c>
      <c r="AB30" s="70" t="n">
        <f aca="false">SUM(AB13,AB19,AB23,AB25:AB28)</f>
        <v>1469.31221524425</v>
      </c>
      <c r="AC30" s="70" t="n">
        <f aca="false">SUM(AC13,AC19,AC23,AC25:AC28)</f>
        <v>1528.78269999449</v>
      </c>
      <c r="AD30" s="70" t="n">
        <f aca="false">SUM(AD13,AD19,AD23,AD25:AD28)</f>
        <v>1463.0381268901</v>
      </c>
      <c r="AE30" s="70" t="n">
        <f aca="false">SUM(AE13,AE19,AE23,AE25:AE28)</f>
        <v>1499.41100310869</v>
      </c>
      <c r="AF30" s="70" t="n">
        <f aca="false">SUM(AF13,AF19,AF23,AF25:AF28)</f>
        <v>1467.18637538997</v>
      </c>
      <c r="AG30" s="70" t="n">
        <f aca="false">SUM(AG13,AG19,AG23,AG25:AG28)</f>
        <v>1499.97873959754</v>
      </c>
      <c r="AH30" s="70" t="n">
        <f aca="false">SUM(AH13,AH19,AH23,AH25:AH28)</f>
        <v>1449.30639129831</v>
      </c>
      <c r="AI30" s="70" t="n">
        <f aca="false">SUM(AI13,AI19,AI23,AI25:AI28)</f>
        <v>1454.14370059947</v>
      </c>
      <c r="AJ30" s="70" t="n">
        <f aca="false">SUM(AJ13,AJ19,AJ23,AJ25:AJ28)</f>
        <v>1483.42307007716</v>
      </c>
      <c r="AK30" s="70" t="n">
        <f aca="false">SUM(AK13,AK19,AK23,AK25:AK28)</f>
        <v>1451.75601648233</v>
      </c>
      <c r="AL30" s="70" t="n">
        <f aca="false">SUM(AL13,AL19,AL23,AL25:AL28)</f>
        <v>1483.82014856945</v>
      </c>
      <c r="AM30" s="70" t="n">
        <f aca="false">SUM(AM13,AM19,AM23,AM25:AM28)</f>
        <v>1452.06440781342</v>
      </c>
    </row>
    <row r="31" customFormat="false" ht="21" hidden="false" customHeight="true" outlineLevel="0" collapsed="false">
      <c r="C31" s="56" t="s">
        <v>321</v>
      </c>
      <c r="D31" s="69"/>
      <c r="E31" s="69"/>
      <c r="F31" s="69"/>
      <c r="G31" s="69"/>
      <c r="H31" s="69"/>
      <c r="I31" s="69"/>
      <c r="J31" s="69" t="n">
        <f aca="false">J30-H1Data!D22</f>
        <v>-151.158509808229</v>
      </c>
      <c r="K31" s="69" t="n">
        <f aca="false">K30-(Inventory!J30)</f>
        <v>-67.1328482963174</v>
      </c>
      <c r="L31" s="69" t="n">
        <f aca="false">L30-(Inventory!K30)</f>
        <v>-3.39952799158914</v>
      </c>
      <c r="M31" s="69" t="n">
        <f aca="false">M30-(Inventory!L30)</f>
        <v>-41.8020911899382</v>
      </c>
      <c r="N31" s="69" t="n">
        <f aca="false">N30-(Inventory!M30)</f>
        <v>22.2073402703045</v>
      </c>
      <c r="O31" s="69" t="n">
        <f aca="false">O30-(Inventory!N30)</f>
        <v>-31.1809249353664</v>
      </c>
      <c r="P31" s="69" t="n">
        <f aca="false">P30-(Inventory!O30)</f>
        <v>59.5666520614032</v>
      </c>
      <c r="Q31" s="69" t="n">
        <f aca="false">Q30-(Inventory!P30)</f>
        <v>87.9622744549251</v>
      </c>
      <c r="R31" s="69" t="n">
        <f aca="false">R30-(Inventory!Q30)</f>
        <v>-97.7495107221982</v>
      </c>
      <c r="S31" s="69" t="n">
        <f aca="false">S30-(Inventory!R30)</f>
        <v>37.1015788417794</v>
      </c>
      <c r="T31" s="69" t="n">
        <f aca="false">T30-(Inventory!S30)</f>
        <v>-30.5887150404221</v>
      </c>
      <c r="U31" s="69" t="n">
        <f aca="false">U30-(Inventory!T30)</f>
        <v>30.8004919284581</v>
      </c>
      <c r="V31" s="69" t="n">
        <f aca="false">V30-(Inventory!U30)</f>
        <v>-49.0567206360204</v>
      </c>
      <c r="W31" s="69" t="n">
        <f aca="false">W30-(Inventory!V30)</f>
        <v>4.64979507429257</v>
      </c>
      <c r="X31" s="69" t="n">
        <f aca="false">X30-(Inventory!W30)</f>
        <v>27.1958891428978</v>
      </c>
      <c r="Y31" s="69" t="n">
        <f aca="false">Y30-(Inventory!X30)</f>
        <v>-29.9593738032222</v>
      </c>
      <c r="Z31" s="69" t="n">
        <f aca="false">Z30-(Inventory!Y30)</f>
        <v>30.0901633916506</v>
      </c>
      <c r="AA31" s="69" t="n">
        <f aca="false">AA30-(Inventory!Z30)</f>
        <v>-29.9108333169386</v>
      </c>
      <c r="AB31" s="69" t="n">
        <f aca="false">AB30-(Inventory!AA30)</f>
        <v>64.7128374787826</v>
      </c>
      <c r="AC31" s="69" t="n">
        <f aca="false">AC30-(Inventory!AB30)</f>
        <v>59.4704847502358</v>
      </c>
      <c r="AD31" s="69" t="n">
        <f aca="false">AD30-(Inventory!AC30)</f>
        <v>-65.744573104387</v>
      </c>
      <c r="AE31" s="69" t="n">
        <f aca="false">AE30-(Inventory!AD30)</f>
        <v>36.3728762185895</v>
      </c>
      <c r="AF31" s="69" t="n">
        <f aca="false">AF30-(Inventory!AE30)</f>
        <v>-32.2246277187203</v>
      </c>
      <c r="AG31" s="69" t="n">
        <f aca="false">AG30-(Inventory!AF30)</f>
        <v>32.7923642075675</v>
      </c>
      <c r="AH31" s="69" t="n">
        <f aca="false">AH30-(Inventory!AG30)</f>
        <v>-50.6723482992322</v>
      </c>
      <c r="AI31" s="69" t="n">
        <f aca="false">AI30-(Inventory!AH30)</f>
        <v>4.8373093011619</v>
      </c>
      <c r="AJ31" s="69" t="n">
        <f aca="false">AJ30-(Inventory!AI30)</f>
        <v>29.2793694776922</v>
      </c>
      <c r="AK31" s="69" t="n">
        <f aca="false">AK30-(Inventory!AJ30)</f>
        <v>-31.6670535948306</v>
      </c>
      <c r="AL31" s="69" t="n">
        <f aca="false">AL30-(Inventory!AK30)</f>
        <v>32.0641320871187</v>
      </c>
      <c r="AM31" s="69" t="n">
        <f aca="false">AM30-(Inventory!AL30)</f>
        <v>-31.7557407560266</v>
      </c>
    </row>
    <row r="32" customFormat="false" ht="21" hidden="false" customHeight="true" outlineLevel="0" collapsed="false">
      <c r="C32" s="56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</row>
    <row r="33" customFormat="false" ht="21" hidden="false" customHeight="true" outlineLevel="0" collapsed="false">
      <c r="C33" s="56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</row>
    <row r="34" customFormat="false" ht="21" hidden="false" customHeight="true" outlineLevel="0" collapsed="false">
      <c r="C34" s="56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</row>
    <row r="35" customFormat="false" ht="21" hidden="false" customHeight="true" outlineLevel="0" collapsed="false">
      <c r="C35" s="56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</row>
    <row r="36" customFormat="false" ht="21" hidden="false" customHeight="true" outlineLevel="0" collapsed="false">
      <c r="C36" s="56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</row>
    <row r="37" customFormat="false" ht="21" hidden="false" customHeight="true" outlineLevel="0" collapsed="false">
      <c r="C37" s="56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</row>
    <row r="38" customFormat="false" ht="21" hidden="false" customHeight="true" outlineLevel="0" collapsed="false">
      <c r="C38" s="5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</row>
    <row r="39" customFormat="false" ht="21" hidden="false" customHeight="true" outlineLevel="0" collapsed="false">
      <c r="C39" s="56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</row>
    <row r="40" customFormat="false" ht="21" hidden="false" customHeight="true" outlineLevel="0" collapsed="false">
      <c r="C40" s="56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</row>
    <row r="41" customFormat="false" ht="21" hidden="false" customHeight="true" outlineLevel="0" collapsed="false">
      <c r="C41" s="56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</row>
    <row r="42" customFormat="false" ht="21" hidden="false" customHeight="true" outlineLevel="0" collapsed="false">
      <c r="C42" s="56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</row>
    <row r="43" customFormat="false" ht="21" hidden="false" customHeight="true" outlineLevel="0" collapsed="false">
      <c r="C43" s="56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</row>
    <row r="44" customFormat="false" ht="21" hidden="false" customHeight="true" outlineLevel="0" collapsed="false">
      <c r="C44" s="56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</row>
    <row r="45" customFormat="false" ht="21" hidden="false" customHeight="true" outlineLevel="0" collapsed="false">
      <c r="C45" s="56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</row>
    <row r="46" customFormat="false" ht="21" hidden="false" customHeight="true" outlineLevel="0" collapsed="false">
      <c r="C46" s="56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</row>
    <row r="47" customFormat="false" ht="21" hidden="false" customHeight="true" outlineLevel="0" collapsed="false"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</row>
    <row r="48" customFormat="false" ht="21" hidden="false" customHeight="true" outlineLevel="0" collapsed="false">
      <c r="C48" s="56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</row>
    <row r="49" customFormat="false" ht="21" hidden="false" customHeight="true" outlineLevel="0" collapsed="false">
      <c r="C49" s="56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</row>
    <row r="50" customFormat="false" ht="21" hidden="false" customHeight="true" outlineLevel="0" collapsed="false">
      <c r="C50" s="56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</row>
    <row r="51" customFormat="false" ht="21" hidden="false" customHeight="true" outlineLevel="0" collapsed="false">
      <c r="C51" s="56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</row>
    <row r="52" customFormat="false" ht="21" hidden="false" customHeight="true" outlineLevel="0" collapsed="false">
      <c r="C52" s="56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</row>
    <row r="53" customFormat="false" ht="21" hidden="false" customHeight="true" outlineLevel="0" collapsed="false">
      <c r="C53" s="56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</row>
    <row r="54" customFormat="false" ht="21" hidden="false" customHeight="true" outlineLevel="0" collapsed="false">
      <c r="C54" s="56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</row>
    <row r="55" customFormat="false" ht="21" hidden="false" customHeight="true" outlineLevel="0" collapsed="false">
      <c r="C55" s="56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</row>
    <row r="56" customFormat="false" ht="21" hidden="false" customHeight="true" outlineLevel="0" collapsed="false">
      <c r="C56" s="56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</row>
    <row r="57" customFormat="false" ht="21" hidden="false" customHeight="true" outlineLevel="0" collapsed="false">
      <c r="C57" s="56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</row>
    <row r="58" customFormat="false" ht="21" hidden="false" customHeight="true" outlineLevel="0" collapsed="false">
      <c r="C58" s="56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</row>
    <row r="59" customFormat="false" ht="21" hidden="false" customHeight="true" outlineLevel="0" collapsed="false">
      <c r="C59" s="56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</row>
    <row r="60" customFormat="false" ht="21" hidden="false" customHeight="true" outlineLevel="0" collapsed="false">
      <c r="C60" s="56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</row>
    <row r="61" customFormat="false" ht="21" hidden="false" customHeight="true" outlineLevel="0" collapsed="false">
      <c r="C61" s="56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</row>
    <row r="62" customFormat="false" ht="21" hidden="false" customHeight="true" outlineLevel="0" collapsed="false">
      <c r="C62" s="56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</row>
    <row r="63" customFormat="false" ht="21" hidden="false" customHeight="true" outlineLevel="0" collapsed="false">
      <c r="C63" s="5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</row>
    <row r="64" customFormat="false" ht="21" hidden="false" customHeight="true" outlineLevel="0" collapsed="false">
      <c r="C64" s="56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</row>
    <row r="65" customFormat="false" ht="21" hidden="false" customHeight="true" outlineLevel="0" collapsed="false">
      <c r="C65" s="5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</row>
    <row r="66" customFormat="false" ht="21" hidden="false" customHeight="true" outlineLevel="0" collapsed="false">
      <c r="C66" s="56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</row>
    <row r="67" customFormat="false" ht="21" hidden="false" customHeight="true" outlineLevel="0" collapsed="false">
      <c r="C67" s="5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</row>
    <row r="68" customFormat="false" ht="21" hidden="false" customHeight="true" outlineLevel="0" collapsed="false">
      <c r="C68" s="56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</row>
    <row r="69" customFormat="false" ht="21" hidden="false" customHeight="true" outlineLevel="0" collapsed="false">
      <c r="C69" s="5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</row>
    <row r="70" customFormat="false" ht="21" hidden="false" customHeight="true" outlineLevel="0" collapsed="false">
      <c r="C70" s="56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</row>
    <row r="71" customFormat="false" ht="21" hidden="false" customHeight="true" outlineLevel="0" collapsed="false">
      <c r="C71" s="56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</row>
  </sheetData>
  <sheetProtection sheet="1" objects="1" scenarios="1" selectLockedCells="0" selectUnlockedCells="0"/>
  <mergeCells count="2">
    <mergeCell ref="C2:K2"/>
    <mergeCell ref="C3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C1:AM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39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customFormat="false" ht="33" hidden="false" customHeight="true" outlineLevel="0" collapsed="false">
      <c r="C2" s="57" t="s">
        <v>322</v>
      </c>
      <c r="D2" s="57"/>
      <c r="E2" s="57"/>
      <c r="F2" s="57"/>
      <c r="G2" s="57"/>
      <c r="H2" s="57"/>
      <c r="I2" s="57"/>
      <c r="J2" s="57"/>
      <c r="K2" s="57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</row>
    <row r="3" customFormat="false" ht="21" hidden="false" customHeight="true" outlineLevel="0" collapsed="false">
      <c r="C3" s="58" t="s">
        <v>129</v>
      </c>
      <c r="D3" s="58"/>
      <c r="E3" s="58"/>
      <c r="F3" s="58"/>
      <c r="G3" s="58"/>
      <c r="H3" s="58"/>
      <c r="I3" s="58"/>
      <c r="J3" s="58"/>
      <c r="K3" s="58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</row>
    <row r="6" customFormat="false" ht="21" hidden="false" customHeight="true" outlineLevel="0" collapsed="false">
      <c r="C6" s="56"/>
      <c r="D6" s="56" t="s">
        <v>130</v>
      </c>
      <c r="E6" s="56" t="s">
        <v>130</v>
      </c>
      <c r="F6" s="56" t="s">
        <v>130</v>
      </c>
      <c r="G6" s="56" t="s">
        <v>130</v>
      </c>
      <c r="H6" s="56" t="s">
        <v>130</v>
      </c>
      <c r="I6" s="56" t="s">
        <v>221</v>
      </c>
      <c r="J6" s="56" t="s">
        <v>132</v>
      </c>
      <c r="K6" s="56" t="s">
        <v>132</v>
      </c>
      <c r="L6" s="56" t="s">
        <v>132</v>
      </c>
      <c r="M6" s="56" t="s">
        <v>132</v>
      </c>
      <c r="N6" s="56" t="s">
        <v>132</v>
      </c>
      <c r="O6" s="56" t="s">
        <v>132</v>
      </c>
      <c r="P6" s="56" t="s">
        <v>132</v>
      </c>
      <c r="Q6" s="56" t="s">
        <v>132</v>
      </c>
      <c r="R6" s="56" t="s">
        <v>132</v>
      </c>
      <c r="S6" s="56" t="s">
        <v>132</v>
      </c>
      <c r="T6" s="56" t="s">
        <v>132</v>
      </c>
      <c r="U6" s="56" t="s">
        <v>132</v>
      </c>
      <c r="V6" s="56" t="s">
        <v>132</v>
      </c>
      <c r="W6" s="56" t="s">
        <v>132</v>
      </c>
      <c r="X6" s="56" t="s">
        <v>132</v>
      </c>
      <c r="Y6" s="56" t="s">
        <v>132</v>
      </c>
      <c r="Z6" s="56" t="s">
        <v>132</v>
      </c>
      <c r="AA6" s="56" t="s">
        <v>132</v>
      </c>
      <c r="AB6" s="56" t="s">
        <v>132</v>
      </c>
      <c r="AC6" s="56" t="s">
        <v>132</v>
      </c>
      <c r="AD6" s="56" t="s">
        <v>132</v>
      </c>
      <c r="AE6" s="56" t="s">
        <v>132</v>
      </c>
      <c r="AF6" s="56" t="s">
        <v>132</v>
      </c>
      <c r="AG6" s="56" t="s">
        <v>132</v>
      </c>
      <c r="AH6" s="56" t="s">
        <v>132</v>
      </c>
      <c r="AI6" s="56" t="s">
        <v>132</v>
      </c>
      <c r="AJ6" s="56" t="s">
        <v>132</v>
      </c>
      <c r="AK6" s="56" t="s">
        <v>132</v>
      </c>
      <c r="AL6" s="56" t="s">
        <v>132</v>
      </c>
      <c r="AM6" s="56" t="s">
        <v>132</v>
      </c>
    </row>
    <row r="7" customFormat="false" ht="21" hidden="false" customHeight="true" outlineLevel="0" collapsed="false">
      <c r="C7" s="63"/>
      <c r="D7" s="73" t="n">
        <v>46053</v>
      </c>
      <c r="E7" s="73" t="n">
        <v>46081</v>
      </c>
      <c r="F7" s="73" t="n">
        <v>46112</v>
      </c>
      <c r="G7" s="73" t="n">
        <v>46142</v>
      </c>
      <c r="H7" s="73" t="n">
        <v>46173</v>
      </c>
      <c r="I7" s="73" t="n">
        <v>46203</v>
      </c>
      <c r="J7" s="73" t="n">
        <v>46234</v>
      </c>
      <c r="K7" s="73" t="n">
        <v>46265</v>
      </c>
      <c r="L7" s="73" t="n">
        <v>46295</v>
      </c>
      <c r="M7" s="73" t="n">
        <v>46326</v>
      </c>
      <c r="N7" s="73" t="n">
        <v>46356</v>
      </c>
      <c r="O7" s="73" t="n">
        <v>46387</v>
      </c>
      <c r="P7" s="73" t="n">
        <v>46418</v>
      </c>
      <c r="Q7" s="73" t="n">
        <v>46446</v>
      </c>
      <c r="R7" s="73" t="n">
        <v>46477</v>
      </c>
      <c r="S7" s="73" t="n">
        <v>46507</v>
      </c>
      <c r="T7" s="73" t="n">
        <v>46538</v>
      </c>
      <c r="U7" s="73" t="n">
        <v>46568</v>
      </c>
      <c r="V7" s="73" t="n">
        <v>46599</v>
      </c>
      <c r="W7" s="73" t="n">
        <v>46630</v>
      </c>
      <c r="X7" s="73" t="n">
        <v>46660</v>
      </c>
      <c r="Y7" s="73" t="n">
        <v>46691</v>
      </c>
      <c r="Z7" s="73" t="n">
        <v>46721</v>
      </c>
      <c r="AA7" s="73" t="n">
        <v>46752</v>
      </c>
      <c r="AB7" s="73" t="n">
        <v>46783</v>
      </c>
      <c r="AC7" s="73" t="n">
        <v>46812</v>
      </c>
      <c r="AD7" s="73" t="n">
        <v>46843</v>
      </c>
      <c r="AE7" s="73" t="n">
        <v>46873</v>
      </c>
      <c r="AF7" s="73" t="n">
        <v>46904</v>
      </c>
      <c r="AG7" s="73" t="n">
        <v>46934</v>
      </c>
      <c r="AH7" s="73" t="n">
        <v>46965</v>
      </c>
      <c r="AI7" s="73" t="n">
        <v>46996</v>
      </c>
      <c r="AJ7" s="73" t="n">
        <v>47026</v>
      </c>
      <c r="AK7" s="73" t="n">
        <v>47057</v>
      </c>
      <c r="AL7" s="73" t="n">
        <v>47087</v>
      </c>
      <c r="AM7" s="73" t="n">
        <v>47118</v>
      </c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</row>
    <row r="9" customFormat="false" ht="21" hidden="false" customHeight="true" outlineLevel="0" collapsed="false">
      <c r="C9" s="56" t="s">
        <v>323</v>
      </c>
      <c r="D9" s="69"/>
      <c r="E9" s="69"/>
      <c r="F9" s="69"/>
      <c r="G9" s="69"/>
      <c r="H9" s="69"/>
      <c r="I9" s="69"/>
      <c r="J9" s="69" t="n">
        <f aca="false">H1Data!D18</f>
        <v>337.46138503</v>
      </c>
      <c r="K9" s="69" t="n">
        <f aca="false">Receivables!J12</f>
        <v>333.406175223639</v>
      </c>
      <c r="L9" s="69" t="n">
        <f aca="false">Receivables!K12</f>
        <v>333.406175223639</v>
      </c>
      <c r="M9" s="69" t="n">
        <f aca="false">Receivables!L12</f>
        <v>344.51971439776</v>
      </c>
      <c r="N9" s="69" t="n">
        <f aca="false">Receivables!M12</f>
        <v>333.406175223639</v>
      </c>
      <c r="O9" s="69" t="n">
        <f aca="false">Receivables!N12</f>
        <v>344.51971439776</v>
      </c>
      <c r="P9" s="69" t="n">
        <f aca="false">Receivables!O12</f>
        <v>333.406175223639</v>
      </c>
      <c r="Q9" s="69" t="n">
        <f aca="false">Receivables!P12</f>
        <v>356.087042565751</v>
      </c>
      <c r="R9" s="69" t="n">
        <f aca="false">Receivables!Q12</f>
        <v>394.239225697796</v>
      </c>
      <c r="S9" s="69" t="n">
        <f aca="false">Receivables!R12</f>
        <v>356.087042565751</v>
      </c>
      <c r="T9" s="69" t="n">
        <f aca="false">Receivables!S12</f>
        <v>367.956610651277</v>
      </c>
      <c r="U9" s="69" t="n">
        <f aca="false">Receivables!T12</f>
        <v>356.087042565751</v>
      </c>
      <c r="V9" s="69" t="n">
        <f aca="false">Receivables!U12</f>
        <v>367.956610651277</v>
      </c>
      <c r="W9" s="69" t="n">
        <f aca="false">Receivables!V12</f>
        <v>345.502977956357</v>
      </c>
      <c r="X9" s="69" t="n">
        <f aca="false">Receivables!W12</f>
        <v>345.502977956357</v>
      </c>
      <c r="Y9" s="69" t="n">
        <f aca="false">Receivables!X12</f>
        <v>357.019743888236</v>
      </c>
      <c r="Z9" s="69" t="n">
        <f aca="false">Receivables!Y12</f>
        <v>345.502977956357</v>
      </c>
      <c r="AA9" s="69" t="n">
        <f aca="false">Receivables!Z12</f>
        <v>357.019743888236</v>
      </c>
      <c r="AB9" s="69" t="n">
        <f aca="false">Receivables!AA12</f>
        <v>345.502977956357</v>
      </c>
      <c r="AC9" s="69" t="n">
        <f aca="false">Receivables!AB12</f>
        <v>368.971555048529</v>
      </c>
      <c r="AD9" s="69" t="n">
        <f aca="false">Receivables!AC12</f>
        <v>394.417869189807</v>
      </c>
      <c r="AE9" s="69" t="n">
        <f aca="false">Receivables!AD12</f>
        <v>368.971555048529</v>
      </c>
      <c r="AF9" s="69" t="n">
        <f aca="false">Receivables!AE12</f>
        <v>381.27060688348</v>
      </c>
      <c r="AG9" s="69" t="n">
        <f aca="false">Receivables!AF12</f>
        <v>368.971555048529</v>
      </c>
      <c r="AH9" s="69" t="n">
        <f aca="false">Receivables!AG12</f>
        <v>381.27060688348</v>
      </c>
      <c r="AI9" s="69" t="n">
        <f aca="false">Receivables!AH12</f>
        <v>358.233448061603</v>
      </c>
      <c r="AJ9" s="69" t="n">
        <f aca="false">Receivables!AI12</f>
        <v>358.233448061603</v>
      </c>
      <c r="AK9" s="69" t="n">
        <f aca="false">Receivables!AJ12</f>
        <v>370.17456299699</v>
      </c>
      <c r="AL9" s="69" t="n">
        <f aca="false">Receivables!AK12</f>
        <v>358.233448061603</v>
      </c>
      <c r="AM9" s="69" t="n">
        <f aca="false">Receivables!AL12</f>
        <v>370.17456299699</v>
      </c>
    </row>
    <row r="10" customFormat="false" ht="21" hidden="false" customHeight="true" outlineLevel="0" collapsed="false">
      <c r="C10" s="56" t="s">
        <v>324</v>
      </c>
      <c r="D10" s="69"/>
      <c r="E10" s="69"/>
      <c r="F10" s="69"/>
      <c r="G10" s="69"/>
      <c r="H10" s="69"/>
      <c r="I10" s="69"/>
      <c r="J10" s="69" t="n">
        <f aca="false">Revenue!J40-J38</f>
        <v>525.191075758489</v>
      </c>
      <c r="K10" s="69" t="n">
        <f aca="false">Revenue!K40-K38</f>
        <v>765.880177739101</v>
      </c>
      <c r="L10" s="69" t="n">
        <f aca="false">Revenue!L40-L38</f>
        <v>765.880177739101</v>
      </c>
      <c r="M10" s="69" t="n">
        <f aca="false">Revenue!M40-M38</f>
        <v>746.190928849122</v>
      </c>
      <c r="N10" s="69" t="n">
        <f aca="false">Revenue!N40-N38</f>
        <v>765.880177739101</v>
      </c>
      <c r="O10" s="69" t="n">
        <f aca="false">Revenue!O40-O38</f>
        <v>746.190928849122</v>
      </c>
      <c r="P10" s="69" t="n">
        <f aca="false">Revenue!P40-P38</f>
        <v>858.163723341698</v>
      </c>
      <c r="Q10" s="69" t="n">
        <f aca="false">Revenue!Q40-Q38</f>
        <v>817.981272446188</v>
      </c>
      <c r="R10" s="69" t="n">
        <f aca="false">Revenue!R40-R38</f>
        <v>750.389138418163</v>
      </c>
      <c r="S10" s="69" t="n">
        <f aca="false">Revenue!S40-S38</f>
        <v>817.981272446188</v>
      </c>
      <c r="T10" s="69" t="n">
        <f aca="false">Revenue!T40-T38</f>
        <v>796.952608526358</v>
      </c>
      <c r="U10" s="69" t="n">
        <f aca="false">Revenue!U40-U38</f>
        <v>817.981272446188</v>
      </c>
      <c r="V10" s="69" t="n">
        <f aca="false">Revenue!V40-V38</f>
        <v>753.888337909672</v>
      </c>
      <c r="W10" s="69" t="n">
        <f aca="false">Revenue!W40-W38</f>
        <v>793.668209621818</v>
      </c>
      <c r="X10" s="69" t="n">
        <f aca="false">Revenue!X40-X38</f>
        <v>793.668209621818</v>
      </c>
      <c r="Y10" s="69" t="n">
        <f aca="false">Revenue!Y40-Y38</f>
        <v>773.264585961732</v>
      </c>
      <c r="Z10" s="69" t="n">
        <f aca="false">Revenue!Z40-Z38</f>
        <v>793.668209621818</v>
      </c>
      <c r="AA10" s="69" t="n">
        <f aca="false">Revenue!AA40-AA38</f>
        <v>773.264585961732</v>
      </c>
      <c r="AB10" s="69" t="n">
        <f aca="false">Revenue!AB40-AB38</f>
        <v>889.156775894247</v>
      </c>
      <c r="AC10" s="69" t="n">
        <f aca="false">Revenue!AC40-AC38</f>
        <v>847.578782761562</v>
      </c>
      <c r="AD10" s="69" t="n">
        <f aca="false">Revenue!AD40-AD38</f>
        <v>802.496941179819</v>
      </c>
      <c r="AE10" s="69" t="n">
        <f aca="false">Revenue!AE40-AE38</f>
        <v>847.578782761562</v>
      </c>
      <c r="AF10" s="69" t="n">
        <f aca="false">Revenue!AF40-AF38</f>
        <v>825.789225997053</v>
      </c>
      <c r="AG10" s="69" t="n">
        <f aca="false">Revenue!AG40-AG38</f>
        <v>847.578782761562</v>
      </c>
      <c r="AH10" s="69" t="n">
        <f aca="false">Revenue!AH40-AH38</f>
        <v>782.098190250215</v>
      </c>
      <c r="AI10" s="69" t="n">
        <f aca="false">Revenue!AI40-AI38</f>
        <v>822.911863253512</v>
      </c>
      <c r="AJ10" s="69" t="n">
        <f aca="false">Revenue!AJ40-AJ38</f>
        <v>822.911863253512</v>
      </c>
      <c r="AK10" s="69" t="n">
        <f aca="false">Revenue!AK40-AK38</f>
        <v>801.756443696963</v>
      </c>
      <c r="AL10" s="69" t="n">
        <f aca="false">Revenue!AL40-AL38</f>
        <v>822.911863253512</v>
      </c>
      <c r="AM10" s="69" t="n">
        <f aca="false">Revenue!AM40-AM38</f>
        <v>801.756443696963</v>
      </c>
    </row>
    <row r="11" customFormat="false" ht="21" hidden="false" customHeight="true" outlineLevel="0" collapsed="false">
      <c r="C11" s="56" t="s">
        <v>325</v>
      </c>
      <c r="D11" s="69"/>
      <c r="E11" s="69"/>
      <c r="F11" s="69"/>
      <c r="G11" s="69"/>
      <c r="H11" s="69"/>
      <c r="I11" s="69"/>
      <c r="J11" s="69" t="n">
        <f aca="false">Revenue!J40/DAY(J$7)*MAX(0,Inputs!J30)</f>
        <v>333.406175223639</v>
      </c>
      <c r="K11" s="69" t="n">
        <f aca="false">Revenue!K40/DAY(K$7)*MAX(0,Inputs!K30)</f>
        <v>333.406175223639</v>
      </c>
      <c r="L11" s="69" t="n">
        <f aca="false">Revenue!L40/DAY(L$7)*MAX(0,Inputs!L30)</f>
        <v>344.51971439776</v>
      </c>
      <c r="M11" s="69" t="n">
        <f aca="false">Revenue!M40/DAY(M$7)*MAX(0,Inputs!M30)</f>
        <v>333.406175223639</v>
      </c>
      <c r="N11" s="69" t="n">
        <f aca="false">Revenue!N40/DAY(N$7)*MAX(0,Inputs!N30)</f>
        <v>344.51971439776</v>
      </c>
      <c r="O11" s="69" t="n">
        <f aca="false">Revenue!O40/DAY(O$7)*MAX(0,Inputs!O30)</f>
        <v>333.406175223639</v>
      </c>
      <c r="P11" s="69" t="n">
        <f aca="false">Revenue!P40/DAY(P$7)*MAX(0,Inputs!P30)</f>
        <v>356.087042565751</v>
      </c>
      <c r="Q11" s="69" t="n">
        <f aca="false">Revenue!Q40/DAY(Q$7)*MAX(0,Inputs!Q30)</f>
        <v>394.239225697796</v>
      </c>
      <c r="R11" s="69" t="n">
        <f aca="false">Revenue!R40/DAY(R$7)*MAX(0,Inputs!R30)</f>
        <v>356.087042565751</v>
      </c>
      <c r="S11" s="69" t="n">
        <f aca="false">Revenue!S40/DAY(S$7)*MAX(0,Inputs!S30)</f>
        <v>367.956610651277</v>
      </c>
      <c r="T11" s="69" t="n">
        <f aca="false">Revenue!T40/DAY(T$7)*MAX(0,Inputs!T30)</f>
        <v>356.087042565751</v>
      </c>
      <c r="U11" s="69" t="n">
        <f aca="false">Revenue!U40/DAY(U$7)*MAX(0,Inputs!U30)</f>
        <v>367.956610651277</v>
      </c>
      <c r="V11" s="69" t="n">
        <f aca="false">Revenue!V40/DAY(V$7)*MAX(0,Inputs!V30)</f>
        <v>345.502977956357</v>
      </c>
      <c r="W11" s="69" t="n">
        <f aca="false">Revenue!W40/DAY(W$7)*MAX(0,Inputs!W30)</f>
        <v>345.502977956357</v>
      </c>
      <c r="X11" s="69" t="n">
        <f aca="false">Revenue!X40/DAY(X$7)*MAX(0,Inputs!X30)</f>
        <v>357.019743888236</v>
      </c>
      <c r="Y11" s="69" t="n">
        <f aca="false">Revenue!Y40/DAY(Y$7)*MAX(0,Inputs!Y30)</f>
        <v>345.502977956357</v>
      </c>
      <c r="Z11" s="69" t="n">
        <f aca="false">Revenue!Z40/DAY(Z$7)*MAX(0,Inputs!Z30)</f>
        <v>357.019743888236</v>
      </c>
      <c r="AA11" s="69" t="n">
        <f aca="false">Revenue!AA40/DAY(AA$7)*MAX(0,Inputs!AA30)</f>
        <v>345.502977956357</v>
      </c>
      <c r="AB11" s="69" t="n">
        <f aca="false">Revenue!AB40/DAY(AB$7)*MAX(0,Inputs!AB30)</f>
        <v>368.971555048529</v>
      </c>
      <c r="AC11" s="69" t="n">
        <f aca="false">Revenue!AC40/DAY(AC$7)*MAX(0,Inputs!AC30)</f>
        <v>394.417869189807</v>
      </c>
      <c r="AD11" s="69" t="n">
        <f aca="false">Revenue!AD40/DAY(AD$7)*MAX(0,Inputs!AD30)</f>
        <v>368.971555048529</v>
      </c>
      <c r="AE11" s="69" t="n">
        <f aca="false">Revenue!AE40/DAY(AE$7)*MAX(0,Inputs!AE30)</f>
        <v>381.27060688348</v>
      </c>
      <c r="AF11" s="69" t="n">
        <f aca="false">Revenue!AF40/DAY(AF$7)*MAX(0,Inputs!AF30)</f>
        <v>368.971555048529</v>
      </c>
      <c r="AG11" s="69" t="n">
        <f aca="false">Revenue!AG40/DAY(AG$7)*MAX(0,Inputs!AG30)</f>
        <v>381.27060688348</v>
      </c>
      <c r="AH11" s="69" t="n">
        <f aca="false">Revenue!AH40/DAY(AH$7)*MAX(0,Inputs!AH30)</f>
        <v>358.233448061603</v>
      </c>
      <c r="AI11" s="69" t="n">
        <f aca="false">Revenue!AI40/DAY(AI$7)*MAX(0,Inputs!AI30)</f>
        <v>358.233448061603</v>
      </c>
      <c r="AJ11" s="69" t="n">
        <f aca="false">Revenue!AJ40/DAY(AJ$7)*MAX(0,Inputs!AJ30)</f>
        <v>370.17456299699</v>
      </c>
      <c r="AK11" s="69" t="n">
        <f aca="false">Revenue!AK40/DAY(AK$7)*MAX(0,Inputs!AK30)</f>
        <v>358.233448061603</v>
      </c>
      <c r="AL11" s="69" t="n">
        <f aca="false">Revenue!AL40/DAY(AL$7)*MAX(0,Inputs!AL30)</f>
        <v>370.17456299699</v>
      </c>
      <c r="AM11" s="69" t="n">
        <f aca="false">Revenue!AM40/DAY(AM$7)*MAX(0,Inputs!AM30)</f>
        <v>358.233448061603</v>
      </c>
    </row>
    <row r="12" customFormat="false" ht="21" hidden="false" customHeight="true" outlineLevel="0" collapsed="false">
      <c r="C12" s="56" t="s">
        <v>326</v>
      </c>
      <c r="D12" s="71"/>
      <c r="E12" s="71"/>
      <c r="F12" s="71"/>
      <c r="G12" s="71"/>
      <c r="H12" s="71"/>
      <c r="I12" s="71"/>
      <c r="J12" s="71" t="n">
        <f aca="false">MIN(J9+J10,J11)</f>
        <v>333.406175223639</v>
      </c>
      <c r="K12" s="71" t="n">
        <f aca="false">MIN(K9+K10,K11)</f>
        <v>333.406175223639</v>
      </c>
      <c r="L12" s="71" t="n">
        <f aca="false">MIN(L9+L10,L11)</f>
        <v>344.51971439776</v>
      </c>
      <c r="M12" s="71" t="n">
        <f aca="false">MIN(M9+M10,M11)</f>
        <v>333.406175223639</v>
      </c>
      <c r="N12" s="71" t="n">
        <f aca="false">MIN(N9+N10,N11)</f>
        <v>344.51971439776</v>
      </c>
      <c r="O12" s="71" t="n">
        <f aca="false">MIN(O9+O10,O11)</f>
        <v>333.406175223639</v>
      </c>
      <c r="P12" s="71" t="n">
        <f aca="false">MIN(P9+P10,P11)</f>
        <v>356.087042565751</v>
      </c>
      <c r="Q12" s="71" t="n">
        <f aca="false">MIN(Q9+Q10,Q11)</f>
        <v>394.239225697796</v>
      </c>
      <c r="R12" s="71" t="n">
        <f aca="false">MIN(R9+R10,R11)</f>
        <v>356.087042565751</v>
      </c>
      <c r="S12" s="71" t="n">
        <f aca="false">MIN(S9+S10,S11)</f>
        <v>367.956610651277</v>
      </c>
      <c r="T12" s="71" t="n">
        <f aca="false">MIN(T9+T10,T11)</f>
        <v>356.087042565751</v>
      </c>
      <c r="U12" s="71" t="n">
        <f aca="false">MIN(U9+U10,U11)</f>
        <v>367.956610651277</v>
      </c>
      <c r="V12" s="71" t="n">
        <f aca="false">MIN(V9+V10,V11)</f>
        <v>345.502977956357</v>
      </c>
      <c r="W12" s="71" t="n">
        <f aca="false">MIN(W9+W10,W11)</f>
        <v>345.502977956357</v>
      </c>
      <c r="X12" s="71" t="n">
        <f aca="false">MIN(X9+X10,X11)</f>
        <v>357.019743888236</v>
      </c>
      <c r="Y12" s="71" t="n">
        <f aca="false">MIN(Y9+Y10,Y11)</f>
        <v>345.502977956357</v>
      </c>
      <c r="Z12" s="71" t="n">
        <f aca="false">MIN(Z9+Z10,Z11)</f>
        <v>357.019743888236</v>
      </c>
      <c r="AA12" s="71" t="n">
        <f aca="false">MIN(AA9+AA10,AA11)</f>
        <v>345.502977956357</v>
      </c>
      <c r="AB12" s="71" t="n">
        <f aca="false">MIN(AB9+AB10,AB11)</f>
        <v>368.971555048529</v>
      </c>
      <c r="AC12" s="71" t="n">
        <f aca="false">MIN(AC9+AC10,AC11)</f>
        <v>394.417869189807</v>
      </c>
      <c r="AD12" s="71" t="n">
        <f aca="false">MIN(AD9+AD10,AD11)</f>
        <v>368.971555048529</v>
      </c>
      <c r="AE12" s="71" t="n">
        <f aca="false">MIN(AE9+AE10,AE11)</f>
        <v>381.27060688348</v>
      </c>
      <c r="AF12" s="71" t="n">
        <f aca="false">MIN(AF9+AF10,AF11)</f>
        <v>368.971555048529</v>
      </c>
      <c r="AG12" s="71" t="n">
        <f aca="false">MIN(AG9+AG10,AG11)</f>
        <v>381.27060688348</v>
      </c>
      <c r="AH12" s="71" t="n">
        <f aca="false">MIN(AH9+AH10,AH11)</f>
        <v>358.233448061603</v>
      </c>
      <c r="AI12" s="71" t="n">
        <f aca="false">MIN(AI9+AI10,AI11)</f>
        <v>358.233448061603</v>
      </c>
      <c r="AJ12" s="71" t="n">
        <f aca="false">MIN(AJ9+AJ10,AJ11)</f>
        <v>370.17456299699</v>
      </c>
      <c r="AK12" s="71" t="n">
        <f aca="false">MIN(AK9+AK10,AK11)</f>
        <v>358.233448061603</v>
      </c>
      <c r="AL12" s="71" t="n">
        <f aca="false">MIN(AL9+AL10,AL11)</f>
        <v>370.17456299699</v>
      </c>
      <c r="AM12" s="71" t="n">
        <f aca="false">MIN(AM9+AM10,AM11)</f>
        <v>358.233448061603</v>
      </c>
    </row>
    <row r="13" customFormat="false" ht="21" hidden="false" customHeight="true" outlineLevel="0" collapsed="false">
      <c r="C13" s="56" t="s">
        <v>327</v>
      </c>
      <c r="D13" s="71"/>
      <c r="E13" s="71"/>
      <c r="F13" s="71"/>
      <c r="G13" s="71"/>
      <c r="H13" s="71"/>
      <c r="I13" s="71"/>
      <c r="J13" s="71" t="n">
        <f aca="false">J9+J10-J12</f>
        <v>529.24628556485</v>
      </c>
      <c r="K13" s="71" t="n">
        <f aca="false">K9+K10-K12</f>
        <v>765.880177739101</v>
      </c>
      <c r="L13" s="71" t="n">
        <f aca="false">L9+L10-L12</f>
        <v>754.76663856498</v>
      </c>
      <c r="M13" s="71" t="n">
        <f aca="false">M9+M10-M12</f>
        <v>757.304468023243</v>
      </c>
      <c r="N13" s="71" t="n">
        <f aca="false">N9+N10-N12</f>
        <v>754.76663856498</v>
      </c>
      <c r="O13" s="71" t="n">
        <f aca="false">O9+O10-O12</f>
        <v>757.304468023243</v>
      </c>
      <c r="P13" s="71" t="n">
        <f aca="false">P9+P10-P12</f>
        <v>835.482855999586</v>
      </c>
      <c r="Q13" s="71" t="n">
        <f aca="false">Q9+Q10-Q12</f>
        <v>779.829089314143</v>
      </c>
      <c r="R13" s="71" t="n">
        <f aca="false">R9+R10-R12</f>
        <v>788.541321550207</v>
      </c>
      <c r="S13" s="71" t="n">
        <f aca="false">S9+S10-S12</f>
        <v>806.111704360663</v>
      </c>
      <c r="T13" s="71" t="n">
        <f aca="false">T9+T10-T12</f>
        <v>808.822176611883</v>
      </c>
      <c r="U13" s="71" t="n">
        <f aca="false">U9+U10-U12</f>
        <v>806.111704360663</v>
      </c>
      <c r="V13" s="71" t="n">
        <f aca="false">V9+V10-V12</f>
        <v>776.341970604591</v>
      </c>
      <c r="W13" s="71" t="n">
        <f aca="false">W9+W10-W12</f>
        <v>793.668209621818</v>
      </c>
      <c r="X13" s="71" t="n">
        <f aca="false">X9+X10-X12</f>
        <v>782.151443689939</v>
      </c>
      <c r="Y13" s="71" t="n">
        <f aca="false">Y9+Y10-Y12</f>
        <v>784.78135189361</v>
      </c>
      <c r="Z13" s="71" t="n">
        <f aca="false">Z9+Z10-Z12</f>
        <v>782.151443689939</v>
      </c>
      <c r="AA13" s="71" t="n">
        <f aca="false">AA9+AA10-AA12</f>
        <v>784.78135189361</v>
      </c>
      <c r="AB13" s="71" t="n">
        <f aca="false">AB9+AB10-AB12</f>
        <v>865.688198802075</v>
      </c>
      <c r="AC13" s="71" t="n">
        <f aca="false">AC9+AC10-AC12</f>
        <v>822.132468620284</v>
      </c>
      <c r="AD13" s="71" t="n">
        <f aca="false">AD9+AD10-AD12</f>
        <v>827.943255321097</v>
      </c>
      <c r="AE13" s="71" t="n">
        <f aca="false">AE9+AE10-AE12</f>
        <v>835.279730926611</v>
      </c>
      <c r="AF13" s="71" t="n">
        <f aca="false">AF9+AF10-AF12</f>
        <v>838.088277832004</v>
      </c>
      <c r="AG13" s="71" t="n">
        <f aca="false">AG9+AG10-AG12</f>
        <v>835.279730926611</v>
      </c>
      <c r="AH13" s="71" t="n">
        <f aca="false">AH9+AH10-AH12</f>
        <v>805.135349072092</v>
      </c>
      <c r="AI13" s="71" t="n">
        <f aca="false">AI9+AI10-AI12</f>
        <v>822.911863253512</v>
      </c>
      <c r="AJ13" s="71" t="n">
        <f aca="false">AJ9+AJ10-AJ12</f>
        <v>810.970748318126</v>
      </c>
      <c r="AK13" s="71" t="n">
        <f aca="false">AK9+AK10-AK12</f>
        <v>813.697558632349</v>
      </c>
      <c r="AL13" s="71" t="n">
        <f aca="false">AL9+AL10-AL12</f>
        <v>810.970748318126</v>
      </c>
      <c r="AM13" s="71" t="n">
        <f aca="false">AM9+AM10-AM12</f>
        <v>813.697558632349</v>
      </c>
    </row>
    <row r="14" customFormat="false" ht="21" hidden="false" customHeight="true" outlineLevel="0" collapsed="false">
      <c r="C14" s="56" t="s">
        <v>328</v>
      </c>
      <c r="D14" s="69"/>
      <c r="E14" s="69"/>
      <c r="F14" s="69"/>
      <c r="G14" s="69"/>
      <c r="H14" s="69"/>
      <c r="I14" s="69"/>
      <c r="J14" s="69" t="n">
        <f aca="false">H1Data!D18-H1Data!D17</f>
        <v>26.56885679</v>
      </c>
      <c r="K14" s="69" t="n">
        <f aca="false">Receivables!J15</f>
        <v>27.1300615511775</v>
      </c>
      <c r="L14" s="69" t="n">
        <f aca="false">Receivables!K15</f>
        <v>27.1300615511775</v>
      </c>
      <c r="M14" s="69" t="n">
        <f aca="false">Receivables!L15</f>
        <v>28.0343969362168</v>
      </c>
      <c r="N14" s="69" t="n">
        <f aca="false">Receivables!M15</f>
        <v>27.1300615511775</v>
      </c>
      <c r="O14" s="69" t="n">
        <f aca="false">Receivables!N15</f>
        <v>28.0343969362168</v>
      </c>
      <c r="P14" s="69" t="n">
        <f aca="false">Receivables!O15</f>
        <v>27.1300615511775</v>
      </c>
      <c r="Q14" s="69" t="n">
        <f aca="false">Receivables!P15</f>
        <v>28.9756582220036</v>
      </c>
      <c r="R14" s="69" t="n">
        <f aca="false">Receivables!Q15</f>
        <v>32.080193031504</v>
      </c>
      <c r="S14" s="69" t="n">
        <f aca="false">Receivables!R15</f>
        <v>28.9756582220036</v>
      </c>
      <c r="T14" s="69" t="n">
        <f aca="false">Receivables!S15</f>
        <v>29.9415134960704</v>
      </c>
      <c r="U14" s="69" t="n">
        <f aca="false">Receivables!T15</f>
        <v>28.9756582220036</v>
      </c>
      <c r="V14" s="69" t="n">
        <f aca="false">Receivables!U15</f>
        <v>29.9415134960704</v>
      </c>
      <c r="W14" s="69" t="n">
        <f aca="false">Receivables!V15</f>
        <v>28.1144074544619</v>
      </c>
      <c r="X14" s="69" t="n">
        <f aca="false">Receivables!W15</f>
        <v>28.1144074544619</v>
      </c>
      <c r="Y14" s="69" t="n">
        <f aca="false">Receivables!X15</f>
        <v>29.0515543696106</v>
      </c>
      <c r="Z14" s="69" t="n">
        <f aca="false">Receivables!Y15</f>
        <v>28.1144074544619</v>
      </c>
      <c r="AA14" s="69" t="n">
        <f aca="false">Receivables!Z15</f>
        <v>29.0515543696106</v>
      </c>
      <c r="AB14" s="69" t="n">
        <f aca="false">Receivables!AA15</f>
        <v>28.1144074544619</v>
      </c>
      <c r="AC14" s="69" t="n">
        <f aca="false">Receivables!AB15</f>
        <v>30.0241019602763</v>
      </c>
      <c r="AD14" s="69" t="n">
        <f aca="false">Receivables!AC15</f>
        <v>32.0947296816747</v>
      </c>
      <c r="AE14" s="69" t="n">
        <f aca="false">Receivables!AD15</f>
        <v>30.0241019602763</v>
      </c>
      <c r="AF14" s="69" t="n">
        <f aca="false">Receivables!AE15</f>
        <v>31.0249053589522</v>
      </c>
      <c r="AG14" s="69" t="n">
        <f aca="false">Receivables!AF15</f>
        <v>30.0241019602763</v>
      </c>
      <c r="AH14" s="69" t="n">
        <f aca="false">Receivables!AG15</f>
        <v>31.0249053589522</v>
      </c>
      <c r="AI14" s="69" t="n">
        <f aca="false">Receivables!AH15</f>
        <v>29.150316394358</v>
      </c>
      <c r="AJ14" s="69" t="n">
        <f aca="false">Receivables!AI15</f>
        <v>29.150316394358</v>
      </c>
      <c r="AK14" s="69" t="n">
        <f aca="false">Receivables!AJ15</f>
        <v>30.1219936075033</v>
      </c>
      <c r="AL14" s="69" t="n">
        <f aca="false">Receivables!AK15</f>
        <v>29.150316394358</v>
      </c>
      <c r="AM14" s="69" t="n">
        <f aca="false">Receivables!AL15</f>
        <v>30.1219936075033</v>
      </c>
    </row>
    <row r="15" customFormat="false" ht="21" hidden="false" customHeight="true" outlineLevel="0" collapsed="false">
      <c r="C15" s="56" t="s">
        <v>329</v>
      </c>
      <c r="D15" s="69"/>
      <c r="E15" s="69"/>
      <c r="F15" s="69"/>
      <c r="G15" s="69"/>
      <c r="H15" s="69"/>
      <c r="I15" s="69"/>
      <c r="J15" s="69" t="n">
        <f aca="false">J12*MIN(1,MAX(0,Inputs!J31))</f>
        <v>27.1300615511775</v>
      </c>
      <c r="K15" s="69" t="n">
        <f aca="false">K12*MIN(1,MAX(0,Inputs!K31))</f>
        <v>27.1300615511775</v>
      </c>
      <c r="L15" s="69" t="n">
        <f aca="false">L12*MIN(1,MAX(0,Inputs!L31))</f>
        <v>28.0343969362168</v>
      </c>
      <c r="M15" s="69" t="n">
        <f aca="false">M12*MIN(1,MAX(0,Inputs!M31))</f>
        <v>27.1300615511775</v>
      </c>
      <c r="N15" s="69" t="n">
        <f aca="false">N12*MIN(1,MAX(0,Inputs!N31))</f>
        <v>28.0343969362168</v>
      </c>
      <c r="O15" s="69" t="n">
        <f aca="false">O12*MIN(1,MAX(0,Inputs!O31))</f>
        <v>27.1300615511775</v>
      </c>
      <c r="P15" s="69" t="n">
        <f aca="false">P12*MIN(1,MAX(0,Inputs!P31))</f>
        <v>28.9756582220036</v>
      </c>
      <c r="Q15" s="69" t="n">
        <f aca="false">Q12*MIN(1,MAX(0,Inputs!Q31))</f>
        <v>32.080193031504</v>
      </c>
      <c r="R15" s="69" t="n">
        <f aca="false">R12*MIN(1,MAX(0,Inputs!R31))</f>
        <v>28.9756582220036</v>
      </c>
      <c r="S15" s="69" t="n">
        <f aca="false">S12*MIN(1,MAX(0,Inputs!S31))</f>
        <v>29.9415134960704</v>
      </c>
      <c r="T15" s="69" t="n">
        <f aca="false">T12*MIN(1,MAX(0,Inputs!T31))</f>
        <v>28.9756582220036</v>
      </c>
      <c r="U15" s="69" t="n">
        <f aca="false">U12*MIN(1,MAX(0,Inputs!U31))</f>
        <v>29.9415134960704</v>
      </c>
      <c r="V15" s="69" t="n">
        <f aca="false">V12*MIN(1,MAX(0,Inputs!V31))</f>
        <v>28.1144074544619</v>
      </c>
      <c r="W15" s="69" t="n">
        <f aca="false">W12*MIN(1,MAX(0,Inputs!W31))</f>
        <v>28.1144074544619</v>
      </c>
      <c r="X15" s="69" t="n">
        <f aca="false">X12*MIN(1,MAX(0,Inputs!X31))</f>
        <v>29.0515543696106</v>
      </c>
      <c r="Y15" s="69" t="n">
        <f aca="false">Y12*MIN(1,MAX(0,Inputs!Y31))</f>
        <v>28.1144074544619</v>
      </c>
      <c r="Z15" s="69" t="n">
        <f aca="false">Z12*MIN(1,MAX(0,Inputs!Z31))</f>
        <v>29.0515543696106</v>
      </c>
      <c r="AA15" s="69" t="n">
        <f aca="false">AA12*MIN(1,MAX(0,Inputs!AA31))</f>
        <v>28.1144074544619</v>
      </c>
      <c r="AB15" s="69" t="n">
        <f aca="false">AB12*MIN(1,MAX(0,Inputs!AB31))</f>
        <v>30.0241019602763</v>
      </c>
      <c r="AC15" s="69" t="n">
        <f aca="false">AC12*MIN(1,MAX(0,Inputs!AC31))</f>
        <v>32.0947296816747</v>
      </c>
      <c r="AD15" s="69" t="n">
        <f aca="false">AD12*MIN(1,MAX(0,Inputs!AD31))</f>
        <v>30.0241019602763</v>
      </c>
      <c r="AE15" s="69" t="n">
        <f aca="false">AE12*MIN(1,MAX(0,Inputs!AE31))</f>
        <v>31.0249053589522</v>
      </c>
      <c r="AF15" s="69" t="n">
        <f aca="false">AF12*MIN(1,MAX(0,Inputs!AF31))</f>
        <v>30.0241019602763</v>
      </c>
      <c r="AG15" s="69" t="n">
        <f aca="false">AG12*MIN(1,MAX(0,Inputs!AG31))</f>
        <v>31.0249053589522</v>
      </c>
      <c r="AH15" s="69" t="n">
        <f aca="false">AH12*MIN(1,MAX(0,Inputs!AH31))</f>
        <v>29.150316394358</v>
      </c>
      <c r="AI15" s="69" t="n">
        <f aca="false">AI12*MIN(1,MAX(0,Inputs!AI31))</f>
        <v>29.150316394358</v>
      </c>
      <c r="AJ15" s="69" t="n">
        <f aca="false">AJ12*MIN(1,MAX(0,Inputs!AJ31))</f>
        <v>30.1219936075033</v>
      </c>
      <c r="AK15" s="69" t="n">
        <f aca="false">AK12*MIN(1,MAX(0,Inputs!AK31))</f>
        <v>29.150316394358</v>
      </c>
      <c r="AL15" s="69" t="n">
        <f aca="false">AL12*MIN(1,MAX(0,Inputs!AL31))</f>
        <v>30.1219936075033</v>
      </c>
      <c r="AM15" s="69" t="n">
        <f aca="false">AM12*MIN(1,MAX(0,Inputs!AM31))</f>
        <v>29.150316394358</v>
      </c>
    </row>
    <row r="16" customFormat="false" ht="21" hidden="false" customHeight="true" outlineLevel="0" collapsed="false">
      <c r="C16" s="56" t="s">
        <v>330</v>
      </c>
      <c r="D16" s="71"/>
      <c r="E16" s="71"/>
      <c r="F16" s="71"/>
      <c r="G16" s="71"/>
      <c r="H16" s="71"/>
      <c r="I16" s="71"/>
      <c r="J16" s="71" t="n">
        <f aca="false">J15-J14</f>
        <v>0.56120476117756</v>
      </c>
      <c r="K16" s="71" t="n">
        <f aca="false">K15-K14</f>
        <v>0</v>
      </c>
      <c r="L16" s="71" t="n">
        <f aca="false">L15-L14</f>
        <v>0.90433538503925</v>
      </c>
      <c r="M16" s="71" t="n">
        <f aca="false">M15-M14</f>
        <v>-0.90433538503925</v>
      </c>
      <c r="N16" s="71" t="n">
        <f aca="false">N15-N14</f>
        <v>0.90433538503925</v>
      </c>
      <c r="O16" s="71" t="n">
        <f aca="false">O15-O14</f>
        <v>-0.90433538503925</v>
      </c>
      <c r="P16" s="71" t="n">
        <f aca="false">P15-P14</f>
        <v>1.84559667082609</v>
      </c>
      <c r="Q16" s="71" t="n">
        <f aca="false">Q15-Q14</f>
        <v>3.10453480950039</v>
      </c>
      <c r="R16" s="71" t="n">
        <f aca="false">R15-R14</f>
        <v>-3.10453480950039</v>
      </c>
      <c r="S16" s="71" t="n">
        <f aca="false">S15-S14</f>
        <v>0.965855274066787</v>
      </c>
      <c r="T16" s="71" t="n">
        <f aca="false">T15-T14</f>
        <v>-0.965855274066787</v>
      </c>
      <c r="U16" s="71" t="n">
        <f aca="false">U15-U14</f>
        <v>0.965855274066787</v>
      </c>
      <c r="V16" s="71" t="n">
        <f aca="false">V15-V14</f>
        <v>-1.82710604160852</v>
      </c>
      <c r="W16" s="71" t="n">
        <f aca="false">W15-W14</f>
        <v>0</v>
      </c>
      <c r="X16" s="71" t="n">
        <f aca="false">X15-X14</f>
        <v>0.937146915148727</v>
      </c>
      <c r="Y16" s="71" t="n">
        <f aca="false">Y15-Y14</f>
        <v>-0.937146915148727</v>
      </c>
      <c r="Z16" s="71" t="n">
        <f aca="false">Z15-Z14</f>
        <v>0.937146915148727</v>
      </c>
      <c r="AA16" s="71" t="n">
        <f aca="false">AA15-AA14</f>
        <v>-0.937146915148727</v>
      </c>
      <c r="AB16" s="71" t="n">
        <f aca="false">AB15-AB14</f>
        <v>1.9096945058144</v>
      </c>
      <c r="AC16" s="71" t="n">
        <f aca="false">AC15-AC14</f>
        <v>2.07062772139836</v>
      </c>
      <c r="AD16" s="71" t="n">
        <f aca="false">AD15-AD14</f>
        <v>-2.07062772139836</v>
      </c>
      <c r="AE16" s="71" t="n">
        <f aca="false">AE15-AE14</f>
        <v>1.00080339867587</v>
      </c>
      <c r="AF16" s="71" t="n">
        <f aca="false">AF15-AF14</f>
        <v>-1.00080339867587</v>
      </c>
      <c r="AG16" s="71" t="n">
        <f aca="false">AG15-AG14</f>
        <v>1.00080339867587</v>
      </c>
      <c r="AH16" s="71" t="n">
        <f aca="false">AH15-AH14</f>
        <v>-1.87458896459413</v>
      </c>
      <c r="AI16" s="71" t="n">
        <f aca="false">AI15-AI14</f>
        <v>0</v>
      </c>
      <c r="AJ16" s="71" t="n">
        <f aca="false">AJ15-AJ14</f>
        <v>0.971677213145266</v>
      </c>
      <c r="AK16" s="71" t="n">
        <f aca="false">AK15-AK14</f>
        <v>-0.971677213145266</v>
      </c>
      <c r="AL16" s="71" t="n">
        <f aca="false">AL15-AL14</f>
        <v>0.971677213145266</v>
      </c>
      <c r="AM16" s="71" t="n">
        <f aca="false">AM15-AM14</f>
        <v>-0.971677213145266</v>
      </c>
    </row>
    <row r="17" customFormat="false" ht="21" hidden="false" customHeight="true" outlineLevel="0" collapsed="false">
      <c r="C17" s="56" t="s">
        <v>331</v>
      </c>
      <c r="D17" s="71"/>
      <c r="E17" s="71"/>
      <c r="F17" s="71"/>
      <c r="G17" s="71"/>
      <c r="H17" s="71"/>
      <c r="I17" s="71"/>
      <c r="J17" s="71" t="n">
        <f aca="false">J12-J15</f>
        <v>306.276113672461</v>
      </c>
      <c r="K17" s="71" t="n">
        <f aca="false">K12-K15</f>
        <v>306.276113672461</v>
      </c>
      <c r="L17" s="71" t="n">
        <f aca="false">L12-L15</f>
        <v>316.485317461543</v>
      </c>
      <c r="M17" s="71" t="n">
        <f aca="false">M12-M15</f>
        <v>306.276113672461</v>
      </c>
      <c r="N17" s="71" t="n">
        <f aca="false">N12-N15</f>
        <v>316.485317461543</v>
      </c>
      <c r="O17" s="71" t="n">
        <f aca="false">O12-O15</f>
        <v>306.276113672461</v>
      </c>
      <c r="P17" s="71" t="n">
        <f aca="false">P12-P15</f>
        <v>327.111384343748</v>
      </c>
      <c r="Q17" s="71" t="n">
        <f aca="false">Q12-Q15</f>
        <v>362.159032666292</v>
      </c>
      <c r="R17" s="71" t="n">
        <f aca="false">R12-R15</f>
        <v>327.111384343748</v>
      </c>
      <c r="S17" s="71" t="n">
        <f aca="false">S12-S15</f>
        <v>338.015097155206</v>
      </c>
      <c r="T17" s="71" t="n">
        <f aca="false">T12-T15</f>
        <v>327.111384343748</v>
      </c>
      <c r="U17" s="71" t="n">
        <f aca="false">U12-U15</f>
        <v>338.015097155206</v>
      </c>
      <c r="V17" s="71" t="n">
        <f aca="false">V12-V15</f>
        <v>317.388570501895</v>
      </c>
      <c r="W17" s="71" t="n">
        <f aca="false">W12-W15</f>
        <v>317.388570501895</v>
      </c>
      <c r="X17" s="71" t="n">
        <f aca="false">X12-X15</f>
        <v>327.968189518625</v>
      </c>
      <c r="Y17" s="71" t="n">
        <f aca="false">Y12-Y15</f>
        <v>317.388570501895</v>
      </c>
      <c r="Z17" s="71" t="n">
        <f aca="false">Z12-Z15</f>
        <v>327.968189518625</v>
      </c>
      <c r="AA17" s="71" t="n">
        <f aca="false">AA12-AA15</f>
        <v>317.388570501895</v>
      </c>
      <c r="AB17" s="71" t="n">
        <f aca="false">AB12-AB15</f>
        <v>338.947453088252</v>
      </c>
      <c r="AC17" s="71" t="n">
        <f aca="false">AC12-AC15</f>
        <v>362.323139508132</v>
      </c>
      <c r="AD17" s="71" t="n">
        <f aca="false">AD12-AD15</f>
        <v>338.947453088252</v>
      </c>
      <c r="AE17" s="71" t="n">
        <f aca="false">AE12-AE15</f>
        <v>350.245701524528</v>
      </c>
      <c r="AF17" s="71" t="n">
        <f aca="false">AF12-AF15</f>
        <v>338.947453088252</v>
      </c>
      <c r="AG17" s="71" t="n">
        <f aca="false">AG12-AG15</f>
        <v>350.245701524528</v>
      </c>
      <c r="AH17" s="71" t="n">
        <f aca="false">AH12-AH15</f>
        <v>329.083131667245</v>
      </c>
      <c r="AI17" s="71" t="n">
        <f aca="false">AI12-AI15</f>
        <v>329.083131667245</v>
      </c>
      <c r="AJ17" s="71" t="n">
        <f aca="false">AJ12-AJ15</f>
        <v>340.052569389486</v>
      </c>
      <c r="AK17" s="71" t="n">
        <f aca="false">AK12-AK15</f>
        <v>329.083131667245</v>
      </c>
      <c r="AL17" s="71" t="n">
        <f aca="false">AL12-AL15</f>
        <v>340.052569389486</v>
      </c>
      <c r="AM17" s="71" t="n">
        <f aca="false">AM12-AM15</f>
        <v>329.083131667245</v>
      </c>
    </row>
    <row r="18" customFormat="false" ht="21" hidden="false" customHeight="true" outlineLevel="0" collapsed="false">
      <c r="C18" s="56" t="s">
        <v>332</v>
      </c>
      <c r="D18" s="69"/>
      <c r="E18" s="69"/>
      <c r="F18" s="69"/>
      <c r="G18" s="69"/>
      <c r="H18" s="69"/>
      <c r="I18" s="69"/>
      <c r="J18" s="69" t="n">
        <f aca="false">H1Data!D16+H1Data!D19</f>
        <v>20.09260606</v>
      </c>
      <c r="K18" s="69" t="n">
        <f aca="false">H1Data!D16+H1Data!D19</f>
        <v>20.09260606</v>
      </c>
      <c r="L18" s="69" t="n">
        <f aca="false">H1Data!D16+H1Data!D19</f>
        <v>20.09260606</v>
      </c>
      <c r="M18" s="69" t="n">
        <f aca="false">H1Data!D16+H1Data!D19</f>
        <v>20.09260606</v>
      </c>
      <c r="N18" s="69" t="n">
        <f aca="false">H1Data!D16+H1Data!D19</f>
        <v>20.09260606</v>
      </c>
      <c r="O18" s="69" t="n">
        <f aca="false">H1Data!D16+H1Data!D19</f>
        <v>20.09260606</v>
      </c>
      <c r="P18" s="69" t="n">
        <f aca="false">H1Data!D16+H1Data!D19</f>
        <v>20.09260606</v>
      </c>
      <c r="Q18" s="69" t="n">
        <f aca="false">H1Data!D16+H1Data!D19</f>
        <v>20.09260606</v>
      </c>
      <c r="R18" s="69" t="n">
        <f aca="false">H1Data!D16+H1Data!D19</f>
        <v>20.09260606</v>
      </c>
      <c r="S18" s="69" t="n">
        <f aca="false">H1Data!D16+H1Data!D19</f>
        <v>20.09260606</v>
      </c>
      <c r="T18" s="69" t="n">
        <f aca="false">H1Data!D16+H1Data!D19</f>
        <v>20.09260606</v>
      </c>
      <c r="U18" s="69" t="n">
        <f aca="false">H1Data!D16+H1Data!D19</f>
        <v>20.09260606</v>
      </c>
      <c r="V18" s="69" t="n">
        <f aca="false">H1Data!D16+H1Data!D19</f>
        <v>20.09260606</v>
      </c>
      <c r="W18" s="69" t="n">
        <f aca="false">H1Data!D16+H1Data!D19</f>
        <v>20.09260606</v>
      </c>
      <c r="X18" s="69" t="n">
        <f aca="false">H1Data!D16+H1Data!D19</f>
        <v>20.09260606</v>
      </c>
      <c r="Y18" s="69" t="n">
        <f aca="false">H1Data!D16+H1Data!D19</f>
        <v>20.09260606</v>
      </c>
      <c r="Z18" s="69" t="n">
        <f aca="false">H1Data!D16+H1Data!D19</f>
        <v>20.09260606</v>
      </c>
      <c r="AA18" s="69" t="n">
        <f aca="false">H1Data!D16+H1Data!D19</f>
        <v>20.09260606</v>
      </c>
      <c r="AB18" s="69" t="n">
        <f aca="false">H1Data!D16+H1Data!D19</f>
        <v>20.09260606</v>
      </c>
      <c r="AC18" s="69" t="n">
        <f aca="false">H1Data!D16+H1Data!D19</f>
        <v>20.09260606</v>
      </c>
      <c r="AD18" s="69" t="n">
        <f aca="false">H1Data!D16+H1Data!D19</f>
        <v>20.09260606</v>
      </c>
      <c r="AE18" s="69" t="n">
        <f aca="false">H1Data!D16+H1Data!D19</f>
        <v>20.09260606</v>
      </c>
      <c r="AF18" s="69" t="n">
        <f aca="false">H1Data!D16+H1Data!D19</f>
        <v>20.09260606</v>
      </c>
      <c r="AG18" s="69" t="n">
        <f aca="false">H1Data!D16+H1Data!D19</f>
        <v>20.09260606</v>
      </c>
      <c r="AH18" s="69" t="n">
        <f aca="false">H1Data!D16+H1Data!D19</f>
        <v>20.09260606</v>
      </c>
      <c r="AI18" s="69" t="n">
        <f aca="false">H1Data!D16+H1Data!D19</f>
        <v>20.09260606</v>
      </c>
      <c r="AJ18" s="69" t="n">
        <f aca="false">H1Data!D16+H1Data!D19</f>
        <v>20.09260606</v>
      </c>
      <c r="AK18" s="69" t="n">
        <f aca="false">H1Data!D16+H1Data!D19</f>
        <v>20.09260606</v>
      </c>
      <c r="AL18" s="69" t="n">
        <f aca="false">H1Data!D16+H1Data!D19</f>
        <v>20.09260606</v>
      </c>
      <c r="AM18" s="69" t="n">
        <f aca="false">H1Data!D16+H1Data!D19</f>
        <v>20.09260606</v>
      </c>
    </row>
    <row r="19" customFormat="false" ht="21" hidden="false" customHeight="true" outlineLevel="0" collapsed="false">
      <c r="C19" s="56" t="s">
        <v>333</v>
      </c>
      <c r="D19" s="71"/>
      <c r="E19" s="71"/>
      <c r="F19" s="71"/>
      <c r="G19" s="71"/>
      <c r="H19" s="71"/>
      <c r="I19" s="71"/>
      <c r="J19" s="71" t="n">
        <f aca="false">J17+J18</f>
        <v>326.368719732461</v>
      </c>
      <c r="K19" s="71" t="n">
        <f aca="false">K17+K18</f>
        <v>326.368719732461</v>
      </c>
      <c r="L19" s="71" t="n">
        <f aca="false">L17+L18</f>
        <v>336.577923521543</v>
      </c>
      <c r="M19" s="71" t="n">
        <f aca="false">M17+M18</f>
        <v>326.368719732461</v>
      </c>
      <c r="N19" s="71" t="n">
        <f aca="false">N17+N18</f>
        <v>336.577923521543</v>
      </c>
      <c r="O19" s="71" t="n">
        <f aca="false">O17+O18</f>
        <v>326.368719732461</v>
      </c>
      <c r="P19" s="71" t="n">
        <f aca="false">P17+P18</f>
        <v>347.203990403748</v>
      </c>
      <c r="Q19" s="71" t="n">
        <f aca="false">Q17+Q18</f>
        <v>382.251638726292</v>
      </c>
      <c r="R19" s="71" t="n">
        <f aca="false">R17+R18</f>
        <v>347.203990403748</v>
      </c>
      <c r="S19" s="71" t="n">
        <f aca="false">S17+S18</f>
        <v>358.107703215206</v>
      </c>
      <c r="T19" s="71" t="n">
        <f aca="false">T17+T18</f>
        <v>347.203990403748</v>
      </c>
      <c r="U19" s="71" t="n">
        <f aca="false">U17+U18</f>
        <v>358.107703215206</v>
      </c>
      <c r="V19" s="71" t="n">
        <f aca="false">V17+V18</f>
        <v>337.481176561895</v>
      </c>
      <c r="W19" s="71" t="n">
        <f aca="false">W17+W18</f>
        <v>337.481176561895</v>
      </c>
      <c r="X19" s="71" t="n">
        <f aca="false">X17+X18</f>
        <v>348.060795578625</v>
      </c>
      <c r="Y19" s="71" t="n">
        <f aca="false">Y17+Y18</f>
        <v>337.481176561895</v>
      </c>
      <c r="Z19" s="71" t="n">
        <f aca="false">Z17+Z18</f>
        <v>348.060795578625</v>
      </c>
      <c r="AA19" s="71" t="n">
        <f aca="false">AA17+AA18</f>
        <v>337.481176561895</v>
      </c>
      <c r="AB19" s="71" t="n">
        <f aca="false">AB17+AB18</f>
        <v>359.040059148252</v>
      </c>
      <c r="AC19" s="71" t="n">
        <f aca="false">AC17+AC18</f>
        <v>382.415745568132</v>
      </c>
      <c r="AD19" s="71" t="n">
        <f aca="false">AD17+AD18</f>
        <v>359.040059148252</v>
      </c>
      <c r="AE19" s="71" t="n">
        <f aca="false">AE17+AE18</f>
        <v>370.338307584527</v>
      </c>
      <c r="AF19" s="71" t="n">
        <f aca="false">AF17+AF18</f>
        <v>359.040059148252</v>
      </c>
      <c r="AG19" s="71" t="n">
        <f aca="false">AG17+AG18</f>
        <v>370.338307584527</v>
      </c>
      <c r="AH19" s="71" t="n">
        <f aca="false">AH17+AH18</f>
        <v>349.175737727245</v>
      </c>
      <c r="AI19" s="71" t="n">
        <f aca="false">AI17+AI18</f>
        <v>349.175737727245</v>
      </c>
      <c r="AJ19" s="71" t="n">
        <f aca="false">AJ17+AJ18</f>
        <v>360.145175449486</v>
      </c>
      <c r="AK19" s="71" t="n">
        <f aca="false">AK17+AK18</f>
        <v>349.175737727245</v>
      </c>
      <c r="AL19" s="71" t="n">
        <f aca="false">AL17+AL18</f>
        <v>360.145175449486</v>
      </c>
      <c r="AM19" s="71" t="n">
        <f aca="false">AM17+AM18</f>
        <v>349.175737727245</v>
      </c>
    </row>
    <row r="20" customFormat="false" ht="21" hidden="false" customHeight="true" outlineLevel="0" collapsed="false">
      <c r="C20" s="56" t="s">
        <v>334</v>
      </c>
      <c r="D20" s="71"/>
      <c r="E20" s="71"/>
      <c r="F20" s="71"/>
      <c r="G20" s="71"/>
      <c r="H20" s="71"/>
      <c r="I20" s="71"/>
      <c r="J20" s="71" t="n">
        <f aca="false">J9+J10-J13-J12</f>
        <v>0</v>
      </c>
      <c r="K20" s="71" t="n">
        <f aca="false">K9+K10-K13-K12</f>
        <v>0</v>
      </c>
      <c r="L20" s="71" t="n">
        <f aca="false">L9+L10-L13-L12</f>
        <v>0</v>
      </c>
      <c r="M20" s="71" t="n">
        <f aca="false">M9+M10-M13-M12</f>
        <v>0</v>
      </c>
      <c r="N20" s="71" t="n">
        <f aca="false">N9+N10-N13-N12</f>
        <v>0</v>
      </c>
      <c r="O20" s="71" t="n">
        <f aca="false">O9+O10-O13-O12</f>
        <v>0</v>
      </c>
      <c r="P20" s="71" t="n">
        <f aca="false">P9+P10-P13-P12</f>
        <v>0</v>
      </c>
      <c r="Q20" s="71" t="n">
        <f aca="false">Q9+Q10-Q13-Q12</f>
        <v>0</v>
      </c>
      <c r="R20" s="71" t="n">
        <f aca="false">R9+R10-R13-R12</f>
        <v>0</v>
      </c>
      <c r="S20" s="71" t="n">
        <f aca="false">S9+S10-S13-S12</f>
        <v>0</v>
      </c>
      <c r="T20" s="71" t="n">
        <f aca="false">T9+T10-T13-T12</f>
        <v>0</v>
      </c>
      <c r="U20" s="71" t="n">
        <f aca="false">U9+U10-U13-U12</f>
        <v>0</v>
      </c>
      <c r="V20" s="71" t="n">
        <f aca="false">V9+V10-V13-V12</f>
        <v>0</v>
      </c>
      <c r="W20" s="71" t="n">
        <f aca="false">W9+W10-W13-W12</f>
        <v>0</v>
      </c>
      <c r="X20" s="71" t="n">
        <f aca="false">X9+X10-X13-X12</f>
        <v>0</v>
      </c>
      <c r="Y20" s="71" t="n">
        <f aca="false">Y9+Y10-Y13-Y12</f>
        <v>0</v>
      </c>
      <c r="Z20" s="71" t="n">
        <f aca="false">Z9+Z10-Z13-Z12</f>
        <v>0</v>
      </c>
      <c r="AA20" s="71" t="n">
        <f aca="false">AA9+AA10-AA13-AA12</f>
        <v>0</v>
      </c>
      <c r="AB20" s="71" t="n">
        <f aca="false">AB9+AB10-AB13-AB12</f>
        <v>0</v>
      </c>
      <c r="AC20" s="71" t="n">
        <f aca="false">AC9+AC10-AC13-AC12</f>
        <v>0</v>
      </c>
      <c r="AD20" s="71" t="n">
        <f aca="false">AD9+AD10-AD13-AD12</f>
        <v>0</v>
      </c>
      <c r="AE20" s="71" t="n">
        <f aca="false">AE9+AE10-AE13-AE12</f>
        <v>0</v>
      </c>
      <c r="AF20" s="71" t="n">
        <f aca="false">AF9+AF10-AF13-AF12</f>
        <v>0</v>
      </c>
      <c r="AG20" s="71" t="n">
        <f aca="false">AG9+AG10-AG13-AG12</f>
        <v>0</v>
      </c>
      <c r="AH20" s="71" t="n">
        <f aca="false">AH9+AH10-AH13-AH12</f>
        <v>0</v>
      </c>
      <c r="AI20" s="71" t="n">
        <f aca="false">AI9+AI10-AI13-AI12</f>
        <v>0</v>
      </c>
      <c r="AJ20" s="71" t="n">
        <f aca="false">AJ9+AJ10-AJ13-AJ12</f>
        <v>0</v>
      </c>
      <c r="AK20" s="71" t="n">
        <f aca="false">AK9+AK10-AK13-AK12</f>
        <v>0</v>
      </c>
      <c r="AL20" s="71" t="n">
        <f aca="false">AL9+AL10-AL13-AL12</f>
        <v>0</v>
      </c>
      <c r="AM20" s="71" t="n">
        <f aca="false">AM9+AM10-AM13-AM12</f>
        <v>0</v>
      </c>
    </row>
    <row r="21" customFormat="false" ht="21" hidden="false" customHeight="true" outlineLevel="0" collapsed="false">
      <c r="C21" s="56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</row>
    <row r="22" customFormat="false" ht="21" hidden="false" customHeight="true" outlineLevel="0" collapsed="false">
      <c r="C22" s="56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</row>
    <row r="23" customFormat="false" ht="21" hidden="false" customHeight="true" outlineLevel="0" collapsed="false">
      <c r="C23" s="56" t="s">
        <v>335</v>
      </c>
      <c r="D23" s="69"/>
      <c r="E23" s="69"/>
      <c r="F23" s="69"/>
      <c r="G23" s="69"/>
      <c r="H23" s="69"/>
      <c r="I23" s="69"/>
      <c r="J23" s="69" t="n">
        <f aca="false">H1Data!D37</f>
        <v>2334.51576111</v>
      </c>
      <c r="K23" s="69" t="n">
        <f aca="false">Receivables!J26</f>
        <v>2272.17966851158</v>
      </c>
      <c r="L23" s="69" t="n">
        <f aca="false">Receivables!K26</f>
        <v>2267.96178112717</v>
      </c>
      <c r="M23" s="69" t="n">
        <f aca="false">Receivables!L26</f>
        <v>2427.74187308444</v>
      </c>
      <c r="N23" s="69" t="n">
        <f aca="false">Receivables!M26</f>
        <v>2178.47055304872</v>
      </c>
      <c r="O23" s="69" t="n">
        <f aca="false">Receivables!N26</f>
        <v>2437.21485634695</v>
      </c>
      <c r="P23" s="69" t="n">
        <f aca="false">Receivables!O26</f>
        <v>2178.47055304872</v>
      </c>
      <c r="Q23" s="69" t="n">
        <f aca="false">Receivables!P26</f>
        <v>2641.27783831371</v>
      </c>
      <c r="R23" s="69" t="n">
        <f aca="false">Receivables!Q26</f>
        <v>3023.78892482151</v>
      </c>
      <c r="S23" s="69" t="n">
        <f aca="false">Receivables!R26</f>
        <v>2147.71247174563</v>
      </c>
      <c r="T23" s="69" t="n">
        <f aca="false">Receivables!S26</f>
        <v>2670.62643552469</v>
      </c>
      <c r="U23" s="69" t="n">
        <f aca="false">Receivables!T26</f>
        <v>2366.7329531105</v>
      </c>
      <c r="V23" s="69" t="n">
        <f aca="false">Receivables!U26</f>
        <v>2647.83781734129</v>
      </c>
      <c r="W23" s="69" t="n">
        <f aca="false">Receivables!V26</f>
        <v>2234.05368587612</v>
      </c>
      <c r="X23" s="69" t="n">
        <f aca="false">Receivables!W26</f>
        <v>2409.08027642986</v>
      </c>
      <c r="Y23" s="69" t="n">
        <f aca="false">Receivables!X26</f>
        <v>2561.00210163583</v>
      </c>
      <c r="Z23" s="69" t="n">
        <f aca="false">Receivables!Y26</f>
        <v>2296.93448837394</v>
      </c>
      <c r="AA23" s="69" t="n">
        <f aca="false">Receivables!Z26</f>
        <v>2571.06678769463</v>
      </c>
      <c r="AB23" s="69" t="n">
        <f aca="false">Receivables!AA26</f>
        <v>2296.93448837394</v>
      </c>
      <c r="AC23" s="69" t="n">
        <f aca="false">Receivables!AB26</f>
        <v>2786.79550902453</v>
      </c>
      <c r="AD23" s="69" t="n">
        <f aca="false">Receivables!AC26</f>
        <v>2964.93898088965</v>
      </c>
      <c r="AE23" s="69" t="n">
        <f aca="false">Receivables!AD26</f>
        <v>2383.63289784592</v>
      </c>
      <c r="AF23" s="69" t="n">
        <f aca="false">Receivables!AE26</f>
        <v>2804.94574258274</v>
      </c>
      <c r="AG23" s="69" t="n">
        <f aca="false">Receivables!AF26</f>
        <v>2495.43448598042</v>
      </c>
      <c r="AH23" s="69" t="n">
        <f aca="false">Receivables!AG26</f>
        <v>2793.25716960873</v>
      </c>
      <c r="AI23" s="69" t="n">
        <f aca="false">Receivables!AH26</f>
        <v>2361.80274773792</v>
      </c>
      <c r="AJ23" s="69" t="n">
        <f aca="false">Receivables!AI26</f>
        <v>2542.86002255395</v>
      </c>
      <c r="AK23" s="69" t="n">
        <f aca="false">Receivables!AJ26</f>
        <v>2704.28738685943</v>
      </c>
      <c r="AL23" s="69" t="n">
        <f aca="false">Receivables!AK26</f>
        <v>2424.15559532586</v>
      </c>
      <c r="AM23" s="69" t="n">
        <f aca="false">Receivables!AL26</f>
        <v>2714.99825727599</v>
      </c>
    </row>
    <row r="24" customFormat="false" ht="21" hidden="false" customHeight="true" outlineLevel="0" collapsed="false">
      <c r="C24" s="56" t="s">
        <v>336</v>
      </c>
      <c r="D24" s="69"/>
      <c r="E24" s="69"/>
      <c r="F24" s="69"/>
      <c r="G24" s="69"/>
      <c r="H24" s="69"/>
      <c r="I24" s="69"/>
      <c r="J24" s="69" t="n">
        <f aca="false">Inventory!J12</f>
        <v>650.766489013746</v>
      </c>
      <c r="K24" s="69" t="n">
        <f aca="false">Inventory!K12</f>
        <v>649.558459647826</v>
      </c>
      <c r="L24" s="69" t="n">
        <f aca="false">Inventory!L12</f>
        <v>672.890785914069</v>
      </c>
      <c r="M24" s="69" t="n">
        <f aca="false">Inventory!M12</f>
        <v>623.92761139176</v>
      </c>
      <c r="N24" s="69" t="n">
        <f aca="false">Inventory!N12</f>
        <v>675.516387598963</v>
      </c>
      <c r="O24" s="69" t="n">
        <f aca="false">Inventory!O12</f>
        <v>623.92761139176</v>
      </c>
      <c r="P24" s="69" t="n">
        <f aca="false">Inventory!P12</f>
        <v>756.478516716588</v>
      </c>
      <c r="Q24" s="69" t="n">
        <f aca="false">Inventory!Q12</f>
        <v>782.22253089504</v>
      </c>
      <c r="R24" s="69" t="n">
        <f aca="false">Inventory!R12</f>
        <v>615.118304251217</v>
      </c>
      <c r="S24" s="69" t="n">
        <f aca="false">Inventory!S12</f>
        <v>740.210456888467</v>
      </c>
      <c r="T24" s="69" t="n">
        <f aca="false">Inventory!T12</f>
        <v>677.847141963812</v>
      </c>
      <c r="U24" s="69" t="n">
        <f aca="false">Inventory!U12</f>
        <v>733.89419593448</v>
      </c>
      <c r="V24" s="69" t="n">
        <f aca="false">Inventory!V12</f>
        <v>639.846968782262</v>
      </c>
      <c r="W24" s="69" t="n">
        <f aca="false">Inventory!W12</f>
        <v>689.975680607818</v>
      </c>
      <c r="X24" s="69" t="n">
        <f aca="false">Inventory!X12</f>
        <v>709.826170567261</v>
      </c>
      <c r="Y24" s="69" t="n">
        <f aca="false">Inventory!Y12</f>
        <v>657.856424475825</v>
      </c>
      <c r="Z24" s="69" t="n">
        <f aca="false">Inventory!Z12</f>
        <v>712.615772949279</v>
      </c>
      <c r="AA24" s="69" t="n">
        <f aca="false">Inventory!AA12</f>
        <v>657.856424475825</v>
      </c>
      <c r="AB24" s="69" t="n">
        <f aca="false">Inventory!AB12</f>
        <v>798.155689068004</v>
      </c>
      <c r="AC24" s="69" t="n">
        <f aca="false">Inventory!AC12</f>
        <v>794.391476177232</v>
      </c>
      <c r="AD24" s="69" t="n">
        <f aca="false">Inventory!AD12</f>
        <v>682.687391989991</v>
      </c>
      <c r="AE24" s="69" t="n">
        <f aca="false">Inventory!AE12</f>
        <v>777.43938352674</v>
      </c>
      <c r="AF24" s="69" t="n">
        <f aca="false">Inventory!AF12</f>
        <v>714.708067108568</v>
      </c>
      <c r="AG24" s="69" t="n">
        <f aca="false">Inventory!AG12</f>
        <v>774.199692708745</v>
      </c>
      <c r="AH24" s="69" t="n">
        <f aca="false">Inventory!AH12</f>
        <v>676.435100264428</v>
      </c>
      <c r="AI24" s="69" t="n">
        <f aca="false">Inventory!AI12</f>
        <v>728.291037836304</v>
      </c>
      <c r="AJ24" s="69" t="n">
        <f aca="false">Inventory!AJ12</f>
        <v>749.540173630333</v>
      </c>
      <c r="AK24" s="69" t="n">
        <f aca="false">Inventory!AK12</f>
        <v>694.293346364918</v>
      </c>
      <c r="AL24" s="69" t="n">
        <f aca="false">Inventory!AL12</f>
        <v>752.508877219594</v>
      </c>
      <c r="AM24" s="69" t="n">
        <f aca="false">Inventory!AM12</f>
        <v>694.293346364918</v>
      </c>
    </row>
    <row r="25" customFormat="false" ht="21" hidden="false" customHeight="true" outlineLevel="0" collapsed="false">
      <c r="C25" s="56" t="s">
        <v>337</v>
      </c>
      <c r="D25" s="69"/>
      <c r="E25" s="69"/>
      <c r="F25" s="69"/>
      <c r="G25" s="69"/>
      <c r="H25" s="69"/>
      <c r="I25" s="69"/>
      <c r="J25" s="69" t="n">
        <f aca="false">J24/DAY(J$7)*MAX(0,Inputs!J32)</f>
        <v>2272.17966851158</v>
      </c>
      <c r="K25" s="69" t="n">
        <f aca="false">K24/DAY(K$7)*MAX(0,Inputs!K32)</f>
        <v>2267.96178112717</v>
      </c>
      <c r="L25" s="69" t="n">
        <f aca="false">L24/DAY(L$7)*MAX(0,Inputs!L32)</f>
        <v>2427.74187308444</v>
      </c>
      <c r="M25" s="69" t="n">
        <f aca="false">M24/DAY(M$7)*MAX(0,Inputs!M32)</f>
        <v>2178.47055304872</v>
      </c>
      <c r="N25" s="69" t="n">
        <f aca="false">N24/DAY(N$7)*MAX(0,Inputs!N32)</f>
        <v>2437.21485634695</v>
      </c>
      <c r="O25" s="69" t="n">
        <f aca="false">O24/DAY(O$7)*MAX(0,Inputs!O32)</f>
        <v>2178.47055304872</v>
      </c>
      <c r="P25" s="69" t="n">
        <f aca="false">P24/DAY(P$7)*MAX(0,Inputs!P32)</f>
        <v>2641.27783831371</v>
      </c>
      <c r="Q25" s="69" t="n">
        <f aca="false">Q24/DAY(Q$7)*MAX(0,Inputs!Q32)</f>
        <v>3023.78892482151</v>
      </c>
      <c r="R25" s="69" t="n">
        <f aca="false">R24/DAY(R$7)*MAX(0,Inputs!R32)</f>
        <v>2147.71247174563</v>
      </c>
      <c r="S25" s="69" t="n">
        <f aca="false">S24/DAY(S$7)*MAX(0,Inputs!S32)</f>
        <v>2670.62643552469</v>
      </c>
      <c r="T25" s="69" t="n">
        <f aca="false">T24/DAY(T$7)*MAX(0,Inputs!T32)</f>
        <v>2366.7329531105</v>
      </c>
      <c r="U25" s="69" t="n">
        <f aca="false">U24/DAY(U$7)*MAX(0,Inputs!U32)</f>
        <v>2647.83781734129</v>
      </c>
      <c r="V25" s="69" t="n">
        <f aca="false">V24/DAY(V$7)*MAX(0,Inputs!V32)</f>
        <v>2234.05368587612</v>
      </c>
      <c r="W25" s="69" t="n">
        <f aca="false">W24/DAY(W$7)*MAX(0,Inputs!W32)</f>
        <v>2409.08027642986</v>
      </c>
      <c r="X25" s="69" t="n">
        <f aca="false">X24/DAY(X$7)*MAX(0,Inputs!X32)</f>
        <v>2561.00210163583</v>
      </c>
      <c r="Y25" s="69" t="n">
        <f aca="false">Y24/DAY(Y$7)*MAX(0,Inputs!Y32)</f>
        <v>2296.93448837394</v>
      </c>
      <c r="Z25" s="69" t="n">
        <f aca="false">Z24/DAY(Z$7)*MAX(0,Inputs!Z32)</f>
        <v>2571.06678769463</v>
      </c>
      <c r="AA25" s="69" t="n">
        <f aca="false">AA24/DAY(AA$7)*MAX(0,Inputs!AA32)</f>
        <v>2296.93448837394</v>
      </c>
      <c r="AB25" s="69" t="n">
        <f aca="false">AB24/DAY(AB$7)*MAX(0,Inputs!AB32)</f>
        <v>2786.79550902453</v>
      </c>
      <c r="AC25" s="69" t="n">
        <f aca="false">AC24/DAY(AC$7)*MAX(0,Inputs!AC32)</f>
        <v>2964.93898088965</v>
      </c>
      <c r="AD25" s="69" t="n">
        <f aca="false">AD24/DAY(AD$7)*MAX(0,Inputs!AD32)</f>
        <v>2383.63289784592</v>
      </c>
      <c r="AE25" s="69" t="n">
        <f aca="false">AE24/DAY(AE$7)*MAX(0,Inputs!AE32)</f>
        <v>2804.94574258274</v>
      </c>
      <c r="AF25" s="69" t="n">
        <f aca="false">AF24/DAY(AF$7)*MAX(0,Inputs!AF32)</f>
        <v>2495.43448598042</v>
      </c>
      <c r="AG25" s="69" t="n">
        <f aca="false">AG24/DAY(AG$7)*MAX(0,Inputs!AG32)</f>
        <v>2793.25716960873</v>
      </c>
      <c r="AH25" s="69" t="n">
        <f aca="false">AH24/DAY(AH$7)*MAX(0,Inputs!AH32)</f>
        <v>2361.80274773792</v>
      </c>
      <c r="AI25" s="69" t="n">
        <f aca="false">AI24/DAY(AI$7)*MAX(0,Inputs!AI32)</f>
        <v>2542.86002255395</v>
      </c>
      <c r="AJ25" s="69" t="n">
        <f aca="false">AJ24/DAY(AJ$7)*MAX(0,Inputs!AJ32)</f>
        <v>2704.28738685943</v>
      </c>
      <c r="AK25" s="69" t="n">
        <f aca="false">AK24/DAY(AK$7)*MAX(0,Inputs!AK32)</f>
        <v>2424.15559532586</v>
      </c>
      <c r="AL25" s="69" t="n">
        <f aca="false">AL24/DAY(AL$7)*MAX(0,Inputs!AL32)</f>
        <v>2714.99825727599</v>
      </c>
      <c r="AM25" s="69" t="n">
        <f aca="false">AM24/DAY(AM$7)*MAX(0,Inputs!AM32)</f>
        <v>2424.15559532586</v>
      </c>
    </row>
    <row r="26" customFormat="false" ht="21" hidden="false" customHeight="true" outlineLevel="0" collapsed="false">
      <c r="C26" s="56" t="s">
        <v>338</v>
      </c>
      <c r="D26" s="71"/>
      <c r="E26" s="71"/>
      <c r="F26" s="71"/>
      <c r="G26" s="71"/>
      <c r="H26" s="71"/>
      <c r="I26" s="71"/>
      <c r="J26" s="71" t="n">
        <f aca="false">MIN(J23+J24,J25)</f>
        <v>2272.17966851158</v>
      </c>
      <c r="K26" s="71" t="n">
        <f aca="false">MIN(K23+K24,K25)</f>
        <v>2267.96178112717</v>
      </c>
      <c r="L26" s="71" t="n">
        <f aca="false">MIN(L23+L24,L25)</f>
        <v>2427.74187308444</v>
      </c>
      <c r="M26" s="71" t="n">
        <f aca="false">MIN(M23+M24,M25)</f>
        <v>2178.47055304872</v>
      </c>
      <c r="N26" s="71" t="n">
        <f aca="false">MIN(N23+N24,N25)</f>
        <v>2437.21485634695</v>
      </c>
      <c r="O26" s="71" t="n">
        <f aca="false">MIN(O23+O24,O25)</f>
        <v>2178.47055304872</v>
      </c>
      <c r="P26" s="71" t="n">
        <f aca="false">MIN(P23+P24,P25)</f>
        <v>2641.27783831371</v>
      </c>
      <c r="Q26" s="71" t="n">
        <f aca="false">MIN(Q23+Q24,Q25)</f>
        <v>3023.78892482151</v>
      </c>
      <c r="R26" s="71" t="n">
        <f aca="false">MIN(R23+R24,R25)</f>
        <v>2147.71247174563</v>
      </c>
      <c r="S26" s="71" t="n">
        <f aca="false">MIN(S23+S24,S25)</f>
        <v>2670.62643552469</v>
      </c>
      <c r="T26" s="71" t="n">
        <f aca="false">MIN(T23+T24,T25)</f>
        <v>2366.7329531105</v>
      </c>
      <c r="U26" s="71" t="n">
        <f aca="false">MIN(U23+U24,U25)</f>
        <v>2647.83781734129</v>
      </c>
      <c r="V26" s="71" t="n">
        <f aca="false">MIN(V23+V24,V25)</f>
        <v>2234.05368587612</v>
      </c>
      <c r="W26" s="71" t="n">
        <f aca="false">MIN(W23+W24,W25)</f>
        <v>2409.08027642986</v>
      </c>
      <c r="X26" s="71" t="n">
        <f aca="false">MIN(X23+X24,X25)</f>
        <v>2561.00210163583</v>
      </c>
      <c r="Y26" s="71" t="n">
        <f aca="false">MIN(Y23+Y24,Y25)</f>
        <v>2296.93448837394</v>
      </c>
      <c r="Z26" s="71" t="n">
        <f aca="false">MIN(Z23+Z24,Z25)</f>
        <v>2571.06678769463</v>
      </c>
      <c r="AA26" s="71" t="n">
        <f aca="false">MIN(AA23+AA24,AA25)</f>
        <v>2296.93448837394</v>
      </c>
      <c r="AB26" s="71" t="n">
        <f aca="false">MIN(AB23+AB24,AB25)</f>
        <v>2786.79550902453</v>
      </c>
      <c r="AC26" s="71" t="n">
        <f aca="false">MIN(AC23+AC24,AC25)</f>
        <v>2964.93898088965</v>
      </c>
      <c r="AD26" s="71" t="n">
        <f aca="false">MIN(AD23+AD24,AD25)</f>
        <v>2383.63289784592</v>
      </c>
      <c r="AE26" s="71" t="n">
        <f aca="false">MIN(AE23+AE24,AE25)</f>
        <v>2804.94574258274</v>
      </c>
      <c r="AF26" s="71" t="n">
        <f aca="false">MIN(AF23+AF24,AF25)</f>
        <v>2495.43448598042</v>
      </c>
      <c r="AG26" s="71" t="n">
        <f aca="false">MIN(AG23+AG24,AG25)</f>
        <v>2793.25716960873</v>
      </c>
      <c r="AH26" s="71" t="n">
        <f aca="false">MIN(AH23+AH24,AH25)</f>
        <v>2361.80274773792</v>
      </c>
      <c r="AI26" s="71" t="n">
        <f aca="false">MIN(AI23+AI24,AI25)</f>
        <v>2542.86002255395</v>
      </c>
      <c r="AJ26" s="71" t="n">
        <f aca="false">MIN(AJ23+AJ24,AJ25)</f>
        <v>2704.28738685943</v>
      </c>
      <c r="AK26" s="71" t="n">
        <f aca="false">MIN(AK23+AK24,AK25)</f>
        <v>2424.15559532586</v>
      </c>
      <c r="AL26" s="71" t="n">
        <f aca="false">MIN(AL23+AL24,AL25)</f>
        <v>2714.99825727599</v>
      </c>
      <c r="AM26" s="71" t="n">
        <f aca="false">MIN(AM23+AM24,AM25)</f>
        <v>2424.15559532586</v>
      </c>
    </row>
    <row r="27" customFormat="false" ht="21" hidden="false" customHeight="true" outlineLevel="0" collapsed="false">
      <c r="C27" s="56" t="s">
        <v>339</v>
      </c>
      <c r="D27" s="71"/>
      <c r="E27" s="71"/>
      <c r="F27" s="71"/>
      <c r="G27" s="71"/>
      <c r="H27" s="71"/>
      <c r="I27" s="71"/>
      <c r="J27" s="71" t="n">
        <f aca="false">J23+J24-J26</f>
        <v>713.102581612166</v>
      </c>
      <c r="K27" s="71" t="n">
        <f aca="false">K23+K24-K26</f>
        <v>653.776347032236</v>
      </c>
      <c r="L27" s="71" t="n">
        <f aca="false">L23+L24-L26</f>
        <v>513.110693956797</v>
      </c>
      <c r="M27" s="71" t="n">
        <f aca="false">M23+M24-M26</f>
        <v>873.198931427477</v>
      </c>
      <c r="N27" s="71" t="n">
        <f aca="false">N23+N24-N26</f>
        <v>416.772084300738</v>
      </c>
      <c r="O27" s="71" t="n">
        <f aca="false">O23+O24-O26</f>
        <v>882.671914689985</v>
      </c>
      <c r="P27" s="71" t="n">
        <f aca="false">P23+P24-P26</f>
        <v>293.671231451604</v>
      </c>
      <c r="Q27" s="71" t="n">
        <f aca="false">Q23+Q24-Q26</f>
        <v>399.711444387237</v>
      </c>
      <c r="R27" s="71" t="n">
        <f aca="false">R23+R24-R26</f>
        <v>1491.1947573271</v>
      </c>
      <c r="S27" s="71" t="n">
        <f aca="false">S23+S24-S26</f>
        <v>217.296493109406</v>
      </c>
      <c r="T27" s="71" t="n">
        <f aca="false">T23+T24-T26</f>
        <v>981.740624377998</v>
      </c>
      <c r="U27" s="71" t="n">
        <f aca="false">U23+U24-U26</f>
        <v>452.789331703692</v>
      </c>
      <c r="V27" s="71" t="n">
        <f aca="false">V23+V24-V26</f>
        <v>1053.63110024743</v>
      </c>
      <c r="W27" s="71" t="n">
        <f aca="false">W23+W24-W26</f>
        <v>514.94909005408</v>
      </c>
      <c r="X27" s="71" t="n">
        <f aca="false">X23+X24-X26</f>
        <v>557.904345361285</v>
      </c>
      <c r="Y27" s="71" t="n">
        <f aca="false">Y23+Y24-Y26</f>
        <v>921.924037737718</v>
      </c>
      <c r="Z27" s="71" t="n">
        <f aca="false">Z23+Z24-Z26</f>
        <v>438.483473628589</v>
      </c>
      <c r="AA27" s="71" t="n">
        <f aca="false">AA23+AA24-AA26</f>
        <v>931.988723796515</v>
      </c>
      <c r="AB27" s="71" t="n">
        <f aca="false">AB23+AB24-AB26</f>
        <v>308.294668417411</v>
      </c>
      <c r="AC27" s="71" t="n">
        <f aca="false">AC23+AC24-AC26</f>
        <v>616.248004312112</v>
      </c>
      <c r="AD27" s="71" t="n">
        <f aca="false">AD23+AD24-AD26</f>
        <v>1263.99347503372</v>
      </c>
      <c r="AE27" s="71" t="n">
        <f aca="false">AE23+AE24-AE26</f>
        <v>356.126538789925</v>
      </c>
      <c r="AF27" s="71" t="n">
        <f aca="false">AF23+AF24-AF26</f>
        <v>1024.21932371089</v>
      </c>
      <c r="AG27" s="71" t="n">
        <f aca="false">AG23+AG24-AG26</f>
        <v>476.377009080431</v>
      </c>
      <c r="AH27" s="71" t="n">
        <f aca="false">AH23+AH24-AH26</f>
        <v>1107.88952213524</v>
      </c>
      <c r="AI27" s="71" t="n">
        <f aca="false">AI23+AI24-AI26</f>
        <v>547.233763020277</v>
      </c>
      <c r="AJ27" s="71" t="n">
        <f aca="false">AJ23+AJ24-AJ26</f>
        <v>588.112809324858</v>
      </c>
      <c r="AK27" s="71" t="n">
        <f aca="false">AK23+AK24-AK26</f>
        <v>974.425137898485</v>
      </c>
      <c r="AL27" s="71" t="n">
        <f aca="false">AL23+AL24-AL26</f>
        <v>461.666215269466</v>
      </c>
      <c r="AM27" s="71" t="n">
        <f aca="false">AM23+AM24-AM26</f>
        <v>985.136008315046</v>
      </c>
    </row>
    <row r="28" customFormat="false" ht="21" hidden="false" customHeight="true" outlineLevel="0" collapsed="false">
      <c r="C28" s="56" t="s">
        <v>340</v>
      </c>
      <c r="D28" s="69"/>
      <c r="E28" s="69"/>
      <c r="F28" s="69"/>
      <c r="G28" s="69"/>
      <c r="H28" s="69"/>
      <c r="I28" s="69"/>
      <c r="J28" s="69" t="n">
        <f aca="false">H1Data!D38</f>
        <v>204.80545412</v>
      </c>
      <c r="K28" s="69" t="n">
        <f aca="false">H1Data!D38</f>
        <v>204.80545412</v>
      </c>
      <c r="L28" s="69" t="n">
        <f aca="false">H1Data!D38</f>
        <v>204.80545412</v>
      </c>
      <c r="M28" s="69" t="n">
        <f aca="false">H1Data!D38</f>
        <v>204.80545412</v>
      </c>
      <c r="N28" s="69" t="n">
        <f aca="false">H1Data!D38</f>
        <v>204.80545412</v>
      </c>
      <c r="O28" s="69" t="n">
        <f aca="false">H1Data!D38</f>
        <v>204.80545412</v>
      </c>
      <c r="P28" s="69" t="n">
        <f aca="false">H1Data!D38</f>
        <v>204.80545412</v>
      </c>
      <c r="Q28" s="69" t="n">
        <f aca="false">H1Data!D38</f>
        <v>204.80545412</v>
      </c>
      <c r="R28" s="69" t="n">
        <f aca="false">H1Data!D38</f>
        <v>204.80545412</v>
      </c>
      <c r="S28" s="69" t="n">
        <f aca="false">H1Data!D38</f>
        <v>204.80545412</v>
      </c>
      <c r="T28" s="69" t="n">
        <f aca="false">H1Data!D38</f>
        <v>204.80545412</v>
      </c>
      <c r="U28" s="69" t="n">
        <f aca="false">H1Data!D38</f>
        <v>204.80545412</v>
      </c>
      <c r="V28" s="69" t="n">
        <f aca="false">H1Data!D38</f>
        <v>204.80545412</v>
      </c>
      <c r="W28" s="69" t="n">
        <f aca="false">H1Data!D38</f>
        <v>204.80545412</v>
      </c>
      <c r="X28" s="69" t="n">
        <f aca="false">H1Data!D38</f>
        <v>204.80545412</v>
      </c>
      <c r="Y28" s="69" t="n">
        <f aca="false">H1Data!D38</f>
        <v>204.80545412</v>
      </c>
      <c r="Z28" s="69" t="n">
        <f aca="false">H1Data!D38</f>
        <v>204.80545412</v>
      </c>
      <c r="AA28" s="69" t="n">
        <f aca="false">H1Data!D38</f>
        <v>204.80545412</v>
      </c>
      <c r="AB28" s="69" t="n">
        <f aca="false">H1Data!D38</f>
        <v>204.80545412</v>
      </c>
      <c r="AC28" s="69" t="n">
        <f aca="false">H1Data!D38</f>
        <v>204.80545412</v>
      </c>
      <c r="AD28" s="69" t="n">
        <f aca="false">H1Data!D38</f>
        <v>204.80545412</v>
      </c>
      <c r="AE28" s="69" t="n">
        <f aca="false">H1Data!D38</f>
        <v>204.80545412</v>
      </c>
      <c r="AF28" s="69" t="n">
        <f aca="false">H1Data!D38</f>
        <v>204.80545412</v>
      </c>
      <c r="AG28" s="69" t="n">
        <f aca="false">H1Data!D38</f>
        <v>204.80545412</v>
      </c>
      <c r="AH28" s="69" t="n">
        <f aca="false">H1Data!D38</f>
        <v>204.80545412</v>
      </c>
      <c r="AI28" s="69" t="n">
        <f aca="false">H1Data!D38</f>
        <v>204.80545412</v>
      </c>
      <c r="AJ28" s="69" t="n">
        <f aca="false">H1Data!D38</f>
        <v>204.80545412</v>
      </c>
      <c r="AK28" s="69" t="n">
        <f aca="false">H1Data!D38</f>
        <v>204.80545412</v>
      </c>
      <c r="AL28" s="69" t="n">
        <f aca="false">H1Data!D38</f>
        <v>204.80545412</v>
      </c>
      <c r="AM28" s="69" t="n">
        <f aca="false">H1Data!D38</f>
        <v>204.80545412</v>
      </c>
    </row>
    <row r="29" customFormat="false" ht="21" hidden="false" customHeight="true" outlineLevel="0" collapsed="false">
      <c r="C29" s="56" t="s">
        <v>341</v>
      </c>
      <c r="D29" s="69"/>
      <c r="E29" s="69"/>
      <c r="F29" s="69"/>
      <c r="G29" s="69"/>
      <c r="H29" s="69"/>
      <c r="I29" s="69"/>
      <c r="J29" s="69" t="n">
        <f aca="false">H1Data!D39</f>
        <v>25.12224009</v>
      </c>
      <c r="K29" s="69" t="n">
        <f aca="false">H1Data!D39</f>
        <v>25.12224009</v>
      </c>
      <c r="L29" s="69" t="n">
        <f aca="false">H1Data!D39</f>
        <v>25.12224009</v>
      </c>
      <c r="M29" s="69" t="n">
        <f aca="false">H1Data!D39</f>
        <v>25.12224009</v>
      </c>
      <c r="N29" s="69" t="n">
        <f aca="false">H1Data!D39</f>
        <v>25.12224009</v>
      </c>
      <c r="O29" s="69" t="n">
        <f aca="false">H1Data!D39</f>
        <v>25.12224009</v>
      </c>
      <c r="P29" s="69" t="n">
        <f aca="false">H1Data!D39</f>
        <v>25.12224009</v>
      </c>
      <c r="Q29" s="69" t="n">
        <f aca="false">H1Data!D39</f>
        <v>25.12224009</v>
      </c>
      <c r="R29" s="69" t="n">
        <f aca="false">H1Data!D39</f>
        <v>25.12224009</v>
      </c>
      <c r="S29" s="69" t="n">
        <f aca="false">H1Data!D39</f>
        <v>25.12224009</v>
      </c>
      <c r="T29" s="69" t="n">
        <f aca="false">H1Data!D39</f>
        <v>25.12224009</v>
      </c>
      <c r="U29" s="69" t="n">
        <f aca="false">H1Data!D39</f>
        <v>25.12224009</v>
      </c>
      <c r="V29" s="69" t="n">
        <f aca="false">H1Data!D39</f>
        <v>25.12224009</v>
      </c>
      <c r="W29" s="69" t="n">
        <f aca="false">H1Data!D39</f>
        <v>25.12224009</v>
      </c>
      <c r="X29" s="69" t="n">
        <f aca="false">H1Data!D39</f>
        <v>25.12224009</v>
      </c>
      <c r="Y29" s="69" t="n">
        <f aca="false">H1Data!D39</f>
        <v>25.12224009</v>
      </c>
      <c r="Z29" s="69" t="n">
        <f aca="false">H1Data!D39</f>
        <v>25.12224009</v>
      </c>
      <c r="AA29" s="69" t="n">
        <f aca="false">H1Data!D39</f>
        <v>25.12224009</v>
      </c>
      <c r="AB29" s="69" t="n">
        <f aca="false">H1Data!D39</f>
        <v>25.12224009</v>
      </c>
      <c r="AC29" s="69" t="n">
        <f aca="false">H1Data!D39</f>
        <v>25.12224009</v>
      </c>
      <c r="AD29" s="69" t="n">
        <f aca="false">H1Data!D39</f>
        <v>25.12224009</v>
      </c>
      <c r="AE29" s="69" t="n">
        <f aca="false">H1Data!D39</f>
        <v>25.12224009</v>
      </c>
      <c r="AF29" s="69" t="n">
        <f aca="false">H1Data!D39</f>
        <v>25.12224009</v>
      </c>
      <c r="AG29" s="69" t="n">
        <f aca="false">H1Data!D39</f>
        <v>25.12224009</v>
      </c>
      <c r="AH29" s="69" t="n">
        <f aca="false">H1Data!D39</f>
        <v>25.12224009</v>
      </c>
      <c r="AI29" s="69" t="n">
        <f aca="false">H1Data!D39</f>
        <v>25.12224009</v>
      </c>
      <c r="AJ29" s="69" t="n">
        <f aca="false">H1Data!D39</f>
        <v>25.12224009</v>
      </c>
      <c r="AK29" s="69" t="n">
        <f aca="false">H1Data!D39</f>
        <v>25.12224009</v>
      </c>
      <c r="AL29" s="69" t="n">
        <f aca="false">H1Data!D39</f>
        <v>25.12224009</v>
      </c>
      <c r="AM29" s="69" t="n">
        <f aca="false">H1Data!D39</f>
        <v>25.12224009</v>
      </c>
    </row>
    <row r="30" customFormat="false" ht="21" hidden="false" customHeight="true" outlineLevel="0" collapsed="false">
      <c r="C30" s="56" t="s">
        <v>342</v>
      </c>
      <c r="D30" s="71"/>
      <c r="E30" s="71"/>
      <c r="F30" s="71"/>
      <c r="G30" s="71"/>
      <c r="H30" s="71"/>
      <c r="I30" s="71"/>
      <c r="J30" s="71" t="n">
        <f aca="false">J26+J28+J29</f>
        <v>2502.10736272158</v>
      </c>
      <c r="K30" s="71" t="n">
        <f aca="false">K26+K28+K29</f>
        <v>2497.88947533717</v>
      </c>
      <c r="L30" s="71" t="n">
        <f aca="false">L26+L28+L29</f>
        <v>2657.66956729444</v>
      </c>
      <c r="M30" s="71" t="n">
        <f aca="false">M26+M28+M29</f>
        <v>2408.39824725872</v>
      </c>
      <c r="N30" s="71" t="n">
        <f aca="false">N26+N28+N29</f>
        <v>2667.14255055695</v>
      </c>
      <c r="O30" s="71" t="n">
        <f aca="false">O26+O28+O29</f>
        <v>2408.39824725872</v>
      </c>
      <c r="P30" s="71" t="n">
        <f aca="false">P26+P28+P29</f>
        <v>2871.20553252371</v>
      </c>
      <c r="Q30" s="71" t="n">
        <f aca="false">Q26+Q28+Q29</f>
        <v>3253.71661903151</v>
      </c>
      <c r="R30" s="71" t="n">
        <f aca="false">R26+R28+R29</f>
        <v>2377.64016595563</v>
      </c>
      <c r="S30" s="71" t="n">
        <f aca="false">S26+S28+S29</f>
        <v>2900.55412973469</v>
      </c>
      <c r="T30" s="71" t="n">
        <f aca="false">T26+T28+T29</f>
        <v>2596.6606473205</v>
      </c>
      <c r="U30" s="71" t="n">
        <f aca="false">U26+U28+U29</f>
        <v>2877.76551155129</v>
      </c>
      <c r="V30" s="71" t="n">
        <f aca="false">V26+V28+V29</f>
        <v>2463.98138008612</v>
      </c>
      <c r="W30" s="71" t="n">
        <f aca="false">W26+W28+W29</f>
        <v>2639.00797063986</v>
      </c>
      <c r="X30" s="71" t="n">
        <f aca="false">X26+X28+X29</f>
        <v>2790.92979584583</v>
      </c>
      <c r="Y30" s="71" t="n">
        <f aca="false">Y26+Y28+Y29</f>
        <v>2526.86218258394</v>
      </c>
      <c r="Z30" s="71" t="n">
        <f aca="false">Z26+Z28+Z29</f>
        <v>2800.99448190463</v>
      </c>
      <c r="AA30" s="71" t="n">
        <f aca="false">AA26+AA28+AA29</f>
        <v>2526.86218258394</v>
      </c>
      <c r="AB30" s="71" t="n">
        <f aca="false">AB26+AB28+AB29</f>
        <v>3016.72320323453</v>
      </c>
      <c r="AC30" s="71" t="n">
        <f aca="false">AC26+AC28+AC29</f>
        <v>3194.86667509965</v>
      </c>
      <c r="AD30" s="71" t="n">
        <f aca="false">AD26+AD28+AD29</f>
        <v>2613.56059205592</v>
      </c>
      <c r="AE30" s="71" t="n">
        <f aca="false">AE26+AE28+AE29</f>
        <v>3034.87343679274</v>
      </c>
      <c r="AF30" s="71" t="n">
        <f aca="false">AF26+AF28+AF29</f>
        <v>2725.36218019042</v>
      </c>
      <c r="AG30" s="71" t="n">
        <f aca="false">AG26+AG28+AG29</f>
        <v>3023.18486381873</v>
      </c>
      <c r="AH30" s="71" t="n">
        <f aca="false">AH26+AH28+AH29</f>
        <v>2591.73044194792</v>
      </c>
      <c r="AI30" s="71" t="n">
        <f aca="false">AI26+AI28+AI29</f>
        <v>2772.78771676395</v>
      </c>
      <c r="AJ30" s="71" t="n">
        <f aca="false">AJ26+AJ28+AJ29</f>
        <v>2934.21508106943</v>
      </c>
      <c r="AK30" s="71" t="n">
        <f aca="false">AK26+AK28+AK29</f>
        <v>2654.08328953586</v>
      </c>
      <c r="AL30" s="71" t="n">
        <f aca="false">AL26+AL28+AL29</f>
        <v>2944.92595148599</v>
      </c>
      <c r="AM30" s="71" t="n">
        <f aca="false">AM26+AM28+AM29</f>
        <v>2654.08328953586</v>
      </c>
    </row>
    <row r="31" customFormat="false" ht="21" hidden="false" customHeight="true" outlineLevel="0" collapsed="false">
      <c r="C31" s="56" t="s">
        <v>343</v>
      </c>
      <c r="D31" s="71"/>
      <c r="E31" s="71"/>
      <c r="F31" s="71"/>
      <c r="G31" s="71"/>
      <c r="H31" s="71"/>
      <c r="I31" s="71"/>
      <c r="J31" s="71" t="n">
        <f aca="false">J23+J24-J27-J26</f>
        <v>0</v>
      </c>
      <c r="K31" s="71" t="n">
        <f aca="false">K23+K24-K27-K26</f>
        <v>0</v>
      </c>
      <c r="L31" s="71" t="n">
        <f aca="false">L23+L24-L27-L26</f>
        <v>0</v>
      </c>
      <c r="M31" s="71" t="n">
        <f aca="false">M23+M24-M27-M26</f>
        <v>0</v>
      </c>
      <c r="N31" s="71" t="n">
        <f aca="false">N23+N24-N27-N26</f>
        <v>0</v>
      </c>
      <c r="O31" s="71" t="n">
        <f aca="false">O23+O24-O27-O26</f>
        <v>0</v>
      </c>
      <c r="P31" s="71" t="n">
        <f aca="false">P23+P24-P27-P26</f>
        <v>0</v>
      </c>
      <c r="Q31" s="71" t="n">
        <f aca="false">Q23+Q24-Q27-Q26</f>
        <v>0</v>
      </c>
      <c r="R31" s="71" t="n">
        <f aca="false">R23+R24-R27-R26</f>
        <v>0</v>
      </c>
      <c r="S31" s="71" t="n">
        <f aca="false">S23+S24-S27-S26</f>
        <v>0</v>
      </c>
      <c r="T31" s="71" t="n">
        <f aca="false">T23+T24-T27-T26</f>
        <v>0</v>
      </c>
      <c r="U31" s="71" t="n">
        <f aca="false">U23+U24-U27-U26</f>
        <v>0</v>
      </c>
      <c r="V31" s="71" t="n">
        <f aca="false">V23+V24-V27-V26</f>
        <v>0</v>
      </c>
      <c r="W31" s="71" t="n">
        <f aca="false">W23+W24-W27-W26</f>
        <v>0</v>
      </c>
      <c r="X31" s="71" t="n">
        <f aca="false">X23+X24-X27-X26</f>
        <v>0</v>
      </c>
      <c r="Y31" s="71" t="n">
        <f aca="false">Y23+Y24-Y27-Y26</f>
        <v>0</v>
      </c>
      <c r="Z31" s="71" t="n">
        <f aca="false">Z23+Z24-Z27-Z26</f>
        <v>0</v>
      </c>
      <c r="AA31" s="71" t="n">
        <f aca="false">AA23+AA24-AA27-AA26</f>
        <v>0</v>
      </c>
      <c r="AB31" s="71" t="n">
        <f aca="false">AB23+AB24-AB27-AB26</f>
        <v>0</v>
      </c>
      <c r="AC31" s="71" t="n">
        <f aca="false">AC23+AC24-AC27-AC26</f>
        <v>0</v>
      </c>
      <c r="AD31" s="71" t="n">
        <f aca="false">AD23+AD24-AD27-AD26</f>
        <v>0</v>
      </c>
      <c r="AE31" s="71" t="n">
        <f aca="false">AE23+AE24-AE27-AE26</f>
        <v>0</v>
      </c>
      <c r="AF31" s="71" t="n">
        <f aca="false">AF23+AF24-AF27-AF26</f>
        <v>0</v>
      </c>
      <c r="AG31" s="71" t="n">
        <f aca="false">AG23+AG24-AG27-AG26</f>
        <v>0</v>
      </c>
      <c r="AH31" s="71" t="n">
        <f aca="false">AH23+AH24-AH27-AH26</f>
        <v>0</v>
      </c>
      <c r="AI31" s="71" t="n">
        <f aca="false">AI23+AI24-AI27-AI26</f>
        <v>0</v>
      </c>
      <c r="AJ31" s="71" t="n">
        <f aca="false">AJ23+AJ24-AJ27-AJ26</f>
        <v>0</v>
      </c>
      <c r="AK31" s="71" t="n">
        <f aca="false">AK23+AK24-AK27-AK26</f>
        <v>0</v>
      </c>
      <c r="AL31" s="71" t="n">
        <f aca="false">AL23+AL24-AL27-AL26</f>
        <v>0</v>
      </c>
      <c r="AM31" s="71" t="n">
        <f aca="false">AM23+AM24-AM27-AM26</f>
        <v>0</v>
      </c>
    </row>
    <row r="32" customFormat="false" ht="21" hidden="false" customHeight="true" outlineLevel="0" collapsed="false">
      <c r="C32" s="56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</row>
    <row r="33" customFormat="false" ht="21" hidden="false" customHeight="true" outlineLevel="0" collapsed="false">
      <c r="C33" s="56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</row>
    <row r="34" customFormat="false" ht="21" hidden="false" customHeight="true" outlineLevel="0" collapsed="false">
      <c r="C34" s="56" t="s">
        <v>344</v>
      </c>
      <c r="D34" s="71"/>
      <c r="E34" s="71"/>
      <c r="F34" s="71"/>
      <c r="G34" s="71"/>
      <c r="H34" s="71"/>
      <c r="I34" s="71"/>
      <c r="J34" s="71" t="n">
        <f aca="false">J12-J9</f>
        <v>-4.05520980636118</v>
      </c>
      <c r="K34" s="71" t="n">
        <f aca="false">K12-K9</f>
        <v>0</v>
      </c>
      <c r="L34" s="71" t="n">
        <f aca="false">L12-L9</f>
        <v>11.1135391741213</v>
      </c>
      <c r="M34" s="71" t="n">
        <f aca="false">M12-M9</f>
        <v>-11.1135391741213</v>
      </c>
      <c r="N34" s="71" t="n">
        <f aca="false">N12-N9</f>
        <v>11.1135391741213</v>
      </c>
      <c r="O34" s="71" t="n">
        <f aca="false">O12-O9</f>
        <v>-11.1135391741213</v>
      </c>
      <c r="P34" s="71" t="n">
        <f aca="false">P12-P9</f>
        <v>22.6808673421127</v>
      </c>
      <c r="Q34" s="71" t="n">
        <f aca="false">Q12-Q9</f>
        <v>38.1521831320448</v>
      </c>
      <c r="R34" s="71" t="n">
        <f aca="false">R12-R9</f>
        <v>-38.1521831320448</v>
      </c>
      <c r="S34" s="71" t="n">
        <f aca="false">S12-S9</f>
        <v>11.869568085525</v>
      </c>
      <c r="T34" s="71" t="n">
        <f aca="false">T12-T9</f>
        <v>-11.869568085525</v>
      </c>
      <c r="U34" s="71" t="n">
        <f aca="false">U12-U9</f>
        <v>11.869568085525</v>
      </c>
      <c r="V34" s="71" t="n">
        <f aca="false">V12-V9</f>
        <v>-22.4536326949195</v>
      </c>
      <c r="W34" s="71" t="n">
        <f aca="false">W12-W9</f>
        <v>0</v>
      </c>
      <c r="X34" s="71" t="n">
        <f aca="false">X12-X9</f>
        <v>11.5167659318785</v>
      </c>
      <c r="Y34" s="71" t="n">
        <f aca="false">Y12-Y9</f>
        <v>-11.5167659318785</v>
      </c>
      <c r="Z34" s="71" t="n">
        <f aca="false">Z12-Z9</f>
        <v>11.5167659318785</v>
      </c>
      <c r="AA34" s="71" t="n">
        <f aca="false">AA12-AA9</f>
        <v>-11.5167659318785</v>
      </c>
      <c r="AB34" s="71" t="n">
        <f aca="false">AB12-AB9</f>
        <v>23.4685770921718</v>
      </c>
      <c r="AC34" s="71" t="n">
        <f aca="false">AC12-AC9</f>
        <v>25.4463141412778</v>
      </c>
      <c r="AD34" s="71" t="n">
        <f aca="false">AD12-AD9</f>
        <v>-25.4463141412778</v>
      </c>
      <c r="AE34" s="71" t="n">
        <f aca="false">AE12-AE9</f>
        <v>12.2990518349509</v>
      </c>
      <c r="AF34" s="71" t="n">
        <f aca="false">AF12-AF9</f>
        <v>-12.2990518349509</v>
      </c>
      <c r="AG34" s="71" t="n">
        <f aca="false">AG12-AG9</f>
        <v>12.2990518349509</v>
      </c>
      <c r="AH34" s="71" t="n">
        <f aca="false">AH12-AH9</f>
        <v>-23.0371588218768</v>
      </c>
      <c r="AI34" s="71" t="n">
        <f aca="false">AI12-AI9</f>
        <v>0</v>
      </c>
      <c r="AJ34" s="71" t="n">
        <f aca="false">AJ12-AJ9</f>
        <v>11.9411149353867</v>
      </c>
      <c r="AK34" s="71" t="n">
        <f aca="false">AK12-AK9</f>
        <v>-11.9411149353867</v>
      </c>
      <c r="AL34" s="71" t="n">
        <f aca="false">AL12-AL9</f>
        <v>11.9411149353867</v>
      </c>
      <c r="AM34" s="71" t="n">
        <f aca="false">AM12-AM9</f>
        <v>-11.9411149353867</v>
      </c>
    </row>
    <row r="35" customFormat="false" ht="21" hidden="false" customHeight="true" outlineLevel="0" collapsed="false">
      <c r="C35" s="56" t="s">
        <v>345</v>
      </c>
      <c r="D35" s="71"/>
      <c r="E35" s="71"/>
      <c r="F35" s="71"/>
      <c r="G35" s="71"/>
      <c r="H35" s="71"/>
      <c r="I35" s="71"/>
      <c r="J35" s="71" t="n">
        <f aca="false">J26-J23</f>
        <v>-62.3360925984207</v>
      </c>
      <c r="K35" s="71" t="n">
        <f aca="false">K26-K23</f>
        <v>-4.21788738441046</v>
      </c>
      <c r="L35" s="71" t="n">
        <f aca="false">L26-L23</f>
        <v>159.780091957272</v>
      </c>
      <c r="M35" s="71" t="n">
        <f aca="false">M26-M23</f>
        <v>-249.271320035718</v>
      </c>
      <c r="N35" s="71" t="n">
        <f aca="false">N26-N23</f>
        <v>258.744303298225</v>
      </c>
      <c r="O35" s="71" t="n">
        <f aca="false">O26-O23</f>
        <v>-258.744303298225</v>
      </c>
      <c r="P35" s="71" t="n">
        <f aca="false">P26-P23</f>
        <v>462.807285264984</v>
      </c>
      <c r="Q35" s="71" t="n">
        <f aca="false">Q26-Q23</f>
        <v>382.511086507803</v>
      </c>
      <c r="R35" s="71" t="n">
        <f aca="false">R26-R23</f>
        <v>-876.076453075883</v>
      </c>
      <c r="S35" s="71" t="n">
        <f aca="false">S26-S23</f>
        <v>522.913963779061</v>
      </c>
      <c r="T35" s="71" t="n">
        <f aca="false">T26-T23</f>
        <v>-303.893482414187</v>
      </c>
      <c r="U35" s="71" t="n">
        <f aca="false">U26-U23</f>
        <v>281.104864230787</v>
      </c>
      <c r="V35" s="71" t="n">
        <f aca="false">V26-V23</f>
        <v>-413.78413146517</v>
      </c>
      <c r="W35" s="71" t="n">
        <f aca="false">W26-W23</f>
        <v>175.026590553738</v>
      </c>
      <c r="X35" s="71" t="n">
        <f aca="false">X26-X23</f>
        <v>151.921825205975</v>
      </c>
      <c r="Y35" s="71" t="n">
        <f aca="false">Y26-Y23</f>
        <v>-264.067613261893</v>
      </c>
      <c r="Z35" s="71" t="n">
        <f aca="false">Z26-Z23</f>
        <v>274.13229932069</v>
      </c>
      <c r="AA35" s="71" t="n">
        <f aca="false">AA26-AA23</f>
        <v>-274.13229932069</v>
      </c>
      <c r="AB35" s="71" t="n">
        <f aca="false">AB26-AB23</f>
        <v>489.861020650593</v>
      </c>
      <c r="AC35" s="71" t="n">
        <f aca="false">AC26-AC23</f>
        <v>178.14347186512</v>
      </c>
      <c r="AD35" s="71" t="n">
        <f aca="false">AD26-AD23</f>
        <v>-581.306083043729</v>
      </c>
      <c r="AE35" s="71" t="n">
        <f aca="false">AE26-AE23</f>
        <v>421.312844736815</v>
      </c>
      <c r="AF35" s="71" t="n">
        <f aca="false">AF26-AF23</f>
        <v>-309.511256602321</v>
      </c>
      <c r="AG35" s="71" t="n">
        <f aca="false">AG26-AG23</f>
        <v>297.822683628313</v>
      </c>
      <c r="AH35" s="71" t="n">
        <f aca="false">AH26-AH23</f>
        <v>-431.454421870809</v>
      </c>
      <c r="AI35" s="71" t="n">
        <f aca="false">AI26-AI23</f>
        <v>181.057274816027</v>
      </c>
      <c r="AJ35" s="71" t="n">
        <f aca="false">AJ26-AJ23</f>
        <v>161.427364305476</v>
      </c>
      <c r="AK35" s="71" t="n">
        <f aca="false">AK26-AK23</f>
        <v>-280.131791533566</v>
      </c>
      <c r="AL35" s="71" t="n">
        <f aca="false">AL26-AL23</f>
        <v>290.842661950127</v>
      </c>
      <c r="AM35" s="71" t="n">
        <f aca="false">AM26-AM23</f>
        <v>-290.842661950127</v>
      </c>
    </row>
    <row r="36" customFormat="false" ht="21" hidden="false" customHeight="true" outlineLevel="0" collapsed="false">
      <c r="C36" s="56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</row>
    <row r="37" customFormat="false" ht="21" hidden="false" customHeight="true" outlineLevel="0" collapsed="false">
      <c r="C37" s="56" t="s">
        <v>346</v>
      </c>
      <c r="D37" s="69"/>
      <c r="E37" s="69"/>
      <c r="F37" s="69"/>
      <c r="G37" s="69"/>
      <c r="H37" s="69"/>
      <c r="I37" s="69"/>
      <c r="J37" s="69" t="n">
        <f aca="false">H1Data!D40</f>
        <v>831.36656868</v>
      </c>
      <c r="K37" s="69" t="n">
        <f aca="false">Receivables!J40</f>
        <v>590.677466699388</v>
      </c>
      <c r="L37" s="69" t="n">
        <f aca="false">Receivables!K40</f>
        <v>590.677466699388</v>
      </c>
      <c r="M37" s="69" t="n">
        <f aca="false">Receivables!L40</f>
        <v>610.366715589368</v>
      </c>
      <c r="N37" s="69" t="n">
        <f aca="false">Receivables!M40</f>
        <v>590.677466699388</v>
      </c>
      <c r="O37" s="69" t="n">
        <f aca="false">Receivables!N40</f>
        <v>610.366715589368</v>
      </c>
      <c r="P37" s="69" t="n">
        <f aca="false">Receivables!O40</f>
        <v>590.677466699388</v>
      </c>
      <c r="Q37" s="69" t="n">
        <f aca="false">Receivables!P40</f>
        <v>630.859917594899</v>
      </c>
      <c r="R37" s="69" t="n">
        <f aca="false">Receivables!Q40</f>
        <v>698.452051622924</v>
      </c>
      <c r="S37" s="69" t="n">
        <f aca="false">Receivables!R40</f>
        <v>630.859917594899</v>
      </c>
      <c r="T37" s="69" t="n">
        <f aca="false">Receivables!S40</f>
        <v>651.888581514729</v>
      </c>
      <c r="U37" s="69" t="n">
        <f aca="false">Receivables!T40</f>
        <v>630.859917594899</v>
      </c>
      <c r="V37" s="69" t="n">
        <f aca="false">Receivables!U40</f>
        <v>651.888581514729</v>
      </c>
      <c r="W37" s="69" t="n">
        <f aca="false">Receivables!V40</f>
        <v>612.108709802583</v>
      </c>
      <c r="X37" s="69" t="n">
        <f aca="false">Receivables!W40</f>
        <v>612.108709802583</v>
      </c>
      <c r="Y37" s="69" t="n">
        <f aca="false">Receivables!X40</f>
        <v>632.512333462669</v>
      </c>
      <c r="Z37" s="69" t="n">
        <f aca="false">Receivables!Y40</f>
        <v>612.108709802583</v>
      </c>
      <c r="AA37" s="69" t="n">
        <f aca="false">Receivables!Z40</f>
        <v>632.512333462669</v>
      </c>
      <c r="AB37" s="69" t="n">
        <f aca="false">Receivables!AA40</f>
        <v>612.108709802583</v>
      </c>
      <c r="AC37" s="69" t="n">
        <f aca="false">Receivables!AB40</f>
        <v>653.686702935268</v>
      </c>
      <c r="AD37" s="69" t="n">
        <f aca="false">Receivables!AC40</f>
        <v>698.768544517011</v>
      </c>
      <c r="AE37" s="69" t="n">
        <f aca="false">Receivables!AD40</f>
        <v>653.686702935268</v>
      </c>
      <c r="AF37" s="69" t="n">
        <f aca="false">Receivables!AE40</f>
        <v>675.476259699777</v>
      </c>
      <c r="AG37" s="69" t="n">
        <f aca="false">Receivables!AF40</f>
        <v>653.686702935268</v>
      </c>
      <c r="AH37" s="69" t="n">
        <f aca="false">Receivables!AG40</f>
        <v>675.476259699777</v>
      </c>
      <c r="AI37" s="69" t="n">
        <f aca="false">Receivables!AH40</f>
        <v>634.66258669648</v>
      </c>
      <c r="AJ37" s="69" t="n">
        <f aca="false">Receivables!AI40</f>
        <v>634.66258669648</v>
      </c>
      <c r="AK37" s="69" t="n">
        <f aca="false">Receivables!AJ40</f>
        <v>655.818006253029</v>
      </c>
      <c r="AL37" s="69" t="n">
        <f aca="false">Receivables!AK40</f>
        <v>634.66258669648</v>
      </c>
      <c r="AM37" s="69" t="n">
        <f aca="false">Receivables!AL40</f>
        <v>655.818006253029</v>
      </c>
    </row>
    <row r="38" customFormat="false" ht="21" hidden="false" customHeight="true" outlineLevel="0" collapsed="false">
      <c r="C38" s="56" t="s">
        <v>347</v>
      </c>
      <c r="D38" s="69"/>
      <c r="E38" s="69"/>
      <c r="F38" s="69"/>
      <c r="G38" s="69"/>
      <c r="H38" s="69"/>
      <c r="I38" s="69"/>
      <c r="J38" s="69" t="n">
        <f aca="false">MIN(MAX(0,J37),MAX(0,Revenue!J40))</f>
        <v>831.36656868</v>
      </c>
      <c r="K38" s="69" t="n">
        <f aca="false">MIN(MAX(0,K37),MAX(0,Revenue!K40))</f>
        <v>590.677466699388</v>
      </c>
      <c r="L38" s="69" t="n">
        <f aca="false">MIN(MAX(0,L37),MAX(0,Revenue!L40))</f>
        <v>590.677466699388</v>
      </c>
      <c r="M38" s="69" t="n">
        <f aca="false">MIN(MAX(0,M37),MAX(0,Revenue!M40))</f>
        <v>610.366715589368</v>
      </c>
      <c r="N38" s="69" t="n">
        <f aca="false">MIN(MAX(0,N37),MAX(0,Revenue!N40))</f>
        <v>590.677466699388</v>
      </c>
      <c r="O38" s="69" t="n">
        <f aca="false">MIN(MAX(0,O37),MAX(0,Revenue!O40))</f>
        <v>610.366715589368</v>
      </c>
      <c r="P38" s="69" t="n">
        <f aca="false">MIN(MAX(0,P37),MAX(0,Revenue!P40))</f>
        <v>590.677466699388</v>
      </c>
      <c r="Q38" s="69" t="n">
        <f aca="false">MIN(MAX(0,Q37),MAX(0,Revenue!Q40))</f>
        <v>630.859917594899</v>
      </c>
      <c r="R38" s="69" t="n">
        <f aca="false">MIN(MAX(0,R37),MAX(0,Revenue!R40))</f>
        <v>698.452051622924</v>
      </c>
      <c r="S38" s="69" t="n">
        <f aca="false">MIN(MAX(0,S37),MAX(0,Revenue!S40))</f>
        <v>630.859917594899</v>
      </c>
      <c r="T38" s="69" t="n">
        <f aca="false">MIN(MAX(0,T37),MAX(0,Revenue!T40))</f>
        <v>651.888581514729</v>
      </c>
      <c r="U38" s="69" t="n">
        <f aca="false">MIN(MAX(0,U37),MAX(0,Revenue!U40))</f>
        <v>630.859917594899</v>
      </c>
      <c r="V38" s="69" t="n">
        <f aca="false">MIN(MAX(0,V37),MAX(0,Revenue!V40))</f>
        <v>651.888581514729</v>
      </c>
      <c r="W38" s="69" t="n">
        <f aca="false">MIN(MAX(0,W37),MAX(0,Revenue!W40))</f>
        <v>612.108709802583</v>
      </c>
      <c r="X38" s="69" t="n">
        <f aca="false">MIN(MAX(0,X37),MAX(0,Revenue!X40))</f>
        <v>612.108709802583</v>
      </c>
      <c r="Y38" s="69" t="n">
        <f aca="false">MIN(MAX(0,Y37),MAX(0,Revenue!Y40))</f>
        <v>632.512333462669</v>
      </c>
      <c r="Z38" s="69" t="n">
        <f aca="false">MIN(MAX(0,Z37),MAX(0,Revenue!Z40))</f>
        <v>612.108709802583</v>
      </c>
      <c r="AA38" s="69" t="n">
        <f aca="false">MIN(MAX(0,AA37),MAX(0,Revenue!AA40))</f>
        <v>632.512333462669</v>
      </c>
      <c r="AB38" s="69" t="n">
        <f aca="false">MIN(MAX(0,AB37),MAX(0,Revenue!AB40))</f>
        <v>612.108709802583</v>
      </c>
      <c r="AC38" s="69" t="n">
        <f aca="false">MIN(MAX(0,AC37),MAX(0,Revenue!AC40))</f>
        <v>653.686702935268</v>
      </c>
      <c r="AD38" s="69" t="n">
        <f aca="false">MIN(MAX(0,AD37),MAX(0,Revenue!AD40))</f>
        <v>698.768544517011</v>
      </c>
      <c r="AE38" s="69" t="n">
        <f aca="false">MIN(MAX(0,AE37),MAX(0,Revenue!AE40))</f>
        <v>653.686702935268</v>
      </c>
      <c r="AF38" s="69" t="n">
        <f aca="false">MIN(MAX(0,AF37),MAX(0,Revenue!AF40))</f>
        <v>675.476259699777</v>
      </c>
      <c r="AG38" s="69" t="n">
        <f aca="false">MIN(MAX(0,AG37),MAX(0,Revenue!AG40))</f>
        <v>653.686702935268</v>
      </c>
      <c r="AH38" s="69" t="n">
        <f aca="false">MIN(MAX(0,AH37),MAX(0,Revenue!AH40))</f>
        <v>675.476259699777</v>
      </c>
      <c r="AI38" s="69" t="n">
        <f aca="false">MIN(MAX(0,AI37),MAX(0,Revenue!AI40))</f>
        <v>634.66258669648</v>
      </c>
      <c r="AJ38" s="69" t="n">
        <f aca="false">MIN(MAX(0,AJ37),MAX(0,Revenue!AJ40))</f>
        <v>634.66258669648</v>
      </c>
      <c r="AK38" s="69" t="n">
        <f aca="false">MIN(MAX(0,AK37),MAX(0,Revenue!AK40))</f>
        <v>655.818006253029</v>
      </c>
      <c r="AL38" s="69" t="n">
        <f aca="false">MIN(MAX(0,AL37),MAX(0,Revenue!AL40))</f>
        <v>634.66258669648</v>
      </c>
      <c r="AM38" s="69" t="n">
        <f aca="false">MIN(MAX(0,AM37),MAX(0,Revenue!AM40))</f>
        <v>655.818006253029</v>
      </c>
    </row>
    <row r="39" customFormat="false" ht="21" hidden="false" customHeight="true" outlineLevel="0" collapsed="false">
      <c r="C39" s="56" t="s">
        <v>348</v>
      </c>
      <c r="D39" s="69"/>
      <c r="E39" s="69"/>
      <c r="F39" s="69"/>
      <c r="G39" s="69"/>
      <c r="H39" s="69"/>
      <c r="I39" s="69"/>
      <c r="J39" s="69" t="n">
        <f aca="false">MAX(0,Revenue!J40)/DAY(J$7)*MAX(0,Inputs!J100)</f>
        <v>590.677466699388</v>
      </c>
      <c r="K39" s="69" t="n">
        <f aca="false">MAX(0,Revenue!K40)/DAY(K$7)*MAX(0,Inputs!K100)</f>
        <v>590.677466699388</v>
      </c>
      <c r="L39" s="69" t="n">
        <f aca="false">MAX(0,Revenue!L40)/DAY(L$7)*MAX(0,Inputs!L100)</f>
        <v>610.366715589368</v>
      </c>
      <c r="M39" s="69" t="n">
        <f aca="false">MAX(0,Revenue!M40)/DAY(M$7)*MAX(0,Inputs!M100)</f>
        <v>590.677466699388</v>
      </c>
      <c r="N39" s="69" t="n">
        <f aca="false">MAX(0,Revenue!N40)/DAY(N$7)*MAX(0,Inputs!N100)</f>
        <v>610.366715589368</v>
      </c>
      <c r="O39" s="69" t="n">
        <f aca="false">MAX(0,Revenue!O40)/DAY(O$7)*MAX(0,Inputs!O100)</f>
        <v>590.677466699388</v>
      </c>
      <c r="P39" s="69" t="n">
        <f aca="false">MAX(0,Revenue!P40)/DAY(P$7)*MAX(0,Inputs!P100)</f>
        <v>630.859917594899</v>
      </c>
      <c r="Q39" s="69" t="n">
        <f aca="false">MAX(0,Revenue!Q40)/DAY(Q$7)*MAX(0,Inputs!Q100)</f>
        <v>698.452051622924</v>
      </c>
      <c r="R39" s="69" t="n">
        <f aca="false">MAX(0,Revenue!R40)/DAY(R$7)*MAX(0,Inputs!R100)</f>
        <v>630.859917594899</v>
      </c>
      <c r="S39" s="69" t="n">
        <f aca="false">MAX(0,Revenue!S40)/DAY(S$7)*MAX(0,Inputs!S100)</f>
        <v>651.888581514729</v>
      </c>
      <c r="T39" s="69" t="n">
        <f aca="false">MAX(0,Revenue!T40)/DAY(T$7)*MAX(0,Inputs!T100)</f>
        <v>630.859917594899</v>
      </c>
      <c r="U39" s="69" t="n">
        <f aca="false">MAX(0,Revenue!U40)/DAY(U$7)*MAX(0,Inputs!U100)</f>
        <v>651.888581514729</v>
      </c>
      <c r="V39" s="69" t="n">
        <f aca="false">MAX(0,Revenue!V40)/DAY(V$7)*MAX(0,Inputs!V100)</f>
        <v>612.108709802583</v>
      </c>
      <c r="W39" s="69" t="n">
        <f aca="false">MAX(0,Revenue!W40)/DAY(W$7)*MAX(0,Inputs!W100)</f>
        <v>612.108709802583</v>
      </c>
      <c r="X39" s="69" t="n">
        <f aca="false">MAX(0,Revenue!X40)/DAY(X$7)*MAX(0,Inputs!X100)</f>
        <v>632.512333462669</v>
      </c>
      <c r="Y39" s="69" t="n">
        <f aca="false">MAX(0,Revenue!Y40)/DAY(Y$7)*MAX(0,Inputs!Y100)</f>
        <v>612.108709802583</v>
      </c>
      <c r="Z39" s="69" t="n">
        <f aca="false">MAX(0,Revenue!Z40)/DAY(Z$7)*MAX(0,Inputs!Z100)</f>
        <v>632.512333462669</v>
      </c>
      <c r="AA39" s="69" t="n">
        <f aca="false">MAX(0,Revenue!AA40)/DAY(AA$7)*MAX(0,Inputs!AA100)</f>
        <v>612.108709802583</v>
      </c>
      <c r="AB39" s="69" t="n">
        <f aca="false">MAX(0,Revenue!AB40)/DAY(AB$7)*MAX(0,Inputs!AB100)</f>
        <v>653.686702935268</v>
      </c>
      <c r="AC39" s="69" t="n">
        <f aca="false">MAX(0,Revenue!AC40)/DAY(AC$7)*MAX(0,Inputs!AC100)</f>
        <v>698.768544517011</v>
      </c>
      <c r="AD39" s="69" t="n">
        <f aca="false">MAX(0,Revenue!AD40)/DAY(AD$7)*MAX(0,Inputs!AD100)</f>
        <v>653.686702935268</v>
      </c>
      <c r="AE39" s="69" t="n">
        <f aca="false">MAX(0,Revenue!AE40)/DAY(AE$7)*MAX(0,Inputs!AE100)</f>
        <v>675.476259699777</v>
      </c>
      <c r="AF39" s="69" t="n">
        <f aca="false">MAX(0,Revenue!AF40)/DAY(AF$7)*MAX(0,Inputs!AF100)</f>
        <v>653.686702935268</v>
      </c>
      <c r="AG39" s="69" t="n">
        <f aca="false">MAX(0,Revenue!AG40)/DAY(AG$7)*MAX(0,Inputs!AG100)</f>
        <v>675.476259699777</v>
      </c>
      <c r="AH39" s="69" t="n">
        <f aca="false">MAX(0,Revenue!AH40)/DAY(AH$7)*MAX(0,Inputs!AH100)</f>
        <v>634.66258669648</v>
      </c>
      <c r="AI39" s="69" t="n">
        <f aca="false">MAX(0,Revenue!AI40)/DAY(AI$7)*MAX(0,Inputs!AI100)</f>
        <v>634.66258669648</v>
      </c>
      <c r="AJ39" s="69" t="n">
        <f aca="false">MAX(0,Revenue!AJ40)/DAY(AJ$7)*MAX(0,Inputs!AJ100)</f>
        <v>655.818006253029</v>
      </c>
      <c r="AK39" s="69" t="n">
        <f aca="false">MAX(0,Revenue!AK40)/DAY(AK$7)*MAX(0,Inputs!AK100)</f>
        <v>634.66258669648</v>
      </c>
      <c r="AL39" s="69" t="n">
        <f aca="false">MAX(0,Revenue!AL40)/DAY(AL$7)*MAX(0,Inputs!AL100)</f>
        <v>655.818006253029</v>
      </c>
      <c r="AM39" s="69" t="n">
        <f aca="false">MAX(0,Revenue!AM40)/DAY(AM$7)*MAX(0,Inputs!AM100)</f>
        <v>634.66258669648</v>
      </c>
    </row>
    <row r="40" customFormat="false" ht="21" hidden="false" customHeight="true" outlineLevel="0" collapsed="false">
      <c r="C40" s="56" t="s">
        <v>349</v>
      </c>
      <c r="D40" s="71"/>
      <c r="E40" s="71"/>
      <c r="F40" s="71"/>
      <c r="G40" s="71"/>
      <c r="H40" s="71"/>
      <c r="I40" s="71"/>
      <c r="J40" s="71" t="n">
        <f aca="false">J37+J39-J38</f>
        <v>590.677466699388</v>
      </c>
      <c r="K40" s="71" t="n">
        <f aca="false">K37+K39-K38</f>
        <v>590.677466699388</v>
      </c>
      <c r="L40" s="71" t="n">
        <f aca="false">L37+L39-L38</f>
        <v>610.366715589368</v>
      </c>
      <c r="M40" s="71" t="n">
        <f aca="false">M37+M39-M38</f>
        <v>590.677466699388</v>
      </c>
      <c r="N40" s="71" t="n">
        <f aca="false">N37+N39-N38</f>
        <v>610.366715589368</v>
      </c>
      <c r="O40" s="71" t="n">
        <f aca="false">O37+O39-O38</f>
        <v>590.677466699388</v>
      </c>
      <c r="P40" s="71" t="n">
        <f aca="false">P37+P39-P38</f>
        <v>630.859917594899</v>
      </c>
      <c r="Q40" s="71" t="n">
        <f aca="false">Q37+Q39-Q38</f>
        <v>698.452051622924</v>
      </c>
      <c r="R40" s="71" t="n">
        <f aca="false">R37+R39-R38</f>
        <v>630.859917594899</v>
      </c>
      <c r="S40" s="71" t="n">
        <f aca="false">S37+S39-S38</f>
        <v>651.888581514729</v>
      </c>
      <c r="T40" s="71" t="n">
        <f aca="false">T37+T39-T38</f>
        <v>630.859917594899</v>
      </c>
      <c r="U40" s="71" t="n">
        <f aca="false">U37+U39-U38</f>
        <v>651.888581514729</v>
      </c>
      <c r="V40" s="71" t="n">
        <f aca="false">V37+V39-V38</f>
        <v>612.108709802583</v>
      </c>
      <c r="W40" s="71" t="n">
        <f aca="false">W37+W39-W38</f>
        <v>612.108709802583</v>
      </c>
      <c r="X40" s="71" t="n">
        <f aca="false">X37+X39-X38</f>
        <v>632.512333462669</v>
      </c>
      <c r="Y40" s="71" t="n">
        <f aca="false">Y37+Y39-Y38</f>
        <v>612.108709802583</v>
      </c>
      <c r="Z40" s="71" t="n">
        <f aca="false">Z37+Z39-Z38</f>
        <v>632.512333462669</v>
      </c>
      <c r="AA40" s="71" t="n">
        <f aca="false">AA37+AA39-AA38</f>
        <v>612.108709802583</v>
      </c>
      <c r="AB40" s="71" t="n">
        <f aca="false">AB37+AB39-AB38</f>
        <v>653.686702935268</v>
      </c>
      <c r="AC40" s="71" t="n">
        <f aca="false">AC37+AC39-AC38</f>
        <v>698.768544517011</v>
      </c>
      <c r="AD40" s="71" t="n">
        <f aca="false">AD37+AD39-AD38</f>
        <v>653.686702935268</v>
      </c>
      <c r="AE40" s="71" t="n">
        <f aca="false">AE37+AE39-AE38</f>
        <v>675.476259699777</v>
      </c>
      <c r="AF40" s="71" t="n">
        <f aca="false">AF37+AF39-AF38</f>
        <v>653.686702935268</v>
      </c>
      <c r="AG40" s="71" t="n">
        <f aca="false">AG37+AG39-AG38</f>
        <v>675.476259699777</v>
      </c>
      <c r="AH40" s="71" t="n">
        <f aca="false">AH37+AH39-AH38</f>
        <v>634.66258669648</v>
      </c>
      <c r="AI40" s="71" t="n">
        <f aca="false">AI37+AI39-AI38</f>
        <v>634.66258669648</v>
      </c>
      <c r="AJ40" s="71" t="n">
        <f aca="false">AJ37+AJ39-AJ38</f>
        <v>655.818006253029</v>
      </c>
      <c r="AK40" s="71" t="n">
        <f aca="false">AK37+AK39-AK38</f>
        <v>634.66258669648</v>
      </c>
      <c r="AL40" s="71" t="n">
        <f aca="false">AL37+AL39-AL38</f>
        <v>655.818006253029</v>
      </c>
      <c r="AM40" s="71" t="n">
        <f aca="false">AM37+AM39-AM38</f>
        <v>634.66258669648</v>
      </c>
    </row>
    <row r="41" customFormat="false" ht="21" hidden="false" customHeight="true" outlineLevel="0" collapsed="false">
      <c r="C41" s="56" t="s">
        <v>350</v>
      </c>
      <c r="D41" s="71"/>
      <c r="E41" s="71"/>
      <c r="F41" s="71"/>
      <c r="G41" s="71"/>
      <c r="H41" s="71"/>
      <c r="I41" s="71"/>
      <c r="J41" s="71" t="n">
        <f aca="false">J37+J39-J38-J40</f>
        <v>0</v>
      </c>
      <c r="K41" s="71" t="n">
        <f aca="false">K37+K39-K38-K40</f>
        <v>0</v>
      </c>
      <c r="L41" s="71" t="n">
        <f aca="false">L37+L39-L38-L40</f>
        <v>0</v>
      </c>
      <c r="M41" s="71" t="n">
        <f aca="false">M37+M39-M38-M40</f>
        <v>0</v>
      </c>
      <c r="N41" s="71" t="n">
        <f aca="false">N37+N39-N38-N40</f>
        <v>0</v>
      </c>
      <c r="O41" s="71" t="n">
        <f aca="false">O37+O39-O38-O40</f>
        <v>0</v>
      </c>
      <c r="P41" s="71" t="n">
        <f aca="false">P37+P39-P38-P40</f>
        <v>0</v>
      </c>
      <c r="Q41" s="71" t="n">
        <f aca="false">Q37+Q39-Q38-Q40</f>
        <v>0</v>
      </c>
      <c r="R41" s="71" t="n">
        <f aca="false">R37+R39-R38-R40</f>
        <v>0</v>
      </c>
      <c r="S41" s="71" t="n">
        <f aca="false">S37+S39-S38-S40</f>
        <v>0</v>
      </c>
      <c r="T41" s="71" t="n">
        <f aca="false">T37+T39-T38-T40</f>
        <v>0</v>
      </c>
      <c r="U41" s="71" t="n">
        <f aca="false">U37+U39-U38-U40</f>
        <v>0</v>
      </c>
      <c r="V41" s="71" t="n">
        <f aca="false">V37+V39-V38-V40</f>
        <v>0</v>
      </c>
      <c r="W41" s="71" t="n">
        <f aca="false">W37+W39-W38-W40</f>
        <v>0</v>
      </c>
      <c r="X41" s="71" t="n">
        <f aca="false">X37+X39-X38-X40</f>
        <v>0</v>
      </c>
      <c r="Y41" s="71" t="n">
        <f aca="false">Y37+Y39-Y38-Y40</f>
        <v>0</v>
      </c>
      <c r="Z41" s="71" t="n">
        <f aca="false">Z37+Z39-Z38-Z40</f>
        <v>0</v>
      </c>
      <c r="AA41" s="71" t="n">
        <f aca="false">AA37+AA39-AA38-AA40</f>
        <v>0</v>
      </c>
      <c r="AB41" s="71" t="n">
        <f aca="false">AB37+AB39-AB38-AB40</f>
        <v>0</v>
      </c>
      <c r="AC41" s="71" t="n">
        <f aca="false">AC37+AC39-AC38-AC40</f>
        <v>0</v>
      </c>
      <c r="AD41" s="71" t="n">
        <f aca="false">AD37+AD39-AD38-AD40</f>
        <v>0</v>
      </c>
      <c r="AE41" s="71" t="n">
        <f aca="false">AE37+AE39-AE38-AE40</f>
        <v>0</v>
      </c>
      <c r="AF41" s="71" t="n">
        <f aca="false">AF37+AF39-AF38-AF40</f>
        <v>0</v>
      </c>
      <c r="AG41" s="71" t="n">
        <f aca="false">AG37+AG39-AG38-AG40</f>
        <v>0</v>
      </c>
      <c r="AH41" s="71" t="n">
        <f aca="false">AH37+AH39-AH38-AH40</f>
        <v>0</v>
      </c>
      <c r="AI41" s="71" t="n">
        <f aca="false">AI37+AI39-AI38-AI40</f>
        <v>0</v>
      </c>
      <c r="AJ41" s="71" t="n">
        <f aca="false">AJ37+AJ39-AJ38-AJ40</f>
        <v>0</v>
      </c>
      <c r="AK41" s="71" t="n">
        <f aca="false">AK37+AK39-AK38-AK40</f>
        <v>0</v>
      </c>
      <c r="AL41" s="71" t="n">
        <f aca="false">AL37+AL39-AL38-AL40</f>
        <v>0</v>
      </c>
      <c r="AM41" s="71" t="n">
        <f aca="false">AM37+AM39-AM38-AM40</f>
        <v>0</v>
      </c>
    </row>
    <row r="42" customFormat="false" ht="21" hidden="false" customHeight="true" outlineLevel="0" collapsed="false">
      <c r="C42" s="56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</row>
    <row r="43" customFormat="false" ht="21" hidden="false" customHeight="true" outlineLevel="0" collapsed="false">
      <c r="C43" s="56" t="s">
        <v>351</v>
      </c>
      <c r="D43" s="71"/>
      <c r="E43" s="71"/>
      <c r="F43" s="71"/>
      <c r="G43" s="71"/>
      <c r="H43" s="71"/>
      <c r="I43" s="71"/>
      <c r="J43" s="71" t="n">
        <f aca="false">J13+J39</f>
        <v>1119.92375226424</v>
      </c>
      <c r="K43" s="71" t="n">
        <f aca="false">K13+K39</f>
        <v>1356.55764443849</v>
      </c>
      <c r="L43" s="71" t="n">
        <f aca="false">L13+L39</f>
        <v>1365.13335415435</v>
      </c>
      <c r="M43" s="71" t="n">
        <f aca="false">M13+M39</f>
        <v>1347.98193472263</v>
      </c>
      <c r="N43" s="71" t="n">
        <f aca="false">N13+N39</f>
        <v>1365.13335415435</v>
      </c>
      <c r="O43" s="71" t="n">
        <f aca="false">O13+O39</f>
        <v>1347.98193472263</v>
      </c>
      <c r="P43" s="71" t="n">
        <f aca="false">P13+P39</f>
        <v>1466.34277359448</v>
      </c>
      <c r="Q43" s="71" t="n">
        <f aca="false">Q13+Q39</f>
        <v>1478.28114093707</v>
      </c>
      <c r="R43" s="71" t="n">
        <f aca="false">R13+R39</f>
        <v>1419.40123914511</v>
      </c>
      <c r="S43" s="71" t="n">
        <f aca="false">S13+S39</f>
        <v>1458.00028587539</v>
      </c>
      <c r="T43" s="71" t="n">
        <f aca="false">T13+T39</f>
        <v>1439.68209420678</v>
      </c>
      <c r="U43" s="71" t="n">
        <f aca="false">U13+U39</f>
        <v>1458.00028587539</v>
      </c>
      <c r="V43" s="71" t="n">
        <f aca="false">V13+V39</f>
        <v>1388.45068040717</v>
      </c>
      <c r="W43" s="71" t="n">
        <f aca="false">W13+W39</f>
        <v>1405.7769194244</v>
      </c>
      <c r="X43" s="71" t="n">
        <f aca="false">X13+X39</f>
        <v>1414.66377715261</v>
      </c>
      <c r="Y43" s="71" t="n">
        <f aca="false">Y13+Y39</f>
        <v>1396.89006169619</v>
      </c>
      <c r="Z43" s="71" t="n">
        <f aca="false">Z13+Z39</f>
        <v>1414.66377715261</v>
      </c>
      <c r="AA43" s="71" t="n">
        <f aca="false">AA13+AA39</f>
        <v>1396.89006169619</v>
      </c>
      <c r="AB43" s="71" t="n">
        <f aca="false">AB13+AB39</f>
        <v>1519.37490173734</v>
      </c>
      <c r="AC43" s="71" t="n">
        <f aca="false">AC13+AC39</f>
        <v>1520.90101313729</v>
      </c>
      <c r="AD43" s="71" t="n">
        <f aca="false">AD13+AD39</f>
        <v>1481.62995825637</v>
      </c>
      <c r="AE43" s="71" t="n">
        <f aca="false">AE13+AE39</f>
        <v>1510.75599062639</v>
      </c>
      <c r="AF43" s="71" t="n">
        <f aca="false">AF13+AF39</f>
        <v>1491.77498076727</v>
      </c>
      <c r="AG43" s="71" t="n">
        <f aca="false">AG13+AG39</f>
        <v>1510.75599062639</v>
      </c>
      <c r="AH43" s="71" t="n">
        <f aca="false">AH13+AH39</f>
        <v>1439.79793576857</v>
      </c>
      <c r="AI43" s="71" t="n">
        <f aca="false">AI13+AI39</f>
        <v>1457.57444994999</v>
      </c>
      <c r="AJ43" s="71" t="n">
        <f aca="false">AJ13+AJ39</f>
        <v>1466.78875457115</v>
      </c>
      <c r="AK43" s="71" t="n">
        <f aca="false">AK13+AK39</f>
        <v>1448.36014532883</v>
      </c>
      <c r="AL43" s="71" t="n">
        <f aca="false">AL13+AL39</f>
        <v>1466.78875457115</v>
      </c>
      <c r="AM43" s="71" t="n">
        <f aca="false">AM13+AM39</f>
        <v>1448.36014532883</v>
      </c>
    </row>
    <row r="44" customFormat="false" ht="21" hidden="false" customHeight="true" outlineLevel="0" collapsed="false">
      <c r="C44" s="56" t="s">
        <v>352</v>
      </c>
      <c r="D44" s="71"/>
      <c r="E44" s="71"/>
      <c r="F44" s="71"/>
      <c r="G44" s="71"/>
      <c r="H44" s="71"/>
      <c r="I44" s="71"/>
      <c r="J44" s="71" t="n">
        <f aca="false">J40-J37</f>
        <v>-240.689101980612</v>
      </c>
      <c r="K44" s="71" t="n">
        <f aca="false">K40-K37</f>
        <v>0</v>
      </c>
      <c r="L44" s="71" t="n">
        <f aca="false">L40-L37</f>
        <v>19.6892488899796</v>
      </c>
      <c r="M44" s="71" t="n">
        <f aca="false">M40-M37</f>
        <v>-19.6892488899794</v>
      </c>
      <c r="N44" s="71" t="n">
        <f aca="false">N40-N37</f>
        <v>19.6892488899794</v>
      </c>
      <c r="O44" s="71" t="n">
        <f aca="false">O40-O37</f>
        <v>-19.6892488899794</v>
      </c>
      <c r="P44" s="71" t="n">
        <f aca="false">P40-P37</f>
        <v>40.1824508955108</v>
      </c>
      <c r="Q44" s="71" t="n">
        <f aca="false">Q40-Q37</f>
        <v>67.5921340280249</v>
      </c>
      <c r="R44" s="71" t="n">
        <f aca="false">R40-R37</f>
        <v>-67.5921340280249</v>
      </c>
      <c r="S44" s="71" t="n">
        <f aca="false">S40-S37</f>
        <v>21.02866391983</v>
      </c>
      <c r="T44" s="71" t="n">
        <f aca="false">T40-T37</f>
        <v>-21.02866391983</v>
      </c>
      <c r="U44" s="71" t="n">
        <f aca="false">U40-U37</f>
        <v>21.02866391983</v>
      </c>
      <c r="V44" s="71" t="n">
        <f aca="false">V40-V37</f>
        <v>-39.7798717121459</v>
      </c>
      <c r="W44" s="71" t="n">
        <f aca="false">W40-W37</f>
        <v>0</v>
      </c>
      <c r="X44" s="71" t="n">
        <f aca="false">X40-X37</f>
        <v>20.4036236600859</v>
      </c>
      <c r="Y44" s="71" t="n">
        <f aca="false">Y40-Y37</f>
        <v>-20.4036236600859</v>
      </c>
      <c r="Z44" s="71" t="n">
        <f aca="false">Z40-Z37</f>
        <v>20.4036236600859</v>
      </c>
      <c r="AA44" s="71" t="n">
        <f aca="false">AA40-AA37</f>
        <v>-20.4036236600859</v>
      </c>
      <c r="AB44" s="71" t="n">
        <f aca="false">AB40-AB37</f>
        <v>41.5779931326852</v>
      </c>
      <c r="AC44" s="71" t="n">
        <f aca="false">AC40-AC37</f>
        <v>45.0818415817425</v>
      </c>
      <c r="AD44" s="71" t="n">
        <f aca="false">AD40-AD37</f>
        <v>-45.0818415817425</v>
      </c>
      <c r="AE44" s="71" t="n">
        <f aca="false">AE40-AE37</f>
        <v>21.7895567645089</v>
      </c>
      <c r="AF44" s="71" t="n">
        <f aca="false">AF40-AF37</f>
        <v>-21.7895567645091</v>
      </c>
      <c r="AG44" s="71" t="n">
        <f aca="false">AG40-AG37</f>
        <v>21.7895567645091</v>
      </c>
      <c r="AH44" s="71" t="n">
        <f aca="false">AH40-AH37</f>
        <v>-40.8136730032975</v>
      </c>
      <c r="AI44" s="71" t="n">
        <f aca="false">AI40-AI37</f>
        <v>0</v>
      </c>
      <c r="AJ44" s="71" t="n">
        <f aca="false">AJ40-AJ37</f>
        <v>21.1554195565495</v>
      </c>
      <c r="AK44" s="71" t="n">
        <f aca="false">AK40-AK37</f>
        <v>-21.1554195565495</v>
      </c>
      <c r="AL44" s="71" t="n">
        <f aca="false">AL40-AL37</f>
        <v>21.1554195565495</v>
      </c>
      <c r="AM44" s="71" t="n">
        <f aca="false">AM40-AM37</f>
        <v>-21.1554195565495</v>
      </c>
    </row>
    <row r="45" customFormat="false" ht="21" hidden="false" customHeight="true" outlineLevel="0" collapsed="false">
      <c r="C45" s="56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</row>
    <row r="46" customFormat="false" ht="21" hidden="false" customHeight="true" outlineLevel="0" collapsed="false">
      <c r="C46" s="56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</row>
    <row r="47" customFormat="false" ht="21" hidden="false" customHeight="true" outlineLevel="0" collapsed="false"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</row>
    <row r="48" customFormat="false" ht="21" hidden="false" customHeight="true" outlineLevel="0" collapsed="false">
      <c r="C48" s="56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</row>
    <row r="49" customFormat="false" ht="25" hidden="false" customHeight="true" outlineLevel="0" collapsed="false">
      <c r="C49" s="58" t="s">
        <v>353</v>
      </c>
      <c r="D49" s="58"/>
      <c r="E49" s="58"/>
      <c r="F49" s="58"/>
      <c r="G49" s="58"/>
      <c r="H49" s="58"/>
      <c r="I49" s="58"/>
      <c r="J49" s="58"/>
      <c r="K49" s="58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</row>
    <row r="50" customFormat="false" ht="25" hidden="false" customHeight="true" outlineLevel="0" collapsed="false">
      <c r="C50" s="58"/>
      <c r="D50" s="58"/>
      <c r="E50" s="58"/>
      <c r="F50" s="58"/>
      <c r="G50" s="58"/>
      <c r="H50" s="58"/>
      <c r="I50" s="58"/>
      <c r="J50" s="58"/>
      <c r="K50" s="58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</row>
    <row r="51" customFormat="false" ht="21" hidden="false" customHeight="true" outlineLevel="0" collapsed="false">
      <c r="C51" s="56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</row>
    <row r="52" customFormat="false" ht="21" hidden="false" customHeight="true" outlineLevel="0" collapsed="false">
      <c r="C52" s="56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</row>
    <row r="53" customFormat="false" ht="21" hidden="false" customHeight="true" outlineLevel="0" collapsed="false">
      <c r="C53" s="56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</row>
    <row r="54" customFormat="false" ht="21" hidden="false" customHeight="true" outlineLevel="0" collapsed="false">
      <c r="C54" s="56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</row>
    <row r="55" customFormat="false" ht="21" hidden="false" customHeight="true" outlineLevel="0" collapsed="false">
      <c r="C55" s="56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</row>
    <row r="56" customFormat="false" ht="21" hidden="false" customHeight="true" outlineLevel="0" collapsed="false">
      <c r="C56" s="56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</row>
    <row r="57" customFormat="false" ht="21" hidden="false" customHeight="true" outlineLevel="0" collapsed="false">
      <c r="C57" s="56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</row>
    <row r="58" customFormat="false" ht="21" hidden="false" customHeight="true" outlineLevel="0" collapsed="false">
      <c r="C58" s="56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</row>
    <row r="59" customFormat="false" ht="21" hidden="false" customHeight="true" outlineLevel="0" collapsed="false">
      <c r="C59" s="56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</row>
    <row r="60" customFormat="false" ht="21" hidden="false" customHeight="true" outlineLevel="0" collapsed="false">
      <c r="C60" s="56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</row>
    <row r="61" customFormat="false" ht="21" hidden="false" customHeight="true" outlineLevel="0" collapsed="false">
      <c r="C61" s="56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</row>
    <row r="62" customFormat="false" ht="21" hidden="false" customHeight="true" outlineLevel="0" collapsed="false">
      <c r="C62" s="56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</row>
    <row r="63" customFormat="false" ht="21" hidden="false" customHeight="true" outlineLevel="0" collapsed="false">
      <c r="C63" s="5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</row>
    <row r="64" customFormat="false" ht="21" hidden="false" customHeight="true" outlineLevel="0" collapsed="false">
      <c r="C64" s="56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</row>
    <row r="65" customFormat="false" ht="21" hidden="false" customHeight="true" outlineLevel="0" collapsed="false">
      <c r="C65" s="5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</row>
    <row r="66" customFormat="false" ht="21" hidden="false" customHeight="true" outlineLevel="0" collapsed="false">
      <c r="C66" s="56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</row>
    <row r="67" customFormat="false" ht="21" hidden="false" customHeight="true" outlineLevel="0" collapsed="false">
      <c r="C67" s="5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</row>
    <row r="68" customFormat="false" ht="21" hidden="false" customHeight="true" outlineLevel="0" collapsed="false">
      <c r="C68" s="56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</row>
    <row r="69" customFormat="false" ht="21" hidden="false" customHeight="true" outlineLevel="0" collapsed="false">
      <c r="C69" s="5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</row>
    <row r="70" customFormat="false" ht="21" hidden="false" customHeight="true" outlineLevel="0" collapsed="false">
      <c r="C70" s="56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</row>
    <row r="71" customFormat="false" ht="21" hidden="false" customHeight="true" outlineLevel="0" collapsed="false">
      <c r="C71" s="56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</row>
  </sheetData>
  <sheetProtection sheet="1" objects="1" scenarios="1" selectLockedCells="0" selectUnlockedCells="0"/>
  <mergeCells count="3">
    <mergeCell ref="C2:K2"/>
    <mergeCell ref="C3:K4"/>
    <mergeCell ref="C49:K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C1:AM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39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customFormat="false" ht="33" hidden="false" customHeight="true" outlineLevel="0" collapsed="false">
      <c r="C2" s="57" t="s">
        <v>354</v>
      </c>
      <c r="D2" s="57"/>
      <c r="E2" s="57"/>
      <c r="F2" s="57"/>
      <c r="G2" s="57"/>
      <c r="H2" s="57"/>
      <c r="I2" s="57"/>
      <c r="J2" s="57"/>
      <c r="K2" s="57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</row>
    <row r="3" customFormat="false" ht="21" hidden="false" customHeight="true" outlineLevel="0" collapsed="false">
      <c r="C3" s="58" t="s">
        <v>129</v>
      </c>
      <c r="D3" s="58"/>
      <c r="E3" s="58"/>
      <c r="F3" s="58"/>
      <c r="G3" s="58"/>
      <c r="H3" s="58"/>
      <c r="I3" s="58"/>
      <c r="J3" s="58"/>
      <c r="K3" s="58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</row>
    <row r="6" customFormat="false" ht="21" hidden="false" customHeight="true" outlineLevel="0" collapsed="false">
      <c r="C6" s="56"/>
      <c r="D6" s="56" t="s">
        <v>130</v>
      </c>
      <c r="E6" s="56" t="s">
        <v>130</v>
      </c>
      <c r="F6" s="56" t="s">
        <v>130</v>
      </c>
      <c r="G6" s="56" t="s">
        <v>130</v>
      </c>
      <c r="H6" s="56" t="s">
        <v>130</v>
      </c>
      <c r="I6" s="56" t="s">
        <v>221</v>
      </c>
      <c r="J6" s="56" t="s">
        <v>132</v>
      </c>
      <c r="K6" s="56" t="s">
        <v>132</v>
      </c>
      <c r="L6" s="56" t="s">
        <v>132</v>
      </c>
      <c r="M6" s="56" t="s">
        <v>132</v>
      </c>
      <c r="N6" s="56" t="s">
        <v>132</v>
      </c>
      <c r="O6" s="56" t="s">
        <v>132</v>
      </c>
      <c r="P6" s="56" t="s">
        <v>132</v>
      </c>
      <c r="Q6" s="56" t="s">
        <v>132</v>
      </c>
      <c r="R6" s="56" t="s">
        <v>132</v>
      </c>
      <c r="S6" s="56" t="s">
        <v>132</v>
      </c>
      <c r="T6" s="56" t="s">
        <v>132</v>
      </c>
      <c r="U6" s="56" t="s">
        <v>132</v>
      </c>
      <c r="V6" s="56" t="s">
        <v>132</v>
      </c>
      <c r="W6" s="56" t="s">
        <v>132</v>
      </c>
      <c r="X6" s="56" t="s">
        <v>132</v>
      </c>
      <c r="Y6" s="56" t="s">
        <v>132</v>
      </c>
      <c r="Z6" s="56" t="s">
        <v>132</v>
      </c>
      <c r="AA6" s="56" t="s">
        <v>132</v>
      </c>
      <c r="AB6" s="56" t="s">
        <v>132</v>
      </c>
      <c r="AC6" s="56" t="s">
        <v>132</v>
      </c>
      <c r="AD6" s="56" t="s">
        <v>132</v>
      </c>
      <c r="AE6" s="56" t="s">
        <v>132</v>
      </c>
      <c r="AF6" s="56" t="s">
        <v>132</v>
      </c>
      <c r="AG6" s="56" t="s">
        <v>132</v>
      </c>
      <c r="AH6" s="56" t="s">
        <v>132</v>
      </c>
      <c r="AI6" s="56" t="s">
        <v>132</v>
      </c>
      <c r="AJ6" s="56" t="s">
        <v>132</v>
      </c>
      <c r="AK6" s="56" t="s">
        <v>132</v>
      </c>
      <c r="AL6" s="56" t="s">
        <v>132</v>
      </c>
      <c r="AM6" s="56" t="s">
        <v>132</v>
      </c>
    </row>
    <row r="7" customFormat="false" ht="21" hidden="false" customHeight="true" outlineLevel="0" collapsed="false">
      <c r="C7" s="63"/>
      <c r="D7" s="73" t="n">
        <v>46053</v>
      </c>
      <c r="E7" s="73" t="n">
        <v>46081</v>
      </c>
      <c r="F7" s="73" t="n">
        <v>46112</v>
      </c>
      <c r="G7" s="73" t="n">
        <v>46142</v>
      </c>
      <c r="H7" s="73" t="n">
        <v>46173</v>
      </c>
      <c r="I7" s="73" t="n">
        <v>46203</v>
      </c>
      <c r="J7" s="73" t="n">
        <v>46234</v>
      </c>
      <c r="K7" s="73" t="n">
        <v>46265</v>
      </c>
      <c r="L7" s="73" t="n">
        <v>46295</v>
      </c>
      <c r="M7" s="73" t="n">
        <v>46326</v>
      </c>
      <c r="N7" s="73" t="n">
        <v>46356</v>
      </c>
      <c r="O7" s="73" t="n">
        <v>46387</v>
      </c>
      <c r="P7" s="73" t="n">
        <v>46418</v>
      </c>
      <c r="Q7" s="73" t="n">
        <v>46446</v>
      </c>
      <c r="R7" s="73" t="n">
        <v>46477</v>
      </c>
      <c r="S7" s="73" t="n">
        <v>46507</v>
      </c>
      <c r="T7" s="73" t="n">
        <v>46538</v>
      </c>
      <c r="U7" s="73" t="n">
        <v>46568</v>
      </c>
      <c r="V7" s="73" t="n">
        <v>46599</v>
      </c>
      <c r="W7" s="73" t="n">
        <v>46630</v>
      </c>
      <c r="X7" s="73" t="n">
        <v>46660</v>
      </c>
      <c r="Y7" s="73" t="n">
        <v>46691</v>
      </c>
      <c r="Z7" s="73" t="n">
        <v>46721</v>
      </c>
      <c r="AA7" s="73" t="n">
        <v>46752</v>
      </c>
      <c r="AB7" s="73" t="n">
        <v>46783</v>
      </c>
      <c r="AC7" s="73" t="n">
        <v>46812</v>
      </c>
      <c r="AD7" s="73" t="n">
        <v>46843</v>
      </c>
      <c r="AE7" s="73" t="n">
        <v>46873</v>
      </c>
      <c r="AF7" s="73" t="n">
        <v>46904</v>
      </c>
      <c r="AG7" s="73" t="n">
        <v>46934</v>
      </c>
      <c r="AH7" s="73" t="n">
        <v>46965</v>
      </c>
      <c r="AI7" s="73" t="n">
        <v>46996</v>
      </c>
      <c r="AJ7" s="73" t="n">
        <v>47026</v>
      </c>
      <c r="AK7" s="73" t="n">
        <v>47057</v>
      </c>
      <c r="AL7" s="73" t="n">
        <v>47087</v>
      </c>
      <c r="AM7" s="73" t="n">
        <v>47118</v>
      </c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</row>
    <row r="9" customFormat="false" ht="25" hidden="false" customHeight="true" outlineLevel="0" collapsed="false">
      <c r="C9" s="63" t="s">
        <v>355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</row>
    <row r="10" customFormat="false" ht="21" hidden="false" customHeight="true" outlineLevel="0" collapsed="false">
      <c r="C10" s="56" t="s">
        <v>356</v>
      </c>
      <c r="D10" s="69"/>
      <c r="E10" s="69"/>
      <c r="F10" s="69"/>
      <c r="G10" s="69"/>
      <c r="H10" s="69"/>
      <c r="I10" s="69"/>
      <c r="J10" s="69" t="n">
        <f aca="false">H1Data!D68</f>
        <v>2588.14203089</v>
      </c>
      <c r="K10" s="69" t="n">
        <f aca="false">Assets!J16</f>
        <v>2606.76422869403</v>
      </c>
      <c r="L10" s="69" t="n">
        <f aca="false">Assets!K16</f>
        <v>2625.30291010908</v>
      </c>
      <c r="M10" s="69" t="n">
        <f aca="false">Assets!L16</f>
        <v>2643.75807513515</v>
      </c>
      <c r="N10" s="69" t="n">
        <f aca="false">Assets!M16</f>
        <v>2662.12972377226</v>
      </c>
      <c r="O10" s="69" t="n">
        <f aca="false">Assets!N16</f>
        <v>2680.41785602039</v>
      </c>
      <c r="P10" s="69" t="n">
        <f aca="false">Assets!O16</f>
        <v>2698.62247187954</v>
      </c>
      <c r="Q10" s="69" t="n">
        <f aca="false">Assets!P16</f>
        <v>2718.24686635126</v>
      </c>
      <c r="R10" s="69" t="n">
        <f aca="false">Assets!Q16</f>
        <v>2737.78356861455</v>
      </c>
      <c r="S10" s="69" t="n">
        <f aca="false">Assets!R16</f>
        <v>2757.23257866942</v>
      </c>
      <c r="T10" s="69" t="n">
        <f aca="false">Assets!S16</f>
        <v>2776.59389651587</v>
      </c>
      <c r="U10" s="69" t="n">
        <f aca="false">Assets!T16</f>
        <v>2795.86752215389</v>
      </c>
      <c r="V10" s="69" t="n">
        <f aca="false">Assets!U16</f>
        <v>2815.05345558349</v>
      </c>
      <c r="W10" s="69" t="n">
        <f aca="false">Assets!V16</f>
        <v>2834.15169680467</v>
      </c>
      <c r="X10" s="69" t="n">
        <f aca="false">Assets!W16</f>
        <v>2853.16224581743</v>
      </c>
      <c r="Y10" s="69" t="n">
        <f aca="false">Assets!X16</f>
        <v>2872.08510262176</v>
      </c>
      <c r="Z10" s="69" t="n">
        <f aca="false">Assets!Y16</f>
        <v>2890.92026721767</v>
      </c>
      <c r="AA10" s="69" t="n">
        <f aca="false">Assets!Z16</f>
        <v>2909.66773960516</v>
      </c>
      <c r="AB10" s="69" t="n">
        <f aca="false">Assets!AA16</f>
        <v>2928.32751978422</v>
      </c>
      <c r="AC10" s="69" t="n">
        <f aca="false">Assets!AB16</f>
        <v>2948.47806750647</v>
      </c>
      <c r="AD10" s="69" t="n">
        <f aca="false">Assets!AC16</f>
        <v>2968.53653840988</v>
      </c>
      <c r="AE10" s="69" t="n">
        <f aca="false">Assets!AD16</f>
        <v>2988.50293249445</v>
      </c>
      <c r="AF10" s="69" t="n">
        <f aca="false">Assets!AE16</f>
        <v>3008.37724976017</v>
      </c>
      <c r="AG10" s="69" t="n">
        <f aca="false">Assets!AF16</f>
        <v>3028.15949020704</v>
      </c>
      <c r="AH10" s="69" t="n">
        <f aca="false">Assets!AG16</f>
        <v>3047.84965383507</v>
      </c>
      <c r="AI10" s="69" t="n">
        <f aca="false">Assets!AH16</f>
        <v>3067.44774064426</v>
      </c>
      <c r="AJ10" s="69" t="n">
        <f aca="false">Assets!AI16</f>
        <v>3086.95375063461</v>
      </c>
      <c r="AK10" s="69" t="n">
        <f aca="false">Assets!AJ16</f>
        <v>3106.36768380611</v>
      </c>
      <c r="AL10" s="69" t="n">
        <f aca="false">Assets!AK16</f>
        <v>3125.68954015877</v>
      </c>
      <c r="AM10" s="69" t="n">
        <f aca="false">Assets!AL16</f>
        <v>3144.91931969258</v>
      </c>
    </row>
    <row r="11" customFormat="false" ht="21" hidden="false" customHeight="true" outlineLevel="0" collapsed="false">
      <c r="C11" s="56" t="s">
        <v>357</v>
      </c>
      <c r="D11" s="69"/>
      <c r="E11" s="69"/>
      <c r="F11" s="69"/>
      <c r="G11" s="69"/>
      <c r="H11" s="69"/>
      <c r="I11" s="69"/>
      <c r="J11" s="69" t="n">
        <f aca="false">MAX(0,Inputs!J51)*(1-MIN(1,MAX(0,Inputs!J98)))*(SourceDetail!E150/1000000)/(SourceDetail!E160/1000000)</f>
        <v>30.0659000306924</v>
      </c>
      <c r="K11" s="69" t="n">
        <f aca="false">MAX(0,Inputs!K51)*(1-MIN(1,MAX(0,Inputs!K98)))*(SourceDetail!E150/1000000)/(SourceDetail!E160/1000000)</f>
        <v>30.0659000306924</v>
      </c>
      <c r="L11" s="69" t="n">
        <f aca="false">MAX(0,Inputs!L51)*(1-MIN(1,MAX(0,Inputs!L98)))*(SourceDetail!E150/1000000)/(SourceDetail!E160/1000000)</f>
        <v>30.0659000306924</v>
      </c>
      <c r="M11" s="69" t="n">
        <f aca="false">MAX(0,Inputs!M51)*(1-MIN(1,MAX(0,Inputs!M98)))*(SourceDetail!E150/1000000)/(SourceDetail!E160/1000000)</f>
        <v>30.0659000306924</v>
      </c>
      <c r="N11" s="69" t="n">
        <f aca="false">MAX(0,Inputs!N51)*(1-MIN(1,MAX(0,Inputs!N98)))*(SourceDetail!E150/1000000)/(SourceDetail!E160/1000000)</f>
        <v>30.0659000306924</v>
      </c>
      <c r="O11" s="69" t="n">
        <f aca="false">MAX(0,Inputs!O51)*(1-MIN(1,MAX(0,Inputs!O98)))*(SourceDetail!E150/1000000)/(SourceDetail!E160/1000000)</f>
        <v>30.0659000306924</v>
      </c>
      <c r="P11" s="69" t="n">
        <f aca="false">MAX(0,Inputs!P51)*(1-MIN(1,MAX(0,Inputs!P98)))*(SourceDetail!E150/1000000)/(SourceDetail!E160/1000000)</f>
        <v>31.569195032227</v>
      </c>
      <c r="Q11" s="69" t="n">
        <f aca="false">MAX(0,Inputs!Q51)*(1-MIN(1,MAX(0,Inputs!Q98)))*(SourceDetail!E150/1000000)/(SourceDetail!E160/1000000)</f>
        <v>31.569195032227</v>
      </c>
      <c r="R11" s="69" t="n">
        <f aca="false">MAX(0,Inputs!R51)*(1-MIN(1,MAX(0,Inputs!R98)))*(SourceDetail!E150/1000000)/(SourceDetail!E160/1000000)</f>
        <v>31.569195032227</v>
      </c>
      <c r="S11" s="69" t="n">
        <f aca="false">MAX(0,Inputs!S51)*(1-MIN(1,MAX(0,Inputs!S98)))*(SourceDetail!E150/1000000)/(SourceDetail!E160/1000000)</f>
        <v>31.569195032227</v>
      </c>
      <c r="T11" s="69" t="n">
        <f aca="false">MAX(0,Inputs!T51)*(1-MIN(1,MAX(0,Inputs!T98)))*(SourceDetail!E150/1000000)/(SourceDetail!E160/1000000)</f>
        <v>31.569195032227</v>
      </c>
      <c r="U11" s="69" t="n">
        <f aca="false">MAX(0,Inputs!U51)*(1-MIN(1,MAX(0,Inputs!U98)))*(SourceDetail!E150/1000000)/(SourceDetail!E160/1000000)</f>
        <v>31.569195032227</v>
      </c>
      <c r="V11" s="69" t="n">
        <f aca="false">MAX(0,Inputs!V51)*(1-MIN(1,MAX(0,Inputs!V98)))*(SourceDetail!E150/1000000)/(SourceDetail!E160/1000000)</f>
        <v>31.569195032227</v>
      </c>
      <c r="W11" s="69" t="n">
        <f aca="false">MAX(0,Inputs!W51)*(1-MIN(1,MAX(0,Inputs!W98)))*(SourceDetail!E150/1000000)/(SourceDetail!E160/1000000)</f>
        <v>31.569195032227</v>
      </c>
      <c r="X11" s="69" t="n">
        <f aca="false">MAX(0,Inputs!X51)*(1-MIN(1,MAX(0,Inputs!X98)))*(SourceDetail!E150/1000000)/(SourceDetail!E160/1000000)</f>
        <v>31.569195032227</v>
      </c>
      <c r="Y11" s="69" t="n">
        <f aca="false">MAX(0,Inputs!Y51)*(1-MIN(1,MAX(0,Inputs!Y98)))*(SourceDetail!E150/1000000)/(SourceDetail!E160/1000000)</f>
        <v>31.569195032227</v>
      </c>
      <c r="Z11" s="69" t="n">
        <f aca="false">MAX(0,Inputs!Z51)*(1-MIN(1,MAX(0,Inputs!Z98)))*(SourceDetail!E150/1000000)/(SourceDetail!E160/1000000)</f>
        <v>31.569195032227</v>
      </c>
      <c r="AA11" s="69" t="n">
        <f aca="false">MAX(0,Inputs!AA51)*(1-MIN(1,MAX(0,Inputs!AA98)))*(SourceDetail!E150/1000000)/(SourceDetail!E160/1000000)</f>
        <v>31.569195032227</v>
      </c>
      <c r="AB11" s="69" t="n">
        <f aca="false">MAX(0,Inputs!AB51)*(1-MIN(1,MAX(0,Inputs!AB98)))*(SourceDetail!E150/1000000)/(SourceDetail!E160/1000000)</f>
        <v>33.1476547838384</v>
      </c>
      <c r="AC11" s="69" t="n">
        <f aca="false">MAX(0,Inputs!AC51)*(1-MIN(1,MAX(0,Inputs!AC98)))*(SourceDetail!E150/1000000)/(SourceDetail!E160/1000000)</f>
        <v>33.1476547838384</v>
      </c>
      <c r="AD11" s="69" t="n">
        <f aca="false">MAX(0,Inputs!AD51)*(1-MIN(1,MAX(0,Inputs!AD98)))*(SourceDetail!E150/1000000)/(SourceDetail!E160/1000000)</f>
        <v>33.1476547838384</v>
      </c>
      <c r="AE11" s="69" t="n">
        <f aca="false">MAX(0,Inputs!AE51)*(1-MIN(1,MAX(0,Inputs!AE98)))*(SourceDetail!E150/1000000)/(SourceDetail!E160/1000000)</f>
        <v>33.1476547838384</v>
      </c>
      <c r="AF11" s="69" t="n">
        <f aca="false">MAX(0,Inputs!AF51)*(1-MIN(1,MAX(0,Inputs!AF98)))*(SourceDetail!E150/1000000)/(SourceDetail!E160/1000000)</f>
        <v>33.1476547838384</v>
      </c>
      <c r="AG11" s="69" t="n">
        <f aca="false">MAX(0,Inputs!AG51)*(1-MIN(1,MAX(0,Inputs!AG98)))*(SourceDetail!E150/1000000)/(SourceDetail!E160/1000000)</f>
        <v>33.1476547838384</v>
      </c>
      <c r="AH11" s="69" t="n">
        <f aca="false">MAX(0,Inputs!AH51)*(1-MIN(1,MAX(0,Inputs!AH98)))*(SourceDetail!E150/1000000)/(SourceDetail!E160/1000000)</f>
        <v>33.1476547838384</v>
      </c>
      <c r="AI11" s="69" t="n">
        <f aca="false">MAX(0,Inputs!AI51)*(1-MIN(1,MAX(0,Inputs!AI98)))*(SourceDetail!E150/1000000)/(SourceDetail!E160/1000000)</f>
        <v>33.1476547838384</v>
      </c>
      <c r="AJ11" s="69" t="n">
        <f aca="false">MAX(0,Inputs!AJ51)*(1-MIN(1,MAX(0,Inputs!AJ98)))*(SourceDetail!E150/1000000)/(SourceDetail!E160/1000000)</f>
        <v>33.1476547838384</v>
      </c>
      <c r="AK11" s="69" t="n">
        <f aca="false">MAX(0,Inputs!AK51)*(1-MIN(1,MAX(0,Inputs!AK98)))*(SourceDetail!E150/1000000)/(SourceDetail!E160/1000000)</f>
        <v>33.1476547838384</v>
      </c>
      <c r="AL11" s="69" t="n">
        <f aca="false">MAX(0,Inputs!AL51)*(1-MIN(1,MAX(0,Inputs!AL98)))*(SourceDetail!E150/1000000)/(SourceDetail!E160/1000000)</f>
        <v>33.1476547838384</v>
      </c>
      <c r="AM11" s="69" t="n">
        <f aca="false">MAX(0,Inputs!AM51)*(1-MIN(1,MAX(0,Inputs!AM98)))*(SourceDetail!E150/1000000)/(SourceDetail!E160/1000000)</f>
        <v>33.1476547838384</v>
      </c>
    </row>
    <row r="12" customFormat="false" ht="21" hidden="false" customHeight="true" outlineLevel="0" collapsed="false">
      <c r="C12" s="56" t="s">
        <v>358</v>
      </c>
      <c r="D12" s="71"/>
      <c r="E12" s="71"/>
      <c r="F12" s="71"/>
      <c r="G12" s="71"/>
      <c r="H12" s="71"/>
      <c r="I12" s="71"/>
      <c r="J12" s="71" t="n">
        <f aca="false">0</f>
        <v>0</v>
      </c>
      <c r="K12" s="71" t="n">
        <f aca="false">0</f>
        <v>0</v>
      </c>
      <c r="L12" s="71" t="n">
        <f aca="false">0</f>
        <v>0</v>
      </c>
      <c r="M12" s="71" t="n">
        <f aca="false">0</f>
        <v>0</v>
      </c>
      <c r="N12" s="71" t="n">
        <f aca="false">0</f>
        <v>0</v>
      </c>
      <c r="O12" s="71" t="n">
        <f aca="false">0</f>
        <v>0</v>
      </c>
      <c r="P12" s="71" t="n">
        <f aca="false">0</f>
        <v>0</v>
      </c>
      <c r="Q12" s="71" t="n">
        <f aca="false">0</f>
        <v>0</v>
      </c>
      <c r="R12" s="71" t="n">
        <f aca="false">0</f>
        <v>0</v>
      </c>
      <c r="S12" s="71" t="n">
        <f aca="false">0</f>
        <v>0</v>
      </c>
      <c r="T12" s="71" t="n">
        <f aca="false">0</f>
        <v>0</v>
      </c>
      <c r="U12" s="71" t="n">
        <f aca="false">0</f>
        <v>0</v>
      </c>
      <c r="V12" s="71" t="n">
        <f aca="false">0</f>
        <v>0</v>
      </c>
      <c r="W12" s="71" t="n">
        <f aca="false">0</f>
        <v>0</v>
      </c>
      <c r="X12" s="71" t="n">
        <f aca="false">0</f>
        <v>0</v>
      </c>
      <c r="Y12" s="71" t="n">
        <f aca="false">0</f>
        <v>0</v>
      </c>
      <c r="Z12" s="71" t="n">
        <f aca="false">0</f>
        <v>0</v>
      </c>
      <c r="AA12" s="71" t="n">
        <f aca="false">0</f>
        <v>0</v>
      </c>
      <c r="AB12" s="71" t="n">
        <f aca="false">0</f>
        <v>0</v>
      </c>
      <c r="AC12" s="71" t="n">
        <f aca="false">0</f>
        <v>0</v>
      </c>
      <c r="AD12" s="71" t="n">
        <f aca="false">0</f>
        <v>0</v>
      </c>
      <c r="AE12" s="71" t="n">
        <f aca="false">0</f>
        <v>0</v>
      </c>
      <c r="AF12" s="71" t="n">
        <f aca="false">0</f>
        <v>0</v>
      </c>
      <c r="AG12" s="71" t="n">
        <f aca="false">0</f>
        <v>0</v>
      </c>
      <c r="AH12" s="71" t="n">
        <f aca="false">0</f>
        <v>0</v>
      </c>
      <c r="AI12" s="71" t="n">
        <f aca="false">0</f>
        <v>0</v>
      </c>
      <c r="AJ12" s="71" t="n">
        <f aca="false">0</f>
        <v>0</v>
      </c>
      <c r="AK12" s="71" t="n">
        <f aca="false">0</f>
        <v>0</v>
      </c>
      <c r="AL12" s="71" t="n">
        <f aca="false">0</f>
        <v>0</v>
      </c>
      <c r="AM12" s="71" t="n">
        <f aca="false">0</f>
        <v>0</v>
      </c>
    </row>
    <row r="13" customFormat="false" ht="21" hidden="false" customHeight="true" outlineLevel="0" collapsed="false">
      <c r="C13" s="56" t="s">
        <v>359</v>
      </c>
      <c r="D13" s="69"/>
      <c r="E13" s="69"/>
      <c r="F13" s="69"/>
      <c r="G13" s="69"/>
      <c r="H13" s="69"/>
      <c r="I13" s="69"/>
      <c r="J13" s="69" t="n">
        <f aca="false">MIN(MAX(0,J10),(H1Data!D75)/6+0/Inputs!J90/12)</f>
        <v>11.4437022266667</v>
      </c>
      <c r="K13" s="69" t="n">
        <f aca="false">MIN(MAX(0,K10),(H1Data!D75)/6+Assets!J18/Inputs!K90/12)</f>
        <v>11.5272186156408</v>
      </c>
      <c r="L13" s="69" t="n">
        <f aca="false">MIN(MAX(0,L10),(H1Data!D75)/6+Assets!K18/Inputs!L90/12)</f>
        <v>11.610735004615</v>
      </c>
      <c r="M13" s="69" t="n">
        <f aca="false">MIN(MAX(0,M10),(H1Data!D75)/6+Assets!L18/Inputs!M90/12)</f>
        <v>11.6942513935891</v>
      </c>
      <c r="N13" s="69" t="n">
        <f aca="false">MIN(MAX(0,N10),(H1Data!D75)/6+Assets!M18/Inputs!N90/12)</f>
        <v>11.7777677825632</v>
      </c>
      <c r="O13" s="69" t="n">
        <f aca="false">MIN(MAX(0,O10),(H1Data!D75)/6+Assets!N18/Inputs!O90/12)</f>
        <v>11.8612841715374</v>
      </c>
      <c r="P13" s="69" t="n">
        <f aca="false">MIN(MAX(0,P10),(H1Data!D75)/6+Assets!O18/Inputs!P90/12)</f>
        <v>11.9448005605115</v>
      </c>
      <c r="Q13" s="69" t="n">
        <f aca="false">MIN(MAX(0,Q10),(H1Data!D75)/6+Assets!P18/Inputs!Q90/12)</f>
        <v>12.0324927689344</v>
      </c>
      <c r="R13" s="69" t="n">
        <f aca="false">MIN(MAX(0,R10),(H1Data!D75)/6+Assets!Q18/Inputs!R90/12)</f>
        <v>12.1201849773572</v>
      </c>
      <c r="S13" s="69" t="n">
        <f aca="false">MIN(MAX(0,S10),(H1Data!D75)/6+Assets!R18/Inputs!S90/12)</f>
        <v>12.2078771857801</v>
      </c>
      <c r="T13" s="69" t="n">
        <f aca="false">MIN(MAX(0,T10),(H1Data!D75)/6+Assets!S18/Inputs!T90/12)</f>
        <v>12.295569394203</v>
      </c>
      <c r="U13" s="69" t="n">
        <f aca="false">MIN(MAX(0,U10),(H1Data!D75)/6+Assets!T18/Inputs!U90/12)</f>
        <v>12.3832616026258</v>
      </c>
      <c r="V13" s="69" t="n">
        <f aca="false">MIN(MAX(0,V10),(H1Data!D75)/6+Assets!U18/Inputs!V90/12)</f>
        <v>12.4709538110487</v>
      </c>
      <c r="W13" s="69" t="n">
        <f aca="false">MIN(MAX(0,W10),(H1Data!D75)/6+Assets!V18/Inputs!W90/12)</f>
        <v>12.5586460194715</v>
      </c>
      <c r="X13" s="69" t="n">
        <f aca="false">MIN(MAX(0,X10),(H1Data!D75)/6+Assets!W18/Inputs!X90/12)</f>
        <v>12.6463382278944</v>
      </c>
      <c r="Y13" s="69" t="n">
        <f aca="false">MIN(MAX(0,Y10),(H1Data!D75)/6+Assets!X18/Inputs!Y90/12)</f>
        <v>12.7340304363172</v>
      </c>
      <c r="Z13" s="69" t="n">
        <f aca="false">MIN(MAX(0,Z10),(H1Data!D75)/6+Assets!Y18/Inputs!Z90/12)</f>
        <v>12.8217226447401</v>
      </c>
      <c r="AA13" s="69" t="n">
        <f aca="false">MIN(MAX(0,AA10),(H1Data!D75)/6+Assets!Z18/Inputs!AA90/12)</f>
        <v>12.9094148531629</v>
      </c>
      <c r="AB13" s="69" t="n">
        <f aca="false">MIN(MAX(0,AB10),(H1Data!D75)/6+Assets!AA18/Inputs!AB90/12)</f>
        <v>12.9971070615858</v>
      </c>
      <c r="AC13" s="69" t="n">
        <f aca="false">MIN(MAX(0,AC10),(H1Data!D75)/6+Assets!AB18/Inputs!AC90/12)</f>
        <v>13.0891838804298</v>
      </c>
      <c r="AD13" s="69" t="n">
        <f aca="false">MIN(MAX(0,AD10),(H1Data!D75)/6+Assets!AC18/Inputs!AD90/12)</f>
        <v>13.1812606992738</v>
      </c>
      <c r="AE13" s="69" t="n">
        <f aca="false">MIN(MAX(0,AE10),(H1Data!D75)/6+Assets!AD18/Inputs!AE90/12)</f>
        <v>13.2733375181178</v>
      </c>
      <c r="AF13" s="69" t="n">
        <f aca="false">MIN(MAX(0,AF10),(H1Data!D75)/6+Assets!AE18/Inputs!AF90/12)</f>
        <v>13.3654143369618</v>
      </c>
      <c r="AG13" s="69" t="n">
        <f aca="false">MIN(MAX(0,AG10),(H1Data!D75)/6+Assets!AF18/Inputs!AG90/12)</f>
        <v>13.4574911558058</v>
      </c>
      <c r="AH13" s="69" t="n">
        <f aca="false">MIN(MAX(0,AH10),(H1Data!D75)/6+Assets!AG18/Inputs!AH90/12)</f>
        <v>13.5495679746497</v>
      </c>
      <c r="AI13" s="69" t="n">
        <f aca="false">MIN(MAX(0,AI10),(H1Data!D75)/6+Assets!AH18/Inputs!AI90/12)</f>
        <v>13.6416447934937</v>
      </c>
      <c r="AJ13" s="69" t="n">
        <f aca="false">MIN(MAX(0,AJ10),(H1Data!D75)/6+Assets!AI18/Inputs!AJ90/12)</f>
        <v>13.7337216123377</v>
      </c>
      <c r="AK13" s="69" t="n">
        <f aca="false">MIN(MAX(0,AK10),(H1Data!D75)/6+Assets!AJ18/Inputs!AK90/12)</f>
        <v>13.8257984311817</v>
      </c>
      <c r="AL13" s="69" t="n">
        <f aca="false">MIN(MAX(0,AL10),(H1Data!D75)/6+Assets!AK18/Inputs!AL90/12)</f>
        <v>13.9178752500257</v>
      </c>
      <c r="AM13" s="69" t="n">
        <f aca="false">MIN(MAX(0,AM10),(H1Data!D75)/6+Assets!AL18/Inputs!AM90/12)</f>
        <v>14.0099520688697</v>
      </c>
    </row>
    <row r="14" customFormat="false" ht="21" hidden="false" customHeight="true" outlineLevel="0" collapsed="false">
      <c r="C14" s="56" t="s">
        <v>360</v>
      </c>
      <c r="D14" s="69"/>
      <c r="E14" s="69"/>
      <c r="F14" s="69"/>
      <c r="G14" s="69"/>
      <c r="H14" s="69"/>
      <c r="I14" s="69"/>
      <c r="J14" s="69" t="n">
        <f aca="false">MIN(MAX(0,Inputs!J63),MAX(0,J10+J11-J13))</f>
        <v>0</v>
      </c>
      <c r="K14" s="69" t="n">
        <f aca="false">MIN(MAX(0,Inputs!K63),MAX(0,K10+K11-K13))</f>
        <v>0</v>
      </c>
      <c r="L14" s="69" t="n">
        <f aca="false">MIN(MAX(0,Inputs!L63),MAX(0,L10+L11-L13))</f>
        <v>0</v>
      </c>
      <c r="M14" s="69" t="n">
        <f aca="false">MIN(MAX(0,Inputs!M63),MAX(0,M10+M11-M13))</f>
        <v>0</v>
      </c>
      <c r="N14" s="69" t="n">
        <f aca="false">MIN(MAX(0,Inputs!N63),MAX(0,N10+N11-N13))</f>
        <v>0</v>
      </c>
      <c r="O14" s="69" t="n">
        <f aca="false">MIN(MAX(0,Inputs!O63),MAX(0,O10+O11-O13))</f>
        <v>0</v>
      </c>
      <c r="P14" s="69" t="n">
        <f aca="false">MIN(MAX(0,Inputs!P63),MAX(0,P10+P11-P13))</f>
        <v>0</v>
      </c>
      <c r="Q14" s="69" t="n">
        <f aca="false">MIN(MAX(0,Inputs!Q63),MAX(0,Q10+Q11-Q13))</f>
        <v>0</v>
      </c>
      <c r="R14" s="69" t="n">
        <f aca="false">MIN(MAX(0,Inputs!R63),MAX(0,R10+R11-R13))</f>
        <v>0</v>
      </c>
      <c r="S14" s="69" t="n">
        <f aca="false">MIN(MAX(0,Inputs!S63),MAX(0,S10+S11-S13))</f>
        <v>0</v>
      </c>
      <c r="T14" s="69" t="n">
        <f aca="false">MIN(MAX(0,Inputs!T63),MAX(0,T10+T11-T13))</f>
        <v>0</v>
      </c>
      <c r="U14" s="69" t="n">
        <f aca="false">MIN(MAX(0,Inputs!U63),MAX(0,U10+U11-U13))</f>
        <v>0</v>
      </c>
      <c r="V14" s="69" t="n">
        <f aca="false">MIN(MAX(0,Inputs!V63),MAX(0,V10+V11-V13))</f>
        <v>0</v>
      </c>
      <c r="W14" s="69" t="n">
        <f aca="false">MIN(MAX(0,Inputs!W63),MAX(0,W10+W11-W13))</f>
        <v>0</v>
      </c>
      <c r="X14" s="69" t="n">
        <f aca="false">MIN(MAX(0,Inputs!X63),MAX(0,X10+X11-X13))</f>
        <v>0</v>
      </c>
      <c r="Y14" s="69" t="n">
        <f aca="false">MIN(MAX(0,Inputs!Y63),MAX(0,Y10+Y11-Y13))</f>
        <v>0</v>
      </c>
      <c r="Z14" s="69" t="n">
        <f aca="false">MIN(MAX(0,Inputs!Z63),MAX(0,Z10+Z11-Z13))</f>
        <v>0</v>
      </c>
      <c r="AA14" s="69" t="n">
        <f aca="false">MIN(MAX(0,Inputs!AA63),MAX(0,AA10+AA11-AA13))</f>
        <v>0</v>
      </c>
      <c r="AB14" s="69" t="n">
        <f aca="false">MIN(MAX(0,Inputs!AB63),MAX(0,AB10+AB11-AB13))</f>
        <v>0</v>
      </c>
      <c r="AC14" s="69" t="n">
        <f aca="false">MIN(MAX(0,Inputs!AC63),MAX(0,AC10+AC11-AC13))</f>
        <v>0</v>
      </c>
      <c r="AD14" s="69" t="n">
        <f aca="false">MIN(MAX(0,Inputs!AD63),MAX(0,AD10+AD11-AD13))</f>
        <v>0</v>
      </c>
      <c r="AE14" s="69" t="n">
        <f aca="false">MIN(MAX(0,Inputs!AE63),MAX(0,AE10+AE11-AE13))</f>
        <v>0</v>
      </c>
      <c r="AF14" s="69" t="n">
        <f aca="false">MIN(MAX(0,Inputs!AF63),MAX(0,AF10+AF11-AF13))</f>
        <v>0</v>
      </c>
      <c r="AG14" s="69" t="n">
        <f aca="false">MIN(MAX(0,Inputs!AG63),MAX(0,AG10+AG11-AG13))</f>
        <v>0</v>
      </c>
      <c r="AH14" s="69" t="n">
        <f aca="false">MIN(MAX(0,Inputs!AH63),MAX(0,AH10+AH11-AH13))</f>
        <v>0</v>
      </c>
      <c r="AI14" s="69" t="n">
        <f aca="false">MIN(MAX(0,Inputs!AI63),MAX(0,AI10+AI11-AI13))</f>
        <v>0</v>
      </c>
      <c r="AJ14" s="69" t="n">
        <f aca="false">MIN(MAX(0,Inputs!AJ63),MAX(0,AJ10+AJ11-AJ13))</f>
        <v>0</v>
      </c>
      <c r="AK14" s="69" t="n">
        <f aca="false">MIN(MAX(0,Inputs!AK63),MAX(0,AK10+AK11-AK13))</f>
        <v>0</v>
      </c>
      <c r="AL14" s="69" t="n">
        <f aca="false">MIN(MAX(0,Inputs!AL63),MAX(0,AL10+AL11-AL13))</f>
        <v>0</v>
      </c>
      <c r="AM14" s="69" t="n">
        <f aca="false">MIN(MAX(0,Inputs!AM63),MAX(0,AM10+AM11-AM13))</f>
        <v>0</v>
      </c>
    </row>
    <row r="15" customFormat="false" ht="21" hidden="false" customHeight="true" outlineLevel="0" collapsed="false">
      <c r="C15" s="56" t="s">
        <v>361</v>
      </c>
      <c r="D15" s="69"/>
      <c r="E15" s="69"/>
      <c r="F15" s="69"/>
      <c r="G15" s="69"/>
      <c r="H15" s="69"/>
      <c r="I15" s="69"/>
      <c r="J15" s="69" t="n">
        <f aca="false">MIN(MAX(0,Inputs!J64),MAX(0,J10+J11-J13-J14))</f>
        <v>0</v>
      </c>
      <c r="K15" s="69" t="n">
        <f aca="false">MIN(MAX(0,Inputs!K64),MAX(0,K10+K11-K13-K14))</f>
        <v>0</v>
      </c>
      <c r="L15" s="69" t="n">
        <f aca="false">MIN(MAX(0,Inputs!L64),MAX(0,L10+L11-L13-L14))</f>
        <v>0</v>
      </c>
      <c r="M15" s="69" t="n">
        <f aca="false">MIN(MAX(0,Inputs!M64),MAX(0,M10+M11-M13-M14))</f>
        <v>0</v>
      </c>
      <c r="N15" s="69" t="n">
        <f aca="false">MIN(MAX(0,Inputs!N64),MAX(0,N10+N11-N13-N14))</f>
        <v>0</v>
      </c>
      <c r="O15" s="69" t="n">
        <f aca="false">MIN(MAX(0,Inputs!O64),MAX(0,O10+O11-O13-O14))</f>
        <v>0</v>
      </c>
      <c r="P15" s="69" t="n">
        <f aca="false">MIN(MAX(0,Inputs!P64),MAX(0,P10+P11-P13-P14))</f>
        <v>0</v>
      </c>
      <c r="Q15" s="69" t="n">
        <f aca="false">MIN(MAX(0,Inputs!Q64),MAX(0,Q10+Q11-Q13-Q14))</f>
        <v>0</v>
      </c>
      <c r="R15" s="69" t="n">
        <f aca="false">MIN(MAX(0,Inputs!R64),MAX(0,R10+R11-R13-R14))</f>
        <v>0</v>
      </c>
      <c r="S15" s="69" t="n">
        <f aca="false">MIN(MAX(0,Inputs!S64),MAX(0,S10+S11-S13-S14))</f>
        <v>0</v>
      </c>
      <c r="T15" s="69" t="n">
        <f aca="false">MIN(MAX(0,Inputs!T64),MAX(0,T10+T11-T13-T14))</f>
        <v>0</v>
      </c>
      <c r="U15" s="69" t="n">
        <f aca="false">MIN(MAX(0,Inputs!U64),MAX(0,U10+U11-U13-U14))</f>
        <v>0</v>
      </c>
      <c r="V15" s="69" t="n">
        <f aca="false">MIN(MAX(0,Inputs!V64),MAX(0,V10+V11-V13-V14))</f>
        <v>0</v>
      </c>
      <c r="W15" s="69" t="n">
        <f aca="false">MIN(MAX(0,Inputs!W64),MAX(0,W10+W11-W13-W14))</f>
        <v>0</v>
      </c>
      <c r="X15" s="69" t="n">
        <f aca="false">MIN(MAX(0,Inputs!X64),MAX(0,X10+X11-X13-X14))</f>
        <v>0</v>
      </c>
      <c r="Y15" s="69" t="n">
        <f aca="false">MIN(MAX(0,Inputs!Y64),MAX(0,Y10+Y11-Y13-Y14))</f>
        <v>0</v>
      </c>
      <c r="Z15" s="69" t="n">
        <f aca="false">MIN(MAX(0,Inputs!Z64),MAX(0,Z10+Z11-Z13-Z14))</f>
        <v>0</v>
      </c>
      <c r="AA15" s="69" t="n">
        <f aca="false">MIN(MAX(0,Inputs!AA64),MAX(0,AA10+AA11-AA13-AA14))</f>
        <v>0</v>
      </c>
      <c r="AB15" s="69" t="n">
        <f aca="false">MIN(MAX(0,Inputs!AB64),MAX(0,AB10+AB11-AB13-AB14))</f>
        <v>0</v>
      </c>
      <c r="AC15" s="69" t="n">
        <f aca="false">MIN(MAX(0,Inputs!AC64),MAX(0,AC10+AC11-AC13-AC14))</f>
        <v>0</v>
      </c>
      <c r="AD15" s="69" t="n">
        <f aca="false">MIN(MAX(0,Inputs!AD64),MAX(0,AD10+AD11-AD13-AD14))</f>
        <v>0</v>
      </c>
      <c r="AE15" s="69" t="n">
        <f aca="false">MIN(MAX(0,Inputs!AE64),MAX(0,AE10+AE11-AE13-AE14))</f>
        <v>0</v>
      </c>
      <c r="AF15" s="69" t="n">
        <f aca="false">MIN(MAX(0,Inputs!AF64),MAX(0,AF10+AF11-AF13-AF14))</f>
        <v>0</v>
      </c>
      <c r="AG15" s="69" t="n">
        <f aca="false">MIN(MAX(0,Inputs!AG64),MAX(0,AG10+AG11-AG13-AG14))</f>
        <v>0</v>
      </c>
      <c r="AH15" s="69" t="n">
        <f aca="false">MIN(MAX(0,Inputs!AH64),MAX(0,AH10+AH11-AH13-AH14))</f>
        <v>0</v>
      </c>
      <c r="AI15" s="69" t="n">
        <f aca="false">MIN(MAX(0,Inputs!AI64),MAX(0,AI10+AI11-AI13-AI14))</f>
        <v>0</v>
      </c>
      <c r="AJ15" s="69" t="n">
        <f aca="false">MIN(MAX(0,Inputs!AJ64),MAX(0,AJ10+AJ11-AJ13-AJ14))</f>
        <v>0</v>
      </c>
      <c r="AK15" s="69" t="n">
        <f aca="false">MIN(MAX(0,Inputs!AK64),MAX(0,AK10+AK11-AK13-AK14))</f>
        <v>0</v>
      </c>
      <c r="AL15" s="69" t="n">
        <f aca="false">MIN(MAX(0,Inputs!AL64),MAX(0,AL10+AL11-AL13-AL14))</f>
        <v>0</v>
      </c>
      <c r="AM15" s="69" t="n">
        <f aca="false">MIN(MAX(0,Inputs!AM64),MAX(0,AM10+AM11-AM13-AM14))</f>
        <v>0</v>
      </c>
    </row>
    <row r="16" customFormat="false" ht="21" hidden="false" customHeight="true" outlineLevel="0" collapsed="false">
      <c r="C16" s="56" t="s">
        <v>362</v>
      </c>
      <c r="D16" s="71"/>
      <c r="E16" s="71"/>
      <c r="F16" s="71"/>
      <c r="G16" s="71"/>
      <c r="H16" s="71"/>
      <c r="I16" s="71"/>
      <c r="J16" s="71" t="n">
        <f aca="false">J10+J11+J12-J13-J14-J15</f>
        <v>2606.76422869403</v>
      </c>
      <c r="K16" s="71" t="n">
        <f aca="false">K10+K11+K12-K13-K14-K15</f>
        <v>2625.30291010908</v>
      </c>
      <c r="L16" s="71" t="n">
        <f aca="false">L10+L11+L12-L13-L14-L15</f>
        <v>2643.75807513515</v>
      </c>
      <c r="M16" s="71" t="n">
        <f aca="false">M10+M11+M12-M13-M14-M15</f>
        <v>2662.12972377226</v>
      </c>
      <c r="N16" s="71" t="n">
        <f aca="false">N10+N11+N12-N13-N14-N15</f>
        <v>2680.41785602039</v>
      </c>
      <c r="O16" s="71" t="n">
        <f aca="false">O10+O11+O12-O13-O14-O15</f>
        <v>2698.62247187954</v>
      </c>
      <c r="P16" s="71" t="n">
        <f aca="false">P10+P11+P12-P13-P14-P15</f>
        <v>2718.24686635126</v>
      </c>
      <c r="Q16" s="71" t="n">
        <f aca="false">Q10+Q11+Q12-Q13-Q14-Q15</f>
        <v>2737.78356861455</v>
      </c>
      <c r="R16" s="71" t="n">
        <f aca="false">R10+R11+R12-R13-R14-R15</f>
        <v>2757.23257866942</v>
      </c>
      <c r="S16" s="71" t="n">
        <f aca="false">S10+S11+S12-S13-S14-S15</f>
        <v>2776.59389651587</v>
      </c>
      <c r="T16" s="71" t="n">
        <f aca="false">T10+T11+T12-T13-T14-T15</f>
        <v>2795.86752215389</v>
      </c>
      <c r="U16" s="71" t="n">
        <f aca="false">U10+U11+U12-U13-U14-U15</f>
        <v>2815.05345558349</v>
      </c>
      <c r="V16" s="71" t="n">
        <f aca="false">V10+V11+V12-V13-V14-V15</f>
        <v>2834.15169680467</v>
      </c>
      <c r="W16" s="71" t="n">
        <f aca="false">W10+W11+W12-W13-W14-W15</f>
        <v>2853.16224581743</v>
      </c>
      <c r="X16" s="71" t="n">
        <f aca="false">X10+X11+X12-X13-X14-X15</f>
        <v>2872.08510262176</v>
      </c>
      <c r="Y16" s="71" t="n">
        <f aca="false">Y10+Y11+Y12-Y13-Y14-Y15</f>
        <v>2890.92026721767</v>
      </c>
      <c r="Z16" s="71" t="n">
        <f aca="false">Z10+Z11+Z12-Z13-Z14-Z15</f>
        <v>2909.66773960516</v>
      </c>
      <c r="AA16" s="71" t="n">
        <f aca="false">AA10+AA11+AA12-AA13-AA14-AA15</f>
        <v>2928.32751978422</v>
      </c>
      <c r="AB16" s="71" t="n">
        <f aca="false">AB10+AB11+AB12-AB13-AB14-AB15</f>
        <v>2948.47806750647</v>
      </c>
      <c r="AC16" s="71" t="n">
        <f aca="false">AC10+AC11+AC12-AC13-AC14-AC15</f>
        <v>2968.53653840988</v>
      </c>
      <c r="AD16" s="71" t="n">
        <f aca="false">AD10+AD11+AD12-AD13-AD14-AD15</f>
        <v>2988.50293249445</v>
      </c>
      <c r="AE16" s="71" t="n">
        <f aca="false">AE10+AE11+AE12-AE13-AE14-AE15</f>
        <v>3008.37724976017</v>
      </c>
      <c r="AF16" s="71" t="n">
        <f aca="false">AF10+AF11+AF12-AF13-AF14-AF15</f>
        <v>3028.15949020704</v>
      </c>
      <c r="AG16" s="71" t="n">
        <f aca="false">AG10+AG11+AG12-AG13-AG14-AG15</f>
        <v>3047.84965383507</v>
      </c>
      <c r="AH16" s="71" t="n">
        <f aca="false">AH10+AH11+AH12-AH13-AH14-AH15</f>
        <v>3067.44774064426</v>
      </c>
      <c r="AI16" s="71" t="n">
        <f aca="false">AI10+AI11+AI12-AI13-AI14-AI15</f>
        <v>3086.95375063461</v>
      </c>
      <c r="AJ16" s="71" t="n">
        <f aca="false">AJ10+AJ11+AJ12-AJ13-AJ14-AJ15</f>
        <v>3106.36768380611</v>
      </c>
      <c r="AK16" s="71" t="n">
        <f aca="false">AK10+AK11+AK12-AK13-AK14-AK15</f>
        <v>3125.68954015877</v>
      </c>
      <c r="AL16" s="71" t="n">
        <f aca="false">AL10+AL11+AL12-AL13-AL14-AL15</f>
        <v>3144.91931969258</v>
      </c>
      <c r="AM16" s="71" t="n">
        <f aca="false">AM10+AM11+AM12-AM13-AM14-AM15</f>
        <v>3164.05702240755</v>
      </c>
    </row>
    <row r="17" customFormat="false" ht="21" hidden="false" customHeight="true" outlineLevel="0" collapsed="false">
      <c r="C17" s="56" t="s">
        <v>363</v>
      </c>
      <c r="D17" s="71"/>
      <c r="E17" s="71"/>
      <c r="F17" s="71"/>
      <c r="G17" s="71"/>
      <c r="H17" s="71"/>
      <c r="I17" s="71"/>
      <c r="J17" s="71" t="n">
        <f aca="false">J10+J11+J12-J13-J14-J15-J16</f>
        <v>0</v>
      </c>
      <c r="K17" s="71" t="n">
        <f aca="false">K10+K11+K12-K13-K14-K15-K16</f>
        <v>0</v>
      </c>
      <c r="L17" s="71" t="n">
        <f aca="false">L10+L11+L12-L13-L14-L15-L16</f>
        <v>0</v>
      </c>
      <c r="M17" s="71" t="n">
        <f aca="false">M10+M11+M12-M13-M14-M15-M16</f>
        <v>0</v>
      </c>
      <c r="N17" s="71" t="n">
        <f aca="false">N10+N11+N12-N13-N14-N15-N16</f>
        <v>0</v>
      </c>
      <c r="O17" s="71" t="n">
        <f aca="false">O10+O11+O12-O13-O14-O15-O16</f>
        <v>0</v>
      </c>
      <c r="P17" s="71" t="n">
        <f aca="false">P10+P11+P12-P13-P14-P15-P16</f>
        <v>0</v>
      </c>
      <c r="Q17" s="71" t="n">
        <f aca="false">Q10+Q11+Q12-Q13-Q14-Q15-Q16</f>
        <v>0</v>
      </c>
      <c r="R17" s="71" t="n">
        <f aca="false">R10+R11+R12-R13-R14-R15-R16</f>
        <v>0</v>
      </c>
      <c r="S17" s="71" t="n">
        <f aca="false">S10+S11+S12-S13-S14-S15-S16</f>
        <v>0</v>
      </c>
      <c r="T17" s="71" t="n">
        <f aca="false">T10+T11+T12-T13-T14-T15-T16</f>
        <v>0</v>
      </c>
      <c r="U17" s="71" t="n">
        <f aca="false">U10+U11+U12-U13-U14-U15-U16</f>
        <v>0</v>
      </c>
      <c r="V17" s="71" t="n">
        <f aca="false">V10+V11+V12-V13-V14-V15-V16</f>
        <v>0</v>
      </c>
      <c r="W17" s="71" t="n">
        <f aca="false">W10+W11+W12-W13-W14-W15-W16</f>
        <v>0</v>
      </c>
      <c r="X17" s="71" t="n">
        <f aca="false">X10+X11+X12-X13-X14-X15-X16</f>
        <v>0</v>
      </c>
      <c r="Y17" s="71" t="n">
        <f aca="false">Y10+Y11+Y12-Y13-Y14-Y15-Y16</f>
        <v>0</v>
      </c>
      <c r="Z17" s="71" t="n">
        <f aca="false">Z10+Z11+Z12-Z13-Z14-Z15-Z16</f>
        <v>0</v>
      </c>
      <c r="AA17" s="71" t="n">
        <f aca="false">AA10+AA11+AA12-AA13-AA14-AA15-AA16</f>
        <v>0</v>
      </c>
      <c r="AB17" s="71" t="n">
        <f aca="false">AB10+AB11+AB12-AB13-AB14-AB15-AB16</f>
        <v>0</v>
      </c>
      <c r="AC17" s="71" t="n">
        <f aca="false">AC10+AC11+AC12-AC13-AC14-AC15-AC16</f>
        <v>0</v>
      </c>
      <c r="AD17" s="71" t="n">
        <f aca="false">AD10+AD11+AD12-AD13-AD14-AD15-AD16</f>
        <v>0</v>
      </c>
      <c r="AE17" s="71" t="n">
        <f aca="false">AE10+AE11+AE12-AE13-AE14-AE15-AE16</f>
        <v>0</v>
      </c>
      <c r="AF17" s="71" t="n">
        <f aca="false">AF10+AF11+AF12-AF13-AF14-AF15-AF16</f>
        <v>0</v>
      </c>
      <c r="AG17" s="71" t="n">
        <f aca="false">AG10+AG11+AG12-AG13-AG14-AG15-AG16</f>
        <v>0</v>
      </c>
      <c r="AH17" s="71" t="n">
        <f aca="false">AH10+AH11+AH12-AH13-AH14-AH15-AH16</f>
        <v>0</v>
      </c>
      <c r="AI17" s="71" t="n">
        <f aca="false">AI10+AI11+AI12-AI13-AI14-AI15-AI16</f>
        <v>0</v>
      </c>
      <c r="AJ17" s="71" t="n">
        <f aca="false">AJ10+AJ11+AJ12-AJ13-AJ14-AJ15-AJ16</f>
        <v>0</v>
      </c>
      <c r="AK17" s="71" t="n">
        <f aca="false">AK10+AK11+AK12-AK13-AK14-AK15-AK16</f>
        <v>0</v>
      </c>
      <c r="AL17" s="71" t="n">
        <f aca="false">AL10+AL11+AL12-AL13-AL14-AL15-AL16</f>
        <v>0</v>
      </c>
      <c r="AM17" s="71" t="n">
        <f aca="false">AM10+AM11+AM12-AM13-AM14-AM15-AM16</f>
        <v>0</v>
      </c>
    </row>
    <row r="18" customFormat="false" ht="21" hidden="false" customHeight="true" outlineLevel="0" collapsed="false">
      <c r="C18" s="56" t="s">
        <v>364</v>
      </c>
      <c r="D18" s="71"/>
      <c r="E18" s="69"/>
      <c r="F18" s="69"/>
      <c r="G18" s="69"/>
      <c r="H18" s="69"/>
      <c r="I18" s="69"/>
      <c r="J18" s="69" t="n">
        <f aca="false">J11+J12</f>
        <v>30.0659000306924</v>
      </c>
      <c r="K18" s="69" t="n">
        <f aca="false">Assets!J18+K11+K12</f>
        <v>60.1318000613848</v>
      </c>
      <c r="L18" s="69" t="n">
        <f aca="false">Assets!K18+L11+L12</f>
        <v>90.1977000920772</v>
      </c>
      <c r="M18" s="69" t="n">
        <f aca="false">Assets!L18+M11+M12</f>
        <v>120.26360012277</v>
      </c>
      <c r="N18" s="69" t="n">
        <f aca="false">Assets!M18+N11+N12</f>
        <v>150.329500153462</v>
      </c>
      <c r="O18" s="69" t="n">
        <f aca="false">Assets!N18+O11+O12</f>
        <v>180.395400184154</v>
      </c>
      <c r="P18" s="69" t="n">
        <f aca="false">Assets!O18+P11+P12</f>
        <v>211.964595216381</v>
      </c>
      <c r="Q18" s="69" t="n">
        <f aca="false">Assets!P18+Q11+Q12</f>
        <v>243.533790248608</v>
      </c>
      <c r="R18" s="69" t="n">
        <f aca="false">Assets!Q18+R11+R12</f>
        <v>275.102985280835</v>
      </c>
      <c r="S18" s="69" t="n">
        <f aca="false">Assets!R18+S11+S12</f>
        <v>306.672180313063</v>
      </c>
      <c r="T18" s="69" t="n">
        <f aca="false">Assets!S18+T11+T12</f>
        <v>338.24137534529</v>
      </c>
      <c r="U18" s="69" t="n">
        <f aca="false">Assets!T18+U11+U12</f>
        <v>369.810570377517</v>
      </c>
      <c r="V18" s="69" t="n">
        <f aca="false">Assets!U18+V11+V12</f>
        <v>401.379765409744</v>
      </c>
      <c r="W18" s="69" t="n">
        <f aca="false">Assets!V18+W11+W12</f>
        <v>432.948960441971</v>
      </c>
      <c r="X18" s="69" t="n">
        <f aca="false">Assets!W18+X11+X12</f>
        <v>464.518155474198</v>
      </c>
      <c r="Y18" s="69" t="n">
        <f aca="false">Assets!X18+Y11+Y12</f>
        <v>496.087350506425</v>
      </c>
      <c r="Z18" s="69" t="n">
        <f aca="false">Assets!Y18+Z11+Z12</f>
        <v>527.656545538652</v>
      </c>
      <c r="AA18" s="69" t="n">
        <f aca="false">Assets!Z18+AA11+AA12</f>
        <v>559.225740570879</v>
      </c>
      <c r="AB18" s="69" t="n">
        <f aca="false">Assets!AA18+AB11+AB12</f>
        <v>592.373395354717</v>
      </c>
      <c r="AC18" s="69" t="n">
        <f aca="false">Assets!AB18+AC11+AC12</f>
        <v>625.521050138555</v>
      </c>
      <c r="AD18" s="69" t="n">
        <f aca="false">Assets!AC18+AD11+AD12</f>
        <v>658.668704922394</v>
      </c>
      <c r="AE18" s="69" t="n">
        <f aca="false">Assets!AD18+AE11+AE12</f>
        <v>691.816359706232</v>
      </c>
      <c r="AF18" s="69" t="n">
        <f aca="false">Assets!AE18+AF11+AF12</f>
        <v>724.96401449007</v>
      </c>
      <c r="AG18" s="69" t="n">
        <f aca="false">Assets!AF18+AG11+AG12</f>
        <v>758.111669273909</v>
      </c>
      <c r="AH18" s="69" t="n">
        <f aca="false">Assets!AG18+AH11+AH12</f>
        <v>791.259324057747</v>
      </c>
      <c r="AI18" s="69" t="n">
        <f aca="false">Assets!AH18+AI11+AI12</f>
        <v>824.406978841585</v>
      </c>
      <c r="AJ18" s="69" t="n">
        <f aca="false">Assets!AI18+AJ11+AJ12</f>
        <v>857.554633625424</v>
      </c>
      <c r="AK18" s="69" t="n">
        <f aca="false">Assets!AJ18+AK11+AK12</f>
        <v>890.702288409262</v>
      </c>
      <c r="AL18" s="69" t="n">
        <f aca="false">Assets!AK18+AL11+AL12</f>
        <v>923.8499431931</v>
      </c>
      <c r="AM18" s="69" t="n">
        <f aca="false">Assets!AL18+AM11+AM12</f>
        <v>956.997597976939</v>
      </c>
    </row>
    <row r="19" customFormat="false" ht="21" hidden="false" customHeight="true" outlineLevel="0" collapsed="false">
      <c r="C19" s="56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</row>
    <row r="20" customFormat="false" ht="21" hidden="false" customHeight="true" outlineLevel="0" collapsed="false">
      <c r="C20" s="56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</row>
    <row r="21" customFormat="false" ht="25" hidden="false" customHeight="true" outlineLevel="0" collapsed="false">
      <c r="C21" s="63" t="s">
        <v>365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</row>
    <row r="22" customFormat="false" ht="21" hidden="false" customHeight="true" outlineLevel="0" collapsed="false">
      <c r="C22" s="56" t="s">
        <v>356</v>
      </c>
      <c r="D22" s="69"/>
      <c r="E22" s="69"/>
      <c r="F22" s="69"/>
      <c r="G22" s="69"/>
      <c r="H22" s="69"/>
      <c r="I22" s="69"/>
      <c r="J22" s="69" t="n">
        <f aca="false">H1Data!D69</f>
        <v>641.01159019</v>
      </c>
      <c r="K22" s="69" t="n">
        <f aca="false">Assets!J28</f>
        <v>639.58154347429</v>
      </c>
      <c r="L22" s="69" t="n">
        <f aca="false">Assets!K28</f>
        <v>638.087342809793</v>
      </c>
      <c r="M22" s="69" t="n">
        <f aca="false">Assets!L28</f>
        <v>636.528988196511</v>
      </c>
      <c r="N22" s="69" t="n">
        <f aca="false">Assets!M28</f>
        <v>634.906479634443</v>
      </c>
      <c r="O22" s="69" t="n">
        <f aca="false">Assets!N28</f>
        <v>633.21981712359</v>
      </c>
      <c r="P22" s="69" t="n">
        <f aca="false">Assets!O28</f>
        <v>631.469000663951</v>
      </c>
      <c r="Q22" s="69" t="n">
        <f aca="false">Assets!P28</f>
        <v>630.03895394824</v>
      </c>
      <c r="R22" s="69" t="n">
        <f aca="false">Assets!Q28</f>
        <v>628.541545586304</v>
      </c>
      <c r="S22" s="69" t="n">
        <f aca="false">Assets!R28</f>
        <v>626.976775578144</v>
      </c>
      <c r="T22" s="69" t="n">
        <f aca="false">Assets!S28</f>
        <v>625.344643923758</v>
      </c>
      <c r="U22" s="69" t="n">
        <f aca="false">Assets!T28</f>
        <v>623.645150623147</v>
      </c>
      <c r="V22" s="69" t="n">
        <f aca="false">Assets!U28</f>
        <v>621.878295676312</v>
      </c>
      <c r="W22" s="69" t="n">
        <f aca="false">Assets!V28</f>
        <v>620.044079083251</v>
      </c>
      <c r="X22" s="69" t="n">
        <f aca="false">Assets!W28</f>
        <v>618.142500843965</v>
      </c>
      <c r="Y22" s="69" t="n">
        <f aca="false">Assets!X28</f>
        <v>616.173560958454</v>
      </c>
      <c r="Z22" s="69" t="n">
        <f aca="false">Assets!Y28</f>
        <v>614.137259426718</v>
      </c>
      <c r="AA22" s="69" t="n">
        <f aca="false">Assets!Z28</f>
        <v>612.033596248757</v>
      </c>
      <c r="AB22" s="69" t="n">
        <f aca="false">Assets!AA28</f>
        <v>609.862571424571</v>
      </c>
      <c r="AC22" s="69" t="n">
        <f aca="false">Assets!AB28</f>
        <v>608.028354831511</v>
      </c>
      <c r="AD22" s="69" t="n">
        <f aca="false">Assets!AC28</f>
        <v>606.123408509913</v>
      </c>
      <c r="AE22" s="69" t="n">
        <f aca="false">Assets!AD28</f>
        <v>604.14773245978</v>
      </c>
      <c r="AF22" s="69" t="n">
        <f aca="false">Assets!AE28</f>
        <v>602.10132668111</v>
      </c>
      <c r="AG22" s="69" t="n">
        <f aca="false">Assets!AF28</f>
        <v>599.984191173905</v>
      </c>
      <c r="AH22" s="69" t="n">
        <f aca="false">Assets!AG28</f>
        <v>597.796325938162</v>
      </c>
      <c r="AI22" s="69" t="n">
        <f aca="false">Assets!AH28</f>
        <v>595.537730973884</v>
      </c>
      <c r="AJ22" s="69" t="n">
        <f aca="false">Assets!AI28</f>
        <v>593.208406281069</v>
      </c>
      <c r="AK22" s="69" t="n">
        <f aca="false">Assets!AJ28</f>
        <v>590.808351859718</v>
      </c>
      <c r="AL22" s="69" t="n">
        <f aca="false">Assets!AK28</f>
        <v>588.337567709831</v>
      </c>
      <c r="AM22" s="69" t="n">
        <f aca="false">Assets!AL28</f>
        <v>585.796053831407</v>
      </c>
    </row>
    <row r="23" customFormat="false" ht="21" hidden="false" customHeight="true" outlineLevel="0" collapsed="false">
      <c r="C23" s="56" t="s">
        <v>357</v>
      </c>
      <c r="D23" s="69"/>
      <c r="E23" s="69"/>
      <c r="F23" s="69"/>
      <c r="G23" s="69"/>
      <c r="H23" s="69"/>
      <c r="I23" s="69"/>
      <c r="J23" s="69" t="n">
        <f aca="false">MAX(0,Inputs!J51)*(1-MIN(1,MAX(0,Inputs!J98)))*(SourceDetail!E152/1000000)/(SourceDetail!E160/1000000)</f>
        <v>7.69847385428939</v>
      </c>
      <c r="K23" s="69" t="n">
        <f aca="false">MAX(0,Inputs!K51)*(1-MIN(1,MAX(0,Inputs!K98)))*(SourceDetail!E152/1000000)/(SourceDetail!E160/1000000)</f>
        <v>7.69847385428939</v>
      </c>
      <c r="L23" s="69" t="n">
        <f aca="false">MAX(0,Inputs!L51)*(1-MIN(1,MAX(0,Inputs!L98)))*(SourceDetail!E152/1000000)/(SourceDetail!E160/1000000)</f>
        <v>7.69847385428939</v>
      </c>
      <c r="M23" s="69" t="n">
        <f aca="false">MAX(0,Inputs!M51)*(1-MIN(1,MAX(0,Inputs!M98)))*(SourceDetail!E152/1000000)/(SourceDetail!E160/1000000)</f>
        <v>7.69847385428939</v>
      </c>
      <c r="N23" s="69" t="n">
        <f aca="false">MAX(0,Inputs!N51)*(1-MIN(1,MAX(0,Inputs!N98)))*(SourceDetail!E152/1000000)/(SourceDetail!E160/1000000)</f>
        <v>7.69847385428939</v>
      </c>
      <c r="O23" s="69" t="n">
        <f aca="false">MAX(0,Inputs!O51)*(1-MIN(1,MAX(0,Inputs!O98)))*(SourceDetail!E152/1000000)/(SourceDetail!E160/1000000)</f>
        <v>7.69847385428939</v>
      </c>
      <c r="P23" s="69" t="n">
        <f aca="false">MAX(0,Inputs!P51)*(1-MIN(1,MAX(0,Inputs!P98)))*(SourceDetail!E152/1000000)/(SourceDetail!E160/1000000)</f>
        <v>8.08339754700386</v>
      </c>
      <c r="Q23" s="69" t="n">
        <f aca="false">MAX(0,Inputs!Q51)*(1-MIN(1,MAX(0,Inputs!Q98)))*(SourceDetail!E152/1000000)/(SourceDetail!E160/1000000)</f>
        <v>8.08339754700386</v>
      </c>
      <c r="R23" s="69" t="n">
        <f aca="false">MAX(0,Inputs!R51)*(1-MIN(1,MAX(0,Inputs!R98)))*(SourceDetail!E152/1000000)/(SourceDetail!E160/1000000)</f>
        <v>8.08339754700386</v>
      </c>
      <c r="S23" s="69" t="n">
        <f aca="false">MAX(0,Inputs!S51)*(1-MIN(1,MAX(0,Inputs!S98)))*(SourceDetail!E152/1000000)/(SourceDetail!E160/1000000)</f>
        <v>8.08339754700386</v>
      </c>
      <c r="T23" s="69" t="n">
        <f aca="false">MAX(0,Inputs!T51)*(1-MIN(1,MAX(0,Inputs!T98)))*(SourceDetail!E152/1000000)/(SourceDetail!E160/1000000)</f>
        <v>8.08339754700386</v>
      </c>
      <c r="U23" s="69" t="n">
        <f aca="false">MAX(0,Inputs!U51)*(1-MIN(1,MAX(0,Inputs!U98)))*(SourceDetail!E152/1000000)/(SourceDetail!E160/1000000)</f>
        <v>8.08339754700386</v>
      </c>
      <c r="V23" s="69" t="n">
        <f aca="false">MAX(0,Inputs!V51)*(1-MIN(1,MAX(0,Inputs!V98)))*(SourceDetail!E152/1000000)/(SourceDetail!E160/1000000)</f>
        <v>8.08339754700386</v>
      </c>
      <c r="W23" s="69" t="n">
        <f aca="false">MAX(0,Inputs!W51)*(1-MIN(1,MAX(0,Inputs!W98)))*(SourceDetail!E152/1000000)/(SourceDetail!E160/1000000)</f>
        <v>8.08339754700386</v>
      </c>
      <c r="X23" s="69" t="n">
        <f aca="false">MAX(0,Inputs!X51)*(1-MIN(1,MAX(0,Inputs!X98)))*(SourceDetail!E152/1000000)/(SourceDetail!E160/1000000)</f>
        <v>8.08339754700386</v>
      </c>
      <c r="Y23" s="69" t="n">
        <f aca="false">MAX(0,Inputs!Y51)*(1-MIN(1,MAX(0,Inputs!Y98)))*(SourceDetail!E152/1000000)/(SourceDetail!E160/1000000)</f>
        <v>8.08339754700386</v>
      </c>
      <c r="Z23" s="69" t="n">
        <f aca="false">MAX(0,Inputs!Z51)*(1-MIN(1,MAX(0,Inputs!Z98)))*(SourceDetail!E152/1000000)/(SourceDetail!E160/1000000)</f>
        <v>8.08339754700386</v>
      </c>
      <c r="AA23" s="69" t="n">
        <f aca="false">MAX(0,Inputs!AA51)*(1-MIN(1,MAX(0,Inputs!AA98)))*(SourceDetail!E152/1000000)/(SourceDetail!E160/1000000)</f>
        <v>8.08339754700386</v>
      </c>
      <c r="AB23" s="69" t="n">
        <f aca="false">MAX(0,Inputs!AB51)*(1-MIN(1,MAX(0,Inputs!AB98)))*(SourceDetail!E152/1000000)/(SourceDetail!E160/1000000)</f>
        <v>8.48756742435406</v>
      </c>
      <c r="AC23" s="69" t="n">
        <f aca="false">MAX(0,Inputs!AC51)*(1-MIN(1,MAX(0,Inputs!AC98)))*(SourceDetail!E152/1000000)/(SourceDetail!E160/1000000)</f>
        <v>8.48756742435406</v>
      </c>
      <c r="AD23" s="69" t="n">
        <f aca="false">MAX(0,Inputs!AD51)*(1-MIN(1,MAX(0,Inputs!AD98)))*(SourceDetail!E152/1000000)/(SourceDetail!E160/1000000)</f>
        <v>8.48756742435406</v>
      </c>
      <c r="AE23" s="69" t="n">
        <f aca="false">MAX(0,Inputs!AE51)*(1-MIN(1,MAX(0,Inputs!AE98)))*(SourceDetail!E152/1000000)/(SourceDetail!E160/1000000)</f>
        <v>8.48756742435406</v>
      </c>
      <c r="AF23" s="69" t="n">
        <f aca="false">MAX(0,Inputs!AF51)*(1-MIN(1,MAX(0,Inputs!AF98)))*(SourceDetail!E152/1000000)/(SourceDetail!E160/1000000)</f>
        <v>8.48756742435406</v>
      </c>
      <c r="AG23" s="69" t="n">
        <f aca="false">MAX(0,Inputs!AG51)*(1-MIN(1,MAX(0,Inputs!AG98)))*(SourceDetail!E152/1000000)/(SourceDetail!E160/1000000)</f>
        <v>8.48756742435406</v>
      </c>
      <c r="AH23" s="69" t="n">
        <f aca="false">MAX(0,Inputs!AH51)*(1-MIN(1,MAX(0,Inputs!AH98)))*(SourceDetail!E152/1000000)/(SourceDetail!E160/1000000)</f>
        <v>8.48756742435406</v>
      </c>
      <c r="AI23" s="69" t="n">
        <f aca="false">MAX(0,Inputs!AI51)*(1-MIN(1,MAX(0,Inputs!AI98)))*(SourceDetail!E152/1000000)/(SourceDetail!E160/1000000)</f>
        <v>8.48756742435406</v>
      </c>
      <c r="AJ23" s="69" t="n">
        <f aca="false">MAX(0,Inputs!AJ51)*(1-MIN(1,MAX(0,Inputs!AJ98)))*(SourceDetail!E152/1000000)/(SourceDetail!E160/1000000)</f>
        <v>8.48756742435406</v>
      </c>
      <c r="AK23" s="69" t="n">
        <f aca="false">MAX(0,Inputs!AK51)*(1-MIN(1,MAX(0,Inputs!AK98)))*(SourceDetail!E152/1000000)/(SourceDetail!E160/1000000)</f>
        <v>8.48756742435406</v>
      </c>
      <c r="AL23" s="69" t="n">
        <f aca="false">MAX(0,Inputs!AL51)*(1-MIN(1,MAX(0,Inputs!AL98)))*(SourceDetail!E152/1000000)/(SourceDetail!E160/1000000)</f>
        <v>8.48756742435406</v>
      </c>
      <c r="AM23" s="69" t="n">
        <f aca="false">MAX(0,Inputs!AM51)*(1-MIN(1,MAX(0,Inputs!AM98)))*(SourceDetail!E152/1000000)/(SourceDetail!E160/1000000)</f>
        <v>8.48756742435406</v>
      </c>
    </row>
    <row r="24" customFormat="false" ht="21" hidden="false" customHeight="true" outlineLevel="0" collapsed="false">
      <c r="C24" s="56" t="s">
        <v>358</v>
      </c>
      <c r="D24" s="71"/>
      <c r="E24" s="71"/>
      <c r="F24" s="71"/>
      <c r="G24" s="71"/>
      <c r="H24" s="71"/>
      <c r="I24" s="71"/>
      <c r="J24" s="71" t="n">
        <f aca="false">0</f>
        <v>0</v>
      </c>
      <c r="K24" s="71" t="n">
        <f aca="false">0</f>
        <v>0</v>
      </c>
      <c r="L24" s="71" t="n">
        <f aca="false">0</f>
        <v>0</v>
      </c>
      <c r="M24" s="71" t="n">
        <f aca="false">0</f>
        <v>0</v>
      </c>
      <c r="N24" s="71" t="n">
        <f aca="false">0</f>
        <v>0</v>
      </c>
      <c r="O24" s="71" t="n">
        <f aca="false">0</f>
        <v>0</v>
      </c>
      <c r="P24" s="71" t="n">
        <f aca="false">0</f>
        <v>0</v>
      </c>
      <c r="Q24" s="71" t="n">
        <f aca="false">0</f>
        <v>0</v>
      </c>
      <c r="R24" s="71" t="n">
        <f aca="false">0</f>
        <v>0</v>
      </c>
      <c r="S24" s="71" t="n">
        <f aca="false">0</f>
        <v>0</v>
      </c>
      <c r="T24" s="71" t="n">
        <f aca="false">0</f>
        <v>0</v>
      </c>
      <c r="U24" s="71" t="n">
        <f aca="false">0</f>
        <v>0</v>
      </c>
      <c r="V24" s="71" t="n">
        <f aca="false">0</f>
        <v>0</v>
      </c>
      <c r="W24" s="71" t="n">
        <f aca="false">0</f>
        <v>0</v>
      </c>
      <c r="X24" s="71" t="n">
        <f aca="false">0</f>
        <v>0</v>
      </c>
      <c r="Y24" s="71" t="n">
        <f aca="false">0</f>
        <v>0</v>
      </c>
      <c r="Z24" s="71" t="n">
        <f aca="false">0</f>
        <v>0</v>
      </c>
      <c r="AA24" s="71" t="n">
        <f aca="false">0</f>
        <v>0</v>
      </c>
      <c r="AB24" s="71" t="n">
        <f aca="false">0</f>
        <v>0</v>
      </c>
      <c r="AC24" s="71" t="n">
        <f aca="false">0</f>
        <v>0</v>
      </c>
      <c r="AD24" s="71" t="n">
        <f aca="false">0</f>
        <v>0</v>
      </c>
      <c r="AE24" s="71" t="n">
        <f aca="false">0</f>
        <v>0</v>
      </c>
      <c r="AF24" s="71" t="n">
        <f aca="false">0</f>
        <v>0</v>
      </c>
      <c r="AG24" s="71" t="n">
        <f aca="false">0</f>
        <v>0</v>
      </c>
      <c r="AH24" s="71" t="n">
        <f aca="false">0</f>
        <v>0</v>
      </c>
      <c r="AI24" s="71" t="n">
        <f aca="false">0</f>
        <v>0</v>
      </c>
      <c r="AJ24" s="71" t="n">
        <f aca="false">0</f>
        <v>0</v>
      </c>
      <c r="AK24" s="71" t="n">
        <f aca="false">0</f>
        <v>0</v>
      </c>
      <c r="AL24" s="71" t="n">
        <f aca="false">0</f>
        <v>0</v>
      </c>
      <c r="AM24" s="71" t="n">
        <f aca="false">0</f>
        <v>0</v>
      </c>
    </row>
    <row r="25" customFormat="false" ht="21" hidden="false" customHeight="true" outlineLevel="0" collapsed="false">
      <c r="C25" s="56" t="s">
        <v>359</v>
      </c>
      <c r="D25" s="69"/>
      <c r="E25" s="69"/>
      <c r="F25" s="69"/>
      <c r="G25" s="69"/>
      <c r="H25" s="69"/>
      <c r="I25" s="69"/>
      <c r="J25" s="69" t="n">
        <f aca="false">MIN(MAX(0,J22),(H1Data!D76)/6+0/Inputs!J91/12)</f>
        <v>9.12852057</v>
      </c>
      <c r="K25" s="69" t="n">
        <f aca="false">MIN(MAX(0,K22),(H1Data!D76)/6+Assets!J30/Inputs!K91/12)</f>
        <v>9.19267451878575</v>
      </c>
      <c r="L25" s="69" t="n">
        <f aca="false">MIN(MAX(0,L22),(H1Data!D76)/6+Assets!K30/Inputs!L91/12)</f>
        <v>9.25682846757149</v>
      </c>
      <c r="M25" s="69" t="n">
        <f aca="false">MIN(MAX(0,M22),(H1Data!D76)/6+Assets!L30/Inputs!M91/12)</f>
        <v>9.32098241635724</v>
      </c>
      <c r="N25" s="69" t="n">
        <f aca="false">MIN(MAX(0,N22),(H1Data!D76)/6+Assets!M30/Inputs!N91/12)</f>
        <v>9.38513636514298</v>
      </c>
      <c r="O25" s="69" t="n">
        <f aca="false">MIN(MAX(0,O22),(H1Data!D76)/6+Assets!N30/Inputs!O91/12)</f>
        <v>9.44929031392873</v>
      </c>
      <c r="P25" s="69" t="n">
        <f aca="false">MIN(MAX(0,P22),(H1Data!D76)/6+Assets!O30/Inputs!P91/12)</f>
        <v>9.51344426271447</v>
      </c>
      <c r="Q25" s="69" t="n">
        <f aca="false">MIN(MAX(0,Q22),(H1Data!D76)/6+Assets!P30/Inputs!Q91/12)</f>
        <v>9.5808059089395</v>
      </c>
      <c r="R25" s="69" t="n">
        <f aca="false">MIN(MAX(0,R22),(H1Data!D76)/6+Assets!Q30/Inputs!R91/12)</f>
        <v>9.64816755516454</v>
      </c>
      <c r="S25" s="69" t="n">
        <f aca="false">MIN(MAX(0,S22),(H1Data!D76)/6+Assets!R30/Inputs!S91/12)</f>
        <v>9.71552920138957</v>
      </c>
      <c r="T25" s="69" t="n">
        <f aca="false">MIN(MAX(0,T22),(H1Data!D76)/6+Assets!S30/Inputs!T91/12)</f>
        <v>9.7828908476146</v>
      </c>
      <c r="U25" s="69" t="n">
        <f aca="false">MIN(MAX(0,U22),(H1Data!D76)/6+Assets!T30/Inputs!U91/12)</f>
        <v>9.85025249383963</v>
      </c>
      <c r="V25" s="69" t="n">
        <f aca="false">MIN(MAX(0,V22),(H1Data!D76)/6+Assets!U30/Inputs!V91/12)</f>
        <v>9.91761414006466</v>
      </c>
      <c r="W25" s="69" t="n">
        <f aca="false">MIN(MAX(0,W22),(H1Data!D76)/6+Assets!V30/Inputs!W91/12)</f>
        <v>9.9849757862897</v>
      </c>
      <c r="X25" s="69" t="n">
        <f aca="false">MIN(MAX(0,X22),(H1Data!D76)/6+Assets!W30/Inputs!X91/12)</f>
        <v>10.0523374325147</v>
      </c>
      <c r="Y25" s="69" t="n">
        <f aca="false">MIN(MAX(0,Y22),(H1Data!D76)/6+Assets!X30/Inputs!Y91/12)</f>
        <v>10.1196990787398</v>
      </c>
      <c r="Z25" s="69" t="n">
        <f aca="false">MIN(MAX(0,Z22),(H1Data!D76)/6+Assets!Y30/Inputs!Z91/12)</f>
        <v>10.1870607249648</v>
      </c>
      <c r="AA25" s="69" t="n">
        <f aca="false">MIN(MAX(0,AA22),(H1Data!D76)/6+Assets!Z30/Inputs!AA91/12)</f>
        <v>10.2544223711898</v>
      </c>
      <c r="AB25" s="69" t="n">
        <f aca="false">MIN(MAX(0,AB22),(H1Data!D76)/6+Assets!AA30/Inputs!AB91/12)</f>
        <v>10.3217840174149</v>
      </c>
      <c r="AC25" s="69" t="n">
        <f aca="false">MIN(MAX(0,AC22),(H1Data!D76)/6+Assets!AB30/Inputs!AC91/12)</f>
        <v>10.3925137459511</v>
      </c>
      <c r="AD25" s="69" t="n">
        <f aca="false">MIN(MAX(0,AD22),(H1Data!D76)/6+Assets!AC30/Inputs!AD91/12)</f>
        <v>10.4632434744874</v>
      </c>
      <c r="AE25" s="69" t="n">
        <f aca="false">MIN(MAX(0,AE22),(H1Data!D76)/6+Assets!AD30/Inputs!AE91/12)</f>
        <v>10.5339732030237</v>
      </c>
      <c r="AF25" s="69" t="n">
        <f aca="false">MIN(MAX(0,AF22),(H1Data!D76)/6+Assets!AE30/Inputs!AF91/12)</f>
        <v>10.60470293156</v>
      </c>
      <c r="AG25" s="69" t="n">
        <f aca="false">MIN(MAX(0,AG22),(H1Data!D76)/6+Assets!AF30/Inputs!AG91/12)</f>
        <v>10.6754326600963</v>
      </c>
      <c r="AH25" s="69" t="n">
        <f aca="false">MIN(MAX(0,AH22),(H1Data!D76)/6+Assets!AG30/Inputs!AH91/12)</f>
        <v>10.7461623886326</v>
      </c>
      <c r="AI25" s="69" t="n">
        <f aca="false">MIN(MAX(0,AI22),(H1Data!D76)/6+Assets!AH30/Inputs!AI91/12)</f>
        <v>10.8168921171688</v>
      </c>
      <c r="AJ25" s="69" t="n">
        <f aca="false">MIN(MAX(0,AJ22),(H1Data!D76)/6+Assets!AI30/Inputs!AJ91/12)</f>
        <v>10.8876218457051</v>
      </c>
      <c r="AK25" s="69" t="n">
        <f aca="false">MIN(MAX(0,AK22),(H1Data!D76)/6+Assets!AJ30/Inputs!AK91/12)</f>
        <v>10.9583515742414</v>
      </c>
      <c r="AL25" s="69" t="n">
        <f aca="false">MIN(MAX(0,AL22),(H1Data!D76)/6+Assets!AK30/Inputs!AL91/12)</f>
        <v>11.0290813027777</v>
      </c>
      <c r="AM25" s="69" t="n">
        <f aca="false">MIN(MAX(0,AM22),(H1Data!D76)/6+Assets!AL30/Inputs!AM91/12)</f>
        <v>11.099811031314</v>
      </c>
    </row>
    <row r="26" customFormat="false" ht="21" hidden="false" customHeight="true" outlineLevel="0" collapsed="false">
      <c r="C26" s="56" t="s">
        <v>360</v>
      </c>
      <c r="D26" s="69"/>
      <c r="E26" s="69"/>
      <c r="F26" s="69"/>
      <c r="G26" s="69"/>
      <c r="H26" s="69"/>
      <c r="I26" s="69"/>
      <c r="J26" s="69" t="n">
        <f aca="false">MIN(MAX(0,Inputs!J103),MAX(0,J22+J23-J25))</f>
        <v>0</v>
      </c>
      <c r="K26" s="69" t="n">
        <f aca="false">MIN(MAX(0,Inputs!K103),MAX(0,K22+K23-K25))</f>
        <v>0</v>
      </c>
      <c r="L26" s="69" t="n">
        <f aca="false">MIN(MAX(0,Inputs!L103),MAX(0,L22+L23-L25))</f>
        <v>0</v>
      </c>
      <c r="M26" s="69" t="n">
        <f aca="false">MIN(MAX(0,Inputs!M103),MAX(0,M22+M23-M25))</f>
        <v>0</v>
      </c>
      <c r="N26" s="69" t="n">
        <f aca="false">MIN(MAX(0,Inputs!N103),MAX(0,N22+N23-N25))</f>
        <v>0</v>
      </c>
      <c r="O26" s="69" t="n">
        <f aca="false">MIN(MAX(0,Inputs!O103),MAX(0,O22+O23-O25))</f>
        <v>0</v>
      </c>
      <c r="P26" s="69" t="n">
        <f aca="false">MIN(MAX(0,Inputs!P103),MAX(0,P22+P23-P25))</f>
        <v>0</v>
      </c>
      <c r="Q26" s="69" t="n">
        <f aca="false">MIN(MAX(0,Inputs!Q103),MAX(0,Q22+Q23-Q25))</f>
        <v>0</v>
      </c>
      <c r="R26" s="69" t="n">
        <f aca="false">MIN(MAX(0,Inputs!R103),MAX(0,R22+R23-R25))</f>
        <v>0</v>
      </c>
      <c r="S26" s="69" t="n">
        <f aca="false">MIN(MAX(0,Inputs!S103),MAX(0,S22+S23-S25))</f>
        <v>0</v>
      </c>
      <c r="T26" s="69" t="n">
        <f aca="false">MIN(MAX(0,Inputs!T103),MAX(0,T22+T23-T25))</f>
        <v>0</v>
      </c>
      <c r="U26" s="69" t="n">
        <f aca="false">MIN(MAX(0,Inputs!U103),MAX(0,U22+U23-U25))</f>
        <v>0</v>
      </c>
      <c r="V26" s="69" t="n">
        <f aca="false">MIN(MAX(0,Inputs!V103),MAX(0,V22+V23-V25))</f>
        <v>0</v>
      </c>
      <c r="W26" s="69" t="n">
        <f aca="false">MIN(MAX(0,Inputs!W103),MAX(0,W22+W23-W25))</f>
        <v>0</v>
      </c>
      <c r="X26" s="69" t="n">
        <f aca="false">MIN(MAX(0,Inputs!X103),MAX(0,X22+X23-X25))</f>
        <v>0</v>
      </c>
      <c r="Y26" s="69" t="n">
        <f aca="false">MIN(MAX(0,Inputs!Y103),MAX(0,Y22+Y23-Y25))</f>
        <v>0</v>
      </c>
      <c r="Z26" s="69" t="n">
        <f aca="false">MIN(MAX(0,Inputs!Z103),MAX(0,Z22+Z23-Z25))</f>
        <v>0</v>
      </c>
      <c r="AA26" s="69" t="n">
        <f aca="false">MIN(MAX(0,Inputs!AA103),MAX(0,AA22+AA23-AA25))</f>
        <v>0</v>
      </c>
      <c r="AB26" s="69" t="n">
        <f aca="false">MIN(MAX(0,Inputs!AB103),MAX(0,AB22+AB23-AB25))</f>
        <v>0</v>
      </c>
      <c r="AC26" s="69" t="n">
        <f aca="false">MIN(MAX(0,Inputs!AC103),MAX(0,AC22+AC23-AC25))</f>
        <v>0</v>
      </c>
      <c r="AD26" s="69" t="n">
        <f aca="false">MIN(MAX(0,Inputs!AD103),MAX(0,AD22+AD23-AD25))</f>
        <v>0</v>
      </c>
      <c r="AE26" s="69" t="n">
        <f aca="false">MIN(MAX(0,Inputs!AE103),MAX(0,AE22+AE23-AE25))</f>
        <v>0</v>
      </c>
      <c r="AF26" s="69" t="n">
        <f aca="false">MIN(MAX(0,Inputs!AF103),MAX(0,AF22+AF23-AF25))</f>
        <v>0</v>
      </c>
      <c r="AG26" s="69" t="n">
        <f aca="false">MIN(MAX(0,Inputs!AG103),MAX(0,AG22+AG23-AG25))</f>
        <v>0</v>
      </c>
      <c r="AH26" s="69" t="n">
        <f aca="false">MIN(MAX(0,Inputs!AH103),MAX(0,AH22+AH23-AH25))</f>
        <v>0</v>
      </c>
      <c r="AI26" s="69" t="n">
        <f aca="false">MIN(MAX(0,Inputs!AI103),MAX(0,AI22+AI23-AI25))</f>
        <v>0</v>
      </c>
      <c r="AJ26" s="69" t="n">
        <f aca="false">MIN(MAX(0,Inputs!AJ103),MAX(0,AJ22+AJ23-AJ25))</f>
        <v>0</v>
      </c>
      <c r="AK26" s="69" t="n">
        <f aca="false">MIN(MAX(0,Inputs!AK103),MAX(0,AK22+AK23-AK25))</f>
        <v>0</v>
      </c>
      <c r="AL26" s="69" t="n">
        <f aca="false">MIN(MAX(0,Inputs!AL103),MAX(0,AL22+AL23-AL25))</f>
        <v>0</v>
      </c>
      <c r="AM26" s="69" t="n">
        <f aca="false">MIN(MAX(0,Inputs!AM103),MAX(0,AM22+AM23-AM25))</f>
        <v>0</v>
      </c>
    </row>
    <row r="27" customFormat="false" ht="21" hidden="false" customHeight="true" outlineLevel="0" collapsed="false">
      <c r="C27" s="56" t="s">
        <v>361</v>
      </c>
      <c r="D27" s="69"/>
      <c r="E27" s="69"/>
      <c r="F27" s="69"/>
      <c r="G27" s="69"/>
      <c r="H27" s="69"/>
      <c r="I27" s="69"/>
      <c r="J27" s="69" t="n">
        <f aca="false">MIN(MAX(0,Inputs!J104),MAX(0,J22+J23-J25-J26))</f>
        <v>0</v>
      </c>
      <c r="K27" s="69" t="n">
        <f aca="false">MIN(MAX(0,Inputs!K104),MAX(0,K22+K23-K25-K26))</f>
        <v>0</v>
      </c>
      <c r="L27" s="69" t="n">
        <f aca="false">MIN(MAX(0,Inputs!L104),MAX(0,L22+L23-L25-L26))</f>
        <v>0</v>
      </c>
      <c r="M27" s="69" t="n">
        <f aca="false">MIN(MAX(0,Inputs!M104),MAX(0,M22+M23-M25-M26))</f>
        <v>0</v>
      </c>
      <c r="N27" s="69" t="n">
        <f aca="false">MIN(MAX(0,Inputs!N104),MAX(0,N22+N23-N25-N26))</f>
        <v>0</v>
      </c>
      <c r="O27" s="69" t="n">
        <f aca="false">MIN(MAX(0,Inputs!O104),MAX(0,O22+O23-O25-O26))</f>
        <v>0</v>
      </c>
      <c r="P27" s="69" t="n">
        <f aca="false">MIN(MAX(0,Inputs!P104),MAX(0,P22+P23-P25-P26))</f>
        <v>0</v>
      </c>
      <c r="Q27" s="69" t="n">
        <f aca="false">MIN(MAX(0,Inputs!Q104),MAX(0,Q22+Q23-Q25-Q26))</f>
        <v>0</v>
      </c>
      <c r="R27" s="69" t="n">
        <f aca="false">MIN(MAX(0,Inputs!R104),MAX(0,R22+R23-R25-R26))</f>
        <v>0</v>
      </c>
      <c r="S27" s="69" t="n">
        <f aca="false">MIN(MAX(0,Inputs!S104),MAX(0,S22+S23-S25-S26))</f>
        <v>0</v>
      </c>
      <c r="T27" s="69" t="n">
        <f aca="false">MIN(MAX(0,Inputs!T104),MAX(0,T22+T23-T25-T26))</f>
        <v>0</v>
      </c>
      <c r="U27" s="69" t="n">
        <f aca="false">MIN(MAX(0,Inputs!U104),MAX(0,U22+U23-U25-U26))</f>
        <v>0</v>
      </c>
      <c r="V27" s="69" t="n">
        <f aca="false">MIN(MAX(0,Inputs!V104),MAX(0,V22+V23-V25-V26))</f>
        <v>0</v>
      </c>
      <c r="W27" s="69" t="n">
        <f aca="false">MIN(MAX(0,Inputs!W104),MAX(0,W22+W23-W25-W26))</f>
        <v>0</v>
      </c>
      <c r="X27" s="69" t="n">
        <f aca="false">MIN(MAX(0,Inputs!X104),MAX(0,X22+X23-X25-X26))</f>
        <v>0</v>
      </c>
      <c r="Y27" s="69" t="n">
        <f aca="false">MIN(MAX(0,Inputs!Y104),MAX(0,Y22+Y23-Y25-Y26))</f>
        <v>0</v>
      </c>
      <c r="Z27" s="69" t="n">
        <f aca="false">MIN(MAX(0,Inputs!Z104),MAX(0,Z22+Z23-Z25-Z26))</f>
        <v>0</v>
      </c>
      <c r="AA27" s="69" t="n">
        <f aca="false">MIN(MAX(0,Inputs!AA104),MAX(0,AA22+AA23-AA25-AA26))</f>
        <v>0</v>
      </c>
      <c r="AB27" s="69" t="n">
        <f aca="false">MIN(MAX(0,Inputs!AB104),MAX(0,AB22+AB23-AB25-AB26))</f>
        <v>0</v>
      </c>
      <c r="AC27" s="69" t="n">
        <f aca="false">MIN(MAX(0,Inputs!AC104),MAX(0,AC22+AC23-AC25-AC26))</f>
        <v>0</v>
      </c>
      <c r="AD27" s="69" t="n">
        <f aca="false">MIN(MAX(0,Inputs!AD104),MAX(0,AD22+AD23-AD25-AD26))</f>
        <v>0</v>
      </c>
      <c r="AE27" s="69" t="n">
        <f aca="false">MIN(MAX(0,Inputs!AE104),MAX(0,AE22+AE23-AE25-AE26))</f>
        <v>0</v>
      </c>
      <c r="AF27" s="69" t="n">
        <f aca="false">MIN(MAX(0,Inputs!AF104),MAX(0,AF22+AF23-AF25-AF26))</f>
        <v>0</v>
      </c>
      <c r="AG27" s="69" t="n">
        <f aca="false">MIN(MAX(0,Inputs!AG104),MAX(0,AG22+AG23-AG25-AG26))</f>
        <v>0</v>
      </c>
      <c r="AH27" s="69" t="n">
        <f aca="false">MIN(MAX(0,Inputs!AH104),MAX(0,AH22+AH23-AH25-AH26))</f>
        <v>0</v>
      </c>
      <c r="AI27" s="69" t="n">
        <f aca="false">MIN(MAX(0,Inputs!AI104),MAX(0,AI22+AI23-AI25-AI26))</f>
        <v>0</v>
      </c>
      <c r="AJ27" s="69" t="n">
        <f aca="false">MIN(MAX(0,Inputs!AJ104),MAX(0,AJ22+AJ23-AJ25-AJ26))</f>
        <v>0</v>
      </c>
      <c r="AK27" s="69" t="n">
        <f aca="false">MIN(MAX(0,Inputs!AK104),MAX(0,AK22+AK23-AK25-AK26))</f>
        <v>0</v>
      </c>
      <c r="AL27" s="69" t="n">
        <f aca="false">MIN(MAX(0,Inputs!AL104),MAX(0,AL22+AL23-AL25-AL26))</f>
        <v>0</v>
      </c>
      <c r="AM27" s="69" t="n">
        <f aca="false">MIN(MAX(0,Inputs!AM104),MAX(0,AM22+AM23-AM25-AM26))</f>
        <v>0</v>
      </c>
    </row>
    <row r="28" customFormat="false" ht="21" hidden="false" customHeight="true" outlineLevel="0" collapsed="false">
      <c r="C28" s="56" t="s">
        <v>362</v>
      </c>
      <c r="D28" s="71"/>
      <c r="E28" s="71"/>
      <c r="F28" s="71"/>
      <c r="G28" s="71"/>
      <c r="H28" s="71"/>
      <c r="I28" s="71"/>
      <c r="J28" s="71" t="n">
        <f aca="false">J22+J23+J24-J25-J26-J27</f>
        <v>639.58154347429</v>
      </c>
      <c r="K28" s="71" t="n">
        <f aca="false">K22+K23+K24-K25-K26-K27</f>
        <v>638.087342809793</v>
      </c>
      <c r="L28" s="71" t="n">
        <f aca="false">L22+L23+L24-L25-L26-L27</f>
        <v>636.528988196511</v>
      </c>
      <c r="M28" s="71" t="n">
        <f aca="false">M22+M23+M24-M25-M26-M27</f>
        <v>634.906479634443</v>
      </c>
      <c r="N28" s="71" t="n">
        <f aca="false">N22+N23+N24-N25-N26-N27</f>
        <v>633.21981712359</v>
      </c>
      <c r="O28" s="71" t="n">
        <f aca="false">O22+O23+O24-O25-O26-O27</f>
        <v>631.469000663951</v>
      </c>
      <c r="P28" s="71" t="n">
        <f aca="false">P22+P23+P24-P25-P26-P27</f>
        <v>630.03895394824</v>
      </c>
      <c r="Q28" s="71" t="n">
        <f aca="false">Q22+Q23+Q24-Q25-Q26-Q27</f>
        <v>628.541545586304</v>
      </c>
      <c r="R28" s="71" t="n">
        <f aca="false">R22+R23+R24-R25-R26-R27</f>
        <v>626.976775578144</v>
      </c>
      <c r="S28" s="71" t="n">
        <f aca="false">S22+S23+S24-S25-S26-S27</f>
        <v>625.344643923758</v>
      </c>
      <c r="T28" s="71" t="n">
        <f aca="false">T22+T23+T24-T25-T26-T27</f>
        <v>623.645150623147</v>
      </c>
      <c r="U28" s="71" t="n">
        <f aca="false">U22+U23+U24-U25-U26-U27</f>
        <v>621.878295676312</v>
      </c>
      <c r="V28" s="71" t="n">
        <f aca="false">V22+V23+V24-V25-V26-V27</f>
        <v>620.044079083251</v>
      </c>
      <c r="W28" s="71" t="n">
        <f aca="false">W22+W23+W24-W25-W26-W27</f>
        <v>618.142500843965</v>
      </c>
      <c r="X28" s="71" t="n">
        <f aca="false">X22+X23+X24-X25-X26-X27</f>
        <v>616.173560958454</v>
      </c>
      <c r="Y28" s="71" t="n">
        <f aca="false">Y22+Y23+Y24-Y25-Y26-Y27</f>
        <v>614.137259426718</v>
      </c>
      <c r="Z28" s="71" t="n">
        <f aca="false">Z22+Z23+Z24-Z25-Z26-Z27</f>
        <v>612.033596248757</v>
      </c>
      <c r="AA28" s="71" t="n">
        <f aca="false">AA22+AA23+AA24-AA25-AA26-AA27</f>
        <v>609.862571424571</v>
      </c>
      <c r="AB28" s="71" t="n">
        <f aca="false">AB22+AB23+AB24-AB25-AB26-AB27</f>
        <v>608.028354831511</v>
      </c>
      <c r="AC28" s="71" t="n">
        <f aca="false">AC22+AC23+AC24-AC25-AC26-AC27</f>
        <v>606.123408509913</v>
      </c>
      <c r="AD28" s="71" t="n">
        <f aca="false">AD22+AD23+AD24-AD25-AD26-AD27</f>
        <v>604.14773245978</v>
      </c>
      <c r="AE28" s="71" t="n">
        <f aca="false">AE22+AE23+AE24-AE25-AE26-AE27</f>
        <v>602.10132668111</v>
      </c>
      <c r="AF28" s="71" t="n">
        <f aca="false">AF22+AF23+AF24-AF25-AF26-AF27</f>
        <v>599.984191173905</v>
      </c>
      <c r="AG28" s="71" t="n">
        <f aca="false">AG22+AG23+AG24-AG25-AG26-AG27</f>
        <v>597.796325938162</v>
      </c>
      <c r="AH28" s="71" t="n">
        <f aca="false">AH22+AH23+AH24-AH25-AH26-AH27</f>
        <v>595.537730973884</v>
      </c>
      <c r="AI28" s="71" t="n">
        <f aca="false">AI22+AI23+AI24-AI25-AI26-AI27</f>
        <v>593.208406281069</v>
      </c>
      <c r="AJ28" s="71" t="n">
        <f aca="false">AJ22+AJ23+AJ24-AJ25-AJ26-AJ27</f>
        <v>590.808351859718</v>
      </c>
      <c r="AK28" s="71" t="n">
        <f aca="false">AK22+AK23+AK24-AK25-AK26-AK27</f>
        <v>588.337567709831</v>
      </c>
      <c r="AL28" s="71" t="n">
        <f aca="false">AL22+AL23+AL24-AL25-AL26-AL27</f>
        <v>585.796053831407</v>
      </c>
      <c r="AM28" s="71" t="n">
        <f aca="false">AM22+AM23+AM24-AM25-AM26-AM27</f>
        <v>583.183810224447</v>
      </c>
    </row>
    <row r="29" customFormat="false" ht="21" hidden="false" customHeight="true" outlineLevel="0" collapsed="false">
      <c r="C29" s="56" t="s">
        <v>363</v>
      </c>
      <c r="D29" s="71"/>
      <c r="E29" s="71"/>
      <c r="F29" s="71"/>
      <c r="G29" s="71"/>
      <c r="H29" s="71"/>
      <c r="I29" s="71"/>
      <c r="J29" s="71" t="n">
        <f aca="false">J22+J23+J24-J25-J26-J27-J28</f>
        <v>0</v>
      </c>
      <c r="K29" s="71" t="n">
        <f aca="false">K22+K23+K24-K25-K26-K27-K28</f>
        <v>0</v>
      </c>
      <c r="L29" s="71" t="n">
        <f aca="false">L22+L23+L24-L25-L26-L27-L28</f>
        <v>0</v>
      </c>
      <c r="M29" s="71" t="n">
        <f aca="false">M22+M23+M24-M25-M26-M27-M28</f>
        <v>0</v>
      </c>
      <c r="N29" s="71" t="n">
        <f aca="false">N22+N23+N24-N25-N26-N27-N28</f>
        <v>0</v>
      </c>
      <c r="O29" s="71" t="n">
        <f aca="false">O22+O23+O24-O25-O26-O27-O28</f>
        <v>0</v>
      </c>
      <c r="P29" s="71" t="n">
        <f aca="false">P22+P23+P24-P25-P26-P27-P28</f>
        <v>0</v>
      </c>
      <c r="Q29" s="71" t="n">
        <f aca="false">Q22+Q23+Q24-Q25-Q26-Q27-Q28</f>
        <v>0</v>
      </c>
      <c r="R29" s="71" t="n">
        <f aca="false">R22+R23+R24-R25-R26-R27-R28</f>
        <v>0</v>
      </c>
      <c r="S29" s="71" t="n">
        <f aca="false">S22+S23+S24-S25-S26-S27-S28</f>
        <v>0</v>
      </c>
      <c r="T29" s="71" t="n">
        <f aca="false">T22+T23+T24-T25-T26-T27-T28</f>
        <v>0</v>
      </c>
      <c r="U29" s="71" t="n">
        <f aca="false">U22+U23+U24-U25-U26-U27-U28</f>
        <v>0</v>
      </c>
      <c r="V29" s="71" t="n">
        <f aca="false">V22+V23+V24-V25-V26-V27-V28</f>
        <v>0</v>
      </c>
      <c r="W29" s="71" t="n">
        <f aca="false">W22+W23+W24-W25-W26-W27-W28</f>
        <v>0</v>
      </c>
      <c r="X29" s="71" t="n">
        <f aca="false">X22+X23+X24-X25-X26-X27-X28</f>
        <v>0</v>
      </c>
      <c r="Y29" s="71" t="n">
        <f aca="false">Y22+Y23+Y24-Y25-Y26-Y27-Y28</f>
        <v>0</v>
      </c>
      <c r="Z29" s="71" t="n">
        <f aca="false">Z22+Z23+Z24-Z25-Z26-Z27-Z28</f>
        <v>0</v>
      </c>
      <c r="AA29" s="71" t="n">
        <f aca="false">AA22+AA23+AA24-AA25-AA26-AA27-AA28</f>
        <v>0</v>
      </c>
      <c r="AB29" s="71" t="n">
        <f aca="false">AB22+AB23+AB24-AB25-AB26-AB27-AB28</f>
        <v>0</v>
      </c>
      <c r="AC29" s="71" t="n">
        <f aca="false">AC22+AC23+AC24-AC25-AC26-AC27-AC28</f>
        <v>0</v>
      </c>
      <c r="AD29" s="71" t="n">
        <f aca="false">AD22+AD23+AD24-AD25-AD26-AD27-AD28</f>
        <v>0</v>
      </c>
      <c r="AE29" s="71" t="n">
        <f aca="false">AE22+AE23+AE24-AE25-AE26-AE27-AE28</f>
        <v>0</v>
      </c>
      <c r="AF29" s="71" t="n">
        <f aca="false">AF22+AF23+AF24-AF25-AF26-AF27-AF28</f>
        <v>0</v>
      </c>
      <c r="AG29" s="71" t="n">
        <f aca="false">AG22+AG23+AG24-AG25-AG26-AG27-AG28</f>
        <v>0</v>
      </c>
      <c r="AH29" s="71" t="n">
        <f aca="false">AH22+AH23+AH24-AH25-AH26-AH27-AH28</f>
        <v>0</v>
      </c>
      <c r="AI29" s="71" t="n">
        <f aca="false">AI22+AI23+AI24-AI25-AI26-AI27-AI28</f>
        <v>0</v>
      </c>
      <c r="AJ29" s="71" t="n">
        <f aca="false">AJ22+AJ23+AJ24-AJ25-AJ26-AJ27-AJ28</f>
        <v>0</v>
      </c>
      <c r="AK29" s="71" t="n">
        <f aca="false">AK22+AK23+AK24-AK25-AK26-AK27-AK28</f>
        <v>0</v>
      </c>
      <c r="AL29" s="71" t="n">
        <f aca="false">AL22+AL23+AL24-AL25-AL26-AL27-AL28</f>
        <v>0</v>
      </c>
      <c r="AM29" s="71" t="n">
        <f aca="false">AM22+AM23+AM24-AM25-AM26-AM27-AM28</f>
        <v>0</v>
      </c>
    </row>
    <row r="30" customFormat="false" ht="21" hidden="false" customHeight="true" outlineLevel="0" collapsed="false">
      <c r="C30" s="56" t="s">
        <v>364</v>
      </c>
      <c r="D30" s="71"/>
      <c r="E30" s="69"/>
      <c r="F30" s="69"/>
      <c r="G30" s="69"/>
      <c r="H30" s="69"/>
      <c r="I30" s="69"/>
      <c r="J30" s="69" t="n">
        <f aca="false">J23+J24</f>
        <v>7.69847385428939</v>
      </c>
      <c r="K30" s="69" t="n">
        <f aca="false">Assets!J30+K23+K24</f>
        <v>15.3969477085788</v>
      </c>
      <c r="L30" s="69" t="n">
        <f aca="false">Assets!K30+L23+L24</f>
        <v>23.0954215628682</v>
      </c>
      <c r="M30" s="69" t="n">
        <f aca="false">Assets!L30+M23+M24</f>
        <v>30.7938954171576</v>
      </c>
      <c r="N30" s="69" t="n">
        <f aca="false">Assets!M30+N23+N24</f>
        <v>38.492369271447</v>
      </c>
      <c r="O30" s="69" t="n">
        <f aca="false">Assets!N30+O23+O24</f>
        <v>46.1908431257364</v>
      </c>
      <c r="P30" s="69" t="n">
        <f aca="false">Assets!O30+P23+P24</f>
        <v>54.2742406727402</v>
      </c>
      <c r="Q30" s="69" t="n">
        <f aca="false">Assets!P30+Q23+Q24</f>
        <v>62.3576382197441</v>
      </c>
      <c r="R30" s="69" t="n">
        <f aca="false">Assets!Q30+R23+R24</f>
        <v>70.4410357667479</v>
      </c>
      <c r="S30" s="69" t="n">
        <f aca="false">Assets!R30+S23+S24</f>
        <v>78.5244333137518</v>
      </c>
      <c r="T30" s="69" t="n">
        <f aca="false">Assets!S30+T23+T24</f>
        <v>86.6078308607557</v>
      </c>
      <c r="U30" s="69" t="n">
        <f aca="false">Assets!T30+U23+U24</f>
        <v>94.6912284077596</v>
      </c>
      <c r="V30" s="69" t="n">
        <f aca="false">Assets!U30+V23+V24</f>
        <v>102.774625954763</v>
      </c>
      <c r="W30" s="69" t="n">
        <f aca="false">Assets!V30+W23+W24</f>
        <v>110.858023501767</v>
      </c>
      <c r="X30" s="69" t="n">
        <f aca="false">Assets!W30+X23+X24</f>
        <v>118.941421048771</v>
      </c>
      <c r="Y30" s="69" t="n">
        <f aca="false">Assets!X30+Y23+Y24</f>
        <v>127.024818595775</v>
      </c>
      <c r="Z30" s="69" t="n">
        <f aca="false">Assets!Y30+Z23+Z24</f>
        <v>135.108216142779</v>
      </c>
      <c r="AA30" s="69" t="n">
        <f aca="false">Assets!Z30+AA23+AA24</f>
        <v>143.191613689783</v>
      </c>
      <c r="AB30" s="69" t="n">
        <f aca="false">Assets!AA30+AB23+AB24</f>
        <v>151.679181114137</v>
      </c>
      <c r="AC30" s="69" t="n">
        <f aca="false">Assets!AB30+AC23+AC24</f>
        <v>160.166748538491</v>
      </c>
      <c r="AD30" s="69" t="n">
        <f aca="false">Assets!AC30+AD23+AD24</f>
        <v>168.654315962845</v>
      </c>
      <c r="AE30" s="69" t="n">
        <f aca="false">Assets!AD30+AE23+AE24</f>
        <v>177.141883387199</v>
      </c>
      <c r="AF30" s="69" t="n">
        <f aca="false">Assets!AE30+AF23+AF24</f>
        <v>185.629450811553</v>
      </c>
      <c r="AG30" s="69" t="n">
        <f aca="false">Assets!AF30+AG23+AG24</f>
        <v>194.117018235907</v>
      </c>
      <c r="AH30" s="69" t="n">
        <f aca="false">Assets!AG30+AH23+AH24</f>
        <v>202.604585660261</v>
      </c>
      <c r="AI30" s="69" t="n">
        <f aca="false">Assets!AH30+AI23+AI24</f>
        <v>211.092153084615</v>
      </c>
      <c r="AJ30" s="69" t="n">
        <f aca="false">Assets!AI30+AJ23+AJ24</f>
        <v>219.579720508969</v>
      </c>
      <c r="AK30" s="69" t="n">
        <f aca="false">Assets!AJ30+AK23+AK24</f>
        <v>228.067287933323</v>
      </c>
      <c r="AL30" s="69" t="n">
        <f aca="false">Assets!AK30+AL23+AL24</f>
        <v>236.554855357678</v>
      </c>
      <c r="AM30" s="69" t="n">
        <f aca="false">Assets!AL30+AM23+AM24</f>
        <v>245.042422782032</v>
      </c>
    </row>
    <row r="31" customFormat="false" ht="21" hidden="false" customHeight="true" outlineLevel="0" collapsed="false">
      <c r="C31" s="56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</row>
    <row r="32" customFormat="false" ht="21" hidden="false" customHeight="true" outlineLevel="0" collapsed="false">
      <c r="C32" s="56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</row>
    <row r="33" customFormat="false" ht="25" hidden="false" customHeight="true" outlineLevel="0" collapsed="false">
      <c r="C33" s="63" t="s">
        <v>366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</row>
    <row r="34" customFormat="false" ht="21" hidden="false" customHeight="true" outlineLevel="0" collapsed="false">
      <c r="C34" s="56" t="s">
        <v>356</v>
      </c>
      <c r="D34" s="69"/>
      <c r="E34" s="69"/>
      <c r="F34" s="69"/>
      <c r="G34" s="69"/>
      <c r="H34" s="69"/>
      <c r="I34" s="69"/>
      <c r="J34" s="69" t="n">
        <f aca="false">H1Data!D70</f>
        <v>3.70515901</v>
      </c>
      <c r="K34" s="69" t="n">
        <f aca="false">Assets!J40</f>
        <v>3.60991516282969</v>
      </c>
      <c r="L34" s="69" t="n">
        <f aca="false">Assets!K40</f>
        <v>3.51368613241778</v>
      </c>
      <c r="M34" s="69" t="n">
        <f aca="false">Assets!L40</f>
        <v>3.41647191876426</v>
      </c>
      <c r="N34" s="69" t="n">
        <f aca="false">Assets!M40</f>
        <v>3.31827252186913</v>
      </c>
      <c r="O34" s="69" t="n">
        <f aca="false">Assets!N40</f>
        <v>3.2190879417324</v>
      </c>
      <c r="P34" s="69" t="n">
        <f aca="false">Assets!O40</f>
        <v>3.11891817835406</v>
      </c>
      <c r="Q34" s="69" t="n">
        <f aca="false">Assets!P40</f>
        <v>3.02071878145894</v>
      </c>
      <c r="R34" s="69" t="n">
        <f aca="false">Assets!Q40</f>
        <v>2.92148494216012</v>
      </c>
      <c r="S34" s="69" t="n">
        <f aca="false">Assets!R40</f>
        <v>2.82121666045763</v>
      </c>
      <c r="T34" s="69" t="n">
        <f aca="false">Assets!S40</f>
        <v>2.71991393635144</v>
      </c>
      <c r="U34" s="69" t="n">
        <f aca="false">Assets!T40</f>
        <v>2.61757676984157</v>
      </c>
      <c r="V34" s="69" t="n">
        <f aca="false">Assets!U40</f>
        <v>2.51420516092801</v>
      </c>
      <c r="W34" s="69" t="n">
        <f aca="false">Assets!V40</f>
        <v>2.40979910961077</v>
      </c>
      <c r="X34" s="69" t="n">
        <f aca="false">Assets!W40</f>
        <v>2.30435861588984</v>
      </c>
      <c r="Y34" s="69" t="n">
        <f aca="false">Assets!X40</f>
        <v>2.19788367976522</v>
      </c>
      <c r="Z34" s="69" t="n">
        <f aca="false">Assets!Y40</f>
        <v>2.09037430123692</v>
      </c>
      <c r="AA34" s="69" t="n">
        <f aca="false">Assets!Z40</f>
        <v>1.98183048030493</v>
      </c>
      <c r="AB34" s="69" t="n">
        <f aca="false">Assets!AA40</f>
        <v>1.87225221696926</v>
      </c>
      <c r="AC34" s="69" t="n">
        <f aca="false">Assets!AB40</f>
        <v>1.76474283844096</v>
      </c>
      <c r="AD34" s="69" t="n">
        <f aca="false">Assets!AC40</f>
        <v>1.65614729538878</v>
      </c>
      <c r="AE34" s="69" t="n">
        <f aca="false">Assets!AD40</f>
        <v>1.54646558781274</v>
      </c>
      <c r="AF34" s="69" t="n">
        <f aca="false">Assets!AE40</f>
        <v>1.43569771571283</v>
      </c>
      <c r="AG34" s="69" t="n">
        <f aca="false">Assets!AF40</f>
        <v>1.32384367908904</v>
      </c>
      <c r="AH34" s="69" t="n">
        <f aca="false">Assets!AG40</f>
        <v>1.21090347794139</v>
      </c>
      <c r="AI34" s="69" t="n">
        <f aca="false">Assets!AH40</f>
        <v>1.09687711226986</v>
      </c>
      <c r="AJ34" s="69" t="n">
        <f aca="false">Assets!AI40</f>
        <v>0.981764582074463</v>
      </c>
      <c r="AK34" s="69" t="n">
        <f aca="false">Assets!AJ40</f>
        <v>0.865565887355196</v>
      </c>
      <c r="AL34" s="69" t="n">
        <f aca="false">Assets!AK40</f>
        <v>0.748281028112058</v>
      </c>
      <c r="AM34" s="69" t="n">
        <f aca="false">Assets!AL40</f>
        <v>0.629910004345049</v>
      </c>
    </row>
    <row r="35" customFormat="false" ht="21" hidden="false" customHeight="true" outlineLevel="0" collapsed="false">
      <c r="C35" s="56" t="s">
        <v>357</v>
      </c>
      <c r="D35" s="69"/>
      <c r="E35" s="69"/>
      <c r="F35" s="69"/>
      <c r="G35" s="69"/>
      <c r="H35" s="69"/>
      <c r="I35" s="69"/>
      <c r="J35" s="69" t="n">
        <f aca="false">MAX(0,Inputs!J51)*(1-MIN(1,MAX(0,Inputs!J98)))*(SourceDetail!E154/1000000)/(SourceDetail!E160/1000000)</f>
        <v>0.0591109944963587</v>
      </c>
      <c r="K35" s="69" t="n">
        <f aca="false">MAX(0,Inputs!K51)*(1-MIN(1,MAX(0,Inputs!K98)))*(SourceDetail!E154/1000000)/(SourceDetail!E160/1000000)</f>
        <v>0.0591109944963587</v>
      </c>
      <c r="L35" s="69" t="n">
        <f aca="false">MAX(0,Inputs!L51)*(1-MIN(1,MAX(0,Inputs!L98)))*(SourceDetail!E154/1000000)/(SourceDetail!E160/1000000)</f>
        <v>0.0591109944963587</v>
      </c>
      <c r="M35" s="69" t="n">
        <f aca="false">MAX(0,Inputs!M51)*(1-MIN(1,MAX(0,Inputs!M98)))*(SourceDetail!E154/1000000)/(SourceDetail!E160/1000000)</f>
        <v>0.0591109944963587</v>
      </c>
      <c r="N35" s="69" t="n">
        <f aca="false">MAX(0,Inputs!N51)*(1-MIN(1,MAX(0,Inputs!N98)))*(SourceDetail!E154/1000000)/(SourceDetail!E160/1000000)</f>
        <v>0.0591109944963587</v>
      </c>
      <c r="O35" s="69" t="n">
        <f aca="false">MAX(0,Inputs!O51)*(1-MIN(1,MAX(0,Inputs!O98)))*(SourceDetail!E154/1000000)/(SourceDetail!E160/1000000)</f>
        <v>0.0591109944963587</v>
      </c>
      <c r="P35" s="69" t="n">
        <f aca="false">MAX(0,Inputs!P51)*(1-MIN(1,MAX(0,Inputs!P98)))*(SourceDetail!E154/1000000)/(SourceDetail!E160/1000000)</f>
        <v>0.0620665442211766</v>
      </c>
      <c r="Q35" s="69" t="n">
        <f aca="false">MAX(0,Inputs!Q51)*(1-MIN(1,MAX(0,Inputs!Q98)))*(SourceDetail!E154/1000000)/(SourceDetail!E160/1000000)</f>
        <v>0.0620665442211766</v>
      </c>
      <c r="R35" s="69" t="n">
        <f aca="false">MAX(0,Inputs!R51)*(1-MIN(1,MAX(0,Inputs!R98)))*(SourceDetail!E154/1000000)/(SourceDetail!E160/1000000)</f>
        <v>0.0620665442211766</v>
      </c>
      <c r="S35" s="69" t="n">
        <f aca="false">MAX(0,Inputs!S51)*(1-MIN(1,MAX(0,Inputs!S98)))*(SourceDetail!E154/1000000)/(SourceDetail!E160/1000000)</f>
        <v>0.0620665442211766</v>
      </c>
      <c r="T35" s="69" t="n">
        <f aca="false">MAX(0,Inputs!T51)*(1-MIN(1,MAX(0,Inputs!T98)))*(SourceDetail!E154/1000000)/(SourceDetail!E160/1000000)</f>
        <v>0.0620665442211766</v>
      </c>
      <c r="U35" s="69" t="n">
        <f aca="false">MAX(0,Inputs!U51)*(1-MIN(1,MAX(0,Inputs!U98)))*(SourceDetail!E154/1000000)/(SourceDetail!E160/1000000)</f>
        <v>0.0620665442211766</v>
      </c>
      <c r="V35" s="69" t="n">
        <f aca="false">MAX(0,Inputs!V51)*(1-MIN(1,MAX(0,Inputs!V98)))*(SourceDetail!E154/1000000)/(SourceDetail!E160/1000000)</f>
        <v>0.0620665442211766</v>
      </c>
      <c r="W35" s="69" t="n">
        <f aca="false">MAX(0,Inputs!W51)*(1-MIN(1,MAX(0,Inputs!W98)))*(SourceDetail!E154/1000000)/(SourceDetail!E160/1000000)</f>
        <v>0.0620665442211766</v>
      </c>
      <c r="X35" s="69" t="n">
        <f aca="false">MAX(0,Inputs!X51)*(1-MIN(1,MAX(0,Inputs!X98)))*(SourceDetail!E154/1000000)/(SourceDetail!E160/1000000)</f>
        <v>0.0620665442211766</v>
      </c>
      <c r="Y35" s="69" t="n">
        <f aca="false">MAX(0,Inputs!Y51)*(1-MIN(1,MAX(0,Inputs!Y98)))*(SourceDetail!E154/1000000)/(SourceDetail!E160/1000000)</f>
        <v>0.0620665442211766</v>
      </c>
      <c r="Z35" s="69" t="n">
        <f aca="false">MAX(0,Inputs!Z51)*(1-MIN(1,MAX(0,Inputs!Z98)))*(SourceDetail!E154/1000000)/(SourceDetail!E160/1000000)</f>
        <v>0.0620665442211766</v>
      </c>
      <c r="AA35" s="69" t="n">
        <f aca="false">MAX(0,Inputs!AA51)*(1-MIN(1,MAX(0,Inputs!AA98)))*(SourceDetail!E154/1000000)/(SourceDetail!E160/1000000)</f>
        <v>0.0620665442211766</v>
      </c>
      <c r="AB35" s="69" t="n">
        <f aca="false">MAX(0,Inputs!AB51)*(1-MIN(1,MAX(0,Inputs!AB98)))*(SourceDetail!E154/1000000)/(SourceDetail!E160/1000000)</f>
        <v>0.0651698714322355</v>
      </c>
      <c r="AC35" s="69" t="n">
        <f aca="false">MAX(0,Inputs!AC51)*(1-MIN(1,MAX(0,Inputs!AC98)))*(SourceDetail!E154/1000000)/(SourceDetail!E160/1000000)</f>
        <v>0.0651698714322355</v>
      </c>
      <c r="AD35" s="69" t="n">
        <f aca="false">MAX(0,Inputs!AD51)*(1-MIN(1,MAX(0,Inputs!AD98)))*(SourceDetail!E154/1000000)/(SourceDetail!E160/1000000)</f>
        <v>0.0651698714322355</v>
      </c>
      <c r="AE35" s="69" t="n">
        <f aca="false">MAX(0,Inputs!AE51)*(1-MIN(1,MAX(0,Inputs!AE98)))*(SourceDetail!E154/1000000)/(SourceDetail!E160/1000000)</f>
        <v>0.0651698714322355</v>
      </c>
      <c r="AF35" s="69" t="n">
        <f aca="false">MAX(0,Inputs!AF51)*(1-MIN(1,MAX(0,Inputs!AF98)))*(SourceDetail!E154/1000000)/(SourceDetail!E160/1000000)</f>
        <v>0.0651698714322355</v>
      </c>
      <c r="AG35" s="69" t="n">
        <f aca="false">MAX(0,Inputs!AG51)*(1-MIN(1,MAX(0,Inputs!AG98)))*(SourceDetail!E154/1000000)/(SourceDetail!E160/1000000)</f>
        <v>0.0651698714322355</v>
      </c>
      <c r="AH35" s="69" t="n">
        <f aca="false">MAX(0,Inputs!AH51)*(1-MIN(1,MAX(0,Inputs!AH98)))*(SourceDetail!E154/1000000)/(SourceDetail!E160/1000000)</f>
        <v>0.0651698714322355</v>
      </c>
      <c r="AI35" s="69" t="n">
        <f aca="false">MAX(0,Inputs!AI51)*(1-MIN(1,MAX(0,Inputs!AI98)))*(SourceDetail!E154/1000000)/(SourceDetail!E160/1000000)</f>
        <v>0.0651698714322355</v>
      </c>
      <c r="AJ35" s="69" t="n">
        <f aca="false">MAX(0,Inputs!AJ51)*(1-MIN(1,MAX(0,Inputs!AJ98)))*(SourceDetail!E154/1000000)/(SourceDetail!E160/1000000)</f>
        <v>0.0651698714322355</v>
      </c>
      <c r="AK35" s="69" t="n">
        <f aca="false">MAX(0,Inputs!AK51)*(1-MIN(1,MAX(0,Inputs!AK98)))*(SourceDetail!E154/1000000)/(SourceDetail!E160/1000000)</f>
        <v>0.0651698714322355</v>
      </c>
      <c r="AL35" s="69" t="n">
        <f aca="false">MAX(0,Inputs!AL51)*(1-MIN(1,MAX(0,Inputs!AL98)))*(SourceDetail!E154/1000000)/(SourceDetail!E160/1000000)</f>
        <v>0.0651698714322355</v>
      </c>
      <c r="AM35" s="69" t="n">
        <f aca="false">MAX(0,Inputs!AM51)*(1-MIN(1,MAX(0,Inputs!AM98)))*(SourceDetail!E154/1000000)/(SourceDetail!E160/1000000)</f>
        <v>0.0651698714322355</v>
      </c>
    </row>
    <row r="36" customFormat="false" ht="21" hidden="false" customHeight="true" outlineLevel="0" collapsed="false">
      <c r="C36" s="56" t="s">
        <v>358</v>
      </c>
      <c r="D36" s="71"/>
      <c r="E36" s="71"/>
      <c r="F36" s="71"/>
      <c r="G36" s="71"/>
      <c r="H36" s="71"/>
      <c r="I36" s="71"/>
      <c r="J36" s="71" t="n">
        <f aca="false">0</f>
        <v>0</v>
      </c>
      <c r="K36" s="71" t="n">
        <f aca="false">0</f>
        <v>0</v>
      </c>
      <c r="L36" s="71" t="n">
        <f aca="false">0</f>
        <v>0</v>
      </c>
      <c r="M36" s="71" t="n">
        <f aca="false">0</f>
        <v>0</v>
      </c>
      <c r="N36" s="71" t="n">
        <f aca="false">0</f>
        <v>0</v>
      </c>
      <c r="O36" s="71" t="n">
        <f aca="false">0</f>
        <v>0</v>
      </c>
      <c r="P36" s="71" t="n">
        <f aca="false">0</f>
        <v>0</v>
      </c>
      <c r="Q36" s="71" t="n">
        <f aca="false">0</f>
        <v>0</v>
      </c>
      <c r="R36" s="71" t="n">
        <f aca="false">0</f>
        <v>0</v>
      </c>
      <c r="S36" s="71" t="n">
        <f aca="false">0</f>
        <v>0</v>
      </c>
      <c r="T36" s="71" t="n">
        <f aca="false">0</f>
        <v>0</v>
      </c>
      <c r="U36" s="71" t="n">
        <f aca="false">0</f>
        <v>0</v>
      </c>
      <c r="V36" s="71" t="n">
        <f aca="false">0</f>
        <v>0</v>
      </c>
      <c r="W36" s="71" t="n">
        <f aca="false">0</f>
        <v>0</v>
      </c>
      <c r="X36" s="71" t="n">
        <f aca="false">0</f>
        <v>0</v>
      </c>
      <c r="Y36" s="71" t="n">
        <f aca="false">0</f>
        <v>0</v>
      </c>
      <c r="Z36" s="71" t="n">
        <f aca="false">0</f>
        <v>0</v>
      </c>
      <c r="AA36" s="71" t="n">
        <f aca="false">0</f>
        <v>0</v>
      </c>
      <c r="AB36" s="71" t="n">
        <f aca="false">0</f>
        <v>0</v>
      </c>
      <c r="AC36" s="71" t="n">
        <f aca="false">0</f>
        <v>0</v>
      </c>
      <c r="AD36" s="71" t="n">
        <f aca="false">0</f>
        <v>0</v>
      </c>
      <c r="AE36" s="71" t="n">
        <f aca="false">0</f>
        <v>0</v>
      </c>
      <c r="AF36" s="71" t="n">
        <f aca="false">0</f>
        <v>0</v>
      </c>
      <c r="AG36" s="71" t="n">
        <f aca="false">0</f>
        <v>0</v>
      </c>
      <c r="AH36" s="71" t="n">
        <f aca="false">0</f>
        <v>0</v>
      </c>
      <c r="AI36" s="71" t="n">
        <f aca="false">0</f>
        <v>0</v>
      </c>
      <c r="AJ36" s="71" t="n">
        <f aca="false">0</f>
        <v>0</v>
      </c>
      <c r="AK36" s="71" t="n">
        <f aca="false">0</f>
        <v>0</v>
      </c>
      <c r="AL36" s="71" t="n">
        <f aca="false">0</f>
        <v>0</v>
      </c>
      <c r="AM36" s="71" t="n">
        <f aca="false">0</f>
        <v>0</v>
      </c>
    </row>
    <row r="37" customFormat="false" ht="21" hidden="false" customHeight="true" outlineLevel="0" collapsed="false">
      <c r="C37" s="56" t="s">
        <v>359</v>
      </c>
      <c r="D37" s="69"/>
      <c r="E37" s="69"/>
      <c r="F37" s="69"/>
      <c r="G37" s="69"/>
      <c r="H37" s="69"/>
      <c r="I37" s="69"/>
      <c r="J37" s="69" t="n">
        <f aca="false">MIN(MAX(0,J34),(H1Data!D77)/6+0/Inputs!J92/12)</f>
        <v>0.154354841666667</v>
      </c>
      <c r="K37" s="69" t="n">
        <f aca="false">MIN(MAX(0,K34),(H1Data!D77)/6+Assets!J42/Inputs!K92/12)</f>
        <v>0.155340024908273</v>
      </c>
      <c r="L37" s="69" t="n">
        <f aca="false">MIN(MAX(0,L34),(H1Data!D77)/6+Assets!K42/Inputs!L92/12)</f>
        <v>0.156325208149879</v>
      </c>
      <c r="M37" s="69" t="n">
        <f aca="false">MIN(MAX(0,M34),(H1Data!D77)/6+Assets!L42/Inputs!M92/12)</f>
        <v>0.157310391391485</v>
      </c>
      <c r="N37" s="69" t="n">
        <f aca="false">MIN(MAX(0,N34),(H1Data!D77)/6+Assets!M42/Inputs!N92/12)</f>
        <v>0.158295574633091</v>
      </c>
      <c r="O37" s="69" t="n">
        <f aca="false">MIN(MAX(0,O34),(H1Data!D77)/6+Assets!N42/Inputs!O92/12)</f>
        <v>0.159280757874697</v>
      </c>
      <c r="P37" s="69" t="n">
        <f aca="false">MIN(MAX(0,P34),(H1Data!D77)/6+Assets!O42/Inputs!P92/12)</f>
        <v>0.160265941116303</v>
      </c>
      <c r="Q37" s="69" t="n">
        <f aca="false">MIN(MAX(0,Q34),(H1Data!D77)/6+Assets!P42/Inputs!Q92/12)</f>
        <v>0.161300383519989</v>
      </c>
      <c r="R37" s="69" t="n">
        <f aca="false">MIN(MAX(0,R34),(H1Data!D77)/6+Assets!Q42/Inputs!R92/12)</f>
        <v>0.162334825923675</v>
      </c>
      <c r="S37" s="69" t="n">
        <f aca="false">MIN(MAX(0,S34),(H1Data!D77)/6+Assets!R42/Inputs!S92/12)</f>
        <v>0.163369268327361</v>
      </c>
      <c r="T37" s="69" t="n">
        <f aca="false">MIN(MAX(0,T34),(H1Data!D77)/6+Assets!S42/Inputs!T92/12)</f>
        <v>0.164403710731048</v>
      </c>
      <c r="U37" s="69" t="n">
        <f aca="false">MIN(MAX(0,U34),(H1Data!D77)/6+Assets!T42/Inputs!U92/12)</f>
        <v>0.165438153134734</v>
      </c>
      <c r="V37" s="69" t="n">
        <f aca="false">MIN(MAX(0,V34),(H1Data!D77)/6+Assets!U42/Inputs!V92/12)</f>
        <v>0.16647259553842</v>
      </c>
      <c r="W37" s="69" t="n">
        <f aca="false">MIN(MAX(0,W34),(H1Data!D77)/6+Assets!V42/Inputs!W92/12)</f>
        <v>0.167507037942106</v>
      </c>
      <c r="X37" s="69" t="n">
        <f aca="false">MIN(MAX(0,X34),(H1Data!D77)/6+Assets!W42/Inputs!X92/12)</f>
        <v>0.168541480345793</v>
      </c>
      <c r="Y37" s="69" t="n">
        <f aca="false">MIN(MAX(0,Y34),(H1Data!D77)/6+Assets!X42/Inputs!Y92/12)</f>
        <v>0.169575922749479</v>
      </c>
      <c r="Z37" s="69" t="n">
        <f aca="false">MIN(MAX(0,Z34),(H1Data!D77)/6+Assets!Y42/Inputs!Z92/12)</f>
        <v>0.170610365153165</v>
      </c>
      <c r="AA37" s="69" t="n">
        <f aca="false">MIN(MAX(0,AA34),(H1Data!D77)/6+Assets!Z42/Inputs!AA92/12)</f>
        <v>0.171644807556852</v>
      </c>
      <c r="AB37" s="69" t="n">
        <f aca="false">MIN(MAX(0,AB34),(H1Data!D77)/6+Assets!AA42/Inputs!AB92/12)</f>
        <v>0.172679249960538</v>
      </c>
      <c r="AC37" s="69" t="n">
        <f aca="false">MIN(MAX(0,AC34),(H1Data!D77)/6+Assets!AB42/Inputs!AC92/12)</f>
        <v>0.173765414484408</v>
      </c>
      <c r="AD37" s="69" t="n">
        <f aca="false">MIN(MAX(0,AD34),(H1Data!D77)/6+Assets!AC42/Inputs!AD92/12)</f>
        <v>0.174851579008279</v>
      </c>
      <c r="AE37" s="69" t="n">
        <f aca="false">MIN(MAX(0,AE34),(H1Data!D77)/6+Assets!AD42/Inputs!AE92/12)</f>
        <v>0.17593774353215</v>
      </c>
      <c r="AF37" s="69" t="n">
        <f aca="false">MIN(MAX(0,AF34),(H1Data!D77)/6+Assets!AE42/Inputs!AF92/12)</f>
        <v>0.17702390805602</v>
      </c>
      <c r="AG37" s="69" t="n">
        <f aca="false">MIN(MAX(0,AG34),(H1Data!D77)/6+Assets!AF42/Inputs!AG92/12)</f>
        <v>0.178110072579891</v>
      </c>
      <c r="AH37" s="69" t="n">
        <f aca="false">MIN(MAX(0,AH34),(H1Data!D77)/6+Assets!AG42/Inputs!AH92/12)</f>
        <v>0.179196237103761</v>
      </c>
      <c r="AI37" s="69" t="n">
        <f aca="false">MIN(MAX(0,AI34),(H1Data!D77)/6+Assets!AH42/Inputs!AI92/12)</f>
        <v>0.180282401627632</v>
      </c>
      <c r="AJ37" s="69" t="n">
        <f aca="false">MIN(MAX(0,AJ34),(H1Data!D77)/6+Assets!AI42/Inputs!AJ92/12)</f>
        <v>0.181368566151503</v>
      </c>
      <c r="AK37" s="69" t="n">
        <f aca="false">MIN(MAX(0,AK34),(H1Data!D77)/6+Assets!AJ42/Inputs!AK92/12)</f>
        <v>0.182454730675373</v>
      </c>
      <c r="AL37" s="69" t="n">
        <f aca="false">MIN(MAX(0,AL34),(H1Data!D77)/6+Assets!AK42/Inputs!AL92/12)</f>
        <v>0.183540895199244</v>
      </c>
      <c r="AM37" s="69" t="n">
        <f aca="false">MIN(MAX(0,AM34),(H1Data!D77)/6+Assets!AL42/Inputs!AM92/12)</f>
        <v>0.184627059723114</v>
      </c>
    </row>
    <row r="38" customFormat="false" ht="21" hidden="false" customHeight="true" outlineLevel="0" collapsed="false">
      <c r="C38" s="56" t="s">
        <v>360</v>
      </c>
      <c r="D38" s="69"/>
      <c r="E38" s="69"/>
      <c r="F38" s="69"/>
      <c r="G38" s="69"/>
      <c r="H38" s="69"/>
      <c r="I38" s="69"/>
      <c r="J38" s="69" t="n">
        <f aca="false">MIN(MAX(0,Inputs!J105),MAX(0,J34+J35-J37))</f>
        <v>0</v>
      </c>
      <c r="K38" s="69" t="n">
        <f aca="false">MIN(MAX(0,Inputs!K105),MAX(0,K34+K35-K37))</f>
        <v>0</v>
      </c>
      <c r="L38" s="69" t="n">
        <f aca="false">MIN(MAX(0,Inputs!L105),MAX(0,L34+L35-L37))</f>
        <v>0</v>
      </c>
      <c r="M38" s="69" t="n">
        <f aca="false">MIN(MAX(0,Inputs!M105),MAX(0,M34+M35-M37))</f>
        <v>0</v>
      </c>
      <c r="N38" s="69" t="n">
        <f aca="false">MIN(MAX(0,Inputs!N105),MAX(0,N34+N35-N37))</f>
        <v>0</v>
      </c>
      <c r="O38" s="69" t="n">
        <f aca="false">MIN(MAX(0,Inputs!O105),MAX(0,O34+O35-O37))</f>
        <v>0</v>
      </c>
      <c r="P38" s="69" t="n">
        <f aca="false">MIN(MAX(0,Inputs!P105),MAX(0,P34+P35-P37))</f>
        <v>0</v>
      </c>
      <c r="Q38" s="69" t="n">
        <f aca="false">MIN(MAX(0,Inputs!Q105),MAX(0,Q34+Q35-Q37))</f>
        <v>0</v>
      </c>
      <c r="R38" s="69" t="n">
        <f aca="false">MIN(MAX(0,Inputs!R105),MAX(0,R34+R35-R37))</f>
        <v>0</v>
      </c>
      <c r="S38" s="69" t="n">
        <f aca="false">MIN(MAX(0,Inputs!S105),MAX(0,S34+S35-S37))</f>
        <v>0</v>
      </c>
      <c r="T38" s="69" t="n">
        <f aca="false">MIN(MAX(0,Inputs!T105),MAX(0,T34+T35-T37))</f>
        <v>0</v>
      </c>
      <c r="U38" s="69" t="n">
        <f aca="false">MIN(MAX(0,Inputs!U105),MAX(0,U34+U35-U37))</f>
        <v>0</v>
      </c>
      <c r="V38" s="69" t="n">
        <f aca="false">MIN(MAX(0,Inputs!V105),MAX(0,V34+V35-V37))</f>
        <v>0</v>
      </c>
      <c r="W38" s="69" t="n">
        <f aca="false">MIN(MAX(0,Inputs!W105),MAX(0,W34+W35-W37))</f>
        <v>0</v>
      </c>
      <c r="X38" s="69" t="n">
        <f aca="false">MIN(MAX(0,Inputs!X105),MAX(0,X34+X35-X37))</f>
        <v>0</v>
      </c>
      <c r="Y38" s="69" t="n">
        <f aca="false">MIN(MAX(0,Inputs!Y105),MAX(0,Y34+Y35-Y37))</f>
        <v>0</v>
      </c>
      <c r="Z38" s="69" t="n">
        <f aca="false">MIN(MAX(0,Inputs!Z105),MAX(0,Z34+Z35-Z37))</f>
        <v>0</v>
      </c>
      <c r="AA38" s="69" t="n">
        <f aca="false">MIN(MAX(0,Inputs!AA105),MAX(0,AA34+AA35-AA37))</f>
        <v>0</v>
      </c>
      <c r="AB38" s="69" t="n">
        <f aca="false">MIN(MAX(0,Inputs!AB105),MAX(0,AB34+AB35-AB37))</f>
        <v>0</v>
      </c>
      <c r="AC38" s="69" t="n">
        <f aca="false">MIN(MAX(0,Inputs!AC105),MAX(0,AC34+AC35-AC37))</f>
        <v>0</v>
      </c>
      <c r="AD38" s="69" t="n">
        <f aca="false">MIN(MAX(0,Inputs!AD105),MAX(0,AD34+AD35-AD37))</f>
        <v>0</v>
      </c>
      <c r="AE38" s="69" t="n">
        <f aca="false">MIN(MAX(0,Inputs!AE105),MAX(0,AE34+AE35-AE37))</f>
        <v>0</v>
      </c>
      <c r="AF38" s="69" t="n">
        <f aca="false">MIN(MAX(0,Inputs!AF105),MAX(0,AF34+AF35-AF37))</f>
        <v>0</v>
      </c>
      <c r="AG38" s="69" t="n">
        <f aca="false">MIN(MAX(0,Inputs!AG105),MAX(0,AG34+AG35-AG37))</f>
        <v>0</v>
      </c>
      <c r="AH38" s="69" t="n">
        <f aca="false">MIN(MAX(0,Inputs!AH105),MAX(0,AH34+AH35-AH37))</f>
        <v>0</v>
      </c>
      <c r="AI38" s="69" t="n">
        <f aca="false">MIN(MAX(0,Inputs!AI105),MAX(0,AI34+AI35-AI37))</f>
        <v>0</v>
      </c>
      <c r="AJ38" s="69" t="n">
        <f aca="false">MIN(MAX(0,Inputs!AJ105),MAX(0,AJ34+AJ35-AJ37))</f>
        <v>0</v>
      </c>
      <c r="AK38" s="69" t="n">
        <f aca="false">MIN(MAX(0,Inputs!AK105),MAX(0,AK34+AK35-AK37))</f>
        <v>0</v>
      </c>
      <c r="AL38" s="69" t="n">
        <f aca="false">MIN(MAX(0,Inputs!AL105),MAX(0,AL34+AL35-AL37))</f>
        <v>0</v>
      </c>
      <c r="AM38" s="69" t="n">
        <f aca="false">MIN(MAX(0,Inputs!AM105),MAX(0,AM34+AM35-AM37))</f>
        <v>0</v>
      </c>
    </row>
    <row r="39" customFormat="false" ht="21" hidden="false" customHeight="true" outlineLevel="0" collapsed="false">
      <c r="C39" s="56" t="s">
        <v>361</v>
      </c>
      <c r="D39" s="69"/>
      <c r="E39" s="69"/>
      <c r="F39" s="69"/>
      <c r="G39" s="69"/>
      <c r="H39" s="69"/>
      <c r="I39" s="69"/>
      <c r="J39" s="69" t="n">
        <f aca="false">MIN(MAX(0,Inputs!J106),MAX(0,J34+J35-J37-J38))</f>
        <v>0</v>
      </c>
      <c r="K39" s="69" t="n">
        <f aca="false">MIN(MAX(0,Inputs!K106),MAX(0,K34+K35-K37-K38))</f>
        <v>0</v>
      </c>
      <c r="L39" s="69" t="n">
        <f aca="false">MIN(MAX(0,Inputs!L106),MAX(0,L34+L35-L37-L38))</f>
        <v>0</v>
      </c>
      <c r="M39" s="69" t="n">
        <f aca="false">MIN(MAX(0,Inputs!M106),MAX(0,M34+M35-M37-M38))</f>
        <v>0</v>
      </c>
      <c r="N39" s="69" t="n">
        <f aca="false">MIN(MAX(0,Inputs!N106),MAX(0,N34+N35-N37-N38))</f>
        <v>0</v>
      </c>
      <c r="O39" s="69" t="n">
        <f aca="false">MIN(MAX(0,Inputs!O106),MAX(0,O34+O35-O37-O38))</f>
        <v>0</v>
      </c>
      <c r="P39" s="69" t="n">
        <f aca="false">MIN(MAX(0,Inputs!P106),MAX(0,P34+P35-P37-P38))</f>
        <v>0</v>
      </c>
      <c r="Q39" s="69" t="n">
        <f aca="false">MIN(MAX(0,Inputs!Q106),MAX(0,Q34+Q35-Q37-Q38))</f>
        <v>0</v>
      </c>
      <c r="R39" s="69" t="n">
        <f aca="false">MIN(MAX(0,Inputs!R106),MAX(0,R34+R35-R37-R38))</f>
        <v>0</v>
      </c>
      <c r="S39" s="69" t="n">
        <f aca="false">MIN(MAX(0,Inputs!S106),MAX(0,S34+S35-S37-S38))</f>
        <v>0</v>
      </c>
      <c r="T39" s="69" t="n">
        <f aca="false">MIN(MAX(0,Inputs!T106),MAX(0,T34+T35-T37-T38))</f>
        <v>0</v>
      </c>
      <c r="U39" s="69" t="n">
        <f aca="false">MIN(MAX(0,Inputs!U106),MAX(0,U34+U35-U37-U38))</f>
        <v>0</v>
      </c>
      <c r="V39" s="69" t="n">
        <f aca="false">MIN(MAX(0,Inputs!V106),MAX(0,V34+V35-V37-V38))</f>
        <v>0</v>
      </c>
      <c r="W39" s="69" t="n">
        <f aca="false">MIN(MAX(0,Inputs!W106),MAX(0,W34+W35-W37-W38))</f>
        <v>0</v>
      </c>
      <c r="X39" s="69" t="n">
        <f aca="false">MIN(MAX(0,Inputs!X106),MAX(0,X34+X35-X37-X38))</f>
        <v>0</v>
      </c>
      <c r="Y39" s="69" t="n">
        <f aca="false">MIN(MAX(0,Inputs!Y106),MAX(0,Y34+Y35-Y37-Y38))</f>
        <v>0</v>
      </c>
      <c r="Z39" s="69" t="n">
        <f aca="false">MIN(MAX(0,Inputs!Z106),MAX(0,Z34+Z35-Z37-Z38))</f>
        <v>0</v>
      </c>
      <c r="AA39" s="69" t="n">
        <f aca="false">MIN(MAX(0,Inputs!AA106),MAX(0,AA34+AA35-AA37-AA38))</f>
        <v>0</v>
      </c>
      <c r="AB39" s="69" t="n">
        <f aca="false">MIN(MAX(0,Inputs!AB106),MAX(0,AB34+AB35-AB37-AB38))</f>
        <v>0</v>
      </c>
      <c r="AC39" s="69" t="n">
        <f aca="false">MIN(MAX(0,Inputs!AC106),MAX(0,AC34+AC35-AC37-AC38))</f>
        <v>0</v>
      </c>
      <c r="AD39" s="69" t="n">
        <f aca="false">MIN(MAX(0,Inputs!AD106),MAX(0,AD34+AD35-AD37-AD38))</f>
        <v>0</v>
      </c>
      <c r="AE39" s="69" t="n">
        <f aca="false">MIN(MAX(0,Inputs!AE106),MAX(0,AE34+AE35-AE37-AE38))</f>
        <v>0</v>
      </c>
      <c r="AF39" s="69" t="n">
        <f aca="false">MIN(MAX(0,Inputs!AF106),MAX(0,AF34+AF35-AF37-AF38))</f>
        <v>0</v>
      </c>
      <c r="AG39" s="69" t="n">
        <f aca="false">MIN(MAX(0,Inputs!AG106),MAX(0,AG34+AG35-AG37-AG38))</f>
        <v>0</v>
      </c>
      <c r="AH39" s="69" t="n">
        <f aca="false">MIN(MAX(0,Inputs!AH106),MAX(0,AH34+AH35-AH37-AH38))</f>
        <v>0</v>
      </c>
      <c r="AI39" s="69" t="n">
        <f aca="false">MIN(MAX(0,Inputs!AI106),MAX(0,AI34+AI35-AI37-AI38))</f>
        <v>0</v>
      </c>
      <c r="AJ39" s="69" t="n">
        <f aca="false">MIN(MAX(0,Inputs!AJ106),MAX(0,AJ34+AJ35-AJ37-AJ38))</f>
        <v>0</v>
      </c>
      <c r="AK39" s="69" t="n">
        <f aca="false">MIN(MAX(0,Inputs!AK106),MAX(0,AK34+AK35-AK37-AK38))</f>
        <v>0</v>
      </c>
      <c r="AL39" s="69" t="n">
        <f aca="false">MIN(MAX(0,Inputs!AL106),MAX(0,AL34+AL35-AL37-AL38))</f>
        <v>0</v>
      </c>
      <c r="AM39" s="69" t="n">
        <f aca="false">MIN(MAX(0,Inputs!AM106),MAX(0,AM34+AM35-AM37-AM38))</f>
        <v>0</v>
      </c>
    </row>
    <row r="40" customFormat="false" ht="21" hidden="false" customHeight="true" outlineLevel="0" collapsed="false">
      <c r="C40" s="56" t="s">
        <v>362</v>
      </c>
      <c r="D40" s="71"/>
      <c r="E40" s="71"/>
      <c r="F40" s="71"/>
      <c r="G40" s="71"/>
      <c r="H40" s="71"/>
      <c r="I40" s="71"/>
      <c r="J40" s="71" t="n">
        <f aca="false">J34+J35+J36-J37-J38-J39</f>
        <v>3.60991516282969</v>
      </c>
      <c r="K40" s="71" t="n">
        <f aca="false">K34+K35+K36-K37-K38-K39</f>
        <v>3.51368613241778</v>
      </c>
      <c r="L40" s="71" t="n">
        <f aca="false">L34+L35+L36-L37-L38-L39</f>
        <v>3.41647191876426</v>
      </c>
      <c r="M40" s="71" t="n">
        <f aca="false">M34+M35+M36-M37-M38-M39</f>
        <v>3.31827252186913</v>
      </c>
      <c r="N40" s="71" t="n">
        <f aca="false">N34+N35+N36-N37-N38-N39</f>
        <v>3.2190879417324</v>
      </c>
      <c r="O40" s="71" t="n">
        <f aca="false">O34+O35+O36-O37-O38-O39</f>
        <v>3.11891817835406</v>
      </c>
      <c r="P40" s="71" t="n">
        <f aca="false">P34+P35+P36-P37-P38-P39</f>
        <v>3.02071878145894</v>
      </c>
      <c r="Q40" s="71" t="n">
        <f aca="false">Q34+Q35+Q36-Q37-Q38-Q39</f>
        <v>2.92148494216012</v>
      </c>
      <c r="R40" s="71" t="n">
        <f aca="false">R34+R35+R36-R37-R38-R39</f>
        <v>2.82121666045763</v>
      </c>
      <c r="S40" s="71" t="n">
        <f aca="false">S34+S35+S36-S37-S38-S39</f>
        <v>2.71991393635144</v>
      </c>
      <c r="T40" s="71" t="n">
        <f aca="false">T34+T35+T36-T37-T38-T39</f>
        <v>2.61757676984157</v>
      </c>
      <c r="U40" s="71" t="n">
        <f aca="false">U34+U35+U36-U37-U38-U39</f>
        <v>2.51420516092801</v>
      </c>
      <c r="V40" s="71" t="n">
        <f aca="false">V34+V35+V36-V37-V38-V39</f>
        <v>2.40979910961077</v>
      </c>
      <c r="W40" s="71" t="n">
        <f aca="false">W34+W35+W36-W37-W38-W39</f>
        <v>2.30435861588984</v>
      </c>
      <c r="X40" s="71" t="n">
        <f aca="false">X34+X35+X36-X37-X38-X39</f>
        <v>2.19788367976522</v>
      </c>
      <c r="Y40" s="71" t="n">
        <f aca="false">Y34+Y35+Y36-Y37-Y38-Y39</f>
        <v>2.09037430123692</v>
      </c>
      <c r="Z40" s="71" t="n">
        <f aca="false">Z34+Z35+Z36-Z37-Z38-Z39</f>
        <v>1.98183048030493</v>
      </c>
      <c r="AA40" s="71" t="n">
        <f aca="false">AA34+AA35+AA36-AA37-AA38-AA39</f>
        <v>1.87225221696926</v>
      </c>
      <c r="AB40" s="71" t="n">
        <f aca="false">AB34+AB35+AB36-AB37-AB38-AB39</f>
        <v>1.76474283844096</v>
      </c>
      <c r="AC40" s="71" t="n">
        <f aca="false">AC34+AC35+AC36-AC37-AC38-AC39</f>
        <v>1.65614729538878</v>
      </c>
      <c r="AD40" s="71" t="n">
        <f aca="false">AD34+AD35+AD36-AD37-AD38-AD39</f>
        <v>1.54646558781274</v>
      </c>
      <c r="AE40" s="71" t="n">
        <f aca="false">AE34+AE35+AE36-AE37-AE38-AE39</f>
        <v>1.43569771571283</v>
      </c>
      <c r="AF40" s="71" t="n">
        <f aca="false">AF34+AF35+AF36-AF37-AF38-AF39</f>
        <v>1.32384367908904</v>
      </c>
      <c r="AG40" s="71" t="n">
        <f aca="false">AG34+AG35+AG36-AG37-AG38-AG39</f>
        <v>1.21090347794139</v>
      </c>
      <c r="AH40" s="71" t="n">
        <f aca="false">AH34+AH35+AH36-AH37-AH38-AH39</f>
        <v>1.09687711226986</v>
      </c>
      <c r="AI40" s="71" t="n">
        <f aca="false">AI34+AI35+AI36-AI37-AI38-AI39</f>
        <v>0.981764582074463</v>
      </c>
      <c r="AJ40" s="71" t="n">
        <f aca="false">AJ34+AJ35+AJ36-AJ37-AJ38-AJ39</f>
        <v>0.865565887355196</v>
      </c>
      <c r="AK40" s="71" t="n">
        <f aca="false">AK34+AK35+AK36-AK37-AK38-AK39</f>
        <v>0.748281028112058</v>
      </c>
      <c r="AL40" s="71" t="n">
        <f aca="false">AL34+AL35+AL36-AL37-AL38-AL39</f>
        <v>0.629910004345049</v>
      </c>
      <c r="AM40" s="71" t="n">
        <f aca="false">AM34+AM35+AM36-AM37-AM38-AM39</f>
        <v>0.51045281605417</v>
      </c>
    </row>
    <row r="41" customFormat="false" ht="21" hidden="false" customHeight="true" outlineLevel="0" collapsed="false">
      <c r="C41" s="56" t="s">
        <v>363</v>
      </c>
      <c r="D41" s="71"/>
      <c r="E41" s="71"/>
      <c r="F41" s="71"/>
      <c r="G41" s="71"/>
      <c r="H41" s="71"/>
      <c r="I41" s="71"/>
      <c r="J41" s="71" t="n">
        <f aca="false">J34+J35+J36-J37-J38-J39-J40</f>
        <v>0</v>
      </c>
      <c r="K41" s="71" t="n">
        <f aca="false">K34+K35+K36-K37-K38-K39-K40</f>
        <v>0</v>
      </c>
      <c r="L41" s="71" t="n">
        <f aca="false">L34+L35+L36-L37-L38-L39-L40</f>
        <v>0</v>
      </c>
      <c r="M41" s="71" t="n">
        <f aca="false">M34+M35+M36-M37-M38-M39-M40</f>
        <v>0</v>
      </c>
      <c r="N41" s="71" t="n">
        <f aca="false">N34+N35+N36-N37-N38-N39-N40</f>
        <v>0</v>
      </c>
      <c r="O41" s="71" t="n">
        <f aca="false">O34+O35+O36-O37-O38-O39-O40</f>
        <v>0</v>
      </c>
      <c r="P41" s="71" t="n">
        <f aca="false">P34+P35+P36-P37-P38-P39-P40</f>
        <v>0</v>
      </c>
      <c r="Q41" s="71" t="n">
        <f aca="false">Q34+Q35+Q36-Q37-Q38-Q39-Q40</f>
        <v>0</v>
      </c>
      <c r="R41" s="71" t="n">
        <f aca="false">R34+R35+R36-R37-R38-R39-R40</f>
        <v>0</v>
      </c>
      <c r="S41" s="71" t="n">
        <f aca="false">S34+S35+S36-S37-S38-S39-S40</f>
        <v>0</v>
      </c>
      <c r="T41" s="71" t="n">
        <f aca="false">T34+T35+T36-T37-T38-T39-T40</f>
        <v>0</v>
      </c>
      <c r="U41" s="71" t="n">
        <f aca="false">U34+U35+U36-U37-U38-U39-U40</f>
        <v>0</v>
      </c>
      <c r="V41" s="71" t="n">
        <f aca="false">V34+V35+V36-V37-V38-V39-V40</f>
        <v>0</v>
      </c>
      <c r="W41" s="71" t="n">
        <f aca="false">W34+W35+W36-W37-W38-W39-W40</f>
        <v>0</v>
      </c>
      <c r="X41" s="71" t="n">
        <f aca="false">X34+X35+X36-X37-X38-X39-X40</f>
        <v>0</v>
      </c>
      <c r="Y41" s="71" t="n">
        <f aca="false">Y34+Y35+Y36-Y37-Y38-Y39-Y40</f>
        <v>0</v>
      </c>
      <c r="Z41" s="71" t="n">
        <f aca="false">Z34+Z35+Z36-Z37-Z38-Z39-Z40</f>
        <v>0</v>
      </c>
      <c r="AA41" s="71" t="n">
        <f aca="false">AA34+AA35+AA36-AA37-AA38-AA39-AA40</f>
        <v>0</v>
      </c>
      <c r="AB41" s="71" t="n">
        <f aca="false">AB34+AB35+AB36-AB37-AB38-AB39-AB40</f>
        <v>0</v>
      </c>
      <c r="AC41" s="71" t="n">
        <f aca="false">AC34+AC35+AC36-AC37-AC38-AC39-AC40</f>
        <v>0</v>
      </c>
      <c r="AD41" s="71" t="n">
        <f aca="false">AD34+AD35+AD36-AD37-AD38-AD39-AD40</f>
        <v>0</v>
      </c>
      <c r="AE41" s="71" t="n">
        <f aca="false">AE34+AE35+AE36-AE37-AE38-AE39-AE40</f>
        <v>0</v>
      </c>
      <c r="AF41" s="71" t="n">
        <f aca="false">AF34+AF35+AF36-AF37-AF38-AF39-AF40</f>
        <v>0</v>
      </c>
      <c r="AG41" s="71" t="n">
        <f aca="false">AG34+AG35+AG36-AG37-AG38-AG39-AG40</f>
        <v>0</v>
      </c>
      <c r="AH41" s="71" t="n">
        <f aca="false">AH34+AH35+AH36-AH37-AH38-AH39-AH40</f>
        <v>0</v>
      </c>
      <c r="AI41" s="71" t="n">
        <f aca="false">AI34+AI35+AI36-AI37-AI38-AI39-AI40</f>
        <v>0</v>
      </c>
      <c r="AJ41" s="71" t="n">
        <f aca="false">AJ34+AJ35+AJ36-AJ37-AJ38-AJ39-AJ40</f>
        <v>0</v>
      </c>
      <c r="AK41" s="71" t="n">
        <f aca="false">AK34+AK35+AK36-AK37-AK38-AK39-AK40</f>
        <v>0</v>
      </c>
      <c r="AL41" s="71" t="n">
        <f aca="false">AL34+AL35+AL36-AL37-AL38-AL39-AL40</f>
        <v>0</v>
      </c>
      <c r="AM41" s="71" t="n">
        <f aca="false">AM34+AM35+AM36-AM37-AM38-AM39-AM40</f>
        <v>0</v>
      </c>
    </row>
    <row r="42" customFormat="false" ht="21" hidden="false" customHeight="true" outlineLevel="0" collapsed="false">
      <c r="C42" s="56" t="s">
        <v>364</v>
      </c>
      <c r="D42" s="71"/>
      <c r="E42" s="69"/>
      <c r="F42" s="69"/>
      <c r="G42" s="69"/>
      <c r="H42" s="69"/>
      <c r="I42" s="69"/>
      <c r="J42" s="69" t="n">
        <f aca="false">J35+J36</f>
        <v>0.0591109944963587</v>
      </c>
      <c r="K42" s="69" t="n">
        <f aca="false">Assets!J42+K35+K36</f>
        <v>0.118221988992717</v>
      </c>
      <c r="L42" s="69" t="n">
        <f aca="false">Assets!K42+L35+L36</f>
        <v>0.177332983489076</v>
      </c>
      <c r="M42" s="69" t="n">
        <f aca="false">Assets!L42+M35+M36</f>
        <v>0.236443977985435</v>
      </c>
      <c r="N42" s="69" t="n">
        <f aca="false">Assets!M42+N35+N36</f>
        <v>0.295554972481793</v>
      </c>
      <c r="O42" s="69" t="n">
        <f aca="false">Assets!N42+O35+O36</f>
        <v>0.354665966978152</v>
      </c>
      <c r="P42" s="69" t="n">
        <f aca="false">Assets!O42+P35+P36</f>
        <v>0.416732511199329</v>
      </c>
      <c r="Q42" s="69" t="n">
        <f aca="false">Assets!P42+Q35+Q36</f>
        <v>0.478799055420505</v>
      </c>
      <c r="R42" s="69" t="n">
        <f aca="false">Assets!Q42+R35+R36</f>
        <v>0.540865599641682</v>
      </c>
      <c r="S42" s="69" t="n">
        <f aca="false">Assets!R42+S35+S36</f>
        <v>0.602932143862859</v>
      </c>
      <c r="T42" s="69" t="n">
        <f aca="false">Assets!S42+T35+T36</f>
        <v>0.664998688084035</v>
      </c>
      <c r="U42" s="69" t="n">
        <f aca="false">Assets!T42+U35+U36</f>
        <v>0.727065232305212</v>
      </c>
      <c r="V42" s="69" t="n">
        <f aca="false">Assets!U42+V35+V36</f>
        <v>0.789131776526388</v>
      </c>
      <c r="W42" s="69" t="n">
        <f aca="false">Assets!V42+W35+W36</f>
        <v>0.851198320747565</v>
      </c>
      <c r="X42" s="69" t="n">
        <f aca="false">Assets!W42+X35+X36</f>
        <v>0.913264864968742</v>
      </c>
      <c r="Y42" s="69" t="n">
        <f aca="false">Assets!X42+Y35+Y36</f>
        <v>0.975331409189918</v>
      </c>
      <c r="Z42" s="69" t="n">
        <f aca="false">Assets!Y42+Z35+Z36</f>
        <v>1.03739795341109</v>
      </c>
      <c r="AA42" s="69" t="n">
        <f aca="false">Assets!Z42+AA35+AA36</f>
        <v>1.09946449763227</v>
      </c>
      <c r="AB42" s="69" t="n">
        <f aca="false">Assets!AA42+AB35+AB36</f>
        <v>1.16463436906451</v>
      </c>
      <c r="AC42" s="69" t="n">
        <f aca="false">Assets!AB42+AC35+AC36</f>
        <v>1.22980424049674</v>
      </c>
      <c r="AD42" s="69" t="n">
        <f aca="false">Assets!AC42+AD35+AD36</f>
        <v>1.29497411192898</v>
      </c>
      <c r="AE42" s="69" t="n">
        <f aca="false">Assets!AD42+AE35+AE36</f>
        <v>1.36014398336121</v>
      </c>
      <c r="AF42" s="69" t="n">
        <f aca="false">Assets!AE42+AF35+AF36</f>
        <v>1.42531385479345</v>
      </c>
      <c r="AG42" s="69" t="n">
        <f aca="false">Assets!AF42+AG35+AG36</f>
        <v>1.49048372622568</v>
      </c>
      <c r="AH42" s="69" t="n">
        <f aca="false">Assets!AG42+AH35+AH36</f>
        <v>1.55565359765792</v>
      </c>
      <c r="AI42" s="69" t="n">
        <f aca="false">Assets!AH42+AI35+AI36</f>
        <v>1.62082346909016</v>
      </c>
      <c r="AJ42" s="69" t="n">
        <f aca="false">Assets!AI42+AJ35+AJ36</f>
        <v>1.68599334052239</v>
      </c>
      <c r="AK42" s="69" t="n">
        <f aca="false">Assets!AJ42+AK35+AK36</f>
        <v>1.75116321195463</v>
      </c>
      <c r="AL42" s="69" t="n">
        <f aca="false">Assets!AK42+AL35+AL36</f>
        <v>1.81633308338686</v>
      </c>
      <c r="AM42" s="69" t="n">
        <f aca="false">Assets!AL42+AM35+AM36</f>
        <v>1.8815029548191</v>
      </c>
    </row>
    <row r="43" customFormat="false" ht="21" hidden="false" customHeight="true" outlineLevel="0" collapsed="false">
      <c r="C43" s="56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</row>
    <row r="44" customFormat="false" ht="21" hidden="false" customHeight="true" outlineLevel="0" collapsed="false">
      <c r="C44" s="56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</row>
    <row r="45" customFormat="false" ht="25" hidden="false" customHeight="true" outlineLevel="0" collapsed="false">
      <c r="C45" s="63" t="s">
        <v>367</v>
      </c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</row>
    <row r="46" customFormat="false" ht="21" hidden="false" customHeight="true" outlineLevel="0" collapsed="false">
      <c r="C46" s="56" t="s">
        <v>356</v>
      </c>
      <c r="D46" s="69"/>
      <c r="E46" s="69"/>
      <c r="F46" s="69"/>
      <c r="G46" s="69"/>
      <c r="H46" s="69"/>
      <c r="I46" s="69"/>
      <c r="J46" s="69" t="n">
        <f aca="false">H1Data!D71</f>
        <v>61.97051374</v>
      </c>
      <c r="K46" s="69" t="n">
        <f aca="false">Assets!J52</f>
        <v>61.1978779441489</v>
      </c>
      <c r="L46" s="69" t="n">
        <f aca="false">Assets!K52</f>
        <v>60.4125535177008</v>
      </c>
      <c r="M46" s="69" t="n">
        <f aca="false">Assets!L52</f>
        <v>59.6145404606559</v>
      </c>
      <c r="N46" s="69" t="n">
        <f aca="false">Assets!M52</f>
        <v>58.803838773014</v>
      </c>
      <c r="O46" s="69" t="n">
        <f aca="false">Assets!N52</f>
        <v>57.9804484547751</v>
      </c>
      <c r="P46" s="69" t="n">
        <f aca="false">Assets!O52</f>
        <v>57.1443695059394</v>
      </c>
      <c r="Q46" s="69" t="n">
        <f aca="false">Assets!P52</f>
        <v>56.3336678182975</v>
      </c>
      <c r="R46" s="69" t="n">
        <f aca="false">Assets!Q52</f>
        <v>55.5096430685288</v>
      </c>
      <c r="S46" s="69" t="n">
        <f aca="false">Assets!R52</f>
        <v>54.6722952566334</v>
      </c>
      <c r="T46" s="69" t="n">
        <f aca="false">Assets!S52</f>
        <v>53.8216243826112</v>
      </c>
      <c r="U46" s="69" t="n">
        <f aca="false">Assets!T52</f>
        <v>52.9576304464622</v>
      </c>
      <c r="V46" s="69" t="n">
        <f aca="false">Assets!U52</f>
        <v>52.0803134481864</v>
      </c>
      <c r="W46" s="69" t="n">
        <f aca="false">Assets!V52</f>
        <v>51.1896733877839</v>
      </c>
      <c r="X46" s="69" t="n">
        <f aca="false">Assets!W52</f>
        <v>50.2857102652546</v>
      </c>
      <c r="Y46" s="69" t="n">
        <f aca="false">Assets!X52</f>
        <v>49.3684240805985</v>
      </c>
      <c r="Z46" s="69" t="n">
        <f aca="false">Assets!Y52</f>
        <v>48.4378148338157</v>
      </c>
      <c r="AA46" s="69" t="n">
        <f aca="false">Assets!Z52</f>
        <v>47.4938825249061</v>
      </c>
      <c r="AB46" s="69" t="n">
        <f aca="false">Assets!AA52</f>
        <v>46.5366271538697</v>
      </c>
      <c r="AC46" s="69" t="n">
        <f aca="false">Assets!AB52</f>
        <v>45.6060179070868</v>
      </c>
      <c r="AD46" s="69" t="n">
        <f aca="false">Assets!AC52</f>
        <v>44.6614194450709</v>
      </c>
      <c r="AE46" s="69" t="n">
        <f aca="false">Assets!AD52</f>
        <v>43.7028317678218</v>
      </c>
      <c r="AF46" s="69" t="n">
        <f aca="false">Assets!AE52</f>
        <v>42.7302548753396</v>
      </c>
      <c r="AG46" s="69" t="n">
        <f aca="false">Assets!AF52</f>
        <v>41.7436887676243</v>
      </c>
      <c r="AH46" s="69" t="n">
        <f aca="false">Assets!AG52</f>
        <v>40.7431334446759</v>
      </c>
      <c r="AI46" s="69" t="n">
        <f aca="false">Assets!AH52</f>
        <v>39.7285889064944</v>
      </c>
      <c r="AJ46" s="69" t="n">
        <f aca="false">Assets!AI52</f>
        <v>38.7000551530798</v>
      </c>
      <c r="AK46" s="69" t="n">
        <f aca="false">Assets!AJ52</f>
        <v>37.6575321844321</v>
      </c>
      <c r="AL46" s="69" t="n">
        <f aca="false">Assets!AK52</f>
        <v>36.6010200005512</v>
      </c>
      <c r="AM46" s="69" t="n">
        <f aca="false">Assets!AL52</f>
        <v>35.5305186014373</v>
      </c>
    </row>
    <row r="47" customFormat="false" ht="21" hidden="false" customHeight="true" outlineLevel="0" collapsed="false">
      <c r="C47" s="56" t="s">
        <v>357</v>
      </c>
      <c r="D47" s="69"/>
      <c r="E47" s="69"/>
      <c r="F47" s="69"/>
      <c r="G47" s="69"/>
      <c r="H47" s="69"/>
      <c r="I47" s="69"/>
      <c r="J47" s="69" t="n">
        <f aca="false">MAX(0,Inputs!J51)*(1-MIN(1,MAX(0,Inputs!J98)))*(SourceDetail!E156/1000000)/(SourceDetail!E160/1000000)</f>
        <v>0.761317835815547</v>
      </c>
      <c r="K47" s="69" t="n">
        <f aca="false">MAX(0,Inputs!K51)*(1-MIN(1,MAX(0,Inputs!K98)))*(SourceDetail!E156/1000000)/(SourceDetail!E160/1000000)</f>
        <v>0.761317835815547</v>
      </c>
      <c r="L47" s="69" t="n">
        <f aca="false">MAX(0,Inputs!L51)*(1-MIN(1,MAX(0,Inputs!L98)))*(SourceDetail!E156/1000000)/(SourceDetail!E160/1000000)</f>
        <v>0.761317835815547</v>
      </c>
      <c r="M47" s="69" t="n">
        <f aca="false">MAX(0,Inputs!M51)*(1-MIN(1,MAX(0,Inputs!M98)))*(SourceDetail!E156/1000000)/(SourceDetail!E160/1000000)</f>
        <v>0.761317835815547</v>
      </c>
      <c r="N47" s="69" t="n">
        <f aca="false">MAX(0,Inputs!N51)*(1-MIN(1,MAX(0,Inputs!N98)))*(SourceDetail!E156/1000000)/(SourceDetail!E160/1000000)</f>
        <v>0.761317835815547</v>
      </c>
      <c r="O47" s="69" t="n">
        <f aca="false">MAX(0,Inputs!O51)*(1-MIN(1,MAX(0,Inputs!O98)))*(SourceDetail!E156/1000000)/(SourceDetail!E160/1000000)</f>
        <v>0.761317835815547</v>
      </c>
      <c r="P47" s="69" t="n">
        <f aca="false">MAX(0,Inputs!P51)*(1-MIN(1,MAX(0,Inputs!P98)))*(SourceDetail!E156/1000000)/(SourceDetail!E160/1000000)</f>
        <v>0.799383727606324</v>
      </c>
      <c r="Q47" s="69" t="n">
        <f aca="false">MAX(0,Inputs!Q51)*(1-MIN(1,MAX(0,Inputs!Q98)))*(SourceDetail!E156/1000000)/(SourceDetail!E160/1000000)</f>
        <v>0.799383727606324</v>
      </c>
      <c r="R47" s="69" t="n">
        <f aca="false">MAX(0,Inputs!R51)*(1-MIN(1,MAX(0,Inputs!R98)))*(SourceDetail!E156/1000000)/(SourceDetail!E160/1000000)</f>
        <v>0.799383727606324</v>
      </c>
      <c r="S47" s="69" t="n">
        <f aca="false">MAX(0,Inputs!S51)*(1-MIN(1,MAX(0,Inputs!S98)))*(SourceDetail!E156/1000000)/(SourceDetail!E160/1000000)</f>
        <v>0.799383727606324</v>
      </c>
      <c r="T47" s="69" t="n">
        <f aca="false">MAX(0,Inputs!T51)*(1-MIN(1,MAX(0,Inputs!T98)))*(SourceDetail!E156/1000000)/(SourceDetail!E160/1000000)</f>
        <v>0.799383727606324</v>
      </c>
      <c r="U47" s="69" t="n">
        <f aca="false">MAX(0,Inputs!U51)*(1-MIN(1,MAX(0,Inputs!U98)))*(SourceDetail!E156/1000000)/(SourceDetail!E160/1000000)</f>
        <v>0.799383727606324</v>
      </c>
      <c r="V47" s="69" t="n">
        <f aca="false">MAX(0,Inputs!V51)*(1-MIN(1,MAX(0,Inputs!V98)))*(SourceDetail!E156/1000000)/(SourceDetail!E160/1000000)</f>
        <v>0.799383727606324</v>
      </c>
      <c r="W47" s="69" t="n">
        <f aca="false">MAX(0,Inputs!W51)*(1-MIN(1,MAX(0,Inputs!W98)))*(SourceDetail!E156/1000000)/(SourceDetail!E160/1000000)</f>
        <v>0.799383727606324</v>
      </c>
      <c r="X47" s="69" t="n">
        <f aca="false">MAX(0,Inputs!X51)*(1-MIN(1,MAX(0,Inputs!X98)))*(SourceDetail!E156/1000000)/(SourceDetail!E160/1000000)</f>
        <v>0.799383727606324</v>
      </c>
      <c r="Y47" s="69" t="n">
        <f aca="false">MAX(0,Inputs!Y51)*(1-MIN(1,MAX(0,Inputs!Y98)))*(SourceDetail!E156/1000000)/(SourceDetail!E160/1000000)</f>
        <v>0.799383727606324</v>
      </c>
      <c r="Z47" s="69" t="n">
        <f aca="false">MAX(0,Inputs!Z51)*(1-MIN(1,MAX(0,Inputs!Z98)))*(SourceDetail!E156/1000000)/(SourceDetail!E160/1000000)</f>
        <v>0.799383727606324</v>
      </c>
      <c r="AA47" s="69" t="n">
        <f aca="false">MAX(0,Inputs!AA51)*(1-MIN(1,MAX(0,Inputs!AA98)))*(SourceDetail!E156/1000000)/(SourceDetail!E160/1000000)</f>
        <v>0.799383727606324</v>
      </c>
      <c r="AB47" s="69" t="n">
        <f aca="false">MAX(0,Inputs!AB51)*(1-MIN(1,MAX(0,Inputs!AB98)))*(SourceDetail!E156/1000000)/(SourceDetail!E160/1000000)</f>
        <v>0.83935291398664</v>
      </c>
      <c r="AC47" s="69" t="n">
        <f aca="false">MAX(0,Inputs!AC51)*(1-MIN(1,MAX(0,Inputs!AC98)))*(SourceDetail!E156/1000000)/(SourceDetail!E160/1000000)</f>
        <v>0.83935291398664</v>
      </c>
      <c r="AD47" s="69" t="n">
        <f aca="false">MAX(0,Inputs!AD51)*(1-MIN(1,MAX(0,Inputs!AD98)))*(SourceDetail!E156/1000000)/(SourceDetail!E160/1000000)</f>
        <v>0.83935291398664</v>
      </c>
      <c r="AE47" s="69" t="n">
        <f aca="false">MAX(0,Inputs!AE51)*(1-MIN(1,MAX(0,Inputs!AE98)))*(SourceDetail!E156/1000000)/(SourceDetail!E160/1000000)</f>
        <v>0.83935291398664</v>
      </c>
      <c r="AF47" s="69" t="n">
        <f aca="false">MAX(0,Inputs!AF51)*(1-MIN(1,MAX(0,Inputs!AF98)))*(SourceDetail!E156/1000000)/(SourceDetail!E160/1000000)</f>
        <v>0.83935291398664</v>
      </c>
      <c r="AG47" s="69" t="n">
        <f aca="false">MAX(0,Inputs!AG51)*(1-MIN(1,MAX(0,Inputs!AG98)))*(SourceDetail!E156/1000000)/(SourceDetail!E160/1000000)</f>
        <v>0.83935291398664</v>
      </c>
      <c r="AH47" s="69" t="n">
        <f aca="false">MAX(0,Inputs!AH51)*(1-MIN(1,MAX(0,Inputs!AH98)))*(SourceDetail!E156/1000000)/(SourceDetail!E160/1000000)</f>
        <v>0.83935291398664</v>
      </c>
      <c r="AI47" s="69" t="n">
        <f aca="false">MAX(0,Inputs!AI51)*(1-MIN(1,MAX(0,Inputs!AI98)))*(SourceDetail!E156/1000000)/(SourceDetail!E160/1000000)</f>
        <v>0.83935291398664</v>
      </c>
      <c r="AJ47" s="69" t="n">
        <f aca="false">MAX(0,Inputs!AJ51)*(1-MIN(1,MAX(0,Inputs!AJ98)))*(SourceDetail!E156/1000000)/(SourceDetail!E160/1000000)</f>
        <v>0.83935291398664</v>
      </c>
      <c r="AK47" s="69" t="n">
        <f aca="false">MAX(0,Inputs!AK51)*(1-MIN(1,MAX(0,Inputs!AK98)))*(SourceDetail!E156/1000000)/(SourceDetail!E160/1000000)</f>
        <v>0.83935291398664</v>
      </c>
      <c r="AL47" s="69" t="n">
        <f aca="false">MAX(0,Inputs!AL51)*(1-MIN(1,MAX(0,Inputs!AL98)))*(SourceDetail!E156/1000000)/(SourceDetail!E160/1000000)</f>
        <v>0.83935291398664</v>
      </c>
      <c r="AM47" s="69" t="n">
        <f aca="false">MAX(0,Inputs!AM51)*(1-MIN(1,MAX(0,Inputs!AM98)))*(SourceDetail!E156/1000000)/(SourceDetail!E160/1000000)</f>
        <v>0.83935291398664</v>
      </c>
    </row>
    <row r="48" customFormat="false" ht="21" hidden="false" customHeight="true" outlineLevel="0" collapsed="false">
      <c r="C48" s="56" t="s">
        <v>358</v>
      </c>
      <c r="D48" s="71"/>
      <c r="E48" s="71"/>
      <c r="F48" s="71"/>
      <c r="G48" s="71"/>
      <c r="H48" s="71"/>
      <c r="I48" s="71"/>
      <c r="J48" s="71" t="n">
        <f aca="false">0</f>
        <v>0</v>
      </c>
      <c r="K48" s="71" t="n">
        <f aca="false">0</f>
        <v>0</v>
      </c>
      <c r="L48" s="71" t="n">
        <f aca="false">0</f>
        <v>0</v>
      </c>
      <c r="M48" s="71" t="n">
        <f aca="false">0</f>
        <v>0</v>
      </c>
      <c r="N48" s="71" t="n">
        <f aca="false">0</f>
        <v>0</v>
      </c>
      <c r="O48" s="71" t="n">
        <f aca="false">0</f>
        <v>0</v>
      </c>
      <c r="P48" s="71" t="n">
        <f aca="false">0</f>
        <v>0</v>
      </c>
      <c r="Q48" s="71" t="n">
        <f aca="false">0</f>
        <v>0</v>
      </c>
      <c r="R48" s="71" t="n">
        <f aca="false">0</f>
        <v>0</v>
      </c>
      <c r="S48" s="71" t="n">
        <f aca="false">0</f>
        <v>0</v>
      </c>
      <c r="T48" s="71" t="n">
        <f aca="false">0</f>
        <v>0</v>
      </c>
      <c r="U48" s="71" t="n">
        <f aca="false">0</f>
        <v>0</v>
      </c>
      <c r="V48" s="71" t="n">
        <f aca="false">0</f>
        <v>0</v>
      </c>
      <c r="W48" s="71" t="n">
        <f aca="false">0</f>
        <v>0</v>
      </c>
      <c r="X48" s="71" t="n">
        <f aca="false">0</f>
        <v>0</v>
      </c>
      <c r="Y48" s="71" t="n">
        <f aca="false">0</f>
        <v>0</v>
      </c>
      <c r="Z48" s="71" t="n">
        <f aca="false">0</f>
        <v>0</v>
      </c>
      <c r="AA48" s="71" t="n">
        <f aca="false">0</f>
        <v>0</v>
      </c>
      <c r="AB48" s="71" t="n">
        <f aca="false">0</f>
        <v>0</v>
      </c>
      <c r="AC48" s="71" t="n">
        <f aca="false">0</f>
        <v>0</v>
      </c>
      <c r="AD48" s="71" t="n">
        <f aca="false">0</f>
        <v>0</v>
      </c>
      <c r="AE48" s="71" t="n">
        <f aca="false">0</f>
        <v>0</v>
      </c>
      <c r="AF48" s="71" t="n">
        <f aca="false">0</f>
        <v>0</v>
      </c>
      <c r="AG48" s="71" t="n">
        <f aca="false">0</f>
        <v>0</v>
      </c>
      <c r="AH48" s="71" t="n">
        <f aca="false">0</f>
        <v>0</v>
      </c>
      <c r="AI48" s="71" t="n">
        <f aca="false">0</f>
        <v>0</v>
      </c>
      <c r="AJ48" s="71" t="n">
        <f aca="false">0</f>
        <v>0</v>
      </c>
      <c r="AK48" s="71" t="n">
        <f aca="false">0</f>
        <v>0</v>
      </c>
      <c r="AL48" s="71" t="n">
        <f aca="false">0</f>
        <v>0</v>
      </c>
      <c r="AM48" s="71" t="n">
        <f aca="false">0</f>
        <v>0</v>
      </c>
    </row>
    <row r="49" customFormat="false" ht="21" hidden="false" customHeight="true" outlineLevel="0" collapsed="false">
      <c r="C49" s="56" t="s">
        <v>359</v>
      </c>
      <c r="D49" s="69"/>
      <c r="E49" s="69"/>
      <c r="F49" s="69"/>
      <c r="G49" s="69"/>
      <c r="H49" s="69"/>
      <c r="I49" s="69"/>
      <c r="J49" s="69" t="n">
        <f aca="false">MIN(MAX(0,J46),(H1Data!D78)/6+0/Inputs!J93/12)</f>
        <v>1.53395363166667</v>
      </c>
      <c r="K49" s="69" t="n">
        <f aca="false">MIN(MAX(0,K46),(H1Data!D78)/6+Assets!J54/Inputs!K93/12)</f>
        <v>1.54664226226359</v>
      </c>
      <c r="L49" s="69" t="n">
        <f aca="false">MIN(MAX(0,L46),(H1Data!D78)/6+Assets!K54/Inputs!L93/12)</f>
        <v>1.55933089286052</v>
      </c>
      <c r="M49" s="69" t="n">
        <f aca="false">MIN(MAX(0,M46),(H1Data!D78)/6+Assets!L54/Inputs!M93/12)</f>
        <v>1.57201952345744</v>
      </c>
      <c r="N49" s="69" t="n">
        <f aca="false">MIN(MAX(0,N46),(H1Data!D78)/6+Assets!M54/Inputs!N93/12)</f>
        <v>1.58470815405437</v>
      </c>
      <c r="O49" s="69" t="n">
        <f aca="false">MIN(MAX(0,O46),(H1Data!D78)/6+Assets!N54/Inputs!O93/12)</f>
        <v>1.5973967846513</v>
      </c>
      <c r="P49" s="69" t="n">
        <f aca="false">MIN(MAX(0,P46),(H1Data!D78)/6+Assets!O54/Inputs!P93/12)</f>
        <v>1.61008541524822</v>
      </c>
      <c r="Q49" s="69" t="n">
        <f aca="false">MIN(MAX(0,Q46),(H1Data!D78)/6+Assets!P54/Inputs!Q93/12)</f>
        <v>1.62340847737499</v>
      </c>
      <c r="R49" s="69" t="n">
        <f aca="false">MIN(MAX(0,R46),(H1Data!D78)/6+Assets!Q54/Inputs!R93/12)</f>
        <v>1.63673153950177</v>
      </c>
      <c r="S49" s="69" t="n">
        <f aca="false">MIN(MAX(0,S46),(H1Data!D78)/6+Assets!R54/Inputs!S93/12)</f>
        <v>1.65005460162854</v>
      </c>
      <c r="T49" s="69" t="n">
        <f aca="false">MIN(MAX(0,T46),(H1Data!D78)/6+Assets!S54/Inputs!T93/12)</f>
        <v>1.66337766375531</v>
      </c>
      <c r="U49" s="69" t="n">
        <f aca="false">MIN(MAX(0,U46),(H1Data!D78)/6+Assets!T54/Inputs!U93/12)</f>
        <v>1.67670072588208</v>
      </c>
      <c r="V49" s="69" t="n">
        <f aca="false">MIN(MAX(0,V46),(H1Data!D78)/6+Assets!U54/Inputs!V93/12)</f>
        <v>1.69002378800885</v>
      </c>
      <c r="W49" s="69" t="n">
        <f aca="false">MIN(MAX(0,W46),(H1Data!D78)/6+Assets!V54/Inputs!W93/12)</f>
        <v>1.70334685013563</v>
      </c>
      <c r="X49" s="69" t="n">
        <f aca="false">MIN(MAX(0,X46),(H1Data!D78)/6+Assets!W54/Inputs!X93/12)</f>
        <v>1.7166699122624</v>
      </c>
      <c r="Y49" s="69" t="n">
        <f aca="false">MIN(MAX(0,Y46),(H1Data!D78)/6+Assets!X54/Inputs!Y93/12)</f>
        <v>1.72999297438917</v>
      </c>
      <c r="Z49" s="69" t="n">
        <f aca="false">MIN(MAX(0,Z46),(H1Data!D78)/6+Assets!Y54/Inputs!Z93/12)</f>
        <v>1.74331603651594</v>
      </c>
      <c r="AA49" s="69" t="n">
        <f aca="false">MIN(MAX(0,AA46),(H1Data!D78)/6+Assets!Z54/Inputs!AA93/12)</f>
        <v>1.75663909864271</v>
      </c>
      <c r="AB49" s="69" t="n">
        <f aca="false">MIN(MAX(0,AB46),(H1Data!D78)/6+Assets!AA54/Inputs!AB93/12)</f>
        <v>1.76996216076949</v>
      </c>
      <c r="AC49" s="69" t="n">
        <f aca="false">MIN(MAX(0,AC46),(H1Data!D78)/6+Assets!AB54/Inputs!AC93/12)</f>
        <v>1.7839513760026</v>
      </c>
      <c r="AD49" s="69" t="n">
        <f aca="false">MIN(MAX(0,AD46),(H1Data!D78)/6+Assets!AC54/Inputs!AD93/12)</f>
        <v>1.79794059123571</v>
      </c>
      <c r="AE49" s="69" t="n">
        <f aca="false">MIN(MAX(0,AE46),(H1Data!D78)/6+Assets!AD54/Inputs!AE93/12)</f>
        <v>1.81192980646882</v>
      </c>
      <c r="AF49" s="69" t="n">
        <f aca="false">MIN(MAX(0,AF46),(H1Data!D78)/6+Assets!AE54/Inputs!AF93/12)</f>
        <v>1.82591902170193</v>
      </c>
      <c r="AG49" s="69" t="n">
        <f aca="false">MIN(MAX(0,AG46),(H1Data!D78)/6+Assets!AF54/Inputs!AG93/12)</f>
        <v>1.83990823693504</v>
      </c>
      <c r="AH49" s="69" t="n">
        <f aca="false">MIN(MAX(0,AH46),(H1Data!D78)/6+Assets!AG54/Inputs!AH93/12)</f>
        <v>1.85389745216815</v>
      </c>
      <c r="AI49" s="69" t="n">
        <f aca="false">MIN(MAX(0,AI46),(H1Data!D78)/6+Assets!AH54/Inputs!AI93/12)</f>
        <v>1.86788666740126</v>
      </c>
      <c r="AJ49" s="69" t="n">
        <f aca="false">MIN(MAX(0,AJ46),(H1Data!D78)/6+Assets!AI54/Inputs!AJ93/12)</f>
        <v>1.88187588263437</v>
      </c>
      <c r="AK49" s="69" t="n">
        <f aca="false">MIN(MAX(0,AK46),(H1Data!D78)/6+Assets!AJ54/Inputs!AK93/12)</f>
        <v>1.89586509786748</v>
      </c>
      <c r="AL49" s="69" t="n">
        <f aca="false">MIN(MAX(0,AL46),(H1Data!D78)/6+Assets!AK54/Inputs!AL93/12)</f>
        <v>1.90985431310059</v>
      </c>
      <c r="AM49" s="69" t="n">
        <f aca="false">MIN(MAX(0,AM46),(H1Data!D78)/6+Assets!AL54/Inputs!AM93/12)</f>
        <v>1.9238435283337</v>
      </c>
    </row>
    <row r="50" customFormat="false" ht="21" hidden="false" customHeight="true" outlineLevel="0" collapsed="false">
      <c r="C50" s="56" t="s">
        <v>360</v>
      </c>
      <c r="D50" s="69"/>
      <c r="E50" s="69"/>
      <c r="F50" s="69"/>
      <c r="G50" s="69"/>
      <c r="H50" s="69"/>
      <c r="I50" s="69"/>
      <c r="J50" s="69" t="n">
        <f aca="false">MIN(MAX(0,Inputs!J107),MAX(0,J46+J47-J49))</f>
        <v>0</v>
      </c>
      <c r="K50" s="69" t="n">
        <f aca="false">MIN(MAX(0,Inputs!K107),MAX(0,K46+K47-K49))</f>
        <v>0</v>
      </c>
      <c r="L50" s="69" t="n">
        <f aca="false">MIN(MAX(0,Inputs!L107),MAX(0,L46+L47-L49))</f>
        <v>0</v>
      </c>
      <c r="M50" s="69" t="n">
        <f aca="false">MIN(MAX(0,Inputs!M107),MAX(0,M46+M47-M49))</f>
        <v>0</v>
      </c>
      <c r="N50" s="69" t="n">
        <f aca="false">MIN(MAX(0,Inputs!N107),MAX(0,N46+N47-N49))</f>
        <v>0</v>
      </c>
      <c r="O50" s="69" t="n">
        <f aca="false">MIN(MAX(0,Inputs!O107),MAX(0,O46+O47-O49))</f>
        <v>0</v>
      </c>
      <c r="P50" s="69" t="n">
        <f aca="false">MIN(MAX(0,Inputs!P107),MAX(0,P46+P47-P49))</f>
        <v>0</v>
      </c>
      <c r="Q50" s="69" t="n">
        <f aca="false">MIN(MAX(0,Inputs!Q107),MAX(0,Q46+Q47-Q49))</f>
        <v>0</v>
      </c>
      <c r="R50" s="69" t="n">
        <f aca="false">MIN(MAX(0,Inputs!R107),MAX(0,R46+R47-R49))</f>
        <v>0</v>
      </c>
      <c r="S50" s="69" t="n">
        <f aca="false">MIN(MAX(0,Inputs!S107),MAX(0,S46+S47-S49))</f>
        <v>0</v>
      </c>
      <c r="T50" s="69" t="n">
        <f aca="false">MIN(MAX(0,Inputs!T107),MAX(0,T46+T47-T49))</f>
        <v>0</v>
      </c>
      <c r="U50" s="69" t="n">
        <f aca="false">MIN(MAX(0,Inputs!U107),MAX(0,U46+U47-U49))</f>
        <v>0</v>
      </c>
      <c r="V50" s="69" t="n">
        <f aca="false">MIN(MAX(0,Inputs!V107),MAX(0,V46+V47-V49))</f>
        <v>0</v>
      </c>
      <c r="W50" s="69" t="n">
        <f aca="false">MIN(MAX(0,Inputs!W107),MAX(0,W46+W47-W49))</f>
        <v>0</v>
      </c>
      <c r="X50" s="69" t="n">
        <f aca="false">MIN(MAX(0,Inputs!X107),MAX(0,X46+X47-X49))</f>
        <v>0</v>
      </c>
      <c r="Y50" s="69" t="n">
        <f aca="false">MIN(MAX(0,Inputs!Y107),MAX(0,Y46+Y47-Y49))</f>
        <v>0</v>
      </c>
      <c r="Z50" s="69" t="n">
        <f aca="false">MIN(MAX(0,Inputs!Z107),MAX(0,Z46+Z47-Z49))</f>
        <v>0</v>
      </c>
      <c r="AA50" s="69" t="n">
        <f aca="false">MIN(MAX(0,Inputs!AA107),MAX(0,AA46+AA47-AA49))</f>
        <v>0</v>
      </c>
      <c r="AB50" s="69" t="n">
        <f aca="false">MIN(MAX(0,Inputs!AB107),MAX(0,AB46+AB47-AB49))</f>
        <v>0</v>
      </c>
      <c r="AC50" s="69" t="n">
        <f aca="false">MIN(MAX(0,Inputs!AC107),MAX(0,AC46+AC47-AC49))</f>
        <v>0</v>
      </c>
      <c r="AD50" s="69" t="n">
        <f aca="false">MIN(MAX(0,Inputs!AD107),MAX(0,AD46+AD47-AD49))</f>
        <v>0</v>
      </c>
      <c r="AE50" s="69" t="n">
        <f aca="false">MIN(MAX(0,Inputs!AE107),MAX(0,AE46+AE47-AE49))</f>
        <v>0</v>
      </c>
      <c r="AF50" s="69" t="n">
        <f aca="false">MIN(MAX(0,Inputs!AF107),MAX(0,AF46+AF47-AF49))</f>
        <v>0</v>
      </c>
      <c r="AG50" s="69" t="n">
        <f aca="false">MIN(MAX(0,Inputs!AG107),MAX(0,AG46+AG47-AG49))</f>
        <v>0</v>
      </c>
      <c r="AH50" s="69" t="n">
        <f aca="false">MIN(MAX(0,Inputs!AH107),MAX(0,AH46+AH47-AH49))</f>
        <v>0</v>
      </c>
      <c r="AI50" s="69" t="n">
        <f aca="false">MIN(MAX(0,Inputs!AI107),MAX(0,AI46+AI47-AI49))</f>
        <v>0</v>
      </c>
      <c r="AJ50" s="69" t="n">
        <f aca="false">MIN(MAX(0,Inputs!AJ107),MAX(0,AJ46+AJ47-AJ49))</f>
        <v>0</v>
      </c>
      <c r="AK50" s="69" t="n">
        <f aca="false">MIN(MAX(0,Inputs!AK107),MAX(0,AK46+AK47-AK49))</f>
        <v>0</v>
      </c>
      <c r="AL50" s="69" t="n">
        <f aca="false">MIN(MAX(0,Inputs!AL107),MAX(0,AL46+AL47-AL49))</f>
        <v>0</v>
      </c>
      <c r="AM50" s="69" t="n">
        <f aca="false">MIN(MAX(0,Inputs!AM107),MAX(0,AM46+AM47-AM49))</f>
        <v>0</v>
      </c>
    </row>
    <row r="51" customFormat="false" ht="21" hidden="false" customHeight="true" outlineLevel="0" collapsed="false">
      <c r="C51" s="56" t="s">
        <v>361</v>
      </c>
      <c r="D51" s="69"/>
      <c r="E51" s="69"/>
      <c r="F51" s="69"/>
      <c r="G51" s="69"/>
      <c r="H51" s="69"/>
      <c r="I51" s="69"/>
      <c r="J51" s="69" t="n">
        <f aca="false">MIN(MAX(0,Inputs!J108),MAX(0,J46+J47-J49-J50))</f>
        <v>0</v>
      </c>
      <c r="K51" s="69" t="n">
        <f aca="false">MIN(MAX(0,Inputs!K108),MAX(0,K46+K47-K49-K50))</f>
        <v>0</v>
      </c>
      <c r="L51" s="69" t="n">
        <f aca="false">MIN(MAX(0,Inputs!L108),MAX(0,L46+L47-L49-L50))</f>
        <v>0</v>
      </c>
      <c r="M51" s="69" t="n">
        <f aca="false">MIN(MAX(0,Inputs!M108),MAX(0,M46+M47-M49-M50))</f>
        <v>0</v>
      </c>
      <c r="N51" s="69" t="n">
        <f aca="false">MIN(MAX(0,Inputs!N108),MAX(0,N46+N47-N49-N50))</f>
        <v>0</v>
      </c>
      <c r="O51" s="69" t="n">
        <f aca="false">MIN(MAX(0,Inputs!O108),MAX(0,O46+O47-O49-O50))</f>
        <v>0</v>
      </c>
      <c r="P51" s="69" t="n">
        <f aca="false">MIN(MAX(0,Inputs!P108),MAX(0,P46+P47-P49-P50))</f>
        <v>0</v>
      </c>
      <c r="Q51" s="69" t="n">
        <f aca="false">MIN(MAX(0,Inputs!Q108),MAX(0,Q46+Q47-Q49-Q50))</f>
        <v>0</v>
      </c>
      <c r="R51" s="69" t="n">
        <f aca="false">MIN(MAX(0,Inputs!R108),MAX(0,R46+R47-R49-R50))</f>
        <v>0</v>
      </c>
      <c r="S51" s="69" t="n">
        <f aca="false">MIN(MAX(0,Inputs!S108),MAX(0,S46+S47-S49-S50))</f>
        <v>0</v>
      </c>
      <c r="T51" s="69" t="n">
        <f aca="false">MIN(MAX(0,Inputs!T108),MAX(0,T46+T47-T49-T50))</f>
        <v>0</v>
      </c>
      <c r="U51" s="69" t="n">
        <f aca="false">MIN(MAX(0,Inputs!U108),MAX(0,U46+U47-U49-U50))</f>
        <v>0</v>
      </c>
      <c r="V51" s="69" t="n">
        <f aca="false">MIN(MAX(0,Inputs!V108),MAX(0,V46+V47-V49-V50))</f>
        <v>0</v>
      </c>
      <c r="W51" s="69" t="n">
        <f aca="false">MIN(MAX(0,Inputs!W108),MAX(0,W46+W47-W49-W50))</f>
        <v>0</v>
      </c>
      <c r="X51" s="69" t="n">
        <f aca="false">MIN(MAX(0,Inputs!X108),MAX(0,X46+X47-X49-X50))</f>
        <v>0</v>
      </c>
      <c r="Y51" s="69" t="n">
        <f aca="false">MIN(MAX(0,Inputs!Y108),MAX(0,Y46+Y47-Y49-Y50))</f>
        <v>0</v>
      </c>
      <c r="Z51" s="69" t="n">
        <f aca="false">MIN(MAX(0,Inputs!Z108),MAX(0,Z46+Z47-Z49-Z50))</f>
        <v>0</v>
      </c>
      <c r="AA51" s="69" t="n">
        <f aca="false">MIN(MAX(0,Inputs!AA108),MAX(0,AA46+AA47-AA49-AA50))</f>
        <v>0</v>
      </c>
      <c r="AB51" s="69" t="n">
        <f aca="false">MIN(MAX(0,Inputs!AB108),MAX(0,AB46+AB47-AB49-AB50))</f>
        <v>0</v>
      </c>
      <c r="AC51" s="69" t="n">
        <f aca="false">MIN(MAX(0,Inputs!AC108),MAX(0,AC46+AC47-AC49-AC50))</f>
        <v>0</v>
      </c>
      <c r="AD51" s="69" t="n">
        <f aca="false">MIN(MAX(0,Inputs!AD108),MAX(0,AD46+AD47-AD49-AD50))</f>
        <v>0</v>
      </c>
      <c r="AE51" s="69" t="n">
        <f aca="false">MIN(MAX(0,Inputs!AE108),MAX(0,AE46+AE47-AE49-AE50))</f>
        <v>0</v>
      </c>
      <c r="AF51" s="69" t="n">
        <f aca="false">MIN(MAX(0,Inputs!AF108),MAX(0,AF46+AF47-AF49-AF50))</f>
        <v>0</v>
      </c>
      <c r="AG51" s="69" t="n">
        <f aca="false">MIN(MAX(0,Inputs!AG108),MAX(0,AG46+AG47-AG49-AG50))</f>
        <v>0</v>
      </c>
      <c r="AH51" s="69" t="n">
        <f aca="false">MIN(MAX(0,Inputs!AH108),MAX(0,AH46+AH47-AH49-AH50))</f>
        <v>0</v>
      </c>
      <c r="AI51" s="69" t="n">
        <f aca="false">MIN(MAX(0,Inputs!AI108),MAX(0,AI46+AI47-AI49-AI50))</f>
        <v>0</v>
      </c>
      <c r="AJ51" s="69" t="n">
        <f aca="false">MIN(MAX(0,Inputs!AJ108),MAX(0,AJ46+AJ47-AJ49-AJ50))</f>
        <v>0</v>
      </c>
      <c r="AK51" s="69" t="n">
        <f aca="false">MIN(MAX(0,Inputs!AK108),MAX(0,AK46+AK47-AK49-AK50))</f>
        <v>0</v>
      </c>
      <c r="AL51" s="69" t="n">
        <f aca="false">MIN(MAX(0,Inputs!AL108),MAX(0,AL46+AL47-AL49-AL50))</f>
        <v>0</v>
      </c>
      <c r="AM51" s="69" t="n">
        <f aca="false">MIN(MAX(0,Inputs!AM108),MAX(0,AM46+AM47-AM49-AM50))</f>
        <v>0</v>
      </c>
    </row>
    <row r="52" customFormat="false" ht="21" hidden="false" customHeight="true" outlineLevel="0" collapsed="false">
      <c r="C52" s="56" t="s">
        <v>362</v>
      </c>
      <c r="D52" s="71"/>
      <c r="E52" s="71"/>
      <c r="F52" s="71"/>
      <c r="G52" s="71"/>
      <c r="H52" s="71"/>
      <c r="I52" s="71"/>
      <c r="J52" s="71" t="n">
        <f aca="false">J46+J47+J48-J49-J50-J51</f>
        <v>61.1978779441489</v>
      </c>
      <c r="K52" s="71" t="n">
        <f aca="false">K46+K47+K48-K49-K50-K51</f>
        <v>60.4125535177008</v>
      </c>
      <c r="L52" s="71" t="n">
        <f aca="false">L46+L47+L48-L49-L50-L51</f>
        <v>59.6145404606559</v>
      </c>
      <c r="M52" s="71" t="n">
        <f aca="false">M46+M47+M48-M49-M50-M51</f>
        <v>58.803838773014</v>
      </c>
      <c r="N52" s="71" t="n">
        <f aca="false">N46+N47+N48-N49-N50-N51</f>
        <v>57.9804484547751</v>
      </c>
      <c r="O52" s="71" t="n">
        <f aca="false">O46+O47+O48-O49-O50-O51</f>
        <v>57.1443695059394</v>
      </c>
      <c r="P52" s="71" t="n">
        <f aca="false">P46+P47+P48-P49-P50-P51</f>
        <v>56.3336678182975</v>
      </c>
      <c r="Q52" s="71" t="n">
        <f aca="false">Q46+Q47+Q48-Q49-Q50-Q51</f>
        <v>55.5096430685288</v>
      </c>
      <c r="R52" s="71" t="n">
        <f aca="false">R46+R47+R48-R49-R50-R51</f>
        <v>54.6722952566334</v>
      </c>
      <c r="S52" s="71" t="n">
        <f aca="false">S46+S47+S48-S49-S50-S51</f>
        <v>53.8216243826112</v>
      </c>
      <c r="T52" s="71" t="n">
        <f aca="false">T46+T47+T48-T49-T50-T51</f>
        <v>52.9576304464622</v>
      </c>
      <c r="U52" s="71" t="n">
        <f aca="false">U46+U47+U48-U49-U50-U51</f>
        <v>52.0803134481864</v>
      </c>
      <c r="V52" s="71" t="n">
        <f aca="false">V46+V47+V48-V49-V50-V51</f>
        <v>51.1896733877839</v>
      </c>
      <c r="W52" s="71" t="n">
        <f aca="false">W46+W47+W48-W49-W50-W51</f>
        <v>50.2857102652546</v>
      </c>
      <c r="X52" s="71" t="n">
        <f aca="false">X46+X47+X48-X49-X50-X51</f>
        <v>49.3684240805985</v>
      </c>
      <c r="Y52" s="71" t="n">
        <f aca="false">Y46+Y47+Y48-Y49-Y50-Y51</f>
        <v>48.4378148338157</v>
      </c>
      <c r="Z52" s="71" t="n">
        <f aca="false">Z46+Z47+Z48-Z49-Z50-Z51</f>
        <v>47.4938825249061</v>
      </c>
      <c r="AA52" s="71" t="n">
        <f aca="false">AA46+AA47+AA48-AA49-AA50-AA51</f>
        <v>46.5366271538697</v>
      </c>
      <c r="AB52" s="71" t="n">
        <f aca="false">AB46+AB47+AB48-AB49-AB50-AB51</f>
        <v>45.6060179070868</v>
      </c>
      <c r="AC52" s="71" t="n">
        <f aca="false">AC46+AC47+AC48-AC49-AC50-AC51</f>
        <v>44.6614194450709</v>
      </c>
      <c r="AD52" s="71" t="n">
        <f aca="false">AD46+AD47+AD48-AD49-AD50-AD51</f>
        <v>43.7028317678218</v>
      </c>
      <c r="AE52" s="71" t="n">
        <f aca="false">AE46+AE47+AE48-AE49-AE50-AE51</f>
        <v>42.7302548753396</v>
      </c>
      <c r="AF52" s="71" t="n">
        <f aca="false">AF46+AF47+AF48-AF49-AF50-AF51</f>
        <v>41.7436887676243</v>
      </c>
      <c r="AG52" s="71" t="n">
        <f aca="false">AG46+AG47+AG48-AG49-AG50-AG51</f>
        <v>40.7431334446759</v>
      </c>
      <c r="AH52" s="71" t="n">
        <f aca="false">AH46+AH47+AH48-AH49-AH50-AH51</f>
        <v>39.7285889064944</v>
      </c>
      <c r="AI52" s="71" t="n">
        <f aca="false">AI46+AI47+AI48-AI49-AI50-AI51</f>
        <v>38.7000551530798</v>
      </c>
      <c r="AJ52" s="71" t="n">
        <f aca="false">AJ46+AJ47+AJ48-AJ49-AJ50-AJ51</f>
        <v>37.6575321844321</v>
      </c>
      <c r="AK52" s="71" t="n">
        <f aca="false">AK46+AK47+AK48-AK49-AK50-AK51</f>
        <v>36.6010200005512</v>
      </c>
      <c r="AL52" s="71" t="n">
        <f aca="false">AL46+AL47+AL48-AL49-AL50-AL51</f>
        <v>35.5305186014373</v>
      </c>
      <c r="AM52" s="71" t="n">
        <f aca="false">AM46+AM47+AM48-AM49-AM50-AM51</f>
        <v>34.4460279870902</v>
      </c>
    </row>
    <row r="53" customFormat="false" ht="21" hidden="false" customHeight="true" outlineLevel="0" collapsed="false">
      <c r="C53" s="56" t="s">
        <v>363</v>
      </c>
      <c r="D53" s="71"/>
      <c r="E53" s="71"/>
      <c r="F53" s="71"/>
      <c r="G53" s="71"/>
      <c r="H53" s="71"/>
      <c r="I53" s="71"/>
      <c r="J53" s="71" t="n">
        <f aca="false">J46+J47+J48-J49-J50-J51-J52</f>
        <v>0</v>
      </c>
      <c r="K53" s="71" t="n">
        <f aca="false">K46+K47+K48-K49-K50-K51-K52</f>
        <v>0</v>
      </c>
      <c r="L53" s="71" t="n">
        <f aca="false">L46+L47+L48-L49-L50-L51-L52</f>
        <v>0</v>
      </c>
      <c r="M53" s="71" t="n">
        <f aca="false">M46+M47+M48-M49-M50-M51-M52</f>
        <v>0</v>
      </c>
      <c r="N53" s="71" t="n">
        <f aca="false">N46+N47+N48-N49-N50-N51-N52</f>
        <v>0</v>
      </c>
      <c r="O53" s="71" t="n">
        <f aca="false">O46+O47+O48-O49-O50-O51-O52</f>
        <v>0</v>
      </c>
      <c r="P53" s="71" t="n">
        <f aca="false">P46+P47+P48-P49-P50-P51-P52</f>
        <v>0</v>
      </c>
      <c r="Q53" s="71" t="n">
        <f aca="false">Q46+Q47+Q48-Q49-Q50-Q51-Q52</f>
        <v>0</v>
      </c>
      <c r="R53" s="71" t="n">
        <f aca="false">R46+R47+R48-R49-R50-R51-R52</f>
        <v>0</v>
      </c>
      <c r="S53" s="71" t="n">
        <f aca="false">S46+S47+S48-S49-S50-S51-S52</f>
        <v>0</v>
      </c>
      <c r="T53" s="71" t="n">
        <f aca="false">T46+T47+T48-T49-T50-T51-T52</f>
        <v>0</v>
      </c>
      <c r="U53" s="71" t="n">
        <f aca="false">U46+U47+U48-U49-U50-U51-U52</f>
        <v>0</v>
      </c>
      <c r="V53" s="71" t="n">
        <f aca="false">V46+V47+V48-V49-V50-V51-V52</f>
        <v>0</v>
      </c>
      <c r="W53" s="71" t="n">
        <f aca="false">W46+W47+W48-W49-W50-W51-W52</f>
        <v>0</v>
      </c>
      <c r="X53" s="71" t="n">
        <f aca="false">X46+X47+X48-X49-X50-X51-X52</f>
        <v>0</v>
      </c>
      <c r="Y53" s="71" t="n">
        <f aca="false">Y46+Y47+Y48-Y49-Y50-Y51-Y52</f>
        <v>0</v>
      </c>
      <c r="Z53" s="71" t="n">
        <f aca="false">Z46+Z47+Z48-Z49-Z50-Z51-Z52</f>
        <v>0</v>
      </c>
      <c r="AA53" s="71" t="n">
        <f aca="false">AA46+AA47+AA48-AA49-AA50-AA51-AA52</f>
        <v>0</v>
      </c>
      <c r="AB53" s="71" t="n">
        <f aca="false">AB46+AB47+AB48-AB49-AB50-AB51-AB52</f>
        <v>0</v>
      </c>
      <c r="AC53" s="71" t="n">
        <f aca="false">AC46+AC47+AC48-AC49-AC50-AC51-AC52</f>
        <v>0</v>
      </c>
      <c r="AD53" s="71" t="n">
        <f aca="false">AD46+AD47+AD48-AD49-AD50-AD51-AD52</f>
        <v>0</v>
      </c>
      <c r="AE53" s="71" t="n">
        <f aca="false">AE46+AE47+AE48-AE49-AE50-AE51-AE52</f>
        <v>0</v>
      </c>
      <c r="AF53" s="71" t="n">
        <f aca="false">AF46+AF47+AF48-AF49-AF50-AF51-AF52</f>
        <v>0</v>
      </c>
      <c r="AG53" s="71" t="n">
        <f aca="false">AG46+AG47+AG48-AG49-AG50-AG51-AG52</f>
        <v>0</v>
      </c>
      <c r="AH53" s="71" t="n">
        <f aca="false">AH46+AH47+AH48-AH49-AH50-AH51-AH52</f>
        <v>0</v>
      </c>
      <c r="AI53" s="71" t="n">
        <f aca="false">AI46+AI47+AI48-AI49-AI50-AI51-AI52</f>
        <v>0</v>
      </c>
      <c r="AJ53" s="71" t="n">
        <f aca="false">AJ46+AJ47+AJ48-AJ49-AJ50-AJ51-AJ52</f>
        <v>0</v>
      </c>
      <c r="AK53" s="71" t="n">
        <f aca="false">AK46+AK47+AK48-AK49-AK50-AK51-AK52</f>
        <v>0</v>
      </c>
      <c r="AL53" s="71" t="n">
        <f aca="false">AL46+AL47+AL48-AL49-AL50-AL51-AL52</f>
        <v>0</v>
      </c>
      <c r="AM53" s="71" t="n">
        <f aca="false">AM46+AM47+AM48-AM49-AM50-AM51-AM52</f>
        <v>0</v>
      </c>
    </row>
    <row r="54" customFormat="false" ht="21" hidden="false" customHeight="true" outlineLevel="0" collapsed="false">
      <c r="C54" s="56" t="s">
        <v>364</v>
      </c>
      <c r="D54" s="71"/>
      <c r="E54" s="69"/>
      <c r="F54" s="69"/>
      <c r="G54" s="69"/>
      <c r="H54" s="69"/>
      <c r="I54" s="69"/>
      <c r="J54" s="69" t="n">
        <f aca="false">J47+J48</f>
        <v>0.761317835815547</v>
      </c>
      <c r="K54" s="69" t="n">
        <f aca="false">Assets!J54+K47+K48</f>
        <v>1.52263567163109</v>
      </c>
      <c r="L54" s="69" t="n">
        <f aca="false">Assets!K54+L47+L48</f>
        <v>2.28395350744664</v>
      </c>
      <c r="M54" s="69" t="n">
        <f aca="false">Assets!L54+M47+M48</f>
        <v>3.04527134326219</v>
      </c>
      <c r="N54" s="69" t="n">
        <f aca="false">Assets!M54+N47+N48</f>
        <v>3.80658917907773</v>
      </c>
      <c r="O54" s="69" t="n">
        <f aca="false">Assets!N54+O47+O48</f>
        <v>4.56790701489328</v>
      </c>
      <c r="P54" s="69" t="n">
        <f aca="false">Assets!O54+P47+P48</f>
        <v>5.36729074249961</v>
      </c>
      <c r="Q54" s="69" t="n">
        <f aca="false">Assets!P54+Q47+Q48</f>
        <v>6.16667447010593</v>
      </c>
      <c r="R54" s="69" t="n">
        <f aca="false">Assets!Q54+R47+R48</f>
        <v>6.96605819771225</v>
      </c>
      <c r="S54" s="69" t="n">
        <f aca="false">Assets!R54+S47+S48</f>
        <v>7.76544192531858</v>
      </c>
      <c r="T54" s="69" t="n">
        <f aca="false">Assets!S54+T47+T48</f>
        <v>8.5648256529249</v>
      </c>
      <c r="U54" s="69" t="n">
        <f aca="false">Assets!T54+U47+U48</f>
        <v>9.36420938053123</v>
      </c>
      <c r="V54" s="69" t="n">
        <f aca="false">Assets!U54+V47+V48</f>
        <v>10.1635931081376</v>
      </c>
      <c r="W54" s="69" t="n">
        <f aca="false">Assets!V54+W47+W48</f>
        <v>10.9629768357439</v>
      </c>
      <c r="X54" s="69" t="n">
        <f aca="false">Assets!W54+X47+X48</f>
        <v>11.7623605633502</v>
      </c>
      <c r="Y54" s="69" t="n">
        <f aca="false">Assets!X54+Y47+Y48</f>
        <v>12.5617442909565</v>
      </c>
      <c r="Z54" s="69" t="n">
        <f aca="false">Assets!Y54+Z47+Z48</f>
        <v>13.3611280185628</v>
      </c>
      <c r="AA54" s="69" t="n">
        <f aca="false">Assets!Z54+AA47+AA48</f>
        <v>14.1605117461692</v>
      </c>
      <c r="AB54" s="69" t="n">
        <f aca="false">Assets!AA54+AB47+AB48</f>
        <v>14.9998646601558</v>
      </c>
      <c r="AC54" s="69" t="n">
        <f aca="false">Assets!AB54+AC47+AC48</f>
        <v>15.8392175741425</v>
      </c>
      <c r="AD54" s="69" t="n">
        <f aca="false">Assets!AC54+AD47+AD48</f>
        <v>16.6785704881291</v>
      </c>
      <c r="AE54" s="69" t="n">
        <f aca="false">Assets!AD54+AE47+AE48</f>
        <v>17.5179234021157</v>
      </c>
      <c r="AF54" s="69" t="n">
        <f aca="false">Assets!AE54+AF47+AF48</f>
        <v>18.3572763161024</v>
      </c>
      <c r="AG54" s="69" t="n">
        <f aca="false">Assets!AF54+AG47+AG48</f>
        <v>19.196629230089</v>
      </c>
      <c r="AH54" s="69" t="n">
        <f aca="false">Assets!AG54+AH47+AH48</f>
        <v>20.0359821440757</v>
      </c>
      <c r="AI54" s="69" t="n">
        <f aca="false">Assets!AH54+AI47+AI48</f>
        <v>20.8753350580623</v>
      </c>
      <c r="AJ54" s="69" t="n">
        <f aca="false">Assets!AI54+AJ47+AJ48</f>
        <v>21.7146879720489</v>
      </c>
      <c r="AK54" s="69" t="n">
        <f aca="false">Assets!AJ54+AK47+AK48</f>
        <v>22.5540408860356</v>
      </c>
      <c r="AL54" s="69" t="n">
        <f aca="false">Assets!AK54+AL47+AL48</f>
        <v>23.3933938000222</v>
      </c>
      <c r="AM54" s="69" t="n">
        <f aca="false">Assets!AL54+AM47+AM48</f>
        <v>24.2327467140089</v>
      </c>
    </row>
    <row r="55" customFormat="false" ht="21" hidden="false" customHeight="true" outlineLevel="0" collapsed="false">
      <c r="C55" s="56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</row>
    <row r="56" customFormat="false" ht="21" hidden="false" customHeight="true" outlineLevel="0" collapsed="false">
      <c r="C56" s="56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</row>
    <row r="57" customFormat="false" ht="25" hidden="false" customHeight="true" outlineLevel="0" collapsed="false">
      <c r="C57" s="63" t="s">
        <v>368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</row>
    <row r="58" customFormat="false" ht="21" hidden="false" customHeight="true" outlineLevel="0" collapsed="false">
      <c r="C58" s="56" t="s">
        <v>356</v>
      </c>
      <c r="D58" s="69"/>
      <c r="E58" s="69"/>
      <c r="F58" s="69"/>
      <c r="G58" s="69"/>
      <c r="H58" s="69"/>
      <c r="I58" s="69"/>
      <c r="J58" s="69" t="n">
        <f aca="false">H1Data!D72</f>
        <v>63.13893242</v>
      </c>
      <c r="K58" s="69" t="n">
        <f aca="false">Assets!J64</f>
        <v>62.8991074744396</v>
      </c>
      <c r="L58" s="69" t="n">
        <f aca="false">Assets!K64</f>
        <v>62.6459299919442</v>
      </c>
      <c r="M58" s="69" t="n">
        <f aca="false">Assets!L64</f>
        <v>62.3793999725136</v>
      </c>
      <c r="N58" s="69" t="n">
        <f aca="false">Assets!M64</f>
        <v>62.0995174161479</v>
      </c>
      <c r="O58" s="69" t="n">
        <f aca="false">Assets!N64</f>
        <v>61.8062823228471</v>
      </c>
      <c r="P58" s="69" t="n">
        <f aca="false">Assets!O64</f>
        <v>61.4996946926112</v>
      </c>
      <c r="Q58" s="69" t="n">
        <f aca="false">Assets!P64</f>
        <v>61.2198121362455</v>
      </c>
      <c r="R58" s="69" t="n">
        <f aca="false">Assets!Q64</f>
        <v>60.925909416098</v>
      </c>
      <c r="S58" s="69" t="n">
        <f aca="false">Assets!R64</f>
        <v>60.6179865321686</v>
      </c>
      <c r="T58" s="69" t="n">
        <f aca="false">Assets!S64</f>
        <v>60.2960434844573</v>
      </c>
      <c r="U58" s="69" t="n">
        <f aca="false">Assets!T64</f>
        <v>59.9600802729642</v>
      </c>
      <c r="V58" s="69" t="n">
        <f aca="false">Assets!U64</f>
        <v>59.6100968976892</v>
      </c>
      <c r="W58" s="69" t="n">
        <f aca="false">Assets!V64</f>
        <v>59.2460933586324</v>
      </c>
      <c r="X58" s="69" t="n">
        <f aca="false">Assets!W64</f>
        <v>58.8680696557937</v>
      </c>
      <c r="Y58" s="69" t="n">
        <f aca="false">Assets!X64</f>
        <v>58.4760257891731</v>
      </c>
      <c r="Z58" s="69" t="n">
        <f aca="false">Assets!Y64</f>
        <v>58.0699617587707</v>
      </c>
      <c r="AA58" s="69" t="n">
        <f aca="false">Assets!Z64</f>
        <v>57.6498775645864</v>
      </c>
      <c r="AB58" s="69" t="n">
        <f aca="false">Assets!AA64</f>
        <v>57.2157732066203</v>
      </c>
      <c r="AC58" s="69" t="n">
        <f aca="false">Assets!AB64</f>
        <v>56.8097091762178</v>
      </c>
      <c r="AD58" s="69" t="n">
        <f aca="false">Assets!AC64</f>
        <v>56.3889239738445</v>
      </c>
      <c r="AE58" s="69" t="n">
        <f aca="false">Assets!AD64</f>
        <v>55.9534175995001</v>
      </c>
      <c r="AF58" s="69" t="n">
        <f aca="false">Assets!AE64</f>
        <v>55.5031900531848</v>
      </c>
      <c r="AG58" s="69" t="n">
        <f aca="false">Assets!AF64</f>
        <v>55.0382413348986</v>
      </c>
      <c r="AH58" s="69" t="n">
        <f aca="false">Assets!AG64</f>
        <v>54.5585714446414</v>
      </c>
      <c r="AI58" s="69" t="n">
        <f aca="false">Assets!AH64</f>
        <v>54.0641803824133</v>
      </c>
      <c r="AJ58" s="69" t="n">
        <f aca="false">Assets!AI64</f>
        <v>53.5550681482142</v>
      </c>
      <c r="AK58" s="69" t="n">
        <f aca="false">Assets!AJ64</f>
        <v>53.0312347420441</v>
      </c>
      <c r="AL58" s="69" t="n">
        <f aca="false">Assets!AK64</f>
        <v>52.4926801639031</v>
      </c>
      <c r="AM58" s="69" t="n">
        <f aca="false">Assets!AL64</f>
        <v>51.9394044137912</v>
      </c>
    </row>
    <row r="59" customFormat="false" ht="21" hidden="false" customHeight="true" outlineLevel="0" collapsed="false">
      <c r="C59" s="56" t="s">
        <v>357</v>
      </c>
      <c r="D59" s="69"/>
      <c r="E59" s="69"/>
      <c r="F59" s="69"/>
      <c r="G59" s="69"/>
      <c r="H59" s="69"/>
      <c r="I59" s="69"/>
      <c r="J59" s="69" t="n">
        <f aca="false">MAX(0,Inputs!J51)*(1-MIN(1,MAX(0,Inputs!J98)))*(SourceDetail!E158/1000000)/(SourceDetail!E160/1000000)</f>
        <v>0.801152216106299</v>
      </c>
      <c r="K59" s="69" t="n">
        <f aca="false">MAX(0,Inputs!K51)*(1-MIN(1,MAX(0,Inputs!K98)))*(SourceDetail!E158/1000000)/(SourceDetail!E160/1000000)</f>
        <v>0.801152216106299</v>
      </c>
      <c r="L59" s="69" t="n">
        <f aca="false">MAX(0,Inputs!L51)*(1-MIN(1,MAX(0,Inputs!L98)))*(SourceDetail!E158/1000000)/(SourceDetail!E160/1000000)</f>
        <v>0.801152216106299</v>
      </c>
      <c r="M59" s="69" t="n">
        <f aca="false">MAX(0,Inputs!M51)*(1-MIN(1,MAX(0,Inputs!M98)))*(SourceDetail!E158/1000000)/(SourceDetail!E160/1000000)</f>
        <v>0.801152216106299</v>
      </c>
      <c r="N59" s="69" t="n">
        <f aca="false">MAX(0,Inputs!N51)*(1-MIN(1,MAX(0,Inputs!N98)))*(SourceDetail!E158/1000000)/(SourceDetail!E160/1000000)</f>
        <v>0.801152216106299</v>
      </c>
      <c r="O59" s="69" t="n">
        <f aca="false">MAX(0,Inputs!O51)*(1-MIN(1,MAX(0,Inputs!O98)))*(SourceDetail!E158/1000000)/(SourceDetail!E160/1000000)</f>
        <v>0.801152216106299</v>
      </c>
      <c r="P59" s="69" t="n">
        <f aca="false">MAX(0,Inputs!P51)*(1-MIN(1,MAX(0,Inputs!P98)))*(SourceDetail!E158/1000000)/(SourceDetail!E160/1000000)</f>
        <v>0.841209826911614</v>
      </c>
      <c r="Q59" s="69" t="n">
        <f aca="false">MAX(0,Inputs!Q51)*(1-MIN(1,MAX(0,Inputs!Q98)))*(SourceDetail!E158/1000000)/(SourceDetail!E160/1000000)</f>
        <v>0.841209826911614</v>
      </c>
      <c r="R59" s="69" t="n">
        <f aca="false">MAX(0,Inputs!R51)*(1-MIN(1,MAX(0,Inputs!R98)))*(SourceDetail!E158/1000000)/(SourceDetail!E160/1000000)</f>
        <v>0.841209826911614</v>
      </c>
      <c r="S59" s="69" t="n">
        <f aca="false">MAX(0,Inputs!S51)*(1-MIN(1,MAX(0,Inputs!S98)))*(SourceDetail!E158/1000000)/(SourceDetail!E160/1000000)</f>
        <v>0.841209826911614</v>
      </c>
      <c r="T59" s="69" t="n">
        <f aca="false">MAX(0,Inputs!T51)*(1-MIN(1,MAX(0,Inputs!T98)))*(SourceDetail!E158/1000000)/(SourceDetail!E160/1000000)</f>
        <v>0.841209826911614</v>
      </c>
      <c r="U59" s="69" t="n">
        <f aca="false">MAX(0,Inputs!U51)*(1-MIN(1,MAX(0,Inputs!U98)))*(SourceDetail!E158/1000000)/(SourceDetail!E160/1000000)</f>
        <v>0.841209826911614</v>
      </c>
      <c r="V59" s="69" t="n">
        <f aca="false">MAX(0,Inputs!V51)*(1-MIN(1,MAX(0,Inputs!V98)))*(SourceDetail!E158/1000000)/(SourceDetail!E160/1000000)</f>
        <v>0.841209826911614</v>
      </c>
      <c r="W59" s="69" t="n">
        <f aca="false">MAX(0,Inputs!W51)*(1-MIN(1,MAX(0,Inputs!W98)))*(SourceDetail!E158/1000000)/(SourceDetail!E160/1000000)</f>
        <v>0.841209826911614</v>
      </c>
      <c r="X59" s="69" t="n">
        <f aca="false">MAX(0,Inputs!X51)*(1-MIN(1,MAX(0,Inputs!X98)))*(SourceDetail!E158/1000000)/(SourceDetail!E160/1000000)</f>
        <v>0.841209826911614</v>
      </c>
      <c r="Y59" s="69" t="n">
        <f aca="false">MAX(0,Inputs!Y51)*(1-MIN(1,MAX(0,Inputs!Y98)))*(SourceDetail!E158/1000000)/(SourceDetail!E160/1000000)</f>
        <v>0.841209826911614</v>
      </c>
      <c r="Z59" s="69" t="n">
        <f aca="false">MAX(0,Inputs!Z51)*(1-MIN(1,MAX(0,Inputs!Z98)))*(SourceDetail!E158/1000000)/(SourceDetail!E160/1000000)</f>
        <v>0.841209826911614</v>
      </c>
      <c r="AA59" s="69" t="n">
        <f aca="false">MAX(0,Inputs!AA51)*(1-MIN(1,MAX(0,Inputs!AA98)))*(SourceDetail!E158/1000000)/(SourceDetail!E160/1000000)</f>
        <v>0.841209826911614</v>
      </c>
      <c r="AB59" s="69" t="n">
        <f aca="false">MAX(0,Inputs!AB51)*(1-MIN(1,MAX(0,Inputs!AB98)))*(SourceDetail!E158/1000000)/(SourceDetail!E160/1000000)</f>
        <v>0.883270318257194</v>
      </c>
      <c r="AC59" s="69" t="n">
        <f aca="false">MAX(0,Inputs!AC51)*(1-MIN(1,MAX(0,Inputs!AC98)))*(SourceDetail!E158/1000000)/(SourceDetail!E160/1000000)</f>
        <v>0.883270318257194</v>
      </c>
      <c r="AD59" s="69" t="n">
        <f aca="false">MAX(0,Inputs!AD51)*(1-MIN(1,MAX(0,Inputs!AD98)))*(SourceDetail!E158/1000000)/(SourceDetail!E160/1000000)</f>
        <v>0.883270318257194</v>
      </c>
      <c r="AE59" s="69" t="n">
        <f aca="false">MAX(0,Inputs!AE51)*(1-MIN(1,MAX(0,Inputs!AE98)))*(SourceDetail!E158/1000000)/(SourceDetail!E160/1000000)</f>
        <v>0.883270318257194</v>
      </c>
      <c r="AF59" s="69" t="n">
        <f aca="false">MAX(0,Inputs!AF51)*(1-MIN(1,MAX(0,Inputs!AF98)))*(SourceDetail!E158/1000000)/(SourceDetail!E160/1000000)</f>
        <v>0.883270318257194</v>
      </c>
      <c r="AG59" s="69" t="n">
        <f aca="false">MAX(0,Inputs!AG51)*(1-MIN(1,MAX(0,Inputs!AG98)))*(SourceDetail!E158/1000000)/(SourceDetail!E160/1000000)</f>
        <v>0.883270318257194</v>
      </c>
      <c r="AH59" s="69" t="n">
        <f aca="false">MAX(0,Inputs!AH51)*(1-MIN(1,MAX(0,Inputs!AH98)))*(SourceDetail!E158/1000000)/(SourceDetail!E160/1000000)</f>
        <v>0.883270318257194</v>
      </c>
      <c r="AI59" s="69" t="n">
        <f aca="false">MAX(0,Inputs!AI51)*(1-MIN(1,MAX(0,Inputs!AI98)))*(SourceDetail!E158/1000000)/(SourceDetail!E160/1000000)</f>
        <v>0.883270318257194</v>
      </c>
      <c r="AJ59" s="69" t="n">
        <f aca="false">MAX(0,Inputs!AJ51)*(1-MIN(1,MAX(0,Inputs!AJ98)))*(SourceDetail!E158/1000000)/(SourceDetail!E160/1000000)</f>
        <v>0.883270318257194</v>
      </c>
      <c r="AK59" s="69" t="n">
        <f aca="false">MAX(0,Inputs!AK51)*(1-MIN(1,MAX(0,Inputs!AK98)))*(SourceDetail!E158/1000000)/(SourceDetail!E160/1000000)</f>
        <v>0.883270318257194</v>
      </c>
      <c r="AL59" s="69" t="n">
        <f aca="false">MAX(0,Inputs!AL51)*(1-MIN(1,MAX(0,Inputs!AL98)))*(SourceDetail!E158/1000000)/(SourceDetail!E160/1000000)</f>
        <v>0.883270318257194</v>
      </c>
      <c r="AM59" s="69" t="n">
        <f aca="false">MAX(0,Inputs!AM51)*(1-MIN(1,MAX(0,Inputs!AM98)))*(SourceDetail!E158/1000000)/(SourceDetail!E160/1000000)</f>
        <v>0.883270318257194</v>
      </c>
    </row>
    <row r="60" customFormat="false" ht="21" hidden="false" customHeight="true" outlineLevel="0" collapsed="false">
      <c r="C60" s="56" t="s">
        <v>358</v>
      </c>
      <c r="D60" s="71"/>
      <c r="E60" s="71"/>
      <c r="F60" s="71"/>
      <c r="G60" s="71"/>
      <c r="H60" s="71"/>
      <c r="I60" s="71"/>
      <c r="J60" s="71" t="n">
        <f aca="false">0</f>
        <v>0</v>
      </c>
      <c r="K60" s="71" t="n">
        <f aca="false">0</f>
        <v>0</v>
      </c>
      <c r="L60" s="71" t="n">
        <f aca="false">0</f>
        <v>0</v>
      </c>
      <c r="M60" s="71" t="n">
        <f aca="false">0</f>
        <v>0</v>
      </c>
      <c r="N60" s="71" t="n">
        <f aca="false">0</f>
        <v>0</v>
      </c>
      <c r="O60" s="71" t="n">
        <f aca="false">0</f>
        <v>0</v>
      </c>
      <c r="P60" s="71" t="n">
        <f aca="false">0</f>
        <v>0</v>
      </c>
      <c r="Q60" s="71" t="n">
        <f aca="false">0</f>
        <v>0</v>
      </c>
      <c r="R60" s="71" t="n">
        <f aca="false">0</f>
        <v>0</v>
      </c>
      <c r="S60" s="71" t="n">
        <f aca="false">0</f>
        <v>0</v>
      </c>
      <c r="T60" s="71" t="n">
        <f aca="false">0</f>
        <v>0</v>
      </c>
      <c r="U60" s="71" t="n">
        <f aca="false">0</f>
        <v>0</v>
      </c>
      <c r="V60" s="71" t="n">
        <f aca="false">0</f>
        <v>0</v>
      </c>
      <c r="W60" s="71" t="n">
        <f aca="false">0</f>
        <v>0</v>
      </c>
      <c r="X60" s="71" t="n">
        <f aca="false">0</f>
        <v>0</v>
      </c>
      <c r="Y60" s="71" t="n">
        <f aca="false">0</f>
        <v>0</v>
      </c>
      <c r="Z60" s="71" t="n">
        <f aca="false">0</f>
        <v>0</v>
      </c>
      <c r="AA60" s="71" t="n">
        <f aca="false">0</f>
        <v>0</v>
      </c>
      <c r="AB60" s="71" t="n">
        <f aca="false">0</f>
        <v>0</v>
      </c>
      <c r="AC60" s="71" t="n">
        <f aca="false">0</f>
        <v>0</v>
      </c>
      <c r="AD60" s="71" t="n">
        <f aca="false">0</f>
        <v>0</v>
      </c>
      <c r="AE60" s="71" t="n">
        <f aca="false">0</f>
        <v>0</v>
      </c>
      <c r="AF60" s="71" t="n">
        <f aca="false">0</f>
        <v>0</v>
      </c>
      <c r="AG60" s="71" t="n">
        <f aca="false">0</f>
        <v>0</v>
      </c>
      <c r="AH60" s="71" t="n">
        <f aca="false">0</f>
        <v>0</v>
      </c>
      <c r="AI60" s="71" t="n">
        <f aca="false">0</f>
        <v>0</v>
      </c>
      <c r="AJ60" s="71" t="n">
        <f aca="false">0</f>
        <v>0</v>
      </c>
      <c r="AK60" s="71" t="n">
        <f aca="false">0</f>
        <v>0</v>
      </c>
      <c r="AL60" s="71" t="n">
        <f aca="false">0</f>
        <v>0</v>
      </c>
      <c r="AM60" s="71" t="n">
        <f aca="false">0</f>
        <v>0</v>
      </c>
    </row>
    <row r="61" customFormat="false" ht="21" hidden="false" customHeight="true" outlineLevel="0" collapsed="false">
      <c r="C61" s="56" t="s">
        <v>359</v>
      </c>
      <c r="D61" s="69"/>
      <c r="E61" s="69"/>
      <c r="F61" s="69"/>
      <c r="G61" s="69"/>
      <c r="H61" s="69"/>
      <c r="I61" s="69"/>
      <c r="J61" s="69" t="n">
        <f aca="false">MIN(MAX(0,J58),(H1Data!D79)/6+0/Inputs!J94/12)</f>
        <v>1.04097716166667</v>
      </c>
      <c r="K61" s="69" t="n">
        <f aca="false">MIN(MAX(0,K58),(H1Data!D79)/6+Assets!J66/Inputs!K94/12)</f>
        <v>1.05432969860177</v>
      </c>
      <c r="L61" s="69" t="n">
        <f aca="false">MIN(MAX(0,L58),(H1Data!D79)/6+Assets!K66/Inputs!L94/12)</f>
        <v>1.06768223553688</v>
      </c>
      <c r="M61" s="69" t="n">
        <f aca="false">MIN(MAX(0,M58),(H1Data!D79)/6+Assets!L66/Inputs!M94/12)</f>
        <v>1.08103477247198</v>
      </c>
      <c r="N61" s="69" t="n">
        <f aca="false">MIN(MAX(0,N58),(H1Data!D79)/6+Assets!M66/Inputs!N94/12)</f>
        <v>1.09438730940709</v>
      </c>
      <c r="O61" s="69" t="n">
        <f aca="false">MIN(MAX(0,O58),(H1Data!D79)/6+Assets!N66/Inputs!O94/12)</f>
        <v>1.10773984634219</v>
      </c>
      <c r="P61" s="69" t="n">
        <f aca="false">MIN(MAX(0,P58),(H1Data!D79)/6+Assets!O66/Inputs!P94/12)</f>
        <v>1.1210923832773</v>
      </c>
      <c r="Q61" s="69" t="n">
        <f aca="false">MIN(MAX(0,Q58),(H1Data!D79)/6+Assets!P66/Inputs!Q94/12)</f>
        <v>1.13511254705916</v>
      </c>
      <c r="R61" s="69" t="n">
        <f aca="false">MIN(MAX(0,R58),(H1Data!D79)/6+Assets!Q66/Inputs!R94/12)</f>
        <v>1.14913271084102</v>
      </c>
      <c r="S61" s="69" t="n">
        <f aca="false">MIN(MAX(0,S58),(H1Data!D79)/6+Assets!R66/Inputs!S94/12)</f>
        <v>1.16315287462288</v>
      </c>
      <c r="T61" s="69" t="n">
        <f aca="false">MIN(MAX(0,T58),(H1Data!D79)/6+Assets!S66/Inputs!T94/12)</f>
        <v>1.17717303840474</v>
      </c>
      <c r="U61" s="69" t="n">
        <f aca="false">MIN(MAX(0,U58),(H1Data!D79)/6+Assets!T66/Inputs!U94/12)</f>
        <v>1.1911932021866</v>
      </c>
      <c r="V61" s="69" t="n">
        <f aca="false">MIN(MAX(0,V58),(H1Data!D79)/6+Assets!U66/Inputs!V94/12)</f>
        <v>1.20521336596846</v>
      </c>
      <c r="W61" s="69" t="n">
        <f aca="false">MIN(MAX(0,W58),(H1Data!D79)/6+Assets!V66/Inputs!W94/12)</f>
        <v>1.21923352975032</v>
      </c>
      <c r="X61" s="69" t="n">
        <f aca="false">MIN(MAX(0,X58),(H1Data!D79)/6+Assets!W66/Inputs!X94/12)</f>
        <v>1.23325369353218</v>
      </c>
      <c r="Y61" s="69" t="n">
        <f aca="false">MIN(MAX(0,Y58),(H1Data!D79)/6+Assets!X66/Inputs!Y94/12)</f>
        <v>1.24727385731404</v>
      </c>
      <c r="Z61" s="69" t="n">
        <f aca="false">MIN(MAX(0,Z58),(H1Data!D79)/6+Assets!Y66/Inputs!Z94/12)</f>
        <v>1.2612940210959</v>
      </c>
      <c r="AA61" s="69" t="n">
        <f aca="false">MIN(MAX(0,AA58),(H1Data!D79)/6+Assets!Z66/Inputs!AA94/12)</f>
        <v>1.27531418487776</v>
      </c>
      <c r="AB61" s="69" t="n">
        <f aca="false">MIN(MAX(0,AB58),(H1Data!D79)/6+Assets!AA66/Inputs!AB94/12)</f>
        <v>1.28933434865962</v>
      </c>
      <c r="AC61" s="69" t="n">
        <f aca="false">MIN(MAX(0,AC58),(H1Data!D79)/6+Assets!AB66/Inputs!AC94/12)</f>
        <v>1.30405552063057</v>
      </c>
      <c r="AD61" s="69" t="n">
        <f aca="false">MIN(MAX(0,AD58),(H1Data!D79)/6+Assets!AC66/Inputs!AD94/12)</f>
        <v>1.31877669260153</v>
      </c>
      <c r="AE61" s="69" t="n">
        <f aca="false">MIN(MAX(0,AE58),(H1Data!D79)/6+Assets!AD66/Inputs!AE94/12)</f>
        <v>1.33349786457248</v>
      </c>
      <c r="AF61" s="69" t="n">
        <f aca="false">MIN(MAX(0,AF58),(H1Data!D79)/6+Assets!AE66/Inputs!AF94/12)</f>
        <v>1.34821903654343</v>
      </c>
      <c r="AG61" s="69" t="n">
        <f aca="false">MIN(MAX(0,AG58),(H1Data!D79)/6+Assets!AF66/Inputs!AG94/12)</f>
        <v>1.36294020851439</v>
      </c>
      <c r="AH61" s="69" t="n">
        <f aca="false">MIN(MAX(0,AH58),(H1Data!D79)/6+Assets!AG66/Inputs!AH94/12)</f>
        <v>1.37766138048534</v>
      </c>
      <c r="AI61" s="69" t="n">
        <f aca="false">MIN(MAX(0,AI58),(H1Data!D79)/6+Assets!AH66/Inputs!AI94/12)</f>
        <v>1.39238255245629</v>
      </c>
      <c r="AJ61" s="69" t="n">
        <f aca="false">MIN(MAX(0,AJ58),(H1Data!D79)/6+Assets!AI66/Inputs!AJ94/12)</f>
        <v>1.40710372442725</v>
      </c>
      <c r="AK61" s="69" t="n">
        <f aca="false">MIN(MAX(0,AK58),(H1Data!D79)/6+Assets!AJ66/Inputs!AK94/12)</f>
        <v>1.4218248963982</v>
      </c>
      <c r="AL61" s="69" t="n">
        <f aca="false">MIN(MAX(0,AL58),(H1Data!D79)/6+Assets!AK66/Inputs!AL94/12)</f>
        <v>1.43654606836915</v>
      </c>
      <c r="AM61" s="69" t="n">
        <f aca="false">MIN(MAX(0,AM58),(H1Data!D79)/6+Assets!AL66/Inputs!AM94/12)</f>
        <v>1.45126724034011</v>
      </c>
    </row>
    <row r="62" customFormat="false" ht="21" hidden="false" customHeight="true" outlineLevel="0" collapsed="false">
      <c r="C62" s="56" t="s">
        <v>360</v>
      </c>
      <c r="D62" s="69"/>
      <c r="E62" s="69"/>
      <c r="F62" s="69"/>
      <c r="G62" s="69"/>
      <c r="H62" s="69"/>
      <c r="I62" s="69"/>
      <c r="J62" s="69" t="n">
        <f aca="false">MIN(MAX(0,Inputs!J109),MAX(0,J58+J59-J61))</f>
        <v>0</v>
      </c>
      <c r="K62" s="69" t="n">
        <f aca="false">MIN(MAX(0,Inputs!K109),MAX(0,K58+K59-K61))</f>
        <v>0</v>
      </c>
      <c r="L62" s="69" t="n">
        <f aca="false">MIN(MAX(0,Inputs!L109),MAX(0,L58+L59-L61))</f>
        <v>0</v>
      </c>
      <c r="M62" s="69" t="n">
        <f aca="false">MIN(MAX(0,Inputs!M109),MAX(0,M58+M59-M61))</f>
        <v>0</v>
      </c>
      <c r="N62" s="69" t="n">
        <f aca="false">MIN(MAX(0,Inputs!N109),MAX(0,N58+N59-N61))</f>
        <v>0</v>
      </c>
      <c r="O62" s="69" t="n">
        <f aca="false">MIN(MAX(0,Inputs!O109),MAX(0,O58+O59-O61))</f>
        <v>0</v>
      </c>
      <c r="P62" s="69" t="n">
        <f aca="false">MIN(MAX(0,Inputs!P109),MAX(0,P58+P59-P61))</f>
        <v>0</v>
      </c>
      <c r="Q62" s="69" t="n">
        <f aca="false">MIN(MAX(0,Inputs!Q109),MAX(0,Q58+Q59-Q61))</f>
        <v>0</v>
      </c>
      <c r="R62" s="69" t="n">
        <f aca="false">MIN(MAX(0,Inputs!R109),MAX(0,R58+R59-R61))</f>
        <v>0</v>
      </c>
      <c r="S62" s="69" t="n">
        <f aca="false">MIN(MAX(0,Inputs!S109),MAX(0,S58+S59-S61))</f>
        <v>0</v>
      </c>
      <c r="T62" s="69" t="n">
        <f aca="false">MIN(MAX(0,Inputs!T109),MAX(0,T58+T59-T61))</f>
        <v>0</v>
      </c>
      <c r="U62" s="69" t="n">
        <f aca="false">MIN(MAX(0,Inputs!U109),MAX(0,U58+U59-U61))</f>
        <v>0</v>
      </c>
      <c r="V62" s="69" t="n">
        <f aca="false">MIN(MAX(0,Inputs!V109),MAX(0,V58+V59-V61))</f>
        <v>0</v>
      </c>
      <c r="W62" s="69" t="n">
        <f aca="false">MIN(MAX(0,Inputs!W109),MAX(0,W58+W59-W61))</f>
        <v>0</v>
      </c>
      <c r="X62" s="69" t="n">
        <f aca="false">MIN(MAX(0,Inputs!X109),MAX(0,X58+X59-X61))</f>
        <v>0</v>
      </c>
      <c r="Y62" s="69" t="n">
        <f aca="false">MIN(MAX(0,Inputs!Y109),MAX(0,Y58+Y59-Y61))</f>
        <v>0</v>
      </c>
      <c r="Z62" s="69" t="n">
        <f aca="false">MIN(MAX(0,Inputs!Z109),MAX(0,Z58+Z59-Z61))</f>
        <v>0</v>
      </c>
      <c r="AA62" s="69" t="n">
        <f aca="false">MIN(MAX(0,Inputs!AA109),MAX(0,AA58+AA59-AA61))</f>
        <v>0</v>
      </c>
      <c r="AB62" s="69" t="n">
        <f aca="false">MIN(MAX(0,Inputs!AB109),MAX(0,AB58+AB59-AB61))</f>
        <v>0</v>
      </c>
      <c r="AC62" s="69" t="n">
        <f aca="false">MIN(MAX(0,Inputs!AC109),MAX(0,AC58+AC59-AC61))</f>
        <v>0</v>
      </c>
      <c r="AD62" s="69" t="n">
        <f aca="false">MIN(MAX(0,Inputs!AD109),MAX(0,AD58+AD59-AD61))</f>
        <v>0</v>
      </c>
      <c r="AE62" s="69" t="n">
        <f aca="false">MIN(MAX(0,Inputs!AE109),MAX(0,AE58+AE59-AE61))</f>
        <v>0</v>
      </c>
      <c r="AF62" s="69" t="n">
        <f aca="false">MIN(MAX(0,Inputs!AF109),MAX(0,AF58+AF59-AF61))</f>
        <v>0</v>
      </c>
      <c r="AG62" s="69" t="n">
        <f aca="false">MIN(MAX(0,Inputs!AG109),MAX(0,AG58+AG59-AG61))</f>
        <v>0</v>
      </c>
      <c r="AH62" s="69" t="n">
        <f aca="false">MIN(MAX(0,Inputs!AH109),MAX(0,AH58+AH59-AH61))</f>
        <v>0</v>
      </c>
      <c r="AI62" s="69" t="n">
        <f aca="false">MIN(MAX(0,Inputs!AI109),MAX(0,AI58+AI59-AI61))</f>
        <v>0</v>
      </c>
      <c r="AJ62" s="69" t="n">
        <f aca="false">MIN(MAX(0,Inputs!AJ109),MAX(0,AJ58+AJ59-AJ61))</f>
        <v>0</v>
      </c>
      <c r="AK62" s="69" t="n">
        <f aca="false">MIN(MAX(0,Inputs!AK109),MAX(0,AK58+AK59-AK61))</f>
        <v>0</v>
      </c>
      <c r="AL62" s="69" t="n">
        <f aca="false">MIN(MAX(0,Inputs!AL109),MAX(0,AL58+AL59-AL61))</f>
        <v>0</v>
      </c>
      <c r="AM62" s="69" t="n">
        <f aca="false">MIN(MAX(0,Inputs!AM109),MAX(0,AM58+AM59-AM61))</f>
        <v>0</v>
      </c>
    </row>
    <row r="63" customFormat="false" ht="21" hidden="false" customHeight="true" outlineLevel="0" collapsed="false">
      <c r="C63" s="56" t="s">
        <v>361</v>
      </c>
      <c r="D63" s="69"/>
      <c r="E63" s="69"/>
      <c r="F63" s="69"/>
      <c r="G63" s="69"/>
      <c r="H63" s="69"/>
      <c r="I63" s="69"/>
      <c r="J63" s="69" t="n">
        <f aca="false">MIN(MAX(0,Inputs!J110),MAX(0,J58+J59-J61-J62))</f>
        <v>0</v>
      </c>
      <c r="K63" s="69" t="n">
        <f aca="false">MIN(MAX(0,Inputs!K110),MAX(0,K58+K59-K61-K62))</f>
        <v>0</v>
      </c>
      <c r="L63" s="69" t="n">
        <f aca="false">MIN(MAX(0,Inputs!L110),MAX(0,L58+L59-L61-L62))</f>
        <v>0</v>
      </c>
      <c r="M63" s="69" t="n">
        <f aca="false">MIN(MAX(0,Inputs!M110),MAX(0,M58+M59-M61-M62))</f>
        <v>0</v>
      </c>
      <c r="N63" s="69" t="n">
        <f aca="false">MIN(MAX(0,Inputs!N110),MAX(0,N58+N59-N61-N62))</f>
        <v>0</v>
      </c>
      <c r="O63" s="69" t="n">
        <f aca="false">MIN(MAX(0,Inputs!O110),MAX(0,O58+O59-O61-O62))</f>
        <v>0</v>
      </c>
      <c r="P63" s="69" t="n">
        <f aca="false">MIN(MAX(0,Inputs!P110),MAX(0,P58+P59-P61-P62))</f>
        <v>0</v>
      </c>
      <c r="Q63" s="69" t="n">
        <f aca="false">MIN(MAX(0,Inputs!Q110),MAX(0,Q58+Q59-Q61-Q62))</f>
        <v>0</v>
      </c>
      <c r="R63" s="69" t="n">
        <f aca="false">MIN(MAX(0,Inputs!R110),MAX(0,R58+R59-R61-R62))</f>
        <v>0</v>
      </c>
      <c r="S63" s="69" t="n">
        <f aca="false">MIN(MAX(0,Inputs!S110),MAX(0,S58+S59-S61-S62))</f>
        <v>0</v>
      </c>
      <c r="T63" s="69" t="n">
        <f aca="false">MIN(MAX(0,Inputs!T110),MAX(0,T58+T59-T61-T62))</f>
        <v>0</v>
      </c>
      <c r="U63" s="69" t="n">
        <f aca="false">MIN(MAX(0,Inputs!U110),MAX(0,U58+U59-U61-U62))</f>
        <v>0</v>
      </c>
      <c r="V63" s="69" t="n">
        <f aca="false">MIN(MAX(0,Inputs!V110),MAX(0,V58+V59-V61-V62))</f>
        <v>0</v>
      </c>
      <c r="W63" s="69" t="n">
        <f aca="false">MIN(MAX(0,Inputs!W110),MAX(0,W58+W59-W61-W62))</f>
        <v>0</v>
      </c>
      <c r="X63" s="69" t="n">
        <f aca="false">MIN(MAX(0,Inputs!X110),MAX(0,X58+X59-X61-X62))</f>
        <v>0</v>
      </c>
      <c r="Y63" s="69" t="n">
        <f aca="false">MIN(MAX(0,Inputs!Y110),MAX(0,Y58+Y59-Y61-Y62))</f>
        <v>0</v>
      </c>
      <c r="Z63" s="69" t="n">
        <f aca="false">MIN(MAX(0,Inputs!Z110),MAX(0,Z58+Z59-Z61-Z62))</f>
        <v>0</v>
      </c>
      <c r="AA63" s="69" t="n">
        <f aca="false">MIN(MAX(0,Inputs!AA110),MAX(0,AA58+AA59-AA61-AA62))</f>
        <v>0</v>
      </c>
      <c r="AB63" s="69" t="n">
        <f aca="false">MIN(MAX(0,Inputs!AB110),MAX(0,AB58+AB59-AB61-AB62))</f>
        <v>0</v>
      </c>
      <c r="AC63" s="69" t="n">
        <f aca="false">MIN(MAX(0,Inputs!AC110),MAX(0,AC58+AC59-AC61-AC62))</f>
        <v>0</v>
      </c>
      <c r="AD63" s="69" t="n">
        <f aca="false">MIN(MAX(0,Inputs!AD110),MAX(0,AD58+AD59-AD61-AD62))</f>
        <v>0</v>
      </c>
      <c r="AE63" s="69" t="n">
        <f aca="false">MIN(MAX(0,Inputs!AE110),MAX(0,AE58+AE59-AE61-AE62))</f>
        <v>0</v>
      </c>
      <c r="AF63" s="69" t="n">
        <f aca="false">MIN(MAX(0,Inputs!AF110),MAX(0,AF58+AF59-AF61-AF62))</f>
        <v>0</v>
      </c>
      <c r="AG63" s="69" t="n">
        <f aca="false">MIN(MAX(0,Inputs!AG110),MAX(0,AG58+AG59-AG61-AG62))</f>
        <v>0</v>
      </c>
      <c r="AH63" s="69" t="n">
        <f aca="false">MIN(MAX(0,Inputs!AH110),MAX(0,AH58+AH59-AH61-AH62))</f>
        <v>0</v>
      </c>
      <c r="AI63" s="69" t="n">
        <f aca="false">MIN(MAX(0,Inputs!AI110),MAX(0,AI58+AI59-AI61-AI62))</f>
        <v>0</v>
      </c>
      <c r="AJ63" s="69" t="n">
        <f aca="false">MIN(MAX(0,Inputs!AJ110),MAX(0,AJ58+AJ59-AJ61-AJ62))</f>
        <v>0</v>
      </c>
      <c r="AK63" s="69" t="n">
        <f aca="false">MIN(MAX(0,Inputs!AK110),MAX(0,AK58+AK59-AK61-AK62))</f>
        <v>0</v>
      </c>
      <c r="AL63" s="69" t="n">
        <f aca="false">MIN(MAX(0,Inputs!AL110),MAX(0,AL58+AL59-AL61-AL62))</f>
        <v>0</v>
      </c>
      <c r="AM63" s="69" t="n">
        <f aca="false">MIN(MAX(0,Inputs!AM110),MAX(0,AM58+AM59-AM61-AM62))</f>
        <v>0</v>
      </c>
    </row>
    <row r="64" customFormat="false" ht="21" hidden="false" customHeight="true" outlineLevel="0" collapsed="false">
      <c r="C64" s="56" t="s">
        <v>362</v>
      </c>
      <c r="D64" s="71"/>
      <c r="E64" s="71"/>
      <c r="F64" s="71"/>
      <c r="G64" s="71"/>
      <c r="H64" s="71"/>
      <c r="I64" s="71"/>
      <c r="J64" s="71" t="n">
        <f aca="false">J58+J59+J60-J61-J62-J63</f>
        <v>62.8991074744396</v>
      </c>
      <c r="K64" s="71" t="n">
        <f aca="false">K58+K59+K60-K61-K62-K63</f>
        <v>62.6459299919442</v>
      </c>
      <c r="L64" s="71" t="n">
        <f aca="false">L58+L59+L60-L61-L62-L63</f>
        <v>62.3793999725136</v>
      </c>
      <c r="M64" s="71" t="n">
        <f aca="false">M58+M59+M60-M61-M62-M63</f>
        <v>62.0995174161479</v>
      </c>
      <c r="N64" s="71" t="n">
        <f aca="false">N58+N59+N60-N61-N62-N63</f>
        <v>61.8062823228471</v>
      </c>
      <c r="O64" s="71" t="n">
        <f aca="false">O58+O59+O60-O61-O62-O63</f>
        <v>61.4996946926112</v>
      </c>
      <c r="P64" s="71" t="n">
        <f aca="false">P58+P59+P60-P61-P62-P63</f>
        <v>61.2198121362455</v>
      </c>
      <c r="Q64" s="71" t="n">
        <f aca="false">Q58+Q59+Q60-Q61-Q62-Q63</f>
        <v>60.925909416098</v>
      </c>
      <c r="R64" s="71" t="n">
        <f aca="false">R58+R59+R60-R61-R62-R63</f>
        <v>60.6179865321686</v>
      </c>
      <c r="S64" s="71" t="n">
        <f aca="false">S58+S59+S60-S61-S62-S63</f>
        <v>60.2960434844573</v>
      </c>
      <c r="T64" s="71" t="n">
        <f aca="false">T58+T59+T60-T61-T62-T63</f>
        <v>59.9600802729642</v>
      </c>
      <c r="U64" s="71" t="n">
        <f aca="false">U58+U59+U60-U61-U62-U63</f>
        <v>59.6100968976892</v>
      </c>
      <c r="V64" s="71" t="n">
        <f aca="false">V58+V59+V60-V61-V62-V63</f>
        <v>59.2460933586324</v>
      </c>
      <c r="W64" s="71" t="n">
        <f aca="false">W58+W59+W60-W61-W62-W63</f>
        <v>58.8680696557937</v>
      </c>
      <c r="X64" s="71" t="n">
        <f aca="false">X58+X59+X60-X61-X62-X63</f>
        <v>58.4760257891731</v>
      </c>
      <c r="Y64" s="71" t="n">
        <f aca="false">Y58+Y59+Y60-Y61-Y62-Y63</f>
        <v>58.0699617587707</v>
      </c>
      <c r="Z64" s="71" t="n">
        <f aca="false">Z58+Z59+Z60-Z61-Z62-Z63</f>
        <v>57.6498775645864</v>
      </c>
      <c r="AA64" s="71" t="n">
        <f aca="false">AA58+AA59+AA60-AA61-AA62-AA63</f>
        <v>57.2157732066203</v>
      </c>
      <c r="AB64" s="71" t="n">
        <f aca="false">AB58+AB59+AB60-AB61-AB62-AB63</f>
        <v>56.8097091762178</v>
      </c>
      <c r="AC64" s="71" t="n">
        <f aca="false">AC58+AC59+AC60-AC61-AC62-AC63</f>
        <v>56.3889239738445</v>
      </c>
      <c r="AD64" s="71" t="n">
        <f aca="false">AD58+AD59+AD60-AD61-AD62-AD63</f>
        <v>55.9534175995001</v>
      </c>
      <c r="AE64" s="71" t="n">
        <f aca="false">AE58+AE59+AE60-AE61-AE62-AE63</f>
        <v>55.5031900531848</v>
      </c>
      <c r="AF64" s="71" t="n">
        <f aca="false">AF58+AF59+AF60-AF61-AF62-AF63</f>
        <v>55.0382413348986</v>
      </c>
      <c r="AG64" s="71" t="n">
        <f aca="false">AG58+AG59+AG60-AG61-AG62-AG63</f>
        <v>54.5585714446414</v>
      </c>
      <c r="AH64" s="71" t="n">
        <f aca="false">AH58+AH59+AH60-AH61-AH62-AH63</f>
        <v>54.0641803824133</v>
      </c>
      <c r="AI64" s="71" t="n">
        <f aca="false">AI58+AI59+AI60-AI61-AI62-AI63</f>
        <v>53.5550681482142</v>
      </c>
      <c r="AJ64" s="71" t="n">
        <f aca="false">AJ58+AJ59+AJ60-AJ61-AJ62-AJ63</f>
        <v>53.0312347420441</v>
      </c>
      <c r="AK64" s="71" t="n">
        <f aca="false">AK58+AK59+AK60-AK61-AK62-AK63</f>
        <v>52.4926801639031</v>
      </c>
      <c r="AL64" s="71" t="n">
        <f aca="false">AL58+AL59+AL60-AL61-AL62-AL63</f>
        <v>51.9394044137912</v>
      </c>
      <c r="AM64" s="71" t="n">
        <f aca="false">AM58+AM59+AM60-AM61-AM62-AM63</f>
        <v>51.3714074917083</v>
      </c>
    </row>
    <row r="65" customFormat="false" ht="21" hidden="false" customHeight="true" outlineLevel="0" collapsed="false">
      <c r="C65" s="56" t="s">
        <v>363</v>
      </c>
      <c r="D65" s="71"/>
      <c r="E65" s="71"/>
      <c r="F65" s="71"/>
      <c r="G65" s="71"/>
      <c r="H65" s="71"/>
      <c r="I65" s="71"/>
      <c r="J65" s="71" t="n">
        <f aca="false">J58+J59+J60-J61-J62-J63-J64</f>
        <v>0</v>
      </c>
      <c r="K65" s="71" t="n">
        <f aca="false">K58+K59+K60-K61-K62-K63-K64</f>
        <v>0</v>
      </c>
      <c r="L65" s="71" t="n">
        <f aca="false">L58+L59+L60-L61-L62-L63-L64</f>
        <v>0</v>
      </c>
      <c r="M65" s="71" t="n">
        <f aca="false">M58+M59+M60-M61-M62-M63-M64</f>
        <v>0</v>
      </c>
      <c r="N65" s="71" t="n">
        <f aca="false">N58+N59+N60-N61-N62-N63-N64</f>
        <v>0</v>
      </c>
      <c r="O65" s="71" t="n">
        <f aca="false">O58+O59+O60-O61-O62-O63-O64</f>
        <v>0</v>
      </c>
      <c r="P65" s="71" t="n">
        <f aca="false">P58+P59+P60-P61-P62-P63-P64</f>
        <v>0</v>
      </c>
      <c r="Q65" s="71" t="n">
        <f aca="false">Q58+Q59+Q60-Q61-Q62-Q63-Q64</f>
        <v>0</v>
      </c>
      <c r="R65" s="71" t="n">
        <f aca="false">R58+R59+R60-R61-R62-R63-R64</f>
        <v>0</v>
      </c>
      <c r="S65" s="71" t="n">
        <f aca="false">S58+S59+S60-S61-S62-S63-S64</f>
        <v>0</v>
      </c>
      <c r="T65" s="71" t="n">
        <f aca="false">T58+T59+T60-T61-T62-T63-T64</f>
        <v>0</v>
      </c>
      <c r="U65" s="71" t="n">
        <f aca="false">U58+U59+U60-U61-U62-U63-U64</f>
        <v>0</v>
      </c>
      <c r="V65" s="71" t="n">
        <f aca="false">V58+V59+V60-V61-V62-V63-V64</f>
        <v>0</v>
      </c>
      <c r="W65" s="71" t="n">
        <f aca="false">W58+W59+W60-W61-W62-W63-W64</f>
        <v>0</v>
      </c>
      <c r="X65" s="71" t="n">
        <f aca="false">X58+X59+X60-X61-X62-X63-X64</f>
        <v>0</v>
      </c>
      <c r="Y65" s="71" t="n">
        <f aca="false">Y58+Y59+Y60-Y61-Y62-Y63-Y64</f>
        <v>0</v>
      </c>
      <c r="Z65" s="71" t="n">
        <f aca="false">Z58+Z59+Z60-Z61-Z62-Z63-Z64</f>
        <v>0</v>
      </c>
      <c r="AA65" s="71" t="n">
        <f aca="false">AA58+AA59+AA60-AA61-AA62-AA63-AA64</f>
        <v>0</v>
      </c>
      <c r="AB65" s="71" t="n">
        <f aca="false">AB58+AB59+AB60-AB61-AB62-AB63-AB64</f>
        <v>0</v>
      </c>
      <c r="AC65" s="71" t="n">
        <f aca="false">AC58+AC59+AC60-AC61-AC62-AC63-AC64</f>
        <v>0</v>
      </c>
      <c r="AD65" s="71" t="n">
        <f aca="false">AD58+AD59+AD60-AD61-AD62-AD63-AD64</f>
        <v>0</v>
      </c>
      <c r="AE65" s="71" t="n">
        <f aca="false">AE58+AE59+AE60-AE61-AE62-AE63-AE64</f>
        <v>0</v>
      </c>
      <c r="AF65" s="71" t="n">
        <f aca="false">AF58+AF59+AF60-AF61-AF62-AF63-AF64</f>
        <v>0</v>
      </c>
      <c r="AG65" s="71" t="n">
        <f aca="false">AG58+AG59+AG60-AG61-AG62-AG63-AG64</f>
        <v>0</v>
      </c>
      <c r="AH65" s="71" t="n">
        <f aca="false">AH58+AH59+AH60-AH61-AH62-AH63-AH64</f>
        <v>0</v>
      </c>
      <c r="AI65" s="71" t="n">
        <f aca="false">AI58+AI59+AI60-AI61-AI62-AI63-AI64</f>
        <v>0</v>
      </c>
      <c r="AJ65" s="71" t="n">
        <f aca="false">AJ58+AJ59+AJ60-AJ61-AJ62-AJ63-AJ64</f>
        <v>0</v>
      </c>
      <c r="AK65" s="71" t="n">
        <f aca="false">AK58+AK59+AK60-AK61-AK62-AK63-AK64</f>
        <v>0</v>
      </c>
      <c r="AL65" s="71" t="n">
        <f aca="false">AL58+AL59+AL60-AL61-AL62-AL63-AL64</f>
        <v>0</v>
      </c>
      <c r="AM65" s="71" t="n">
        <f aca="false">AM58+AM59+AM60-AM61-AM62-AM63-AM64</f>
        <v>0</v>
      </c>
    </row>
    <row r="66" customFormat="false" ht="21" hidden="false" customHeight="true" outlineLevel="0" collapsed="false">
      <c r="C66" s="56" t="s">
        <v>364</v>
      </c>
      <c r="D66" s="71"/>
      <c r="E66" s="69"/>
      <c r="F66" s="69"/>
      <c r="G66" s="69"/>
      <c r="H66" s="69"/>
      <c r="I66" s="69"/>
      <c r="J66" s="69" t="n">
        <f aca="false">J59+J60</f>
        <v>0.801152216106299</v>
      </c>
      <c r="K66" s="69" t="n">
        <f aca="false">Assets!J66+K59+K60</f>
        <v>1.6023044322126</v>
      </c>
      <c r="L66" s="69" t="n">
        <f aca="false">Assets!K66+L59+L60</f>
        <v>2.4034566483189</v>
      </c>
      <c r="M66" s="69" t="n">
        <f aca="false">Assets!L66+M59+M60</f>
        <v>3.20460886442519</v>
      </c>
      <c r="N66" s="69" t="n">
        <f aca="false">Assets!M66+N59+N60</f>
        <v>4.00576108053149</v>
      </c>
      <c r="O66" s="69" t="n">
        <f aca="false">Assets!N66+O59+O60</f>
        <v>4.80691329663779</v>
      </c>
      <c r="P66" s="69" t="n">
        <f aca="false">Assets!O66+P59+P60</f>
        <v>5.64812312354941</v>
      </c>
      <c r="Q66" s="69" t="n">
        <f aca="false">Assets!P66+Q59+Q60</f>
        <v>6.48933295046102</v>
      </c>
      <c r="R66" s="69" t="n">
        <f aca="false">Assets!Q66+R59+R60</f>
        <v>7.33054277737263</v>
      </c>
      <c r="S66" s="69" t="n">
        <f aca="false">Assets!R66+S59+S60</f>
        <v>8.17175260428425</v>
      </c>
      <c r="T66" s="69" t="n">
        <f aca="false">Assets!S66+T59+T60</f>
        <v>9.01296243119586</v>
      </c>
      <c r="U66" s="69" t="n">
        <f aca="false">Assets!T66+U59+U60</f>
        <v>9.85417225810748</v>
      </c>
      <c r="V66" s="69" t="n">
        <f aca="false">Assets!U66+V59+V60</f>
        <v>10.6953820850191</v>
      </c>
      <c r="W66" s="69" t="n">
        <f aca="false">Assets!V66+W59+W60</f>
        <v>11.5365919119307</v>
      </c>
      <c r="X66" s="69" t="n">
        <f aca="false">Assets!W66+X59+X60</f>
        <v>12.3778017388423</v>
      </c>
      <c r="Y66" s="69" t="n">
        <f aca="false">Assets!X66+Y59+Y60</f>
        <v>13.2190115657539</v>
      </c>
      <c r="Z66" s="69" t="n">
        <f aca="false">Assets!Y66+Z59+Z60</f>
        <v>14.0602213926655</v>
      </c>
      <c r="AA66" s="69" t="n">
        <f aca="false">Assets!Z66+AA59+AA60</f>
        <v>14.9014312195772</v>
      </c>
      <c r="AB66" s="69" t="n">
        <f aca="false">Assets!AA66+AB59+AB60</f>
        <v>15.7847015378344</v>
      </c>
      <c r="AC66" s="69" t="n">
        <f aca="false">Assets!AB66+AC59+AC60</f>
        <v>16.6679718560915</v>
      </c>
      <c r="AD66" s="69" t="n">
        <f aca="false">Assets!AC66+AD59+AD60</f>
        <v>17.5512421743487</v>
      </c>
      <c r="AE66" s="69" t="n">
        <f aca="false">Assets!AD66+AE59+AE60</f>
        <v>18.4345124926059</v>
      </c>
      <c r="AF66" s="69" t="n">
        <f aca="false">Assets!AE66+AF59+AF60</f>
        <v>19.3177828108631</v>
      </c>
      <c r="AG66" s="69" t="n">
        <f aca="false">Assets!AF66+AG59+AG60</f>
        <v>20.2010531291203</v>
      </c>
      <c r="AH66" s="69" t="n">
        <f aca="false">Assets!AG66+AH59+AH60</f>
        <v>21.0843234473775</v>
      </c>
      <c r="AI66" s="69" t="n">
        <f aca="false">Assets!AH66+AI59+AI60</f>
        <v>21.9675937656347</v>
      </c>
      <c r="AJ66" s="69" t="n">
        <f aca="false">Assets!AI66+AJ59+AJ60</f>
        <v>22.8508640838919</v>
      </c>
      <c r="AK66" s="69" t="n">
        <f aca="false">Assets!AJ66+AK59+AK60</f>
        <v>23.7341344021491</v>
      </c>
      <c r="AL66" s="69" t="n">
        <f aca="false">Assets!AK66+AL59+AL60</f>
        <v>24.6174047204063</v>
      </c>
      <c r="AM66" s="69" t="n">
        <f aca="false">Assets!AL66+AM59+AM60</f>
        <v>25.5006750386635</v>
      </c>
    </row>
    <row r="67" customFormat="false" ht="21" hidden="false" customHeight="true" outlineLevel="0" collapsed="false">
      <c r="C67" s="5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</row>
    <row r="68" customFormat="false" ht="21" hidden="false" customHeight="true" outlineLevel="0" collapsed="false">
      <c r="C68" s="56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</row>
    <row r="69" customFormat="false" ht="25" hidden="false" customHeight="true" outlineLevel="0" collapsed="false">
      <c r="C69" s="63" t="s">
        <v>369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</row>
    <row r="70" customFormat="false" ht="21" hidden="false" customHeight="true" outlineLevel="0" collapsed="false">
      <c r="C70" s="56" t="s">
        <v>356</v>
      </c>
      <c r="D70" s="69"/>
      <c r="E70" s="69"/>
      <c r="F70" s="69"/>
      <c r="G70" s="69"/>
      <c r="H70" s="69"/>
      <c r="I70" s="69"/>
      <c r="J70" s="69" t="n">
        <f aca="false">H1Data!D27+H1Data!D28</f>
        <v>349.07459603</v>
      </c>
      <c r="K70" s="69" t="n">
        <f aca="false">Assets!J76</f>
        <v>351.6317920696</v>
      </c>
      <c r="L70" s="69" t="n">
        <f aca="false">Assets!K76</f>
        <v>354.152519632412</v>
      </c>
      <c r="M70" s="69" t="n">
        <f aca="false">Assets!L76</f>
        <v>356.636778718435</v>
      </c>
      <c r="N70" s="69" t="n">
        <f aca="false">Assets!M76</f>
        <v>359.08456932767</v>
      </c>
      <c r="O70" s="69" t="n">
        <f aca="false">Assets!N76</f>
        <v>361.495891460117</v>
      </c>
      <c r="P70" s="69" t="n">
        <f aca="false">Assets!O76</f>
        <v>363.870745115775</v>
      </c>
      <c r="Q70" s="69" t="n">
        <f aca="false">Assets!P76</f>
        <v>366.427941155375</v>
      </c>
      <c r="R70" s="69" t="n">
        <f aca="false">Assets!Q76</f>
        <v>368.946845294347</v>
      </c>
      <c r="S70" s="69" t="n">
        <f aca="false">Assets!R76</f>
        <v>371.427457532692</v>
      </c>
      <c r="T70" s="69" t="n">
        <f aca="false">Assets!S76</f>
        <v>373.869777870408</v>
      </c>
      <c r="U70" s="69" t="n">
        <f aca="false">Assets!T76</f>
        <v>376.273806307497</v>
      </c>
      <c r="V70" s="69" t="n">
        <f aca="false">Assets!U76</f>
        <v>378.639542843959</v>
      </c>
      <c r="W70" s="69" t="n">
        <f aca="false">Assets!V76</f>
        <v>380.966987479792</v>
      </c>
      <c r="X70" s="69" t="n">
        <f aca="false">Assets!W76</f>
        <v>383.256140214998</v>
      </c>
      <c r="Y70" s="69" t="n">
        <f aca="false">Assets!X76</f>
        <v>385.507001049576</v>
      </c>
      <c r="Z70" s="69" t="n">
        <f aca="false">Assets!Y76</f>
        <v>387.719569983526</v>
      </c>
      <c r="AA70" s="69" t="n">
        <f aca="false">Assets!Z76</f>
        <v>389.893847016849</v>
      </c>
      <c r="AB70" s="69" t="n">
        <f aca="false">Assets!AA76</f>
        <v>392.029832149543</v>
      </c>
      <c r="AC70" s="69" t="n">
        <f aca="false">Assets!AB76</f>
        <v>394.357276785377</v>
      </c>
      <c r="AD70" s="69" t="n">
        <f aca="false">Assets!AC76</f>
        <v>396.644514925551</v>
      </c>
      <c r="AE70" s="69" t="n">
        <f aca="false">Assets!AD76</f>
        <v>398.891546570066</v>
      </c>
      <c r="AF70" s="69" t="n">
        <f aca="false">Assets!AE76</f>
        <v>401.098371718923</v>
      </c>
      <c r="AG70" s="69" t="n">
        <f aca="false">Assets!AF76</f>
        <v>403.26499037212</v>
      </c>
      <c r="AH70" s="69" t="n">
        <f aca="false">Assets!AG76</f>
        <v>405.391402529657</v>
      </c>
      <c r="AI70" s="69" t="n">
        <f aca="false">Assets!AH76</f>
        <v>407.477608191536</v>
      </c>
      <c r="AJ70" s="69" t="n">
        <f aca="false">Assets!AI76</f>
        <v>409.523607357756</v>
      </c>
      <c r="AK70" s="69" t="n">
        <f aca="false">Assets!AJ76</f>
        <v>411.529400028316</v>
      </c>
      <c r="AL70" s="69" t="n">
        <f aca="false">Assets!AK76</f>
        <v>413.494986203217</v>
      </c>
      <c r="AM70" s="69" t="n">
        <f aca="false">Assets!AL76</f>
        <v>415.420365882459</v>
      </c>
    </row>
    <row r="71" customFormat="false" ht="21" hidden="false" customHeight="true" outlineLevel="0" collapsed="false">
      <c r="C71" s="56" t="s">
        <v>357</v>
      </c>
      <c r="D71" s="69"/>
      <c r="E71" s="69"/>
      <c r="F71" s="69"/>
      <c r="G71" s="69"/>
      <c r="H71" s="69"/>
      <c r="I71" s="69"/>
      <c r="J71" s="69" t="n">
        <f aca="false">MAX(0,Inputs!J51)*MIN(1,MAX(0,Inputs!J98))</f>
        <v>4.3762172146</v>
      </c>
      <c r="K71" s="69" t="n">
        <f aca="false">MAX(0,Inputs!K51)*MIN(1,MAX(0,Inputs!K98))</f>
        <v>4.3762172146</v>
      </c>
      <c r="L71" s="69" t="n">
        <f aca="false">MAX(0,Inputs!L51)*MIN(1,MAX(0,Inputs!L98))</f>
        <v>4.3762172146</v>
      </c>
      <c r="M71" s="69" t="n">
        <f aca="false">MAX(0,Inputs!M51)*MIN(1,MAX(0,Inputs!M98))</f>
        <v>4.3762172146</v>
      </c>
      <c r="N71" s="69" t="n">
        <f aca="false">MAX(0,Inputs!N51)*MIN(1,MAX(0,Inputs!N98))</f>
        <v>4.3762172146</v>
      </c>
      <c r="O71" s="69" t="n">
        <f aca="false">MAX(0,Inputs!O51)*MIN(1,MAX(0,Inputs!O98))</f>
        <v>4.3762172146</v>
      </c>
      <c r="P71" s="69" t="n">
        <f aca="false">MAX(0,Inputs!P51)*MIN(1,MAX(0,Inputs!P98))</f>
        <v>4.59502807533</v>
      </c>
      <c r="Q71" s="69" t="n">
        <f aca="false">MAX(0,Inputs!Q51)*MIN(1,MAX(0,Inputs!Q98))</f>
        <v>4.59502807533</v>
      </c>
      <c r="R71" s="69" t="n">
        <f aca="false">MAX(0,Inputs!R51)*MIN(1,MAX(0,Inputs!R98))</f>
        <v>4.59502807533</v>
      </c>
      <c r="S71" s="69" t="n">
        <f aca="false">MAX(0,Inputs!S51)*MIN(1,MAX(0,Inputs!S98))</f>
        <v>4.59502807533</v>
      </c>
      <c r="T71" s="69" t="n">
        <f aca="false">MAX(0,Inputs!T51)*MIN(1,MAX(0,Inputs!T98))</f>
        <v>4.59502807533</v>
      </c>
      <c r="U71" s="69" t="n">
        <f aca="false">MAX(0,Inputs!U51)*MIN(1,MAX(0,Inputs!U98))</f>
        <v>4.59502807533</v>
      </c>
      <c r="V71" s="69" t="n">
        <f aca="false">MAX(0,Inputs!V51)*MIN(1,MAX(0,Inputs!V98))</f>
        <v>4.59502807533</v>
      </c>
      <c r="W71" s="69" t="n">
        <f aca="false">MAX(0,Inputs!W51)*MIN(1,MAX(0,Inputs!W98))</f>
        <v>4.59502807533</v>
      </c>
      <c r="X71" s="69" t="n">
        <f aca="false">MAX(0,Inputs!X51)*MIN(1,MAX(0,Inputs!X98))</f>
        <v>4.59502807533</v>
      </c>
      <c r="Y71" s="69" t="n">
        <f aca="false">MAX(0,Inputs!Y51)*MIN(1,MAX(0,Inputs!Y98))</f>
        <v>4.59502807533</v>
      </c>
      <c r="Z71" s="69" t="n">
        <f aca="false">MAX(0,Inputs!Z51)*MIN(1,MAX(0,Inputs!Z98))</f>
        <v>4.59502807533</v>
      </c>
      <c r="AA71" s="69" t="n">
        <f aca="false">MAX(0,Inputs!AA51)*MIN(1,MAX(0,Inputs!AA98))</f>
        <v>4.59502807533</v>
      </c>
      <c r="AB71" s="69" t="n">
        <f aca="false">MAX(0,Inputs!AB51)*MIN(1,MAX(0,Inputs!AB98))</f>
        <v>4.8247794790965</v>
      </c>
      <c r="AC71" s="69" t="n">
        <f aca="false">MAX(0,Inputs!AC51)*MIN(1,MAX(0,Inputs!AC98))</f>
        <v>4.8247794790965</v>
      </c>
      <c r="AD71" s="69" t="n">
        <f aca="false">MAX(0,Inputs!AD51)*MIN(1,MAX(0,Inputs!AD98))</f>
        <v>4.8247794790965</v>
      </c>
      <c r="AE71" s="69" t="n">
        <f aca="false">MAX(0,Inputs!AE51)*MIN(1,MAX(0,Inputs!AE98))</f>
        <v>4.8247794790965</v>
      </c>
      <c r="AF71" s="69" t="n">
        <f aca="false">MAX(0,Inputs!AF51)*MIN(1,MAX(0,Inputs!AF98))</f>
        <v>4.8247794790965</v>
      </c>
      <c r="AG71" s="69" t="n">
        <f aca="false">MAX(0,Inputs!AG51)*MIN(1,MAX(0,Inputs!AG98))</f>
        <v>4.8247794790965</v>
      </c>
      <c r="AH71" s="69" t="n">
        <f aca="false">MAX(0,Inputs!AH51)*MIN(1,MAX(0,Inputs!AH98))</f>
        <v>4.8247794790965</v>
      </c>
      <c r="AI71" s="69" t="n">
        <f aca="false">MAX(0,Inputs!AI51)*MIN(1,MAX(0,Inputs!AI98))</f>
        <v>4.8247794790965</v>
      </c>
      <c r="AJ71" s="69" t="n">
        <f aca="false">MAX(0,Inputs!AJ51)*MIN(1,MAX(0,Inputs!AJ98))</f>
        <v>4.8247794790965</v>
      </c>
      <c r="AK71" s="69" t="n">
        <f aca="false">MAX(0,Inputs!AK51)*MIN(1,MAX(0,Inputs!AK98))</f>
        <v>4.8247794790965</v>
      </c>
      <c r="AL71" s="69" t="n">
        <f aca="false">MAX(0,Inputs!AL51)*MIN(1,MAX(0,Inputs!AL98))</f>
        <v>4.8247794790965</v>
      </c>
      <c r="AM71" s="69" t="n">
        <f aca="false">MAX(0,Inputs!AM51)*MIN(1,MAX(0,Inputs!AM98))</f>
        <v>4.8247794790965</v>
      </c>
    </row>
    <row r="72" customFormat="false" ht="21" hidden="false" customHeight="true" outlineLevel="0" collapsed="false">
      <c r="C72" s="56" t="s">
        <v>358</v>
      </c>
      <c r="D72" s="71"/>
      <c r="E72" s="71"/>
      <c r="F72" s="71"/>
      <c r="G72" s="71"/>
      <c r="H72" s="71"/>
      <c r="I72" s="71"/>
      <c r="J72" s="71" t="n">
        <f aca="false">0</f>
        <v>0</v>
      </c>
      <c r="K72" s="71" t="n">
        <f aca="false">0</f>
        <v>0</v>
      </c>
      <c r="L72" s="71" t="n">
        <f aca="false">0</f>
        <v>0</v>
      </c>
      <c r="M72" s="71" t="n">
        <f aca="false">0</f>
        <v>0</v>
      </c>
      <c r="N72" s="71" t="n">
        <f aca="false">0</f>
        <v>0</v>
      </c>
      <c r="O72" s="71" t="n">
        <f aca="false">0</f>
        <v>0</v>
      </c>
      <c r="P72" s="71" t="n">
        <f aca="false">0</f>
        <v>0</v>
      </c>
      <c r="Q72" s="71" t="n">
        <f aca="false">0</f>
        <v>0</v>
      </c>
      <c r="R72" s="71" t="n">
        <f aca="false">0</f>
        <v>0</v>
      </c>
      <c r="S72" s="71" t="n">
        <f aca="false">0</f>
        <v>0</v>
      </c>
      <c r="T72" s="71" t="n">
        <f aca="false">0</f>
        <v>0</v>
      </c>
      <c r="U72" s="71" t="n">
        <f aca="false">0</f>
        <v>0</v>
      </c>
      <c r="V72" s="71" t="n">
        <f aca="false">0</f>
        <v>0</v>
      </c>
      <c r="W72" s="71" t="n">
        <f aca="false">0</f>
        <v>0</v>
      </c>
      <c r="X72" s="71" t="n">
        <f aca="false">0</f>
        <v>0</v>
      </c>
      <c r="Y72" s="71" t="n">
        <f aca="false">0</f>
        <v>0</v>
      </c>
      <c r="Z72" s="71" t="n">
        <f aca="false">0</f>
        <v>0</v>
      </c>
      <c r="AA72" s="71" t="n">
        <f aca="false">0</f>
        <v>0</v>
      </c>
      <c r="AB72" s="71" t="n">
        <f aca="false">0</f>
        <v>0</v>
      </c>
      <c r="AC72" s="71" t="n">
        <f aca="false">0</f>
        <v>0</v>
      </c>
      <c r="AD72" s="71" t="n">
        <f aca="false">0</f>
        <v>0</v>
      </c>
      <c r="AE72" s="71" t="n">
        <f aca="false">0</f>
        <v>0</v>
      </c>
      <c r="AF72" s="71" t="n">
        <f aca="false">0</f>
        <v>0</v>
      </c>
      <c r="AG72" s="71" t="n">
        <f aca="false">0</f>
        <v>0</v>
      </c>
      <c r="AH72" s="71" t="n">
        <f aca="false">0</f>
        <v>0</v>
      </c>
      <c r="AI72" s="71" t="n">
        <f aca="false">0</f>
        <v>0</v>
      </c>
      <c r="AJ72" s="71" t="n">
        <f aca="false">0</f>
        <v>0</v>
      </c>
      <c r="AK72" s="71" t="n">
        <f aca="false">0</f>
        <v>0</v>
      </c>
      <c r="AL72" s="71" t="n">
        <f aca="false">0</f>
        <v>0</v>
      </c>
      <c r="AM72" s="71" t="n">
        <f aca="false">0</f>
        <v>0</v>
      </c>
    </row>
    <row r="73" customFormat="false" ht="21" hidden="false" customHeight="true" outlineLevel="0" collapsed="false">
      <c r="C73" s="56" t="s">
        <v>359</v>
      </c>
      <c r="D73" s="69"/>
      <c r="E73" s="69"/>
      <c r="F73" s="69"/>
      <c r="G73" s="69"/>
      <c r="H73" s="69"/>
      <c r="I73" s="69"/>
      <c r="J73" s="69" t="n">
        <f aca="false">MIN(MAX(0,J70),(H1Data!D80+H1Data!D81)/6+0/Inputs!J95/12)</f>
        <v>1.819021175</v>
      </c>
      <c r="K73" s="69" t="n">
        <f aca="false">MIN(MAX(0,K70),(H1Data!D80+H1Data!D81)/6+Assets!J78/Inputs!K95/12)</f>
        <v>1.85548965178833</v>
      </c>
      <c r="L73" s="69" t="n">
        <f aca="false">MIN(MAX(0,L70),(H1Data!D80+H1Data!D81)/6+Assets!K78/Inputs!L95/12)</f>
        <v>1.89195812857667</v>
      </c>
      <c r="M73" s="69" t="n">
        <f aca="false">MIN(MAX(0,M70),(H1Data!D80+H1Data!D81)/6+Assets!L78/Inputs!M95/12)</f>
        <v>1.928426605365</v>
      </c>
      <c r="N73" s="69" t="n">
        <f aca="false">MIN(MAX(0,N70),(H1Data!D80+H1Data!D81)/6+Assets!M78/Inputs!N95/12)</f>
        <v>1.96489508215333</v>
      </c>
      <c r="O73" s="69" t="n">
        <f aca="false">MIN(MAX(0,O70),(H1Data!D80+H1Data!D81)/6+Assets!N78/Inputs!O95/12)</f>
        <v>2.00136355894167</v>
      </c>
      <c r="P73" s="69" t="n">
        <f aca="false">MIN(MAX(0,P70),(H1Data!D80+H1Data!D81)/6+Assets!O78/Inputs!P95/12)</f>
        <v>2.03783203573</v>
      </c>
      <c r="Q73" s="69" t="n">
        <f aca="false">MIN(MAX(0,Q70),(H1Data!D80+H1Data!D81)/6+Assets!P78/Inputs!Q95/12)</f>
        <v>2.07612393635775</v>
      </c>
      <c r="R73" s="69" t="n">
        <f aca="false">MIN(MAX(0,R70),(H1Data!D80+H1Data!D81)/6+Assets!Q78/Inputs!R95/12)</f>
        <v>2.1144158369855</v>
      </c>
      <c r="S73" s="69" t="n">
        <f aca="false">MIN(MAX(0,S70),(H1Data!D80+H1Data!D81)/6+Assets!R78/Inputs!S95/12)</f>
        <v>2.15270773761325</v>
      </c>
      <c r="T73" s="69" t="n">
        <f aca="false">MIN(MAX(0,T70),(H1Data!D80+H1Data!D81)/6+Assets!S78/Inputs!T95/12)</f>
        <v>2.190999638241</v>
      </c>
      <c r="U73" s="69" t="n">
        <f aca="false">MIN(MAX(0,U70),(H1Data!D80+H1Data!D81)/6+Assets!T78/Inputs!U95/12)</f>
        <v>2.22929153886875</v>
      </c>
      <c r="V73" s="69" t="n">
        <f aca="false">MIN(MAX(0,V70),(H1Data!D80+H1Data!D81)/6+Assets!U78/Inputs!V95/12)</f>
        <v>2.2675834394965</v>
      </c>
      <c r="W73" s="69" t="n">
        <f aca="false">MIN(MAX(0,W70),(H1Data!D80+H1Data!D81)/6+Assets!V78/Inputs!W95/12)</f>
        <v>2.30587534012425</v>
      </c>
      <c r="X73" s="69" t="n">
        <f aca="false">MIN(MAX(0,X70),(H1Data!D80+H1Data!D81)/6+Assets!W78/Inputs!X95/12)</f>
        <v>2.344167240752</v>
      </c>
      <c r="Y73" s="69" t="n">
        <f aca="false">MIN(MAX(0,Y70),(H1Data!D80+H1Data!D81)/6+Assets!X78/Inputs!Y95/12)</f>
        <v>2.38245914137975</v>
      </c>
      <c r="Z73" s="69" t="n">
        <f aca="false">MIN(MAX(0,Z70),(H1Data!D80+H1Data!D81)/6+Assets!Y78/Inputs!Z95/12)</f>
        <v>2.4207510420075</v>
      </c>
      <c r="AA73" s="69" t="n">
        <f aca="false">MIN(MAX(0,AA70),(H1Data!D80+H1Data!D81)/6+Assets!Z78/Inputs!AA95/12)</f>
        <v>2.45904294263525</v>
      </c>
      <c r="AB73" s="69" t="n">
        <f aca="false">MIN(MAX(0,AB70),(H1Data!D80+H1Data!D81)/6+Assets!AA78/Inputs!AB95/12)</f>
        <v>2.497334843263</v>
      </c>
      <c r="AC73" s="69" t="n">
        <f aca="false">MIN(MAX(0,AC70),(H1Data!D80+H1Data!D81)/6+Assets!AB78/Inputs!AC95/12)</f>
        <v>2.53754133892214</v>
      </c>
      <c r="AD73" s="69" t="n">
        <f aca="false">MIN(MAX(0,AD70),(H1Data!D80+H1Data!D81)/6+Assets!AC78/Inputs!AD95/12)</f>
        <v>2.57774783458128</v>
      </c>
      <c r="AE73" s="69" t="n">
        <f aca="false">MIN(MAX(0,AE70),(H1Data!D80+H1Data!D81)/6+Assets!AD78/Inputs!AE95/12)</f>
        <v>2.61795433024041</v>
      </c>
      <c r="AF73" s="69" t="n">
        <f aca="false">MIN(MAX(0,AF70),(H1Data!D80+H1Data!D81)/6+Assets!AE78/Inputs!AF95/12)</f>
        <v>2.65816082589955</v>
      </c>
      <c r="AG73" s="69" t="n">
        <f aca="false">MIN(MAX(0,AG70),(H1Data!D80+H1Data!D81)/6+Assets!AF78/Inputs!AG95/12)</f>
        <v>2.69836732155869</v>
      </c>
      <c r="AH73" s="69" t="n">
        <f aca="false">MIN(MAX(0,AH70),(H1Data!D80+H1Data!D81)/6+Assets!AG78/Inputs!AH95/12)</f>
        <v>2.73857381721783</v>
      </c>
      <c r="AI73" s="69" t="n">
        <f aca="false">MIN(MAX(0,AI70),(H1Data!D80+H1Data!D81)/6+Assets!AH78/Inputs!AI95/12)</f>
        <v>2.77878031287696</v>
      </c>
      <c r="AJ73" s="69" t="n">
        <f aca="false">MIN(MAX(0,AJ70),(H1Data!D80+H1Data!D81)/6+Assets!AI78/Inputs!AJ95/12)</f>
        <v>2.8189868085361</v>
      </c>
      <c r="AK73" s="69" t="n">
        <f aca="false">MIN(MAX(0,AK70),(H1Data!D80+H1Data!D81)/6+Assets!AJ78/Inputs!AK95/12)</f>
        <v>2.85919330419524</v>
      </c>
      <c r="AL73" s="69" t="n">
        <f aca="false">MIN(MAX(0,AL70),(H1Data!D80+H1Data!D81)/6+Assets!AK78/Inputs!AL95/12)</f>
        <v>2.89939979985438</v>
      </c>
      <c r="AM73" s="69" t="n">
        <f aca="false">MIN(MAX(0,AM70),(H1Data!D80+H1Data!D81)/6+Assets!AL78/Inputs!AM95/12)</f>
        <v>2.93960629551351</v>
      </c>
    </row>
    <row r="74" customFormat="false" ht="21" hidden="false" customHeight="true" outlineLevel="0" collapsed="false">
      <c r="C74" s="56" t="s">
        <v>360</v>
      </c>
      <c r="D74" s="71"/>
      <c r="E74" s="71"/>
      <c r="F74" s="71"/>
      <c r="G74" s="71"/>
      <c r="H74" s="71"/>
      <c r="I74" s="71"/>
      <c r="J74" s="71" t="n">
        <f aca="false">0</f>
        <v>0</v>
      </c>
      <c r="K74" s="71" t="n">
        <f aca="false">0</f>
        <v>0</v>
      </c>
      <c r="L74" s="71" t="n">
        <f aca="false">0</f>
        <v>0</v>
      </c>
      <c r="M74" s="71" t="n">
        <f aca="false">0</f>
        <v>0</v>
      </c>
      <c r="N74" s="71" t="n">
        <f aca="false">0</f>
        <v>0</v>
      </c>
      <c r="O74" s="71" t="n">
        <f aca="false">0</f>
        <v>0</v>
      </c>
      <c r="P74" s="71" t="n">
        <f aca="false">0</f>
        <v>0</v>
      </c>
      <c r="Q74" s="71" t="n">
        <f aca="false">0</f>
        <v>0</v>
      </c>
      <c r="R74" s="71" t="n">
        <f aca="false">0</f>
        <v>0</v>
      </c>
      <c r="S74" s="71" t="n">
        <f aca="false">0</f>
        <v>0</v>
      </c>
      <c r="T74" s="71" t="n">
        <f aca="false">0</f>
        <v>0</v>
      </c>
      <c r="U74" s="71" t="n">
        <f aca="false">0</f>
        <v>0</v>
      </c>
      <c r="V74" s="71" t="n">
        <f aca="false">0</f>
        <v>0</v>
      </c>
      <c r="W74" s="71" t="n">
        <f aca="false">0</f>
        <v>0</v>
      </c>
      <c r="X74" s="71" t="n">
        <f aca="false">0</f>
        <v>0</v>
      </c>
      <c r="Y74" s="71" t="n">
        <f aca="false">0</f>
        <v>0</v>
      </c>
      <c r="Z74" s="71" t="n">
        <f aca="false">0</f>
        <v>0</v>
      </c>
      <c r="AA74" s="71" t="n">
        <f aca="false">0</f>
        <v>0</v>
      </c>
      <c r="AB74" s="71" t="n">
        <f aca="false">0</f>
        <v>0</v>
      </c>
      <c r="AC74" s="71" t="n">
        <f aca="false">0</f>
        <v>0</v>
      </c>
      <c r="AD74" s="71" t="n">
        <f aca="false">0</f>
        <v>0</v>
      </c>
      <c r="AE74" s="71" t="n">
        <f aca="false">0</f>
        <v>0</v>
      </c>
      <c r="AF74" s="71" t="n">
        <f aca="false">0</f>
        <v>0</v>
      </c>
      <c r="AG74" s="71" t="n">
        <f aca="false">0</f>
        <v>0</v>
      </c>
      <c r="AH74" s="71" t="n">
        <f aca="false">0</f>
        <v>0</v>
      </c>
      <c r="AI74" s="71" t="n">
        <f aca="false">0</f>
        <v>0</v>
      </c>
      <c r="AJ74" s="71" t="n">
        <f aca="false">0</f>
        <v>0</v>
      </c>
      <c r="AK74" s="71" t="n">
        <f aca="false">0</f>
        <v>0</v>
      </c>
      <c r="AL74" s="71" t="n">
        <f aca="false">0</f>
        <v>0</v>
      </c>
      <c r="AM74" s="71" t="n">
        <f aca="false">0</f>
        <v>0</v>
      </c>
    </row>
    <row r="75" customFormat="false" ht="21" hidden="false" customHeight="true" outlineLevel="0" collapsed="false">
      <c r="C75" s="56" t="s">
        <v>361</v>
      </c>
      <c r="D75" s="71"/>
      <c r="E75" s="71"/>
      <c r="F75" s="71"/>
      <c r="G75" s="71"/>
      <c r="H75" s="71"/>
      <c r="I75" s="71"/>
      <c r="J75" s="71" t="n">
        <f aca="false">0</f>
        <v>0</v>
      </c>
      <c r="K75" s="71" t="n">
        <f aca="false">0</f>
        <v>0</v>
      </c>
      <c r="L75" s="71" t="n">
        <f aca="false">0</f>
        <v>0</v>
      </c>
      <c r="M75" s="71" t="n">
        <f aca="false">0</f>
        <v>0</v>
      </c>
      <c r="N75" s="71" t="n">
        <f aca="false">0</f>
        <v>0</v>
      </c>
      <c r="O75" s="71" t="n">
        <f aca="false">0</f>
        <v>0</v>
      </c>
      <c r="P75" s="71" t="n">
        <f aca="false">0</f>
        <v>0</v>
      </c>
      <c r="Q75" s="71" t="n">
        <f aca="false">0</f>
        <v>0</v>
      </c>
      <c r="R75" s="71" t="n">
        <f aca="false">0</f>
        <v>0</v>
      </c>
      <c r="S75" s="71" t="n">
        <f aca="false">0</f>
        <v>0</v>
      </c>
      <c r="T75" s="71" t="n">
        <f aca="false">0</f>
        <v>0</v>
      </c>
      <c r="U75" s="71" t="n">
        <f aca="false">0</f>
        <v>0</v>
      </c>
      <c r="V75" s="71" t="n">
        <f aca="false">0</f>
        <v>0</v>
      </c>
      <c r="W75" s="71" t="n">
        <f aca="false">0</f>
        <v>0</v>
      </c>
      <c r="X75" s="71" t="n">
        <f aca="false">0</f>
        <v>0</v>
      </c>
      <c r="Y75" s="71" t="n">
        <f aca="false">0</f>
        <v>0</v>
      </c>
      <c r="Z75" s="71" t="n">
        <f aca="false">0</f>
        <v>0</v>
      </c>
      <c r="AA75" s="71" t="n">
        <f aca="false">0</f>
        <v>0</v>
      </c>
      <c r="AB75" s="71" t="n">
        <f aca="false">0</f>
        <v>0</v>
      </c>
      <c r="AC75" s="71" t="n">
        <f aca="false">0</f>
        <v>0</v>
      </c>
      <c r="AD75" s="71" t="n">
        <f aca="false">0</f>
        <v>0</v>
      </c>
      <c r="AE75" s="71" t="n">
        <f aca="false">0</f>
        <v>0</v>
      </c>
      <c r="AF75" s="71" t="n">
        <f aca="false">0</f>
        <v>0</v>
      </c>
      <c r="AG75" s="71" t="n">
        <f aca="false">0</f>
        <v>0</v>
      </c>
      <c r="AH75" s="71" t="n">
        <f aca="false">0</f>
        <v>0</v>
      </c>
      <c r="AI75" s="71" t="n">
        <f aca="false">0</f>
        <v>0</v>
      </c>
      <c r="AJ75" s="71" t="n">
        <f aca="false">0</f>
        <v>0</v>
      </c>
      <c r="AK75" s="71" t="n">
        <f aca="false">0</f>
        <v>0</v>
      </c>
      <c r="AL75" s="71" t="n">
        <f aca="false">0</f>
        <v>0</v>
      </c>
      <c r="AM75" s="71" t="n">
        <f aca="false">0</f>
        <v>0</v>
      </c>
    </row>
    <row r="76" customFormat="false" ht="21" hidden="false" customHeight="true" outlineLevel="0" collapsed="false">
      <c r="C76" s="56" t="s">
        <v>362</v>
      </c>
      <c r="D76" s="71"/>
      <c r="E76" s="71"/>
      <c r="F76" s="71"/>
      <c r="G76" s="71"/>
      <c r="H76" s="71"/>
      <c r="I76" s="71"/>
      <c r="J76" s="71" t="n">
        <f aca="false">J70+J71+J72-J73-J74-J75</f>
        <v>351.6317920696</v>
      </c>
      <c r="K76" s="71" t="n">
        <f aca="false">K70+K71+K72-K73-K74-K75</f>
        <v>354.152519632412</v>
      </c>
      <c r="L76" s="71" t="n">
        <f aca="false">L70+L71+L72-L73-L74-L75</f>
        <v>356.636778718435</v>
      </c>
      <c r="M76" s="71" t="n">
        <f aca="false">M70+M71+M72-M73-M74-M75</f>
        <v>359.08456932767</v>
      </c>
      <c r="N76" s="71" t="n">
        <f aca="false">N70+N71+N72-N73-N74-N75</f>
        <v>361.495891460117</v>
      </c>
      <c r="O76" s="71" t="n">
        <f aca="false">O70+O71+O72-O73-O74-O75</f>
        <v>363.870745115775</v>
      </c>
      <c r="P76" s="71" t="n">
        <f aca="false">P70+P71+P72-P73-P74-P75</f>
        <v>366.427941155375</v>
      </c>
      <c r="Q76" s="71" t="n">
        <f aca="false">Q70+Q71+Q72-Q73-Q74-Q75</f>
        <v>368.946845294347</v>
      </c>
      <c r="R76" s="71" t="n">
        <f aca="false">R70+R71+R72-R73-R74-R75</f>
        <v>371.427457532692</v>
      </c>
      <c r="S76" s="71" t="n">
        <f aca="false">S70+S71+S72-S73-S74-S75</f>
        <v>373.869777870408</v>
      </c>
      <c r="T76" s="71" t="n">
        <f aca="false">T70+T71+T72-T73-T74-T75</f>
        <v>376.273806307497</v>
      </c>
      <c r="U76" s="71" t="n">
        <f aca="false">U70+U71+U72-U73-U74-U75</f>
        <v>378.639542843959</v>
      </c>
      <c r="V76" s="71" t="n">
        <f aca="false">V70+V71+V72-V73-V74-V75</f>
        <v>380.966987479792</v>
      </c>
      <c r="W76" s="71" t="n">
        <f aca="false">W70+W71+W72-W73-W74-W75</f>
        <v>383.256140214998</v>
      </c>
      <c r="X76" s="71" t="n">
        <f aca="false">X70+X71+X72-X73-X74-X75</f>
        <v>385.507001049576</v>
      </c>
      <c r="Y76" s="71" t="n">
        <f aca="false">Y70+Y71+Y72-Y73-Y74-Y75</f>
        <v>387.719569983526</v>
      </c>
      <c r="Z76" s="71" t="n">
        <f aca="false">Z70+Z71+Z72-Z73-Z74-Z75</f>
        <v>389.893847016849</v>
      </c>
      <c r="AA76" s="71" t="n">
        <f aca="false">AA70+AA71+AA72-AA73-AA74-AA75</f>
        <v>392.029832149543</v>
      </c>
      <c r="AB76" s="71" t="n">
        <f aca="false">AB70+AB71+AB72-AB73-AB74-AB75</f>
        <v>394.357276785377</v>
      </c>
      <c r="AC76" s="71" t="n">
        <f aca="false">AC70+AC71+AC72-AC73-AC74-AC75</f>
        <v>396.644514925551</v>
      </c>
      <c r="AD76" s="71" t="n">
        <f aca="false">AD70+AD71+AD72-AD73-AD74-AD75</f>
        <v>398.891546570066</v>
      </c>
      <c r="AE76" s="71" t="n">
        <f aca="false">AE70+AE71+AE72-AE73-AE74-AE75</f>
        <v>401.098371718923</v>
      </c>
      <c r="AF76" s="71" t="n">
        <f aca="false">AF70+AF71+AF72-AF73-AF74-AF75</f>
        <v>403.26499037212</v>
      </c>
      <c r="AG76" s="71" t="n">
        <f aca="false">AG70+AG71+AG72-AG73-AG74-AG75</f>
        <v>405.391402529657</v>
      </c>
      <c r="AH76" s="71" t="n">
        <f aca="false">AH70+AH71+AH72-AH73-AH74-AH75</f>
        <v>407.477608191536</v>
      </c>
      <c r="AI76" s="71" t="n">
        <f aca="false">AI70+AI71+AI72-AI73-AI74-AI75</f>
        <v>409.523607357756</v>
      </c>
      <c r="AJ76" s="71" t="n">
        <f aca="false">AJ70+AJ71+AJ72-AJ73-AJ74-AJ75</f>
        <v>411.529400028316</v>
      </c>
      <c r="AK76" s="71" t="n">
        <f aca="false">AK70+AK71+AK72-AK73-AK74-AK75</f>
        <v>413.494986203217</v>
      </c>
      <c r="AL76" s="71" t="n">
        <f aca="false">AL70+AL71+AL72-AL73-AL74-AL75</f>
        <v>415.420365882459</v>
      </c>
      <c r="AM76" s="71" t="n">
        <f aca="false">AM70+AM71+AM72-AM73-AM74-AM75</f>
        <v>417.305539066042</v>
      </c>
    </row>
    <row r="77" customFormat="false" ht="21" hidden="false" customHeight="true" outlineLevel="0" collapsed="false">
      <c r="C77" s="56" t="s">
        <v>363</v>
      </c>
      <c r="D77" s="71"/>
      <c r="E77" s="71"/>
      <c r="F77" s="71"/>
      <c r="G77" s="71"/>
      <c r="H77" s="71"/>
      <c r="I77" s="71"/>
      <c r="J77" s="71" t="n">
        <f aca="false">J70+J71+J72-J73-J74-J75-J76</f>
        <v>0</v>
      </c>
      <c r="K77" s="71" t="n">
        <f aca="false">K70+K71+K72-K73-K74-K75-K76</f>
        <v>0</v>
      </c>
      <c r="L77" s="71" t="n">
        <f aca="false">L70+L71+L72-L73-L74-L75-L76</f>
        <v>0</v>
      </c>
      <c r="M77" s="71" t="n">
        <f aca="false">M70+M71+M72-M73-M74-M75-M76</f>
        <v>0</v>
      </c>
      <c r="N77" s="71" t="n">
        <f aca="false">N70+N71+N72-N73-N74-N75-N76</f>
        <v>0</v>
      </c>
      <c r="O77" s="71" t="n">
        <f aca="false">O70+O71+O72-O73-O74-O75-O76</f>
        <v>0</v>
      </c>
      <c r="P77" s="71" t="n">
        <f aca="false">P70+P71+P72-P73-P74-P75-P76</f>
        <v>0</v>
      </c>
      <c r="Q77" s="71" t="n">
        <f aca="false">Q70+Q71+Q72-Q73-Q74-Q75-Q76</f>
        <v>0</v>
      </c>
      <c r="R77" s="71" t="n">
        <f aca="false">R70+R71+R72-R73-R74-R75-R76</f>
        <v>0</v>
      </c>
      <c r="S77" s="71" t="n">
        <f aca="false">S70+S71+S72-S73-S74-S75-S76</f>
        <v>0</v>
      </c>
      <c r="T77" s="71" t="n">
        <f aca="false">T70+T71+T72-T73-T74-T75-T76</f>
        <v>0</v>
      </c>
      <c r="U77" s="71" t="n">
        <f aca="false">U70+U71+U72-U73-U74-U75-U76</f>
        <v>0</v>
      </c>
      <c r="V77" s="71" t="n">
        <f aca="false">V70+V71+V72-V73-V74-V75-V76</f>
        <v>0</v>
      </c>
      <c r="W77" s="71" t="n">
        <f aca="false">W70+W71+W72-W73-W74-W75-W76</f>
        <v>0</v>
      </c>
      <c r="X77" s="71" t="n">
        <f aca="false">X70+X71+X72-X73-X74-X75-X76</f>
        <v>0</v>
      </c>
      <c r="Y77" s="71" t="n">
        <f aca="false">Y70+Y71+Y72-Y73-Y74-Y75-Y76</f>
        <v>0</v>
      </c>
      <c r="Z77" s="71" t="n">
        <f aca="false">Z70+Z71+Z72-Z73-Z74-Z75-Z76</f>
        <v>0</v>
      </c>
      <c r="AA77" s="71" t="n">
        <f aca="false">AA70+AA71+AA72-AA73-AA74-AA75-AA76</f>
        <v>0</v>
      </c>
      <c r="AB77" s="71" t="n">
        <f aca="false">AB70+AB71+AB72-AB73-AB74-AB75-AB76</f>
        <v>0</v>
      </c>
      <c r="AC77" s="71" t="n">
        <f aca="false">AC70+AC71+AC72-AC73-AC74-AC75-AC76</f>
        <v>0</v>
      </c>
      <c r="AD77" s="71" t="n">
        <f aca="false">AD70+AD71+AD72-AD73-AD74-AD75-AD76</f>
        <v>0</v>
      </c>
      <c r="AE77" s="71" t="n">
        <f aca="false">AE70+AE71+AE72-AE73-AE74-AE75-AE76</f>
        <v>0</v>
      </c>
      <c r="AF77" s="71" t="n">
        <f aca="false">AF70+AF71+AF72-AF73-AF74-AF75-AF76</f>
        <v>0</v>
      </c>
      <c r="AG77" s="71" t="n">
        <f aca="false">AG70+AG71+AG72-AG73-AG74-AG75-AG76</f>
        <v>0</v>
      </c>
      <c r="AH77" s="71" t="n">
        <f aca="false">AH70+AH71+AH72-AH73-AH74-AH75-AH76</f>
        <v>0</v>
      </c>
      <c r="AI77" s="71" t="n">
        <f aca="false">AI70+AI71+AI72-AI73-AI74-AI75-AI76</f>
        <v>0</v>
      </c>
      <c r="AJ77" s="71" t="n">
        <f aca="false">AJ70+AJ71+AJ72-AJ73-AJ74-AJ75-AJ76</f>
        <v>0</v>
      </c>
      <c r="AK77" s="71" t="n">
        <f aca="false">AK70+AK71+AK72-AK73-AK74-AK75-AK76</f>
        <v>0</v>
      </c>
      <c r="AL77" s="71" t="n">
        <f aca="false">AL70+AL71+AL72-AL73-AL74-AL75-AL76</f>
        <v>0</v>
      </c>
      <c r="AM77" s="71" t="n">
        <f aca="false">AM70+AM71+AM72-AM73-AM74-AM75-AM76</f>
        <v>0</v>
      </c>
    </row>
    <row r="78" customFormat="false" ht="21" hidden="false" customHeight="true" outlineLevel="0" collapsed="false">
      <c r="C78" s="56" t="s">
        <v>364</v>
      </c>
      <c r="D78" s="71"/>
      <c r="E78" s="69"/>
      <c r="F78" s="69"/>
      <c r="G78" s="69"/>
      <c r="H78" s="69"/>
      <c r="I78" s="69"/>
      <c r="J78" s="69" t="n">
        <f aca="false">J71+J72</f>
        <v>4.3762172146</v>
      </c>
      <c r="K78" s="69" t="n">
        <f aca="false">Assets!J78+K71+K72</f>
        <v>8.7524344292</v>
      </c>
      <c r="L78" s="69" t="n">
        <f aca="false">Assets!K78+L71+L72</f>
        <v>13.1286516438</v>
      </c>
      <c r="M78" s="69" t="n">
        <f aca="false">Assets!L78+M71+M72</f>
        <v>17.5048688584</v>
      </c>
      <c r="N78" s="69" t="n">
        <f aca="false">Assets!M78+N71+N72</f>
        <v>21.881086073</v>
      </c>
      <c r="O78" s="69" t="n">
        <f aca="false">Assets!N78+O71+O72</f>
        <v>26.2573032876</v>
      </c>
      <c r="P78" s="69" t="n">
        <f aca="false">Assets!O78+P71+P72</f>
        <v>30.85233136293</v>
      </c>
      <c r="Q78" s="69" t="n">
        <f aca="false">Assets!P78+Q71+Q72</f>
        <v>35.44735943826</v>
      </c>
      <c r="R78" s="69" t="n">
        <f aca="false">Assets!Q78+R71+R72</f>
        <v>40.04238751359</v>
      </c>
      <c r="S78" s="69" t="n">
        <f aca="false">Assets!R78+S71+S72</f>
        <v>44.63741558892</v>
      </c>
      <c r="T78" s="69" t="n">
        <f aca="false">Assets!S78+T71+T72</f>
        <v>49.23244366425</v>
      </c>
      <c r="U78" s="69" t="n">
        <f aca="false">Assets!T78+U71+U72</f>
        <v>53.82747173958</v>
      </c>
      <c r="V78" s="69" t="n">
        <f aca="false">Assets!U78+V71+V72</f>
        <v>58.42249981491</v>
      </c>
      <c r="W78" s="69" t="n">
        <f aca="false">Assets!V78+W71+W72</f>
        <v>63.01752789024</v>
      </c>
      <c r="X78" s="69" t="n">
        <f aca="false">Assets!W78+X71+X72</f>
        <v>67.61255596557</v>
      </c>
      <c r="Y78" s="69" t="n">
        <f aca="false">Assets!X78+Y71+Y72</f>
        <v>72.2075840409</v>
      </c>
      <c r="Z78" s="69" t="n">
        <f aca="false">Assets!Y78+Z71+Z72</f>
        <v>76.80261211623</v>
      </c>
      <c r="AA78" s="69" t="n">
        <f aca="false">Assets!Z78+AA71+AA72</f>
        <v>81.39764019156</v>
      </c>
      <c r="AB78" s="69" t="n">
        <f aca="false">Assets!AA78+AB71+AB72</f>
        <v>86.2224196706565</v>
      </c>
      <c r="AC78" s="69" t="n">
        <f aca="false">Assets!AB78+AC71+AC72</f>
        <v>91.047199149753</v>
      </c>
      <c r="AD78" s="69" t="n">
        <f aca="false">Assets!AC78+AD71+AD72</f>
        <v>95.8719786288495</v>
      </c>
      <c r="AE78" s="69" t="n">
        <f aca="false">Assets!AD78+AE71+AE72</f>
        <v>100.696758107946</v>
      </c>
      <c r="AF78" s="69" t="n">
        <f aca="false">Assets!AE78+AF71+AF72</f>
        <v>105.521537587043</v>
      </c>
      <c r="AG78" s="69" t="n">
        <f aca="false">Assets!AF78+AG71+AG72</f>
        <v>110.346317066139</v>
      </c>
      <c r="AH78" s="69" t="n">
        <f aca="false">Assets!AG78+AH71+AH72</f>
        <v>115.171096545236</v>
      </c>
      <c r="AI78" s="69" t="n">
        <f aca="false">Assets!AH78+AI71+AI72</f>
        <v>119.995876024332</v>
      </c>
      <c r="AJ78" s="69" t="n">
        <f aca="false">Assets!AI78+AJ71+AJ72</f>
        <v>124.820655503429</v>
      </c>
      <c r="AK78" s="69" t="n">
        <f aca="false">Assets!AJ78+AK71+AK72</f>
        <v>129.645434982525</v>
      </c>
      <c r="AL78" s="69" t="n">
        <f aca="false">Assets!AK78+AL71+AL72</f>
        <v>134.470214461622</v>
      </c>
      <c r="AM78" s="69" t="n">
        <f aca="false">Assets!AL78+AM71+AM72</f>
        <v>139.294993940718</v>
      </c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</row>
    <row r="81" customFormat="false" ht="25" hidden="false" customHeight="true" outlineLevel="0" collapsed="false">
      <c r="C81" s="63" t="s">
        <v>370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</row>
    <row r="82" customFormat="false" ht="21" hidden="false" customHeight="true" outlineLevel="0" collapsed="false">
      <c r="C82" s="56" t="s">
        <v>356</v>
      </c>
      <c r="D82" s="69"/>
      <c r="E82" s="69"/>
      <c r="F82" s="69"/>
      <c r="G82" s="69"/>
      <c r="H82" s="69"/>
      <c r="I82" s="69"/>
      <c r="J82" s="69" t="n">
        <f aca="false">H1Data!D26</f>
        <v>17.65553843</v>
      </c>
      <c r="K82" s="69" t="n">
        <f aca="false">Assets!J88</f>
        <v>16.3955922316667</v>
      </c>
      <c r="L82" s="69" t="n">
        <f aca="false">Assets!K88</f>
        <v>15.1356460333333</v>
      </c>
      <c r="M82" s="69" t="n">
        <f aca="false">Assets!L88</f>
        <v>13.875699835</v>
      </c>
      <c r="N82" s="69" t="n">
        <f aca="false">Assets!M88</f>
        <v>12.6157536366667</v>
      </c>
      <c r="O82" s="69" t="n">
        <f aca="false">Assets!N88</f>
        <v>11.3558074383333</v>
      </c>
      <c r="P82" s="69" t="n">
        <f aca="false">Assets!O88</f>
        <v>10.09586124</v>
      </c>
      <c r="Q82" s="69" t="n">
        <f aca="false">Assets!P88</f>
        <v>8.83591504166667</v>
      </c>
      <c r="R82" s="69" t="n">
        <f aca="false">Assets!Q88</f>
        <v>7.57596884333333</v>
      </c>
      <c r="S82" s="69" t="n">
        <f aca="false">Assets!R88</f>
        <v>6.316022645</v>
      </c>
      <c r="T82" s="69" t="n">
        <f aca="false">Assets!S88</f>
        <v>5.05607644666667</v>
      </c>
      <c r="U82" s="69" t="n">
        <f aca="false">Assets!T88</f>
        <v>3.79613024833333</v>
      </c>
      <c r="V82" s="69" t="n">
        <f aca="false">Assets!U88</f>
        <v>2.53618405</v>
      </c>
      <c r="W82" s="69" t="n">
        <f aca="false">Assets!V88</f>
        <v>1.27623785166667</v>
      </c>
      <c r="X82" s="69" t="n">
        <f aca="false">Assets!W88</f>
        <v>0.0162916533333344</v>
      </c>
      <c r="Y82" s="69" t="n">
        <f aca="false">Assets!X88</f>
        <v>0</v>
      </c>
      <c r="Z82" s="69" t="n">
        <f aca="false">Assets!Y88</f>
        <v>0</v>
      </c>
      <c r="AA82" s="69" t="n">
        <f aca="false">Assets!Z88</f>
        <v>0</v>
      </c>
      <c r="AB82" s="69" t="n">
        <f aca="false">Assets!AA88</f>
        <v>0</v>
      </c>
      <c r="AC82" s="69" t="n">
        <f aca="false">Assets!AB88</f>
        <v>0</v>
      </c>
      <c r="AD82" s="69" t="n">
        <f aca="false">Assets!AC88</f>
        <v>0</v>
      </c>
      <c r="AE82" s="69" t="n">
        <f aca="false">Assets!AD88</f>
        <v>0</v>
      </c>
      <c r="AF82" s="69" t="n">
        <f aca="false">Assets!AE88</f>
        <v>0</v>
      </c>
      <c r="AG82" s="69" t="n">
        <f aca="false">Assets!AF88</f>
        <v>0</v>
      </c>
      <c r="AH82" s="69" t="n">
        <f aca="false">Assets!AG88</f>
        <v>0</v>
      </c>
      <c r="AI82" s="69" t="n">
        <f aca="false">Assets!AH88</f>
        <v>0</v>
      </c>
      <c r="AJ82" s="69" t="n">
        <f aca="false">Assets!AI88</f>
        <v>0</v>
      </c>
      <c r="AK82" s="69" t="n">
        <f aca="false">Assets!AJ88</f>
        <v>0</v>
      </c>
      <c r="AL82" s="69" t="n">
        <f aca="false">Assets!AK88</f>
        <v>0</v>
      </c>
      <c r="AM82" s="69" t="n">
        <f aca="false">Assets!AL88</f>
        <v>0</v>
      </c>
    </row>
    <row r="83" customFormat="false" ht="21" hidden="false" customHeight="true" outlineLevel="0" collapsed="false">
      <c r="C83" s="56" t="s">
        <v>357</v>
      </c>
      <c r="D83" s="71"/>
      <c r="E83" s="71"/>
      <c r="F83" s="71"/>
      <c r="G83" s="71"/>
      <c r="H83" s="71"/>
      <c r="I83" s="71"/>
      <c r="J83" s="71" t="n">
        <f aca="false">0</f>
        <v>0</v>
      </c>
      <c r="K83" s="71" t="n">
        <f aca="false">0</f>
        <v>0</v>
      </c>
      <c r="L83" s="71" t="n">
        <f aca="false">0</f>
        <v>0</v>
      </c>
      <c r="M83" s="71" t="n">
        <f aca="false">0</f>
        <v>0</v>
      </c>
      <c r="N83" s="71" t="n">
        <f aca="false">0</f>
        <v>0</v>
      </c>
      <c r="O83" s="71" t="n">
        <f aca="false">0</f>
        <v>0</v>
      </c>
      <c r="P83" s="71" t="n">
        <f aca="false">0</f>
        <v>0</v>
      </c>
      <c r="Q83" s="71" t="n">
        <f aca="false">0</f>
        <v>0</v>
      </c>
      <c r="R83" s="71" t="n">
        <f aca="false">0</f>
        <v>0</v>
      </c>
      <c r="S83" s="71" t="n">
        <f aca="false">0</f>
        <v>0</v>
      </c>
      <c r="T83" s="71" t="n">
        <f aca="false">0</f>
        <v>0</v>
      </c>
      <c r="U83" s="71" t="n">
        <f aca="false">0</f>
        <v>0</v>
      </c>
      <c r="V83" s="71" t="n">
        <f aca="false">0</f>
        <v>0</v>
      </c>
      <c r="W83" s="71" t="n">
        <f aca="false">0</f>
        <v>0</v>
      </c>
      <c r="X83" s="71" t="n">
        <f aca="false">0</f>
        <v>0</v>
      </c>
      <c r="Y83" s="71" t="n">
        <f aca="false">0</f>
        <v>0</v>
      </c>
      <c r="Z83" s="71" t="n">
        <f aca="false">0</f>
        <v>0</v>
      </c>
      <c r="AA83" s="71" t="n">
        <f aca="false">0</f>
        <v>0</v>
      </c>
      <c r="AB83" s="71" t="n">
        <f aca="false">0</f>
        <v>0</v>
      </c>
      <c r="AC83" s="71" t="n">
        <f aca="false">0</f>
        <v>0</v>
      </c>
      <c r="AD83" s="71" t="n">
        <f aca="false">0</f>
        <v>0</v>
      </c>
      <c r="AE83" s="71" t="n">
        <f aca="false">0</f>
        <v>0</v>
      </c>
      <c r="AF83" s="71" t="n">
        <f aca="false">0</f>
        <v>0</v>
      </c>
      <c r="AG83" s="71" t="n">
        <f aca="false">0</f>
        <v>0</v>
      </c>
      <c r="AH83" s="71" t="n">
        <f aca="false">0</f>
        <v>0</v>
      </c>
      <c r="AI83" s="71" t="n">
        <f aca="false">0</f>
        <v>0</v>
      </c>
      <c r="AJ83" s="71" t="n">
        <f aca="false">0</f>
        <v>0</v>
      </c>
      <c r="AK83" s="71" t="n">
        <f aca="false">0</f>
        <v>0</v>
      </c>
      <c r="AL83" s="71" t="n">
        <f aca="false">0</f>
        <v>0</v>
      </c>
      <c r="AM83" s="71" t="n">
        <f aca="false">0</f>
        <v>0</v>
      </c>
    </row>
    <row r="84" customFormat="false" ht="21" hidden="false" customHeight="true" outlineLevel="0" collapsed="false">
      <c r="C84" s="56" t="s">
        <v>358</v>
      </c>
      <c r="D84" s="69"/>
      <c r="E84" s="69"/>
      <c r="F84" s="69"/>
      <c r="G84" s="69"/>
      <c r="H84" s="69"/>
      <c r="I84" s="69"/>
      <c r="J84" s="69" t="n">
        <f aca="false">MAX(0,Inputs!J47)</f>
        <v>0</v>
      </c>
      <c r="K84" s="69" t="n">
        <f aca="false">MAX(0,Inputs!K47)</f>
        <v>0</v>
      </c>
      <c r="L84" s="69" t="n">
        <f aca="false">MAX(0,Inputs!L47)</f>
        <v>0</v>
      </c>
      <c r="M84" s="69" t="n">
        <f aca="false">MAX(0,Inputs!M47)</f>
        <v>0</v>
      </c>
      <c r="N84" s="69" t="n">
        <f aca="false">MAX(0,Inputs!N47)</f>
        <v>0</v>
      </c>
      <c r="O84" s="69" t="n">
        <f aca="false">MAX(0,Inputs!O47)</f>
        <v>0</v>
      </c>
      <c r="P84" s="69" t="n">
        <f aca="false">MAX(0,Inputs!P47)</f>
        <v>0</v>
      </c>
      <c r="Q84" s="69" t="n">
        <f aca="false">MAX(0,Inputs!Q47)</f>
        <v>0</v>
      </c>
      <c r="R84" s="69" t="n">
        <f aca="false">MAX(0,Inputs!R47)</f>
        <v>0</v>
      </c>
      <c r="S84" s="69" t="n">
        <f aca="false">MAX(0,Inputs!S47)</f>
        <v>0</v>
      </c>
      <c r="T84" s="69" t="n">
        <f aca="false">MAX(0,Inputs!T47)</f>
        <v>0</v>
      </c>
      <c r="U84" s="69" t="n">
        <f aca="false">MAX(0,Inputs!U47)</f>
        <v>0</v>
      </c>
      <c r="V84" s="69" t="n">
        <f aca="false">MAX(0,Inputs!V47)</f>
        <v>0</v>
      </c>
      <c r="W84" s="69" t="n">
        <f aca="false">MAX(0,Inputs!W47)</f>
        <v>0</v>
      </c>
      <c r="X84" s="69" t="n">
        <f aca="false">MAX(0,Inputs!X47)</f>
        <v>0</v>
      </c>
      <c r="Y84" s="69" t="n">
        <f aca="false">MAX(0,Inputs!Y47)</f>
        <v>0</v>
      </c>
      <c r="Z84" s="69" t="n">
        <f aca="false">MAX(0,Inputs!Z47)</f>
        <v>0</v>
      </c>
      <c r="AA84" s="69" t="n">
        <f aca="false">MAX(0,Inputs!AA47)</f>
        <v>0</v>
      </c>
      <c r="AB84" s="69" t="n">
        <f aca="false">MAX(0,Inputs!AB47)</f>
        <v>0</v>
      </c>
      <c r="AC84" s="69" t="n">
        <f aca="false">MAX(0,Inputs!AC47)</f>
        <v>0</v>
      </c>
      <c r="AD84" s="69" t="n">
        <f aca="false">MAX(0,Inputs!AD47)</f>
        <v>0</v>
      </c>
      <c r="AE84" s="69" t="n">
        <f aca="false">MAX(0,Inputs!AE47)</f>
        <v>0</v>
      </c>
      <c r="AF84" s="69" t="n">
        <f aca="false">MAX(0,Inputs!AF47)</f>
        <v>0</v>
      </c>
      <c r="AG84" s="69" t="n">
        <f aca="false">MAX(0,Inputs!AG47)</f>
        <v>0</v>
      </c>
      <c r="AH84" s="69" t="n">
        <f aca="false">MAX(0,Inputs!AH47)</f>
        <v>0</v>
      </c>
      <c r="AI84" s="69" t="n">
        <f aca="false">MAX(0,Inputs!AI47)</f>
        <v>0</v>
      </c>
      <c r="AJ84" s="69" t="n">
        <f aca="false">MAX(0,Inputs!AJ47)</f>
        <v>0</v>
      </c>
      <c r="AK84" s="69" t="n">
        <f aca="false">MAX(0,Inputs!AK47)</f>
        <v>0</v>
      </c>
      <c r="AL84" s="69" t="n">
        <f aca="false">MAX(0,Inputs!AL47)</f>
        <v>0</v>
      </c>
      <c r="AM84" s="69" t="n">
        <f aca="false">MAX(0,Inputs!AM47)</f>
        <v>0</v>
      </c>
    </row>
    <row r="85" customFormat="false" ht="21" hidden="false" customHeight="true" outlineLevel="0" collapsed="false">
      <c r="C85" s="56" t="s">
        <v>359</v>
      </c>
      <c r="D85" s="69"/>
      <c r="E85" s="69"/>
      <c r="F85" s="69"/>
      <c r="G85" s="69"/>
      <c r="H85" s="69"/>
      <c r="I85" s="69"/>
      <c r="J85" s="69" t="n">
        <f aca="false">MIN(MAX(0,J82),(H1Data!D82)/6+0/Inputs!J96/12)</f>
        <v>1.25994619833333</v>
      </c>
      <c r="K85" s="69" t="n">
        <f aca="false">MIN(MAX(0,K82),(H1Data!D82)/6+Assets!J90/Inputs!K96/12)</f>
        <v>1.25994619833333</v>
      </c>
      <c r="L85" s="69" t="n">
        <f aca="false">MIN(MAX(0,L82),(H1Data!D82)/6+Assets!K90/Inputs!L96/12)</f>
        <v>1.25994619833333</v>
      </c>
      <c r="M85" s="69" t="n">
        <f aca="false">MIN(MAX(0,M82),(H1Data!D82)/6+Assets!L90/Inputs!M96/12)</f>
        <v>1.25994619833333</v>
      </c>
      <c r="N85" s="69" t="n">
        <f aca="false">MIN(MAX(0,N82),(H1Data!D82)/6+Assets!M90/Inputs!N96/12)</f>
        <v>1.25994619833333</v>
      </c>
      <c r="O85" s="69" t="n">
        <f aca="false">MIN(MAX(0,O82),(H1Data!D82)/6+Assets!N90/Inputs!O96/12)</f>
        <v>1.25994619833333</v>
      </c>
      <c r="P85" s="69" t="n">
        <f aca="false">MIN(MAX(0,P82),(H1Data!D82)/6+Assets!O90/Inputs!P96/12)</f>
        <v>1.25994619833333</v>
      </c>
      <c r="Q85" s="69" t="n">
        <f aca="false">MIN(MAX(0,Q82),(H1Data!D82)/6+Assets!P90/Inputs!Q96/12)</f>
        <v>1.25994619833333</v>
      </c>
      <c r="R85" s="69" t="n">
        <f aca="false">MIN(MAX(0,R82),(H1Data!D82)/6+Assets!Q90/Inputs!R96/12)</f>
        <v>1.25994619833333</v>
      </c>
      <c r="S85" s="69" t="n">
        <f aca="false">MIN(MAX(0,S82),(H1Data!D82)/6+Assets!R90/Inputs!S96/12)</f>
        <v>1.25994619833333</v>
      </c>
      <c r="T85" s="69" t="n">
        <f aca="false">MIN(MAX(0,T82),(H1Data!D82)/6+Assets!S90/Inputs!T96/12)</f>
        <v>1.25994619833333</v>
      </c>
      <c r="U85" s="69" t="n">
        <f aca="false">MIN(MAX(0,U82),(H1Data!D82)/6+Assets!T90/Inputs!U96/12)</f>
        <v>1.25994619833333</v>
      </c>
      <c r="V85" s="69" t="n">
        <f aca="false">MIN(MAX(0,V82),(H1Data!D82)/6+Assets!U90/Inputs!V96/12)</f>
        <v>1.25994619833333</v>
      </c>
      <c r="W85" s="69" t="n">
        <f aca="false">MIN(MAX(0,W82),(H1Data!D82)/6+Assets!V90/Inputs!W96/12)</f>
        <v>1.25994619833333</v>
      </c>
      <c r="X85" s="69" t="n">
        <f aca="false">MIN(MAX(0,X82),(H1Data!D82)/6+Assets!W90/Inputs!X96/12)</f>
        <v>0.0162916533333344</v>
      </c>
      <c r="Y85" s="69" t="n">
        <f aca="false">MIN(MAX(0,Y82),(H1Data!D82)/6+Assets!X90/Inputs!Y96/12)</f>
        <v>0</v>
      </c>
      <c r="Z85" s="69" t="n">
        <f aca="false">MIN(MAX(0,Z82),(H1Data!D82)/6+Assets!Y90/Inputs!Z96/12)</f>
        <v>0</v>
      </c>
      <c r="AA85" s="69" t="n">
        <f aca="false">MIN(MAX(0,AA82),(H1Data!D82)/6+Assets!Z90/Inputs!AA96/12)</f>
        <v>0</v>
      </c>
      <c r="AB85" s="69" t="n">
        <f aca="false">MIN(MAX(0,AB82),(H1Data!D82)/6+Assets!AA90/Inputs!AB96/12)</f>
        <v>0</v>
      </c>
      <c r="AC85" s="69" t="n">
        <f aca="false">MIN(MAX(0,AC82),(H1Data!D82)/6+Assets!AB90/Inputs!AC96/12)</f>
        <v>0</v>
      </c>
      <c r="AD85" s="69" t="n">
        <f aca="false">MIN(MAX(0,AD82),(H1Data!D82)/6+Assets!AC90/Inputs!AD96/12)</f>
        <v>0</v>
      </c>
      <c r="AE85" s="69" t="n">
        <f aca="false">MIN(MAX(0,AE82),(H1Data!D82)/6+Assets!AD90/Inputs!AE96/12)</f>
        <v>0</v>
      </c>
      <c r="AF85" s="69" t="n">
        <f aca="false">MIN(MAX(0,AF82),(H1Data!D82)/6+Assets!AE90/Inputs!AF96/12)</f>
        <v>0</v>
      </c>
      <c r="AG85" s="69" t="n">
        <f aca="false">MIN(MAX(0,AG82),(H1Data!D82)/6+Assets!AF90/Inputs!AG96/12)</f>
        <v>0</v>
      </c>
      <c r="AH85" s="69" t="n">
        <f aca="false">MIN(MAX(0,AH82),(H1Data!D82)/6+Assets!AG90/Inputs!AH96/12)</f>
        <v>0</v>
      </c>
      <c r="AI85" s="69" t="n">
        <f aca="false">MIN(MAX(0,AI82),(H1Data!D82)/6+Assets!AH90/Inputs!AI96/12)</f>
        <v>0</v>
      </c>
      <c r="AJ85" s="69" t="n">
        <f aca="false">MIN(MAX(0,AJ82),(H1Data!D82)/6+Assets!AI90/Inputs!AJ96/12)</f>
        <v>0</v>
      </c>
      <c r="AK85" s="69" t="n">
        <f aca="false">MIN(MAX(0,AK82),(H1Data!D82)/6+Assets!AJ90/Inputs!AK96/12)</f>
        <v>0</v>
      </c>
      <c r="AL85" s="69" t="n">
        <f aca="false">MIN(MAX(0,AL82),(H1Data!D82)/6+Assets!AK90/Inputs!AL96/12)</f>
        <v>0</v>
      </c>
      <c r="AM85" s="69" t="n">
        <f aca="false">MIN(MAX(0,AM82),(H1Data!D82)/6+Assets!AL90/Inputs!AM96/12)</f>
        <v>0</v>
      </c>
    </row>
    <row r="86" customFormat="false" ht="21" hidden="false" customHeight="true" outlineLevel="0" collapsed="false">
      <c r="C86" s="56" t="s">
        <v>360</v>
      </c>
      <c r="D86" s="71"/>
      <c r="E86" s="71"/>
      <c r="F86" s="71"/>
      <c r="G86" s="71"/>
      <c r="H86" s="71"/>
      <c r="I86" s="71"/>
      <c r="J86" s="71" t="n">
        <f aca="false">0</f>
        <v>0</v>
      </c>
      <c r="K86" s="71" t="n">
        <f aca="false">0</f>
        <v>0</v>
      </c>
      <c r="L86" s="71" t="n">
        <f aca="false">0</f>
        <v>0</v>
      </c>
      <c r="M86" s="71" t="n">
        <f aca="false">0</f>
        <v>0</v>
      </c>
      <c r="N86" s="71" t="n">
        <f aca="false">0</f>
        <v>0</v>
      </c>
      <c r="O86" s="71" t="n">
        <f aca="false">0</f>
        <v>0</v>
      </c>
      <c r="P86" s="71" t="n">
        <f aca="false">0</f>
        <v>0</v>
      </c>
      <c r="Q86" s="71" t="n">
        <f aca="false">0</f>
        <v>0</v>
      </c>
      <c r="R86" s="71" t="n">
        <f aca="false">0</f>
        <v>0</v>
      </c>
      <c r="S86" s="71" t="n">
        <f aca="false">0</f>
        <v>0</v>
      </c>
      <c r="T86" s="71" t="n">
        <f aca="false">0</f>
        <v>0</v>
      </c>
      <c r="U86" s="71" t="n">
        <f aca="false">0</f>
        <v>0</v>
      </c>
      <c r="V86" s="71" t="n">
        <f aca="false">0</f>
        <v>0</v>
      </c>
      <c r="W86" s="71" t="n">
        <f aca="false">0</f>
        <v>0</v>
      </c>
      <c r="X86" s="71" t="n">
        <f aca="false">0</f>
        <v>0</v>
      </c>
      <c r="Y86" s="71" t="n">
        <f aca="false">0</f>
        <v>0</v>
      </c>
      <c r="Z86" s="71" t="n">
        <f aca="false">0</f>
        <v>0</v>
      </c>
      <c r="AA86" s="71" t="n">
        <f aca="false">0</f>
        <v>0</v>
      </c>
      <c r="AB86" s="71" t="n">
        <f aca="false">0</f>
        <v>0</v>
      </c>
      <c r="AC86" s="71" t="n">
        <f aca="false">0</f>
        <v>0</v>
      </c>
      <c r="AD86" s="71" t="n">
        <f aca="false">0</f>
        <v>0</v>
      </c>
      <c r="AE86" s="71" t="n">
        <f aca="false">0</f>
        <v>0</v>
      </c>
      <c r="AF86" s="71" t="n">
        <f aca="false">0</f>
        <v>0</v>
      </c>
      <c r="AG86" s="71" t="n">
        <f aca="false">0</f>
        <v>0</v>
      </c>
      <c r="AH86" s="71" t="n">
        <f aca="false">0</f>
        <v>0</v>
      </c>
      <c r="AI86" s="71" t="n">
        <f aca="false">0</f>
        <v>0</v>
      </c>
      <c r="AJ86" s="71" t="n">
        <f aca="false">0</f>
        <v>0</v>
      </c>
      <c r="AK86" s="71" t="n">
        <f aca="false">0</f>
        <v>0</v>
      </c>
      <c r="AL86" s="71" t="n">
        <f aca="false">0</f>
        <v>0</v>
      </c>
      <c r="AM86" s="71" t="n">
        <f aca="false">0</f>
        <v>0</v>
      </c>
    </row>
    <row r="87" customFormat="false" ht="21" hidden="false" customHeight="true" outlineLevel="0" collapsed="false">
      <c r="C87" s="56" t="s">
        <v>361</v>
      </c>
      <c r="D87" s="71"/>
      <c r="E87" s="71"/>
      <c r="F87" s="71"/>
      <c r="G87" s="71"/>
      <c r="H87" s="71"/>
      <c r="I87" s="71"/>
      <c r="J87" s="71" t="n">
        <f aca="false">0</f>
        <v>0</v>
      </c>
      <c r="K87" s="71" t="n">
        <f aca="false">0</f>
        <v>0</v>
      </c>
      <c r="L87" s="71" t="n">
        <f aca="false">0</f>
        <v>0</v>
      </c>
      <c r="M87" s="71" t="n">
        <f aca="false">0</f>
        <v>0</v>
      </c>
      <c r="N87" s="71" t="n">
        <f aca="false">0</f>
        <v>0</v>
      </c>
      <c r="O87" s="71" t="n">
        <f aca="false">0</f>
        <v>0</v>
      </c>
      <c r="P87" s="71" t="n">
        <f aca="false">0</f>
        <v>0</v>
      </c>
      <c r="Q87" s="71" t="n">
        <f aca="false">0</f>
        <v>0</v>
      </c>
      <c r="R87" s="71" t="n">
        <f aca="false">0</f>
        <v>0</v>
      </c>
      <c r="S87" s="71" t="n">
        <f aca="false">0</f>
        <v>0</v>
      </c>
      <c r="T87" s="71" t="n">
        <f aca="false">0</f>
        <v>0</v>
      </c>
      <c r="U87" s="71" t="n">
        <f aca="false">0</f>
        <v>0</v>
      </c>
      <c r="V87" s="71" t="n">
        <f aca="false">0</f>
        <v>0</v>
      </c>
      <c r="W87" s="71" t="n">
        <f aca="false">0</f>
        <v>0</v>
      </c>
      <c r="X87" s="71" t="n">
        <f aca="false">0</f>
        <v>0</v>
      </c>
      <c r="Y87" s="71" t="n">
        <f aca="false">0</f>
        <v>0</v>
      </c>
      <c r="Z87" s="71" t="n">
        <f aca="false">0</f>
        <v>0</v>
      </c>
      <c r="AA87" s="71" t="n">
        <f aca="false">0</f>
        <v>0</v>
      </c>
      <c r="AB87" s="71" t="n">
        <f aca="false">0</f>
        <v>0</v>
      </c>
      <c r="AC87" s="71" t="n">
        <f aca="false">0</f>
        <v>0</v>
      </c>
      <c r="AD87" s="71" t="n">
        <f aca="false">0</f>
        <v>0</v>
      </c>
      <c r="AE87" s="71" t="n">
        <f aca="false">0</f>
        <v>0</v>
      </c>
      <c r="AF87" s="71" t="n">
        <f aca="false">0</f>
        <v>0</v>
      </c>
      <c r="AG87" s="71" t="n">
        <f aca="false">0</f>
        <v>0</v>
      </c>
      <c r="AH87" s="71" t="n">
        <f aca="false">0</f>
        <v>0</v>
      </c>
      <c r="AI87" s="71" t="n">
        <f aca="false">0</f>
        <v>0</v>
      </c>
      <c r="AJ87" s="71" t="n">
        <f aca="false">0</f>
        <v>0</v>
      </c>
      <c r="AK87" s="71" t="n">
        <f aca="false">0</f>
        <v>0</v>
      </c>
      <c r="AL87" s="71" t="n">
        <f aca="false">0</f>
        <v>0</v>
      </c>
      <c r="AM87" s="71" t="n">
        <f aca="false">0</f>
        <v>0</v>
      </c>
    </row>
    <row r="88" customFormat="false" ht="21" hidden="false" customHeight="true" outlineLevel="0" collapsed="false">
      <c r="C88" s="56" t="s">
        <v>362</v>
      </c>
      <c r="D88" s="71"/>
      <c r="E88" s="71"/>
      <c r="F88" s="71"/>
      <c r="G88" s="71"/>
      <c r="H88" s="71"/>
      <c r="I88" s="71"/>
      <c r="J88" s="71" t="n">
        <f aca="false">J82+J83+J84-J85-J86-J87</f>
        <v>16.3955922316667</v>
      </c>
      <c r="K88" s="71" t="n">
        <f aca="false">K82+K83+K84-K85-K86-K87</f>
        <v>15.1356460333333</v>
      </c>
      <c r="L88" s="71" t="n">
        <f aca="false">L82+L83+L84-L85-L86-L87</f>
        <v>13.875699835</v>
      </c>
      <c r="M88" s="71" t="n">
        <f aca="false">M82+M83+M84-M85-M86-M87</f>
        <v>12.6157536366667</v>
      </c>
      <c r="N88" s="71" t="n">
        <f aca="false">N82+N83+N84-N85-N86-N87</f>
        <v>11.3558074383333</v>
      </c>
      <c r="O88" s="71" t="n">
        <f aca="false">O82+O83+O84-O85-O86-O87</f>
        <v>10.09586124</v>
      </c>
      <c r="P88" s="71" t="n">
        <f aca="false">P82+P83+P84-P85-P86-P87</f>
        <v>8.83591504166667</v>
      </c>
      <c r="Q88" s="71" t="n">
        <f aca="false">Q82+Q83+Q84-Q85-Q86-Q87</f>
        <v>7.57596884333333</v>
      </c>
      <c r="R88" s="71" t="n">
        <f aca="false">R82+R83+R84-R85-R86-R87</f>
        <v>6.316022645</v>
      </c>
      <c r="S88" s="71" t="n">
        <f aca="false">S82+S83+S84-S85-S86-S87</f>
        <v>5.05607644666667</v>
      </c>
      <c r="T88" s="71" t="n">
        <f aca="false">T82+T83+T84-T85-T86-T87</f>
        <v>3.79613024833333</v>
      </c>
      <c r="U88" s="71" t="n">
        <f aca="false">U82+U83+U84-U85-U86-U87</f>
        <v>2.53618405</v>
      </c>
      <c r="V88" s="71" t="n">
        <f aca="false">V82+V83+V84-V85-V86-V87</f>
        <v>1.27623785166667</v>
      </c>
      <c r="W88" s="71" t="n">
        <f aca="false">W82+W83+W84-W85-W86-W87</f>
        <v>0.0162916533333344</v>
      </c>
      <c r="X88" s="71" t="n">
        <f aca="false">X82+X83+X84-X85-X86-X87</f>
        <v>0</v>
      </c>
      <c r="Y88" s="71" t="n">
        <f aca="false">Y82+Y83+Y84-Y85-Y86-Y87</f>
        <v>0</v>
      </c>
      <c r="Z88" s="71" t="n">
        <f aca="false">Z82+Z83+Z84-Z85-Z86-Z87</f>
        <v>0</v>
      </c>
      <c r="AA88" s="71" t="n">
        <f aca="false">AA82+AA83+AA84-AA85-AA86-AA87</f>
        <v>0</v>
      </c>
      <c r="AB88" s="71" t="n">
        <f aca="false">AB82+AB83+AB84-AB85-AB86-AB87</f>
        <v>0</v>
      </c>
      <c r="AC88" s="71" t="n">
        <f aca="false">AC82+AC83+AC84-AC85-AC86-AC87</f>
        <v>0</v>
      </c>
      <c r="AD88" s="71" t="n">
        <f aca="false">AD82+AD83+AD84-AD85-AD86-AD87</f>
        <v>0</v>
      </c>
      <c r="AE88" s="71" t="n">
        <f aca="false">AE82+AE83+AE84-AE85-AE86-AE87</f>
        <v>0</v>
      </c>
      <c r="AF88" s="71" t="n">
        <f aca="false">AF82+AF83+AF84-AF85-AF86-AF87</f>
        <v>0</v>
      </c>
      <c r="AG88" s="71" t="n">
        <f aca="false">AG82+AG83+AG84-AG85-AG86-AG87</f>
        <v>0</v>
      </c>
      <c r="AH88" s="71" t="n">
        <f aca="false">AH82+AH83+AH84-AH85-AH86-AH87</f>
        <v>0</v>
      </c>
      <c r="AI88" s="71" t="n">
        <f aca="false">AI82+AI83+AI84-AI85-AI86-AI87</f>
        <v>0</v>
      </c>
      <c r="AJ88" s="71" t="n">
        <f aca="false">AJ82+AJ83+AJ84-AJ85-AJ86-AJ87</f>
        <v>0</v>
      </c>
      <c r="AK88" s="71" t="n">
        <f aca="false">AK82+AK83+AK84-AK85-AK86-AK87</f>
        <v>0</v>
      </c>
      <c r="AL88" s="71" t="n">
        <f aca="false">AL82+AL83+AL84-AL85-AL86-AL87</f>
        <v>0</v>
      </c>
      <c r="AM88" s="71" t="n">
        <f aca="false">AM82+AM83+AM84-AM85-AM86-AM87</f>
        <v>0</v>
      </c>
    </row>
    <row r="89" customFormat="false" ht="21" hidden="false" customHeight="true" outlineLevel="0" collapsed="false">
      <c r="C89" s="56" t="s">
        <v>363</v>
      </c>
      <c r="D89" s="71"/>
      <c r="E89" s="71"/>
      <c r="F89" s="71"/>
      <c r="G89" s="71"/>
      <c r="H89" s="71"/>
      <c r="I89" s="71"/>
      <c r="J89" s="71" t="n">
        <f aca="false">J82+J83+J84-J85-J86-J87-J88</f>
        <v>0</v>
      </c>
      <c r="K89" s="71" t="n">
        <f aca="false">K82+K83+K84-K85-K86-K87-K88</f>
        <v>0</v>
      </c>
      <c r="L89" s="71" t="n">
        <f aca="false">L82+L83+L84-L85-L86-L87-L88</f>
        <v>0</v>
      </c>
      <c r="M89" s="71" t="n">
        <f aca="false">M82+M83+M84-M85-M86-M87-M88</f>
        <v>0</v>
      </c>
      <c r="N89" s="71" t="n">
        <f aca="false">N82+N83+N84-N85-N86-N87-N88</f>
        <v>0</v>
      </c>
      <c r="O89" s="71" t="n">
        <f aca="false">O82+O83+O84-O85-O86-O87-O88</f>
        <v>0</v>
      </c>
      <c r="P89" s="71" t="n">
        <f aca="false">P82+P83+P84-P85-P86-P87-P88</f>
        <v>0</v>
      </c>
      <c r="Q89" s="71" t="n">
        <f aca="false">Q82+Q83+Q84-Q85-Q86-Q87-Q88</f>
        <v>0</v>
      </c>
      <c r="R89" s="71" t="n">
        <f aca="false">R82+R83+R84-R85-R86-R87-R88</f>
        <v>0</v>
      </c>
      <c r="S89" s="71" t="n">
        <f aca="false">S82+S83+S84-S85-S86-S87-S88</f>
        <v>0</v>
      </c>
      <c r="T89" s="71" t="n">
        <f aca="false">T82+T83+T84-T85-T86-T87-T88</f>
        <v>0</v>
      </c>
      <c r="U89" s="71" t="n">
        <f aca="false">U82+U83+U84-U85-U86-U87-U88</f>
        <v>0</v>
      </c>
      <c r="V89" s="71" t="n">
        <f aca="false">V82+V83+V84-V85-V86-V87-V88</f>
        <v>0</v>
      </c>
      <c r="W89" s="71" t="n">
        <f aca="false">W82+W83+W84-W85-W86-W87-W88</f>
        <v>0</v>
      </c>
      <c r="X89" s="71" t="n">
        <f aca="false">X82+X83+X84-X85-X86-X87-X88</f>
        <v>0</v>
      </c>
      <c r="Y89" s="71" t="n">
        <f aca="false">Y82+Y83+Y84-Y85-Y86-Y87-Y88</f>
        <v>0</v>
      </c>
      <c r="Z89" s="71" t="n">
        <f aca="false">Z82+Z83+Z84-Z85-Z86-Z87-Z88</f>
        <v>0</v>
      </c>
      <c r="AA89" s="71" t="n">
        <f aca="false">AA82+AA83+AA84-AA85-AA86-AA87-AA88</f>
        <v>0</v>
      </c>
      <c r="AB89" s="71" t="n">
        <f aca="false">AB82+AB83+AB84-AB85-AB86-AB87-AB88</f>
        <v>0</v>
      </c>
      <c r="AC89" s="71" t="n">
        <f aca="false">AC82+AC83+AC84-AC85-AC86-AC87-AC88</f>
        <v>0</v>
      </c>
      <c r="AD89" s="71" t="n">
        <f aca="false">AD82+AD83+AD84-AD85-AD86-AD87-AD88</f>
        <v>0</v>
      </c>
      <c r="AE89" s="71" t="n">
        <f aca="false">AE82+AE83+AE84-AE85-AE86-AE87-AE88</f>
        <v>0</v>
      </c>
      <c r="AF89" s="71" t="n">
        <f aca="false">AF82+AF83+AF84-AF85-AF86-AF87-AF88</f>
        <v>0</v>
      </c>
      <c r="AG89" s="71" t="n">
        <f aca="false">AG82+AG83+AG84-AG85-AG86-AG87-AG88</f>
        <v>0</v>
      </c>
      <c r="AH89" s="71" t="n">
        <f aca="false">AH82+AH83+AH84-AH85-AH86-AH87-AH88</f>
        <v>0</v>
      </c>
      <c r="AI89" s="71" t="n">
        <f aca="false">AI82+AI83+AI84-AI85-AI86-AI87-AI88</f>
        <v>0</v>
      </c>
      <c r="AJ89" s="71" t="n">
        <f aca="false">AJ82+AJ83+AJ84-AJ85-AJ86-AJ87-AJ88</f>
        <v>0</v>
      </c>
      <c r="AK89" s="71" t="n">
        <f aca="false">AK82+AK83+AK84-AK85-AK86-AK87-AK88</f>
        <v>0</v>
      </c>
      <c r="AL89" s="71" t="n">
        <f aca="false">AL82+AL83+AL84-AL85-AL86-AL87-AL88</f>
        <v>0</v>
      </c>
      <c r="AM89" s="71" t="n">
        <f aca="false">AM82+AM83+AM84-AM85-AM86-AM87-AM88</f>
        <v>0</v>
      </c>
    </row>
    <row r="90" customFormat="false" ht="21" hidden="false" customHeight="true" outlineLevel="0" collapsed="false">
      <c r="C90" s="56" t="s">
        <v>364</v>
      </c>
      <c r="D90" s="71"/>
      <c r="E90" s="69"/>
      <c r="F90" s="69"/>
      <c r="G90" s="69"/>
      <c r="H90" s="69"/>
      <c r="I90" s="69"/>
      <c r="J90" s="69" t="n">
        <f aca="false">J83+J84</f>
        <v>0</v>
      </c>
      <c r="K90" s="69" t="n">
        <f aca="false">Assets!J90+K83+K84</f>
        <v>0</v>
      </c>
      <c r="L90" s="69" t="n">
        <f aca="false">Assets!K90+L83+L84</f>
        <v>0</v>
      </c>
      <c r="M90" s="69" t="n">
        <f aca="false">Assets!L90+M83+M84</f>
        <v>0</v>
      </c>
      <c r="N90" s="69" t="n">
        <f aca="false">Assets!M90+N83+N84</f>
        <v>0</v>
      </c>
      <c r="O90" s="69" t="n">
        <f aca="false">Assets!N90+O83+O84</f>
        <v>0</v>
      </c>
      <c r="P90" s="69" t="n">
        <f aca="false">Assets!O90+P83+P84</f>
        <v>0</v>
      </c>
      <c r="Q90" s="69" t="n">
        <f aca="false">Assets!P90+Q83+Q84</f>
        <v>0</v>
      </c>
      <c r="R90" s="69" t="n">
        <f aca="false">Assets!Q90+R83+R84</f>
        <v>0</v>
      </c>
      <c r="S90" s="69" t="n">
        <f aca="false">Assets!R90+S83+S84</f>
        <v>0</v>
      </c>
      <c r="T90" s="69" t="n">
        <f aca="false">Assets!S90+T83+T84</f>
        <v>0</v>
      </c>
      <c r="U90" s="69" t="n">
        <f aca="false">Assets!T90+U83+U84</f>
        <v>0</v>
      </c>
      <c r="V90" s="69" t="n">
        <f aca="false">Assets!U90+V83+V84</f>
        <v>0</v>
      </c>
      <c r="W90" s="69" t="n">
        <f aca="false">Assets!V90+W83+W84</f>
        <v>0</v>
      </c>
      <c r="X90" s="69" t="n">
        <f aca="false">Assets!W90+X83+X84</f>
        <v>0</v>
      </c>
      <c r="Y90" s="69" t="n">
        <f aca="false">Assets!X90+Y83+Y84</f>
        <v>0</v>
      </c>
      <c r="Z90" s="69" t="n">
        <f aca="false">Assets!Y90+Z83+Z84</f>
        <v>0</v>
      </c>
      <c r="AA90" s="69" t="n">
        <f aca="false">Assets!Z90+AA83+AA84</f>
        <v>0</v>
      </c>
      <c r="AB90" s="69" t="n">
        <f aca="false">Assets!AA90+AB83+AB84</f>
        <v>0</v>
      </c>
      <c r="AC90" s="69" t="n">
        <f aca="false">Assets!AB90+AC83+AC84</f>
        <v>0</v>
      </c>
      <c r="AD90" s="69" t="n">
        <f aca="false">Assets!AC90+AD83+AD84</f>
        <v>0</v>
      </c>
      <c r="AE90" s="69" t="n">
        <f aca="false">Assets!AD90+AE83+AE84</f>
        <v>0</v>
      </c>
      <c r="AF90" s="69" t="n">
        <f aca="false">Assets!AE90+AF83+AF84</f>
        <v>0</v>
      </c>
      <c r="AG90" s="69" t="n">
        <f aca="false">Assets!AF90+AG83+AG84</f>
        <v>0</v>
      </c>
      <c r="AH90" s="69" t="n">
        <f aca="false">Assets!AG90+AH83+AH84</f>
        <v>0</v>
      </c>
      <c r="AI90" s="69" t="n">
        <f aca="false">Assets!AH90+AI83+AI84</f>
        <v>0</v>
      </c>
      <c r="AJ90" s="69" t="n">
        <f aca="false">Assets!AI90+AJ83+AJ84</f>
        <v>0</v>
      </c>
      <c r="AK90" s="69" t="n">
        <f aca="false">Assets!AJ90+AK83+AK84</f>
        <v>0</v>
      </c>
      <c r="AL90" s="69" t="n">
        <f aca="false">Assets!AK90+AL83+AL84</f>
        <v>0</v>
      </c>
      <c r="AM90" s="69" t="n">
        <f aca="false">Assets!AL90+AM83+AM84</f>
        <v>0</v>
      </c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</row>
    <row r="98" customFormat="false" ht="21" hidden="false" customHeight="true" outlineLevel="0" collapsed="false">
      <c r="C98" s="56" t="s">
        <v>371</v>
      </c>
      <c r="D98" s="69"/>
      <c r="E98" s="69"/>
      <c r="F98" s="69"/>
      <c r="G98" s="69"/>
      <c r="H98" s="69"/>
      <c r="I98" s="69"/>
      <c r="J98" s="69" t="n">
        <f aca="false">H1Data!D25+H1Data!D74</f>
        <v>233.99959479</v>
      </c>
      <c r="K98" s="69" t="n">
        <f aca="false">H1Data!D25+H1Data!D74</f>
        <v>233.99959479</v>
      </c>
      <c r="L98" s="69" t="n">
        <f aca="false">H1Data!D25+H1Data!D74</f>
        <v>233.99959479</v>
      </c>
      <c r="M98" s="69" t="n">
        <f aca="false">H1Data!D25+H1Data!D74</f>
        <v>233.99959479</v>
      </c>
      <c r="N98" s="69" t="n">
        <f aca="false">H1Data!D25+H1Data!D74</f>
        <v>233.99959479</v>
      </c>
      <c r="O98" s="69" t="n">
        <f aca="false">H1Data!D25+H1Data!D74</f>
        <v>233.99959479</v>
      </c>
      <c r="P98" s="69" t="n">
        <f aca="false">H1Data!D25+H1Data!D74</f>
        <v>233.99959479</v>
      </c>
      <c r="Q98" s="69" t="n">
        <f aca="false">H1Data!D25+H1Data!D74</f>
        <v>233.99959479</v>
      </c>
      <c r="R98" s="69" t="n">
        <f aca="false">H1Data!D25+H1Data!D74</f>
        <v>233.99959479</v>
      </c>
      <c r="S98" s="69" t="n">
        <f aca="false">H1Data!D25+H1Data!D74</f>
        <v>233.99959479</v>
      </c>
      <c r="T98" s="69" t="n">
        <f aca="false">H1Data!D25+H1Data!D74</f>
        <v>233.99959479</v>
      </c>
      <c r="U98" s="69" t="n">
        <f aca="false">H1Data!D25+H1Data!D74</f>
        <v>233.99959479</v>
      </c>
      <c r="V98" s="69" t="n">
        <f aca="false">H1Data!D25+H1Data!D74</f>
        <v>233.99959479</v>
      </c>
      <c r="W98" s="69" t="n">
        <f aca="false">H1Data!D25+H1Data!D74</f>
        <v>233.99959479</v>
      </c>
      <c r="X98" s="69" t="n">
        <f aca="false">H1Data!D25+H1Data!D74</f>
        <v>233.99959479</v>
      </c>
      <c r="Y98" s="69" t="n">
        <f aca="false">H1Data!D25+H1Data!D74</f>
        <v>233.99959479</v>
      </c>
      <c r="Z98" s="69" t="n">
        <f aca="false">H1Data!D25+H1Data!D74</f>
        <v>233.99959479</v>
      </c>
      <c r="AA98" s="69" t="n">
        <f aca="false">H1Data!D25+H1Data!D74</f>
        <v>233.99959479</v>
      </c>
      <c r="AB98" s="69" t="n">
        <f aca="false">H1Data!D25+H1Data!D74</f>
        <v>233.99959479</v>
      </c>
      <c r="AC98" s="69" t="n">
        <f aca="false">H1Data!D25+H1Data!D74</f>
        <v>233.99959479</v>
      </c>
      <c r="AD98" s="69" t="n">
        <f aca="false">H1Data!D25+H1Data!D74</f>
        <v>233.99959479</v>
      </c>
      <c r="AE98" s="69" t="n">
        <f aca="false">H1Data!D25+H1Data!D74</f>
        <v>233.99959479</v>
      </c>
      <c r="AF98" s="69" t="n">
        <f aca="false">H1Data!D25+H1Data!D74</f>
        <v>233.99959479</v>
      </c>
      <c r="AG98" s="69" t="n">
        <f aca="false">H1Data!D25+H1Data!D74</f>
        <v>233.99959479</v>
      </c>
      <c r="AH98" s="69" t="n">
        <f aca="false">H1Data!D25+H1Data!D74</f>
        <v>233.99959479</v>
      </c>
      <c r="AI98" s="69" t="n">
        <f aca="false">H1Data!D25+H1Data!D74</f>
        <v>233.99959479</v>
      </c>
      <c r="AJ98" s="69" t="n">
        <f aca="false">H1Data!D25+H1Data!D74</f>
        <v>233.99959479</v>
      </c>
      <c r="AK98" s="69" t="n">
        <f aca="false">H1Data!D25+H1Data!D74</f>
        <v>233.99959479</v>
      </c>
      <c r="AL98" s="69" t="n">
        <f aca="false">H1Data!D25+H1Data!D74</f>
        <v>233.99959479</v>
      </c>
      <c r="AM98" s="69" t="n">
        <f aca="false">H1Data!D25+H1Data!D74</f>
        <v>233.99959479</v>
      </c>
    </row>
    <row r="99" customFormat="false" ht="21" hidden="false" customHeight="true" outlineLevel="0" collapsed="false">
      <c r="C99" s="56" t="s">
        <v>372</v>
      </c>
      <c r="D99" s="71"/>
      <c r="E99" s="71"/>
      <c r="F99" s="71"/>
      <c r="G99" s="71"/>
      <c r="H99" s="71"/>
      <c r="I99" s="71"/>
      <c r="J99" s="71" t="n">
        <f aca="false">J16+J28+J40+J52+J64+J98</f>
        <v>3608.05226753973</v>
      </c>
      <c r="K99" s="71" t="n">
        <f aca="false">K16+K28+K40+K52+K64+K98</f>
        <v>3623.96201735093</v>
      </c>
      <c r="L99" s="71" t="n">
        <f aca="false">L16+L28+L40+L52+L64+L98</f>
        <v>3639.6970704736</v>
      </c>
      <c r="M99" s="71" t="n">
        <f aca="false">M16+M28+M40+M52+M64+M98</f>
        <v>3655.25742690773</v>
      </c>
      <c r="N99" s="71" t="n">
        <f aca="false">N16+N28+N40+N52+N64+N98</f>
        <v>3670.64308665333</v>
      </c>
      <c r="O99" s="71" t="n">
        <f aca="false">O16+O28+O40+O52+O64+O98</f>
        <v>3685.8540497104</v>
      </c>
      <c r="P99" s="71" t="n">
        <f aca="false">P16+P28+P40+P52+P64+P98</f>
        <v>3702.8596138255</v>
      </c>
      <c r="Q99" s="71" t="n">
        <f aca="false">Q16+Q28+Q40+Q52+Q64+Q98</f>
        <v>3719.68174641764</v>
      </c>
      <c r="R99" s="71" t="n">
        <f aca="false">R16+R28+R40+R52+R64+R98</f>
        <v>3736.32044748682</v>
      </c>
      <c r="S99" s="71" t="n">
        <f aca="false">S16+S28+S40+S52+S64+S98</f>
        <v>3752.77571703304</v>
      </c>
      <c r="T99" s="71" t="n">
        <f aca="false">T16+T28+T40+T52+T64+T98</f>
        <v>3769.04755505631</v>
      </c>
      <c r="U99" s="71" t="n">
        <f aca="false">U16+U28+U40+U52+U64+U98</f>
        <v>3785.13596155661</v>
      </c>
      <c r="V99" s="71" t="n">
        <f aca="false">V16+V28+V40+V52+V64+V98</f>
        <v>3801.04093653395</v>
      </c>
      <c r="W99" s="71" t="n">
        <f aca="false">W16+W28+W40+W52+W64+W98</f>
        <v>3816.76247998833</v>
      </c>
      <c r="X99" s="71" t="n">
        <f aca="false">X16+X28+X40+X52+X64+X98</f>
        <v>3832.30059191975</v>
      </c>
      <c r="Y99" s="71" t="n">
        <f aca="false">Y16+Y28+Y40+Y52+Y64+Y98</f>
        <v>3847.65527232821</v>
      </c>
      <c r="Z99" s="71" t="n">
        <f aca="false">Z16+Z28+Z40+Z52+Z64+Z98</f>
        <v>3862.82652121371</v>
      </c>
      <c r="AA99" s="71" t="n">
        <f aca="false">AA16+AA28+AA40+AA52+AA64+AA98</f>
        <v>3877.81433857625</v>
      </c>
      <c r="AB99" s="71" t="n">
        <f aca="false">AB16+AB28+AB40+AB52+AB64+AB98</f>
        <v>3894.68648704973</v>
      </c>
      <c r="AC99" s="71" t="n">
        <f aca="false">AC16+AC28+AC40+AC52+AC64+AC98</f>
        <v>3911.3660324241</v>
      </c>
      <c r="AD99" s="71" t="n">
        <f aca="false">AD16+AD28+AD40+AD52+AD64+AD98</f>
        <v>3927.85297469936</v>
      </c>
      <c r="AE99" s="71" t="n">
        <f aca="false">AE16+AE28+AE40+AE52+AE64+AE98</f>
        <v>3944.14731387551</v>
      </c>
      <c r="AF99" s="71" t="n">
        <f aca="false">AF16+AF28+AF40+AF52+AF64+AF98</f>
        <v>3960.24904995256</v>
      </c>
      <c r="AG99" s="71" t="n">
        <f aca="false">AG16+AG28+AG40+AG52+AG64+AG98</f>
        <v>3976.1581829305</v>
      </c>
      <c r="AH99" s="71" t="n">
        <f aca="false">AH16+AH28+AH40+AH52+AH64+AH98</f>
        <v>3991.87471280932</v>
      </c>
      <c r="AI99" s="71" t="n">
        <f aca="false">AI16+AI28+AI40+AI52+AI64+AI98</f>
        <v>4007.39863958905</v>
      </c>
      <c r="AJ99" s="71" t="n">
        <f aca="false">AJ16+AJ28+AJ40+AJ52+AJ64+AJ98</f>
        <v>4022.72996326966</v>
      </c>
      <c r="AK99" s="71" t="n">
        <f aca="false">AK16+AK28+AK40+AK52+AK64+AK98</f>
        <v>4037.86868385116</v>
      </c>
      <c r="AL99" s="71" t="n">
        <f aca="false">AL16+AL28+AL40+AL52+AL64+AL98</f>
        <v>4052.81480133356</v>
      </c>
      <c r="AM99" s="71" t="n">
        <f aca="false">AM16+AM28+AM40+AM52+AM64+AM98</f>
        <v>4067.56831571685</v>
      </c>
    </row>
    <row r="100" customFormat="false" ht="21" hidden="false" customHeight="true" outlineLevel="0" collapsed="false">
      <c r="C100" s="56" t="s">
        <v>373</v>
      </c>
      <c r="D100" s="71"/>
      <c r="E100" s="71"/>
      <c r="F100" s="71"/>
      <c r="G100" s="71"/>
      <c r="H100" s="71"/>
      <c r="I100" s="71"/>
      <c r="J100" s="71" t="n">
        <f aca="false">J13+J25+J37+J49+J61+J73+J85</f>
        <v>26.380475805</v>
      </c>
      <c r="K100" s="71" t="n">
        <f aca="false">K13+K25+K37+K49+K61+K73+K85</f>
        <v>26.5916409703219</v>
      </c>
      <c r="L100" s="71" t="n">
        <f aca="false">L13+L25+L37+L49+L61+L73+L85</f>
        <v>26.8028061356437</v>
      </c>
      <c r="M100" s="71" t="n">
        <f aca="false">M13+M25+M37+M49+M61+M73+M85</f>
        <v>27.0139713009656</v>
      </c>
      <c r="N100" s="71" t="n">
        <f aca="false">N13+N25+N37+N49+N61+N73+N85</f>
        <v>27.2251364662874</v>
      </c>
      <c r="O100" s="71" t="n">
        <f aca="false">O13+O25+O37+O49+O61+O73+O85</f>
        <v>27.4363016316093</v>
      </c>
      <c r="P100" s="71" t="n">
        <f aca="false">P13+P25+P37+P49+P61+P73+P85</f>
        <v>27.6474667969312</v>
      </c>
      <c r="Q100" s="71" t="n">
        <f aca="false">Q13+Q25+Q37+Q49+Q61+Q73+Q85</f>
        <v>27.8691902205191</v>
      </c>
      <c r="R100" s="71" t="n">
        <f aca="false">R13+R25+R37+R49+R61+R73+R85</f>
        <v>28.0909136441071</v>
      </c>
      <c r="S100" s="71" t="n">
        <f aca="false">S13+S25+S37+S49+S61+S73+S85</f>
        <v>28.312637067695</v>
      </c>
      <c r="T100" s="71" t="n">
        <f aca="false">T13+T25+T37+T49+T61+T73+T85</f>
        <v>28.534360491283</v>
      </c>
      <c r="U100" s="71" t="n">
        <f aca="false">U13+U25+U37+U49+U61+U73+U85</f>
        <v>28.7560839148709</v>
      </c>
      <c r="V100" s="71" t="n">
        <f aca="false">V13+V25+V37+V49+V61+V73+V85</f>
        <v>28.9778073384589</v>
      </c>
      <c r="W100" s="71" t="n">
        <f aca="false">W13+W25+W37+W49+W61+W73+W85</f>
        <v>29.1995307620468</v>
      </c>
      <c r="X100" s="71" t="n">
        <f aca="false">X13+X25+X37+X49+X61+X73+X85</f>
        <v>28.1775996406348</v>
      </c>
      <c r="Y100" s="71" t="n">
        <f aca="false">Y13+Y25+Y37+Y49+Y61+Y73+Y85</f>
        <v>28.3830314108894</v>
      </c>
      <c r="Z100" s="71" t="n">
        <f aca="false">Z13+Z25+Z37+Z49+Z61+Z73+Z85</f>
        <v>28.6047548344774</v>
      </c>
      <c r="AA100" s="71" t="n">
        <f aca="false">AA13+AA25+AA37+AA49+AA61+AA73+AA85</f>
        <v>28.8264782580653</v>
      </c>
      <c r="AB100" s="71" t="n">
        <f aca="false">AB13+AB25+AB37+AB49+AB61+AB73+AB85</f>
        <v>29.0482016816533</v>
      </c>
      <c r="AC100" s="71" t="n">
        <f aca="false">AC13+AC25+AC37+AC49+AC61+AC73+AC85</f>
        <v>29.2810112764206</v>
      </c>
      <c r="AD100" s="71" t="n">
        <f aca="false">AD13+AD25+AD37+AD49+AD61+AD73+AD85</f>
        <v>29.513820871188</v>
      </c>
      <c r="AE100" s="71" t="n">
        <f aca="false">AE13+AE25+AE37+AE49+AE61+AE73+AE85</f>
        <v>29.7466304659553</v>
      </c>
      <c r="AF100" s="71" t="n">
        <f aca="false">AF13+AF25+AF37+AF49+AF61+AF73+AF85</f>
        <v>29.9794400607227</v>
      </c>
      <c r="AG100" s="71" t="n">
        <f aca="false">AG13+AG25+AG37+AG49+AG61+AG73+AG85</f>
        <v>30.21224965549</v>
      </c>
      <c r="AH100" s="71" t="n">
        <f aca="false">AH13+AH25+AH37+AH49+AH61+AH73+AH85</f>
        <v>30.4450592502574</v>
      </c>
      <c r="AI100" s="71" t="n">
        <f aca="false">AI13+AI25+AI37+AI49+AI61+AI73+AI85</f>
        <v>30.6778688450247</v>
      </c>
      <c r="AJ100" s="71" t="n">
        <f aca="false">AJ13+AJ25+AJ37+AJ49+AJ61+AJ73+AJ85</f>
        <v>30.9106784397921</v>
      </c>
      <c r="AK100" s="71" t="n">
        <f aca="false">AK13+AK25+AK37+AK49+AK61+AK73+AK85</f>
        <v>31.1434880345594</v>
      </c>
      <c r="AL100" s="71" t="n">
        <f aca="false">AL13+AL25+AL37+AL49+AL61+AL73+AL85</f>
        <v>31.3762976293268</v>
      </c>
      <c r="AM100" s="71" t="n">
        <f aca="false">AM13+AM25+AM37+AM49+AM61+AM73+AM85</f>
        <v>31.6091072240941</v>
      </c>
    </row>
    <row r="101" customFormat="false" ht="21" hidden="false" customHeight="true" outlineLevel="0" collapsed="false">
      <c r="C101" s="56" t="s">
        <v>374</v>
      </c>
      <c r="D101" s="71"/>
      <c r="E101" s="71"/>
      <c r="F101" s="71"/>
      <c r="G101" s="71"/>
      <c r="H101" s="71"/>
      <c r="I101" s="71"/>
      <c r="J101" s="71" t="n">
        <f aca="false">J11+J23+J35+J47+J59+J71+J83</f>
        <v>43.762172146</v>
      </c>
      <c r="K101" s="71" t="n">
        <f aca="false">K11+K23+K35+K47+K59+K71+K83</f>
        <v>43.762172146</v>
      </c>
      <c r="L101" s="71" t="n">
        <f aca="false">L11+L23+L35+L47+L59+L71+L83</f>
        <v>43.762172146</v>
      </c>
      <c r="M101" s="71" t="n">
        <f aca="false">M11+M23+M35+M47+M59+M71+M83</f>
        <v>43.762172146</v>
      </c>
      <c r="N101" s="71" t="n">
        <f aca="false">N11+N23+N35+N47+N59+N71+N83</f>
        <v>43.762172146</v>
      </c>
      <c r="O101" s="71" t="n">
        <f aca="false">O11+O23+O35+O47+O59+O71+O83</f>
        <v>43.762172146</v>
      </c>
      <c r="P101" s="71" t="n">
        <f aca="false">P11+P23+P35+P47+P59+P71+P83</f>
        <v>45.9502807533</v>
      </c>
      <c r="Q101" s="71" t="n">
        <f aca="false">Q11+Q23+Q35+Q47+Q59+Q71+Q83</f>
        <v>45.9502807533</v>
      </c>
      <c r="R101" s="71" t="n">
        <f aca="false">R11+R23+R35+R47+R59+R71+R83</f>
        <v>45.9502807533</v>
      </c>
      <c r="S101" s="71" t="n">
        <f aca="false">S11+S23+S35+S47+S59+S71+S83</f>
        <v>45.9502807533</v>
      </c>
      <c r="T101" s="71" t="n">
        <f aca="false">T11+T23+T35+T47+T59+T71+T83</f>
        <v>45.9502807533</v>
      </c>
      <c r="U101" s="71" t="n">
        <f aca="false">U11+U23+U35+U47+U59+U71+U83</f>
        <v>45.9502807533</v>
      </c>
      <c r="V101" s="71" t="n">
        <f aca="false">V11+V23+V35+V47+V59+V71+V83</f>
        <v>45.9502807533</v>
      </c>
      <c r="W101" s="71" t="n">
        <f aca="false">W11+W23+W35+W47+W59+W71+W83</f>
        <v>45.9502807533</v>
      </c>
      <c r="X101" s="71" t="n">
        <f aca="false">X11+X23+X35+X47+X59+X71+X83</f>
        <v>45.9502807533</v>
      </c>
      <c r="Y101" s="71" t="n">
        <f aca="false">Y11+Y23+Y35+Y47+Y59+Y71+Y83</f>
        <v>45.9502807533</v>
      </c>
      <c r="Z101" s="71" t="n">
        <f aca="false">Z11+Z23+Z35+Z47+Z59+Z71+Z83</f>
        <v>45.9502807533</v>
      </c>
      <c r="AA101" s="71" t="n">
        <f aca="false">AA11+AA23+AA35+AA47+AA59+AA71+AA83</f>
        <v>45.9502807533</v>
      </c>
      <c r="AB101" s="71" t="n">
        <f aca="false">AB11+AB23+AB35+AB47+AB59+AB71+AB83</f>
        <v>48.247794790965</v>
      </c>
      <c r="AC101" s="71" t="n">
        <f aca="false">AC11+AC23+AC35+AC47+AC59+AC71+AC83</f>
        <v>48.247794790965</v>
      </c>
      <c r="AD101" s="71" t="n">
        <f aca="false">AD11+AD23+AD35+AD47+AD59+AD71+AD83</f>
        <v>48.247794790965</v>
      </c>
      <c r="AE101" s="71" t="n">
        <f aca="false">AE11+AE23+AE35+AE47+AE59+AE71+AE83</f>
        <v>48.247794790965</v>
      </c>
      <c r="AF101" s="71" t="n">
        <f aca="false">AF11+AF23+AF35+AF47+AF59+AF71+AF83</f>
        <v>48.247794790965</v>
      </c>
      <c r="AG101" s="71" t="n">
        <f aca="false">AG11+AG23+AG35+AG47+AG59+AG71+AG83</f>
        <v>48.247794790965</v>
      </c>
      <c r="AH101" s="71" t="n">
        <f aca="false">AH11+AH23+AH35+AH47+AH59+AH71+AH83</f>
        <v>48.247794790965</v>
      </c>
      <c r="AI101" s="71" t="n">
        <f aca="false">AI11+AI23+AI35+AI47+AI59+AI71+AI83</f>
        <v>48.247794790965</v>
      </c>
      <c r="AJ101" s="71" t="n">
        <f aca="false">AJ11+AJ23+AJ35+AJ47+AJ59+AJ71+AJ83</f>
        <v>48.247794790965</v>
      </c>
      <c r="AK101" s="71" t="n">
        <f aca="false">AK11+AK23+AK35+AK47+AK59+AK71+AK83</f>
        <v>48.247794790965</v>
      </c>
      <c r="AL101" s="71" t="n">
        <f aca="false">AL11+AL23+AL35+AL47+AL59+AL71+AL83</f>
        <v>48.247794790965</v>
      </c>
      <c r="AM101" s="71" t="n">
        <f aca="false">AM11+AM23+AM35+AM47+AM59+AM71+AM83</f>
        <v>48.247794790965</v>
      </c>
    </row>
    <row r="102" customFormat="false" ht="21" hidden="false" customHeight="true" outlineLevel="0" collapsed="false">
      <c r="C102" s="56" t="s">
        <v>375</v>
      </c>
      <c r="D102" s="71"/>
      <c r="E102" s="71"/>
      <c r="F102" s="71"/>
      <c r="G102" s="71"/>
      <c r="H102" s="71"/>
      <c r="I102" s="71"/>
      <c r="J102" s="71" t="n">
        <f aca="false">J14+J26+J38+J50+J62</f>
        <v>0</v>
      </c>
      <c r="K102" s="71" t="n">
        <f aca="false">K14+K26+K38+K50+K62</f>
        <v>0</v>
      </c>
      <c r="L102" s="71" t="n">
        <f aca="false">L14+L26+L38+L50+L62</f>
        <v>0</v>
      </c>
      <c r="M102" s="71" t="n">
        <f aca="false">M14+M26+M38+M50+M62</f>
        <v>0</v>
      </c>
      <c r="N102" s="71" t="n">
        <f aca="false">N14+N26+N38+N50+N62</f>
        <v>0</v>
      </c>
      <c r="O102" s="71" t="n">
        <f aca="false">O14+O26+O38+O50+O62</f>
        <v>0</v>
      </c>
      <c r="P102" s="71" t="n">
        <f aca="false">P14+P26+P38+P50+P62</f>
        <v>0</v>
      </c>
      <c r="Q102" s="71" t="n">
        <f aca="false">Q14+Q26+Q38+Q50+Q62</f>
        <v>0</v>
      </c>
      <c r="R102" s="71" t="n">
        <f aca="false">R14+R26+R38+R50+R62</f>
        <v>0</v>
      </c>
      <c r="S102" s="71" t="n">
        <f aca="false">S14+S26+S38+S50+S62</f>
        <v>0</v>
      </c>
      <c r="T102" s="71" t="n">
        <f aca="false">T14+T26+T38+T50+T62</f>
        <v>0</v>
      </c>
      <c r="U102" s="71" t="n">
        <f aca="false">U14+U26+U38+U50+U62</f>
        <v>0</v>
      </c>
      <c r="V102" s="71" t="n">
        <f aca="false">V14+V26+V38+V50+V62</f>
        <v>0</v>
      </c>
      <c r="W102" s="71" t="n">
        <f aca="false">W14+W26+W38+W50+W62</f>
        <v>0</v>
      </c>
      <c r="X102" s="71" t="n">
        <f aca="false">X14+X26+X38+X50+X62</f>
        <v>0</v>
      </c>
      <c r="Y102" s="71" t="n">
        <f aca="false">Y14+Y26+Y38+Y50+Y62</f>
        <v>0</v>
      </c>
      <c r="Z102" s="71" t="n">
        <f aca="false">Z14+Z26+Z38+Z50+Z62</f>
        <v>0</v>
      </c>
      <c r="AA102" s="71" t="n">
        <f aca="false">AA14+AA26+AA38+AA50+AA62</f>
        <v>0</v>
      </c>
      <c r="AB102" s="71" t="n">
        <f aca="false">AB14+AB26+AB38+AB50+AB62</f>
        <v>0</v>
      </c>
      <c r="AC102" s="71" t="n">
        <f aca="false">AC14+AC26+AC38+AC50+AC62</f>
        <v>0</v>
      </c>
      <c r="AD102" s="71" t="n">
        <f aca="false">AD14+AD26+AD38+AD50+AD62</f>
        <v>0</v>
      </c>
      <c r="AE102" s="71" t="n">
        <f aca="false">AE14+AE26+AE38+AE50+AE62</f>
        <v>0</v>
      </c>
      <c r="AF102" s="71" t="n">
        <f aca="false">AF14+AF26+AF38+AF50+AF62</f>
        <v>0</v>
      </c>
      <c r="AG102" s="71" t="n">
        <f aca="false">AG14+AG26+AG38+AG50+AG62</f>
        <v>0</v>
      </c>
      <c r="AH102" s="71" t="n">
        <f aca="false">AH14+AH26+AH38+AH50+AH62</f>
        <v>0</v>
      </c>
      <c r="AI102" s="71" t="n">
        <f aca="false">AI14+AI26+AI38+AI50+AI62</f>
        <v>0</v>
      </c>
      <c r="AJ102" s="71" t="n">
        <f aca="false">AJ14+AJ26+AJ38+AJ50+AJ62</f>
        <v>0</v>
      </c>
      <c r="AK102" s="71" t="n">
        <f aca="false">AK14+AK26+AK38+AK50+AK62</f>
        <v>0</v>
      </c>
      <c r="AL102" s="71" t="n">
        <f aca="false">AL14+AL26+AL38+AL50+AL62</f>
        <v>0</v>
      </c>
      <c r="AM102" s="71" t="n">
        <f aca="false">AM14+AM26+AM38+AM50+AM62</f>
        <v>0</v>
      </c>
    </row>
    <row r="103" customFormat="false" ht="21" hidden="false" customHeight="true" outlineLevel="0" collapsed="false">
      <c r="C103" s="56" t="s">
        <v>376</v>
      </c>
      <c r="D103" s="71"/>
      <c r="E103" s="71"/>
      <c r="F103" s="71"/>
      <c r="G103" s="71"/>
      <c r="H103" s="71"/>
      <c r="I103" s="71"/>
      <c r="J103" s="71" t="n">
        <f aca="false">J15+J27+J39+J51+J63</f>
        <v>0</v>
      </c>
      <c r="K103" s="71" t="n">
        <f aca="false">K15+K27+K39+K51+K63</f>
        <v>0</v>
      </c>
      <c r="L103" s="71" t="n">
        <f aca="false">L15+L27+L39+L51+L63</f>
        <v>0</v>
      </c>
      <c r="M103" s="71" t="n">
        <f aca="false">M15+M27+M39+M51+M63</f>
        <v>0</v>
      </c>
      <c r="N103" s="71" t="n">
        <f aca="false">N15+N27+N39+N51+N63</f>
        <v>0</v>
      </c>
      <c r="O103" s="71" t="n">
        <f aca="false">O15+O27+O39+O51+O63</f>
        <v>0</v>
      </c>
      <c r="P103" s="71" t="n">
        <f aca="false">P15+P27+P39+P51+P63</f>
        <v>0</v>
      </c>
      <c r="Q103" s="71" t="n">
        <f aca="false">Q15+Q27+Q39+Q51+Q63</f>
        <v>0</v>
      </c>
      <c r="R103" s="71" t="n">
        <f aca="false">R15+R27+R39+R51+R63</f>
        <v>0</v>
      </c>
      <c r="S103" s="71" t="n">
        <f aca="false">S15+S27+S39+S51+S63</f>
        <v>0</v>
      </c>
      <c r="T103" s="71" t="n">
        <f aca="false">T15+T27+T39+T51+T63</f>
        <v>0</v>
      </c>
      <c r="U103" s="71" t="n">
        <f aca="false">U15+U27+U39+U51+U63</f>
        <v>0</v>
      </c>
      <c r="V103" s="71" t="n">
        <f aca="false">V15+V27+V39+V51+V63</f>
        <v>0</v>
      </c>
      <c r="W103" s="71" t="n">
        <f aca="false">W15+W27+W39+W51+W63</f>
        <v>0</v>
      </c>
      <c r="X103" s="71" t="n">
        <f aca="false">X15+X27+X39+X51+X63</f>
        <v>0</v>
      </c>
      <c r="Y103" s="71" t="n">
        <f aca="false">Y15+Y27+Y39+Y51+Y63</f>
        <v>0</v>
      </c>
      <c r="Z103" s="71" t="n">
        <f aca="false">Z15+Z27+Z39+Z51+Z63</f>
        <v>0</v>
      </c>
      <c r="AA103" s="71" t="n">
        <f aca="false">AA15+AA27+AA39+AA51+AA63</f>
        <v>0</v>
      </c>
      <c r="AB103" s="71" t="n">
        <f aca="false">AB15+AB27+AB39+AB51+AB63</f>
        <v>0</v>
      </c>
      <c r="AC103" s="71" t="n">
        <f aca="false">AC15+AC27+AC39+AC51+AC63</f>
        <v>0</v>
      </c>
      <c r="AD103" s="71" t="n">
        <f aca="false">AD15+AD27+AD39+AD51+AD63</f>
        <v>0</v>
      </c>
      <c r="AE103" s="71" t="n">
        <f aca="false">AE15+AE27+AE39+AE51+AE63</f>
        <v>0</v>
      </c>
      <c r="AF103" s="71" t="n">
        <f aca="false">AF15+AF27+AF39+AF51+AF63</f>
        <v>0</v>
      </c>
      <c r="AG103" s="71" t="n">
        <f aca="false">AG15+AG27+AG39+AG51+AG63</f>
        <v>0</v>
      </c>
      <c r="AH103" s="71" t="n">
        <f aca="false">AH15+AH27+AH39+AH51+AH63</f>
        <v>0</v>
      </c>
      <c r="AI103" s="71" t="n">
        <f aca="false">AI15+AI27+AI39+AI51+AI63</f>
        <v>0</v>
      </c>
      <c r="AJ103" s="71" t="n">
        <f aca="false">AJ15+AJ27+AJ39+AJ51+AJ63</f>
        <v>0</v>
      </c>
      <c r="AK103" s="71" t="n">
        <f aca="false">AK15+AK27+AK39+AK51+AK63</f>
        <v>0</v>
      </c>
      <c r="AL103" s="71" t="n">
        <f aca="false">AL15+AL27+AL39+AL51+AL63</f>
        <v>0</v>
      </c>
      <c r="AM103" s="71" t="n">
        <f aca="false">AM15+AM27+AM39+AM51+AM63</f>
        <v>0</v>
      </c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</row>
    <row r="107" customFormat="false" ht="25" hidden="false" customHeight="true" outlineLevel="0" collapsed="false">
      <c r="C107" s="58" t="s">
        <v>377</v>
      </c>
      <c r="D107" s="58"/>
      <c r="E107" s="58"/>
      <c r="F107" s="58"/>
      <c r="G107" s="58"/>
      <c r="H107" s="58"/>
      <c r="I107" s="58"/>
      <c r="J107" s="58"/>
      <c r="K107" s="58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</row>
    <row r="108" customFormat="false" ht="25" hidden="false" customHeight="true" outlineLevel="0" collapsed="false">
      <c r="C108" s="58"/>
      <c r="D108" s="58"/>
      <c r="E108" s="58"/>
      <c r="F108" s="58"/>
      <c r="G108" s="58"/>
      <c r="H108" s="58"/>
      <c r="I108" s="58"/>
      <c r="J108" s="58"/>
      <c r="K108" s="58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</row>
  </sheetData>
  <sheetProtection sheet="1" objects="1" scenarios="1" selectLockedCells="0" selectUnlockedCells="0"/>
  <mergeCells count="3">
    <mergeCell ref="C2:K2"/>
    <mergeCell ref="C3:K4"/>
    <mergeCell ref="C107:K10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>
  <sheetPr filterMode="false">
    <pageSetUpPr fitToPage="false"/>
  </sheetPr>
  <dimension ref="C1:AM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39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customFormat="false" ht="33" hidden="false" customHeight="true" outlineLevel="0" collapsed="false">
      <c r="C2" s="57" t="s">
        <v>378</v>
      </c>
      <c r="D2" s="57"/>
      <c r="E2" s="57"/>
      <c r="F2" s="57"/>
      <c r="G2" s="57"/>
      <c r="H2" s="57"/>
      <c r="I2" s="57"/>
      <c r="J2" s="57"/>
      <c r="K2" s="57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</row>
    <row r="3" customFormat="false" ht="21" hidden="false" customHeight="true" outlineLevel="0" collapsed="false">
      <c r="C3" s="58" t="s">
        <v>129</v>
      </c>
      <c r="D3" s="58"/>
      <c r="E3" s="58"/>
      <c r="F3" s="58"/>
      <c r="G3" s="58"/>
      <c r="H3" s="58"/>
      <c r="I3" s="58"/>
      <c r="J3" s="58"/>
      <c r="K3" s="58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</row>
    <row r="6" customFormat="false" ht="21" hidden="false" customHeight="true" outlineLevel="0" collapsed="false">
      <c r="C6" s="56"/>
      <c r="D6" s="56" t="s">
        <v>130</v>
      </c>
      <c r="E6" s="56" t="s">
        <v>130</v>
      </c>
      <c r="F6" s="56" t="s">
        <v>130</v>
      </c>
      <c r="G6" s="56" t="s">
        <v>130</v>
      </c>
      <c r="H6" s="56" t="s">
        <v>130</v>
      </c>
      <c r="I6" s="56" t="s">
        <v>221</v>
      </c>
      <c r="J6" s="56" t="s">
        <v>132</v>
      </c>
      <c r="K6" s="56" t="s">
        <v>132</v>
      </c>
      <c r="L6" s="56" t="s">
        <v>132</v>
      </c>
      <c r="M6" s="56" t="s">
        <v>132</v>
      </c>
      <c r="N6" s="56" t="s">
        <v>132</v>
      </c>
      <c r="O6" s="56" t="s">
        <v>132</v>
      </c>
      <c r="P6" s="56" t="s">
        <v>132</v>
      </c>
      <c r="Q6" s="56" t="s">
        <v>132</v>
      </c>
      <c r="R6" s="56" t="s">
        <v>132</v>
      </c>
      <c r="S6" s="56" t="s">
        <v>132</v>
      </c>
      <c r="T6" s="56" t="s">
        <v>132</v>
      </c>
      <c r="U6" s="56" t="s">
        <v>132</v>
      </c>
      <c r="V6" s="56" t="s">
        <v>132</v>
      </c>
      <c r="W6" s="56" t="s">
        <v>132</v>
      </c>
      <c r="X6" s="56" t="s">
        <v>132</v>
      </c>
      <c r="Y6" s="56" t="s">
        <v>132</v>
      </c>
      <c r="Z6" s="56" t="s">
        <v>132</v>
      </c>
      <c r="AA6" s="56" t="s">
        <v>132</v>
      </c>
      <c r="AB6" s="56" t="s">
        <v>132</v>
      </c>
      <c r="AC6" s="56" t="s">
        <v>132</v>
      </c>
      <c r="AD6" s="56" t="s">
        <v>132</v>
      </c>
      <c r="AE6" s="56" t="s">
        <v>132</v>
      </c>
      <c r="AF6" s="56" t="s">
        <v>132</v>
      </c>
      <c r="AG6" s="56" t="s">
        <v>132</v>
      </c>
      <c r="AH6" s="56" t="s">
        <v>132</v>
      </c>
      <c r="AI6" s="56" t="s">
        <v>132</v>
      </c>
      <c r="AJ6" s="56" t="s">
        <v>132</v>
      </c>
      <c r="AK6" s="56" t="s">
        <v>132</v>
      </c>
      <c r="AL6" s="56" t="s">
        <v>132</v>
      </c>
      <c r="AM6" s="56" t="s">
        <v>132</v>
      </c>
    </row>
    <row r="7" customFormat="false" ht="21" hidden="false" customHeight="true" outlineLevel="0" collapsed="false">
      <c r="C7" s="63"/>
      <c r="D7" s="73" t="n">
        <v>46053</v>
      </c>
      <c r="E7" s="73" t="n">
        <v>46081</v>
      </c>
      <c r="F7" s="73" t="n">
        <v>46112</v>
      </c>
      <c r="G7" s="73" t="n">
        <v>46142</v>
      </c>
      <c r="H7" s="73" t="n">
        <v>46173</v>
      </c>
      <c r="I7" s="73" t="n">
        <v>46203</v>
      </c>
      <c r="J7" s="73" t="n">
        <v>46234</v>
      </c>
      <c r="K7" s="73" t="n">
        <v>46265</v>
      </c>
      <c r="L7" s="73" t="n">
        <v>46295</v>
      </c>
      <c r="M7" s="73" t="n">
        <v>46326</v>
      </c>
      <c r="N7" s="73" t="n">
        <v>46356</v>
      </c>
      <c r="O7" s="73" t="n">
        <v>46387</v>
      </c>
      <c r="P7" s="73" t="n">
        <v>46418</v>
      </c>
      <c r="Q7" s="73" t="n">
        <v>46446</v>
      </c>
      <c r="R7" s="73" t="n">
        <v>46477</v>
      </c>
      <c r="S7" s="73" t="n">
        <v>46507</v>
      </c>
      <c r="T7" s="73" t="n">
        <v>46538</v>
      </c>
      <c r="U7" s="73" t="n">
        <v>46568</v>
      </c>
      <c r="V7" s="73" t="n">
        <v>46599</v>
      </c>
      <c r="W7" s="73" t="n">
        <v>46630</v>
      </c>
      <c r="X7" s="73" t="n">
        <v>46660</v>
      </c>
      <c r="Y7" s="73" t="n">
        <v>46691</v>
      </c>
      <c r="Z7" s="73" t="n">
        <v>46721</v>
      </c>
      <c r="AA7" s="73" t="n">
        <v>46752</v>
      </c>
      <c r="AB7" s="73" t="n">
        <v>46783</v>
      </c>
      <c r="AC7" s="73" t="n">
        <v>46812</v>
      </c>
      <c r="AD7" s="73" t="n">
        <v>46843</v>
      </c>
      <c r="AE7" s="73" t="n">
        <v>46873</v>
      </c>
      <c r="AF7" s="73" t="n">
        <v>46904</v>
      </c>
      <c r="AG7" s="73" t="n">
        <v>46934</v>
      </c>
      <c r="AH7" s="73" t="n">
        <v>46965</v>
      </c>
      <c r="AI7" s="73" t="n">
        <v>46996</v>
      </c>
      <c r="AJ7" s="73" t="n">
        <v>47026</v>
      </c>
      <c r="AK7" s="73" t="n">
        <v>47057</v>
      </c>
      <c r="AL7" s="73" t="n">
        <v>47087</v>
      </c>
      <c r="AM7" s="73" t="n">
        <v>47118</v>
      </c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</row>
    <row r="9" customFormat="false" ht="25" hidden="false" customHeight="true" outlineLevel="0" collapsed="false">
      <c r="C9" s="63" t="s">
        <v>379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</row>
    <row r="10" customFormat="false" ht="21" hidden="false" customHeight="true" outlineLevel="0" collapsed="false">
      <c r="C10" s="56" t="s">
        <v>380</v>
      </c>
      <c r="D10" s="69"/>
      <c r="E10" s="69"/>
      <c r="F10" s="69"/>
      <c r="G10" s="69"/>
      <c r="H10" s="69"/>
      <c r="I10" s="69"/>
      <c r="J10" s="69" t="n">
        <f aca="false">H1Data!D32-H1Data!D33-H1Data!D34</f>
        <v>-9.70334923522387E-014</v>
      </c>
      <c r="K10" s="69" t="n">
        <f aca="false">Funding!J15</f>
        <v>-9.70334923522387E-014</v>
      </c>
      <c r="L10" s="69" t="n">
        <f aca="false">Funding!K15</f>
        <v>-9.70334923522387E-014</v>
      </c>
      <c r="M10" s="69" t="n">
        <f aca="false">Funding!L15</f>
        <v>-9.70334923522387E-014</v>
      </c>
      <c r="N10" s="69" t="n">
        <f aca="false">Funding!M15</f>
        <v>-9.70334923522387E-014</v>
      </c>
      <c r="O10" s="69" t="n">
        <f aca="false">Funding!N15</f>
        <v>-9.70334923522387E-014</v>
      </c>
      <c r="P10" s="69" t="n">
        <f aca="false">Funding!O15</f>
        <v>-9.70334923522387E-014</v>
      </c>
      <c r="Q10" s="69" t="n">
        <f aca="false">Funding!P15</f>
        <v>-9.70334923522387E-014</v>
      </c>
      <c r="R10" s="69" t="n">
        <f aca="false">Funding!Q15</f>
        <v>-9.70334923522387E-014</v>
      </c>
      <c r="S10" s="69" t="n">
        <f aca="false">Funding!R15</f>
        <v>-9.70334923522387E-014</v>
      </c>
      <c r="T10" s="69" t="n">
        <f aca="false">Funding!S15</f>
        <v>-9.70334923522387E-014</v>
      </c>
      <c r="U10" s="69" t="n">
        <f aca="false">Funding!T15</f>
        <v>-9.70334923522387E-014</v>
      </c>
      <c r="V10" s="69" t="n">
        <f aca="false">Funding!U15</f>
        <v>-9.70334923522387E-014</v>
      </c>
      <c r="W10" s="69" t="n">
        <f aca="false">Funding!V15</f>
        <v>-9.70334923522387E-014</v>
      </c>
      <c r="X10" s="69" t="n">
        <f aca="false">Funding!W15</f>
        <v>-9.70334923522387E-014</v>
      </c>
      <c r="Y10" s="69" t="n">
        <f aca="false">Funding!X15</f>
        <v>-9.70334923522387E-014</v>
      </c>
      <c r="Z10" s="69" t="n">
        <f aca="false">Funding!Y15</f>
        <v>-9.70334923522387E-014</v>
      </c>
      <c r="AA10" s="69" t="n">
        <f aca="false">Funding!Z15</f>
        <v>-9.70334923522387E-014</v>
      </c>
      <c r="AB10" s="69" t="n">
        <f aca="false">Funding!AA15</f>
        <v>-9.70334923522387E-014</v>
      </c>
      <c r="AC10" s="69" t="n">
        <f aca="false">Funding!AB15</f>
        <v>-9.70334923522387E-014</v>
      </c>
      <c r="AD10" s="69" t="n">
        <f aca="false">Funding!AC15</f>
        <v>-9.70334923522387E-014</v>
      </c>
      <c r="AE10" s="69" t="n">
        <f aca="false">Funding!AD15</f>
        <v>-9.70334923522387E-014</v>
      </c>
      <c r="AF10" s="69" t="n">
        <f aca="false">Funding!AE15</f>
        <v>-9.70334923522387E-014</v>
      </c>
      <c r="AG10" s="69" t="n">
        <f aca="false">Funding!AF15</f>
        <v>-9.70334923522387E-014</v>
      </c>
      <c r="AH10" s="69" t="n">
        <f aca="false">Funding!AG15</f>
        <v>-9.70334923522387E-014</v>
      </c>
      <c r="AI10" s="69" t="n">
        <f aca="false">Funding!AH15</f>
        <v>-9.70334923522387E-014</v>
      </c>
      <c r="AJ10" s="69" t="n">
        <f aca="false">Funding!AI15</f>
        <v>-9.70334923522387E-014</v>
      </c>
      <c r="AK10" s="69" t="n">
        <f aca="false">Funding!AJ15</f>
        <v>-9.70334923522387E-014</v>
      </c>
      <c r="AL10" s="69" t="n">
        <f aca="false">Funding!AK15</f>
        <v>-9.70334923522387E-014</v>
      </c>
      <c r="AM10" s="69" t="n">
        <f aca="false">Funding!AL15</f>
        <v>-9.70334923522387E-014</v>
      </c>
    </row>
    <row r="11" customFormat="false" ht="21" hidden="false" customHeight="true" outlineLevel="0" collapsed="false">
      <c r="C11" s="56" t="s">
        <v>381</v>
      </c>
      <c r="D11" s="69"/>
      <c r="E11" s="69"/>
      <c r="F11" s="69"/>
      <c r="G11" s="69"/>
      <c r="H11" s="69"/>
      <c r="I11" s="69"/>
      <c r="J11" s="69" t="n">
        <f aca="false">Inputs!J41</f>
        <v>0</v>
      </c>
      <c r="K11" s="69" t="n">
        <f aca="false">Inputs!K41</f>
        <v>0</v>
      </c>
      <c r="L11" s="69" t="n">
        <f aca="false">Inputs!L41</f>
        <v>0</v>
      </c>
      <c r="M11" s="69" t="n">
        <f aca="false">Inputs!M41</f>
        <v>0</v>
      </c>
      <c r="N11" s="69" t="n">
        <f aca="false">Inputs!N41</f>
        <v>0</v>
      </c>
      <c r="O11" s="69" t="n">
        <f aca="false">Inputs!O41</f>
        <v>0</v>
      </c>
      <c r="P11" s="69" t="n">
        <f aca="false">Inputs!P41</f>
        <v>0</v>
      </c>
      <c r="Q11" s="69" t="n">
        <f aca="false">Inputs!Q41</f>
        <v>0</v>
      </c>
      <c r="R11" s="69" t="n">
        <f aca="false">Inputs!R41</f>
        <v>0</v>
      </c>
      <c r="S11" s="69" t="n">
        <f aca="false">Inputs!S41</f>
        <v>0</v>
      </c>
      <c r="T11" s="69" t="n">
        <f aca="false">Inputs!T41</f>
        <v>0</v>
      </c>
      <c r="U11" s="69" t="n">
        <f aca="false">Inputs!U41</f>
        <v>0</v>
      </c>
      <c r="V11" s="69" t="n">
        <f aca="false">Inputs!V41</f>
        <v>0</v>
      </c>
      <c r="W11" s="69" t="n">
        <f aca="false">Inputs!W41</f>
        <v>0</v>
      </c>
      <c r="X11" s="69" t="n">
        <f aca="false">Inputs!X41</f>
        <v>0</v>
      </c>
      <c r="Y11" s="69" t="n">
        <f aca="false">Inputs!Y41</f>
        <v>0</v>
      </c>
      <c r="Z11" s="69" t="n">
        <f aca="false">Inputs!Z41</f>
        <v>0</v>
      </c>
      <c r="AA11" s="69" t="n">
        <f aca="false">Inputs!AA41</f>
        <v>0</v>
      </c>
      <c r="AB11" s="69" t="n">
        <f aca="false">Inputs!AB41</f>
        <v>0</v>
      </c>
      <c r="AC11" s="69" t="n">
        <f aca="false">Inputs!AC41</f>
        <v>0</v>
      </c>
      <c r="AD11" s="69" t="n">
        <f aca="false">Inputs!AD41</f>
        <v>0</v>
      </c>
      <c r="AE11" s="69" t="n">
        <f aca="false">Inputs!AE41</f>
        <v>0</v>
      </c>
      <c r="AF11" s="69" t="n">
        <f aca="false">Inputs!AF41</f>
        <v>0</v>
      </c>
      <c r="AG11" s="69" t="n">
        <f aca="false">Inputs!AG41</f>
        <v>0</v>
      </c>
      <c r="AH11" s="69" t="n">
        <f aca="false">Inputs!AH41</f>
        <v>0</v>
      </c>
      <c r="AI11" s="69" t="n">
        <f aca="false">Inputs!AI41</f>
        <v>0</v>
      </c>
      <c r="AJ11" s="69" t="n">
        <f aca="false">Inputs!AJ41</f>
        <v>0</v>
      </c>
      <c r="AK11" s="69" t="n">
        <f aca="false">Inputs!AK41</f>
        <v>0</v>
      </c>
      <c r="AL11" s="69" t="n">
        <f aca="false">Inputs!AL41</f>
        <v>0</v>
      </c>
      <c r="AM11" s="69" t="n">
        <f aca="false">Inputs!AM41</f>
        <v>0</v>
      </c>
    </row>
    <row r="12" customFormat="false" ht="21" hidden="false" customHeight="true" outlineLevel="0" collapsed="false">
      <c r="C12" s="56" t="s">
        <v>382</v>
      </c>
      <c r="D12" s="69"/>
      <c r="E12" s="69"/>
      <c r="F12" s="69"/>
      <c r="G12" s="69"/>
      <c r="H12" s="69"/>
      <c r="I12" s="69"/>
      <c r="J12" s="69" t="n">
        <f aca="false">MIN(MAX(0,J11),MAX(0,Inputs!J38))</f>
        <v>0</v>
      </c>
      <c r="K12" s="69" t="n">
        <f aca="false">MIN(MAX(0,K11),MAX(0,Inputs!K38))</f>
        <v>0</v>
      </c>
      <c r="L12" s="69" t="n">
        <f aca="false">MIN(MAX(0,L11),MAX(0,Inputs!L38))</f>
        <v>0</v>
      </c>
      <c r="M12" s="69" t="n">
        <f aca="false">MIN(MAX(0,M11),MAX(0,Inputs!M38))</f>
        <v>0</v>
      </c>
      <c r="N12" s="69" t="n">
        <f aca="false">MIN(MAX(0,N11),MAX(0,Inputs!N38))</f>
        <v>0</v>
      </c>
      <c r="O12" s="69" t="n">
        <f aca="false">MIN(MAX(0,O11),MAX(0,Inputs!O38))</f>
        <v>0</v>
      </c>
      <c r="P12" s="69" t="n">
        <f aca="false">MIN(MAX(0,P11),MAX(0,Inputs!P38))</f>
        <v>0</v>
      </c>
      <c r="Q12" s="69" t="n">
        <f aca="false">MIN(MAX(0,Q11),MAX(0,Inputs!Q38))</f>
        <v>0</v>
      </c>
      <c r="R12" s="69" t="n">
        <f aca="false">MIN(MAX(0,R11),MAX(0,Inputs!R38))</f>
        <v>0</v>
      </c>
      <c r="S12" s="69" t="n">
        <f aca="false">MIN(MAX(0,S11),MAX(0,Inputs!S38))</f>
        <v>0</v>
      </c>
      <c r="T12" s="69" t="n">
        <f aca="false">MIN(MAX(0,T11),MAX(0,Inputs!T38))</f>
        <v>0</v>
      </c>
      <c r="U12" s="69" t="n">
        <f aca="false">MIN(MAX(0,U11),MAX(0,Inputs!U38))</f>
        <v>0</v>
      </c>
      <c r="V12" s="69" t="n">
        <f aca="false">MIN(MAX(0,V11),MAX(0,Inputs!V38))</f>
        <v>0</v>
      </c>
      <c r="W12" s="69" t="n">
        <f aca="false">MIN(MAX(0,W11),MAX(0,Inputs!W38))</f>
        <v>0</v>
      </c>
      <c r="X12" s="69" t="n">
        <f aca="false">MIN(MAX(0,X11),MAX(0,Inputs!X38))</f>
        <v>0</v>
      </c>
      <c r="Y12" s="69" t="n">
        <f aca="false">MIN(MAX(0,Y11),MAX(0,Inputs!Y38))</f>
        <v>0</v>
      </c>
      <c r="Z12" s="69" t="n">
        <f aca="false">MIN(MAX(0,Z11),MAX(0,Inputs!Z38))</f>
        <v>0</v>
      </c>
      <c r="AA12" s="69" t="n">
        <f aca="false">MIN(MAX(0,AA11),MAX(0,Inputs!AA38))</f>
        <v>0</v>
      </c>
      <c r="AB12" s="69" t="n">
        <f aca="false">MIN(MAX(0,AB11),MAX(0,Inputs!AB38))</f>
        <v>0</v>
      </c>
      <c r="AC12" s="69" t="n">
        <f aca="false">MIN(MAX(0,AC11),MAX(0,Inputs!AC38))</f>
        <v>0</v>
      </c>
      <c r="AD12" s="69" t="n">
        <f aca="false">MIN(MAX(0,AD11),MAX(0,Inputs!AD38))</f>
        <v>0</v>
      </c>
      <c r="AE12" s="69" t="n">
        <f aca="false">MIN(MAX(0,AE11),MAX(0,Inputs!AE38))</f>
        <v>0</v>
      </c>
      <c r="AF12" s="69" t="n">
        <f aca="false">MIN(MAX(0,AF11),MAX(0,Inputs!AF38))</f>
        <v>0</v>
      </c>
      <c r="AG12" s="69" t="n">
        <f aca="false">MIN(MAX(0,AG11),MAX(0,Inputs!AG38))</f>
        <v>0</v>
      </c>
      <c r="AH12" s="69" t="n">
        <f aca="false">MIN(MAX(0,AH11),MAX(0,Inputs!AH38))</f>
        <v>0</v>
      </c>
      <c r="AI12" s="69" t="n">
        <f aca="false">MIN(MAX(0,AI11),MAX(0,Inputs!AI38))</f>
        <v>0</v>
      </c>
      <c r="AJ12" s="69" t="n">
        <f aca="false">MIN(MAX(0,AJ11),MAX(0,Inputs!AJ38))</f>
        <v>0</v>
      </c>
      <c r="AK12" s="69" t="n">
        <f aca="false">MIN(MAX(0,AK11),MAX(0,Inputs!AK38))</f>
        <v>0</v>
      </c>
      <c r="AL12" s="69" t="n">
        <f aca="false">MIN(MAX(0,AL11),MAX(0,Inputs!AL38))</f>
        <v>0</v>
      </c>
      <c r="AM12" s="69" t="n">
        <f aca="false">MIN(MAX(0,AM11),MAX(0,Inputs!AM38))</f>
        <v>0</v>
      </c>
    </row>
    <row r="13" customFormat="false" ht="21" hidden="false" customHeight="true" outlineLevel="0" collapsed="false">
      <c r="C13" s="56" t="s">
        <v>383</v>
      </c>
      <c r="D13" s="69"/>
      <c r="E13" s="69"/>
      <c r="F13" s="69"/>
      <c r="G13" s="69"/>
      <c r="H13" s="69"/>
      <c r="I13" s="69"/>
      <c r="J13" s="69" t="n">
        <f aca="false">Inputs!J44</f>
        <v>0</v>
      </c>
      <c r="K13" s="69" t="n">
        <f aca="false">Inputs!K44</f>
        <v>0</v>
      </c>
      <c r="L13" s="69" t="n">
        <f aca="false">Inputs!L44</f>
        <v>0</v>
      </c>
      <c r="M13" s="69" t="n">
        <f aca="false">Inputs!M44</f>
        <v>0</v>
      </c>
      <c r="N13" s="69" t="n">
        <f aca="false">Inputs!N44</f>
        <v>0</v>
      </c>
      <c r="O13" s="69" t="n">
        <f aca="false">Inputs!O44</f>
        <v>0</v>
      </c>
      <c r="P13" s="69" t="n">
        <f aca="false">Inputs!P44</f>
        <v>0</v>
      </c>
      <c r="Q13" s="69" t="n">
        <f aca="false">Inputs!Q44</f>
        <v>0</v>
      </c>
      <c r="R13" s="69" t="n">
        <f aca="false">Inputs!R44</f>
        <v>0</v>
      </c>
      <c r="S13" s="69" t="n">
        <f aca="false">Inputs!S44</f>
        <v>0</v>
      </c>
      <c r="T13" s="69" t="n">
        <f aca="false">Inputs!T44</f>
        <v>0</v>
      </c>
      <c r="U13" s="69" t="n">
        <f aca="false">Inputs!U44</f>
        <v>0</v>
      </c>
      <c r="V13" s="69" t="n">
        <f aca="false">Inputs!V44</f>
        <v>0</v>
      </c>
      <c r="W13" s="69" t="n">
        <f aca="false">Inputs!W44</f>
        <v>0</v>
      </c>
      <c r="X13" s="69" t="n">
        <f aca="false">Inputs!X44</f>
        <v>0</v>
      </c>
      <c r="Y13" s="69" t="n">
        <f aca="false">Inputs!Y44</f>
        <v>0</v>
      </c>
      <c r="Z13" s="69" t="n">
        <f aca="false">Inputs!Z44</f>
        <v>0</v>
      </c>
      <c r="AA13" s="69" t="n">
        <f aca="false">Inputs!AA44</f>
        <v>0</v>
      </c>
      <c r="AB13" s="69" t="n">
        <f aca="false">Inputs!AB44</f>
        <v>0</v>
      </c>
      <c r="AC13" s="69" t="n">
        <f aca="false">Inputs!AC44</f>
        <v>0</v>
      </c>
      <c r="AD13" s="69" t="n">
        <f aca="false">Inputs!AD44</f>
        <v>0</v>
      </c>
      <c r="AE13" s="69" t="n">
        <f aca="false">Inputs!AE44</f>
        <v>0</v>
      </c>
      <c r="AF13" s="69" t="n">
        <f aca="false">Inputs!AF44</f>
        <v>0</v>
      </c>
      <c r="AG13" s="69" t="n">
        <f aca="false">Inputs!AG44</f>
        <v>0</v>
      </c>
      <c r="AH13" s="69" t="n">
        <f aca="false">Inputs!AH44</f>
        <v>0</v>
      </c>
      <c r="AI13" s="69" t="n">
        <f aca="false">Inputs!AI44</f>
        <v>0</v>
      </c>
      <c r="AJ13" s="69" t="n">
        <f aca="false">Inputs!AJ44</f>
        <v>0</v>
      </c>
      <c r="AK13" s="69" t="n">
        <f aca="false">Inputs!AK44</f>
        <v>0</v>
      </c>
      <c r="AL13" s="69" t="n">
        <f aca="false">Inputs!AL44</f>
        <v>0</v>
      </c>
      <c r="AM13" s="69" t="n">
        <f aca="false">Inputs!AM44</f>
        <v>0</v>
      </c>
    </row>
    <row r="14" customFormat="false" ht="21" hidden="false" customHeight="true" outlineLevel="0" collapsed="false">
      <c r="C14" s="56" t="s">
        <v>384</v>
      </c>
      <c r="D14" s="71"/>
      <c r="E14" s="71"/>
      <c r="F14" s="71"/>
      <c r="G14" s="71"/>
      <c r="H14" s="71"/>
      <c r="I14" s="71"/>
      <c r="J14" s="71" t="n">
        <f aca="false">MIN(MAX(0,J13),MAX(0,J10+J12),MAX(0,J73))</f>
        <v>0</v>
      </c>
      <c r="K14" s="71" t="n">
        <f aca="false">MIN(MAX(0,K13),MAX(0,K10+K12),MAX(0,K73))</f>
        <v>0</v>
      </c>
      <c r="L14" s="71" t="n">
        <f aca="false">MIN(MAX(0,L13),MAX(0,L10+L12),MAX(0,L73))</f>
        <v>0</v>
      </c>
      <c r="M14" s="71" t="n">
        <f aca="false">MIN(MAX(0,M13),MAX(0,M10+M12),MAX(0,M73))</f>
        <v>0</v>
      </c>
      <c r="N14" s="71" t="n">
        <f aca="false">MIN(MAX(0,N13),MAX(0,N10+N12),MAX(0,N73))</f>
        <v>0</v>
      </c>
      <c r="O14" s="71" t="n">
        <f aca="false">MIN(MAX(0,O13),MAX(0,O10+O12),MAX(0,O73))</f>
        <v>0</v>
      </c>
      <c r="P14" s="71" t="n">
        <f aca="false">MIN(MAX(0,P13),MAX(0,P10+P12),MAX(0,P73))</f>
        <v>0</v>
      </c>
      <c r="Q14" s="71" t="n">
        <f aca="false">MIN(MAX(0,Q13),MAX(0,Q10+Q12),MAX(0,Q73))</f>
        <v>0</v>
      </c>
      <c r="R14" s="71" t="n">
        <f aca="false">MIN(MAX(0,R13),MAX(0,R10+R12),MAX(0,R73))</f>
        <v>0</v>
      </c>
      <c r="S14" s="71" t="n">
        <f aca="false">MIN(MAX(0,S13),MAX(0,S10+S12),MAX(0,S73))</f>
        <v>0</v>
      </c>
      <c r="T14" s="71" t="n">
        <f aca="false">MIN(MAX(0,T13),MAX(0,T10+T12),MAX(0,T73))</f>
        <v>0</v>
      </c>
      <c r="U14" s="71" t="n">
        <f aca="false">MIN(MAX(0,U13),MAX(0,U10+U12),MAX(0,U73))</f>
        <v>0</v>
      </c>
      <c r="V14" s="71" t="n">
        <f aca="false">MIN(MAX(0,V13),MAX(0,V10+V12),MAX(0,V73))</f>
        <v>0</v>
      </c>
      <c r="W14" s="71" t="n">
        <f aca="false">MIN(MAX(0,W13),MAX(0,W10+W12),MAX(0,W73))</f>
        <v>0</v>
      </c>
      <c r="X14" s="71" t="n">
        <f aca="false">MIN(MAX(0,X13),MAX(0,X10+X12),MAX(0,X73))</f>
        <v>0</v>
      </c>
      <c r="Y14" s="71" t="n">
        <f aca="false">MIN(MAX(0,Y13),MAX(0,Y10+Y12),MAX(0,Y73))</f>
        <v>0</v>
      </c>
      <c r="Z14" s="71" t="n">
        <f aca="false">MIN(MAX(0,Z13),MAX(0,Z10+Z12),MAX(0,Z73))</f>
        <v>0</v>
      </c>
      <c r="AA14" s="71" t="n">
        <f aca="false">MIN(MAX(0,AA13),MAX(0,AA10+AA12),MAX(0,AA73))</f>
        <v>0</v>
      </c>
      <c r="AB14" s="71" t="n">
        <f aca="false">MIN(MAX(0,AB13),MAX(0,AB10+AB12),MAX(0,AB73))</f>
        <v>0</v>
      </c>
      <c r="AC14" s="71" t="n">
        <f aca="false">MIN(MAX(0,AC13),MAX(0,AC10+AC12),MAX(0,AC73))</f>
        <v>0</v>
      </c>
      <c r="AD14" s="71" t="n">
        <f aca="false">MIN(MAX(0,AD13),MAX(0,AD10+AD12),MAX(0,AD73))</f>
        <v>0</v>
      </c>
      <c r="AE14" s="71" t="n">
        <f aca="false">MIN(MAX(0,AE13),MAX(0,AE10+AE12),MAX(0,AE73))</f>
        <v>0</v>
      </c>
      <c r="AF14" s="71" t="n">
        <f aca="false">MIN(MAX(0,AF13),MAX(0,AF10+AF12),MAX(0,AF73))</f>
        <v>0</v>
      </c>
      <c r="AG14" s="71" t="n">
        <f aca="false">MIN(MAX(0,AG13),MAX(0,AG10+AG12),MAX(0,AG73))</f>
        <v>0</v>
      </c>
      <c r="AH14" s="71" t="n">
        <f aca="false">MIN(MAX(0,AH13),MAX(0,AH10+AH12),MAX(0,AH73))</f>
        <v>0</v>
      </c>
      <c r="AI14" s="71" t="n">
        <f aca="false">MIN(MAX(0,AI13),MAX(0,AI10+AI12),MAX(0,AI73))</f>
        <v>0</v>
      </c>
      <c r="AJ14" s="71" t="n">
        <f aca="false">MIN(MAX(0,AJ13),MAX(0,AJ10+AJ12),MAX(0,AJ73))</f>
        <v>0</v>
      </c>
      <c r="AK14" s="71" t="n">
        <f aca="false">MIN(MAX(0,AK13),MAX(0,AK10+AK12),MAX(0,AK73))</f>
        <v>0</v>
      </c>
      <c r="AL14" s="71" t="n">
        <f aca="false">MIN(MAX(0,AL13),MAX(0,AL10+AL12),MAX(0,AL73))</f>
        <v>0</v>
      </c>
      <c r="AM14" s="71" t="n">
        <f aca="false">MIN(MAX(0,AM13),MAX(0,AM10+AM12),MAX(0,AM73))</f>
        <v>0</v>
      </c>
    </row>
    <row r="15" customFormat="false" ht="21" hidden="false" customHeight="true" outlineLevel="0" collapsed="false">
      <c r="C15" s="56" t="s">
        <v>385</v>
      </c>
      <c r="D15" s="71"/>
      <c r="E15" s="71"/>
      <c r="F15" s="71"/>
      <c r="G15" s="71"/>
      <c r="H15" s="71"/>
      <c r="I15" s="71"/>
      <c r="J15" s="71" t="n">
        <f aca="false">J10+J12-J14</f>
        <v>-9.70334923522387E-014</v>
      </c>
      <c r="K15" s="71" t="n">
        <f aca="false">K10+K12-K14</f>
        <v>-9.70334923522387E-014</v>
      </c>
      <c r="L15" s="71" t="n">
        <f aca="false">L10+L12-L14</f>
        <v>-9.70334923522387E-014</v>
      </c>
      <c r="M15" s="71" t="n">
        <f aca="false">M10+M12-M14</f>
        <v>-9.70334923522387E-014</v>
      </c>
      <c r="N15" s="71" t="n">
        <f aca="false">N10+N12-N14</f>
        <v>-9.70334923522387E-014</v>
      </c>
      <c r="O15" s="71" t="n">
        <f aca="false">O10+O12-O14</f>
        <v>-9.70334923522387E-014</v>
      </c>
      <c r="P15" s="71" t="n">
        <f aca="false">P10+P12-P14</f>
        <v>-9.70334923522387E-014</v>
      </c>
      <c r="Q15" s="71" t="n">
        <f aca="false">Q10+Q12-Q14</f>
        <v>-9.70334923522387E-014</v>
      </c>
      <c r="R15" s="71" t="n">
        <f aca="false">R10+R12-R14</f>
        <v>-9.70334923522387E-014</v>
      </c>
      <c r="S15" s="71" t="n">
        <f aca="false">S10+S12-S14</f>
        <v>-9.70334923522387E-014</v>
      </c>
      <c r="T15" s="71" t="n">
        <f aca="false">T10+T12-T14</f>
        <v>-9.70334923522387E-014</v>
      </c>
      <c r="U15" s="71" t="n">
        <f aca="false">U10+U12-U14</f>
        <v>-9.70334923522387E-014</v>
      </c>
      <c r="V15" s="71" t="n">
        <f aca="false">V10+V12-V14</f>
        <v>-9.70334923522387E-014</v>
      </c>
      <c r="W15" s="71" t="n">
        <f aca="false">W10+W12-W14</f>
        <v>-9.70334923522387E-014</v>
      </c>
      <c r="X15" s="71" t="n">
        <f aca="false">X10+X12-X14</f>
        <v>-9.70334923522387E-014</v>
      </c>
      <c r="Y15" s="71" t="n">
        <f aca="false">Y10+Y12-Y14</f>
        <v>-9.70334923522387E-014</v>
      </c>
      <c r="Z15" s="71" t="n">
        <f aca="false">Z10+Z12-Z14</f>
        <v>-9.70334923522387E-014</v>
      </c>
      <c r="AA15" s="71" t="n">
        <f aca="false">AA10+AA12-AA14</f>
        <v>-9.70334923522387E-014</v>
      </c>
      <c r="AB15" s="71" t="n">
        <f aca="false">AB10+AB12-AB14</f>
        <v>-9.70334923522387E-014</v>
      </c>
      <c r="AC15" s="71" t="n">
        <f aca="false">AC10+AC12-AC14</f>
        <v>-9.70334923522387E-014</v>
      </c>
      <c r="AD15" s="71" t="n">
        <f aca="false">AD10+AD12-AD14</f>
        <v>-9.70334923522387E-014</v>
      </c>
      <c r="AE15" s="71" t="n">
        <f aca="false">AE10+AE12-AE14</f>
        <v>-9.70334923522387E-014</v>
      </c>
      <c r="AF15" s="71" t="n">
        <f aca="false">AF10+AF12-AF14</f>
        <v>-9.70334923522387E-014</v>
      </c>
      <c r="AG15" s="71" t="n">
        <f aca="false">AG10+AG12-AG14</f>
        <v>-9.70334923522387E-014</v>
      </c>
      <c r="AH15" s="71" t="n">
        <f aca="false">AH10+AH12-AH14</f>
        <v>-9.70334923522387E-014</v>
      </c>
      <c r="AI15" s="71" t="n">
        <f aca="false">AI10+AI12-AI14</f>
        <v>-9.70334923522387E-014</v>
      </c>
      <c r="AJ15" s="71" t="n">
        <f aca="false">AJ10+AJ12-AJ14</f>
        <v>-9.70334923522387E-014</v>
      </c>
      <c r="AK15" s="71" t="n">
        <f aca="false">AK10+AK12-AK14</f>
        <v>-9.70334923522387E-014</v>
      </c>
      <c r="AL15" s="71" t="n">
        <f aca="false">AL10+AL12-AL14</f>
        <v>-9.70334923522387E-014</v>
      </c>
      <c r="AM15" s="71" t="n">
        <f aca="false">AM10+AM12-AM14</f>
        <v>-9.70334923522387E-014</v>
      </c>
    </row>
    <row r="16" customFormat="false" ht="21" hidden="false" customHeight="true" outlineLevel="0" collapsed="false">
      <c r="C16" s="56" t="s">
        <v>386</v>
      </c>
      <c r="D16" s="69"/>
      <c r="E16" s="69"/>
      <c r="F16" s="69"/>
      <c r="G16" s="69"/>
      <c r="H16" s="69"/>
      <c r="I16" s="69"/>
      <c r="J16" s="69" t="n">
        <f aca="false">J10*MAX(0,Inputs!J49)*DAY(J$7)/(DATE(YEAR(J$7)+1,1,1)-DATE(YEAR(J$7),1,1))</f>
        <v>-4.24775934840847E-016</v>
      </c>
      <c r="K16" s="69" t="n">
        <f aca="false">K10*MAX(0,Inputs!K49)*DAY(K$7)/(DATE(YEAR(K$7)+1,1,1)-DATE(YEAR(K$7),1,1))</f>
        <v>-4.24775934840847E-016</v>
      </c>
      <c r="L16" s="69" t="n">
        <f aca="false">L10*MAX(0,Inputs!L49)*DAY(L$7)/(DATE(YEAR(L$7)+1,1,1)-DATE(YEAR(L$7),1,1))</f>
        <v>-4.11073485329852E-016</v>
      </c>
      <c r="M16" s="69" t="n">
        <f aca="false">M10*MAX(0,Inputs!M49)*DAY(M$7)/(DATE(YEAR(M$7)+1,1,1)-DATE(YEAR(M$7),1,1))</f>
        <v>-4.24775934840847E-016</v>
      </c>
      <c r="N16" s="69" t="n">
        <f aca="false">N10*MAX(0,Inputs!N49)*DAY(N$7)/(DATE(YEAR(N$7)+1,1,1)-DATE(YEAR(N$7),1,1))</f>
        <v>-4.11073485329852E-016</v>
      </c>
      <c r="O16" s="69" t="n">
        <f aca="false">O10*MAX(0,Inputs!O49)*DAY(O$7)/(DATE(YEAR(O$7)+1,1,1)-DATE(YEAR(O$7),1,1))</f>
        <v>-4.24775934840847E-016</v>
      </c>
      <c r="P16" s="69" t="n">
        <f aca="false">P10*MAX(0,Inputs!P49)*DAY(P$7)/(DATE(YEAR(P$7)+1,1,1)-DATE(YEAR(P$7),1,1))</f>
        <v>-4.24775934840847E-016</v>
      </c>
      <c r="Q16" s="69" t="n">
        <f aca="false">Q10*MAX(0,Inputs!Q49)*DAY(Q$7)/(DATE(YEAR(Q$7)+1,1,1)-DATE(YEAR(Q$7),1,1))</f>
        <v>-3.83668586307862E-016</v>
      </c>
      <c r="R16" s="69" t="n">
        <f aca="false">R10*MAX(0,Inputs!R49)*DAY(R$7)/(DATE(YEAR(R$7)+1,1,1)-DATE(YEAR(R$7),1,1))</f>
        <v>-4.24775934840847E-016</v>
      </c>
      <c r="S16" s="69" t="n">
        <f aca="false">S10*MAX(0,Inputs!S49)*DAY(S$7)/(DATE(YEAR(S$7)+1,1,1)-DATE(YEAR(S$7),1,1))</f>
        <v>-4.11073485329852E-016</v>
      </c>
      <c r="T16" s="69" t="n">
        <f aca="false">T10*MAX(0,Inputs!T49)*DAY(T$7)/(DATE(YEAR(T$7)+1,1,1)-DATE(YEAR(T$7),1,1))</f>
        <v>-4.24775934840847E-016</v>
      </c>
      <c r="U16" s="69" t="n">
        <f aca="false">U10*MAX(0,Inputs!U49)*DAY(U$7)/(DATE(YEAR(U$7)+1,1,1)-DATE(YEAR(U$7),1,1))</f>
        <v>-4.11073485329852E-016</v>
      </c>
      <c r="V16" s="69" t="n">
        <f aca="false">V10*MAX(0,Inputs!V49)*DAY(V$7)/(DATE(YEAR(V$7)+1,1,1)-DATE(YEAR(V$7),1,1))</f>
        <v>-4.24775934840847E-016</v>
      </c>
      <c r="W16" s="69" t="n">
        <f aca="false">W10*MAX(0,Inputs!W49)*DAY(W$7)/(DATE(YEAR(W$7)+1,1,1)-DATE(YEAR(W$7),1,1))</f>
        <v>-4.24775934840847E-016</v>
      </c>
      <c r="X16" s="69" t="n">
        <f aca="false">X10*MAX(0,Inputs!X49)*DAY(X$7)/(DATE(YEAR(X$7)+1,1,1)-DATE(YEAR(X$7),1,1))</f>
        <v>-4.11073485329852E-016</v>
      </c>
      <c r="Y16" s="69" t="n">
        <f aca="false">Y10*MAX(0,Inputs!Y49)*DAY(Y$7)/(DATE(YEAR(Y$7)+1,1,1)-DATE(YEAR(Y$7),1,1))</f>
        <v>-4.24775934840847E-016</v>
      </c>
      <c r="Z16" s="69" t="n">
        <f aca="false">Z10*MAX(0,Inputs!Z49)*DAY(Z$7)/(DATE(YEAR(Z$7)+1,1,1)-DATE(YEAR(Z$7),1,1))</f>
        <v>-4.11073485329852E-016</v>
      </c>
      <c r="AA16" s="69" t="n">
        <f aca="false">AA10*MAX(0,Inputs!AA49)*DAY(AA$7)/(DATE(YEAR(AA$7)+1,1,1)-DATE(YEAR(AA$7),1,1))</f>
        <v>-4.24775934840847E-016</v>
      </c>
      <c r="AB16" s="69" t="n">
        <f aca="false">AB10*MAX(0,Inputs!AB49)*DAY(AB$7)/(DATE(YEAR(AB$7)+1,1,1)-DATE(YEAR(AB$7),1,1))</f>
        <v>-4.23615344854943E-016</v>
      </c>
      <c r="AC16" s="69" t="n">
        <f aca="false">AC10*MAX(0,Inputs!AC49)*DAY(AC$7)/(DATE(YEAR(AC$7)+1,1,1)-DATE(YEAR(AC$7),1,1))</f>
        <v>-3.96285322606237E-016</v>
      </c>
      <c r="AD16" s="69" t="n">
        <f aca="false">AD10*MAX(0,Inputs!AD49)*DAY(AD$7)/(DATE(YEAR(AD$7)+1,1,1)-DATE(YEAR(AD$7),1,1))</f>
        <v>-4.23615344854943E-016</v>
      </c>
      <c r="AE16" s="69" t="n">
        <f aca="false">AE10*MAX(0,Inputs!AE49)*DAY(AE$7)/(DATE(YEAR(AE$7)+1,1,1)-DATE(YEAR(AE$7),1,1))</f>
        <v>-4.0995033373059E-016</v>
      </c>
      <c r="AF16" s="69" t="n">
        <f aca="false">AF10*MAX(0,Inputs!AF49)*DAY(AF$7)/(DATE(YEAR(AF$7)+1,1,1)-DATE(YEAR(AF$7),1,1))</f>
        <v>-4.23615344854943E-016</v>
      </c>
      <c r="AG16" s="69" t="n">
        <f aca="false">AG10*MAX(0,Inputs!AG49)*DAY(AG$7)/(DATE(YEAR(AG$7)+1,1,1)-DATE(YEAR(AG$7),1,1))</f>
        <v>-4.0995033373059E-016</v>
      </c>
      <c r="AH16" s="69" t="n">
        <f aca="false">AH10*MAX(0,Inputs!AH49)*DAY(AH$7)/(DATE(YEAR(AH$7)+1,1,1)-DATE(YEAR(AH$7),1,1))</f>
        <v>-4.23615344854943E-016</v>
      </c>
      <c r="AI16" s="69" t="n">
        <f aca="false">AI10*MAX(0,Inputs!AI49)*DAY(AI$7)/(DATE(YEAR(AI$7)+1,1,1)-DATE(YEAR(AI$7),1,1))</f>
        <v>-4.23615344854943E-016</v>
      </c>
      <c r="AJ16" s="69" t="n">
        <f aca="false">AJ10*MAX(0,Inputs!AJ49)*DAY(AJ$7)/(DATE(YEAR(AJ$7)+1,1,1)-DATE(YEAR(AJ$7),1,1))</f>
        <v>-4.0995033373059E-016</v>
      </c>
      <c r="AK16" s="69" t="n">
        <f aca="false">AK10*MAX(0,Inputs!AK49)*DAY(AK$7)/(DATE(YEAR(AK$7)+1,1,1)-DATE(YEAR(AK$7),1,1))</f>
        <v>-4.23615344854943E-016</v>
      </c>
      <c r="AL16" s="69" t="n">
        <f aca="false">AL10*MAX(0,Inputs!AL49)*DAY(AL$7)/(DATE(YEAR(AL$7)+1,1,1)-DATE(YEAR(AL$7),1,1))</f>
        <v>-4.0995033373059E-016</v>
      </c>
      <c r="AM16" s="69" t="n">
        <f aca="false">AM10*MAX(0,Inputs!AM49)*DAY(AM$7)/(DATE(YEAR(AM$7)+1,1,1)-DATE(YEAR(AM$7),1,1))</f>
        <v>-4.23615344854943E-016</v>
      </c>
    </row>
    <row r="17" customFormat="false" ht="21" hidden="false" customHeight="true" outlineLevel="0" collapsed="false">
      <c r="C17" s="56" t="s">
        <v>387</v>
      </c>
      <c r="D17" s="71"/>
      <c r="E17" s="71"/>
      <c r="F17" s="71"/>
      <c r="G17" s="71"/>
      <c r="H17" s="71"/>
      <c r="I17" s="71"/>
      <c r="J17" s="71" t="n">
        <f aca="false">MAX(0,J11-J12)</f>
        <v>0</v>
      </c>
      <c r="K17" s="71" t="n">
        <f aca="false">MAX(0,K11-K12)</f>
        <v>0</v>
      </c>
      <c r="L17" s="71" t="n">
        <f aca="false">MAX(0,L11-L12)</f>
        <v>0</v>
      </c>
      <c r="M17" s="71" t="n">
        <f aca="false">MAX(0,M11-M12)</f>
        <v>0</v>
      </c>
      <c r="N17" s="71" t="n">
        <f aca="false">MAX(0,N11-N12)</f>
        <v>0</v>
      </c>
      <c r="O17" s="71" t="n">
        <f aca="false">MAX(0,O11-O12)</f>
        <v>0</v>
      </c>
      <c r="P17" s="71" t="n">
        <f aca="false">MAX(0,P11-P12)</f>
        <v>0</v>
      </c>
      <c r="Q17" s="71" t="n">
        <f aca="false">MAX(0,Q11-Q12)</f>
        <v>0</v>
      </c>
      <c r="R17" s="71" t="n">
        <f aca="false">MAX(0,R11-R12)</f>
        <v>0</v>
      </c>
      <c r="S17" s="71" t="n">
        <f aca="false">MAX(0,S11-S12)</f>
        <v>0</v>
      </c>
      <c r="T17" s="71" t="n">
        <f aca="false">MAX(0,T11-T12)</f>
        <v>0</v>
      </c>
      <c r="U17" s="71" t="n">
        <f aca="false">MAX(0,U11-U12)</f>
        <v>0</v>
      </c>
      <c r="V17" s="71" t="n">
        <f aca="false">MAX(0,V11-V12)</f>
        <v>0</v>
      </c>
      <c r="W17" s="71" t="n">
        <f aca="false">MAX(0,W11-W12)</f>
        <v>0</v>
      </c>
      <c r="X17" s="71" t="n">
        <f aca="false">MAX(0,X11-X12)</f>
        <v>0</v>
      </c>
      <c r="Y17" s="71" t="n">
        <f aca="false">MAX(0,Y11-Y12)</f>
        <v>0</v>
      </c>
      <c r="Z17" s="71" t="n">
        <f aca="false">MAX(0,Z11-Z12)</f>
        <v>0</v>
      </c>
      <c r="AA17" s="71" t="n">
        <f aca="false">MAX(0,AA11-AA12)</f>
        <v>0</v>
      </c>
      <c r="AB17" s="71" t="n">
        <f aca="false">MAX(0,AB11-AB12)</f>
        <v>0</v>
      </c>
      <c r="AC17" s="71" t="n">
        <f aca="false">MAX(0,AC11-AC12)</f>
        <v>0</v>
      </c>
      <c r="AD17" s="71" t="n">
        <f aca="false">MAX(0,AD11-AD12)</f>
        <v>0</v>
      </c>
      <c r="AE17" s="71" t="n">
        <f aca="false">MAX(0,AE11-AE12)</f>
        <v>0</v>
      </c>
      <c r="AF17" s="71" t="n">
        <f aca="false">MAX(0,AF11-AF12)</f>
        <v>0</v>
      </c>
      <c r="AG17" s="71" t="n">
        <f aca="false">MAX(0,AG11-AG12)</f>
        <v>0</v>
      </c>
      <c r="AH17" s="71" t="n">
        <f aca="false">MAX(0,AH11-AH12)</f>
        <v>0</v>
      </c>
      <c r="AI17" s="71" t="n">
        <f aca="false">MAX(0,AI11-AI12)</f>
        <v>0</v>
      </c>
      <c r="AJ17" s="71" t="n">
        <f aca="false">MAX(0,AJ11-AJ12)</f>
        <v>0</v>
      </c>
      <c r="AK17" s="71" t="n">
        <f aca="false">MAX(0,AK11-AK12)</f>
        <v>0</v>
      </c>
      <c r="AL17" s="71" t="n">
        <f aca="false">MAX(0,AL11-AL12)</f>
        <v>0</v>
      </c>
      <c r="AM17" s="71" t="n">
        <f aca="false">MAX(0,AM11-AM12)</f>
        <v>0</v>
      </c>
    </row>
    <row r="18" customFormat="false" ht="21" hidden="false" customHeight="true" outlineLevel="0" collapsed="false">
      <c r="C18" s="56" t="s">
        <v>388</v>
      </c>
      <c r="D18" s="71"/>
      <c r="E18" s="71"/>
      <c r="F18" s="71"/>
      <c r="G18" s="71"/>
      <c r="H18" s="71"/>
      <c r="I18" s="71"/>
      <c r="J18" s="71" t="n">
        <f aca="false">MAX(0,J13-J14)</f>
        <v>0</v>
      </c>
      <c r="K18" s="71" t="n">
        <f aca="false">MAX(0,K13-K14)</f>
        <v>0</v>
      </c>
      <c r="L18" s="71" t="n">
        <f aca="false">MAX(0,L13-L14)</f>
        <v>0</v>
      </c>
      <c r="M18" s="71" t="n">
        <f aca="false">MAX(0,M13-M14)</f>
        <v>0</v>
      </c>
      <c r="N18" s="71" t="n">
        <f aca="false">MAX(0,N13-N14)</f>
        <v>0</v>
      </c>
      <c r="O18" s="71" t="n">
        <f aca="false">MAX(0,O13-O14)</f>
        <v>0</v>
      </c>
      <c r="P18" s="71" t="n">
        <f aca="false">MAX(0,P13-P14)</f>
        <v>0</v>
      </c>
      <c r="Q18" s="71" t="n">
        <f aca="false">MAX(0,Q13-Q14)</f>
        <v>0</v>
      </c>
      <c r="R18" s="71" t="n">
        <f aca="false">MAX(0,R13-R14)</f>
        <v>0</v>
      </c>
      <c r="S18" s="71" t="n">
        <f aca="false">MAX(0,S13-S14)</f>
        <v>0</v>
      </c>
      <c r="T18" s="71" t="n">
        <f aca="false">MAX(0,T13-T14)</f>
        <v>0</v>
      </c>
      <c r="U18" s="71" t="n">
        <f aca="false">MAX(0,U13-U14)</f>
        <v>0</v>
      </c>
      <c r="V18" s="71" t="n">
        <f aca="false">MAX(0,V13-V14)</f>
        <v>0</v>
      </c>
      <c r="W18" s="71" t="n">
        <f aca="false">MAX(0,W13-W14)</f>
        <v>0</v>
      </c>
      <c r="X18" s="71" t="n">
        <f aca="false">MAX(0,X13-X14)</f>
        <v>0</v>
      </c>
      <c r="Y18" s="71" t="n">
        <f aca="false">MAX(0,Y13-Y14)</f>
        <v>0</v>
      </c>
      <c r="Z18" s="71" t="n">
        <f aca="false">MAX(0,Z13-Z14)</f>
        <v>0</v>
      </c>
      <c r="AA18" s="71" t="n">
        <f aca="false">MAX(0,AA13-AA14)</f>
        <v>0</v>
      </c>
      <c r="AB18" s="71" t="n">
        <f aca="false">MAX(0,AB13-AB14)</f>
        <v>0</v>
      </c>
      <c r="AC18" s="71" t="n">
        <f aca="false">MAX(0,AC13-AC14)</f>
        <v>0</v>
      </c>
      <c r="AD18" s="71" t="n">
        <f aca="false">MAX(0,AD13-AD14)</f>
        <v>0</v>
      </c>
      <c r="AE18" s="71" t="n">
        <f aca="false">MAX(0,AE13-AE14)</f>
        <v>0</v>
      </c>
      <c r="AF18" s="71" t="n">
        <f aca="false">MAX(0,AF13-AF14)</f>
        <v>0</v>
      </c>
      <c r="AG18" s="71" t="n">
        <f aca="false">MAX(0,AG13-AG14)</f>
        <v>0</v>
      </c>
      <c r="AH18" s="71" t="n">
        <f aca="false">MAX(0,AH13-AH14)</f>
        <v>0</v>
      </c>
      <c r="AI18" s="71" t="n">
        <f aca="false">MAX(0,AI13-AI14)</f>
        <v>0</v>
      </c>
      <c r="AJ18" s="71" t="n">
        <f aca="false">MAX(0,AJ13-AJ14)</f>
        <v>0</v>
      </c>
      <c r="AK18" s="71" t="n">
        <f aca="false">MAX(0,AK13-AK14)</f>
        <v>0</v>
      </c>
      <c r="AL18" s="71" t="n">
        <f aca="false">MAX(0,AL13-AL14)</f>
        <v>0</v>
      </c>
      <c r="AM18" s="71" t="n">
        <f aca="false">MAX(0,AM13-AM14)</f>
        <v>0</v>
      </c>
    </row>
    <row r="19" customFormat="false" ht="21" hidden="false" customHeight="true" outlineLevel="0" collapsed="false">
      <c r="C19" s="56" t="s">
        <v>389</v>
      </c>
      <c r="D19" s="71"/>
      <c r="E19" s="71"/>
      <c r="F19" s="71"/>
      <c r="G19" s="71"/>
      <c r="H19" s="71"/>
      <c r="I19" s="71"/>
      <c r="J19" s="71" t="n">
        <f aca="false">J10+J12-J14-J15</f>
        <v>0</v>
      </c>
      <c r="K19" s="71" t="n">
        <f aca="false">K10+K12-K14-K15</f>
        <v>0</v>
      </c>
      <c r="L19" s="71" t="n">
        <f aca="false">L10+L12-L14-L15</f>
        <v>0</v>
      </c>
      <c r="M19" s="71" t="n">
        <f aca="false">M10+M12-M14-M15</f>
        <v>0</v>
      </c>
      <c r="N19" s="71" t="n">
        <f aca="false">N10+N12-N14-N15</f>
        <v>0</v>
      </c>
      <c r="O19" s="71" t="n">
        <f aca="false">O10+O12-O14-O15</f>
        <v>0</v>
      </c>
      <c r="P19" s="71" t="n">
        <f aca="false">P10+P12-P14-P15</f>
        <v>0</v>
      </c>
      <c r="Q19" s="71" t="n">
        <f aca="false">Q10+Q12-Q14-Q15</f>
        <v>0</v>
      </c>
      <c r="R19" s="71" t="n">
        <f aca="false">R10+R12-R14-R15</f>
        <v>0</v>
      </c>
      <c r="S19" s="71" t="n">
        <f aca="false">S10+S12-S14-S15</f>
        <v>0</v>
      </c>
      <c r="T19" s="71" t="n">
        <f aca="false">T10+T12-T14-T15</f>
        <v>0</v>
      </c>
      <c r="U19" s="71" t="n">
        <f aca="false">U10+U12-U14-U15</f>
        <v>0</v>
      </c>
      <c r="V19" s="71" t="n">
        <f aca="false">V10+V12-V14-V15</f>
        <v>0</v>
      </c>
      <c r="W19" s="71" t="n">
        <f aca="false">W10+W12-W14-W15</f>
        <v>0</v>
      </c>
      <c r="X19" s="71" t="n">
        <f aca="false">X10+X12-X14-X15</f>
        <v>0</v>
      </c>
      <c r="Y19" s="71" t="n">
        <f aca="false">Y10+Y12-Y14-Y15</f>
        <v>0</v>
      </c>
      <c r="Z19" s="71" t="n">
        <f aca="false">Z10+Z12-Z14-Z15</f>
        <v>0</v>
      </c>
      <c r="AA19" s="71" t="n">
        <f aca="false">AA10+AA12-AA14-AA15</f>
        <v>0</v>
      </c>
      <c r="AB19" s="71" t="n">
        <f aca="false">AB10+AB12-AB14-AB15</f>
        <v>0</v>
      </c>
      <c r="AC19" s="71" t="n">
        <f aca="false">AC10+AC12-AC14-AC15</f>
        <v>0</v>
      </c>
      <c r="AD19" s="71" t="n">
        <f aca="false">AD10+AD12-AD14-AD15</f>
        <v>0</v>
      </c>
      <c r="AE19" s="71" t="n">
        <f aca="false">AE10+AE12-AE14-AE15</f>
        <v>0</v>
      </c>
      <c r="AF19" s="71" t="n">
        <f aca="false">AF10+AF12-AF14-AF15</f>
        <v>0</v>
      </c>
      <c r="AG19" s="71" t="n">
        <f aca="false">AG10+AG12-AG14-AG15</f>
        <v>0</v>
      </c>
      <c r="AH19" s="71" t="n">
        <f aca="false">AH10+AH12-AH14-AH15</f>
        <v>0</v>
      </c>
      <c r="AI19" s="71" t="n">
        <f aca="false">AI10+AI12-AI14-AI15</f>
        <v>0</v>
      </c>
      <c r="AJ19" s="71" t="n">
        <f aca="false">AJ10+AJ12-AJ14-AJ15</f>
        <v>0</v>
      </c>
      <c r="AK19" s="71" t="n">
        <f aca="false">AK10+AK12-AK14-AK15</f>
        <v>0</v>
      </c>
      <c r="AL19" s="71" t="n">
        <f aca="false">AL10+AL12-AL14-AL15</f>
        <v>0</v>
      </c>
      <c r="AM19" s="71" t="n">
        <f aca="false">AM10+AM12-AM14-AM15</f>
        <v>0</v>
      </c>
    </row>
    <row r="20" customFormat="false" ht="25" hidden="false" customHeight="true" outlineLevel="0" collapsed="false">
      <c r="C20" s="63" t="s">
        <v>390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</row>
    <row r="21" customFormat="false" ht="21" hidden="false" customHeight="true" outlineLevel="0" collapsed="false">
      <c r="C21" s="56" t="s">
        <v>380</v>
      </c>
      <c r="D21" s="69"/>
      <c r="E21" s="69"/>
      <c r="F21" s="69"/>
      <c r="G21" s="69"/>
      <c r="H21" s="69"/>
      <c r="I21" s="69"/>
      <c r="J21" s="69" t="n">
        <f aca="false">H1Data!D33</f>
        <v>697.00899908</v>
      </c>
      <c r="K21" s="69" t="n">
        <f aca="false">Funding!J26</f>
        <v>697.00899908</v>
      </c>
      <c r="L21" s="69" t="n">
        <f aca="false">Funding!K26</f>
        <v>697.00899908</v>
      </c>
      <c r="M21" s="69" t="n">
        <f aca="false">Funding!L26</f>
        <v>697.00899908</v>
      </c>
      <c r="N21" s="69" t="n">
        <f aca="false">Funding!M26</f>
        <v>697.00899908</v>
      </c>
      <c r="O21" s="69" t="n">
        <f aca="false">Funding!N26</f>
        <v>697.00899908</v>
      </c>
      <c r="P21" s="69" t="n">
        <f aca="false">Funding!O26</f>
        <v>697.00899908</v>
      </c>
      <c r="Q21" s="69" t="n">
        <f aca="false">Funding!P26</f>
        <v>697.00899908</v>
      </c>
      <c r="R21" s="69" t="n">
        <f aca="false">Funding!Q26</f>
        <v>697.00899908</v>
      </c>
      <c r="S21" s="69" t="n">
        <f aca="false">Funding!R26</f>
        <v>697.00899908</v>
      </c>
      <c r="T21" s="69" t="n">
        <f aca="false">Funding!S26</f>
        <v>697.00899908</v>
      </c>
      <c r="U21" s="69" t="n">
        <f aca="false">Funding!T26</f>
        <v>697.00899908</v>
      </c>
      <c r="V21" s="69" t="n">
        <f aca="false">Funding!U26</f>
        <v>557.607199264</v>
      </c>
      <c r="W21" s="69" t="n">
        <f aca="false">Funding!V26</f>
        <v>557.607199264</v>
      </c>
      <c r="X21" s="69" t="n">
        <f aca="false">Funding!W26</f>
        <v>557.607199264</v>
      </c>
      <c r="Y21" s="69" t="n">
        <f aca="false">Funding!X26</f>
        <v>557.607199264</v>
      </c>
      <c r="Z21" s="69" t="n">
        <f aca="false">Funding!Y26</f>
        <v>557.607199264</v>
      </c>
      <c r="AA21" s="69" t="n">
        <f aca="false">Funding!Z26</f>
        <v>557.607199264</v>
      </c>
      <c r="AB21" s="69" t="n">
        <f aca="false">Funding!AA26</f>
        <v>557.607199264</v>
      </c>
      <c r="AC21" s="69" t="n">
        <f aca="false">Funding!AB26</f>
        <v>557.607199264</v>
      </c>
      <c r="AD21" s="69" t="n">
        <f aca="false">Funding!AC26</f>
        <v>557.607199264</v>
      </c>
      <c r="AE21" s="69" t="n">
        <f aca="false">Funding!AD26</f>
        <v>557.607199264</v>
      </c>
      <c r="AF21" s="69" t="n">
        <f aca="false">Funding!AE26</f>
        <v>557.607199264</v>
      </c>
      <c r="AG21" s="69" t="n">
        <f aca="false">Funding!AF26</f>
        <v>557.607199264</v>
      </c>
      <c r="AH21" s="69" t="n">
        <f aca="false">Funding!AG26</f>
        <v>418.205399448</v>
      </c>
      <c r="AI21" s="69" t="n">
        <f aca="false">Funding!AH26</f>
        <v>418.205399448</v>
      </c>
      <c r="AJ21" s="69" t="n">
        <f aca="false">Funding!AI26</f>
        <v>418.205399448</v>
      </c>
      <c r="AK21" s="69" t="n">
        <f aca="false">Funding!AJ26</f>
        <v>418.205399448</v>
      </c>
      <c r="AL21" s="69" t="n">
        <f aca="false">Funding!AK26</f>
        <v>418.205399448</v>
      </c>
      <c r="AM21" s="69" t="n">
        <f aca="false">Funding!AL26</f>
        <v>418.205399448</v>
      </c>
    </row>
    <row r="22" customFormat="false" ht="21" hidden="false" customHeight="true" outlineLevel="0" collapsed="false">
      <c r="C22" s="56" t="s">
        <v>381</v>
      </c>
      <c r="D22" s="69"/>
      <c r="E22" s="69"/>
      <c r="F22" s="69"/>
      <c r="G22" s="69"/>
      <c r="H22" s="69"/>
      <c r="I22" s="69"/>
      <c r="J22" s="69" t="n">
        <f aca="false">Inputs!J42</f>
        <v>0</v>
      </c>
      <c r="K22" s="69" t="n">
        <f aca="false">Inputs!K42</f>
        <v>0</v>
      </c>
      <c r="L22" s="69" t="n">
        <f aca="false">Inputs!L42</f>
        <v>0</v>
      </c>
      <c r="M22" s="69" t="n">
        <f aca="false">Inputs!M42</f>
        <v>0</v>
      </c>
      <c r="N22" s="69" t="n">
        <f aca="false">Inputs!N42</f>
        <v>0</v>
      </c>
      <c r="O22" s="69" t="n">
        <f aca="false">Inputs!O42</f>
        <v>0</v>
      </c>
      <c r="P22" s="69" t="n">
        <f aca="false">Inputs!P42</f>
        <v>0</v>
      </c>
      <c r="Q22" s="69" t="n">
        <f aca="false">Inputs!Q42</f>
        <v>0</v>
      </c>
      <c r="R22" s="69" t="n">
        <f aca="false">Inputs!R42</f>
        <v>0</v>
      </c>
      <c r="S22" s="69" t="n">
        <f aca="false">Inputs!S42</f>
        <v>0</v>
      </c>
      <c r="T22" s="69" t="n">
        <f aca="false">Inputs!T42</f>
        <v>0</v>
      </c>
      <c r="U22" s="69" t="n">
        <f aca="false">Inputs!U42</f>
        <v>0</v>
      </c>
      <c r="V22" s="69" t="n">
        <f aca="false">Inputs!V42</f>
        <v>0</v>
      </c>
      <c r="W22" s="69" t="n">
        <f aca="false">Inputs!W42</f>
        <v>0</v>
      </c>
      <c r="X22" s="69" t="n">
        <f aca="false">Inputs!X42</f>
        <v>0</v>
      </c>
      <c r="Y22" s="69" t="n">
        <f aca="false">Inputs!Y42</f>
        <v>0</v>
      </c>
      <c r="Z22" s="69" t="n">
        <f aca="false">Inputs!Z42</f>
        <v>0</v>
      </c>
      <c r="AA22" s="69" t="n">
        <f aca="false">Inputs!AA42</f>
        <v>0</v>
      </c>
      <c r="AB22" s="69" t="n">
        <f aca="false">Inputs!AB42</f>
        <v>0</v>
      </c>
      <c r="AC22" s="69" t="n">
        <f aca="false">Inputs!AC42</f>
        <v>0</v>
      </c>
      <c r="AD22" s="69" t="n">
        <f aca="false">Inputs!AD42</f>
        <v>0</v>
      </c>
      <c r="AE22" s="69" t="n">
        <f aca="false">Inputs!AE42</f>
        <v>0</v>
      </c>
      <c r="AF22" s="69" t="n">
        <f aca="false">Inputs!AF42</f>
        <v>0</v>
      </c>
      <c r="AG22" s="69" t="n">
        <f aca="false">Inputs!AG42</f>
        <v>0</v>
      </c>
      <c r="AH22" s="69" t="n">
        <f aca="false">Inputs!AH42</f>
        <v>0</v>
      </c>
      <c r="AI22" s="69" t="n">
        <f aca="false">Inputs!AI42</f>
        <v>0</v>
      </c>
      <c r="AJ22" s="69" t="n">
        <f aca="false">Inputs!AJ42</f>
        <v>0</v>
      </c>
      <c r="AK22" s="69" t="n">
        <f aca="false">Inputs!AK42</f>
        <v>0</v>
      </c>
      <c r="AL22" s="69" t="n">
        <f aca="false">Inputs!AL42</f>
        <v>0</v>
      </c>
      <c r="AM22" s="69" t="n">
        <f aca="false">Inputs!AM42</f>
        <v>0</v>
      </c>
    </row>
    <row r="23" customFormat="false" ht="21" hidden="false" customHeight="true" outlineLevel="0" collapsed="false">
      <c r="C23" s="56" t="s">
        <v>382</v>
      </c>
      <c r="D23" s="69"/>
      <c r="E23" s="69"/>
      <c r="F23" s="69"/>
      <c r="G23" s="69"/>
      <c r="H23" s="69"/>
      <c r="I23" s="69"/>
      <c r="J23" s="69" t="n">
        <f aca="false">MIN(MAX(0,J22),MAX(0,Inputs!J38-J12))</f>
        <v>0</v>
      </c>
      <c r="K23" s="69" t="n">
        <f aca="false">MIN(MAX(0,K22),MAX(0,Inputs!K38-K12))</f>
        <v>0</v>
      </c>
      <c r="L23" s="69" t="n">
        <f aca="false">MIN(MAX(0,L22),MAX(0,Inputs!L38-L12))</f>
        <v>0</v>
      </c>
      <c r="M23" s="69" t="n">
        <f aca="false">MIN(MAX(0,M22),MAX(0,Inputs!M38-M12))</f>
        <v>0</v>
      </c>
      <c r="N23" s="69" t="n">
        <f aca="false">MIN(MAX(0,N22),MAX(0,Inputs!N38-N12))</f>
        <v>0</v>
      </c>
      <c r="O23" s="69" t="n">
        <f aca="false">MIN(MAX(0,O22),MAX(0,Inputs!O38-O12))</f>
        <v>0</v>
      </c>
      <c r="P23" s="69" t="n">
        <f aca="false">MIN(MAX(0,P22),MAX(0,Inputs!P38-P12))</f>
        <v>0</v>
      </c>
      <c r="Q23" s="69" t="n">
        <f aca="false">MIN(MAX(0,Q22),MAX(0,Inputs!Q38-Q12))</f>
        <v>0</v>
      </c>
      <c r="R23" s="69" t="n">
        <f aca="false">MIN(MAX(0,R22),MAX(0,Inputs!R38-R12))</f>
        <v>0</v>
      </c>
      <c r="S23" s="69" t="n">
        <f aca="false">MIN(MAX(0,S22),MAX(0,Inputs!S38-S12))</f>
        <v>0</v>
      </c>
      <c r="T23" s="69" t="n">
        <f aca="false">MIN(MAX(0,T22),MAX(0,Inputs!T38-T12))</f>
        <v>0</v>
      </c>
      <c r="U23" s="69" t="n">
        <f aca="false">MIN(MAX(0,U22),MAX(0,Inputs!U38-U12))</f>
        <v>0</v>
      </c>
      <c r="V23" s="69" t="n">
        <f aca="false">MIN(MAX(0,V22),MAX(0,Inputs!V38-V12))</f>
        <v>0</v>
      </c>
      <c r="W23" s="69" t="n">
        <f aca="false">MIN(MAX(0,W22),MAX(0,Inputs!W38-W12))</f>
        <v>0</v>
      </c>
      <c r="X23" s="69" t="n">
        <f aca="false">MIN(MAX(0,X22),MAX(0,Inputs!X38-X12))</f>
        <v>0</v>
      </c>
      <c r="Y23" s="69" t="n">
        <f aca="false">MIN(MAX(0,Y22),MAX(0,Inputs!Y38-Y12))</f>
        <v>0</v>
      </c>
      <c r="Z23" s="69" t="n">
        <f aca="false">MIN(MAX(0,Z22),MAX(0,Inputs!Z38-Z12))</f>
        <v>0</v>
      </c>
      <c r="AA23" s="69" t="n">
        <f aca="false">MIN(MAX(0,AA22),MAX(0,Inputs!AA38-AA12))</f>
        <v>0</v>
      </c>
      <c r="AB23" s="69" t="n">
        <f aca="false">MIN(MAX(0,AB22),MAX(0,Inputs!AB38-AB12))</f>
        <v>0</v>
      </c>
      <c r="AC23" s="69" t="n">
        <f aca="false">MIN(MAX(0,AC22),MAX(0,Inputs!AC38-AC12))</f>
        <v>0</v>
      </c>
      <c r="AD23" s="69" t="n">
        <f aca="false">MIN(MAX(0,AD22),MAX(0,Inputs!AD38-AD12))</f>
        <v>0</v>
      </c>
      <c r="AE23" s="69" t="n">
        <f aca="false">MIN(MAX(0,AE22),MAX(0,Inputs!AE38-AE12))</f>
        <v>0</v>
      </c>
      <c r="AF23" s="69" t="n">
        <f aca="false">MIN(MAX(0,AF22),MAX(0,Inputs!AF38-AF12))</f>
        <v>0</v>
      </c>
      <c r="AG23" s="69" t="n">
        <f aca="false">MIN(MAX(0,AG22),MAX(0,Inputs!AG38-AG12))</f>
        <v>0</v>
      </c>
      <c r="AH23" s="69" t="n">
        <f aca="false">MIN(MAX(0,AH22),MAX(0,Inputs!AH38-AH12))</f>
        <v>0</v>
      </c>
      <c r="AI23" s="69" t="n">
        <f aca="false">MIN(MAX(0,AI22),MAX(0,Inputs!AI38-AI12))</f>
        <v>0</v>
      </c>
      <c r="AJ23" s="69" t="n">
        <f aca="false">MIN(MAX(0,AJ22),MAX(0,Inputs!AJ38-AJ12))</f>
        <v>0</v>
      </c>
      <c r="AK23" s="69" t="n">
        <f aca="false">MIN(MAX(0,AK22),MAX(0,Inputs!AK38-AK12))</f>
        <v>0</v>
      </c>
      <c r="AL23" s="69" t="n">
        <f aca="false">MIN(MAX(0,AL22),MAX(0,Inputs!AL38-AL12))</f>
        <v>0</v>
      </c>
      <c r="AM23" s="69" t="n">
        <f aca="false">MIN(MAX(0,AM22),MAX(0,Inputs!AM38-AM12))</f>
        <v>0</v>
      </c>
    </row>
    <row r="24" customFormat="false" ht="21" hidden="false" customHeight="true" outlineLevel="0" collapsed="false">
      <c r="C24" s="56" t="s">
        <v>383</v>
      </c>
      <c r="D24" s="69"/>
      <c r="E24" s="69"/>
      <c r="F24" s="69"/>
      <c r="G24" s="69"/>
      <c r="H24" s="69"/>
      <c r="I24" s="69"/>
      <c r="J24" s="69" t="n">
        <f aca="false">Inputs!J45</f>
        <v>0</v>
      </c>
      <c r="K24" s="69" t="n">
        <f aca="false">Inputs!K45</f>
        <v>0</v>
      </c>
      <c r="L24" s="69" t="n">
        <f aca="false">Inputs!L45</f>
        <v>0</v>
      </c>
      <c r="M24" s="69" t="n">
        <f aca="false">Inputs!M45</f>
        <v>0</v>
      </c>
      <c r="N24" s="69" t="n">
        <f aca="false">Inputs!N45</f>
        <v>0</v>
      </c>
      <c r="O24" s="69" t="n">
        <f aca="false">Inputs!O45</f>
        <v>0</v>
      </c>
      <c r="P24" s="69" t="n">
        <f aca="false">Inputs!P45</f>
        <v>0</v>
      </c>
      <c r="Q24" s="69" t="n">
        <f aca="false">Inputs!Q45</f>
        <v>0</v>
      </c>
      <c r="R24" s="69" t="n">
        <f aca="false">Inputs!R45</f>
        <v>0</v>
      </c>
      <c r="S24" s="69" t="n">
        <f aca="false">Inputs!S45</f>
        <v>0</v>
      </c>
      <c r="T24" s="69" t="n">
        <f aca="false">Inputs!T45</f>
        <v>0</v>
      </c>
      <c r="U24" s="69" t="n">
        <f aca="false">Inputs!U45</f>
        <v>139.401799816</v>
      </c>
      <c r="V24" s="69" t="n">
        <f aca="false">Inputs!V45</f>
        <v>0</v>
      </c>
      <c r="W24" s="69" t="n">
        <f aca="false">Inputs!W45</f>
        <v>0</v>
      </c>
      <c r="X24" s="69" t="n">
        <f aca="false">Inputs!X45</f>
        <v>0</v>
      </c>
      <c r="Y24" s="69" t="n">
        <f aca="false">Inputs!Y45</f>
        <v>0</v>
      </c>
      <c r="Z24" s="69" t="n">
        <f aca="false">Inputs!Z45</f>
        <v>0</v>
      </c>
      <c r="AA24" s="69" t="n">
        <f aca="false">Inputs!AA45</f>
        <v>0</v>
      </c>
      <c r="AB24" s="69" t="n">
        <f aca="false">Inputs!AB45</f>
        <v>0</v>
      </c>
      <c r="AC24" s="69" t="n">
        <f aca="false">Inputs!AC45</f>
        <v>0</v>
      </c>
      <c r="AD24" s="69" t="n">
        <f aca="false">Inputs!AD45</f>
        <v>0</v>
      </c>
      <c r="AE24" s="69" t="n">
        <f aca="false">Inputs!AE45</f>
        <v>0</v>
      </c>
      <c r="AF24" s="69" t="n">
        <f aca="false">Inputs!AF45</f>
        <v>0</v>
      </c>
      <c r="AG24" s="69" t="n">
        <f aca="false">Inputs!AG45</f>
        <v>139.401799816</v>
      </c>
      <c r="AH24" s="69" t="n">
        <f aca="false">Inputs!AH45</f>
        <v>0</v>
      </c>
      <c r="AI24" s="69" t="n">
        <f aca="false">Inputs!AI45</f>
        <v>0</v>
      </c>
      <c r="AJ24" s="69" t="n">
        <f aca="false">Inputs!AJ45</f>
        <v>0</v>
      </c>
      <c r="AK24" s="69" t="n">
        <f aca="false">Inputs!AK45</f>
        <v>0</v>
      </c>
      <c r="AL24" s="69" t="n">
        <f aca="false">Inputs!AL45</f>
        <v>0</v>
      </c>
      <c r="AM24" s="69" t="n">
        <f aca="false">Inputs!AM45</f>
        <v>0</v>
      </c>
    </row>
    <row r="25" customFormat="false" ht="21" hidden="false" customHeight="true" outlineLevel="0" collapsed="false">
      <c r="C25" s="56" t="s">
        <v>384</v>
      </c>
      <c r="D25" s="71"/>
      <c r="E25" s="71"/>
      <c r="F25" s="71"/>
      <c r="G25" s="71"/>
      <c r="H25" s="71"/>
      <c r="I25" s="71"/>
      <c r="J25" s="71" t="n">
        <f aca="false">MIN(MAX(0,J24),MAX(0,J21+J23),MAX(0,J73-J14))</f>
        <v>0</v>
      </c>
      <c r="K25" s="71" t="n">
        <f aca="false">MIN(MAX(0,K24),MAX(0,K21+K23),MAX(0,K73-K14))</f>
        <v>0</v>
      </c>
      <c r="L25" s="71" t="n">
        <f aca="false">MIN(MAX(0,L24),MAX(0,L21+L23),MAX(0,L73-L14))</f>
        <v>0</v>
      </c>
      <c r="M25" s="71" t="n">
        <f aca="false">MIN(MAX(0,M24),MAX(0,M21+M23),MAX(0,M73-M14))</f>
        <v>0</v>
      </c>
      <c r="N25" s="71" t="n">
        <f aca="false">MIN(MAX(0,N24),MAX(0,N21+N23),MAX(0,N73-N14))</f>
        <v>0</v>
      </c>
      <c r="O25" s="71" t="n">
        <f aca="false">MIN(MAX(0,O24),MAX(0,O21+O23),MAX(0,O73-O14))</f>
        <v>0</v>
      </c>
      <c r="P25" s="71" t="n">
        <f aca="false">MIN(MAX(0,P24),MAX(0,P21+P23),MAX(0,P73-P14))</f>
        <v>0</v>
      </c>
      <c r="Q25" s="71" t="n">
        <f aca="false">MIN(MAX(0,Q24),MAX(0,Q21+Q23),MAX(0,Q73-Q14))</f>
        <v>0</v>
      </c>
      <c r="R25" s="71" t="n">
        <f aca="false">MIN(MAX(0,R24),MAX(0,R21+R23),MAX(0,R73-R14))</f>
        <v>0</v>
      </c>
      <c r="S25" s="71" t="n">
        <f aca="false">MIN(MAX(0,S24),MAX(0,S21+S23),MAX(0,S73-S14))</f>
        <v>0</v>
      </c>
      <c r="T25" s="71" t="n">
        <f aca="false">MIN(MAX(0,T24),MAX(0,T21+T23),MAX(0,T73-T14))</f>
        <v>0</v>
      </c>
      <c r="U25" s="71" t="n">
        <f aca="false">MIN(MAX(0,U24),MAX(0,U21+U23),MAX(0,U73-U14))</f>
        <v>139.401799816</v>
      </c>
      <c r="V25" s="71" t="n">
        <f aca="false">MIN(MAX(0,V24),MAX(0,V21+V23),MAX(0,V73-V14))</f>
        <v>0</v>
      </c>
      <c r="W25" s="71" t="n">
        <f aca="false">MIN(MAX(0,W24),MAX(0,W21+W23),MAX(0,W73-W14))</f>
        <v>0</v>
      </c>
      <c r="X25" s="71" t="n">
        <f aca="false">MIN(MAX(0,X24),MAX(0,X21+X23),MAX(0,X73-X14))</f>
        <v>0</v>
      </c>
      <c r="Y25" s="71" t="n">
        <f aca="false">MIN(MAX(0,Y24),MAX(0,Y21+Y23),MAX(0,Y73-Y14))</f>
        <v>0</v>
      </c>
      <c r="Z25" s="71" t="n">
        <f aca="false">MIN(MAX(0,Z24),MAX(0,Z21+Z23),MAX(0,Z73-Z14))</f>
        <v>0</v>
      </c>
      <c r="AA25" s="71" t="n">
        <f aca="false">MIN(MAX(0,AA24),MAX(0,AA21+AA23),MAX(0,AA73-AA14))</f>
        <v>0</v>
      </c>
      <c r="AB25" s="71" t="n">
        <f aca="false">MIN(MAX(0,AB24),MAX(0,AB21+AB23),MAX(0,AB73-AB14))</f>
        <v>0</v>
      </c>
      <c r="AC25" s="71" t="n">
        <f aca="false">MIN(MAX(0,AC24),MAX(0,AC21+AC23),MAX(0,AC73-AC14))</f>
        <v>0</v>
      </c>
      <c r="AD25" s="71" t="n">
        <f aca="false">MIN(MAX(0,AD24),MAX(0,AD21+AD23),MAX(0,AD73-AD14))</f>
        <v>0</v>
      </c>
      <c r="AE25" s="71" t="n">
        <f aca="false">MIN(MAX(0,AE24),MAX(0,AE21+AE23),MAX(0,AE73-AE14))</f>
        <v>0</v>
      </c>
      <c r="AF25" s="71" t="n">
        <f aca="false">MIN(MAX(0,AF24),MAX(0,AF21+AF23),MAX(0,AF73-AF14))</f>
        <v>0</v>
      </c>
      <c r="AG25" s="71" t="n">
        <f aca="false">MIN(MAX(0,AG24),MAX(0,AG21+AG23),MAX(0,AG73-AG14))</f>
        <v>139.401799816</v>
      </c>
      <c r="AH25" s="71" t="n">
        <f aca="false">MIN(MAX(0,AH24),MAX(0,AH21+AH23),MAX(0,AH73-AH14))</f>
        <v>0</v>
      </c>
      <c r="AI25" s="71" t="n">
        <f aca="false">MIN(MAX(0,AI24),MAX(0,AI21+AI23),MAX(0,AI73-AI14))</f>
        <v>0</v>
      </c>
      <c r="AJ25" s="71" t="n">
        <f aca="false">MIN(MAX(0,AJ24),MAX(0,AJ21+AJ23),MAX(0,AJ73-AJ14))</f>
        <v>0</v>
      </c>
      <c r="AK25" s="71" t="n">
        <f aca="false">MIN(MAX(0,AK24),MAX(0,AK21+AK23),MAX(0,AK73-AK14))</f>
        <v>0</v>
      </c>
      <c r="AL25" s="71" t="n">
        <f aca="false">MIN(MAX(0,AL24),MAX(0,AL21+AL23),MAX(0,AL73-AL14))</f>
        <v>0</v>
      </c>
      <c r="AM25" s="71" t="n">
        <f aca="false">MIN(MAX(0,AM24),MAX(0,AM21+AM23),MAX(0,AM73-AM14))</f>
        <v>0</v>
      </c>
    </row>
    <row r="26" customFormat="false" ht="21" hidden="false" customHeight="true" outlineLevel="0" collapsed="false">
      <c r="C26" s="56" t="s">
        <v>385</v>
      </c>
      <c r="D26" s="71"/>
      <c r="E26" s="71"/>
      <c r="F26" s="71"/>
      <c r="G26" s="71"/>
      <c r="H26" s="71"/>
      <c r="I26" s="71"/>
      <c r="J26" s="71" t="n">
        <f aca="false">J21+J23-J25</f>
        <v>697.00899908</v>
      </c>
      <c r="K26" s="71" t="n">
        <f aca="false">K21+K23-K25</f>
        <v>697.00899908</v>
      </c>
      <c r="L26" s="71" t="n">
        <f aca="false">L21+L23-L25</f>
        <v>697.00899908</v>
      </c>
      <c r="M26" s="71" t="n">
        <f aca="false">M21+M23-M25</f>
        <v>697.00899908</v>
      </c>
      <c r="N26" s="71" t="n">
        <f aca="false">N21+N23-N25</f>
        <v>697.00899908</v>
      </c>
      <c r="O26" s="71" t="n">
        <f aca="false">O21+O23-O25</f>
        <v>697.00899908</v>
      </c>
      <c r="P26" s="71" t="n">
        <f aca="false">P21+P23-P25</f>
        <v>697.00899908</v>
      </c>
      <c r="Q26" s="71" t="n">
        <f aca="false">Q21+Q23-Q25</f>
        <v>697.00899908</v>
      </c>
      <c r="R26" s="71" t="n">
        <f aca="false">R21+R23-R25</f>
        <v>697.00899908</v>
      </c>
      <c r="S26" s="71" t="n">
        <f aca="false">S21+S23-S25</f>
        <v>697.00899908</v>
      </c>
      <c r="T26" s="71" t="n">
        <f aca="false">T21+T23-T25</f>
        <v>697.00899908</v>
      </c>
      <c r="U26" s="71" t="n">
        <f aca="false">U21+U23-U25</f>
        <v>557.607199264</v>
      </c>
      <c r="V26" s="71" t="n">
        <f aca="false">V21+V23-V25</f>
        <v>557.607199264</v>
      </c>
      <c r="W26" s="71" t="n">
        <f aca="false">W21+W23-W25</f>
        <v>557.607199264</v>
      </c>
      <c r="X26" s="71" t="n">
        <f aca="false">X21+X23-X25</f>
        <v>557.607199264</v>
      </c>
      <c r="Y26" s="71" t="n">
        <f aca="false">Y21+Y23-Y25</f>
        <v>557.607199264</v>
      </c>
      <c r="Z26" s="71" t="n">
        <f aca="false">Z21+Z23-Z25</f>
        <v>557.607199264</v>
      </c>
      <c r="AA26" s="71" t="n">
        <f aca="false">AA21+AA23-AA25</f>
        <v>557.607199264</v>
      </c>
      <c r="AB26" s="71" t="n">
        <f aca="false">AB21+AB23-AB25</f>
        <v>557.607199264</v>
      </c>
      <c r="AC26" s="71" t="n">
        <f aca="false">AC21+AC23-AC25</f>
        <v>557.607199264</v>
      </c>
      <c r="AD26" s="71" t="n">
        <f aca="false">AD21+AD23-AD25</f>
        <v>557.607199264</v>
      </c>
      <c r="AE26" s="71" t="n">
        <f aca="false">AE21+AE23-AE25</f>
        <v>557.607199264</v>
      </c>
      <c r="AF26" s="71" t="n">
        <f aca="false">AF21+AF23-AF25</f>
        <v>557.607199264</v>
      </c>
      <c r="AG26" s="71" t="n">
        <f aca="false">AG21+AG23-AG25</f>
        <v>418.205399448</v>
      </c>
      <c r="AH26" s="71" t="n">
        <f aca="false">AH21+AH23-AH25</f>
        <v>418.205399448</v>
      </c>
      <c r="AI26" s="71" t="n">
        <f aca="false">AI21+AI23-AI25</f>
        <v>418.205399448</v>
      </c>
      <c r="AJ26" s="71" t="n">
        <f aca="false">AJ21+AJ23-AJ25</f>
        <v>418.205399448</v>
      </c>
      <c r="AK26" s="71" t="n">
        <f aca="false">AK21+AK23-AK25</f>
        <v>418.205399448</v>
      </c>
      <c r="AL26" s="71" t="n">
        <f aca="false">AL21+AL23-AL25</f>
        <v>418.205399448</v>
      </c>
      <c r="AM26" s="71" t="n">
        <f aca="false">AM21+AM23-AM25</f>
        <v>418.205399448</v>
      </c>
    </row>
    <row r="27" customFormat="false" ht="21" hidden="false" customHeight="true" outlineLevel="0" collapsed="false">
      <c r="C27" s="56" t="s">
        <v>386</v>
      </c>
      <c r="D27" s="69"/>
      <c r="E27" s="69"/>
      <c r="F27" s="69"/>
      <c r="G27" s="69"/>
      <c r="H27" s="69"/>
      <c r="I27" s="69"/>
      <c r="J27" s="69" t="n">
        <f aca="false">J21*MAX(0,Inputs!J49)*DAY(J$7)/(DATE(YEAR(J$7)+1,1,1)-DATE(YEAR(J$7),1,1))</f>
        <v>3.05124181351656</v>
      </c>
      <c r="K27" s="69" t="n">
        <f aca="false">K21*MAX(0,Inputs!K49)*DAY(K$7)/(DATE(YEAR(K$7)+1,1,1)-DATE(YEAR(K$7),1,1))</f>
        <v>3.05124181351656</v>
      </c>
      <c r="L27" s="69" t="n">
        <f aca="false">L21*MAX(0,Inputs!L49)*DAY(L$7)/(DATE(YEAR(L$7)+1,1,1)-DATE(YEAR(L$7),1,1))</f>
        <v>2.95281465824184</v>
      </c>
      <c r="M27" s="69" t="n">
        <f aca="false">M21*MAX(0,Inputs!M49)*DAY(M$7)/(DATE(YEAR(M$7)+1,1,1)-DATE(YEAR(M$7),1,1))</f>
        <v>3.05124181351656</v>
      </c>
      <c r="N27" s="69" t="n">
        <f aca="false">N21*MAX(0,Inputs!N49)*DAY(N$7)/(DATE(YEAR(N$7)+1,1,1)-DATE(YEAR(N$7),1,1))</f>
        <v>2.95281465824184</v>
      </c>
      <c r="O27" s="69" t="n">
        <f aca="false">O21*MAX(0,Inputs!O49)*DAY(O$7)/(DATE(YEAR(O$7)+1,1,1)-DATE(YEAR(O$7),1,1))</f>
        <v>3.05124181351656</v>
      </c>
      <c r="P27" s="69" t="n">
        <f aca="false">P21*MAX(0,Inputs!P49)*DAY(P$7)/(DATE(YEAR(P$7)+1,1,1)-DATE(YEAR(P$7),1,1))</f>
        <v>3.05124181351656</v>
      </c>
      <c r="Q27" s="69" t="n">
        <f aca="false">Q21*MAX(0,Inputs!Q49)*DAY(Q$7)/(DATE(YEAR(Q$7)+1,1,1)-DATE(YEAR(Q$7),1,1))</f>
        <v>2.75596034769238</v>
      </c>
      <c r="R27" s="69" t="n">
        <f aca="false">R21*MAX(0,Inputs!R49)*DAY(R$7)/(DATE(YEAR(R$7)+1,1,1)-DATE(YEAR(R$7),1,1))</f>
        <v>3.05124181351656</v>
      </c>
      <c r="S27" s="69" t="n">
        <f aca="false">S21*MAX(0,Inputs!S49)*DAY(S$7)/(DATE(YEAR(S$7)+1,1,1)-DATE(YEAR(S$7),1,1))</f>
        <v>2.95281465824184</v>
      </c>
      <c r="T27" s="69" t="n">
        <f aca="false">T21*MAX(0,Inputs!T49)*DAY(T$7)/(DATE(YEAR(T$7)+1,1,1)-DATE(YEAR(T$7),1,1))</f>
        <v>3.05124181351656</v>
      </c>
      <c r="U27" s="69" t="n">
        <f aca="false">U21*MAX(0,Inputs!U49)*DAY(U$7)/(DATE(YEAR(U$7)+1,1,1)-DATE(YEAR(U$7),1,1))</f>
        <v>2.95281465824184</v>
      </c>
      <c r="V27" s="69" t="n">
        <f aca="false">V21*MAX(0,Inputs!V49)*DAY(V$7)/(DATE(YEAR(V$7)+1,1,1)-DATE(YEAR(V$7),1,1))</f>
        <v>2.44099345081325</v>
      </c>
      <c r="W27" s="69" t="n">
        <f aca="false">W21*MAX(0,Inputs!W49)*DAY(W$7)/(DATE(YEAR(W$7)+1,1,1)-DATE(YEAR(W$7),1,1))</f>
        <v>2.44099345081325</v>
      </c>
      <c r="X27" s="69" t="n">
        <f aca="false">X21*MAX(0,Inputs!X49)*DAY(X$7)/(DATE(YEAR(X$7)+1,1,1)-DATE(YEAR(X$7),1,1))</f>
        <v>2.36225172659347</v>
      </c>
      <c r="Y27" s="69" t="n">
        <f aca="false">Y21*MAX(0,Inputs!Y49)*DAY(Y$7)/(DATE(YEAR(Y$7)+1,1,1)-DATE(YEAR(Y$7),1,1))</f>
        <v>2.44099345081325</v>
      </c>
      <c r="Z27" s="69" t="n">
        <f aca="false">Z21*MAX(0,Inputs!Z49)*DAY(Z$7)/(DATE(YEAR(Z$7)+1,1,1)-DATE(YEAR(Z$7),1,1))</f>
        <v>2.36225172659347</v>
      </c>
      <c r="AA27" s="69" t="n">
        <f aca="false">AA21*MAX(0,Inputs!AA49)*DAY(AA$7)/(DATE(YEAR(AA$7)+1,1,1)-DATE(YEAR(AA$7),1,1))</f>
        <v>2.44099345081325</v>
      </c>
      <c r="AB27" s="69" t="n">
        <f aca="false">AB21*MAX(0,Inputs!AB49)*DAY(AB$7)/(DATE(YEAR(AB$7)+1,1,1)-DATE(YEAR(AB$7),1,1))</f>
        <v>2.4343240698001</v>
      </c>
      <c r="AC27" s="69" t="n">
        <f aca="false">AC21*MAX(0,Inputs!AC49)*DAY(AC$7)/(DATE(YEAR(AC$7)+1,1,1)-DATE(YEAR(AC$7),1,1))</f>
        <v>2.27727090400654</v>
      </c>
      <c r="AD27" s="69" t="n">
        <f aca="false">AD21*MAX(0,Inputs!AD49)*DAY(AD$7)/(DATE(YEAR(AD$7)+1,1,1)-DATE(YEAR(AD$7),1,1))</f>
        <v>2.4343240698001</v>
      </c>
      <c r="AE27" s="69" t="n">
        <f aca="false">AE21*MAX(0,Inputs!AE49)*DAY(AE$7)/(DATE(YEAR(AE$7)+1,1,1)-DATE(YEAR(AE$7),1,1))</f>
        <v>2.35579748690332</v>
      </c>
      <c r="AF27" s="69" t="n">
        <f aca="false">AF21*MAX(0,Inputs!AF49)*DAY(AF$7)/(DATE(YEAR(AF$7)+1,1,1)-DATE(YEAR(AF$7),1,1))</f>
        <v>2.4343240698001</v>
      </c>
      <c r="AG27" s="69" t="n">
        <f aca="false">AG21*MAX(0,Inputs!AG49)*DAY(AG$7)/(DATE(YEAR(AG$7)+1,1,1)-DATE(YEAR(AG$7),1,1))</f>
        <v>2.35579748690332</v>
      </c>
      <c r="AH27" s="69" t="n">
        <f aca="false">AH21*MAX(0,Inputs!AH49)*DAY(AH$7)/(DATE(YEAR(AH$7)+1,1,1)-DATE(YEAR(AH$7),1,1))</f>
        <v>1.82574305235007</v>
      </c>
      <c r="AI27" s="69" t="n">
        <f aca="false">AI21*MAX(0,Inputs!AI49)*DAY(AI$7)/(DATE(YEAR(AI$7)+1,1,1)-DATE(YEAR(AI$7),1,1))</f>
        <v>1.82574305235007</v>
      </c>
      <c r="AJ27" s="69" t="n">
        <f aca="false">AJ21*MAX(0,Inputs!AJ49)*DAY(AJ$7)/(DATE(YEAR(AJ$7)+1,1,1)-DATE(YEAR(AJ$7),1,1))</f>
        <v>1.76684811517749</v>
      </c>
      <c r="AK27" s="69" t="n">
        <f aca="false">AK21*MAX(0,Inputs!AK49)*DAY(AK$7)/(DATE(YEAR(AK$7)+1,1,1)-DATE(YEAR(AK$7),1,1))</f>
        <v>1.82574305235007</v>
      </c>
      <c r="AL27" s="69" t="n">
        <f aca="false">AL21*MAX(0,Inputs!AL49)*DAY(AL$7)/(DATE(YEAR(AL$7)+1,1,1)-DATE(YEAR(AL$7),1,1))</f>
        <v>1.76684811517749</v>
      </c>
      <c r="AM27" s="69" t="n">
        <f aca="false">AM21*MAX(0,Inputs!AM49)*DAY(AM$7)/(DATE(YEAR(AM$7)+1,1,1)-DATE(YEAR(AM$7),1,1))</f>
        <v>1.82574305235007</v>
      </c>
    </row>
    <row r="28" customFormat="false" ht="21" hidden="false" customHeight="true" outlineLevel="0" collapsed="false">
      <c r="C28" s="56" t="s">
        <v>387</v>
      </c>
      <c r="D28" s="71"/>
      <c r="E28" s="71"/>
      <c r="F28" s="71"/>
      <c r="G28" s="71"/>
      <c r="H28" s="71"/>
      <c r="I28" s="71"/>
      <c r="J28" s="71" t="n">
        <f aca="false">MAX(0,J22-J23)</f>
        <v>0</v>
      </c>
      <c r="K28" s="71" t="n">
        <f aca="false">MAX(0,K22-K23)</f>
        <v>0</v>
      </c>
      <c r="L28" s="71" t="n">
        <f aca="false">MAX(0,L22-L23)</f>
        <v>0</v>
      </c>
      <c r="M28" s="71" t="n">
        <f aca="false">MAX(0,M22-M23)</f>
        <v>0</v>
      </c>
      <c r="N28" s="71" t="n">
        <f aca="false">MAX(0,N22-N23)</f>
        <v>0</v>
      </c>
      <c r="O28" s="71" t="n">
        <f aca="false">MAX(0,O22-O23)</f>
        <v>0</v>
      </c>
      <c r="P28" s="71" t="n">
        <f aca="false">MAX(0,P22-P23)</f>
        <v>0</v>
      </c>
      <c r="Q28" s="71" t="n">
        <f aca="false">MAX(0,Q22-Q23)</f>
        <v>0</v>
      </c>
      <c r="R28" s="71" t="n">
        <f aca="false">MAX(0,R22-R23)</f>
        <v>0</v>
      </c>
      <c r="S28" s="71" t="n">
        <f aca="false">MAX(0,S22-S23)</f>
        <v>0</v>
      </c>
      <c r="T28" s="71" t="n">
        <f aca="false">MAX(0,T22-T23)</f>
        <v>0</v>
      </c>
      <c r="U28" s="71" t="n">
        <f aca="false">MAX(0,U22-U23)</f>
        <v>0</v>
      </c>
      <c r="V28" s="71" t="n">
        <f aca="false">MAX(0,V22-V23)</f>
        <v>0</v>
      </c>
      <c r="W28" s="71" t="n">
        <f aca="false">MAX(0,W22-W23)</f>
        <v>0</v>
      </c>
      <c r="X28" s="71" t="n">
        <f aca="false">MAX(0,X22-X23)</f>
        <v>0</v>
      </c>
      <c r="Y28" s="71" t="n">
        <f aca="false">MAX(0,Y22-Y23)</f>
        <v>0</v>
      </c>
      <c r="Z28" s="71" t="n">
        <f aca="false">MAX(0,Z22-Z23)</f>
        <v>0</v>
      </c>
      <c r="AA28" s="71" t="n">
        <f aca="false">MAX(0,AA22-AA23)</f>
        <v>0</v>
      </c>
      <c r="AB28" s="71" t="n">
        <f aca="false">MAX(0,AB22-AB23)</f>
        <v>0</v>
      </c>
      <c r="AC28" s="71" t="n">
        <f aca="false">MAX(0,AC22-AC23)</f>
        <v>0</v>
      </c>
      <c r="AD28" s="71" t="n">
        <f aca="false">MAX(0,AD22-AD23)</f>
        <v>0</v>
      </c>
      <c r="AE28" s="71" t="n">
        <f aca="false">MAX(0,AE22-AE23)</f>
        <v>0</v>
      </c>
      <c r="AF28" s="71" t="n">
        <f aca="false">MAX(0,AF22-AF23)</f>
        <v>0</v>
      </c>
      <c r="AG28" s="71" t="n">
        <f aca="false">MAX(0,AG22-AG23)</f>
        <v>0</v>
      </c>
      <c r="AH28" s="71" t="n">
        <f aca="false">MAX(0,AH22-AH23)</f>
        <v>0</v>
      </c>
      <c r="AI28" s="71" t="n">
        <f aca="false">MAX(0,AI22-AI23)</f>
        <v>0</v>
      </c>
      <c r="AJ28" s="71" t="n">
        <f aca="false">MAX(0,AJ22-AJ23)</f>
        <v>0</v>
      </c>
      <c r="AK28" s="71" t="n">
        <f aca="false">MAX(0,AK22-AK23)</f>
        <v>0</v>
      </c>
      <c r="AL28" s="71" t="n">
        <f aca="false">MAX(0,AL22-AL23)</f>
        <v>0</v>
      </c>
      <c r="AM28" s="71" t="n">
        <f aca="false">MAX(0,AM22-AM23)</f>
        <v>0</v>
      </c>
    </row>
    <row r="29" customFormat="false" ht="21" hidden="false" customHeight="true" outlineLevel="0" collapsed="false">
      <c r="C29" s="56" t="s">
        <v>388</v>
      </c>
      <c r="D29" s="71"/>
      <c r="E29" s="71"/>
      <c r="F29" s="71"/>
      <c r="G29" s="71"/>
      <c r="H29" s="71"/>
      <c r="I29" s="71"/>
      <c r="J29" s="71" t="n">
        <f aca="false">MAX(0,J24-J25)</f>
        <v>0</v>
      </c>
      <c r="K29" s="71" t="n">
        <f aca="false">MAX(0,K24-K25)</f>
        <v>0</v>
      </c>
      <c r="L29" s="71" t="n">
        <f aca="false">MAX(0,L24-L25)</f>
        <v>0</v>
      </c>
      <c r="M29" s="71" t="n">
        <f aca="false">MAX(0,M24-M25)</f>
        <v>0</v>
      </c>
      <c r="N29" s="71" t="n">
        <f aca="false">MAX(0,N24-N25)</f>
        <v>0</v>
      </c>
      <c r="O29" s="71" t="n">
        <f aca="false">MAX(0,O24-O25)</f>
        <v>0</v>
      </c>
      <c r="P29" s="71" t="n">
        <f aca="false">MAX(0,P24-P25)</f>
        <v>0</v>
      </c>
      <c r="Q29" s="71" t="n">
        <f aca="false">MAX(0,Q24-Q25)</f>
        <v>0</v>
      </c>
      <c r="R29" s="71" t="n">
        <f aca="false">MAX(0,R24-R25)</f>
        <v>0</v>
      </c>
      <c r="S29" s="71" t="n">
        <f aca="false">MAX(0,S24-S25)</f>
        <v>0</v>
      </c>
      <c r="T29" s="71" t="n">
        <f aca="false">MAX(0,T24-T25)</f>
        <v>0</v>
      </c>
      <c r="U29" s="71" t="n">
        <f aca="false">MAX(0,U24-U25)</f>
        <v>0</v>
      </c>
      <c r="V29" s="71" t="n">
        <f aca="false">MAX(0,V24-V25)</f>
        <v>0</v>
      </c>
      <c r="W29" s="71" t="n">
        <f aca="false">MAX(0,W24-W25)</f>
        <v>0</v>
      </c>
      <c r="X29" s="71" t="n">
        <f aca="false">MAX(0,X24-X25)</f>
        <v>0</v>
      </c>
      <c r="Y29" s="71" t="n">
        <f aca="false">MAX(0,Y24-Y25)</f>
        <v>0</v>
      </c>
      <c r="Z29" s="71" t="n">
        <f aca="false">MAX(0,Z24-Z25)</f>
        <v>0</v>
      </c>
      <c r="AA29" s="71" t="n">
        <f aca="false">MAX(0,AA24-AA25)</f>
        <v>0</v>
      </c>
      <c r="AB29" s="71" t="n">
        <f aca="false">MAX(0,AB24-AB25)</f>
        <v>0</v>
      </c>
      <c r="AC29" s="71" t="n">
        <f aca="false">MAX(0,AC24-AC25)</f>
        <v>0</v>
      </c>
      <c r="AD29" s="71" t="n">
        <f aca="false">MAX(0,AD24-AD25)</f>
        <v>0</v>
      </c>
      <c r="AE29" s="71" t="n">
        <f aca="false">MAX(0,AE24-AE25)</f>
        <v>0</v>
      </c>
      <c r="AF29" s="71" t="n">
        <f aca="false">MAX(0,AF24-AF25)</f>
        <v>0</v>
      </c>
      <c r="AG29" s="71" t="n">
        <f aca="false">MAX(0,AG24-AG25)</f>
        <v>0</v>
      </c>
      <c r="AH29" s="71" t="n">
        <f aca="false">MAX(0,AH24-AH25)</f>
        <v>0</v>
      </c>
      <c r="AI29" s="71" t="n">
        <f aca="false">MAX(0,AI24-AI25)</f>
        <v>0</v>
      </c>
      <c r="AJ29" s="71" t="n">
        <f aca="false">MAX(0,AJ24-AJ25)</f>
        <v>0</v>
      </c>
      <c r="AK29" s="71" t="n">
        <f aca="false">MAX(0,AK24-AK25)</f>
        <v>0</v>
      </c>
      <c r="AL29" s="71" t="n">
        <f aca="false">MAX(0,AL24-AL25)</f>
        <v>0</v>
      </c>
      <c r="AM29" s="71" t="n">
        <f aca="false">MAX(0,AM24-AM25)</f>
        <v>0</v>
      </c>
    </row>
    <row r="30" customFormat="false" ht="21" hidden="false" customHeight="true" outlineLevel="0" collapsed="false">
      <c r="C30" s="56" t="s">
        <v>389</v>
      </c>
      <c r="D30" s="71"/>
      <c r="E30" s="71"/>
      <c r="F30" s="71"/>
      <c r="G30" s="71"/>
      <c r="H30" s="71"/>
      <c r="I30" s="71"/>
      <c r="J30" s="71" t="n">
        <f aca="false">J21+J23-J25-J26</f>
        <v>0</v>
      </c>
      <c r="K30" s="71" t="n">
        <f aca="false">K21+K23-K25-K26</f>
        <v>0</v>
      </c>
      <c r="L30" s="71" t="n">
        <f aca="false">L21+L23-L25-L26</f>
        <v>0</v>
      </c>
      <c r="M30" s="71" t="n">
        <f aca="false">M21+M23-M25-M26</f>
        <v>0</v>
      </c>
      <c r="N30" s="71" t="n">
        <f aca="false">N21+N23-N25-N26</f>
        <v>0</v>
      </c>
      <c r="O30" s="71" t="n">
        <f aca="false">O21+O23-O25-O26</f>
        <v>0</v>
      </c>
      <c r="P30" s="71" t="n">
        <f aca="false">P21+P23-P25-P26</f>
        <v>0</v>
      </c>
      <c r="Q30" s="71" t="n">
        <f aca="false">Q21+Q23-Q25-Q26</f>
        <v>0</v>
      </c>
      <c r="R30" s="71" t="n">
        <f aca="false">R21+R23-R25-R26</f>
        <v>0</v>
      </c>
      <c r="S30" s="71" t="n">
        <f aca="false">S21+S23-S25-S26</f>
        <v>0</v>
      </c>
      <c r="T30" s="71" t="n">
        <f aca="false">T21+T23-T25-T26</f>
        <v>0</v>
      </c>
      <c r="U30" s="71" t="n">
        <f aca="false">U21+U23-U25-U26</f>
        <v>0</v>
      </c>
      <c r="V30" s="71" t="n">
        <f aca="false">V21+V23-V25-V26</f>
        <v>0</v>
      </c>
      <c r="W30" s="71" t="n">
        <f aca="false">W21+W23-W25-W26</f>
        <v>0</v>
      </c>
      <c r="X30" s="71" t="n">
        <f aca="false">X21+X23-X25-X26</f>
        <v>0</v>
      </c>
      <c r="Y30" s="71" t="n">
        <f aca="false">Y21+Y23-Y25-Y26</f>
        <v>0</v>
      </c>
      <c r="Z30" s="71" t="n">
        <f aca="false">Z21+Z23-Z25-Z26</f>
        <v>0</v>
      </c>
      <c r="AA30" s="71" t="n">
        <f aca="false">AA21+AA23-AA25-AA26</f>
        <v>0</v>
      </c>
      <c r="AB30" s="71" t="n">
        <f aca="false">AB21+AB23-AB25-AB26</f>
        <v>0</v>
      </c>
      <c r="AC30" s="71" t="n">
        <f aca="false">AC21+AC23-AC25-AC26</f>
        <v>0</v>
      </c>
      <c r="AD30" s="71" t="n">
        <f aca="false">AD21+AD23-AD25-AD26</f>
        <v>0</v>
      </c>
      <c r="AE30" s="71" t="n">
        <f aca="false">AE21+AE23-AE25-AE26</f>
        <v>0</v>
      </c>
      <c r="AF30" s="71" t="n">
        <f aca="false">AF21+AF23-AF25-AF26</f>
        <v>0</v>
      </c>
      <c r="AG30" s="71" t="n">
        <f aca="false">AG21+AG23-AG25-AG26</f>
        <v>0</v>
      </c>
      <c r="AH30" s="71" t="n">
        <f aca="false">AH21+AH23-AH25-AH26</f>
        <v>0</v>
      </c>
      <c r="AI30" s="71" t="n">
        <f aca="false">AI21+AI23-AI25-AI26</f>
        <v>0</v>
      </c>
      <c r="AJ30" s="71" t="n">
        <f aca="false">AJ21+AJ23-AJ25-AJ26</f>
        <v>0</v>
      </c>
      <c r="AK30" s="71" t="n">
        <f aca="false">AK21+AK23-AK25-AK26</f>
        <v>0</v>
      </c>
      <c r="AL30" s="71" t="n">
        <f aca="false">AL21+AL23-AL25-AL26</f>
        <v>0</v>
      </c>
      <c r="AM30" s="71" t="n">
        <f aca="false">AM21+AM23-AM25-AM26</f>
        <v>0</v>
      </c>
    </row>
    <row r="31" customFormat="false" ht="25" hidden="false" customHeight="true" outlineLevel="0" collapsed="false">
      <c r="C31" s="63" t="s">
        <v>391</v>
      </c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</row>
    <row r="32" customFormat="false" ht="21" hidden="false" customHeight="true" outlineLevel="0" collapsed="false">
      <c r="C32" s="56" t="s">
        <v>380</v>
      </c>
      <c r="D32" s="69"/>
      <c r="E32" s="69"/>
      <c r="F32" s="69"/>
      <c r="G32" s="69"/>
      <c r="H32" s="69"/>
      <c r="I32" s="69"/>
      <c r="J32" s="69" t="n">
        <f aca="false">H1Data!D47</f>
        <v>225.11388956</v>
      </c>
      <c r="K32" s="69" t="n">
        <f aca="false">Funding!J37</f>
        <v>225.11388956</v>
      </c>
      <c r="L32" s="69" t="n">
        <f aca="false">Funding!K37</f>
        <v>225.11388956</v>
      </c>
      <c r="M32" s="69" t="n">
        <f aca="false">Funding!L37</f>
        <v>225.11388956</v>
      </c>
      <c r="N32" s="69" t="n">
        <f aca="false">Funding!M37</f>
        <v>225.11388956</v>
      </c>
      <c r="O32" s="69" t="n">
        <f aca="false">Funding!N37</f>
        <v>225.11388956</v>
      </c>
      <c r="P32" s="69" t="n">
        <f aca="false">Funding!O37</f>
        <v>225.11388956</v>
      </c>
      <c r="Q32" s="69" t="n">
        <f aca="false">Funding!P37</f>
        <v>225.11388956</v>
      </c>
      <c r="R32" s="69" t="n">
        <f aca="false">Funding!Q37</f>
        <v>225.11388956</v>
      </c>
      <c r="S32" s="69" t="n">
        <f aca="false">Funding!R37</f>
        <v>225.11388956</v>
      </c>
      <c r="T32" s="69" t="n">
        <f aca="false">Funding!S37</f>
        <v>225.11388956</v>
      </c>
      <c r="U32" s="69" t="n">
        <f aca="false">Funding!T37</f>
        <v>225.11388956</v>
      </c>
      <c r="V32" s="69" t="n">
        <f aca="false">Funding!U37</f>
        <v>180.08868956</v>
      </c>
      <c r="W32" s="69" t="n">
        <f aca="false">Funding!V37</f>
        <v>180.08868956</v>
      </c>
      <c r="X32" s="69" t="n">
        <f aca="false">Funding!W37</f>
        <v>180.08868956</v>
      </c>
      <c r="Y32" s="69" t="n">
        <f aca="false">Funding!X37</f>
        <v>180.08868956</v>
      </c>
      <c r="Z32" s="69" t="n">
        <f aca="false">Funding!Y37</f>
        <v>180.08868956</v>
      </c>
      <c r="AA32" s="69" t="n">
        <f aca="false">Funding!Z37</f>
        <v>180.08868956</v>
      </c>
      <c r="AB32" s="69" t="n">
        <f aca="false">Funding!AA37</f>
        <v>180.08868956</v>
      </c>
      <c r="AC32" s="69" t="n">
        <f aca="false">Funding!AB37</f>
        <v>180.08868956</v>
      </c>
      <c r="AD32" s="69" t="n">
        <f aca="false">Funding!AC37</f>
        <v>180.08868956</v>
      </c>
      <c r="AE32" s="69" t="n">
        <f aca="false">Funding!AD37</f>
        <v>180.08868956</v>
      </c>
      <c r="AF32" s="69" t="n">
        <f aca="false">Funding!AE37</f>
        <v>180.08868956</v>
      </c>
      <c r="AG32" s="69" t="n">
        <f aca="false">Funding!AF37</f>
        <v>180.08868956</v>
      </c>
      <c r="AH32" s="69" t="n">
        <f aca="false">Funding!AG37</f>
        <v>135.06348956</v>
      </c>
      <c r="AI32" s="69" t="n">
        <f aca="false">Funding!AH37</f>
        <v>135.06348956</v>
      </c>
      <c r="AJ32" s="69" t="n">
        <f aca="false">Funding!AI37</f>
        <v>135.06348956</v>
      </c>
      <c r="AK32" s="69" t="n">
        <f aca="false">Funding!AJ37</f>
        <v>135.06348956</v>
      </c>
      <c r="AL32" s="69" t="n">
        <f aca="false">Funding!AK37</f>
        <v>135.06348956</v>
      </c>
      <c r="AM32" s="69" t="n">
        <f aca="false">Funding!AL37</f>
        <v>135.06348956</v>
      </c>
    </row>
    <row r="33" customFormat="false" ht="21" hidden="false" customHeight="true" outlineLevel="0" collapsed="false">
      <c r="C33" s="56" t="s">
        <v>381</v>
      </c>
      <c r="D33" s="69"/>
      <c r="E33" s="69"/>
      <c r="F33" s="69"/>
      <c r="G33" s="69"/>
      <c r="H33" s="69"/>
      <c r="I33" s="69"/>
      <c r="J33" s="69" t="n">
        <f aca="false">Inputs!J43</f>
        <v>0</v>
      </c>
      <c r="K33" s="69" t="n">
        <f aca="false">Inputs!K43</f>
        <v>0</v>
      </c>
      <c r="L33" s="69" t="n">
        <f aca="false">Inputs!L43</f>
        <v>0</v>
      </c>
      <c r="M33" s="69" t="n">
        <f aca="false">Inputs!M43</f>
        <v>0</v>
      </c>
      <c r="N33" s="69" t="n">
        <f aca="false">Inputs!N43</f>
        <v>0</v>
      </c>
      <c r="O33" s="69" t="n">
        <f aca="false">Inputs!O43</f>
        <v>0</v>
      </c>
      <c r="P33" s="69" t="n">
        <f aca="false">Inputs!P43</f>
        <v>0</v>
      </c>
      <c r="Q33" s="69" t="n">
        <f aca="false">Inputs!Q43</f>
        <v>0</v>
      </c>
      <c r="R33" s="69" t="n">
        <f aca="false">Inputs!R43</f>
        <v>0</v>
      </c>
      <c r="S33" s="69" t="n">
        <f aca="false">Inputs!S43</f>
        <v>0</v>
      </c>
      <c r="T33" s="69" t="n">
        <f aca="false">Inputs!T43</f>
        <v>0</v>
      </c>
      <c r="U33" s="69" t="n">
        <f aca="false">Inputs!U43</f>
        <v>0</v>
      </c>
      <c r="V33" s="69" t="n">
        <f aca="false">Inputs!V43</f>
        <v>0</v>
      </c>
      <c r="W33" s="69" t="n">
        <f aca="false">Inputs!W43</f>
        <v>0</v>
      </c>
      <c r="X33" s="69" t="n">
        <f aca="false">Inputs!X43</f>
        <v>0</v>
      </c>
      <c r="Y33" s="69" t="n">
        <f aca="false">Inputs!Y43</f>
        <v>0</v>
      </c>
      <c r="Z33" s="69" t="n">
        <f aca="false">Inputs!Z43</f>
        <v>0</v>
      </c>
      <c r="AA33" s="69" t="n">
        <f aca="false">Inputs!AA43</f>
        <v>0</v>
      </c>
      <c r="AB33" s="69" t="n">
        <f aca="false">Inputs!AB43</f>
        <v>0</v>
      </c>
      <c r="AC33" s="69" t="n">
        <f aca="false">Inputs!AC43</f>
        <v>0</v>
      </c>
      <c r="AD33" s="69" t="n">
        <f aca="false">Inputs!AD43</f>
        <v>0</v>
      </c>
      <c r="AE33" s="69" t="n">
        <f aca="false">Inputs!AE43</f>
        <v>0</v>
      </c>
      <c r="AF33" s="69" t="n">
        <f aca="false">Inputs!AF43</f>
        <v>0</v>
      </c>
      <c r="AG33" s="69" t="n">
        <f aca="false">Inputs!AG43</f>
        <v>0</v>
      </c>
      <c r="AH33" s="69" t="n">
        <f aca="false">Inputs!AH43</f>
        <v>0</v>
      </c>
      <c r="AI33" s="69" t="n">
        <f aca="false">Inputs!AI43</f>
        <v>0</v>
      </c>
      <c r="AJ33" s="69" t="n">
        <f aca="false">Inputs!AJ43</f>
        <v>0</v>
      </c>
      <c r="AK33" s="69" t="n">
        <f aca="false">Inputs!AK43</f>
        <v>0</v>
      </c>
      <c r="AL33" s="69" t="n">
        <f aca="false">Inputs!AL43</f>
        <v>0</v>
      </c>
      <c r="AM33" s="69" t="n">
        <f aca="false">Inputs!AM43</f>
        <v>0</v>
      </c>
    </row>
    <row r="34" customFormat="false" ht="21" hidden="false" customHeight="true" outlineLevel="0" collapsed="false">
      <c r="C34" s="56" t="s">
        <v>382</v>
      </c>
      <c r="D34" s="69"/>
      <c r="E34" s="69"/>
      <c r="F34" s="69"/>
      <c r="G34" s="69"/>
      <c r="H34" s="69"/>
      <c r="I34" s="69"/>
      <c r="J34" s="69" t="n">
        <f aca="false">MIN(MAX(0,J33),MAX(0,Inputs!J38-J12-J23))</f>
        <v>0</v>
      </c>
      <c r="K34" s="69" t="n">
        <f aca="false">MIN(MAX(0,K33),MAX(0,Inputs!K38-K12-K23))</f>
        <v>0</v>
      </c>
      <c r="L34" s="69" t="n">
        <f aca="false">MIN(MAX(0,L33),MAX(0,Inputs!L38-L12-L23))</f>
        <v>0</v>
      </c>
      <c r="M34" s="69" t="n">
        <f aca="false">MIN(MAX(0,M33),MAX(0,Inputs!M38-M12-M23))</f>
        <v>0</v>
      </c>
      <c r="N34" s="69" t="n">
        <f aca="false">MIN(MAX(0,N33),MAX(0,Inputs!N38-N12-N23))</f>
        <v>0</v>
      </c>
      <c r="O34" s="69" t="n">
        <f aca="false">MIN(MAX(0,O33),MAX(0,Inputs!O38-O12-O23))</f>
        <v>0</v>
      </c>
      <c r="P34" s="69" t="n">
        <f aca="false">MIN(MAX(0,P33),MAX(0,Inputs!P38-P12-P23))</f>
        <v>0</v>
      </c>
      <c r="Q34" s="69" t="n">
        <f aca="false">MIN(MAX(0,Q33),MAX(0,Inputs!Q38-Q12-Q23))</f>
        <v>0</v>
      </c>
      <c r="R34" s="69" t="n">
        <f aca="false">MIN(MAX(0,R33),MAX(0,Inputs!R38-R12-R23))</f>
        <v>0</v>
      </c>
      <c r="S34" s="69" t="n">
        <f aca="false">MIN(MAX(0,S33),MAX(0,Inputs!S38-S12-S23))</f>
        <v>0</v>
      </c>
      <c r="T34" s="69" t="n">
        <f aca="false">MIN(MAX(0,T33),MAX(0,Inputs!T38-T12-T23))</f>
        <v>0</v>
      </c>
      <c r="U34" s="69" t="n">
        <f aca="false">MIN(MAX(0,U33),MAX(0,Inputs!U38-U12-U23))</f>
        <v>0</v>
      </c>
      <c r="V34" s="69" t="n">
        <f aca="false">MIN(MAX(0,V33),MAX(0,Inputs!V38-V12-V23))</f>
        <v>0</v>
      </c>
      <c r="W34" s="69" t="n">
        <f aca="false">MIN(MAX(0,W33),MAX(0,Inputs!W38-W12-W23))</f>
        <v>0</v>
      </c>
      <c r="X34" s="69" t="n">
        <f aca="false">MIN(MAX(0,X33),MAX(0,Inputs!X38-X12-X23))</f>
        <v>0</v>
      </c>
      <c r="Y34" s="69" t="n">
        <f aca="false">MIN(MAX(0,Y33),MAX(0,Inputs!Y38-Y12-Y23))</f>
        <v>0</v>
      </c>
      <c r="Z34" s="69" t="n">
        <f aca="false">MIN(MAX(0,Z33),MAX(0,Inputs!Z38-Z12-Z23))</f>
        <v>0</v>
      </c>
      <c r="AA34" s="69" t="n">
        <f aca="false">MIN(MAX(0,AA33),MAX(0,Inputs!AA38-AA12-AA23))</f>
        <v>0</v>
      </c>
      <c r="AB34" s="69" t="n">
        <f aca="false">MIN(MAX(0,AB33),MAX(0,Inputs!AB38-AB12-AB23))</f>
        <v>0</v>
      </c>
      <c r="AC34" s="69" t="n">
        <f aca="false">MIN(MAX(0,AC33),MAX(0,Inputs!AC38-AC12-AC23))</f>
        <v>0</v>
      </c>
      <c r="AD34" s="69" t="n">
        <f aca="false">MIN(MAX(0,AD33),MAX(0,Inputs!AD38-AD12-AD23))</f>
        <v>0</v>
      </c>
      <c r="AE34" s="69" t="n">
        <f aca="false">MIN(MAX(0,AE33),MAX(0,Inputs!AE38-AE12-AE23))</f>
        <v>0</v>
      </c>
      <c r="AF34" s="69" t="n">
        <f aca="false">MIN(MAX(0,AF33),MAX(0,Inputs!AF38-AF12-AF23))</f>
        <v>0</v>
      </c>
      <c r="AG34" s="69" t="n">
        <f aca="false">MIN(MAX(0,AG33),MAX(0,Inputs!AG38-AG12-AG23))</f>
        <v>0</v>
      </c>
      <c r="AH34" s="69" t="n">
        <f aca="false">MIN(MAX(0,AH33),MAX(0,Inputs!AH38-AH12-AH23))</f>
        <v>0</v>
      </c>
      <c r="AI34" s="69" t="n">
        <f aca="false">MIN(MAX(0,AI33),MAX(0,Inputs!AI38-AI12-AI23))</f>
        <v>0</v>
      </c>
      <c r="AJ34" s="69" t="n">
        <f aca="false">MIN(MAX(0,AJ33),MAX(0,Inputs!AJ38-AJ12-AJ23))</f>
        <v>0</v>
      </c>
      <c r="AK34" s="69" t="n">
        <f aca="false">MIN(MAX(0,AK33),MAX(0,Inputs!AK38-AK12-AK23))</f>
        <v>0</v>
      </c>
      <c r="AL34" s="69" t="n">
        <f aca="false">MIN(MAX(0,AL33),MAX(0,Inputs!AL38-AL12-AL23))</f>
        <v>0</v>
      </c>
      <c r="AM34" s="69" t="n">
        <f aca="false">MIN(MAX(0,AM33),MAX(0,Inputs!AM38-AM12-AM23))</f>
        <v>0</v>
      </c>
    </row>
    <row r="35" customFormat="false" ht="21" hidden="false" customHeight="true" outlineLevel="0" collapsed="false">
      <c r="C35" s="56" t="s">
        <v>383</v>
      </c>
      <c r="D35" s="69"/>
      <c r="E35" s="69"/>
      <c r="F35" s="69"/>
      <c r="G35" s="69"/>
      <c r="H35" s="69"/>
      <c r="I35" s="69"/>
      <c r="J35" s="69" t="n">
        <f aca="false">Inputs!J46</f>
        <v>0</v>
      </c>
      <c r="K35" s="69" t="n">
        <f aca="false">Inputs!K46</f>
        <v>0</v>
      </c>
      <c r="L35" s="69" t="n">
        <f aca="false">Inputs!L46</f>
        <v>0</v>
      </c>
      <c r="M35" s="69" t="n">
        <f aca="false">Inputs!M46</f>
        <v>0</v>
      </c>
      <c r="N35" s="69" t="n">
        <f aca="false">Inputs!N46</f>
        <v>0</v>
      </c>
      <c r="O35" s="69" t="n">
        <f aca="false">Inputs!O46</f>
        <v>0</v>
      </c>
      <c r="P35" s="69" t="n">
        <f aca="false">Inputs!P46</f>
        <v>0</v>
      </c>
      <c r="Q35" s="69" t="n">
        <f aca="false">Inputs!Q46</f>
        <v>0</v>
      </c>
      <c r="R35" s="69" t="n">
        <f aca="false">Inputs!R46</f>
        <v>0</v>
      </c>
      <c r="S35" s="69" t="n">
        <f aca="false">Inputs!S46</f>
        <v>0</v>
      </c>
      <c r="T35" s="69" t="n">
        <f aca="false">Inputs!T46</f>
        <v>0</v>
      </c>
      <c r="U35" s="69" t="n">
        <f aca="false">Inputs!U46</f>
        <v>45.0252</v>
      </c>
      <c r="V35" s="69" t="n">
        <f aca="false">Inputs!V46</f>
        <v>0</v>
      </c>
      <c r="W35" s="69" t="n">
        <f aca="false">Inputs!W46</f>
        <v>0</v>
      </c>
      <c r="X35" s="69" t="n">
        <f aca="false">Inputs!X46</f>
        <v>0</v>
      </c>
      <c r="Y35" s="69" t="n">
        <f aca="false">Inputs!Y46</f>
        <v>0</v>
      </c>
      <c r="Z35" s="69" t="n">
        <f aca="false">Inputs!Z46</f>
        <v>0</v>
      </c>
      <c r="AA35" s="69" t="n">
        <f aca="false">Inputs!AA46</f>
        <v>0</v>
      </c>
      <c r="AB35" s="69" t="n">
        <f aca="false">Inputs!AB46</f>
        <v>0</v>
      </c>
      <c r="AC35" s="69" t="n">
        <f aca="false">Inputs!AC46</f>
        <v>0</v>
      </c>
      <c r="AD35" s="69" t="n">
        <f aca="false">Inputs!AD46</f>
        <v>0</v>
      </c>
      <c r="AE35" s="69" t="n">
        <f aca="false">Inputs!AE46</f>
        <v>0</v>
      </c>
      <c r="AF35" s="69" t="n">
        <f aca="false">Inputs!AF46</f>
        <v>0</v>
      </c>
      <c r="AG35" s="69" t="n">
        <f aca="false">Inputs!AG46</f>
        <v>45.0252</v>
      </c>
      <c r="AH35" s="69" t="n">
        <f aca="false">Inputs!AH46</f>
        <v>0</v>
      </c>
      <c r="AI35" s="69" t="n">
        <f aca="false">Inputs!AI46</f>
        <v>0</v>
      </c>
      <c r="AJ35" s="69" t="n">
        <f aca="false">Inputs!AJ46</f>
        <v>0</v>
      </c>
      <c r="AK35" s="69" t="n">
        <f aca="false">Inputs!AK46</f>
        <v>0</v>
      </c>
      <c r="AL35" s="69" t="n">
        <f aca="false">Inputs!AL46</f>
        <v>0</v>
      </c>
      <c r="AM35" s="69" t="n">
        <f aca="false">Inputs!AM46</f>
        <v>0</v>
      </c>
    </row>
    <row r="36" customFormat="false" ht="21" hidden="false" customHeight="true" outlineLevel="0" collapsed="false">
      <c r="C36" s="56" t="s">
        <v>384</v>
      </c>
      <c r="D36" s="71"/>
      <c r="E36" s="71"/>
      <c r="F36" s="71"/>
      <c r="G36" s="71"/>
      <c r="H36" s="71"/>
      <c r="I36" s="71"/>
      <c r="J36" s="71" t="n">
        <f aca="false">MIN(MAX(0,J35),MAX(0,J32+J34),MAX(0,J73-J14-J25))</f>
        <v>0</v>
      </c>
      <c r="K36" s="71" t="n">
        <f aca="false">MIN(MAX(0,K35),MAX(0,K32+K34),MAX(0,K73-K14-K25))</f>
        <v>0</v>
      </c>
      <c r="L36" s="71" t="n">
        <f aca="false">MIN(MAX(0,L35),MAX(0,L32+L34),MAX(0,L73-L14-L25))</f>
        <v>0</v>
      </c>
      <c r="M36" s="71" t="n">
        <f aca="false">MIN(MAX(0,M35),MAX(0,M32+M34),MAX(0,M73-M14-M25))</f>
        <v>0</v>
      </c>
      <c r="N36" s="71" t="n">
        <f aca="false">MIN(MAX(0,N35),MAX(0,N32+N34),MAX(0,N73-N14-N25))</f>
        <v>0</v>
      </c>
      <c r="O36" s="71" t="n">
        <f aca="false">MIN(MAX(0,O35),MAX(0,O32+O34),MAX(0,O73-O14-O25))</f>
        <v>0</v>
      </c>
      <c r="P36" s="71" t="n">
        <f aca="false">MIN(MAX(0,P35),MAX(0,P32+P34),MAX(0,P73-P14-P25))</f>
        <v>0</v>
      </c>
      <c r="Q36" s="71" t="n">
        <f aca="false">MIN(MAX(0,Q35),MAX(0,Q32+Q34),MAX(0,Q73-Q14-Q25))</f>
        <v>0</v>
      </c>
      <c r="R36" s="71" t="n">
        <f aca="false">MIN(MAX(0,R35),MAX(0,R32+R34),MAX(0,R73-R14-R25))</f>
        <v>0</v>
      </c>
      <c r="S36" s="71" t="n">
        <f aca="false">MIN(MAX(0,S35),MAX(0,S32+S34),MAX(0,S73-S14-S25))</f>
        <v>0</v>
      </c>
      <c r="T36" s="71" t="n">
        <f aca="false">MIN(MAX(0,T35),MAX(0,T32+T34),MAX(0,T73-T14-T25))</f>
        <v>0</v>
      </c>
      <c r="U36" s="71" t="n">
        <f aca="false">MIN(MAX(0,U35),MAX(0,U32+U34),MAX(0,U73-U14-U25))</f>
        <v>45.0252</v>
      </c>
      <c r="V36" s="71" t="n">
        <f aca="false">MIN(MAX(0,V35),MAX(0,V32+V34),MAX(0,V73-V14-V25))</f>
        <v>0</v>
      </c>
      <c r="W36" s="71" t="n">
        <f aca="false">MIN(MAX(0,W35),MAX(0,W32+W34),MAX(0,W73-W14-W25))</f>
        <v>0</v>
      </c>
      <c r="X36" s="71" t="n">
        <f aca="false">MIN(MAX(0,X35),MAX(0,X32+X34),MAX(0,X73-X14-X25))</f>
        <v>0</v>
      </c>
      <c r="Y36" s="71" t="n">
        <f aca="false">MIN(MAX(0,Y35),MAX(0,Y32+Y34),MAX(0,Y73-Y14-Y25))</f>
        <v>0</v>
      </c>
      <c r="Z36" s="71" t="n">
        <f aca="false">MIN(MAX(0,Z35),MAX(0,Z32+Z34),MAX(0,Z73-Z14-Z25))</f>
        <v>0</v>
      </c>
      <c r="AA36" s="71" t="n">
        <f aca="false">MIN(MAX(0,AA35),MAX(0,AA32+AA34),MAX(0,AA73-AA14-AA25))</f>
        <v>0</v>
      </c>
      <c r="AB36" s="71" t="n">
        <f aca="false">MIN(MAX(0,AB35),MAX(0,AB32+AB34),MAX(0,AB73-AB14-AB25))</f>
        <v>0</v>
      </c>
      <c r="AC36" s="71" t="n">
        <f aca="false">MIN(MAX(0,AC35),MAX(0,AC32+AC34),MAX(0,AC73-AC14-AC25))</f>
        <v>0</v>
      </c>
      <c r="AD36" s="71" t="n">
        <f aca="false">MIN(MAX(0,AD35),MAX(0,AD32+AD34),MAX(0,AD73-AD14-AD25))</f>
        <v>0</v>
      </c>
      <c r="AE36" s="71" t="n">
        <f aca="false">MIN(MAX(0,AE35),MAX(0,AE32+AE34),MAX(0,AE73-AE14-AE25))</f>
        <v>0</v>
      </c>
      <c r="AF36" s="71" t="n">
        <f aca="false">MIN(MAX(0,AF35),MAX(0,AF32+AF34),MAX(0,AF73-AF14-AF25))</f>
        <v>0</v>
      </c>
      <c r="AG36" s="71" t="n">
        <f aca="false">MIN(MAX(0,AG35),MAX(0,AG32+AG34),MAX(0,AG73-AG14-AG25))</f>
        <v>45.0252</v>
      </c>
      <c r="AH36" s="71" t="n">
        <f aca="false">MIN(MAX(0,AH35),MAX(0,AH32+AH34),MAX(0,AH73-AH14-AH25))</f>
        <v>0</v>
      </c>
      <c r="AI36" s="71" t="n">
        <f aca="false">MIN(MAX(0,AI35),MAX(0,AI32+AI34),MAX(0,AI73-AI14-AI25))</f>
        <v>0</v>
      </c>
      <c r="AJ36" s="71" t="n">
        <f aca="false">MIN(MAX(0,AJ35),MAX(0,AJ32+AJ34),MAX(0,AJ73-AJ14-AJ25))</f>
        <v>0</v>
      </c>
      <c r="AK36" s="71" t="n">
        <f aca="false">MIN(MAX(0,AK35),MAX(0,AK32+AK34),MAX(0,AK73-AK14-AK25))</f>
        <v>0</v>
      </c>
      <c r="AL36" s="71" t="n">
        <f aca="false">MIN(MAX(0,AL35),MAX(0,AL32+AL34),MAX(0,AL73-AL14-AL25))</f>
        <v>0</v>
      </c>
      <c r="AM36" s="71" t="n">
        <f aca="false">MIN(MAX(0,AM35),MAX(0,AM32+AM34),MAX(0,AM73-AM14-AM25))</f>
        <v>0</v>
      </c>
    </row>
    <row r="37" customFormat="false" ht="21" hidden="false" customHeight="true" outlineLevel="0" collapsed="false">
      <c r="C37" s="56" t="s">
        <v>385</v>
      </c>
      <c r="D37" s="71"/>
      <c r="E37" s="71"/>
      <c r="F37" s="71"/>
      <c r="G37" s="71"/>
      <c r="H37" s="71"/>
      <c r="I37" s="71"/>
      <c r="J37" s="71" t="n">
        <f aca="false">J32+J34-J36</f>
        <v>225.11388956</v>
      </c>
      <c r="K37" s="71" t="n">
        <f aca="false">K32+K34-K36</f>
        <v>225.11388956</v>
      </c>
      <c r="L37" s="71" t="n">
        <f aca="false">L32+L34-L36</f>
        <v>225.11388956</v>
      </c>
      <c r="M37" s="71" t="n">
        <f aca="false">M32+M34-M36</f>
        <v>225.11388956</v>
      </c>
      <c r="N37" s="71" t="n">
        <f aca="false">N32+N34-N36</f>
        <v>225.11388956</v>
      </c>
      <c r="O37" s="71" t="n">
        <f aca="false">O32+O34-O36</f>
        <v>225.11388956</v>
      </c>
      <c r="P37" s="71" t="n">
        <f aca="false">P32+P34-P36</f>
        <v>225.11388956</v>
      </c>
      <c r="Q37" s="71" t="n">
        <f aca="false">Q32+Q34-Q36</f>
        <v>225.11388956</v>
      </c>
      <c r="R37" s="71" t="n">
        <f aca="false">R32+R34-R36</f>
        <v>225.11388956</v>
      </c>
      <c r="S37" s="71" t="n">
        <f aca="false">S32+S34-S36</f>
        <v>225.11388956</v>
      </c>
      <c r="T37" s="71" t="n">
        <f aca="false">T32+T34-T36</f>
        <v>225.11388956</v>
      </c>
      <c r="U37" s="71" t="n">
        <f aca="false">U32+U34-U36</f>
        <v>180.08868956</v>
      </c>
      <c r="V37" s="71" t="n">
        <f aca="false">V32+V34-V36</f>
        <v>180.08868956</v>
      </c>
      <c r="W37" s="71" t="n">
        <f aca="false">W32+W34-W36</f>
        <v>180.08868956</v>
      </c>
      <c r="X37" s="71" t="n">
        <f aca="false">X32+X34-X36</f>
        <v>180.08868956</v>
      </c>
      <c r="Y37" s="71" t="n">
        <f aca="false">Y32+Y34-Y36</f>
        <v>180.08868956</v>
      </c>
      <c r="Z37" s="71" t="n">
        <f aca="false">Z32+Z34-Z36</f>
        <v>180.08868956</v>
      </c>
      <c r="AA37" s="71" t="n">
        <f aca="false">AA32+AA34-AA36</f>
        <v>180.08868956</v>
      </c>
      <c r="AB37" s="71" t="n">
        <f aca="false">AB32+AB34-AB36</f>
        <v>180.08868956</v>
      </c>
      <c r="AC37" s="71" t="n">
        <f aca="false">AC32+AC34-AC36</f>
        <v>180.08868956</v>
      </c>
      <c r="AD37" s="71" t="n">
        <f aca="false">AD32+AD34-AD36</f>
        <v>180.08868956</v>
      </c>
      <c r="AE37" s="71" t="n">
        <f aca="false">AE32+AE34-AE36</f>
        <v>180.08868956</v>
      </c>
      <c r="AF37" s="71" t="n">
        <f aca="false">AF32+AF34-AF36</f>
        <v>180.08868956</v>
      </c>
      <c r="AG37" s="71" t="n">
        <f aca="false">AG32+AG34-AG36</f>
        <v>135.06348956</v>
      </c>
      <c r="AH37" s="71" t="n">
        <f aca="false">AH32+AH34-AH36</f>
        <v>135.06348956</v>
      </c>
      <c r="AI37" s="71" t="n">
        <f aca="false">AI32+AI34-AI36</f>
        <v>135.06348956</v>
      </c>
      <c r="AJ37" s="71" t="n">
        <f aca="false">AJ32+AJ34-AJ36</f>
        <v>135.06348956</v>
      </c>
      <c r="AK37" s="71" t="n">
        <f aca="false">AK32+AK34-AK36</f>
        <v>135.06348956</v>
      </c>
      <c r="AL37" s="71" t="n">
        <f aca="false">AL32+AL34-AL36</f>
        <v>135.06348956</v>
      </c>
      <c r="AM37" s="71" t="n">
        <f aca="false">AM32+AM34-AM36</f>
        <v>135.06348956</v>
      </c>
    </row>
    <row r="38" customFormat="false" ht="21" hidden="false" customHeight="true" outlineLevel="0" collapsed="false">
      <c r="C38" s="56" t="s">
        <v>386</v>
      </c>
      <c r="D38" s="69"/>
      <c r="E38" s="69"/>
      <c r="F38" s="69"/>
      <c r="G38" s="69"/>
      <c r="H38" s="69"/>
      <c r="I38" s="69"/>
      <c r="J38" s="69" t="n">
        <f aca="false">J32*MAX(0,Inputs!J49)*DAY(J$7)/(DATE(YEAR(J$7)+1,1,1)-DATE(YEAR(J$7),1,1))</f>
        <v>0.98546347828428</v>
      </c>
      <c r="K38" s="69" t="n">
        <f aca="false">K32*MAX(0,Inputs!K49)*DAY(K$7)/(DATE(YEAR(K$7)+1,1,1)-DATE(YEAR(K$7),1,1))</f>
        <v>0.98546347828428</v>
      </c>
      <c r="L38" s="69" t="n">
        <f aca="false">L32*MAX(0,Inputs!L49)*DAY(L$7)/(DATE(YEAR(L$7)+1,1,1)-DATE(YEAR(L$7),1,1))</f>
        <v>0.953674333823497</v>
      </c>
      <c r="M38" s="69" t="n">
        <f aca="false">M32*MAX(0,Inputs!M49)*DAY(M$7)/(DATE(YEAR(M$7)+1,1,1)-DATE(YEAR(M$7),1,1))</f>
        <v>0.98546347828428</v>
      </c>
      <c r="N38" s="69" t="n">
        <f aca="false">N32*MAX(0,Inputs!N49)*DAY(N$7)/(DATE(YEAR(N$7)+1,1,1)-DATE(YEAR(N$7),1,1))</f>
        <v>0.953674333823497</v>
      </c>
      <c r="O38" s="69" t="n">
        <f aca="false">O32*MAX(0,Inputs!O49)*DAY(O$7)/(DATE(YEAR(O$7)+1,1,1)-DATE(YEAR(O$7),1,1))</f>
        <v>0.98546347828428</v>
      </c>
      <c r="P38" s="69" t="n">
        <f aca="false">P32*MAX(0,Inputs!P49)*DAY(P$7)/(DATE(YEAR(P$7)+1,1,1)-DATE(YEAR(P$7),1,1))</f>
        <v>0.98546347828428</v>
      </c>
      <c r="Q38" s="69" t="n">
        <f aca="false">Q32*MAX(0,Inputs!Q49)*DAY(Q$7)/(DATE(YEAR(Q$7)+1,1,1)-DATE(YEAR(Q$7),1,1))</f>
        <v>0.890096044901931</v>
      </c>
      <c r="R38" s="69" t="n">
        <f aca="false">R32*MAX(0,Inputs!R49)*DAY(R$7)/(DATE(YEAR(R$7)+1,1,1)-DATE(YEAR(R$7),1,1))</f>
        <v>0.98546347828428</v>
      </c>
      <c r="S38" s="69" t="n">
        <f aca="false">S32*MAX(0,Inputs!S49)*DAY(S$7)/(DATE(YEAR(S$7)+1,1,1)-DATE(YEAR(S$7),1,1))</f>
        <v>0.953674333823497</v>
      </c>
      <c r="T38" s="69" t="n">
        <f aca="false">T32*MAX(0,Inputs!T49)*DAY(T$7)/(DATE(YEAR(T$7)+1,1,1)-DATE(YEAR(T$7),1,1))</f>
        <v>0.98546347828428</v>
      </c>
      <c r="U38" s="69" t="n">
        <f aca="false">U32*MAX(0,Inputs!U49)*DAY(U$7)/(DATE(YEAR(U$7)+1,1,1)-DATE(YEAR(U$7),1,1))</f>
        <v>0.953674333823497</v>
      </c>
      <c r="V38" s="69" t="n">
        <f aca="false">V32*MAX(0,Inputs!V49)*DAY(V$7)/(DATE(YEAR(V$7)+1,1,1)-DATE(YEAR(V$7),1,1))</f>
        <v>0.788360179642109</v>
      </c>
      <c r="W38" s="69" t="n">
        <f aca="false">W32*MAX(0,Inputs!W49)*DAY(W$7)/(DATE(YEAR(W$7)+1,1,1)-DATE(YEAR(W$7),1,1))</f>
        <v>0.788360179642109</v>
      </c>
      <c r="X38" s="69" t="n">
        <f aca="false">X32*MAX(0,Inputs!X49)*DAY(X$7)/(DATE(YEAR(X$7)+1,1,1)-DATE(YEAR(X$7),1,1))</f>
        <v>0.762929206105267</v>
      </c>
      <c r="Y38" s="69" t="n">
        <f aca="false">Y32*MAX(0,Inputs!Y49)*DAY(Y$7)/(DATE(YEAR(Y$7)+1,1,1)-DATE(YEAR(Y$7),1,1))</f>
        <v>0.788360179642109</v>
      </c>
      <c r="Z38" s="69" t="n">
        <f aca="false">Z32*MAX(0,Inputs!Z49)*DAY(Z$7)/(DATE(YEAR(Z$7)+1,1,1)-DATE(YEAR(Z$7),1,1))</f>
        <v>0.762929206105267</v>
      </c>
      <c r="AA38" s="69" t="n">
        <f aca="false">AA32*MAX(0,Inputs!AA49)*DAY(AA$7)/(DATE(YEAR(AA$7)+1,1,1)-DATE(YEAR(AA$7),1,1))</f>
        <v>0.788360179642109</v>
      </c>
      <c r="AB38" s="69" t="n">
        <f aca="false">AB32*MAX(0,Inputs!AB49)*DAY(AB$7)/(DATE(YEAR(AB$7)+1,1,1)-DATE(YEAR(AB$7),1,1))</f>
        <v>0.786206190080245</v>
      </c>
      <c r="AC38" s="69" t="n">
        <f aca="false">AC32*MAX(0,Inputs!AC49)*DAY(AC$7)/(DATE(YEAR(AC$7)+1,1,1)-DATE(YEAR(AC$7),1,1))</f>
        <v>0.735483210075068</v>
      </c>
      <c r="AD38" s="69" t="n">
        <f aca="false">AD32*MAX(0,Inputs!AD49)*DAY(AD$7)/(DATE(YEAR(AD$7)+1,1,1)-DATE(YEAR(AD$7),1,1))</f>
        <v>0.786206190080245</v>
      </c>
      <c r="AE38" s="69" t="n">
        <f aca="false">AE32*MAX(0,Inputs!AE49)*DAY(AE$7)/(DATE(YEAR(AE$7)+1,1,1)-DATE(YEAR(AE$7),1,1))</f>
        <v>0.760844700077657</v>
      </c>
      <c r="AF38" s="69" t="n">
        <f aca="false">AF32*MAX(0,Inputs!AF49)*DAY(AF$7)/(DATE(YEAR(AF$7)+1,1,1)-DATE(YEAR(AF$7),1,1))</f>
        <v>0.786206190080245</v>
      </c>
      <c r="AG38" s="69" t="n">
        <f aca="false">AG32*MAX(0,Inputs!AG49)*DAY(AG$7)/(DATE(YEAR(AG$7)+1,1,1)-DATE(YEAR(AG$7),1,1))</f>
        <v>0.760844700077657</v>
      </c>
      <c r="AH38" s="69" t="n">
        <f aca="false">AH32*MAX(0,Inputs!AH49)*DAY(AH$7)/(DATE(YEAR(AH$7)+1,1,1)-DATE(YEAR(AH$7),1,1))</f>
        <v>0.589641425040922</v>
      </c>
      <c r="AI38" s="69" t="n">
        <f aca="false">AI32*MAX(0,Inputs!AI49)*DAY(AI$7)/(DATE(YEAR(AI$7)+1,1,1)-DATE(YEAR(AI$7),1,1))</f>
        <v>0.589641425040922</v>
      </c>
      <c r="AJ38" s="69" t="n">
        <f aca="false">AJ32*MAX(0,Inputs!AJ49)*DAY(AJ$7)/(DATE(YEAR(AJ$7)+1,1,1)-DATE(YEAR(AJ$7),1,1))</f>
        <v>0.57062073391057</v>
      </c>
      <c r="AK38" s="69" t="n">
        <f aca="false">AK32*MAX(0,Inputs!AK49)*DAY(AK$7)/(DATE(YEAR(AK$7)+1,1,1)-DATE(YEAR(AK$7),1,1))</f>
        <v>0.589641425040922</v>
      </c>
      <c r="AL38" s="69" t="n">
        <f aca="false">AL32*MAX(0,Inputs!AL49)*DAY(AL$7)/(DATE(YEAR(AL$7)+1,1,1)-DATE(YEAR(AL$7),1,1))</f>
        <v>0.57062073391057</v>
      </c>
      <c r="AM38" s="69" t="n">
        <f aca="false">AM32*MAX(0,Inputs!AM49)*DAY(AM$7)/(DATE(YEAR(AM$7)+1,1,1)-DATE(YEAR(AM$7),1,1))</f>
        <v>0.589641425040922</v>
      </c>
    </row>
    <row r="39" customFormat="false" ht="21" hidden="false" customHeight="true" outlineLevel="0" collapsed="false">
      <c r="C39" s="56" t="s">
        <v>387</v>
      </c>
      <c r="D39" s="71"/>
      <c r="E39" s="71"/>
      <c r="F39" s="71"/>
      <c r="G39" s="71"/>
      <c r="H39" s="71"/>
      <c r="I39" s="71"/>
      <c r="J39" s="71" t="n">
        <f aca="false">MAX(0,J33-J34)</f>
        <v>0</v>
      </c>
      <c r="K39" s="71" t="n">
        <f aca="false">MAX(0,K33-K34)</f>
        <v>0</v>
      </c>
      <c r="L39" s="71" t="n">
        <f aca="false">MAX(0,L33-L34)</f>
        <v>0</v>
      </c>
      <c r="M39" s="71" t="n">
        <f aca="false">MAX(0,M33-M34)</f>
        <v>0</v>
      </c>
      <c r="N39" s="71" t="n">
        <f aca="false">MAX(0,N33-N34)</f>
        <v>0</v>
      </c>
      <c r="O39" s="71" t="n">
        <f aca="false">MAX(0,O33-O34)</f>
        <v>0</v>
      </c>
      <c r="P39" s="71" t="n">
        <f aca="false">MAX(0,P33-P34)</f>
        <v>0</v>
      </c>
      <c r="Q39" s="71" t="n">
        <f aca="false">MAX(0,Q33-Q34)</f>
        <v>0</v>
      </c>
      <c r="R39" s="71" t="n">
        <f aca="false">MAX(0,R33-R34)</f>
        <v>0</v>
      </c>
      <c r="S39" s="71" t="n">
        <f aca="false">MAX(0,S33-S34)</f>
        <v>0</v>
      </c>
      <c r="T39" s="71" t="n">
        <f aca="false">MAX(0,T33-T34)</f>
        <v>0</v>
      </c>
      <c r="U39" s="71" t="n">
        <f aca="false">MAX(0,U33-U34)</f>
        <v>0</v>
      </c>
      <c r="V39" s="71" t="n">
        <f aca="false">MAX(0,V33-V34)</f>
        <v>0</v>
      </c>
      <c r="W39" s="71" t="n">
        <f aca="false">MAX(0,W33-W34)</f>
        <v>0</v>
      </c>
      <c r="X39" s="71" t="n">
        <f aca="false">MAX(0,X33-X34)</f>
        <v>0</v>
      </c>
      <c r="Y39" s="71" t="n">
        <f aca="false">MAX(0,Y33-Y34)</f>
        <v>0</v>
      </c>
      <c r="Z39" s="71" t="n">
        <f aca="false">MAX(0,Z33-Z34)</f>
        <v>0</v>
      </c>
      <c r="AA39" s="71" t="n">
        <f aca="false">MAX(0,AA33-AA34)</f>
        <v>0</v>
      </c>
      <c r="AB39" s="71" t="n">
        <f aca="false">MAX(0,AB33-AB34)</f>
        <v>0</v>
      </c>
      <c r="AC39" s="71" t="n">
        <f aca="false">MAX(0,AC33-AC34)</f>
        <v>0</v>
      </c>
      <c r="AD39" s="71" t="n">
        <f aca="false">MAX(0,AD33-AD34)</f>
        <v>0</v>
      </c>
      <c r="AE39" s="71" t="n">
        <f aca="false">MAX(0,AE33-AE34)</f>
        <v>0</v>
      </c>
      <c r="AF39" s="71" t="n">
        <f aca="false">MAX(0,AF33-AF34)</f>
        <v>0</v>
      </c>
      <c r="AG39" s="71" t="n">
        <f aca="false">MAX(0,AG33-AG34)</f>
        <v>0</v>
      </c>
      <c r="AH39" s="71" t="n">
        <f aca="false">MAX(0,AH33-AH34)</f>
        <v>0</v>
      </c>
      <c r="AI39" s="71" t="n">
        <f aca="false">MAX(0,AI33-AI34)</f>
        <v>0</v>
      </c>
      <c r="AJ39" s="71" t="n">
        <f aca="false">MAX(0,AJ33-AJ34)</f>
        <v>0</v>
      </c>
      <c r="AK39" s="71" t="n">
        <f aca="false">MAX(0,AK33-AK34)</f>
        <v>0</v>
      </c>
      <c r="AL39" s="71" t="n">
        <f aca="false">MAX(0,AL33-AL34)</f>
        <v>0</v>
      </c>
      <c r="AM39" s="71" t="n">
        <f aca="false">MAX(0,AM33-AM34)</f>
        <v>0</v>
      </c>
    </row>
    <row r="40" customFormat="false" ht="21" hidden="false" customHeight="true" outlineLevel="0" collapsed="false">
      <c r="C40" s="56" t="s">
        <v>388</v>
      </c>
      <c r="D40" s="71"/>
      <c r="E40" s="71"/>
      <c r="F40" s="71"/>
      <c r="G40" s="71"/>
      <c r="H40" s="71"/>
      <c r="I40" s="71"/>
      <c r="J40" s="71" t="n">
        <f aca="false">MAX(0,J35-J36)</f>
        <v>0</v>
      </c>
      <c r="K40" s="71" t="n">
        <f aca="false">MAX(0,K35-K36)</f>
        <v>0</v>
      </c>
      <c r="L40" s="71" t="n">
        <f aca="false">MAX(0,L35-L36)</f>
        <v>0</v>
      </c>
      <c r="M40" s="71" t="n">
        <f aca="false">MAX(0,M35-M36)</f>
        <v>0</v>
      </c>
      <c r="N40" s="71" t="n">
        <f aca="false">MAX(0,N35-N36)</f>
        <v>0</v>
      </c>
      <c r="O40" s="71" t="n">
        <f aca="false">MAX(0,O35-O36)</f>
        <v>0</v>
      </c>
      <c r="P40" s="71" t="n">
        <f aca="false">MAX(0,P35-P36)</f>
        <v>0</v>
      </c>
      <c r="Q40" s="71" t="n">
        <f aca="false">MAX(0,Q35-Q36)</f>
        <v>0</v>
      </c>
      <c r="R40" s="71" t="n">
        <f aca="false">MAX(0,R35-R36)</f>
        <v>0</v>
      </c>
      <c r="S40" s="71" t="n">
        <f aca="false">MAX(0,S35-S36)</f>
        <v>0</v>
      </c>
      <c r="T40" s="71" t="n">
        <f aca="false">MAX(0,T35-T36)</f>
        <v>0</v>
      </c>
      <c r="U40" s="71" t="n">
        <f aca="false">MAX(0,U35-U36)</f>
        <v>0</v>
      </c>
      <c r="V40" s="71" t="n">
        <f aca="false">MAX(0,V35-V36)</f>
        <v>0</v>
      </c>
      <c r="W40" s="71" t="n">
        <f aca="false">MAX(0,W35-W36)</f>
        <v>0</v>
      </c>
      <c r="X40" s="71" t="n">
        <f aca="false">MAX(0,X35-X36)</f>
        <v>0</v>
      </c>
      <c r="Y40" s="71" t="n">
        <f aca="false">MAX(0,Y35-Y36)</f>
        <v>0</v>
      </c>
      <c r="Z40" s="71" t="n">
        <f aca="false">MAX(0,Z35-Z36)</f>
        <v>0</v>
      </c>
      <c r="AA40" s="71" t="n">
        <f aca="false">MAX(0,AA35-AA36)</f>
        <v>0</v>
      </c>
      <c r="AB40" s="71" t="n">
        <f aca="false">MAX(0,AB35-AB36)</f>
        <v>0</v>
      </c>
      <c r="AC40" s="71" t="n">
        <f aca="false">MAX(0,AC35-AC36)</f>
        <v>0</v>
      </c>
      <c r="AD40" s="71" t="n">
        <f aca="false">MAX(0,AD35-AD36)</f>
        <v>0</v>
      </c>
      <c r="AE40" s="71" t="n">
        <f aca="false">MAX(0,AE35-AE36)</f>
        <v>0</v>
      </c>
      <c r="AF40" s="71" t="n">
        <f aca="false">MAX(0,AF35-AF36)</f>
        <v>0</v>
      </c>
      <c r="AG40" s="71" t="n">
        <f aca="false">MAX(0,AG35-AG36)</f>
        <v>0</v>
      </c>
      <c r="AH40" s="71" t="n">
        <f aca="false">MAX(0,AH35-AH36)</f>
        <v>0</v>
      </c>
      <c r="AI40" s="71" t="n">
        <f aca="false">MAX(0,AI35-AI36)</f>
        <v>0</v>
      </c>
      <c r="AJ40" s="71" t="n">
        <f aca="false">MAX(0,AJ35-AJ36)</f>
        <v>0</v>
      </c>
      <c r="AK40" s="71" t="n">
        <f aca="false">MAX(0,AK35-AK36)</f>
        <v>0</v>
      </c>
      <c r="AL40" s="71" t="n">
        <f aca="false">MAX(0,AL35-AL36)</f>
        <v>0</v>
      </c>
      <c r="AM40" s="71" t="n">
        <f aca="false">MAX(0,AM35-AM36)</f>
        <v>0</v>
      </c>
    </row>
    <row r="41" customFormat="false" ht="21" hidden="false" customHeight="true" outlineLevel="0" collapsed="false">
      <c r="C41" s="56" t="s">
        <v>389</v>
      </c>
      <c r="D41" s="71"/>
      <c r="E41" s="71"/>
      <c r="F41" s="71"/>
      <c r="G41" s="71"/>
      <c r="H41" s="71"/>
      <c r="I41" s="71"/>
      <c r="J41" s="71" t="n">
        <f aca="false">J32+J34-J36-J37</f>
        <v>0</v>
      </c>
      <c r="K41" s="71" t="n">
        <f aca="false">K32+K34-K36-K37</f>
        <v>0</v>
      </c>
      <c r="L41" s="71" t="n">
        <f aca="false">L32+L34-L36-L37</f>
        <v>0</v>
      </c>
      <c r="M41" s="71" t="n">
        <f aca="false">M32+M34-M36-M37</f>
        <v>0</v>
      </c>
      <c r="N41" s="71" t="n">
        <f aca="false">N32+N34-N36-N37</f>
        <v>0</v>
      </c>
      <c r="O41" s="71" t="n">
        <f aca="false">O32+O34-O36-O37</f>
        <v>0</v>
      </c>
      <c r="P41" s="71" t="n">
        <f aca="false">P32+P34-P36-P37</f>
        <v>0</v>
      </c>
      <c r="Q41" s="71" t="n">
        <f aca="false">Q32+Q34-Q36-Q37</f>
        <v>0</v>
      </c>
      <c r="R41" s="71" t="n">
        <f aca="false">R32+R34-R36-R37</f>
        <v>0</v>
      </c>
      <c r="S41" s="71" t="n">
        <f aca="false">S32+S34-S36-S37</f>
        <v>0</v>
      </c>
      <c r="T41" s="71" t="n">
        <f aca="false">T32+T34-T36-T37</f>
        <v>0</v>
      </c>
      <c r="U41" s="71" t="n">
        <f aca="false">U32+U34-U36-U37</f>
        <v>0</v>
      </c>
      <c r="V41" s="71" t="n">
        <f aca="false">V32+V34-V36-V37</f>
        <v>0</v>
      </c>
      <c r="W41" s="71" t="n">
        <f aca="false">W32+W34-W36-W37</f>
        <v>0</v>
      </c>
      <c r="X41" s="71" t="n">
        <f aca="false">X32+X34-X36-X37</f>
        <v>0</v>
      </c>
      <c r="Y41" s="71" t="n">
        <f aca="false">Y32+Y34-Y36-Y37</f>
        <v>0</v>
      </c>
      <c r="Z41" s="71" t="n">
        <f aca="false">Z32+Z34-Z36-Z37</f>
        <v>0</v>
      </c>
      <c r="AA41" s="71" t="n">
        <f aca="false">AA32+AA34-AA36-AA37</f>
        <v>0</v>
      </c>
      <c r="AB41" s="71" t="n">
        <f aca="false">AB32+AB34-AB36-AB37</f>
        <v>0</v>
      </c>
      <c r="AC41" s="71" t="n">
        <f aca="false">AC32+AC34-AC36-AC37</f>
        <v>0</v>
      </c>
      <c r="AD41" s="71" t="n">
        <f aca="false">AD32+AD34-AD36-AD37</f>
        <v>0</v>
      </c>
      <c r="AE41" s="71" t="n">
        <f aca="false">AE32+AE34-AE36-AE37</f>
        <v>0</v>
      </c>
      <c r="AF41" s="71" t="n">
        <f aca="false">AF32+AF34-AF36-AF37</f>
        <v>0</v>
      </c>
      <c r="AG41" s="71" t="n">
        <f aca="false">AG32+AG34-AG36-AG37</f>
        <v>0</v>
      </c>
      <c r="AH41" s="71" t="n">
        <f aca="false">AH32+AH34-AH36-AH37</f>
        <v>0</v>
      </c>
      <c r="AI41" s="71" t="n">
        <f aca="false">AI32+AI34-AI36-AI37</f>
        <v>0</v>
      </c>
      <c r="AJ41" s="71" t="n">
        <f aca="false">AJ32+AJ34-AJ36-AJ37</f>
        <v>0</v>
      </c>
      <c r="AK41" s="71" t="n">
        <f aca="false">AK32+AK34-AK36-AK37</f>
        <v>0</v>
      </c>
      <c r="AL41" s="71" t="n">
        <f aca="false">AL32+AL34-AL36-AL37</f>
        <v>0</v>
      </c>
      <c r="AM41" s="71" t="n">
        <f aca="false">AM32+AM34-AM36-AM37</f>
        <v>0</v>
      </c>
    </row>
    <row r="42" customFormat="false" ht="21" hidden="false" customHeight="true" outlineLevel="0" collapsed="false">
      <c r="C42" s="56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</row>
    <row r="43" customFormat="false" ht="21" hidden="false" customHeight="true" outlineLevel="0" collapsed="false">
      <c r="C43" s="56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</row>
    <row r="44" customFormat="false" ht="21" hidden="false" customHeight="true" outlineLevel="0" collapsed="false">
      <c r="C44" s="56" t="s">
        <v>392</v>
      </c>
      <c r="D44" s="69"/>
      <c r="E44" s="69"/>
      <c r="F44" s="69"/>
      <c r="G44" s="69"/>
      <c r="H44" s="69"/>
      <c r="I44" s="69"/>
      <c r="J44" s="69" t="n">
        <f aca="false">H1Data!D45+H1Data!D48</f>
        <v>17.95877308</v>
      </c>
      <c r="K44" s="69" t="n">
        <f aca="false">Funding!J48</f>
        <v>16.8420285291667</v>
      </c>
      <c r="L44" s="69" t="n">
        <f aca="false">Funding!K48</f>
        <v>15.7252839783333</v>
      </c>
      <c r="M44" s="69" t="n">
        <f aca="false">Funding!L48</f>
        <v>14.6085394275</v>
      </c>
      <c r="N44" s="69" t="n">
        <f aca="false">Funding!M48</f>
        <v>13.4917948766667</v>
      </c>
      <c r="O44" s="69" t="n">
        <f aca="false">Funding!N48</f>
        <v>12.3750503258334</v>
      </c>
      <c r="P44" s="69" t="n">
        <f aca="false">Funding!O48</f>
        <v>11.258305775</v>
      </c>
      <c r="Q44" s="69" t="n">
        <f aca="false">Funding!P48</f>
        <v>10.1415612241667</v>
      </c>
      <c r="R44" s="69" t="n">
        <f aca="false">Funding!Q48</f>
        <v>9.02481667333336</v>
      </c>
      <c r="S44" s="69" t="n">
        <f aca="false">Funding!R48</f>
        <v>7.90807212250003</v>
      </c>
      <c r="T44" s="69" t="n">
        <f aca="false">Funding!S48</f>
        <v>6.7913275716667</v>
      </c>
      <c r="U44" s="69" t="n">
        <f aca="false">Funding!T48</f>
        <v>5.67458302083337</v>
      </c>
      <c r="V44" s="69" t="n">
        <f aca="false">Funding!U48</f>
        <v>4.55783847000004</v>
      </c>
      <c r="W44" s="69" t="n">
        <f aca="false">Funding!V48</f>
        <v>3.44109391916671</v>
      </c>
      <c r="X44" s="69" t="n">
        <f aca="false">Funding!W48</f>
        <v>2.32434936833338</v>
      </c>
      <c r="Y44" s="69" t="n">
        <f aca="false">Funding!X48</f>
        <v>1.20760481750005</v>
      </c>
      <c r="Z44" s="69" t="n">
        <f aca="false">Funding!Y48</f>
        <v>0.0908602666667213</v>
      </c>
      <c r="AA44" s="69" t="n">
        <f aca="false">Funding!Z48</f>
        <v>0</v>
      </c>
      <c r="AB44" s="69" t="n">
        <f aca="false">Funding!AA48</f>
        <v>0</v>
      </c>
      <c r="AC44" s="69" t="n">
        <f aca="false">Funding!AB48</f>
        <v>0</v>
      </c>
      <c r="AD44" s="69" t="n">
        <f aca="false">Funding!AC48</f>
        <v>0</v>
      </c>
      <c r="AE44" s="69" t="n">
        <f aca="false">Funding!AD48</f>
        <v>0</v>
      </c>
      <c r="AF44" s="69" t="n">
        <f aca="false">Funding!AE48</f>
        <v>0</v>
      </c>
      <c r="AG44" s="69" t="n">
        <f aca="false">Funding!AF48</f>
        <v>0</v>
      </c>
      <c r="AH44" s="69" t="n">
        <f aca="false">Funding!AG48</f>
        <v>0</v>
      </c>
      <c r="AI44" s="69" t="n">
        <f aca="false">Funding!AH48</f>
        <v>0</v>
      </c>
      <c r="AJ44" s="69" t="n">
        <f aca="false">Funding!AI48</f>
        <v>0</v>
      </c>
      <c r="AK44" s="69" t="n">
        <f aca="false">Funding!AJ48</f>
        <v>0</v>
      </c>
      <c r="AL44" s="69" t="n">
        <f aca="false">Funding!AK48</f>
        <v>0</v>
      </c>
      <c r="AM44" s="69" t="n">
        <f aca="false">Funding!AL48</f>
        <v>0</v>
      </c>
    </row>
    <row r="45" customFormat="false" ht="21" hidden="false" customHeight="true" outlineLevel="0" collapsed="false">
      <c r="C45" s="56" t="s">
        <v>393</v>
      </c>
      <c r="D45" s="69"/>
      <c r="E45" s="69"/>
      <c r="F45" s="69"/>
      <c r="G45" s="69"/>
      <c r="H45" s="69"/>
      <c r="I45" s="69"/>
      <c r="J45" s="69" t="n">
        <f aca="false">MAX(0,Inputs!J47)</f>
        <v>0</v>
      </c>
      <c r="K45" s="69" t="n">
        <f aca="false">MAX(0,Inputs!K47)</f>
        <v>0</v>
      </c>
      <c r="L45" s="69" t="n">
        <f aca="false">MAX(0,Inputs!L47)</f>
        <v>0</v>
      </c>
      <c r="M45" s="69" t="n">
        <f aca="false">MAX(0,Inputs!M47)</f>
        <v>0</v>
      </c>
      <c r="N45" s="69" t="n">
        <f aca="false">MAX(0,Inputs!N47)</f>
        <v>0</v>
      </c>
      <c r="O45" s="69" t="n">
        <f aca="false">MAX(0,Inputs!O47)</f>
        <v>0</v>
      </c>
      <c r="P45" s="69" t="n">
        <f aca="false">MAX(0,Inputs!P47)</f>
        <v>0</v>
      </c>
      <c r="Q45" s="69" t="n">
        <f aca="false">MAX(0,Inputs!Q47)</f>
        <v>0</v>
      </c>
      <c r="R45" s="69" t="n">
        <f aca="false">MAX(0,Inputs!R47)</f>
        <v>0</v>
      </c>
      <c r="S45" s="69" t="n">
        <f aca="false">MAX(0,Inputs!S47)</f>
        <v>0</v>
      </c>
      <c r="T45" s="69" t="n">
        <f aca="false">MAX(0,Inputs!T47)</f>
        <v>0</v>
      </c>
      <c r="U45" s="69" t="n">
        <f aca="false">MAX(0,Inputs!U47)</f>
        <v>0</v>
      </c>
      <c r="V45" s="69" t="n">
        <f aca="false">MAX(0,Inputs!V47)</f>
        <v>0</v>
      </c>
      <c r="W45" s="69" t="n">
        <f aca="false">MAX(0,Inputs!W47)</f>
        <v>0</v>
      </c>
      <c r="X45" s="69" t="n">
        <f aca="false">MAX(0,Inputs!X47)</f>
        <v>0</v>
      </c>
      <c r="Y45" s="69" t="n">
        <f aca="false">MAX(0,Inputs!Y47)</f>
        <v>0</v>
      </c>
      <c r="Z45" s="69" t="n">
        <f aca="false">MAX(0,Inputs!Z47)</f>
        <v>0</v>
      </c>
      <c r="AA45" s="69" t="n">
        <f aca="false">MAX(0,Inputs!AA47)</f>
        <v>0</v>
      </c>
      <c r="AB45" s="69" t="n">
        <f aca="false">MAX(0,Inputs!AB47)</f>
        <v>0</v>
      </c>
      <c r="AC45" s="69" t="n">
        <f aca="false">MAX(0,Inputs!AC47)</f>
        <v>0</v>
      </c>
      <c r="AD45" s="69" t="n">
        <f aca="false">MAX(0,Inputs!AD47)</f>
        <v>0</v>
      </c>
      <c r="AE45" s="69" t="n">
        <f aca="false">MAX(0,Inputs!AE47)</f>
        <v>0</v>
      </c>
      <c r="AF45" s="69" t="n">
        <f aca="false">MAX(0,Inputs!AF47)</f>
        <v>0</v>
      </c>
      <c r="AG45" s="69" t="n">
        <f aca="false">MAX(0,Inputs!AG47)</f>
        <v>0</v>
      </c>
      <c r="AH45" s="69" t="n">
        <f aca="false">MAX(0,Inputs!AH47)</f>
        <v>0</v>
      </c>
      <c r="AI45" s="69" t="n">
        <f aca="false">MAX(0,Inputs!AI47)</f>
        <v>0</v>
      </c>
      <c r="AJ45" s="69" t="n">
        <f aca="false">MAX(0,Inputs!AJ47)</f>
        <v>0</v>
      </c>
      <c r="AK45" s="69" t="n">
        <f aca="false">MAX(0,Inputs!AK47)</f>
        <v>0</v>
      </c>
      <c r="AL45" s="69" t="n">
        <f aca="false">MAX(0,Inputs!AL47)</f>
        <v>0</v>
      </c>
      <c r="AM45" s="69" t="n">
        <f aca="false">MAX(0,Inputs!AM47)</f>
        <v>0</v>
      </c>
    </row>
    <row r="46" customFormat="false" ht="21" hidden="false" customHeight="true" outlineLevel="0" collapsed="false">
      <c r="C46" s="56" t="s">
        <v>394</v>
      </c>
      <c r="D46" s="69"/>
      <c r="E46" s="69"/>
      <c r="F46" s="69"/>
      <c r="G46" s="69"/>
      <c r="H46" s="69"/>
      <c r="I46" s="69"/>
      <c r="J46" s="69" t="n">
        <f aca="false">Inputs!J48</f>
        <v>1.11674455083333</v>
      </c>
      <c r="K46" s="69" t="n">
        <f aca="false">Inputs!K48</f>
        <v>1.11674455083333</v>
      </c>
      <c r="L46" s="69" t="n">
        <f aca="false">Inputs!L48</f>
        <v>1.11674455083333</v>
      </c>
      <c r="M46" s="69" t="n">
        <f aca="false">Inputs!M48</f>
        <v>1.11674455083333</v>
      </c>
      <c r="N46" s="69" t="n">
        <f aca="false">Inputs!N48</f>
        <v>1.11674455083333</v>
      </c>
      <c r="O46" s="69" t="n">
        <f aca="false">Inputs!O48</f>
        <v>1.11674455083333</v>
      </c>
      <c r="P46" s="69" t="n">
        <f aca="false">Inputs!P48</f>
        <v>1.11674455083333</v>
      </c>
      <c r="Q46" s="69" t="n">
        <f aca="false">Inputs!Q48</f>
        <v>1.11674455083333</v>
      </c>
      <c r="R46" s="69" t="n">
        <f aca="false">Inputs!R48</f>
        <v>1.11674455083333</v>
      </c>
      <c r="S46" s="69" t="n">
        <f aca="false">Inputs!S48</f>
        <v>1.11674455083333</v>
      </c>
      <c r="T46" s="69" t="n">
        <f aca="false">Inputs!T48</f>
        <v>1.11674455083333</v>
      </c>
      <c r="U46" s="69" t="n">
        <f aca="false">Inputs!U48</f>
        <v>1.11674455083333</v>
      </c>
      <c r="V46" s="69" t="n">
        <f aca="false">Inputs!V48</f>
        <v>1.11674455083333</v>
      </c>
      <c r="W46" s="69" t="n">
        <f aca="false">Inputs!W48</f>
        <v>1.11674455083333</v>
      </c>
      <c r="X46" s="69" t="n">
        <f aca="false">Inputs!X48</f>
        <v>1.11674455083333</v>
      </c>
      <c r="Y46" s="69" t="n">
        <f aca="false">Inputs!Y48</f>
        <v>1.11674455083333</v>
      </c>
      <c r="Z46" s="69" t="n">
        <f aca="false">Inputs!Z48</f>
        <v>1.11674455083333</v>
      </c>
      <c r="AA46" s="69" t="n">
        <f aca="false">Inputs!AA48</f>
        <v>1.11674455083333</v>
      </c>
      <c r="AB46" s="69" t="n">
        <f aca="false">Inputs!AB48</f>
        <v>1.11674455083333</v>
      </c>
      <c r="AC46" s="69" t="n">
        <f aca="false">Inputs!AC48</f>
        <v>1.11674455083333</v>
      </c>
      <c r="AD46" s="69" t="n">
        <f aca="false">Inputs!AD48</f>
        <v>1.11674455083333</v>
      </c>
      <c r="AE46" s="69" t="n">
        <f aca="false">Inputs!AE48</f>
        <v>1.11674455083333</v>
      </c>
      <c r="AF46" s="69" t="n">
        <f aca="false">Inputs!AF48</f>
        <v>1.11674455083333</v>
      </c>
      <c r="AG46" s="69" t="n">
        <f aca="false">Inputs!AG48</f>
        <v>1.11674455083333</v>
      </c>
      <c r="AH46" s="69" t="n">
        <f aca="false">Inputs!AH48</f>
        <v>1.11674455083333</v>
      </c>
      <c r="AI46" s="69" t="n">
        <f aca="false">Inputs!AI48</f>
        <v>1.11674455083333</v>
      </c>
      <c r="AJ46" s="69" t="n">
        <f aca="false">Inputs!AJ48</f>
        <v>1.11674455083333</v>
      </c>
      <c r="AK46" s="69" t="n">
        <f aca="false">Inputs!AK48</f>
        <v>1.11674455083333</v>
      </c>
      <c r="AL46" s="69" t="n">
        <f aca="false">Inputs!AL48</f>
        <v>1.11674455083333</v>
      </c>
      <c r="AM46" s="69" t="n">
        <f aca="false">Inputs!AM48</f>
        <v>1.11674455083333</v>
      </c>
    </row>
    <row r="47" customFormat="false" ht="21" hidden="false" customHeight="true" outlineLevel="0" collapsed="false">
      <c r="C47" s="56" t="s">
        <v>200</v>
      </c>
      <c r="D47" s="71"/>
      <c r="E47" s="71"/>
      <c r="F47" s="71"/>
      <c r="G47" s="71"/>
      <c r="H47" s="71"/>
      <c r="I47" s="71"/>
      <c r="J47" s="71" t="n">
        <f aca="false">MIN(Liquidity!J29,MAX(0,Liquidity!J43-Liquidity!J9))</f>
        <v>1.11674455083333</v>
      </c>
      <c r="K47" s="71" t="n">
        <f aca="false">MIN(Liquidity!K29,MAX(0,Liquidity!K43-Liquidity!K9))</f>
        <v>1.11674455083333</v>
      </c>
      <c r="L47" s="71" t="n">
        <f aca="false">MIN(Liquidity!L29,MAX(0,Liquidity!L43-Liquidity!L9))</f>
        <v>1.11674455083333</v>
      </c>
      <c r="M47" s="71" t="n">
        <f aca="false">MIN(Liquidity!M29,MAX(0,Liquidity!M43-Liquidity!M9))</f>
        <v>1.11674455083333</v>
      </c>
      <c r="N47" s="71" t="n">
        <f aca="false">MIN(Liquidity!N29,MAX(0,Liquidity!N43-Liquidity!N9))</f>
        <v>1.11674455083333</v>
      </c>
      <c r="O47" s="71" t="n">
        <f aca="false">MIN(Liquidity!O29,MAX(0,Liquidity!O43-Liquidity!O9))</f>
        <v>1.11674455083333</v>
      </c>
      <c r="P47" s="71" t="n">
        <f aca="false">MIN(Liquidity!P29,MAX(0,Liquidity!P43-Liquidity!P9))</f>
        <v>1.11674455083333</v>
      </c>
      <c r="Q47" s="71" t="n">
        <f aca="false">MIN(Liquidity!Q29,MAX(0,Liquidity!Q43-Liquidity!Q9))</f>
        <v>1.11674455083333</v>
      </c>
      <c r="R47" s="71" t="n">
        <f aca="false">MIN(Liquidity!R29,MAX(0,Liquidity!R43-Liquidity!R9))</f>
        <v>1.11674455083333</v>
      </c>
      <c r="S47" s="71" t="n">
        <f aca="false">MIN(Liquidity!S29,MAX(0,Liquidity!S43-Liquidity!S9))</f>
        <v>1.11674455083333</v>
      </c>
      <c r="T47" s="71" t="n">
        <f aca="false">MIN(Liquidity!T29,MAX(0,Liquidity!T43-Liquidity!T9))</f>
        <v>1.11674455083333</v>
      </c>
      <c r="U47" s="71" t="n">
        <f aca="false">MIN(Liquidity!U29,MAX(0,Liquidity!U43-Liquidity!U9))</f>
        <v>1.11674455083333</v>
      </c>
      <c r="V47" s="71" t="n">
        <f aca="false">MIN(Liquidity!V29,MAX(0,Liquidity!V43-Liquidity!V9))</f>
        <v>1.11674455083333</v>
      </c>
      <c r="W47" s="71" t="n">
        <f aca="false">MIN(Liquidity!W29,MAX(0,Liquidity!W43-Liquidity!W9))</f>
        <v>1.11674455083333</v>
      </c>
      <c r="X47" s="71" t="n">
        <f aca="false">MIN(Liquidity!X29,MAX(0,Liquidity!X43-Liquidity!X9))</f>
        <v>1.11674455083333</v>
      </c>
      <c r="Y47" s="71" t="n">
        <f aca="false">MIN(Liquidity!Y29,MAX(0,Liquidity!Y43-Liquidity!Y9))</f>
        <v>1.11674455083333</v>
      </c>
      <c r="Z47" s="71" t="n">
        <f aca="false">MIN(Liquidity!Z29,MAX(0,Liquidity!Z43-Liquidity!Z9))</f>
        <v>0.0908602666667213</v>
      </c>
      <c r="AA47" s="71" t="n">
        <f aca="false">MIN(Liquidity!AA29,MAX(0,Liquidity!AA43-Liquidity!AA9))</f>
        <v>0</v>
      </c>
      <c r="AB47" s="71" t="n">
        <f aca="false">MIN(Liquidity!AB29,MAX(0,Liquidity!AB43-Liquidity!AB9))</f>
        <v>0</v>
      </c>
      <c r="AC47" s="71" t="n">
        <f aca="false">MIN(Liquidity!AC29,MAX(0,Liquidity!AC43-Liquidity!AC9))</f>
        <v>0</v>
      </c>
      <c r="AD47" s="71" t="n">
        <f aca="false">MIN(Liquidity!AD29,MAX(0,Liquidity!AD43-Liquidity!AD9))</f>
        <v>0</v>
      </c>
      <c r="AE47" s="71" t="n">
        <f aca="false">MIN(Liquidity!AE29,MAX(0,Liquidity!AE43-Liquidity!AE9))</f>
        <v>0</v>
      </c>
      <c r="AF47" s="71" t="n">
        <f aca="false">MIN(Liquidity!AF29,MAX(0,Liquidity!AF43-Liquidity!AF9))</f>
        <v>0</v>
      </c>
      <c r="AG47" s="71" t="n">
        <f aca="false">MIN(Liquidity!AG29,MAX(0,Liquidity!AG43-Liquidity!AG9))</f>
        <v>0</v>
      </c>
      <c r="AH47" s="71" t="n">
        <f aca="false">MIN(Liquidity!AH29,MAX(0,Liquidity!AH43-Liquidity!AH9))</f>
        <v>0</v>
      </c>
      <c r="AI47" s="71" t="n">
        <f aca="false">MIN(Liquidity!AI29,MAX(0,Liquidity!AI43-Liquidity!AI9))</f>
        <v>0</v>
      </c>
      <c r="AJ47" s="71" t="n">
        <f aca="false">MIN(Liquidity!AJ29,MAX(0,Liquidity!AJ43-Liquidity!AJ9))</f>
        <v>0</v>
      </c>
      <c r="AK47" s="71" t="n">
        <f aca="false">MIN(Liquidity!AK29,MAX(0,Liquidity!AK43-Liquidity!AK9))</f>
        <v>0</v>
      </c>
      <c r="AL47" s="71" t="n">
        <f aca="false">MIN(Liquidity!AL29,MAX(0,Liquidity!AL43-Liquidity!AL9))</f>
        <v>0</v>
      </c>
      <c r="AM47" s="71" t="n">
        <f aca="false">MIN(Liquidity!AM29,MAX(0,Liquidity!AM43-Liquidity!AM9))</f>
        <v>0</v>
      </c>
    </row>
    <row r="48" customFormat="false" ht="21" hidden="false" customHeight="true" outlineLevel="0" collapsed="false">
      <c r="C48" s="56" t="s">
        <v>395</v>
      </c>
      <c r="D48" s="71"/>
      <c r="E48" s="71"/>
      <c r="F48" s="71"/>
      <c r="G48" s="71"/>
      <c r="H48" s="71"/>
      <c r="I48" s="71"/>
      <c r="J48" s="71" t="n">
        <f aca="false">J44+J45-J47</f>
        <v>16.8420285291667</v>
      </c>
      <c r="K48" s="71" t="n">
        <f aca="false">K44+K45-K47</f>
        <v>15.7252839783333</v>
      </c>
      <c r="L48" s="71" t="n">
        <f aca="false">L44+L45-L47</f>
        <v>14.6085394275</v>
      </c>
      <c r="M48" s="71" t="n">
        <f aca="false">M44+M45-M47</f>
        <v>13.4917948766667</v>
      </c>
      <c r="N48" s="71" t="n">
        <f aca="false">N44+N45-N47</f>
        <v>12.3750503258334</v>
      </c>
      <c r="O48" s="71" t="n">
        <f aca="false">O44+O45-O47</f>
        <v>11.258305775</v>
      </c>
      <c r="P48" s="71" t="n">
        <f aca="false">P44+P45-P47</f>
        <v>10.1415612241667</v>
      </c>
      <c r="Q48" s="71" t="n">
        <f aca="false">Q44+Q45-Q47</f>
        <v>9.02481667333336</v>
      </c>
      <c r="R48" s="71" t="n">
        <f aca="false">R44+R45-R47</f>
        <v>7.90807212250003</v>
      </c>
      <c r="S48" s="71" t="n">
        <f aca="false">S44+S45-S47</f>
        <v>6.7913275716667</v>
      </c>
      <c r="T48" s="71" t="n">
        <f aca="false">T44+T45-T47</f>
        <v>5.67458302083337</v>
      </c>
      <c r="U48" s="71" t="n">
        <f aca="false">U44+U45-U47</f>
        <v>4.55783847000004</v>
      </c>
      <c r="V48" s="71" t="n">
        <f aca="false">V44+V45-V47</f>
        <v>3.44109391916671</v>
      </c>
      <c r="W48" s="71" t="n">
        <f aca="false">W44+W45-W47</f>
        <v>2.32434936833338</v>
      </c>
      <c r="X48" s="71" t="n">
        <f aca="false">X44+X45-X47</f>
        <v>1.20760481750005</v>
      </c>
      <c r="Y48" s="71" t="n">
        <f aca="false">Y44+Y45-Y47</f>
        <v>0.0908602666667213</v>
      </c>
      <c r="Z48" s="71" t="n">
        <f aca="false">Z44+Z45-Z47</f>
        <v>0</v>
      </c>
      <c r="AA48" s="71" t="n">
        <f aca="false">AA44+AA45-AA47</f>
        <v>0</v>
      </c>
      <c r="AB48" s="71" t="n">
        <f aca="false">AB44+AB45-AB47</f>
        <v>0</v>
      </c>
      <c r="AC48" s="71" t="n">
        <f aca="false">AC44+AC45-AC47</f>
        <v>0</v>
      </c>
      <c r="AD48" s="71" t="n">
        <f aca="false">AD44+AD45-AD47</f>
        <v>0</v>
      </c>
      <c r="AE48" s="71" t="n">
        <f aca="false">AE44+AE45-AE47</f>
        <v>0</v>
      </c>
      <c r="AF48" s="71" t="n">
        <f aca="false">AF44+AF45-AF47</f>
        <v>0</v>
      </c>
      <c r="AG48" s="71" t="n">
        <f aca="false">AG44+AG45-AG47</f>
        <v>0</v>
      </c>
      <c r="AH48" s="71" t="n">
        <f aca="false">AH44+AH45-AH47</f>
        <v>0</v>
      </c>
      <c r="AI48" s="71" t="n">
        <f aca="false">AI44+AI45-AI47</f>
        <v>0</v>
      </c>
      <c r="AJ48" s="71" t="n">
        <f aca="false">AJ44+AJ45-AJ47</f>
        <v>0</v>
      </c>
      <c r="AK48" s="71" t="n">
        <f aca="false">AK44+AK45-AK47</f>
        <v>0</v>
      </c>
      <c r="AL48" s="71" t="n">
        <f aca="false">AL44+AL45-AL47</f>
        <v>0</v>
      </c>
      <c r="AM48" s="71" t="n">
        <f aca="false">AM44+AM45-AM47</f>
        <v>0</v>
      </c>
    </row>
    <row r="49" customFormat="false" ht="21" hidden="false" customHeight="true" outlineLevel="0" collapsed="false">
      <c r="C49" s="56" t="s">
        <v>396</v>
      </c>
      <c r="D49" s="69"/>
      <c r="E49" s="69"/>
      <c r="F49" s="69"/>
      <c r="G49" s="69"/>
      <c r="H49" s="69"/>
      <c r="I49" s="69"/>
      <c r="J49" s="69" t="n">
        <f aca="false">J44*MAX(0,Inputs!J50)*DAY(J$7)/(DATE(YEAR(J$7)+1,1,1)-DATE(YEAR(J$7),1,1))</f>
        <v>0.0686369546482192</v>
      </c>
      <c r="K49" s="69" t="n">
        <f aca="false">K44*MAX(0,Inputs!K50)*DAY(K$7)/(DATE(YEAR(K$7)+1,1,1)-DATE(YEAR(K$7),1,1))</f>
        <v>0.0643688487621575</v>
      </c>
      <c r="L49" s="69" t="n">
        <f aca="false">L44*MAX(0,Inputs!L50)*DAY(L$7)/(DATE(YEAR(L$7)+1,1,1)-DATE(YEAR(L$7),1,1))</f>
        <v>0.0581620092349315</v>
      </c>
      <c r="M49" s="69" t="n">
        <f aca="false">M44*MAX(0,Inputs!M50)*DAY(M$7)/(DATE(YEAR(M$7)+1,1,1)-DATE(YEAR(M$7),1,1))</f>
        <v>0.0558326369900343</v>
      </c>
      <c r="N49" s="69" t="n">
        <f aca="false">N44*MAX(0,Inputs!N50)*DAY(N$7)/(DATE(YEAR(N$7)+1,1,1)-DATE(YEAR(N$7),1,1))</f>
        <v>0.0499011591328768</v>
      </c>
      <c r="O49" s="69" t="n">
        <f aca="false">O44*MAX(0,Inputs!O50)*DAY(O$7)/(DATE(YEAR(O$7)+1,1,1)-DATE(YEAR(O$7),1,1))</f>
        <v>0.047296425217911</v>
      </c>
      <c r="P49" s="69" t="n">
        <f aca="false">P44*MAX(0,Inputs!P50)*DAY(P$7)/(DATE(YEAR(P$7)+1,1,1)-DATE(YEAR(P$7),1,1))</f>
        <v>0.0430283193318494</v>
      </c>
      <c r="Q49" s="69" t="n">
        <f aca="false">Q44*MAX(0,Inputs!Q50)*DAY(Q$7)/(DATE(YEAR(Q$7)+1,1,1)-DATE(YEAR(Q$7),1,1))</f>
        <v>0.0350092250478083</v>
      </c>
      <c r="R49" s="69" t="n">
        <f aca="false">R44*MAX(0,Inputs!R50)*DAY(R$7)/(DATE(YEAR(R$7)+1,1,1)-DATE(YEAR(R$7),1,1))</f>
        <v>0.0344921075597261</v>
      </c>
      <c r="S49" s="69" t="n">
        <f aca="false">S44*MAX(0,Inputs!S50)*DAY(S$7)/(DATE(YEAR(S$7)+1,1,1)-DATE(YEAR(S$7),1,1))</f>
        <v>0.0292490338777398</v>
      </c>
      <c r="T49" s="69" t="n">
        <f aca="false">T44*MAX(0,Inputs!T50)*DAY(T$7)/(DATE(YEAR(T$7)+1,1,1)-DATE(YEAR(T$7),1,1))</f>
        <v>0.0259558957876029</v>
      </c>
      <c r="U49" s="69" t="n">
        <f aca="false">U44*MAX(0,Inputs!U50)*DAY(U$7)/(DATE(YEAR(U$7)+1,1,1)-DATE(YEAR(U$7),1,1))</f>
        <v>0.0209881837756851</v>
      </c>
      <c r="V49" s="69" t="n">
        <f aca="false">V44*MAX(0,Inputs!V50)*DAY(V$7)/(DATE(YEAR(V$7)+1,1,1)-DATE(YEAR(V$7),1,1))</f>
        <v>0.0174196840154796</v>
      </c>
      <c r="W49" s="69" t="n">
        <f aca="false">W44*MAX(0,Inputs!W50)*DAY(W$7)/(DATE(YEAR(W$7)+1,1,1)-DATE(YEAR(W$7),1,1))</f>
        <v>0.013151578129418</v>
      </c>
      <c r="X49" s="69" t="n">
        <f aca="false">X44*MAX(0,Inputs!X50)*DAY(X$7)/(DATE(YEAR(X$7)+1,1,1)-DATE(YEAR(X$7),1,1))</f>
        <v>0.00859690862260292</v>
      </c>
      <c r="Y49" s="69" t="n">
        <f aca="false">Y44*MAX(0,Inputs!Y50)*DAY(Y$7)/(DATE(YEAR(Y$7)+1,1,1)-DATE(YEAR(Y$7),1,1))</f>
        <v>0.00461536635729472</v>
      </c>
      <c r="Z49" s="69" t="n">
        <f aca="false">Z44*MAX(0,Inputs!Z50)*DAY(Z$7)/(DATE(YEAR(Z$7)+1,1,1)-DATE(YEAR(Z$7),1,1))</f>
        <v>0.000336058520548147</v>
      </c>
      <c r="AA49" s="69" t="n">
        <f aca="false">AA44*MAX(0,Inputs!AA50)*DAY(AA$7)/(DATE(YEAR(AA$7)+1,1,1)-DATE(YEAR(AA$7),1,1))</f>
        <v>0</v>
      </c>
      <c r="AB49" s="69" t="n">
        <f aca="false">AB44*MAX(0,Inputs!AB50)*DAY(AB$7)/(DATE(YEAR(AB$7)+1,1,1)-DATE(YEAR(AB$7),1,1))</f>
        <v>0</v>
      </c>
      <c r="AC49" s="69" t="n">
        <f aca="false">AC44*MAX(0,Inputs!AC50)*DAY(AC$7)/(DATE(YEAR(AC$7)+1,1,1)-DATE(YEAR(AC$7),1,1))</f>
        <v>0</v>
      </c>
      <c r="AD49" s="69" t="n">
        <f aca="false">AD44*MAX(0,Inputs!AD50)*DAY(AD$7)/(DATE(YEAR(AD$7)+1,1,1)-DATE(YEAR(AD$7),1,1))</f>
        <v>0</v>
      </c>
      <c r="AE49" s="69" t="n">
        <f aca="false">AE44*MAX(0,Inputs!AE50)*DAY(AE$7)/(DATE(YEAR(AE$7)+1,1,1)-DATE(YEAR(AE$7),1,1))</f>
        <v>0</v>
      </c>
      <c r="AF49" s="69" t="n">
        <f aca="false">AF44*MAX(0,Inputs!AF50)*DAY(AF$7)/(DATE(YEAR(AF$7)+1,1,1)-DATE(YEAR(AF$7),1,1))</f>
        <v>0</v>
      </c>
      <c r="AG49" s="69" t="n">
        <f aca="false">AG44*MAX(0,Inputs!AG50)*DAY(AG$7)/(DATE(YEAR(AG$7)+1,1,1)-DATE(YEAR(AG$7),1,1))</f>
        <v>0</v>
      </c>
      <c r="AH49" s="69" t="n">
        <f aca="false">AH44*MAX(0,Inputs!AH50)*DAY(AH$7)/(DATE(YEAR(AH$7)+1,1,1)-DATE(YEAR(AH$7),1,1))</f>
        <v>0</v>
      </c>
      <c r="AI49" s="69" t="n">
        <f aca="false">AI44*MAX(0,Inputs!AI50)*DAY(AI$7)/(DATE(YEAR(AI$7)+1,1,1)-DATE(YEAR(AI$7),1,1))</f>
        <v>0</v>
      </c>
      <c r="AJ49" s="69" t="n">
        <f aca="false">AJ44*MAX(0,Inputs!AJ50)*DAY(AJ$7)/(DATE(YEAR(AJ$7)+1,1,1)-DATE(YEAR(AJ$7),1,1))</f>
        <v>0</v>
      </c>
      <c r="AK49" s="69" t="n">
        <f aca="false">AK44*MAX(0,Inputs!AK50)*DAY(AK$7)/(DATE(YEAR(AK$7)+1,1,1)-DATE(YEAR(AK$7),1,1))</f>
        <v>0</v>
      </c>
      <c r="AL49" s="69" t="n">
        <f aca="false">AL44*MAX(0,Inputs!AL50)*DAY(AL$7)/(DATE(YEAR(AL$7)+1,1,1)-DATE(YEAR(AL$7),1,1))</f>
        <v>0</v>
      </c>
      <c r="AM49" s="69" t="n">
        <f aca="false">AM44*MAX(0,Inputs!AM50)*DAY(AM$7)/(DATE(YEAR(AM$7)+1,1,1)-DATE(YEAR(AM$7),1,1))</f>
        <v>0</v>
      </c>
    </row>
    <row r="50" customFormat="false" ht="21" hidden="false" customHeight="true" outlineLevel="0" collapsed="false">
      <c r="C50" s="56" t="s">
        <v>397</v>
      </c>
      <c r="D50" s="71"/>
      <c r="E50" s="71"/>
      <c r="F50" s="71"/>
      <c r="G50" s="71"/>
      <c r="H50" s="71"/>
      <c r="I50" s="71"/>
      <c r="J50" s="71" t="n">
        <f aca="false">J44+J45-J47-J48</f>
        <v>0</v>
      </c>
      <c r="K50" s="71" t="n">
        <f aca="false">K44+K45-K47-K48</f>
        <v>0</v>
      </c>
      <c r="L50" s="71" t="n">
        <f aca="false">L44+L45-L47-L48</f>
        <v>0</v>
      </c>
      <c r="M50" s="71" t="n">
        <f aca="false">M44+M45-M47-M48</f>
        <v>0</v>
      </c>
      <c r="N50" s="71" t="n">
        <f aca="false">N44+N45-N47-N48</f>
        <v>0</v>
      </c>
      <c r="O50" s="71" t="n">
        <f aca="false">O44+O45-O47-O48</f>
        <v>0</v>
      </c>
      <c r="P50" s="71" t="n">
        <f aca="false">P44+P45-P47-P48</f>
        <v>0</v>
      </c>
      <c r="Q50" s="71" t="n">
        <f aca="false">Q44+Q45-Q47-Q48</f>
        <v>0</v>
      </c>
      <c r="R50" s="71" t="n">
        <f aca="false">R44+R45-R47-R48</f>
        <v>0</v>
      </c>
      <c r="S50" s="71" t="n">
        <f aca="false">S44+S45-S47-S48</f>
        <v>0</v>
      </c>
      <c r="T50" s="71" t="n">
        <f aca="false">T44+T45-T47-T48</f>
        <v>0</v>
      </c>
      <c r="U50" s="71" t="n">
        <f aca="false">U44+U45-U47-U48</f>
        <v>0</v>
      </c>
      <c r="V50" s="71" t="n">
        <f aca="false">V44+V45-V47-V48</f>
        <v>0</v>
      </c>
      <c r="W50" s="71" t="n">
        <f aca="false">W44+W45-W47-W48</f>
        <v>0</v>
      </c>
      <c r="X50" s="71" t="n">
        <f aca="false">X44+X45-X47-X48</f>
        <v>0</v>
      </c>
      <c r="Y50" s="71" t="n">
        <f aca="false">Y44+Y45-Y47-Y48</f>
        <v>0</v>
      </c>
      <c r="Z50" s="71" t="n">
        <f aca="false">Z44+Z45-Z47-Z48</f>
        <v>0</v>
      </c>
      <c r="AA50" s="71" t="n">
        <f aca="false">AA44+AA45-AA47-AA48</f>
        <v>0</v>
      </c>
      <c r="AB50" s="71" t="n">
        <f aca="false">AB44+AB45-AB47-AB48</f>
        <v>0</v>
      </c>
      <c r="AC50" s="71" t="n">
        <f aca="false">AC44+AC45-AC47-AC48</f>
        <v>0</v>
      </c>
      <c r="AD50" s="71" t="n">
        <f aca="false">AD44+AD45-AD47-AD48</f>
        <v>0</v>
      </c>
      <c r="AE50" s="71" t="n">
        <f aca="false">AE44+AE45-AE47-AE48</f>
        <v>0</v>
      </c>
      <c r="AF50" s="71" t="n">
        <f aca="false">AF44+AF45-AF47-AF48</f>
        <v>0</v>
      </c>
      <c r="AG50" s="71" t="n">
        <f aca="false">AG44+AG45-AG47-AG48</f>
        <v>0</v>
      </c>
      <c r="AH50" s="71" t="n">
        <f aca="false">AH44+AH45-AH47-AH48</f>
        <v>0</v>
      </c>
      <c r="AI50" s="71" t="n">
        <f aca="false">AI44+AI45-AI47-AI48</f>
        <v>0</v>
      </c>
      <c r="AJ50" s="71" t="n">
        <f aca="false">AJ44+AJ45-AJ47-AJ48</f>
        <v>0</v>
      </c>
      <c r="AK50" s="71" t="n">
        <f aca="false">AK44+AK45-AK47-AK48</f>
        <v>0</v>
      </c>
      <c r="AL50" s="71" t="n">
        <f aca="false">AL44+AL45-AL47-AL48</f>
        <v>0</v>
      </c>
      <c r="AM50" s="71" t="n">
        <f aca="false">AM44+AM45-AM47-AM48</f>
        <v>0</v>
      </c>
    </row>
    <row r="51" customFormat="false" ht="21" hidden="false" customHeight="true" outlineLevel="0" collapsed="false">
      <c r="C51" s="56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</row>
    <row r="52" customFormat="false" ht="21" hidden="false" customHeight="true" outlineLevel="0" collapsed="false">
      <c r="C52" s="56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</row>
    <row r="53" customFormat="false" ht="21" hidden="false" customHeight="true" outlineLevel="0" collapsed="false">
      <c r="C53" s="56" t="s">
        <v>398</v>
      </c>
      <c r="D53" s="69"/>
      <c r="E53" s="69"/>
      <c r="F53" s="69"/>
      <c r="G53" s="69"/>
      <c r="H53" s="69"/>
      <c r="I53" s="69"/>
      <c r="J53" s="69" t="n">
        <f aca="false">H1Data!D12</f>
        <v>10538.02</v>
      </c>
      <c r="K53" s="69" t="n">
        <f aca="false">Funding!J58</f>
        <v>10538.02</v>
      </c>
      <c r="L53" s="69" t="n">
        <f aca="false">Funding!K58</f>
        <v>10538.02</v>
      </c>
      <c r="M53" s="69" t="n">
        <f aca="false">Funding!L58</f>
        <v>10538.02</v>
      </c>
      <c r="N53" s="69" t="n">
        <f aca="false">Funding!M58</f>
        <v>10538.02</v>
      </c>
      <c r="O53" s="69" t="n">
        <f aca="false">Funding!N58</f>
        <v>10538.02</v>
      </c>
      <c r="P53" s="69" t="n">
        <f aca="false">Funding!O58</f>
        <v>10538.02</v>
      </c>
      <c r="Q53" s="69" t="n">
        <f aca="false">Funding!P58</f>
        <v>10538.02</v>
      </c>
      <c r="R53" s="69" t="n">
        <f aca="false">Funding!Q58</f>
        <v>10538.02</v>
      </c>
      <c r="S53" s="69" t="n">
        <f aca="false">Funding!R58</f>
        <v>10538.02</v>
      </c>
      <c r="T53" s="69" t="n">
        <f aca="false">Funding!S58</f>
        <v>10538.02</v>
      </c>
      <c r="U53" s="69" t="n">
        <f aca="false">Funding!T58</f>
        <v>10538.02</v>
      </c>
      <c r="V53" s="69" t="n">
        <f aca="false">Funding!U58</f>
        <v>10538.02</v>
      </c>
      <c r="W53" s="69" t="n">
        <f aca="false">Funding!V58</f>
        <v>10538.02</v>
      </c>
      <c r="X53" s="69" t="n">
        <f aca="false">Funding!W58</f>
        <v>10538.02</v>
      </c>
      <c r="Y53" s="69" t="n">
        <f aca="false">Funding!X58</f>
        <v>10538.02</v>
      </c>
      <c r="Z53" s="69" t="n">
        <f aca="false">Funding!Y58</f>
        <v>10538.02</v>
      </c>
      <c r="AA53" s="69" t="n">
        <f aca="false">Funding!Z58</f>
        <v>10538.02</v>
      </c>
      <c r="AB53" s="69" t="n">
        <f aca="false">Funding!AA58</f>
        <v>10538.02</v>
      </c>
      <c r="AC53" s="69" t="n">
        <f aca="false">Funding!AB58</f>
        <v>10538.02</v>
      </c>
      <c r="AD53" s="69" t="n">
        <f aca="false">Funding!AC58</f>
        <v>10538.02</v>
      </c>
      <c r="AE53" s="69" t="n">
        <f aca="false">Funding!AD58</f>
        <v>10538.02</v>
      </c>
      <c r="AF53" s="69" t="n">
        <f aca="false">Funding!AE58</f>
        <v>10538.02</v>
      </c>
      <c r="AG53" s="69" t="n">
        <f aca="false">Funding!AF58</f>
        <v>10538.02</v>
      </c>
      <c r="AH53" s="69" t="n">
        <f aca="false">Funding!AG58</f>
        <v>10538.02</v>
      </c>
      <c r="AI53" s="69" t="n">
        <f aca="false">Funding!AH58</f>
        <v>10538.02</v>
      </c>
      <c r="AJ53" s="69" t="n">
        <f aca="false">Funding!AI58</f>
        <v>10538.02</v>
      </c>
      <c r="AK53" s="69" t="n">
        <f aca="false">Funding!AJ58</f>
        <v>10538.02</v>
      </c>
      <c r="AL53" s="69" t="n">
        <f aca="false">Funding!AK58</f>
        <v>10538.02</v>
      </c>
      <c r="AM53" s="69" t="n">
        <f aca="false">Funding!AL58</f>
        <v>10538.02</v>
      </c>
    </row>
    <row r="54" customFormat="false" ht="21" hidden="false" customHeight="true" outlineLevel="0" collapsed="false">
      <c r="C54" s="56" t="s">
        <v>399</v>
      </c>
      <c r="D54" s="69"/>
      <c r="E54" s="69"/>
      <c r="F54" s="69"/>
      <c r="G54" s="69"/>
      <c r="H54" s="69"/>
      <c r="I54" s="69"/>
      <c r="J54" s="69" t="n">
        <f aca="false">MAX(0,Inputs!J55)</f>
        <v>0</v>
      </c>
      <c r="K54" s="69" t="n">
        <f aca="false">MAX(0,Inputs!K55)</f>
        <v>0</v>
      </c>
      <c r="L54" s="69" t="n">
        <f aca="false">MAX(0,Inputs!L55)</f>
        <v>0</v>
      </c>
      <c r="M54" s="69" t="n">
        <f aca="false">MAX(0,Inputs!M55)</f>
        <v>0</v>
      </c>
      <c r="N54" s="69" t="n">
        <f aca="false">MAX(0,Inputs!N55)</f>
        <v>0</v>
      </c>
      <c r="O54" s="69" t="n">
        <f aca="false">MAX(0,Inputs!O55)</f>
        <v>0</v>
      </c>
      <c r="P54" s="69" t="n">
        <f aca="false">MAX(0,Inputs!P55)</f>
        <v>0</v>
      </c>
      <c r="Q54" s="69" t="n">
        <f aca="false">MAX(0,Inputs!Q55)</f>
        <v>0</v>
      </c>
      <c r="R54" s="69" t="n">
        <f aca="false">MAX(0,Inputs!R55)</f>
        <v>0</v>
      </c>
      <c r="S54" s="69" t="n">
        <f aca="false">MAX(0,Inputs!S55)</f>
        <v>0</v>
      </c>
      <c r="T54" s="69" t="n">
        <f aca="false">MAX(0,Inputs!T55)</f>
        <v>0</v>
      </c>
      <c r="U54" s="69" t="n">
        <f aca="false">MAX(0,Inputs!U55)</f>
        <v>0</v>
      </c>
      <c r="V54" s="69" t="n">
        <f aca="false">MAX(0,Inputs!V55)</f>
        <v>0</v>
      </c>
      <c r="W54" s="69" t="n">
        <f aca="false">MAX(0,Inputs!W55)</f>
        <v>0</v>
      </c>
      <c r="X54" s="69" t="n">
        <f aca="false">MAX(0,Inputs!X55)</f>
        <v>0</v>
      </c>
      <c r="Y54" s="69" t="n">
        <f aca="false">MAX(0,Inputs!Y55)</f>
        <v>0</v>
      </c>
      <c r="Z54" s="69" t="n">
        <f aca="false">MAX(0,Inputs!Z55)</f>
        <v>0</v>
      </c>
      <c r="AA54" s="69" t="n">
        <f aca="false">MAX(0,Inputs!AA55)</f>
        <v>0</v>
      </c>
      <c r="AB54" s="69" t="n">
        <f aca="false">MAX(0,Inputs!AB55)</f>
        <v>0</v>
      </c>
      <c r="AC54" s="69" t="n">
        <f aca="false">MAX(0,Inputs!AC55)</f>
        <v>0</v>
      </c>
      <c r="AD54" s="69" t="n">
        <f aca="false">MAX(0,Inputs!AD55)</f>
        <v>0</v>
      </c>
      <c r="AE54" s="69" t="n">
        <f aca="false">MAX(0,Inputs!AE55)</f>
        <v>0</v>
      </c>
      <c r="AF54" s="69" t="n">
        <f aca="false">MAX(0,Inputs!AF55)</f>
        <v>0</v>
      </c>
      <c r="AG54" s="69" t="n">
        <f aca="false">MAX(0,Inputs!AG55)</f>
        <v>0</v>
      </c>
      <c r="AH54" s="69" t="n">
        <f aca="false">MAX(0,Inputs!AH55)</f>
        <v>0</v>
      </c>
      <c r="AI54" s="69" t="n">
        <f aca="false">MAX(0,Inputs!AI55)</f>
        <v>0</v>
      </c>
      <c r="AJ54" s="69" t="n">
        <f aca="false">MAX(0,Inputs!AJ55)</f>
        <v>0</v>
      </c>
      <c r="AK54" s="69" t="n">
        <f aca="false">MAX(0,Inputs!AK55)</f>
        <v>0</v>
      </c>
      <c r="AL54" s="69" t="n">
        <f aca="false">MAX(0,Inputs!AL55)</f>
        <v>0</v>
      </c>
      <c r="AM54" s="69" t="n">
        <f aca="false">MAX(0,Inputs!AM55)</f>
        <v>0</v>
      </c>
    </row>
    <row r="55" customFormat="false" ht="21" hidden="false" customHeight="true" outlineLevel="0" collapsed="false">
      <c r="C55" s="56" t="s">
        <v>400</v>
      </c>
      <c r="D55" s="69"/>
      <c r="E55" s="69"/>
      <c r="F55" s="69"/>
      <c r="G55" s="69"/>
      <c r="H55" s="69"/>
      <c r="I55" s="69"/>
      <c r="J55" s="69" t="n">
        <f aca="false">Liquidity!J34</f>
        <v>0</v>
      </c>
      <c r="K55" s="69" t="n">
        <f aca="false">Liquidity!K34</f>
        <v>0</v>
      </c>
      <c r="L55" s="69" t="n">
        <f aca="false">Liquidity!L34</f>
        <v>0</v>
      </c>
      <c r="M55" s="69" t="n">
        <f aca="false">Liquidity!M34</f>
        <v>0</v>
      </c>
      <c r="N55" s="69" t="n">
        <f aca="false">Liquidity!N34</f>
        <v>0</v>
      </c>
      <c r="O55" s="69" t="n">
        <f aca="false">Liquidity!O34</f>
        <v>0</v>
      </c>
      <c r="P55" s="69" t="n">
        <f aca="false">Liquidity!P34</f>
        <v>0</v>
      </c>
      <c r="Q55" s="69" t="n">
        <f aca="false">Liquidity!Q34</f>
        <v>0</v>
      </c>
      <c r="R55" s="69" t="n">
        <f aca="false">Liquidity!R34</f>
        <v>0</v>
      </c>
      <c r="S55" s="69" t="n">
        <f aca="false">Liquidity!S34</f>
        <v>0</v>
      </c>
      <c r="T55" s="69" t="n">
        <f aca="false">Liquidity!T34</f>
        <v>0</v>
      </c>
      <c r="U55" s="69" t="n">
        <f aca="false">Liquidity!U34</f>
        <v>0</v>
      </c>
      <c r="V55" s="69" t="n">
        <f aca="false">Liquidity!V34</f>
        <v>0</v>
      </c>
      <c r="W55" s="69" t="n">
        <f aca="false">Liquidity!W34</f>
        <v>0</v>
      </c>
      <c r="X55" s="69" t="n">
        <f aca="false">Liquidity!X34</f>
        <v>0</v>
      </c>
      <c r="Y55" s="69" t="n">
        <f aca="false">Liquidity!Y34</f>
        <v>0</v>
      </c>
      <c r="Z55" s="69" t="n">
        <f aca="false">Liquidity!Z34</f>
        <v>0</v>
      </c>
      <c r="AA55" s="69" t="n">
        <f aca="false">Liquidity!AA34</f>
        <v>0</v>
      </c>
      <c r="AB55" s="69" t="n">
        <f aca="false">Liquidity!AB34</f>
        <v>0</v>
      </c>
      <c r="AC55" s="69" t="n">
        <f aca="false">Liquidity!AC34</f>
        <v>0</v>
      </c>
      <c r="AD55" s="69" t="n">
        <f aca="false">Liquidity!AD34</f>
        <v>0</v>
      </c>
      <c r="AE55" s="69" t="n">
        <f aca="false">Liquidity!AE34</f>
        <v>0</v>
      </c>
      <c r="AF55" s="69" t="n">
        <f aca="false">Liquidity!AF34</f>
        <v>0</v>
      </c>
      <c r="AG55" s="69" t="n">
        <f aca="false">Liquidity!AG34</f>
        <v>0</v>
      </c>
      <c r="AH55" s="69" t="n">
        <f aca="false">Liquidity!AH34</f>
        <v>0</v>
      </c>
      <c r="AI55" s="69" t="n">
        <f aca="false">Liquidity!AI34</f>
        <v>0</v>
      </c>
      <c r="AJ55" s="69" t="n">
        <f aca="false">Liquidity!AJ34</f>
        <v>0</v>
      </c>
      <c r="AK55" s="69" t="n">
        <f aca="false">Liquidity!AK34</f>
        <v>0</v>
      </c>
      <c r="AL55" s="69" t="n">
        <f aca="false">Liquidity!AL34</f>
        <v>0</v>
      </c>
      <c r="AM55" s="69" t="n">
        <f aca="false">Liquidity!AM34</f>
        <v>0</v>
      </c>
    </row>
    <row r="56" customFormat="false" ht="21" hidden="false" customHeight="true" outlineLevel="0" collapsed="false">
      <c r="C56" s="56" t="s">
        <v>401</v>
      </c>
      <c r="D56" s="69"/>
      <c r="E56" s="69"/>
      <c r="F56" s="69"/>
      <c r="G56" s="69"/>
      <c r="H56" s="69"/>
      <c r="I56" s="69"/>
      <c r="J56" s="69" t="n">
        <f aca="false">MAX(-MAX(0,J53),Inputs!J57)</f>
        <v>0</v>
      </c>
      <c r="K56" s="69" t="n">
        <f aca="false">MAX(-MAX(0,K53),Inputs!K57)</f>
        <v>0</v>
      </c>
      <c r="L56" s="69" t="n">
        <f aca="false">MAX(-MAX(0,L53),Inputs!L57)</f>
        <v>0</v>
      </c>
      <c r="M56" s="69" t="n">
        <f aca="false">MAX(-MAX(0,M53),Inputs!M57)</f>
        <v>0</v>
      </c>
      <c r="N56" s="69" t="n">
        <f aca="false">MAX(-MAX(0,N53),Inputs!N57)</f>
        <v>0</v>
      </c>
      <c r="O56" s="69" t="n">
        <f aca="false">MAX(-MAX(0,O53),Inputs!O57)</f>
        <v>0</v>
      </c>
      <c r="P56" s="69" t="n">
        <f aca="false">MAX(-MAX(0,P53),Inputs!P57)</f>
        <v>0</v>
      </c>
      <c r="Q56" s="69" t="n">
        <f aca="false">MAX(-MAX(0,Q53),Inputs!Q57)</f>
        <v>0</v>
      </c>
      <c r="R56" s="69" t="n">
        <f aca="false">MAX(-MAX(0,R53),Inputs!R57)</f>
        <v>0</v>
      </c>
      <c r="S56" s="69" t="n">
        <f aca="false">MAX(-MAX(0,S53),Inputs!S57)</f>
        <v>0</v>
      </c>
      <c r="T56" s="69" t="n">
        <f aca="false">MAX(-MAX(0,T53),Inputs!T57)</f>
        <v>0</v>
      </c>
      <c r="U56" s="69" t="n">
        <f aca="false">MAX(-MAX(0,U53),Inputs!U57)</f>
        <v>0</v>
      </c>
      <c r="V56" s="69" t="n">
        <f aca="false">MAX(-MAX(0,V53),Inputs!V57)</f>
        <v>0</v>
      </c>
      <c r="W56" s="69" t="n">
        <f aca="false">MAX(-MAX(0,W53),Inputs!W57)</f>
        <v>0</v>
      </c>
      <c r="X56" s="69" t="n">
        <f aca="false">MAX(-MAX(0,X53),Inputs!X57)</f>
        <v>0</v>
      </c>
      <c r="Y56" s="69" t="n">
        <f aca="false">MAX(-MAX(0,Y53),Inputs!Y57)</f>
        <v>0</v>
      </c>
      <c r="Z56" s="69" t="n">
        <f aca="false">MAX(-MAX(0,Z53),Inputs!Z57)</f>
        <v>0</v>
      </c>
      <c r="AA56" s="69" t="n">
        <f aca="false">MAX(-MAX(0,AA53),Inputs!AA57)</f>
        <v>0</v>
      </c>
      <c r="AB56" s="69" t="n">
        <f aca="false">MAX(-MAX(0,AB53),Inputs!AB57)</f>
        <v>0</v>
      </c>
      <c r="AC56" s="69" t="n">
        <f aca="false">MAX(-MAX(0,AC53),Inputs!AC57)</f>
        <v>0</v>
      </c>
      <c r="AD56" s="69" t="n">
        <f aca="false">MAX(-MAX(0,AD53),Inputs!AD57)</f>
        <v>0</v>
      </c>
      <c r="AE56" s="69" t="n">
        <f aca="false">MAX(-MAX(0,AE53),Inputs!AE57)</f>
        <v>0</v>
      </c>
      <c r="AF56" s="69" t="n">
        <f aca="false">MAX(-MAX(0,AF53),Inputs!AF57)</f>
        <v>0</v>
      </c>
      <c r="AG56" s="69" t="n">
        <f aca="false">MAX(-MAX(0,AG53),Inputs!AG57)</f>
        <v>0</v>
      </c>
      <c r="AH56" s="69" t="n">
        <f aca="false">MAX(-MAX(0,AH53),Inputs!AH57)</f>
        <v>0</v>
      </c>
      <c r="AI56" s="69" t="n">
        <f aca="false">MAX(-MAX(0,AI53),Inputs!AI57)</f>
        <v>0</v>
      </c>
      <c r="AJ56" s="69" t="n">
        <f aca="false">MAX(-MAX(0,AJ53),Inputs!AJ57)</f>
        <v>0</v>
      </c>
      <c r="AK56" s="69" t="n">
        <f aca="false">MAX(-MAX(0,AK53),Inputs!AK57)</f>
        <v>0</v>
      </c>
      <c r="AL56" s="69" t="n">
        <f aca="false">MAX(-MAX(0,AL53),Inputs!AL57)</f>
        <v>0</v>
      </c>
      <c r="AM56" s="69" t="n">
        <f aca="false">MAX(-MAX(0,AM53),Inputs!AM57)</f>
        <v>0</v>
      </c>
    </row>
    <row r="57" customFormat="false" ht="21" hidden="false" customHeight="true" outlineLevel="0" collapsed="false">
      <c r="C57" s="56" t="s">
        <v>402</v>
      </c>
      <c r="D57" s="69"/>
      <c r="E57" s="69"/>
      <c r="F57" s="69"/>
      <c r="G57" s="69"/>
      <c r="H57" s="69"/>
      <c r="I57" s="69"/>
      <c r="J57" s="69" t="n">
        <f aca="false">MAX(-MAX(0,J53+J56),Inputs!J62)</f>
        <v>0</v>
      </c>
      <c r="K57" s="69" t="n">
        <f aca="false">MAX(-MAX(0,K53+K56),Inputs!K62)</f>
        <v>0</v>
      </c>
      <c r="L57" s="69" t="n">
        <f aca="false">MAX(-MAX(0,L53+L56),Inputs!L62)</f>
        <v>0</v>
      </c>
      <c r="M57" s="69" t="n">
        <f aca="false">MAX(-MAX(0,M53+M56),Inputs!M62)</f>
        <v>0</v>
      </c>
      <c r="N57" s="69" t="n">
        <f aca="false">MAX(-MAX(0,N53+N56),Inputs!N62)</f>
        <v>0</v>
      </c>
      <c r="O57" s="69" t="n">
        <f aca="false">MAX(-MAX(0,O53+O56),Inputs!O62)</f>
        <v>0</v>
      </c>
      <c r="P57" s="69" t="n">
        <f aca="false">MAX(-MAX(0,P53+P56),Inputs!P62)</f>
        <v>0</v>
      </c>
      <c r="Q57" s="69" t="n">
        <f aca="false">MAX(-MAX(0,Q53+Q56),Inputs!Q62)</f>
        <v>0</v>
      </c>
      <c r="R57" s="69" t="n">
        <f aca="false">MAX(-MAX(0,R53+R56),Inputs!R62)</f>
        <v>0</v>
      </c>
      <c r="S57" s="69" t="n">
        <f aca="false">MAX(-MAX(0,S53+S56),Inputs!S62)</f>
        <v>0</v>
      </c>
      <c r="T57" s="69" t="n">
        <f aca="false">MAX(-MAX(0,T53+T56),Inputs!T62)</f>
        <v>0</v>
      </c>
      <c r="U57" s="69" t="n">
        <f aca="false">MAX(-MAX(0,U53+U56),Inputs!U62)</f>
        <v>0</v>
      </c>
      <c r="V57" s="69" t="n">
        <f aca="false">MAX(-MAX(0,V53+V56),Inputs!V62)</f>
        <v>0</v>
      </c>
      <c r="W57" s="69" t="n">
        <f aca="false">MAX(-MAX(0,W53+W56),Inputs!W62)</f>
        <v>0</v>
      </c>
      <c r="X57" s="69" t="n">
        <f aca="false">MAX(-MAX(0,X53+X56),Inputs!X62)</f>
        <v>0</v>
      </c>
      <c r="Y57" s="69" t="n">
        <f aca="false">MAX(-MAX(0,Y53+Y56),Inputs!Y62)</f>
        <v>0</v>
      </c>
      <c r="Z57" s="69" t="n">
        <f aca="false">MAX(-MAX(0,Z53+Z56),Inputs!Z62)</f>
        <v>0</v>
      </c>
      <c r="AA57" s="69" t="n">
        <f aca="false">MAX(-MAX(0,AA53+AA56),Inputs!AA62)</f>
        <v>0</v>
      </c>
      <c r="AB57" s="69" t="n">
        <f aca="false">MAX(-MAX(0,AB53+AB56),Inputs!AB62)</f>
        <v>0</v>
      </c>
      <c r="AC57" s="69" t="n">
        <f aca="false">MAX(-MAX(0,AC53+AC56),Inputs!AC62)</f>
        <v>0</v>
      </c>
      <c r="AD57" s="69" t="n">
        <f aca="false">MAX(-MAX(0,AD53+AD56),Inputs!AD62)</f>
        <v>0</v>
      </c>
      <c r="AE57" s="69" t="n">
        <f aca="false">MAX(-MAX(0,AE53+AE56),Inputs!AE62)</f>
        <v>0</v>
      </c>
      <c r="AF57" s="69" t="n">
        <f aca="false">MAX(-MAX(0,AF53+AF56),Inputs!AF62)</f>
        <v>0</v>
      </c>
      <c r="AG57" s="69" t="n">
        <f aca="false">MAX(-MAX(0,AG53+AG56),Inputs!AG62)</f>
        <v>0</v>
      </c>
      <c r="AH57" s="69" t="n">
        <f aca="false">MAX(-MAX(0,AH53+AH56),Inputs!AH62)</f>
        <v>0</v>
      </c>
      <c r="AI57" s="69" t="n">
        <f aca="false">MAX(-MAX(0,AI53+AI56),Inputs!AI62)</f>
        <v>0</v>
      </c>
      <c r="AJ57" s="69" t="n">
        <f aca="false">MAX(-MAX(0,AJ53+AJ56),Inputs!AJ62)</f>
        <v>0</v>
      </c>
      <c r="AK57" s="69" t="n">
        <f aca="false">MAX(-MAX(0,AK53+AK56),Inputs!AK62)</f>
        <v>0</v>
      </c>
      <c r="AL57" s="69" t="n">
        <f aca="false">MAX(-MAX(0,AL53+AL56),Inputs!AL62)</f>
        <v>0</v>
      </c>
      <c r="AM57" s="69" t="n">
        <f aca="false">MAX(-MAX(0,AM53+AM56),Inputs!AM62)</f>
        <v>0</v>
      </c>
    </row>
    <row r="58" customFormat="false" ht="21" hidden="false" customHeight="true" outlineLevel="0" collapsed="false">
      <c r="C58" s="56" t="s">
        <v>403</v>
      </c>
      <c r="D58" s="71"/>
      <c r="E58" s="71"/>
      <c r="F58" s="71"/>
      <c r="G58" s="71"/>
      <c r="H58" s="71"/>
      <c r="I58" s="71"/>
      <c r="J58" s="71" t="n">
        <f aca="false">J53+J54-J55+J56+J57</f>
        <v>10538.02</v>
      </c>
      <c r="K58" s="71" t="n">
        <f aca="false">K53+K54-K55+K56+K57</f>
        <v>10538.02</v>
      </c>
      <c r="L58" s="71" t="n">
        <f aca="false">L53+L54-L55+L56+L57</f>
        <v>10538.02</v>
      </c>
      <c r="M58" s="71" t="n">
        <f aca="false">M53+M54-M55+M56+M57</f>
        <v>10538.02</v>
      </c>
      <c r="N58" s="71" t="n">
        <f aca="false">N53+N54-N55+N56+N57</f>
        <v>10538.02</v>
      </c>
      <c r="O58" s="71" t="n">
        <f aca="false">O53+O54-O55+O56+O57</f>
        <v>10538.02</v>
      </c>
      <c r="P58" s="71" t="n">
        <f aca="false">P53+P54-P55+P56+P57</f>
        <v>10538.02</v>
      </c>
      <c r="Q58" s="71" t="n">
        <f aca="false">Q53+Q54-Q55+Q56+Q57</f>
        <v>10538.02</v>
      </c>
      <c r="R58" s="71" t="n">
        <f aca="false">R53+R54-R55+R56+R57</f>
        <v>10538.02</v>
      </c>
      <c r="S58" s="71" t="n">
        <f aca="false">S53+S54-S55+S56+S57</f>
        <v>10538.02</v>
      </c>
      <c r="T58" s="71" t="n">
        <f aca="false">T53+T54-T55+T56+T57</f>
        <v>10538.02</v>
      </c>
      <c r="U58" s="71" t="n">
        <f aca="false">U53+U54-U55+U56+U57</f>
        <v>10538.02</v>
      </c>
      <c r="V58" s="71" t="n">
        <f aca="false">V53+V54-V55+V56+V57</f>
        <v>10538.02</v>
      </c>
      <c r="W58" s="71" t="n">
        <f aca="false">W53+W54-W55+W56+W57</f>
        <v>10538.02</v>
      </c>
      <c r="X58" s="71" t="n">
        <f aca="false">X53+X54-X55+X56+X57</f>
        <v>10538.02</v>
      </c>
      <c r="Y58" s="71" t="n">
        <f aca="false">Y53+Y54-Y55+Y56+Y57</f>
        <v>10538.02</v>
      </c>
      <c r="Z58" s="71" t="n">
        <f aca="false">Z53+Z54-Z55+Z56+Z57</f>
        <v>10538.02</v>
      </c>
      <c r="AA58" s="71" t="n">
        <f aca="false">AA53+AA54-AA55+AA56+AA57</f>
        <v>10538.02</v>
      </c>
      <c r="AB58" s="71" t="n">
        <f aca="false">AB53+AB54-AB55+AB56+AB57</f>
        <v>10538.02</v>
      </c>
      <c r="AC58" s="71" t="n">
        <f aca="false">AC53+AC54-AC55+AC56+AC57</f>
        <v>10538.02</v>
      </c>
      <c r="AD58" s="71" t="n">
        <f aca="false">AD53+AD54-AD55+AD56+AD57</f>
        <v>10538.02</v>
      </c>
      <c r="AE58" s="71" t="n">
        <f aca="false">AE53+AE54-AE55+AE56+AE57</f>
        <v>10538.02</v>
      </c>
      <c r="AF58" s="71" t="n">
        <f aca="false">AF53+AF54-AF55+AF56+AF57</f>
        <v>10538.02</v>
      </c>
      <c r="AG58" s="71" t="n">
        <f aca="false">AG53+AG54-AG55+AG56+AG57</f>
        <v>10538.02</v>
      </c>
      <c r="AH58" s="71" t="n">
        <f aca="false">AH53+AH54-AH55+AH56+AH57</f>
        <v>10538.02</v>
      </c>
      <c r="AI58" s="71" t="n">
        <f aca="false">AI53+AI54-AI55+AI56+AI57</f>
        <v>10538.02</v>
      </c>
      <c r="AJ58" s="71" t="n">
        <f aca="false">AJ53+AJ54-AJ55+AJ56+AJ57</f>
        <v>10538.02</v>
      </c>
      <c r="AK58" s="71" t="n">
        <f aca="false">AK53+AK54-AK55+AK56+AK57</f>
        <v>10538.02</v>
      </c>
      <c r="AL58" s="71" t="n">
        <f aca="false">AL53+AL54-AL55+AL56+AL57</f>
        <v>10538.02</v>
      </c>
      <c r="AM58" s="71" t="n">
        <f aca="false">AM53+AM54-AM55+AM56+AM57</f>
        <v>10538.02</v>
      </c>
    </row>
    <row r="59" customFormat="false" ht="21" hidden="false" customHeight="true" outlineLevel="0" collapsed="false">
      <c r="C59" s="56" t="s">
        <v>144</v>
      </c>
      <c r="D59" s="69"/>
      <c r="E59" s="69"/>
      <c r="F59" s="69"/>
      <c r="G59" s="69"/>
      <c r="H59" s="69"/>
      <c r="I59" s="69"/>
      <c r="J59" s="69" t="n">
        <f aca="false">J53*Inputs!J81*DAY(J$7)/(DATE(YEAR(J$7)+1,1,1)-DATE(YEAR(J$7),1,1))</f>
        <v>37.9403874528765</v>
      </c>
      <c r="K59" s="69" t="n">
        <f aca="false">K53*Inputs!K81*DAY(K$7)/(DATE(YEAR(K$7)+1,1,1)-DATE(YEAR(K$7),1,1))</f>
        <v>37.9403874528765</v>
      </c>
      <c r="L59" s="69" t="n">
        <f aca="false">L53*Inputs!L81*DAY(L$7)/(DATE(YEAR(L$7)+1,1,1)-DATE(YEAR(L$7),1,1))</f>
        <v>36.7165039866547</v>
      </c>
      <c r="M59" s="69" t="n">
        <f aca="false">M53*Inputs!M81*DAY(M$7)/(DATE(YEAR(M$7)+1,1,1)-DATE(YEAR(M$7),1,1))</f>
        <v>37.9403874528765</v>
      </c>
      <c r="N59" s="69" t="n">
        <f aca="false">N53*Inputs!N81*DAY(N$7)/(DATE(YEAR(N$7)+1,1,1)-DATE(YEAR(N$7),1,1))</f>
        <v>36.7165039866547</v>
      </c>
      <c r="O59" s="69" t="n">
        <f aca="false">O53*Inputs!O81*DAY(O$7)/(DATE(YEAR(O$7)+1,1,1)-DATE(YEAR(O$7),1,1))</f>
        <v>37.9403874528765</v>
      </c>
      <c r="P59" s="69" t="n">
        <f aca="false">P53*Inputs!P81*DAY(P$7)/(DATE(YEAR(P$7)+1,1,1)-DATE(YEAR(P$7),1,1))</f>
        <v>37.9403874528765</v>
      </c>
      <c r="Q59" s="69" t="n">
        <f aca="false">Q53*Inputs!Q81*DAY(Q$7)/(DATE(YEAR(Q$7)+1,1,1)-DATE(YEAR(Q$7),1,1))</f>
        <v>34.2687370542111</v>
      </c>
      <c r="R59" s="69" t="n">
        <f aca="false">R53*Inputs!R81*DAY(R$7)/(DATE(YEAR(R$7)+1,1,1)-DATE(YEAR(R$7),1,1))</f>
        <v>37.9403874528765</v>
      </c>
      <c r="S59" s="69" t="n">
        <f aca="false">S53*Inputs!S81*DAY(S$7)/(DATE(YEAR(S$7)+1,1,1)-DATE(YEAR(S$7),1,1))</f>
        <v>36.7165039866547</v>
      </c>
      <c r="T59" s="69" t="n">
        <f aca="false">T53*Inputs!T81*DAY(T$7)/(DATE(YEAR(T$7)+1,1,1)-DATE(YEAR(T$7),1,1))</f>
        <v>37.9403874528765</v>
      </c>
      <c r="U59" s="69" t="n">
        <f aca="false">U53*Inputs!U81*DAY(U$7)/(DATE(YEAR(U$7)+1,1,1)-DATE(YEAR(U$7),1,1))</f>
        <v>36.7165039866547</v>
      </c>
      <c r="V59" s="69" t="n">
        <f aca="false">V53*Inputs!V81*DAY(V$7)/(DATE(YEAR(V$7)+1,1,1)-DATE(YEAR(V$7),1,1))</f>
        <v>37.9403874528765</v>
      </c>
      <c r="W59" s="69" t="n">
        <f aca="false">W53*Inputs!W81*DAY(W$7)/(DATE(YEAR(W$7)+1,1,1)-DATE(YEAR(W$7),1,1))</f>
        <v>37.9403874528765</v>
      </c>
      <c r="X59" s="69" t="n">
        <f aca="false">X53*Inputs!X81*DAY(X$7)/(DATE(YEAR(X$7)+1,1,1)-DATE(YEAR(X$7),1,1))</f>
        <v>36.7165039866547</v>
      </c>
      <c r="Y59" s="69" t="n">
        <f aca="false">Y53*Inputs!Y81*DAY(Y$7)/(DATE(YEAR(Y$7)+1,1,1)-DATE(YEAR(Y$7),1,1))</f>
        <v>37.9403874528765</v>
      </c>
      <c r="Z59" s="69" t="n">
        <f aca="false">Z53*Inputs!Z81*DAY(Z$7)/(DATE(YEAR(Z$7)+1,1,1)-DATE(YEAR(Z$7),1,1))</f>
        <v>36.7165039866547</v>
      </c>
      <c r="AA59" s="69" t="n">
        <f aca="false">AA53*Inputs!AA81*DAY(AA$7)/(DATE(YEAR(AA$7)+1,1,1)-DATE(YEAR(AA$7),1,1))</f>
        <v>37.9403874528765</v>
      </c>
      <c r="AB59" s="69" t="n">
        <f aca="false">AB53*Inputs!AB81*DAY(AB$7)/(DATE(YEAR(AB$7)+1,1,1)-DATE(YEAR(AB$7),1,1))</f>
        <v>37.8367251920763</v>
      </c>
      <c r="AC59" s="69" t="n">
        <f aca="false">AC53*Inputs!AC81*DAY(AC$7)/(DATE(YEAR(AC$7)+1,1,1)-DATE(YEAR(AC$7),1,1))</f>
        <v>35.3956461474263</v>
      </c>
      <c r="AD59" s="69" t="n">
        <f aca="false">AD53*Inputs!AD81*DAY(AD$7)/(DATE(YEAR(AD$7)+1,1,1)-DATE(YEAR(AD$7),1,1))</f>
        <v>37.8367251920763</v>
      </c>
      <c r="AE59" s="69" t="n">
        <f aca="false">AE53*Inputs!AE81*DAY(AE$7)/(DATE(YEAR(AE$7)+1,1,1)-DATE(YEAR(AE$7),1,1))</f>
        <v>36.6161856697513</v>
      </c>
      <c r="AF59" s="69" t="n">
        <f aca="false">AF53*Inputs!AF81*DAY(AF$7)/(DATE(YEAR(AF$7)+1,1,1)-DATE(YEAR(AF$7),1,1))</f>
        <v>37.8367251920763</v>
      </c>
      <c r="AG59" s="69" t="n">
        <f aca="false">AG53*Inputs!AG81*DAY(AG$7)/(DATE(YEAR(AG$7)+1,1,1)-DATE(YEAR(AG$7),1,1))</f>
        <v>36.6161856697513</v>
      </c>
      <c r="AH59" s="69" t="n">
        <f aca="false">AH53*Inputs!AH81*DAY(AH$7)/(DATE(YEAR(AH$7)+1,1,1)-DATE(YEAR(AH$7),1,1))</f>
        <v>37.8367251920763</v>
      </c>
      <c r="AI59" s="69" t="n">
        <f aca="false">AI53*Inputs!AI81*DAY(AI$7)/(DATE(YEAR(AI$7)+1,1,1)-DATE(YEAR(AI$7),1,1))</f>
        <v>37.8367251920763</v>
      </c>
      <c r="AJ59" s="69" t="n">
        <f aca="false">AJ53*Inputs!AJ81*DAY(AJ$7)/(DATE(YEAR(AJ$7)+1,1,1)-DATE(YEAR(AJ$7),1,1))</f>
        <v>36.6161856697513</v>
      </c>
      <c r="AK59" s="69" t="n">
        <f aca="false">AK53*Inputs!AK81*DAY(AK$7)/(DATE(YEAR(AK$7)+1,1,1)-DATE(YEAR(AK$7),1,1))</f>
        <v>37.8367251920763</v>
      </c>
      <c r="AL59" s="69" t="n">
        <f aca="false">AL53*Inputs!AL81*DAY(AL$7)/(DATE(YEAR(AL$7)+1,1,1)-DATE(YEAR(AL$7),1,1))</f>
        <v>36.6161856697513</v>
      </c>
      <c r="AM59" s="69" t="n">
        <f aca="false">AM53*Inputs!AM81*DAY(AM$7)/(DATE(YEAR(AM$7)+1,1,1)-DATE(YEAR(AM$7),1,1))</f>
        <v>37.8367251920763</v>
      </c>
    </row>
    <row r="60" customFormat="false" ht="21" hidden="false" customHeight="true" outlineLevel="0" collapsed="false">
      <c r="C60" s="56" t="s">
        <v>404</v>
      </c>
      <c r="D60" s="71"/>
      <c r="E60" s="71"/>
      <c r="F60" s="71"/>
      <c r="G60" s="71"/>
      <c r="H60" s="71"/>
      <c r="I60" s="71"/>
      <c r="J60" s="71" t="n">
        <f aca="false">J53+J54-J55+J56+J57-J58</f>
        <v>0</v>
      </c>
      <c r="K60" s="71" t="n">
        <f aca="false">K53+K54-K55+K56+K57-K58</f>
        <v>0</v>
      </c>
      <c r="L60" s="71" t="n">
        <f aca="false">L53+L54-L55+L56+L57-L58</f>
        <v>0</v>
      </c>
      <c r="M60" s="71" t="n">
        <f aca="false">M53+M54-M55+M56+M57-M58</f>
        <v>0</v>
      </c>
      <c r="N60" s="71" t="n">
        <f aca="false">N53+N54-N55+N56+N57-N58</f>
        <v>0</v>
      </c>
      <c r="O60" s="71" t="n">
        <f aca="false">O53+O54-O55+O56+O57-O58</f>
        <v>0</v>
      </c>
      <c r="P60" s="71" t="n">
        <f aca="false">P53+P54-P55+P56+P57-P58</f>
        <v>0</v>
      </c>
      <c r="Q60" s="71" t="n">
        <f aca="false">Q53+Q54-Q55+Q56+Q57-Q58</f>
        <v>0</v>
      </c>
      <c r="R60" s="71" t="n">
        <f aca="false">R53+R54-R55+R56+R57-R58</f>
        <v>0</v>
      </c>
      <c r="S60" s="71" t="n">
        <f aca="false">S53+S54-S55+S56+S57-S58</f>
        <v>0</v>
      </c>
      <c r="T60" s="71" t="n">
        <f aca="false">T53+T54-T55+T56+T57-T58</f>
        <v>0</v>
      </c>
      <c r="U60" s="71" t="n">
        <f aca="false">U53+U54-U55+U56+U57-U58</f>
        <v>0</v>
      </c>
      <c r="V60" s="71" t="n">
        <f aca="false">V53+V54-V55+V56+V57-V58</f>
        <v>0</v>
      </c>
      <c r="W60" s="71" t="n">
        <f aca="false">W53+W54-W55+W56+W57-W58</f>
        <v>0</v>
      </c>
      <c r="X60" s="71" t="n">
        <f aca="false">X53+X54-X55+X56+X57-X58</f>
        <v>0</v>
      </c>
      <c r="Y60" s="71" t="n">
        <f aca="false">Y53+Y54-Y55+Y56+Y57-Y58</f>
        <v>0</v>
      </c>
      <c r="Z60" s="71" t="n">
        <f aca="false">Z53+Z54-Z55+Z56+Z57-Z58</f>
        <v>0</v>
      </c>
      <c r="AA60" s="71" t="n">
        <f aca="false">AA53+AA54-AA55+AA56+AA57-AA58</f>
        <v>0</v>
      </c>
      <c r="AB60" s="71" t="n">
        <f aca="false">AB53+AB54-AB55+AB56+AB57-AB58</f>
        <v>0</v>
      </c>
      <c r="AC60" s="71" t="n">
        <f aca="false">AC53+AC54-AC55+AC56+AC57-AC58</f>
        <v>0</v>
      </c>
      <c r="AD60" s="71" t="n">
        <f aca="false">AD53+AD54-AD55+AD56+AD57-AD58</f>
        <v>0</v>
      </c>
      <c r="AE60" s="71" t="n">
        <f aca="false">AE53+AE54-AE55+AE56+AE57-AE58</f>
        <v>0</v>
      </c>
      <c r="AF60" s="71" t="n">
        <f aca="false">AF53+AF54-AF55+AF56+AF57-AF58</f>
        <v>0</v>
      </c>
      <c r="AG60" s="71" t="n">
        <f aca="false">AG53+AG54-AG55+AG56+AG57-AG58</f>
        <v>0</v>
      </c>
      <c r="AH60" s="71" t="n">
        <f aca="false">AH53+AH54-AH55+AH56+AH57-AH58</f>
        <v>0</v>
      </c>
      <c r="AI60" s="71" t="n">
        <f aca="false">AI53+AI54-AI55+AI56+AI57-AI58</f>
        <v>0</v>
      </c>
      <c r="AJ60" s="71" t="n">
        <f aca="false">AJ53+AJ54-AJ55+AJ56+AJ57-AJ58</f>
        <v>0</v>
      </c>
      <c r="AK60" s="71" t="n">
        <f aca="false">AK53+AK54-AK55+AK56+AK57-AK58</f>
        <v>0</v>
      </c>
      <c r="AL60" s="71" t="n">
        <f aca="false">AL53+AL54-AL55+AL56+AL57-AL58</f>
        <v>0</v>
      </c>
      <c r="AM60" s="71" t="n">
        <f aca="false">AM53+AM54-AM55+AM56+AM57-AM58</f>
        <v>0</v>
      </c>
    </row>
    <row r="61" customFormat="false" ht="21" hidden="false" customHeight="true" outlineLevel="0" collapsed="false">
      <c r="C61" s="56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</row>
    <row r="62" customFormat="false" ht="21" hidden="false" customHeight="true" outlineLevel="0" collapsed="false">
      <c r="C62" s="56" t="s">
        <v>405</v>
      </c>
      <c r="D62" s="69"/>
      <c r="E62" s="69"/>
      <c r="F62" s="69"/>
      <c r="G62" s="69"/>
      <c r="H62" s="69"/>
      <c r="I62" s="69"/>
      <c r="J62" s="69" t="n">
        <f aca="false">MAX(0,Monthly_CF!J50+H1Data!D11)*Inputs!J82*DAY(J$7)/(DATE(YEAR(J$7)+1,1,1)-DATE(YEAR(J$7),1,1))</f>
        <v>8.610896158538</v>
      </c>
      <c r="K62" s="69" t="n">
        <f aca="false">MAX(0,Monthly_CF!K50+H1Data!D11)*Inputs!K82*DAY(K$7)/(DATE(YEAR(K$7)+1,1,1)-DATE(YEAR(K$7),1,1))</f>
        <v>8.76491462715402</v>
      </c>
      <c r="L62" s="69" t="n">
        <f aca="false">MAX(0,Monthly_CF!L50+H1Data!D11)*Inputs!L82*DAY(L$7)/(DATE(YEAR(L$7)+1,1,1)-DATE(YEAR(L$7),1,1))</f>
        <v>9.17487281487201</v>
      </c>
      <c r="M62" s="69" t="n">
        <f aca="false">MAX(0,Monthly_CF!M50+H1Data!D11)*Inputs!M82*DAY(M$7)/(DATE(YEAR(M$7)+1,1,1)-DATE(YEAR(M$7),1,1))</f>
        <v>9.6570177841247</v>
      </c>
      <c r="N62" s="69" t="n">
        <f aca="false">MAX(0,Monthly_CF!N50+H1Data!D11)*Inputs!N82*DAY(N$7)/(DATE(YEAR(N$7)+1,1,1)-DATE(YEAR(N$7),1,1))</f>
        <v>9.62306856905767</v>
      </c>
      <c r="O62" s="69" t="n">
        <f aca="false">MAX(0,Monthly_CF!O50+H1Data!D11)*Inputs!O82*DAY(O$7)/(DATE(YEAR(O$7)+1,1,1)-DATE(YEAR(O$7),1,1))</f>
        <v>11.1201558439159</v>
      </c>
      <c r="P62" s="69" t="n">
        <f aca="false">MAX(0,Monthly_CF!P50+H1Data!D11)*Inputs!P82*DAY(P$7)/(DATE(YEAR(P$7)+1,1,1)-DATE(YEAR(P$7),1,1))</f>
        <v>10.9923748420773</v>
      </c>
      <c r="Q62" s="69" t="n">
        <f aca="false">MAX(0,Monthly_CF!Q50+H1Data!D11)*Inputs!Q82*DAY(Q$7)/(DATE(YEAR(Q$7)+1,1,1)-DATE(YEAR(Q$7),1,1))</f>
        <v>11.3409416549393</v>
      </c>
      <c r="R62" s="69" t="n">
        <f aca="false">MAX(0,Monthly_CF!R50+H1Data!D11)*Inputs!R82*DAY(R$7)/(DATE(YEAR(R$7)+1,1,1)-DATE(YEAR(R$7),1,1))</f>
        <v>13.9297979272572</v>
      </c>
      <c r="S62" s="69" t="n">
        <f aca="false">MAX(0,Monthly_CF!S50+H1Data!D11)*Inputs!S82*DAY(S$7)/(DATE(YEAR(S$7)+1,1,1)-DATE(YEAR(S$7),1,1))</f>
        <v>12.314996385572</v>
      </c>
      <c r="T62" s="69" t="n">
        <f aca="false">MAX(0,Monthly_CF!T50+H1Data!D11)*Inputs!T82*DAY(T$7)/(DATE(YEAR(T$7)+1,1,1)-DATE(YEAR(T$7),1,1))</f>
        <v>14.4195206230925</v>
      </c>
      <c r="U62" s="69" t="n">
        <f aca="false">MAX(0,Monthly_CF!U50+H1Data!D11)*Inputs!U82*DAY(U$7)/(DATE(YEAR(U$7)+1,1,1)-DATE(YEAR(U$7),1,1))</f>
        <v>14.1661278740432</v>
      </c>
      <c r="V62" s="69" t="n">
        <f aca="false">MAX(0,Monthly_CF!V50+H1Data!D11)*Inputs!V82*DAY(V$7)/(DATE(YEAR(V$7)+1,1,1)-DATE(YEAR(V$7),1,1))</f>
        <v>8.40082831478422</v>
      </c>
      <c r="W62" s="69" t="n">
        <f aca="false">MAX(0,Monthly_CF!W50+H1Data!D11)*Inputs!W82*DAY(W$7)/(DATE(YEAR(W$7)+1,1,1)-DATE(YEAR(W$7),1,1))</f>
        <v>8.40152501269947</v>
      </c>
      <c r="X62" s="69" t="n">
        <f aca="false">MAX(0,Monthly_CF!X50+H1Data!D11)*Inputs!X82*DAY(X$7)/(DATE(YEAR(X$7)+1,1,1)-DATE(YEAR(X$7),1,1))</f>
        <v>9.14600121315167</v>
      </c>
      <c r="Y62" s="69" t="n">
        <f aca="false">MAX(0,Monthly_CF!Y50+H1Data!D11)*Inputs!Y82*DAY(Y$7)/(DATE(YEAR(Y$7)+1,1,1)-DATE(YEAR(Y$7),1,1))</f>
        <v>10.0246317466705</v>
      </c>
      <c r="Z62" s="69" t="n">
        <f aca="false">MAX(0,Monthly_CF!Z50+H1Data!D11)*Inputs!Z82*DAY(Z$7)/(DATE(YEAR(Z$7)+1,1,1)-DATE(YEAR(Z$7),1,1))</f>
        <v>9.95699123432913</v>
      </c>
      <c r="AA62" s="69" t="n">
        <f aca="false">MAX(0,Monthly_CF!AA50+H1Data!D11)*Inputs!AA82*DAY(AA$7)/(DATE(YEAR(AA$7)+1,1,1)-DATE(YEAR(AA$7),1,1))</f>
        <v>11.496537526562</v>
      </c>
      <c r="AB62" s="69" t="n">
        <f aca="false">MAX(0,Monthly_CF!AB50+H1Data!D11)*Inputs!AB82*DAY(AB$7)/(DATE(YEAR(AB$7)+1,1,1)-DATE(YEAR(AB$7),1,1))</f>
        <v>11.305989455976</v>
      </c>
      <c r="AC62" s="69" t="n">
        <f aca="false">MAX(0,Monthly_CF!AC50+H1Data!D11)*Inputs!AC82*DAY(AC$7)/(DATE(YEAR(AC$7)+1,1,1)-DATE(YEAR(AC$7),1,1))</f>
        <v>12.0818792713792</v>
      </c>
      <c r="AD62" s="69" t="n">
        <f aca="false">MAX(0,Monthly_CF!AD50+H1Data!D11)*Inputs!AD82*DAY(AD$7)/(DATE(YEAR(AD$7)+1,1,1)-DATE(YEAR(AD$7),1,1))</f>
        <v>13.9393807561131</v>
      </c>
      <c r="AE62" s="69" t="n">
        <f aca="false">MAX(0,Monthly_CF!AE50+H1Data!D11)*Inputs!AE82*DAY(AE$7)/(DATE(YEAR(AE$7)+1,1,1)-DATE(YEAR(AE$7),1,1))</f>
        <v>12.8287043613684</v>
      </c>
      <c r="AF62" s="69" t="n">
        <f aca="false">MAX(0,Monthly_CF!AF50+H1Data!D11)*Inputs!AF82*DAY(AF$7)/(DATE(YEAR(AF$7)+1,1,1)-DATE(YEAR(AF$7),1,1))</f>
        <v>14.7600692321509</v>
      </c>
      <c r="AG62" s="69" t="n">
        <f aca="false">MAX(0,Monthly_CF!AG50+H1Data!D11)*Inputs!AG82*DAY(AG$7)/(DATE(YEAR(AG$7)+1,1,1)-DATE(YEAR(AG$7),1,1))</f>
        <v>14.491128253067</v>
      </c>
      <c r="AH62" s="69" t="n">
        <f aca="false">MAX(0,Monthly_CF!AH50+H1Data!D11)*Inputs!AH82*DAY(AH$7)/(DATE(YEAR(AH$7)+1,1,1)-DATE(YEAR(AH$7),1,1))</f>
        <v>8.46797220344918</v>
      </c>
      <c r="AI62" s="69" t="n">
        <f aca="false">MAX(0,Monthly_CF!AI50+H1Data!D11)*Inputs!AI82*DAY(AI$7)/(DATE(YEAR(AI$7)+1,1,1)-DATE(YEAR(AI$7),1,1))</f>
        <v>8.44089204512095</v>
      </c>
      <c r="AJ62" s="69" t="n">
        <f aca="false">MAX(0,Monthly_CF!AJ50+H1Data!D11)*Inputs!AJ82*DAY(AJ$7)/(DATE(YEAR(AJ$7)+1,1,1)-DATE(YEAR(AJ$7),1,1))</f>
        <v>9.19530134578749</v>
      </c>
      <c r="AK62" s="69" t="n">
        <f aca="false">MAX(0,Monthly_CF!AK50+H1Data!D11)*Inputs!AK82*DAY(AK$7)/(DATE(YEAR(AK$7)+1,1,1)-DATE(YEAR(AK$7),1,1))</f>
        <v>10.0914580378926</v>
      </c>
      <c r="AL62" s="69" t="n">
        <f aca="false">MAX(0,Monthly_CF!AL50+H1Data!D11)*Inputs!AL82*DAY(AL$7)/(DATE(YEAR(AL$7)+1,1,1)-DATE(YEAR(AL$7),1,1))</f>
        <v>9.99754006404023</v>
      </c>
      <c r="AM62" s="69" t="n">
        <f aca="false">MAX(0,Monthly_CF!AM50+H1Data!D11)*Inputs!AM82*DAY(AM$7)/(DATE(YEAR(AM$7)+1,1,1)-DATE(YEAR(AM$7),1,1))</f>
        <v>11.5651783883811</v>
      </c>
    </row>
    <row r="63" customFormat="false" ht="21" hidden="false" customHeight="true" outlineLevel="0" collapsed="false">
      <c r="C63" s="56" t="s">
        <v>180</v>
      </c>
      <c r="D63" s="69"/>
      <c r="E63" s="69"/>
      <c r="F63" s="69"/>
      <c r="G63" s="69"/>
      <c r="H63" s="69"/>
      <c r="I63" s="69"/>
      <c r="J63" s="69" t="n">
        <f aca="false">J62*MIN(1,MAX(0,Inputs!J83))</f>
        <v>0.615192842140123</v>
      </c>
      <c r="K63" s="69" t="n">
        <f aca="false">K62*MIN(1,MAX(0,Inputs!K83))</f>
        <v>0.626196465654502</v>
      </c>
      <c r="L63" s="69" t="n">
        <f aca="false">L62*MIN(1,MAX(0,Inputs!L83))</f>
        <v>0.655485326885371</v>
      </c>
      <c r="M63" s="69" t="n">
        <f aca="false">M62*MIN(1,MAX(0,Inputs!M83))</f>
        <v>0.689931466810542</v>
      </c>
      <c r="N63" s="69" t="n">
        <f aca="false">N62*MIN(1,MAX(0,Inputs!N83))</f>
        <v>0.687506014950366</v>
      </c>
      <c r="O63" s="69" t="n">
        <f aca="false">O62*MIN(1,MAX(0,Inputs!O83))</f>
        <v>0.794463218776199</v>
      </c>
      <c r="P63" s="69" t="n">
        <f aca="false">P62*MIN(1,MAX(0,Inputs!P83))</f>
        <v>0.785334092580124</v>
      </c>
      <c r="Q63" s="69" t="n">
        <f aca="false">Q62*MIN(1,MAX(0,Inputs!Q83))</f>
        <v>0.810236937107834</v>
      </c>
      <c r="R63" s="69" t="n">
        <f aca="false">R62*MIN(1,MAX(0,Inputs!R83))</f>
        <v>0.995193975113723</v>
      </c>
      <c r="S63" s="69" t="n">
        <f aca="false">S62*MIN(1,MAX(0,Inputs!S83))</f>
        <v>0.879826848204811</v>
      </c>
      <c r="T63" s="69" t="n">
        <f aca="false">T62*MIN(1,MAX(0,Inputs!T83))</f>
        <v>1.03018149459655</v>
      </c>
      <c r="U63" s="69" t="n">
        <f aca="false">U62*MIN(1,MAX(0,Inputs!U83))</f>
        <v>1.01207822141856</v>
      </c>
      <c r="V63" s="69" t="n">
        <f aca="false">V62*MIN(1,MAX(0,Inputs!V83))</f>
        <v>0.600184853254669</v>
      </c>
      <c r="W63" s="69" t="n">
        <f aca="false">W62*MIN(1,MAX(0,Inputs!W83))</f>
        <v>0.600234627815029</v>
      </c>
      <c r="X63" s="69" t="n">
        <f aca="false">X62*MIN(1,MAX(0,Inputs!X83))</f>
        <v>0.653422637660875</v>
      </c>
      <c r="Y63" s="69" t="n">
        <f aca="false">Y62*MIN(1,MAX(0,Inputs!Y83))</f>
        <v>0.716195107001429</v>
      </c>
      <c r="Z63" s="69" t="n">
        <f aca="false">Z62*MIN(1,MAX(0,Inputs!Z83))</f>
        <v>0.71136262983936</v>
      </c>
      <c r="AA63" s="69" t="n">
        <f aca="false">AA62*MIN(1,MAX(0,Inputs!AA83))</f>
        <v>0.821353255865654</v>
      </c>
      <c r="AB63" s="69" t="n">
        <f aca="false">AB62*MIN(1,MAX(0,Inputs!AB83))</f>
        <v>0.807739828534761</v>
      </c>
      <c r="AC63" s="69" t="n">
        <f aca="false">AC62*MIN(1,MAX(0,Inputs!AC83))</f>
        <v>0.863172138010726</v>
      </c>
      <c r="AD63" s="69" t="n">
        <f aca="false">AD62*MIN(1,MAX(0,Inputs!AD83))</f>
        <v>0.995878606261409</v>
      </c>
      <c r="AE63" s="69" t="n">
        <f aca="false">AE62*MIN(1,MAX(0,Inputs!AE83))</f>
        <v>0.916527960823253</v>
      </c>
      <c r="AF63" s="69" t="n">
        <f aca="false">AF62*MIN(1,MAX(0,Inputs!AF83))</f>
        <v>1.05451149031782</v>
      </c>
      <c r="AG63" s="69" t="n">
        <f aca="false">AG62*MIN(1,MAX(0,Inputs!AG83))</f>
        <v>1.03529739665737</v>
      </c>
      <c r="AH63" s="69" t="n">
        <f aca="false">AH62*MIN(1,MAX(0,Inputs!AH83))</f>
        <v>0.604981849866826</v>
      </c>
      <c r="AI63" s="69" t="n">
        <f aca="false">AI62*MIN(1,MAX(0,Inputs!AI83))</f>
        <v>0.603047147687073</v>
      </c>
      <c r="AJ63" s="69" t="n">
        <f aca="false">AJ62*MIN(1,MAX(0,Inputs!AJ83))</f>
        <v>0.656944813303887</v>
      </c>
      <c r="AK63" s="69" t="n">
        <f aca="false">AK62*MIN(1,MAX(0,Inputs!AK83))</f>
        <v>0.720969413330261</v>
      </c>
      <c r="AL63" s="69" t="n">
        <f aca="false">AL62*MIN(1,MAX(0,Inputs!AL83))</f>
        <v>0.714259581484827</v>
      </c>
      <c r="AM63" s="69" t="n">
        <f aca="false">AM62*MIN(1,MAX(0,Inputs!AM83))</f>
        <v>0.826257201528451</v>
      </c>
    </row>
    <row r="64" customFormat="false" ht="21" hidden="false" customHeight="true" outlineLevel="0" collapsed="false">
      <c r="C64" s="56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</row>
    <row r="65" customFormat="false" ht="21" hidden="false" customHeight="true" outlineLevel="0" collapsed="false">
      <c r="C65" s="56" t="s">
        <v>406</v>
      </c>
      <c r="D65" s="71"/>
      <c r="E65" s="71"/>
      <c r="F65" s="71"/>
      <c r="G65" s="71"/>
      <c r="H65" s="71"/>
      <c r="I65" s="71"/>
      <c r="J65" s="71" t="n">
        <f aca="false">J12+J23+J34+Liquidity!J41</f>
        <v>0</v>
      </c>
      <c r="K65" s="71" t="n">
        <f aca="false">K12+K23+K34+Liquidity!K41</f>
        <v>0</v>
      </c>
      <c r="L65" s="71" t="n">
        <f aca="false">L12+L23+L34+Liquidity!L41</f>
        <v>0</v>
      </c>
      <c r="M65" s="71" t="n">
        <f aca="false">M12+M23+M34+Liquidity!M41</f>
        <v>0</v>
      </c>
      <c r="N65" s="71" t="n">
        <f aca="false">N12+N23+N34+Liquidity!N41</f>
        <v>0</v>
      </c>
      <c r="O65" s="71" t="n">
        <f aca="false">O12+O23+O34+Liquidity!O41</f>
        <v>0</v>
      </c>
      <c r="P65" s="71" t="n">
        <f aca="false">P12+P23+P34+Liquidity!P41</f>
        <v>0</v>
      </c>
      <c r="Q65" s="71" t="n">
        <f aca="false">Q12+Q23+Q34+Liquidity!Q41</f>
        <v>0</v>
      </c>
      <c r="R65" s="71" t="n">
        <f aca="false">R12+R23+R34+Liquidity!R41</f>
        <v>0</v>
      </c>
      <c r="S65" s="71" t="n">
        <f aca="false">S12+S23+S34+Liquidity!S41</f>
        <v>0</v>
      </c>
      <c r="T65" s="71" t="n">
        <f aca="false">T12+T23+T34+Liquidity!T41</f>
        <v>0</v>
      </c>
      <c r="U65" s="71" t="n">
        <f aca="false">U12+U23+U34+Liquidity!U41</f>
        <v>0</v>
      </c>
      <c r="V65" s="71" t="n">
        <f aca="false">V12+V23+V34+Liquidity!V41</f>
        <v>0</v>
      </c>
      <c r="W65" s="71" t="n">
        <f aca="false">W12+W23+W34+Liquidity!W41</f>
        <v>0</v>
      </c>
      <c r="X65" s="71" t="n">
        <f aca="false">X12+X23+X34+Liquidity!X41</f>
        <v>0</v>
      </c>
      <c r="Y65" s="71" t="n">
        <f aca="false">Y12+Y23+Y34+Liquidity!Y41</f>
        <v>0</v>
      </c>
      <c r="Z65" s="71" t="n">
        <f aca="false">Z12+Z23+Z34+Liquidity!Z41</f>
        <v>0</v>
      </c>
      <c r="AA65" s="71" t="n">
        <f aca="false">AA12+AA23+AA34+Liquidity!AA41</f>
        <v>0</v>
      </c>
      <c r="AB65" s="71" t="n">
        <f aca="false">AB12+AB23+AB34+Liquidity!AB41</f>
        <v>0</v>
      </c>
      <c r="AC65" s="71" t="n">
        <f aca="false">AC12+AC23+AC34+Liquidity!AC41</f>
        <v>0</v>
      </c>
      <c r="AD65" s="71" t="n">
        <f aca="false">AD12+AD23+AD34+Liquidity!AD41</f>
        <v>0</v>
      </c>
      <c r="AE65" s="71" t="n">
        <f aca="false">AE12+AE23+AE34+Liquidity!AE41</f>
        <v>0</v>
      </c>
      <c r="AF65" s="71" t="n">
        <f aca="false">AF12+AF23+AF34+Liquidity!AF41</f>
        <v>0</v>
      </c>
      <c r="AG65" s="71" t="n">
        <f aca="false">AG12+AG23+AG34+Liquidity!AG41</f>
        <v>0</v>
      </c>
      <c r="AH65" s="71" t="n">
        <f aca="false">AH12+AH23+AH34+Liquidity!AH41</f>
        <v>0</v>
      </c>
      <c r="AI65" s="71" t="n">
        <f aca="false">AI12+AI23+AI34+Liquidity!AI41</f>
        <v>0</v>
      </c>
      <c r="AJ65" s="71" t="n">
        <f aca="false">AJ12+AJ23+AJ34+Liquidity!AJ41</f>
        <v>0</v>
      </c>
      <c r="AK65" s="71" t="n">
        <f aca="false">AK12+AK23+AK34+Liquidity!AK41</f>
        <v>0</v>
      </c>
      <c r="AL65" s="71" t="n">
        <f aca="false">AL12+AL23+AL34+Liquidity!AL41</f>
        <v>0</v>
      </c>
      <c r="AM65" s="71" t="n">
        <f aca="false">AM12+AM23+AM34+Liquidity!AM41</f>
        <v>0</v>
      </c>
    </row>
    <row r="66" customFormat="false" ht="21" hidden="false" customHeight="true" outlineLevel="0" collapsed="false">
      <c r="C66" s="56" t="s">
        <v>407</v>
      </c>
      <c r="D66" s="71"/>
      <c r="E66" s="71"/>
      <c r="F66" s="71"/>
      <c r="G66" s="71"/>
      <c r="H66" s="71"/>
      <c r="I66" s="71"/>
      <c r="J66" s="71" t="n">
        <f aca="false">J14+J25+J36+Liquidity!J46</f>
        <v>0</v>
      </c>
      <c r="K66" s="71" t="n">
        <f aca="false">K14+K25+K36+Liquidity!K46</f>
        <v>0</v>
      </c>
      <c r="L66" s="71" t="n">
        <f aca="false">L14+L25+L36+Liquidity!L46</f>
        <v>0</v>
      </c>
      <c r="M66" s="71" t="n">
        <f aca="false">M14+M25+M36+Liquidity!M46</f>
        <v>0</v>
      </c>
      <c r="N66" s="71" t="n">
        <f aca="false">N14+N25+N36+Liquidity!N46</f>
        <v>0</v>
      </c>
      <c r="O66" s="71" t="n">
        <f aca="false">O14+O25+O36+Liquidity!O46</f>
        <v>0</v>
      </c>
      <c r="P66" s="71" t="n">
        <f aca="false">P14+P25+P36+Liquidity!P46</f>
        <v>0</v>
      </c>
      <c r="Q66" s="71" t="n">
        <f aca="false">Q14+Q25+Q36+Liquidity!Q46</f>
        <v>0</v>
      </c>
      <c r="R66" s="71" t="n">
        <f aca="false">R14+R25+R36+Liquidity!R46</f>
        <v>0</v>
      </c>
      <c r="S66" s="71" t="n">
        <f aca="false">S14+S25+S36+Liquidity!S46</f>
        <v>0</v>
      </c>
      <c r="T66" s="71" t="n">
        <f aca="false">T14+T25+T36+Liquidity!T46</f>
        <v>0</v>
      </c>
      <c r="U66" s="71" t="n">
        <f aca="false">U14+U25+U36+Liquidity!U46</f>
        <v>184.426999816</v>
      </c>
      <c r="V66" s="71" t="n">
        <f aca="false">V14+V25+V36+Liquidity!V46</f>
        <v>0</v>
      </c>
      <c r="W66" s="71" t="n">
        <f aca="false">W14+W25+W36+Liquidity!W46</f>
        <v>0</v>
      </c>
      <c r="X66" s="71" t="n">
        <f aca="false">X14+X25+X36+Liquidity!X46</f>
        <v>0</v>
      </c>
      <c r="Y66" s="71" t="n">
        <f aca="false">Y14+Y25+Y36+Liquidity!Y46</f>
        <v>0</v>
      </c>
      <c r="Z66" s="71" t="n">
        <f aca="false">Z14+Z25+Z36+Liquidity!Z46</f>
        <v>0</v>
      </c>
      <c r="AA66" s="71" t="n">
        <f aca="false">AA14+AA25+AA36+Liquidity!AA46</f>
        <v>0</v>
      </c>
      <c r="AB66" s="71" t="n">
        <f aca="false">AB14+AB25+AB36+Liquidity!AB46</f>
        <v>0</v>
      </c>
      <c r="AC66" s="71" t="n">
        <f aca="false">AC14+AC25+AC36+Liquidity!AC46</f>
        <v>0</v>
      </c>
      <c r="AD66" s="71" t="n">
        <f aca="false">AD14+AD25+AD36+Liquidity!AD46</f>
        <v>0</v>
      </c>
      <c r="AE66" s="71" t="n">
        <f aca="false">AE14+AE25+AE36+Liquidity!AE46</f>
        <v>0</v>
      </c>
      <c r="AF66" s="71" t="n">
        <f aca="false">AF14+AF25+AF36+Liquidity!AF46</f>
        <v>0</v>
      </c>
      <c r="AG66" s="71" t="n">
        <f aca="false">AG14+AG25+AG36+Liquidity!AG46</f>
        <v>184.426999816</v>
      </c>
      <c r="AH66" s="71" t="n">
        <f aca="false">AH14+AH25+AH36+Liquidity!AH46</f>
        <v>0</v>
      </c>
      <c r="AI66" s="71" t="n">
        <f aca="false">AI14+AI25+AI36+Liquidity!AI46</f>
        <v>0</v>
      </c>
      <c r="AJ66" s="71" t="n">
        <f aca="false">AJ14+AJ25+AJ36+Liquidity!AJ46</f>
        <v>0</v>
      </c>
      <c r="AK66" s="71" t="n">
        <f aca="false">AK14+AK25+AK36+Liquidity!AK46</f>
        <v>0</v>
      </c>
      <c r="AL66" s="71" t="n">
        <f aca="false">AL14+AL25+AL36+Liquidity!AL46</f>
        <v>0</v>
      </c>
      <c r="AM66" s="71" t="n">
        <f aca="false">AM14+AM25+AM36+Liquidity!AM46</f>
        <v>0</v>
      </c>
    </row>
    <row r="67" customFormat="false" ht="21" hidden="false" customHeight="true" outlineLevel="0" collapsed="false">
      <c r="C67" s="56" t="s">
        <v>408</v>
      </c>
      <c r="D67" s="71"/>
      <c r="E67" s="71"/>
      <c r="F67" s="71"/>
      <c r="G67" s="71"/>
      <c r="H67" s="71"/>
      <c r="I67" s="71"/>
      <c r="J67" s="71" t="n">
        <f aca="false">J16+J27+J38+Liquidity!J27</f>
        <v>4.03670529180084</v>
      </c>
      <c r="K67" s="71" t="n">
        <f aca="false">K16+K27+K38+Liquidity!K27</f>
        <v>4.03670529180084</v>
      </c>
      <c r="L67" s="71" t="n">
        <f aca="false">L16+L27+L38+Liquidity!L27</f>
        <v>3.90648899206533</v>
      </c>
      <c r="M67" s="71" t="n">
        <f aca="false">M16+M27+M38+Liquidity!M27</f>
        <v>4.03670529180084</v>
      </c>
      <c r="N67" s="71" t="n">
        <f aca="false">N16+N27+N38+Liquidity!N27</f>
        <v>3.90648899206533</v>
      </c>
      <c r="O67" s="71" t="n">
        <f aca="false">O16+O27+O38+Liquidity!O27</f>
        <v>4.03670529180084</v>
      </c>
      <c r="P67" s="71" t="n">
        <f aca="false">P16+P27+P38+Liquidity!P27</f>
        <v>4.03670529180084</v>
      </c>
      <c r="Q67" s="71" t="n">
        <f aca="false">Q16+Q27+Q38+Liquidity!Q27</f>
        <v>3.64605639259431</v>
      </c>
      <c r="R67" s="71" t="n">
        <f aca="false">R16+R27+R38+Liquidity!R27</f>
        <v>4.03670529180084</v>
      </c>
      <c r="S67" s="71" t="n">
        <f aca="false">S16+S27+S38+Liquidity!S27</f>
        <v>3.90648899206533</v>
      </c>
      <c r="T67" s="71" t="n">
        <f aca="false">T16+T27+T38+Liquidity!T27</f>
        <v>4.03670529180084</v>
      </c>
      <c r="U67" s="71" t="n">
        <f aca="false">U16+U27+U38+Liquidity!U27</f>
        <v>3.90648899206533</v>
      </c>
      <c r="V67" s="71" t="n">
        <f aca="false">V16+V27+V38+Liquidity!V27</f>
        <v>3.22935363045536</v>
      </c>
      <c r="W67" s="71" t="n">
        <f aca="false">W16+W27+W38+Liquidity!W27</f>
        <v>3.22935363045536</v>
      </c>
      <c r="X67" s="71" t="n">
        <f aca="false">X16+X27+X38+Liquidity!X27</f>
        <v>3.12518093269873</v>
      </c>
      <c r="Y67" s="71" t="n">
        <f aca="false">Y16+Y27+Y38+Liquidity!Y27</f>
        <v>3.22935363045536</v>
      </c>
      <c r="Z67" s="71" t="n">
        <f aca="false">Z16+Z27+Z38+Liquidity!Z27</f>
        <v>3.12518093269873</v>
      </c>
      <c r="AA67" s="71" t="n">
        <f aca="false">AA16+AA27+AA38+Liquidity!AA27</f>
        <v>3.22935363045536</v>
      </c>
      <c r="AB67" s="71" t="n">
        <f aca="false">AB16+AB27+AB38+Liquidity!AB27</f>
        <v>3.22053025988034</v>
      </c>
      <c r="AC67" s="71" t="n">
        <f aca="false">AC16+AC27+AC38+Liquidity!AC27</f>
        <v>3.01275411408161</v>
      </c>
      <c r="AD67" s="71" t="n">
        <f aca="false">AD16+AD27+AD38+Liquidity!AD27</f>
        <v>3.22053025988034</v>
      </c>
      <c r="AE67" s="71" t="n">
        <f aca="false">AE16+AE27+AE38+Liquidity!AE27</f>
        <v>3.11664218698098</v>
      </c>
      <c r="AF67" s="71" t="n">
        <f aca="false">AF16+AF27+AF38+Liquidity!AF27</f>
        <v>3.22053025988034</v>
      </c>
      <c r="AG67" s="71" t="n">
        <f aca="false">AG16+AG27+AG38+Liquidity!AG27</f>
        <v>3.11664218698098</v>
      </c>
      <c r="AH67" s="71" t="n">
        <f aca="false">AH16+AH27+AH38+Liquidity!AH27</f>
        <v>2.415384477391</v>
      </c>
      <c r="AI67" s="71" t="n">
        <f aca="false">AI16+AI27+AI38+Liquidity!AI27</f>
        <v>2.415384477391</v>
      </c>
      <c r="AJ67" s="71" t="n">
        <f aca="false">AJ16+AJ27+AJ38+Liquidity!AJ27</f>
        <v>2.33746884908806</v>
      </c>
      <c r="AK67" s="71" t="n">
        <f aca="false">AK16+AK27+AK38+Liquidity!AK27</f>
        <v>2.415384477391</v>
      </c>
      <c r="AL67" s="71" t="n">
        <f aca="false">AL16+AL27+AL38+Liquidity!AL27</f>
        <v>2.33746884908806</v>
      </c>
      <c r="AM67" s="71" t="n">
        <f aca="false">AM16+AM27+AM38+Liquidity!AM27</f>
        <v>2.415384477391</v>
      </c>
    </row>
    <row r="68" customFormat="false" ht="21" hidden="false" customHeight="true" outlineLevel="0" collapsed="false">
      <c r="C68" s="56" t="s">
        <v>409</v>
      </c>
      <c r="D68" s="71"/>
      <c r="E68" s="71"/>
      <c r="F68" s="71"/>
      <c r="G68" s="71"/>
      <c r="H68" s="71"/>
      <c r="I68" s="71"/>
      <c r="J68" s="71" t="n">
        <f aca="false">J15+J26+J37+J69+Liquidity!J48</f>
        <v>923.6183891</v>
      </c>
      <c r="K68" s="71" t="n">
        <f aca="false">K15+K26+K37+K69+Liquidity!K48</f>
        <v>923.6183891</v>
      </c>
      <c r="L68" s="71" t="n">
        <f aca="false">L15+L26+L37+L69+Liquidity!L48</f>
        <v>923.6183891</v>
      </c>
      <c r="M68" s="71" t="n">
        <f aca="false">M15+M26+M37+M69+Liquidity!M48</f>
        <v>923.6183891</v>
      </c>
      <c r="N68" s="71" t="n">
        <f aca="false">N15+N26+N37+N69+Liquidity!N48</f>
        <v>923.6183891</v>
      </c>
      <c r="O68" s="71" t="n">
        <f aca="false">O15+O26+O37+O69+Liquidity!O48</f>
        <v>923.6183891</v>
      </c>
      <c r="P68" s="71" t="n">
        <f aca="false">P15+P26+P37+P69+Liquidity!P48</f>
        <v>923.6183891</v>
      </c>
      <c r="Q68" s="71" t="n">
        <f aca="false">Q15+Q26+Q37+Q69+Liquidity!Q48</f>
        <v>923.6183891</v>
      </c>
      <c r="R68" s="71" t="n">
        <f aca="false">R15+R26+R37+R69+Liquidity!R48</f>
        <v>923.6183891</v>
      </c>
      <c r="S68" s="71" t="n">
        <f aca="false">S15+S26+S37+S69+Liquidity!S48</f>
        <v>923.6183891</v>
      </c>
      <c r="T68" s="71" t="n">
        <f aca="false">T15+T26+T37+T69+Liquidity!T48</f>
        <v>923.6183891</v>
      </c>
      <c r="U68" s="71" t="n">
        <f aca="false">U15+U26+U37+U69+Liquidity!U48</f>
        <v>739.191389284</v>
      </c>
      <c r="V68" s="71" t="n">
        <f aca="false">V15+V26+V37+V69+Liquidity!V48</f>
        <v>739.191389284</v>
      </c>
      <c r="W68" s="71" t="n">
        <f aca="false">W15+W26+W37+W69+Liquidity!W48</f>
        <v>739.191389284</v>
      </c>
      <c r="X68" s="71" t="n">
        <f aca="false">X15+X26+X37+X69+Liquidity!X48</f>
        <v>739.191389284</v>
      </c>
      <c r="Y68" s="71" t="n">
        <f aca="false">Y15+Y26+Y37+Y69+Liquidity!Y48</f>
        <v>739.191389284</v>
      </c>
      <c r="Z68" s="71" t="n">
        <f aca="false">Z15+Z26+Z37+Z69+Liquidity!Z48</f>
        <v>739.191389284</v>
      </c>
      <c r="AA68" s="71" t="n">
        <f aca="false">AA15+AA26+AA37+AA69+Liquidity!AA48</f>
        <v>739.191389284</v>
      </c>
      <c r="AB68" s="71" t="n">
        <f aca="false">AB15+AB26+AB37+AB69+Liquidity!AB48</f>
        <v>739.191389284</v>
      </c>
      <c r="AC68" s="71" t="n">
        <f aca="false">AC15+AC26+AC37+AC69+Liquidity!AC48</f>
        <v>739.191389284</v>
      </c>
      <c r="AD68" s="71" t="n">
        <f aca="false">AD15+AD26+AD37+AD69+Liquidity!AD48</f>
        <v>739.191389284</v>
      </c>
      <c r="AE68" s="71" t="n">
        <f aca="false">AE15+AE26+AE37+AE69+Liquidity!AE48</f>
        <v>739.191389284</v>
      </c>
      <c r="AF68" s="71" t="n">
        <f aca="false">AF15+AF26+AF37+AF69+Liquidity!AF48</f>
        <v>739.191389284</v>
      </c>
      <c r="AG68" s="71" t="n">
        <f aca="false">AG15+AG26+AG37+AG69+Liquidity!AG48</f>
        <v>554.764389468</v>
      </c>
      <c r="AH68" s="71" t="n">
        <f aca="false">AH15+AH26+AH37+AH69+Liquidity!AH48</f>
        <v>554.764389468</v>
      </c>
      <c r="AI68" s="71" t="n">
        <f aca="false">AI15+AI26+AI37+AI69+Liquidity!AI48</f>
        <v>554.764389468</v>
      </c>
      <c r="AJ68" s="71" t="n">
        <f aca="false">AJ15+AJ26+AJ37+AJ69+Liquidity!AJ48</f>
        <v>554.764389468</v>
      </c>
      <c r="AK68" s="71" t="n">
        <f aca="false">AK15+AK26+AK37+AK69+Liquidity!AK48</f>
        <v>554.764389468</v>
      </c>
      <c r="AL68" s="71" t="n">
        <f aca="false">AL15+AL26+AL37+AL69+Liquidity!AL48</f>
        <v>554.764389468</v>
      </c>
      <c r="AM68" s="71" t="n">
        <f aca="false">AM15+AM26+AM37+AM69+Liquidity!AM48</f>
        <v>554.764389468</v>
      </c>
    </row>
    <row r="69" customFormat="false" ht="21" hidden="false" customHeight="true" outlineLevel="0" collapsed="false">
      <c r="C69" s="56" t="s">
        <v>410</v>
      </c>
      <c r="D69" s="69"/>
      <c r="E69" s="69"/>
      <c r="F69" s="69"/>
      <c r="G69" s="69"/>
      <c r="H69" s="69"/>
      <c r="I69" s="69"/>
      <c r="J69" s="69" t="n">
        <f aca="false">H1Data!D34</f>
        <v>1.49550046</v>
      </c>
      <c r="K69" s="69" t="n">
        <f aca="false">H1Data!D34</f>
        <v>1.49550046</v>
      </c>
      <c r="L69" s="69" t="n">
        <f aca="false">H1Data!D34</f>
        <v>1.49550046</v>
      </c>
      <c r="M69" s="69" t="n">
        <f aca="false">H1Data!D34</f>
        <v>1.49550046</v>
      </c>
      <c r="N69" s="69" t="n">
        <f aca="false">H1Data!D34</f>
        <v>1.49550046</v>
      </c>
      <c r="O69" s="69" t="n">
        <f aca="false">H1Data!D34</f>
        <v>1.49550046</v>
      </c>
      <c r="P69" s="69" t="n">
        <f aca="false">H1Data!D34</f>
        <v>1.49550046</v>
      </c>
      <c r="Q69" s="69" t="n">
        <f aca="false">H1Data!D34</f>
        <v>1.49550046</v>
      </c>
      <c r="R69" s="69" t="n">
        <f aca="false">H1Data!D34</f>
        <v>1.49550046</v>
      </c>
      <c r="S69" s="69" t="n">
        <f aca="false">H1Data!D34</f>
        <v>1.49550046</v>
      </c>
      <c r="T69" s="69" t="n">
        <f aca="false">H1Data!D34</f>
        <v>1.49550046</v>
      </c>
      <c r="U69" s="69" t="n">
        <f aca="false">H1Data!D34</f>
        <v>1.49550046</v>
      </c>
      <c r="V69" s="69" t="n">
        <f aca="false">H1Data!D34</f>
        <v>1.49550046</v>
      </c>
      <c r="W69" s="69" t="n">
        <f aca="false">H1Data!D34</f>
        <v>1.49550046</v>
      </c>
      <c r="X69" s="69" t="n">
        <f aca="false">H1Data!D34</f>
        <v>1.49550046</v>
      </c>
      <c r="Y69" s="69" t="n">
        <f aca="false">H1Data!D34</f>
        <v>1.49550046</v>
      </c>
      <c r="Z69" s="69" t="n">
        <f aca="false">H1Data!D34</f>
        <v>1.49550046</v>
      </c>
      <c r="AA69" s="69" t="n">
        <f aca="false">H1Data!D34</f>
        <v>1.49550046</v>
      </c>
      <c r="AB69" s="69" t="n">
        <f aca="false">H1Data!D34</f>
        <v>1.49550046</v>
      </c>
      <c r="AC69" s="69" t="n">
        <f aca="false">H1Data!D34</f>
        <v>1.49550046</v>
      </c>
      <c r="AD69" s="69" t="n">
        <f aca="false">H1Data!D34</f>
        <v>1.49550046</v>
      </c>
      <c r="AE69" s="69" t="n">
        <f aca="false">H1Data!D34</f>
        <v>1.49550046</v>
      </c>
      <c r="AF69" s="69" t="n">
        <f aca="false">H1Data!D34</f>
        <v>1.49550046</v>
      </c>
      <c r="AG69" s="69" t="n">
        <f aca="false">H1Data!D34</f>
        <v>1.49550046</v>
      </c>
      <c r="AH69" s="69" t="n">
        <f aca="false">H1Data!D34</f>
        <v>1.49550046</v>
      </c>
      <c r="AI69" s="69" t="n">
        <f aca="false">H1Data!D34</f>
        <v>1.49550046</v>
      </c>
      <c r="AJ69" s="69" t="n">
        <f aca="false">H1Data!D34</f>
        <v>1.49550046</v>
      </c>
      <c r="AK69" s="69" t="n">
        <f aca="false">H1Data!D34</f>
        <v>1.49550046</v>
      </c>
      <c r="AL69" s="69" t="n">
        <f aca="false">H1Data!D34</f>
        <v>1.49550046</v>
      </c>
      <c r="AM69" s="69" t="n">
        <f aca="false">H1Data!D34</f>
        <v>1.49550046</v>
      </c>
    </row>
    <row r="70" customFormat="false" ht="21" hidden="false" customHeight="true" outlineLevel="0" collapsed="false">
      <c r="C70" s="56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</row>
    <row r="71" customFormat="false" ht="21" hidden="false" customHeight="true" outlineLevel="0" collapsed="false">
      <c r="C71" s="56" t="s">
        <v>411</v>
      </c>
      <c r="D71" s="69"/>
      <c r="E71" s="69"/>
      <c r="F71" s="69"/>
      <c r="G71" s="69"/>
      <c r="H71" s="69"/>
      <c r="I71" s="69"/>
      <c r="J71" s="69" t="n">
        <f aca="false">TaxEquity!J42</f>
        <v>0</v>
      </c>
      <c r="K71" s="69" t="n">
        <f aca="false">TaxEquity!K42</f>
        <v>0</v>
      </c>
      <c r="L71" s="69" t="n">
        <f aca="false">TaxEquity!L42</f>
        <v>0</v>
      </c>
      <c r="M71" s="69" t="n">
        <f aca="false">TaxEquity!M42</f>
        <v>0</v>
      </c>
      <c r="N71" s="69" t="n">
        <f aca="false">TaxEquity!N42</f>
        <v>0</v>
      </c>
      <c r="O71" s="69" t="n">
        <f aca="false">TaxEquity!O42</f>
        <v>0</v>
      </c>
      <c r="P71" s="69" t="n">
        <f aca="false">TaxEquity!P42</f>
        <v>0</v>
      </c>
      <c r="Q71" s="69" t="n">
        <f aca="false">TaxEquity!Q42</f>
        <v>0</v>
      </c>
      <c r="R71" s="69" t="n">
        <f aca="false">TaxEquity!R42</f>
        <v>0</v>
      </c>
      <c r="S71" s="69" t="n">
        <f aca="false">TaxEquity!S42</f>
        <v>0</v>
      </c>
      <c r="T71" s="69" t="n">
        <f aca="false">TaxEquity!T42</f>
        <v>0</v>
      </c>
      <c r="U71" s="69" t="n">
        <f aca="false">TaxEquity!U42</f>
        <v>0</v>
      </c>
      <c r="V71" s="69" t="n">
        <f aca="false">TaxEquity!V42</f>
        <v>0</v>
      </c>
      <c r="W71" s="69" t="n">
        <f aca="false">TaxEquity!W42</f>
        <v>0</v>
      </c>
      <c r="X71" s="69" t="n">
        <f aca="false">TaxEquity!X42</f>
        <v>0</v>
      </c>
      <c r="Y71" s="69" t="n">
        <f aca="false">TaxEquity!Y42</f>
        <v>0</v>
      </c>
      <c r="Z71" s="69" t="n">
        <f aca="false">TaxEquity!Z42</f>
        <v>0</v>
      </c>
      <c r="AA71" s="69" t="n">
        <f aca="false">TaxEquity!AA42</f>
        <v>0</v>
      </c>
      <c r="AB71" s="69" t="n">
        <f aca="false">TaxEquity!AB42</f>
        <v>0</v>
      </c>
      <c r="AC71" s="69" t="n">
        <f aca="false">TaxEquity!AC42</f>
        <v>0</v>
      </c>
      <c r="AD71" s="69" t="n">
        <f aca="false">TaxEquity!AD42</f>
        <v>0</v>
      </c>
      <c r="AE71" s="69" t="n">
        <f aca="false">TaxEquity!AE42</f>
        <v>0</v>
      </c>
      <c r="AF71" s="69" t="n">
        <f aca="false">TaxEquity!AF42</f>
        <v>0</v>
      </c>
      <c r="AG71" s="69" t="n">
        <f aca="false">TaxEquity!AG42</f>
        <v>0</v>
      </c>
      <c r="AH71" s="69" t="n">
        <f aca="false">TaxEquity!AH42</f>
        <v>0</v>
      </c>
      <c r="AI71" s="69" t="n">
        <f aca="false">TaxEquity!AI42</f>
        <v>0</v>
      </c>
      <c r="AJ71" s="69" t="n">
        <f aca="false">TaxEquity!AJ42</f>
        <v>0</v>
      </c>
      <c r="AK71" s="69" t="n">
        <f aca="false">TaxEquity!AK42</f>
        <v>0</v>
      </c>
      <c r="AL71" s="69" t="n">
        <f aca="false">TaxEquity!AL42</f>
        <v>0</v>
      </c>
      <c r="AM71" s="69" t="n">
        <f aca="false">TaxEquity!AM42</f>
        <v>0</v>
      </c>
    </row>
    <row r="72" customFormat="false" ht="21" hidden="false" customHeight="true" outlineLevel="0" collapsed="false">
      <c r="C72" s="56" t="s">
        <v>412</v>
      </c>
      <c r="D72" s="69"/>
      <c r="E72" s="69"/>
      <c r="F72" s="69"/>
      <c r="G72" s="69"/>
      <c r="H72" s="69"/>
      <c r="I72" s="69"/>
      <c r="J72" s="69" t="n">
        <f aca="false">TaxEquity!J34+TaxEquity!J38</f>
        <v>0</v>
      </c>
      <c r="K72" s="69" t="n">
        <f aca="false">TaxEquity!K34+TaxEquity!K38</f>
        <v>0</v>
      </c>
      <c r="L72" s="69" t="n">
        <f aca="false">TaxEquity!L34+TaxEquity!L38</f>
        <v>0</v>
      </c>
      <c r="M72" s="69" t="n">
        <f aca="false">TaxEquity!M34+TaxEquity!M38</f>
        <v>0</v>
      </c>
      <c r="N72" s="69" t="n">
        <f aca="false">TaxEquity!N34+TaxEquity!N38</f>
        <v>0</v>
      </c>
      <c r="O72" s="69" t="n">
        <f aca="false">TaxEquity!O34+TaxEquity!O38</f>
        <v>0</v>
      </c>
      <c r="P72" s="69" t="n">
        <f aca="false">TaxEquity!P34+TaxEquity!P38</f>
        <v>0</v>
      </c>
      <c r="Q72" s="69" t="n">
        <f aca="false">TaxEquity!Q34+TaxEquity!Q38</f>
        <v>0</v>
      </c>
      <c r="R72" s="69" t="n">
        <f aca="false">TaxEquity!R34+TaxEquity!R38</f>
        <v>0</v>
      </c>
      <c r="S72" s="69" t="n">
        <f aca="false">TaxEquity!S34+TaxEquity!S38</f>
        <v>0</v>
      </c>
      <c r="T72" s="69" t="n">
        <f aca="false">TaxEquity!T34+TaxEquity!T38</f>
        <v>0</v>
      </c>
      <c r="U72" s="69" t="n">
        <f aca="false">TaxEquity!U34+TaxEquity!U38</f>
        <v>3536.71299086354</v>
      </c>
      <c r="V72" s="69" t="n">
        <f aca="false">TaxEquity!V34+TaxEquity!V38</f>
        <v>0</v>
      </c>
      <c r="W72" s="69" t="n">
        <f aca="false">TaxEquity!W34+TaxEquity!W38</f>
        <v>0</v>
      </c>
      <c r="X72" s="69" t="n">
        <f aca="false">TaxEquity!X34+TaxEquity!X38</f>
        <v>0</v>
      </c>
      <c r="Y72" s="69" t="n">
        <f aca="false">TaxEquity!Y34+TaxEquity!Y38</f>
        <v>0</v>
      </c>
      <c r="Z72" s="69" t="n">
        <f aca="false">TaxEquity!Z34+TaxEquity!Z38</f>
        <v>0</v>
      </c>
      <c r="AA72" s="69" t="n">
        <f aca="false">TaxEquity!AA34+TaxEquity!AA38</f>
        <v>0</v>
      </c>
      <c r="AB72" s="69" t="n">
        <f aca="false">TaxEquity!AB34+TaxEquity!AB38</f>
        <v>0</v>
      </c>
      <c r="AC72" s="69" t="n">
        <f aca="false">TaxEquity!AC34+TaxEquity!AC38</f>
        <v>0</v>
      </c>
      <c r="AD72" s="69" t="n">
        <f aca="false">TaxEquity!AD34+TaxEquity!AD38</f>
        <v>0</v>
      </c>
      <c r="AE72" s="69" t="n">
        <f aca="false">TaxEquity!AE34+TaxEquity!AE38</f>
        <v>0</v>
      </c>
      <c r="AF72" s="69" t="n">
        <f aca="false">TaxEquity!AF34+TaxEquity!AF38</f>
        <v>0</v>
      </c>
      <c r="AG72" s="69" t="n">
        <f aca="false">TaxEquity!AG34+TaxEquity!AG38</f>
        <v>3703.61940954159</v>
      </c>
      <c r="AH72" s="69" t="n">
        <f aca="false">TaxEquity!AH34+TaxEquity!AH38</f>
        <v>0</v>
      </c>
      <c r="AI72" s="69" t="n">
        <f aca="false">TaxEquity!AI34+TaxEquity!AI38</f>
        <v>0</v>
      </c>
      <c r="AJ72" s="69" t="n">
        <f aca="false">TaxEquity!AJ34+TaxEquity!AJ38</f>
        <v>0</v>
      </c>
      <c r="AK72" s="69" t="n">
        <f aca="false">TaxEquity!AK34+TaxEquity!AK38</f>
        <v>0</v>
      </c>
      <c r="AL72" s="69" t="n">
        <f aca="false">TaxEquity!AL34+TaxEquity!AL38</f>
        <v>0</v>
      </c>
      <c r="AM72" s="69" t="n">
        <f aca="false">TaxEquity!AM34+TaxEquity!AM38</f>
        <v>0</v>
      </c>
    </row>
    <row r="73" customFormat="false" ht="21" hidden="false" customHeight="true" outlineLevel="0" collapsed="false">
      <c r="C73" s="56" t="s">
        <v>413</v>
      </c>
      <c r="D73" s="69"/>
      <c r="E73" s="69"/>
      <c r="F73" s="69"/>
      <c r="G73" s="69"/>
      <c r="H73" s="69"/>
      <c r="I73" s="69"/>
      <c r="J73" s="69" t="n">
        <f aca="false">MAX(0,Liquidity!J43-J47-Liquidity!J9)</f>
        <v>1039.6766486315</v>
      </c>
      <c r="K73" s="69" t="n">
        <f aca="false">MAX(0,Liquidity!K43-K47-Liquidity!K9)</f>
        <v>1416.94409800519</v>
      </c>
      <c r="L73" s="69" t="n">
        <f aca="false">MAX(0,Liquidity!L43-L47-Liquidity!L9)</f>
        <v>1509.87427757109</v>
      </c>
      <c r="M73" s="69" t="n">
        <f aca="false">MAX(0,Liquidity!M43-M47-Liquidity!M9)</f>
        <v>1661.04733343031</v>
      </c>
      <c r="N73" s="69" t="n">
        <f aca="false">MAX(0,Liquidity!N43-N47-Liquidity!N9)</f>
        <v>2281.04523594008</v>
      </c>
      <c r="O73" s="69" t="n">
        <f aca="false">MAX(0,Liquidity!O43-O47-Liquidity!O9)</f>
        <v>2213.69615907765</v>
      </c>
      <c r="P73" s="69" t="n">
        <f aca="false">MAX(0,Liquidity!P43-P47-Liquidity!P9)</f>
        <v>3037.85291868873</v>
      </c>
      <c r="Q73" s="69" t="n">
        <f aca="false">MAX(0,Liquidity!Q43-Q47-Liquidity!Q9)</f>
        <v>3761.91326721348</v>
      </c>
      <c r="R73" s="69" t="n">
        <f aca="false">MAX(0,Liquidity!R43-R47-Liquidity!R9)</f>
        <v>3127.16628570818</v>
      </c>
      <c r="S73" s="69" t="n">
        <f aca="false">MAX(0,Liquidity!S43-S47-Liquidity!S9)</f>
        <v>4020.02966173627</v>
      </c>
      <c r="T73" s="69" t="n">
        <f aca="false">MAX(0,Liquidity!T43-T47-Liquidity!T9)</f>
        <v>4135.3578656444</v>
      </c>
      <c r="U73" s="69" t="n">
        <f aca="false">MAX(0,Liquidity!U43-U47-Liquidity!U9)</f>
        <v>1032.20597443079</v>
      </c>
      <c r="V73" s="69" t="n">
        <f aca="false">MAX(0,Liquidity!V43-V47-Liquidity!V9)</f>
        <v>848.146180699956</v>
      </c>
      <c r="W73" s="69" t="n">
        <f aca="false">MAX(0,Liquidity!W43-W47-Liquidity!W9)</f>
        <v>1401.21960412941</v>
      </c>
      <c r="X73" s="69" t="n">
        <f aca="false">MAX(0,Liquidity!X43-X47-Liquidity!X9)</f>
        <v>1703.63125758342</v>
      </c>
      <c r="Y73" s="69" t="n">
        <f aca="false">MAX(0,Liquidity!Y43-Y47-Liquidity!Y9)</f>
        <v>1842.91340916468</v>
      </c>
      <c r="Z73" s="69" t="n">
        <f aca="false">MAX(0,Liquidity!Z43-Z47-Liquidity!Z9)</f>
        <v>2479.42338691248</v>
      </c>
      <c r="AA73" s="69" t="n">
        <f aca="false">MAX(0,Liquidity!AA43-AA47-Liquidity!AA9)</f>
        <v>2395.31794304958</v>
      </c>
      <c r="AB73" s="69" t="n">
        <f aca="false">MAX(0,Liquidity!AB43-AB47-Liquidity!AB9)</f>
        <v>3245.75619567448</v>
      </c>
      <c r="AC73" s="69" t="n">
        <f aca="false">MAX(0,Liquidity!AC43-AC47-Liquidity!AC9)</f>
        <v>3787.09276613206</v>
      </c>
      <c r="AD73" s="69" t="n">
        <f aca="false">MAX(0,Liquidity!AD43-AD47-Liquidity!AD9)</f>
        <v>3426.09216158177</v>
      </c>
      <c r="AE73" s="69" t="n">
        <f aca="false">MAX(0,Liquidity!AE43-AE47-Liquidity!AE9)</f>
        <v>4220.83520254244</v>
      </c>
      <c r="AF73" s="69" t="n">
        <f aca="false">MAX(0,Liquidity!AF43-AF47-Liquidity!AF9)</f>
        <v>4333.98750862888</v>
      </c>
      <c r="AG73" s="69" t="n">
        <f aca="false">MAX(0,Liquidity!AG43-AG47-Liquidity!AG9)</f>
        <v>1079.82316544693</v>
      </c>
      <c r="AH73" s="69" t="n">
        <f aca="false">MAX(0,Liquidity!AH43-AH47-Liquidity!AH9)</f>
        <v>881.084018946023</v>
      </c>
      <c r="AI73" s="69" t="n">
        <f aca="false">MAX(0,Liquidity!AI43-AI47-Liquidity!AI9)</f>
        <v>1441.79098047791</v>
      </c>
      <c r="AJ73" s="69" t="n">
        <f aca="false">MAX(0,Liquidity!AJ43-AJ47-Liquidity!AJ9)</f>
        <v>1753.42539580715</v>
      </c>
      <c r="AK73" s="69" t="n">
        <f aca="false">MAX(0,Liquidity!AK43-AK47-Liquidity!AK9)</f>
        <v>1879.91557863831</v>
      </c>
      <c r="AL73" s="69" t="n">
        <f aca="false">MAX(0,Liquidity!AL43-AL47-Liquidity!AL9)</f>
        <v>2532.30200254895</v>
      </c>
      <c r="AM73" s="69" t="n">
        <f aca="false">MAX(0,Liquidity!AM43-AM47-Liquidity!AM9)</f>
        <v>2433.47797737355</v>
      </c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</row>
    <row r="78" customFormat="false" ht="25" hidden="false" customHeight="true" outlineLevel="0" collapsed="false">
      <c r="C78" s="58" t="s">
        <v>414</v>
      </c>
      <c r="D78" s="58"/>
      <c r="E78" s="58"/>
      <c r="F78" s="58"/>
      <c r="G78" s="58"/>
      <c r="H78" s="58"/>
      <c r="I78" s="58"/>
      <c r="J78" s="58"/>
      <c r="K78" s="58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</row>
    <row r="79" customFormat="false" ht="25" hidden="false" customHeight="true" outlineLevel="0" collapsed="false">
      <c r="C79" s="58"/>
      <c r="D79" s="58"/>
      <c r="E79" s="58"/>
      <c r="F79" s="58"/>
      <c r="G79" s="58"/>
      <c r="H79" s="58"/>
      <c r="I79" s="58"/>
      <c r="J79" s="58"/>
      <c r="K79" s="58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</row>
  </sheetData>
  <sheetProtection sheet="1" objects="1" scenarios="1" selectLockedCells="0" selectUnlockedCells="0"/>
  <mergeCells count="3">
    <mergeCell ref="C2:K2"/>
    <mergeCell ref="C3:K4"/>
    <mergeCell ref="C78:K7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>
  <sheetPr filterMode="false">
    <pageSetUpPr fitToPage="false"/>
  </sheetPr>
  <dimension ref="C1:AM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39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customFormat="false" ht="33" hidden="false" customHeight="true" outlineLevel="0" collapsed="false">
      <c r="C2" s="57" t="s">
        <v>415</v>
      </c>
      <c r="D2" s="57"/>
      <c r="E2" s="57"/>
      <c r="F2" s="57"/>
      <c r="G2" s="57"/>
      <c r="H2" s="57"/>
      <c r="I2" s="57"/>
      <c r="J2" s="57"/>
      <c r="K2" s="57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</row>
    <row r="3" customFormat="false" ht="21" hidden="false" customHeight="true" outlineLevel="0" collapsed="false">
      <c r="C3" s="58" t="s">
        <v>129</v>
      </c>
      <c r="D3" s="58"/>
      <c r="E3" s="58"/>
      <c r="F3" s="58"/>
      <c r="G3" s="58"/>
      <c r="H3" s="58"/>
      <c r="I3" s="58"/>
      <c r="J3" s="58"/>
      <c r="K3" s="58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</row>
    <row r="6" customFormat="false" ht="21" hidden="false" customHeight="true" outlineLevel="0" collapsed="false">
      <c r="C6" s="56"/>
      <c r="D6" s="56" t="s">
        <v>130</v>
      </c>
      <c r="E6" s="56" t="s">
        <v>130</v>
      </c>
      <c r="F6" s="56" t="s">
        <v>130</v>
      </c>
      <c r="G6" s="56" t="s">
        <v>130</v>
      </c>
      <c r="H6" s="56" t="s">
        <v>130</v>
      </c>
      <c r="I6" s="56" t="s">
        <v>221</v>
      </c>
      <c r="J6" s="56" t="s">
        <v>132</v>
      </c>
      <c r="K6" s="56" t="s">
        <v>132</v>
      </c>
      <c r="L6" s="56" t="s">
        <v>132</v>
      </c>
      <c r="M6" s="56" t="s">
        <v>132</v>
      </c>
      <c r="N6" s="56" t="s">
        <v>132</v>
      </c>
      <c r="O6" s="56" t="s">
        <v>132</v>
      </c>
      <c r="P6" s="56" t="s">
        <v>132</v>
      </c>
      <c r="Q6" s="56" t="s">
        <v>132</v>
      </c>
      <c r="R6" s="56" t="s">
        <v>132</v>
      </c>
      <c r="S6" s="56" t="s">
        <v>132</v>
      </c>
      <c r="T6" s="56" t="s">
        <v>132</v>
      </c>
      <c r="U6" s="56" t="s">
        <v>132</v>
      </c>
      <c r="V6" s="56" t="s">
        <v>132</v>
      </c>
      <c r="W6" s="56" t="s">
        <v>132</v>
      </c>
      <c r="X6" s="56" t="s">
        <v>132</v>
      </c>
      <c r="Y6" s="56" t="s">
        <v>132</v>
      </c>
      <c r="Z6" s="56" t="s">
        <v>132</v>
      </c>
      <c r="AA6" s="56" t="s">
        <v>132</v>
      </c>
      <c r="AB6" s="56" t="s">
        <v>132</v>
      </c>
      <c r="AC6" s="56" t="s">
        <v>132</v>
      </c>
      <c r="AD6" s="56" t="s">
        <v>132</v>
      </c>
      <c r="AE6" s="56" t="s">
        <v>132</v>
      </c>
      <c r="AF6" s="56" t="s">
        <v>132</v>
      </c>
      <c r="AG6" s="56" t="s">
        <v>132</v>
      </c>
      <c r="AH6" s="56" t="s">
        <v>132</v>
      </c>
      <c r="AI6" s="56" t="s">
        <v>132</v>
      </c>
      <c r="AJ6" s="56" t="s">
        <v>132</v>
      </c>
      <c r="AK6" s="56" t="s">
        <v>132</v>
      </c>
      <c r="AL6" s="56" t="s">
        <v>132</v>
      </c>
      <c r="AM6" s="56" t="s">
        <v>132</v>
      </c>
    </row>
    <row r="7" customFormat="false" ht="21" hidden="false" customHeight="true" outlineLevel="0" collapsed="false">
      <c r="C7" s="63"/>
      <c r="D7" s="73" t="n">
        <v>46053</v>
      </c>
      <c r="E7" s="73" t="n">
        <v>46081</v>
      </c>
      <c r="F7" s="73" t="n">
        <v>46112</v>
      </c>
      <c r="G7" s="73" t="n">
        <v>46142</v>
      </c>
      <c r="H7" s="73" t="n">
        <v>46173</v>
      </c>
      <c r="I7" s="73" t="n">
        <v>46203</v>
      </c>
      <c r="J7" s="73" t="n">
        <v>46234</v>
      </c>
      <c r="K7" s="73" t="n">
        <v>46265</v>
      </c>
      <c r="L7" s="73" t="n">
        <v>46295</v>
      </c>
      <c r="M7" s="73" t="n">
        <v>46326</v>
      </c>
      <c r="N7" s="73" t="n">
        <v>46356</v>
      </c>
      <c r="O7" s="73" t="n">
        <v>46387</v>
      </c>
      <c r="P7" s="73" t="n">
        <v>46418</v>
      </c>
      <c r="Q7" s="73" t="n">
        <v>46446</v>
      </c>
      <c r="R7" s="73" t="n">
        <v>46477</v>
      </c>
      <c r="S7" s="73" t="n">
        <v>46507</v>
      </c>
      <c r="T7" s="73" t="n">
        <v>46538</v>
      </c>
      <c r="U7" s="73" t="n">
        <v>46568</v>
      </c>
      <c r="V7" s="73" t="n">
        <v>46599</v>
      </c>
      <c r="W7" s="73" t="n">
        <v>46630</v>
      </c>
      <c r="X7" s="73" t="n">
        <v>46660</v>
      </c>
      <c r="Y7" s="73" t="n">
        <v>46691</v>
      </c>
      <c r="Z7" s="73" t="n">
        <v>46721</v>
      </c>
      <c r="AA7" s="73" t="n">
        <v>46752</v>
      </c>
      <c r="AB7" s="73" t="n">
        <v>46783</v>
      </c>
      <c r="AC7" s="73" t="n">
        <v>46812</v>
      </c>
      <c r="AD7" s="73" t="n">
        <v>46843</v>
      </c>
      <c r="AE7" s="73" t="n">
        <v>46873</v>
      </c>
      <c r="AF7" s="73" t="n">
        <v>46904</v>
      </c>
      <c r="AG7" s="73" t="n">
        <v>46934</v>
      </c>
      <c r="AH7" s="73" t="n">
        <v>46965</v>
      </c>
      <c r="AI7" s="73" t="n">
        <v>46996</v>
      </c>
      <c r="AJ7" s="73" t="n">
        <v>47026</v>
      </c>
      <c r="AK7" s="73" t="n">
        <v>47057</v>
      </c>
      <c r="AL7" s="73" t="n">
        <v>47087</v>
      </c>
      <c r="AM7" s="73" t="n">
        <v>47118</v>
      </c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</row>
    <row r="9" customFormat="false" ht="21" hidden="false" customHeight="true" outlineLevel="0" collapsed="false">
      <c r="C9" s="56" t="s">
        <v>416</v>
      </c>
      <c r="D9" s="69"/>
      <c r="E9" s="69"/>
      <c r="F9" s="69"/>
      <c r="G9" s="69"/>
      <c r="H9" s="69"/>
      <c r="I9" s="69"/>
      <c r="J9" s="69" t="n">
        <f aca="false">H1Data!D43</f>
        <v>261.72982583</v>
      </c>
      <c r="K9" s="69" t="n">
        <f aca="false">TaxEquity!J13</f>
        <v>305.843089432311</v>
      </c>
      <c r="L9" s="69" t="n">
        <f aca="false">TaxEquity!K13</f>
        <v>365.036235521623</v>
      </c>
      <c r="M9" s="69" t="n">
        <f aca="false">TaxEquity!L13</f>
        <v>0</v>
      </c>
      <c r="N9" s="69" t="n">
        <f aca="false">TaxEquity!M13</f>
        <v>68.7086710492301</v>
      </c>
      <c r="O9" s="69" t="n">
        <f aca="false">TaxEquity!N13</f>
        <v>138.403722120447</v>
      </c>
      <c r="P9" s="69" t="n">
        <f aca="false">TaxEquity!O13</f>
        <v>0</v>
      </c>
      <c r="Q9" s="69" t="n">
        <f aca="false">TaxEquity!P13</f>
        <v>75.0741217897431</v>
      </c>
      <c r="R9" s="69" t="n">
        <f aca="false">TaxEquity!Q13</f>
        <v>149.357865397148</v>
      </c>
      <c r="S9" s="69" t="n">
        <f aca="false">TaxEquity!R13</f>
        <v>0</v>
      </c>
      <c r="T9" s="69" t="n">
        <f aca="false">TaxEquity!S13</f>
        <v>74.3575142401284</v>
      </c>
      <c r="U9" s="69" t="n">
        <f aca="false">TaxEquity!T13</f>
        <v>149.341071989737</v>
      </c>
      <c r="V9" s="69" t="n">
        <f aca="false">TaxEquity!U13</f>
        <v>0</v>
      </c>
      <c r="W9" s="69" t="n">
        <f aca="false">TaxEquity!V13</f>
        <v>71.3755149052881</v>
      </c>
      <c r="X9" s="69" t="n">
        <f aca="false">TaxEquity!W13</f>
        <v>142.43972122024</v>
      </c>
      <c r="Y9" s="69" t="n">
        <f aca="false">TaxEquity!X13</f>
        <v>0</v>
      </c>
      <c r="Z9" s="69" t="n">
        <f aca="false">TaxEquity!Y13</f>
        <v>71.56327601101</v>
      </c>
      <c r="AA9" s="69" t="n">
        <f aca="false">TaxEquity!Z13</f>
        <v>142.796175151225</v>
      </c>
      <c r="AB9" s="69" t="n">
        <f aca="false">TaxEquity!AA13</f>
        <v>0</v>
      </c>
      <c r="AC9" s="69" t="n">
        <f aca="false">TaxEquity!AB13</f>
        <v>75.7368616314481</v>
      </c>
      <c r="AD9" s="69" t="n">
        <f aca="false">TaxEquity!AC13</f>
        <v>150.801740011756</v>
      </c>
      <c r="AE9" s="69" t="n">
        <f aca="false">TaxEquity!AD13</f>
        <v>0</v>
      </c>
      <c r="AF9" s="69" t="n">
        <f aca="false">TaxEquity!AE13</f>
        <v>74.8158516066304</v>
      </c>
      <c r="AG9" s="69" t="n">
        <f aca="false">TaxEquity!AF13</f>
        <v>150.190076034204</v>
      </c>
      <c r="AH9" s="69" t="n">
        <f aca="false">TaxEquity!AG13</f>
        <v>0</v>
      </c>
      <c r="AI9" s="69" t="n">
        <f aca="false">TaxEquity!AH13</f>
        <v>71.6651356526542</v>
      </c>
      <c r="AJ9" s="69" t="n">
        <f aca="false">TaxEquity!AI13</f>
        <v>142.99795977732</v>
      </c>
      <c r="AK9" s="69" t="n">
        <f aca="false">TaxEquity!AJ13</f>
        <v>0</v>
      </c>
      <c r="AL9" s="69" t="n">
        <f aca="false">TaxEquity!AK13</f>
        <v>71.6350908035492</v>
      </c>
      <c r="AM9" s="69" t="n">
        <f aca="false">TaxEquity!AL13</f>
        <v>142.912047451645</v>
      </c>
    </row>
    <row r="10" customFormat="false" ht="21" hidden="false" customHeight="true" outlineLevel="0" collapsed="false">
      <c r="C10" s="56" t="s">
        <v>417</v>
      </c>
      <c r="D10" s="69"/>
      <c r="E10" s="69"/>
      <c r="F10" s="69"/>
      <c r="G10" s="69"/>
      <c r="H10" s="69"/>
      <c r="I10" s="69"/>
      <c r="J10" s="69" t="n">
        <f aca="false">MAX(0,Monthly_PL!J29)*MIN(1,MAX(0,Inputs!J35))</f>
        <v>44.1132636023108</v>
      </c>
      <c r="K10" s="69" t="n">
        <f aca="false">MAX(0,Monthly_PL!K29)*MIN(1,MAX(0,Inputs!K35))</f>
        <v>59.1931460893123</v>
      </c>
      <c r="L10" s="69" t="n">
        <f aca="false">MAX(0,Monthly_PL!L29)*MIN(1,MAX(0,Inputs!L35))</f>
        <v>65.652596228016</v>
      </c>
      <c r="M10" s="69" t="n">
        <f aca="false">MAX(0,Monthly_PL!M29)*MIN(1,MAX(0,Inputs!M35))</f>
        <v>68.7086710492301</v>
      </c>
      <c r="N10" s="69" t="n">
        <f aca="false">MAX(0,Monthly_PL!N29)*MIN(1,MAX(0,Inputs!N35))</f>
        <v>69.695051071217</v>
      </c>
      <c r="O10" s="69" t="n">
        <f aca="false">MAX(0,Monthly_PL!O29)*MIN(1,MAX(0,Inputs!O35))</f>
        <v>70.7584953024395</v>
      </c>
      <c r="P10" s="69" t="n">
        <f aca="false">MAX(0,Monthly_PL!P29)*MIN(1,MAX(0,Inputs!P35))</f>
        <v>75.0741217897431</v>
      </c>
      <c r="Q10" s="69" t="n">
        <f aca="false">MAX(0,Monthly_PL!Q29)*MIN(1,MAX(0,Inputs!Q35))</f>
        <v>74.2837436074053</v>
      </c>
      <c r="R10" s="69" t="n">
        <f aca="false">MAX(0,Monthly_PL!R29)*MIN(1,MAX(0,Inputs!R35))</f>
        <v>75.3450551261909</v>
      </c>
      <c r="S10" s="69" t="n">
        <f aca="false">MAX(0,Monthly_PL!S29)*MIN(1,MAX(0,Inputs!S35))</f>
        <v>74.3575142401284</v>
      </c>
      <c r="T10" s="69" t="n">
        <f aca="false">MAX(0,Monthly_PL!T29)*MIN(1,MAX(0,Inputs!T35))</f>
        <v>74.9835577496082</v>
      </c>
      <c r="U10" s="69" t="n">
        <f aca="false">MAX(0,Monthly_PL!U29)*MIN(1,MAX(0,Inputs!U35))</f>
        <v>74.6088780174548</v>
      </c>
      <c r="V10" s="69" t="n">
        <f aca="false">MAX(0,Monthly_PL!V29)*MIN(1,MAX(0,Inputs!V35))</f>
        <v>71.3755149052881</v>
      </c>
      <c r="W10" s="69" t="n">
        <f aca="false">MAX(0,Monthly_PL!W29)*MIN(1,MAX(0,Inputs!W35))</f>
        <v>71.0642063149517</v>
      </c>
      <c r="X10" s="69" t="n">
        <f aca="false">MAX(0,Monthly_PL!X29)*MIN(1,MAX(0,Inputs!X35))</f>
        <v>71.1456462144055</v>
      </c>
      <c r="Y10" s="69" t="n">
        <f aca="false">MAX(0,Monthly_PL!Y29)*MIN(1,MAX(0,Inputs!Y35))</f>
        <v>71.56327601101</v>
      </c>
      <c r="Z10" s="69" t="n">
        <f aca="false">MAX(0,Monthly_PL!Z29)*MIN(1,MAX(0,Inputs!Z35))</f>
        <v>71.2328991402153</v>
      </c>
      <c r="AA10" s="69" t="n">
        <f aca="false">MAX(0,Monthly_PL!AA29)*MIN(1,MAX(0,Inputs!AA35))</f>
        <v>71.7532523001794</v>
      </c>
      <c r="AB10" s="69" t="n">
        <f aca="false">MAX(0,Monthly_PL!AB29)*MIN(1,MAX(0,Inputs!AB35))</f>
        <v>75.7368616314481</v>
      </c>
      <c r="AC10" s="69" t="n">
        <f aca="false">MAX(0,Monthly_PL!AC29)*MIN(1,MAX(0,Inputs!AC35))</f>
        <v>75.0648783803083</v>
      </c>
      <c r="AD10" s="69" t="n">
        <f aca="false">MAX(0,Monthly_PL!AD29)*MIN(1,MAX(0,Inputs!AD35))</f>
        <v>75.633384126756</v>
      </c>
      <c r="AE10" s="69" t="n">
        <f aca="false">MAX(0,Monthly_PL!AE29)*MIN(1,MAX(0,Inputs!AE35))</f>
        <v>74.8158516066304</v>
      </c>
      <c r="AF10" s="69" t="n">
        <f aca="false">MAX(0,Monthly_PL!AF29)*MIN(1,MAX(0,Inputs!AF35))</f>
        <v>75.374224427574</v>
      </c>
      <c r="AG10" s="69" t="n">
        <f aca="false">MAX(0,Monthly_PL!AG29)*MIN(1,MAX(0,Inputs!AG35))</f>
        <v>74.966197712155</v>
      </c>
      <c r="AH10" s="69" t="n">
        <f aca="false">MAX(0,Monthly_PL!AH29)*MIN(1,MAX(0,Inputs!AH35))</f>
        <v>71.6651356526542</v>
      </c>
      <c r="AI10" s="69" t="n">
        <f aca="false">MAX(0,Monthly_PL!AI29)*MIN(1,MAX(0,Inputs!AI35))</f>
        <v>71.3328241246654</v>
      </c>
      <c r="AJ10" s="69" t="n">
        <f aca="false">MAX(0,Monthly_PL!AJ29)*MIN(1,MAX(0,Inputs!AJ35))</f>
        <v>71.2501399805118</v>
      </c>
      <c r="AK10" s="69" t="n">
        <f aca="false">MAX(0,Monthly_PL!AK29)*MIN(1,MAX(0,Inputs!AK35))</f>
        <v>71.6350908035492</v>
      </c>
      <c r="AL10" s="69" t="n">
        <f aca="false">MAX(0,Monthly_PL!AL29)*MIN(1,MAX(0,Inputs!AL35))</f>
        <v>71.2769566480958</v>
      </c>
      <c r="AM10" s="69" t="n">
        <f aca="false">MAX(0,Monthly_PL!AM29)*MIN(1,MAX(0,Inputs!AM35))</f>
        <v>71.796577926552</v>
      </c>
    </row>
    <row r="11" customFormat="false" ht="21" hidden="false" customHeight="true" outlineLevel="0" collapsed="false">
      <c r="C11" s="56" t="s">
        <v>418</v>
      </c>
      <c r="D11" s="69"/>
      <c r="E11" s="69"/>
      <c r="F11" s="69"/>
      <c r="G11" s="69"/>
      <c r="H11" s="69"/>
      <c r="I11" s="69"/>
      <c r="J11" s="69" t="n">
        <f aca="false">(J9+J10)*Inputs!J36</f>
        <v>0</v>
      </c>
      <c r="K11" s="69" t="n">
        <f aca="false">(K9+K10)*Inputs!K36</f>
        <v>0</v>
      </c>
      <c r="L11" s="69" t="n">
        <f aca="false">(L9+L10)*Inputs!L36</f>
        <v>430.688831749639</v>
      </c>
      <c r="M11" s="69" t="n">
        <f aca="false">(M9+M10)*Inputs!M36</f>
        <v>0</v>
      </c>
      <c r="N11" s="69" t="n">
        <f aca="false">(N9+N10)*Inputs!N36</f>
        <v>0</v>
      </c>
      <c r="O11" s="69" t="n">
        <f aca="false">(O9+O10)*Inputs!O36</f>
        <v>209.162217422887</v>
      </c>
      <c r="P11" s="69" t="n">
        <f aca="false">(P9+P10)*Inputs!P36</f>
        <v>0</v>
      </c>
      <c r="Q11" s="69" t="n">
        <f aca="false">(Q9+Q10)*Inputs!Q36</f>
        <v>0</v>
      </c>
      <c r="R11" s="69" t="n">
        <f aca="false">(R9+R10)*Inputs!R36</f>
        <v>224.702920523339</v>
      </c>
      <c r="S11" s="69" t="n">
        <f aca="false">(S9+S10)*Inputs!S36</f>
        <v>0</v>
      </c>
      <c r="T11" s="69" t="n">
        <f aca="false">(T9+T10)*Inputs!T36</f>
        <v>0</v>
      </c>
      <c r="U11" s="69" t="n">
        <f aca="false">(U9+U10)*Inputs!U36</f>
        <v>223.949950007191</v>
      </c>
      <c r="V11" s="69" t="n">
        <f aca="false">(V9+V10)*Inputs!V36</f>
        <v>0</v>
      </c>
      <c r="W11" s="69" t="n">
        <f aca="false">(W9+W10)*Inputs!W36</f>
        <v>0</v>
      </c>
      <c r="X11" s="69" t="n">
        <f aca="false">(X9+X10)*Inputs!X36</f>
        <v>213.585367434645</v>
      </c>
      <c r="Y11" s="69" t="n">
        <f aca="false">(Y9+Y10)*Inputs!Y36</f>
        <v>0</v>
      </c>
      <c r="Z11" s="69" t="n">
        <f aca="false">(Z9+Z10)*Inputs!Z36</f>
        <v>0</v>
      </c>
      <c r="AA11" s="69" t="n">
        <f aca="false">(AA9+AA10)*Inputs!AA36</f>
        <v>214.549427451405</v>
      </c>
      <c r="AB11" s="69" t="n">
        <f aca="false">(AB9+AB10)*Inputs!AB36</f>
        <v>0</v>
      </c>
      <c r="AC11" s="69" t="n">
        <f aca="false">(AC9+AC10)*Inputs!AC36</f>
        <v>0</v>
      </c>
      <c r="AD11" s="69" t="n">
        <f aca="false">(AD9+AD10)*Inputs!AD36</f>
        <v>226.435124138512</v>
      </c>
      <c r="AE11" s="69" t="n">
        <f aca="false">(AE9+AE10)*Inputs!AE36</f>
        <v>0</v>
      </c>
      <c r="AF11" s="69" t="n">
        <f aca="false">(AF9+AF10)*Inputs!AF36</f>
        <v>0</v>
      </c>
      <c r="AG11" s="69" t="n">
        <f aca="false">(AG9+AG10)*Inputs!AG36</f>
        <v>225.156273746359</v>
      </c>
      <c r="AH11" s="69" t="n">
        <f aca="false">(AH9+AH10)*Inputs!AH36</f>
        <v>0</v>
      </c>
      <c r="AI11" s="69" t="n">
        <f aca="false">(AI9+AI10)*Inputs!AI36</f>
        <v>0</v>
      </c>
      <c r="AJ11" s="69" t="n">
        <f aca="false">(AJ9+AJ10)*Inputs!AJ36</f>
        <v>214.248099757831</v>
      </c>
      <c r="AK11" s="69" t="n">
        <f aca="false">(AK9+AK10)*Inputs!AK36</f>
        <v>0</v>
      </c>
      <c r="AL11" s="69" t="n">
        <f aca="false">(AL9+AL10)*Inputs!AL36</f>
        <v>0</v>
      </c>
      <c r="AM11" s="69" t="n">
        <f aca="false">(AM9+AM10)*Inputs!AM36</f>
        <v>214.708625378197</v>
      </c>
    </row>
    <row r="12" customFormat="false" ht="21" hidden="false" customHeight="true" outlineLevel="0" collapsed="false">
      <c r="C12" s="56" t="s">
        <v>419</v>
      </c>
      <c r="D12" s="71"/>
      <c r="E12" s="71"/>
      <c r="F12" s="71"/>
      <c r="G12" s="71"/>
      <c r="H12" s="71"/>
      <c r="I12" s="71"/>
      <c r="J12" s="71" t="n">
        <f aca="false">MIN(MAX(0,J11),J9+J10)</f>
        <v>0</v>
      </c>
      <c r="K12" s="71" t="n">
        <f aca="false">MIN(MAX(0,K11),K9+K10)</f>
        <v>0</v>
      </c>
      <c r="L12" s="71" t="n">
        <f aca="false">MIN(MAX(0,L11),L9+L10)</f>
        <v>430.688831749639</v>
      </c>
      <c r="M12" s="71" t="n">
        <f aca="false">MIN(MAX(0,M11),M9+M10)</f>
        <v>0</v>
      </c>
      <c r="N12" s="71" t="n">
        <f aca="false">MIN(MAX(0,N11),N9+N10)</f>
        <v>0</v>
      </c>
      <c r="O12" s="71" t="n">
        <f aca="false">MIN(MAX(0,O11),O9+O10)</f>
        <v>209.162217422887</v>
      </c>
      <c r="P12" s="71" t="n">
        <f aca="false">MIN(MAX(0,P11),P9+P10)</f>
        <v>0</v>
      </c>
      <c r="Q12" s="71" t="n">
        <f aca="false">MIN(MAX(0,Q11),Q9+Q10)</f>
        <v>0</v>
      </c>
      <c r="R12" s="71" t="n">
        <f aca="false">MIN(MAX(0,R11),R9+R10)</f>
        <v>224.702920523339</v>
      </c>
      <c r="S12" s="71" t="n">
        <f aca="false">MIN(MAX(0,S11),S9+S10)</f>
        <v>0</v>
      </c>
      <c r="T12" s="71" t="n">
        <f aca="false">MIN(MAX(0,T11),T9+T10)</f>
        <v>0</v>
      </c>
      <c r="U12" s="71" t="n">
        <f aca="false">MIN(MAX(0,U11),U9+U10)</f>
        <v>223.949950007191</v>
      </c>
      <c r="V12" s="71" t="n">
        <f aca="false">MIN(MAX(0,V11),V9+V10)</f>
        <v>0</v>
      </c>
      <c r="W12" s="71" t="n">
        <f aca="false">MIN(MAX(0,W11),W9+W10)</f>
        <v>0</v>
      </c>
      <c r="X12" s="71" t="n">
        <f aca="false">MIN(MAX(0,X11),X9+X10)</f>
        <v>213.585367434645</v>
      </c>
      <c r="Y12" s="71" t="n">
        <f aca="false">MIN(MAX(0,Y11),Y9+Y10)</f>
        <v>0</v>
      </c>
      <c r="Z12" s="71" t="n">
        <f aca="false">MIN(MAX(0,Z11),Z9+Z10)</f>
        <v>0</v>
      </c>
      <c r="AA12" s="71" t="n">
        <f aca="false">MIN(MAX(0,AA11),AA9+AA10)</f>
        <v>214.549427451405</v>
      </c>
      <c r="AB12" s="71" t="n">
        <f aca="false">MIN(MAX(0,AB11),AB9+AB10)</f>
        <v>0</v>
      </c>
      <c r="AC12" s="71" t="n">
        <f aca="false">MIN(MAX(0,AC11),AC9+AC10)</f>
        <v>0</v>
      </c>
      <c r="AD12" s="71" t="n">
        <f aca="false">MIN(MAX(0,AD11),AD9+AD10)</f>
        <v>226.435124138512</v>
      </c>
      <c r="AE12" s="71" t="n">
        <f aca="false">MIN(MAX(0,AE11),AE9+AE10)</f>
        <v>0</v>
      </c>
      <c r="AF12" s="71" t="n">
        <f aca="false">MIN(MAX(0,AF11),AF9+AF10)</f>
        <v>0</v>
      </c>
      <c r="AG12" s="71" t="n">
        <f aca="false">MIN(MAX(0,AG11),AG9+AG10)</f>
        <v>225.156273746359</v>
      </c>
      <c r="AH12" s="71" t="n">
        <f aca="false">MIN(MAX(0,AH11),AH9+AH10)</f>
        <v>0</v>
      </c>
      <c r="AI12" s="71" t="n">
        <f aca="false">MIN(MAX(0,AI11),AI9+AI10)</f>
        <v>0</v>
      </c>
      <c r="AJ12" s="71" t="n">
        <f aca="false">MIN(MAX(0,AJ11),AJ9+AJ10)</f>
        <v>214.248099757831</v>
      </c>
      <c r="AK12" s="71" t="n">
        <f aca="false">MIN(MAX(0,AK11),AK9+AK10)</f>
        <v>0</v>
      </c>
      <c r="AL12" s="71" t="n">
        <f aca="false">MIN(MAX(0,AL11),AL9+AL10)</f>
        <v>0</v>
      </c>
      <c r="AM12" s="71" t="n">
        <f aca="false">MIN(MAX(0,AM11),AM9+AM10)</f>
        <v>214.708625378197</v>
      </c>
    </row>
    <row r="13" customFormat="false" ht="21" hidden="false" customHeight="true" outlineLevel="0" collapsed="false">
      <c r="C13" s="56" t="s">
        <v>420</v>
      </c>
      <c r="D13" s="71"/>
      <c r="E13" s="71"/>
      <c r="F13" s="71"/>
      <c r="G13" s="71"/>
      <c r="H13" s="71"/>
      <c r="I13" s="71"/>
      <c r="J13" s="71" t="n">
        <f aca="false">J9+J10-J12</f>
        <v>305.843089432311</v>
      </c>
      <c r="K13" s="71" t="n">
        <f aca="false">K9+K10-K12</f>
        <v>365.036235521623</v>
      </c>
      <c r="L13" s="71" t="n">
        <f aca="false">L9+L10-L12</f>
        <v>0</v>
      </c>
      <c r="M13" s="71" t="n">
        <f aca="false">M9+M10-M12</f>
        <v>68.7086710492301</v>
      </c>
      <c r="N13" s="71" t="n">
        <f aca="false">N9+N10-N12</f>
        <v>138.403722120447</v>
      </c>
      <c r="O13" s="71" t="n">
        <f aca="false">O9+O10-O12</f>
        <v>0</v>
      </c>
      <c r="P13" s="71" t="n">
        <f aca="false">P9+P10-P12</f>
        <v>75.0741217897431</v>
      </c>
      <c r="Q13" s="71" t="n">
        <f aca="false">Q9+Q10-Q12</f>
        <v>149.357865397148</v>
      </c>
      <c r="R13" s="71" t="n">
        <f aca="false">R9+R10-R12</f>
        <v>0</v>
      </c>
      <c r="S13" s="71" t="n">
        <f aca="false">S9+S10-S12</f>
        <v>74.3575142401284</v>
      </c>
      <c r="T13" s="71" t="n">
        <f aca="false">T9+T10-T12</f>
        <v>149.341071989737</v>
      </c>
      <c r="U13" s="71" t="n">
        <f aca="false">U9+U10-U12</f>
        <v>0</v>
      </c>
      <c r="V13" s="71" t="n">
        <f aca="false">V9+V10-V12</f>
        <v>71.3755149052881</v>
      </c>
      <c r="W13" s="71" t="n">
        <f aca="false">W9+W10-W12</f>
        <v>142.43972122024</v>
      </c>
      <c r="X13" s="71" t="n">
        <f aca="false">X9+X10-X12</f>
        <v>0</v>
      </c>
      <c r="Y13" s="71" t="n">
        <f aca="false">Y9+Y10-Y12</f>
        <v>71.56327601101</v>
      </c>
      <c r="Z13" s="71" t="n">
        <f aca="false">Z9+Z10-Z12</f>
        <v>142.796175151225</v>
      </c>
      <c r="AA13" s="71" t="n">
        <f aca="false">AA9+AA10-AA12</f>
        <v>0</v>
      </c>
      <c r="AB13" s="71" t="n">
        <f aca="false">AB9+AB10-AB12</f>
        <v>75.7368616314481</v>
      </c>
      <c r="AC13" s="71" t="n">
        <f aca="false">AC9+AC10-AC12</f>
        <v>150.801740011756</v>
      </c>
      <c r="AD13" s="71" t="n">
        <f aca="false">AD9+AD10-AD12</f>
        <v>0</v>
      </c>
      <c r="AE13" s="71" t="n">
        <f aca="false">AE9+AE10-AE12</f>
        <v>74.8158516066304</v>
      </c>
      <c r="AF13" s="71" t="n">
        <f aca="false">AF9+AF10-AF12</f>
        <v>150.190076034204</v>
      </c>
      <c r="AG13" s="71" t="n">
        <f aca="false">AG9+AG10-AG12</f>
        <v>0</v>
      </c>
      <c r="AH13" s="71" t="n">
        <f aca="false">AH9+AH10-AH12</f>
        <v>71.6651356526542</v>
      </c>
      <c r="AI13" s="71" t="n">
        <f aca="false">AI9+AI10-AI12</f>
        <v>142.99795977732</v>
      </c>
      <c r="AJ13" s="71" t="n">
        <f aca="false">AJ9+AJ10-AJ12</f>
        <v>0</v>
      </c>
      <c r="AK13" s="71" t="n">
        <f aca="false">AK9+AK10-AK12</f>
        <v>71.6350908035492</v>
      </c>
      <c r="AL13" s="71" t="n">
        <f aca="false">AL9+AL10-AL12</f>
        <v>142.912047451645</v>
      </c>
      <c r="AM13" s="71" t="n">
        <f aca="false">AM9+AM10-AM12</f>
        <v>0</v>
      </c>
    </row>
    <row r="14" customFormat="false" ht="21" hidden="false" customHeight="true" outlineLevel="0" collapsed="false">
      <c r="C14" s="56" t="s">
        <v>421</v>
      </c>
      <c r="D14" s="71"/>
      <c r="E14" s="71"/>
      <c r="F14" s="71"/>
      <c r="G14" s="71"/>
      <c r="H14" s="71"/>
      <c r="I14" s="71"/>
      <c r="J14" s="71" t="n">
        <f aca="false">J9+J10-J12-J13</f>
        <v>0</v>
      </c>
      <c r="K14" s="71" t="n">
        <f aca="false">K9+K10-K12-K13</f>
        <v>0</v>
      </c>
      <c r="L14" s="71" t="n">
        <f aca="false">L9+L10-L12-L13</f>
        <v>0</v>
      </c>
      <c r="M14" s="71" t="n">
        <f aca="false">M9+M10-M12-M13</f>
        <v>0</v>
      </c>
      <c r="N14" s="71" t="n">
        <f aca="false">N9+N10-N12-N13</f>
        <v>0</v>
      </c>
      <c r="O14" s="71" t="n">
        <f aca="false">O9+O10-O12-O13</f>
        <v>0</v>
      </c>
      <c r="P14" s="71" t="n">
        <f aca="false">P9+P10-P12-P13</f>
        <v>0</v>
      </c>
      <c r="Q14" s="71" t="n">
        <f aca="false">Q9+Q10-Q12-Q13</f>
        <v>0</v>
      </c>
      <c r="R14" s="71" t="n">
        <f aca="false">R9+R10-R12-R13</f>
        <v>0</v>
      </c>
      <c r="S14" s="71" t="n">
        <f aca="false">S9+S10-S12-S13</f>
        <v>0</v>
      </c>
      <c r="T14" s="71" t="n">
        <f aca="false">T9+T10-T12-T13</f>
        <v>0</v>
      </c>
      <c r="U14" s="71" t="n">
        <f aca="false">U9+U10-U12-U13</f>
        <v>0</v>
      </c>
      <c r="V14" s="71" t="n">
        <f aca="false">V9+V10-V12-V13</f>
        <v>0</v>
      </c>
      <c r="W14" s="71" t="n">
        <f aca="false">W9+W10-W12-W13</f>
        <v>0</v>
      </c>
      <c r="X14" s="71" t="n">
        <f aca="false">X9+X10-X12-X13</f>
        <v>0</v>
      </c>
      <c r="Y14" s="71" t="n">
        <f aca="false">Y9+Y10-Y12-Y13</f>
        <v>0</v>
      </c>
      <c r="Z14" s="71" t="n">
        <f aca="false">Z9+Z10-Z12-Z13</f>
        <v>0</v>
      </c>
      <c r="AA14" s="71" t="n">
        <f aca="false">AA9+AA10-AA12-AA13</f>
        <v>0</v>
      </c>
      <c r="AB14" s="71" t="n">
        <f aca="false">AB9+AB10-AB12-AB13</f>
        <v>0</v>
      </c>
      <c r="AC14" s="71" t="n">
        <f aca="false">AC9+AC10-AC12-AC13</f>
        <v>0</v>
      </c>
      <c r="AD14" s="71" t="n">
        <f aca="false">AD9+AD10-AD12-AD13</f>
        <v>0</v>
      </c>
      <c r="AE14" s="71" t="n">
        <f aca="false">AE9+AE10-AE12-AE13</f>
        <v>0</v>
      </c>
      <c r="AF14" s="71" t="n">
        <f aca="false">AF9+AF10-AF12-AF13</f>
        <v>0</v>
      </c>
      <c r="AG14" s="71" t="n">
        <f aca="false">AG9+AG10-AG12-AG13</f>
        <v>0</v>
      </c>
      <c r="AH14" s="71" t="n">
        <f aca="false">AH9+AH10-AH12-AH13</f>
        <v>0</v>
      </c>
      <c r="AI14" s="71" t="n">
        <f aca="false">AI9+AI10-AI12-AI13</f>
        <v>0</v>
      </c>
      <c r="AJ14" s="71" t="n">
        <f aca="false">AJ9+AJ10-AJ12-AJ13</f>
        <v>0</v>
      </c>
      <c r="AK14" s="71" t="n">
        <f aca="false">AK9+AK10-AK12-AK13</f>
        <v>0</v>
      </c>
      <c r="AL14" s="71" t="n">
        <f aca="false">AL9+AL10-AL12-AL13</f>
        <v>0</v>
      </c>
      <c r="AM14" s="71" t="n">
        <f aca="false">AM9+AM10-AM12-AM13</f>
        <v>0</v>
      </c>
    </row>
    <row r="15" customFormat="false" ht="21" hidden="false" customHeight="true" outlineLevel="0" collapsed="false">
      <c r="C15" s="56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</row>
    <row r="16" customFormat="false" ht="21" hidden="false" customHeight="true" outlineLevel="0" collapsed="false">
      <c r="C16" s="56" t="s">
        <v>422</v>
      </c>
      <c r="D16" s="69"/>
      <c r="E16" s="69"/>
      <c r="F16" s="69"/>
      <c r="G16" s="69"/>
      <c r="H16" s="69"/>
      <c r="I16" s="69"/>
      <c r="J16" s="69" t="n">
        <f aca="false">H1Data!D29</f>
        <v>245.68297972</v>
      </c>
      <c r="K16" s="69" t="n">
        <f aca="false">TaxEquity!J18</f>
        <v>245.68297972</v>
      </c>
      <c r="L16" s="69" t="n">
        <f aca="false">TaxEquity!K18</f>
        <v>245.68297972</v>
      </c>
      <c r="M16" s="69" t="n">
        <f aca="false">TaxEquity!L18</f>
        <v>245.68297972</v>
      </c>
      <c r="N16" s="69" t="n">
        <f aca="false">TaxEquity!M18</f>
        <v>245.68297972</v>
      </c>
      <c r="O16" s="69" t="n">
        <f aca="false">TaxEquity!N18</f>
        <v>245.68297972</v>
      </c>
      <c r="P16" s="69" t="n">
        <f aca="false">TaxEquity!O18</f>
        <v>245.68297972</v>
      </c>
      <c r="Q16" s="69" t="n">
        <f aca="false">TaxEquity!P18</f>
        <v>245.68297972</v>
      </c>
      <c r="R16" s="69" t="n">
        <f aca="false">TaxEquity!Q18</f>
        <v>245.68297972</v>
      </c>
      <c r="S16" s="69" t="n">
        <f aca="false">TaxEquity!R18</f>
        <v>245.68297972</v>
      </c>
      <c r="T16" s="69" t="n">
        <f aca="false">TaxEquity!S18</f>
        <v>245.68297972</v>
      </c>
      <c r="U16" s="69" t="n">
        <f aca="false">TaxEquity!T18</f>
        <v>245.68297972</v>
      </c>
      <c r="V16" s="69" t="n">
        <f aca="false">TaxEquity!U18</f>
        <v>245.68297972</v>
      </c>
      <c r="W16" s="69" t="n">
        <f aca="false">TaxEquity!V18</f>
        <v>245.68297972</v>
      </c>
      <c r="X16" s="69" t="n">
        <f aca="false">TaxEquity!W18</f>
        <v>245.68297972</v>
      </c>
      <c r="Y16" s="69" t="n">
        <f aca="false">TaxEquity!X18</f>
        <v>245.68297972</v>
      </c>
      <c r="Z16" s="69" t="n">
        <f aca="false">TaxEquity!Y18</f>
        <v>245.68297972</v>
      </c>
      <c r="AA16" s="69" t="n">
        <f aca="false">TaxEquity!Z18</f>
        <v>245.68297972</v>
      </c>
      <c r="AB16" s="69" t="n">
        <f aca="false">TaxEquity!AA18</f>
        <v>245.68297972</v>
      </c>
      <c r="AC16" s="69" t="n">
        <f aca="false">TaxEquity!AB18</f>
        <v>245.68297972</v>
      </c>
      <c r="AD16" s="69" t="n">
        <f aca="false">TaxEquity!AC18</f>
        <v>245.68297972</v>
      </c>
      <c r="AE16" s="69" t="n">
        <f aca="false">TaxEquity!AD18</f>
        <v>245.68297972</v>
      </c>
      <c r="AF16" s="69" t="n">
        <f aca="false">TaxEquity!AE18</f>
        <v>245.68297972</v>
      </c>
      <c r="AG16" s="69" t="n">
        <f aca="false">TaxEquity!AF18</f>
        <v>245.68297972</v>
      </c>
      <c r="AH16" s="69" t="n">
        <f aca="false">TaxEquity!AG18</f>
        <v>245.68297972</v>
      </c>
      <c r="AI16" s="69" t="n">
        <f aca="false">TaxEquity!AH18</f>
        <v>245.68297972</v>
      </c>
      <c r="AJ16" s="69" t="n">
        <f aca="false">TaxEquity!AI18</f>
        <v>245.68297972</v>
      </c>
      <c r="AK16" s="69" t="n">
        <f aca="false">TaxEquity!AJ18</f>
        <v>245.68297972</v>
      </c>
      <c r="AL16" s="69" t="n">
        <f aca="false">TaxEquity!AK18</f>
        <v>245.68297972</v>
      </c>
      <c r="AM16" s="69" t="n">
        <f aca="false">TaxEquity!AL18</f>
        <v>245.68297972</v>
      </c>
    </row>
    <row r="17" customFormat="false" ht="21" hidden="false" customHeight="true" outlineLevel="0" collapsed="false">
      <c r="C17" s="56" t="s">
        <v>423</v>
      </c>
      <c r="D17" s="69"/>
      <c r="E17" s="69"/>
      <c r="F17" s="69"/>
      <c r="G17" s="69"/>
      <c r="H17" s="69"/>
      <c r="I17" s="69"/>
      <c r="J17" s="69" t="n">
        <f aca="false">MIN(MAX(0,Inputs!J59),J16)</f>
        <v>0</v>
      </c>
      <c r="K17" s="69" t="n">
        <f aca="false">MIN(MAX(0,Inputs!K59),K16)</f>
        <v>0</v>
      </c>
      <c r="L17" s="69" t="n">
        <f aca="false">MIN(MAX(0,Inputs!L59),L16)</f>
        <v>0</v>
      </c>
      <c r="M17" s="69" t="n">
        <f aca="false">MIN(MAX(0,Inputs!M59),M16)</f>
        <v>0</v>
      </c>
      <c r="N17" s="69" t="n">
        <f aca="false">MIN(MAX(0,Inputs!N59),N16)</f>
        <v>0</v>
      </c>
      <c r="O17" s="69" t="n">
        <f aca="false">MIN(MAX(0,Inputs!O59),O16)</f>
        <v>0</v>
      </c>
      <c r="P17" s="69" t="n">
        <f aca="false">MIN(MAX(0,Inputs!P59),P16)</f>
        <v>0</v>
      </c>
      <c r="Q17" s="69" t="n">
        <f aca="false">MIN(MAX(0,Inputs!Q59),Q16)</f>
        <v>0</v>
      </c>
      <c r="R17" s="69" t="n">
        <f aca="false">MIN(MAX(0,Inputs!R59),R16)</f>
        <v>0</v>
      </c>
      <c r="S17" s="69" t="n">
        <f aca="false">MIN(MAX(0,Inputs!S59),S16)</f>
        <v>0</v>
      </c>
      <c r="T17" s="69" t="n">
        <f aca="false">MIN(MAX(0,Inputs!T59),T16)</f>
        <v>0</v>
      </c>
      <c r="U17" s="69" t="n">
        <f aca="false">MIN(MAX(0,Inputs!U59),U16)</f>
        <v>0</v>
      </c>
      <c r="V17" s="69" t="n">
        <f aca="false">MIN(MAX(0,Inputs!V59),V16)</f>
        <v>0</v>
      </c>
      <c r="W17" s="69" t="n">
        <f aca="false">MIN(MAX(0,Inputs!W59),W16)</f>
        <v>0</v>
      </c>
      <c r="X17" s="69" t="n">
        <f aca="false">MIN(MAX(0,Inputs!X59),X16)</f>
        <v>0</v>
      </c>
      <c r="Y17" s="69" t="n">
        <f aca="false">MIN(MAX(0,Inputs!Y59),Y16)</f>
        <v>0</v>
      </c>
      <c r="Z17" s="69" t="n">
        <f aca="false">MIN(MAX(0,Inputs!Z59),Z16)</f>
        <v>0</v>
      </c>
      <c r="AA17" s="69" t="n">
        <f aca="false">MIN(MAX(0,Inputs!AA59),AA16)</f>
        <v>0</v>
      </c>
      <c r="AB17" s="69" t="n">
        <f aca="false">MIN(MAX(0,Inputs!AB59),AB16)</f>
        <v>0</v>
      </c>
      <c r="AC17" s="69" t="n">
        <f aca="false">MIN(MAX(0,Inputs!AC59),AC16)</f>
        <v>0</v>
      </c>
      <c r="AD17" s="69" t="n">
        <f aca="false">MIN(MAX(0,Inputs!AD59),AD16)</f>
        <v>0</v>
      </c>
      <c r="AE17" s="69" t="n">
        <f aca="false">MIN(MAX(0,Inputs!AE59),AE16)</f>
        <v>0</v>
      </c>
      <c r="AF17" s="69" t="n">
        <f aca="false">MIN(MAX(0,Inputs!AF59),AF16)</f>
        <v>0</v>
      </c>
      <c r="AG17" s="69" t="n">
        <f aca="false">MIN(MAX(0,Inputs!AG59),AG16)</f>
        <v>0</v>
      </c>
      <c r="AH17" s="69" t="n">
        <f aca="false">MIN(MAX(0,Inputs!AH59),AH16)</f>
        <v>0</v>
      </c>
      <c r="AI17" s="69" t="n">
        <f aca="false">MIN(MAX(0,Inputs!AI59),AI16)</f>
        <v>0</v>
      </c>
      <c r="AJ17" s="69" t="n">
        <f aca="false">MIN(MAX(0,Inputs!AJ59),AJ16)</f>
        <v>0</v>
      </c>
      <c r="AK17" s="69" t="n">
        <f aca="false">MIN(MAX(0,Inputs!AK59),AK16)</f>
        <v>0</v>
      </c>
      <c r="AL17" s="69" t="n">
        <f aca="false">MIN(MAX(0,Inputs!AL59),AL16)</f>
        <v>0</v>
      </c>
      <c r="AM17" s="69" t="n">
        <f aca="false">MIN(MAX(0,Inputs!AM59),AM16)</f>
        <v>0</v>
      </c>
    </row>
    <row r="18" customFormat="false" ht="21" hidden="false" customHeight="true" outlineLevel="0" collapsed="false">
      <c r="C18" s="56" t="s">
        <v>424</v>
      </c>
      <c r="D18" s="71"/>
      <c r="E18" s="71"/>
      <c r="F18" s="71"/>
      <c r="G18" s="71"/>
      <c r="H18" s="71"/>
      <c r="I18" s="71"/>
      <c r="J18" s="71" t="n">
        <f aca="false">J16-J17</f>
        <v>245.68297972</v>
      </c>
      <c r="K18" s="71" t="n">
        <f aca="false">K16-K17</f>
        <v>245.68297972</v>
      </c>
      <c r="L18" s="71" t="n">
        <f aca="false">L16-L17</f>
        <v>245.68297972</v>
      </c>
      <c r="M18" s="71" t="n">
        <f aca="false">M16-M17</f>
        <v>245.68297972</v>
      </c>
      <c r="N18" s="71" t="n">
        <f aca="false">N16-N17</f>
        <v>245.68297972</v>
      </c>
      <c r="O18" s="71" t="n">
        <f aca="false">O16-O17</f>
        <v>245.68297972</v>
      </c>
      <c r="P18" s="71" t="n">
        <f aca="false">P16-P17</f>
        <v>245.68297972</v>
      </c>
      <c r="Q18" s="71" t="n">
        <f aca="false">Q16-Q17</f>
        <v>245.68297972</v>
      </c>
      <c r="R18" s="71" t="n">
        <f aca="false">R16-R17</f>
        <v>245.68297972</v>
      </c>
      <c r="S18" s="71" t="n">
        <f aca="false">S16-S17</f>
        <v>245.68297972</v>
      </c>
      <c r="T18" s="71" t="n">
        <f aca="false">T16-T17</f>
        <v>245.68297972</v>
      </c>
      <c r="U18" s="71" t="n">
        <f aca="false">U16-U17</f>
        <v>245.68297972</v>
      </c>
      <c r="V18" s="71" t="n">
        <f aca="false">V16-V17</f>
        <v>245.68297972</v>
      </c>
      <c r="W18" s="71" t="n">
        <f aca="false">W16-W17</f>
        <v>245.68297972</v>
      </c>
      <c r="X18" s="71" t="n">
        <f aca="false">X16-X17</f>
        <v>245.68297972</v>
      </c>
      <c r="Y18" s="71" t="n">
        <f aca="false">Y16-Y17</f>
        <v>245.68297972</v>
      </c>
      <c r="Z18" s="71" t="n">
        <f aca="false">Z16-Z17</f>
        <v>245.68297972</v>
      </c>
      <c r="AA18" s="71" t="n">
        <f aca="false">AA16-AA17</f>
        <v>245.68297972</v>
      </c>
      <c r="AB18" s="71" t="n">
        <f aca="false">AB16-AB17</f>
        <v>245.68297972</v>
      </c>
      <c r="AC18" s="71" t="n">
        <f aca="false">AC16-AC17</f>
        <v>245.68297972</v>
      </c>
      <c r="AD18" s="71" t="n">
        <f aca="false">AD16-AD17</f>
        <v>245.68297972</v>
      </c>
      <c r="AE18" s="71" t="n">
        <f aca="false">AE16-AE17</f>
        <v>245.68297972</v>
      </c>
      <c r="AF18" s="71" t="n">
        <f aca="false">AF16-AF17</f>
        <v>245.68297972</v>
      </c>
      <c r="AG18" s="71" t="n">
        <f aca="false">AG16-AG17</f>
        <v>245.68297972</v>
      </c>
      <c r="AH18" s="71" t="n">
        <f aca="false">AH16-AH17</f>
        <v>245.68297972</v>
      </c>
      <c r="AI18" s="71" t="n">
        <f aca="false">AI16-AI17</f>
        <v>245.68297972</v>
      </c>
      <c r="AJ18" s="71" t="n">
        <f aca="false">AJ16-AJ17</f>
        <v>245.68297972</v>
      </c>
      <c r="AK18" s="71" t="n">
        <f aca="false">AK16-AK17</f>
        <v>245.68297972</v>
      </c>
      <c r="AL18" s="71" t="n">
        <f aca="false">AL16-AL17</f>
        <v>245.68297972</v>
      </c>
      <c r="AM18" s="71" t="n">
        <f aca="false">AM16-AM17</f>
        <v>245.68297972</v>
      </c>
    </row>
    <row r="19" customFormat="false" ht="21" hidden="false" customHeight="true" outlineLevel="0" collapsed="false">
      <c r="C19" s="56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</row>
    <row r="20" customFormat="false" ht="21" hidden="false" customHeight="true" outlineLevel="0" collapsed="false">
      <c r="C20" s="56" t="s">
        <v>425</v>
      </c>
      <c r="D20" s="69"/>
      <c r="E20" s="69"/>
      <c r="F20" s="69"/>
      <c r="G20" s="69"/>
      <c r="H20" s="69"/>
      <c r="I20" s="69"/>
      <c r="J20" s="69" t="n">
        <f aca="false">H1Data!D50</f>
        <v>86.10209713</v>
      </c>
      <c r="K20" s="69" t="n">
        <f aca="false">TaxEquity!J22</f>
        <v>86.10209713</v>
      </c>
      <c r="L20" s="69" t="n">
        <f aca="false">TaxEquity!K22</f>
        <v>86.10209713</v>
      </c>
      <c r="M20" s="69" t="n">
        <f aca="false">TaxEquity!L22</f>
        <v>86.10209713</v>
      </c>
      <c r="N20" s="69" t="n">
        <f aca="false">TaxEquity!M22</f>
        <v>86.10209713</v>
      </c>
      <c r="O20" s="69" t="n">
        <f aca="false">TaxEquity!N22</f>
        <v>86.10209713</v>
      </c>
      <c r="P20" s="69" t="n">
        <f aca="false">TaxEquity!O22</f>
        <v>86.10209713</v>
      </c>
      <c r="Q20" s="69" t="n">
        <f aca="false">TaxEquity!P22</f>
        <v>86.10209713</v>
      </c>
      <c r="R20" s="69" t="n">
        <f aca="false">TaxEquity!Q22</f>
        <v>86.10209713</v>
      </c>
      <c r="S20" s="69" t="n">
        <f aca="false">TaxEquity!R22</f>
        <v>86.10209713</v>
      </c>
      <c r="T20" s="69" t="n">
        <f aca="false">TaxEquity!S22</f>
        <v>86.10209713</v>
      </c>
      <c r="U20" s="69" t="n">
        <f aca="false">TaxEquity!T22</f>
        <v>86.10209713</v>
      </c>
      <c r="V20" s="69" t="n">
        <f aca="false">TaxEquity!U22</f>
        <v>86.10209713</v>
      </c>
      <c r="W20" s="69" t="n">
        <f aca="false">TaxEquity!V22</f>
        <v>86.10209713</v>
      </c>
      <c r="X20" s="69" t="n">
        <f aca="false">TaxEquity!W22</f>
        <v>86.10209713</v>
      </c>
      <c r="Y20" s="69" t="n">
        <f aca="false">TaxEquity!X22</f>
        <v>86.10209713</v>
      </c>
      <c r="Z20" s="69" t="n">
        <f aca="false">TaxEquity!Y22</f>
        <v>86.10209713</v>
      </c>
      <c r="AA20" s="69" t="n">
        <f aca="false">TaxEquity!Z22</f>
        <v>86.10209713</v>
      </c>
      <c r="AB20" s="69" t="n">
        <f aca="false">TaxEquity!AA22</f>
        <v>86.10209713</v>
      </c>
      <c r="AC20" s="69" t="n">
        <f aca="false">TaxEquity!AB22</f>
        <v>86.10209713</v>
      </c>
      <c r="AD20" s="69" t="n">
        <f aca="false">TaxEquity!AC22</f>
        <v>86.10209713</v>
      </c>
      <c r="AE20" s="69" t="n">
        <f aca="false">TaxEquity!AD22</f>
        <v>86.10209713</v>
      </c>
      <c r="AF20" s="69" t="n">
        <f aca="false">TaxEquity!AE22</f>
        <v>86.10209713</v>
      </c>
      <c r="AG20" s="69" t="n">
        <f aca="false">TaxEquity!AF22</f>
        <v>86.10209713</v>
      </c>
      <c r="AH20" s="69" t="n">
        <f aca="false">TaxEquity!AG22</f>
        <v>86.10209713</v>
      </c>
      <c r="AI20" s="69" t="n">
        <f aca="false">TaxEquity!AH22</f>
        <v>86.10209713</v>
      </c>
      <c r="AJ20" s="69" t="n">
        <f aca="false">TaxEquity!AI22</f>
        <v>86.10209713</v>
      </c>
      <c r="AK20" s="69" t="n">
        <f aca="false">TaxEquity!AJ22</f>
        <v>86.10209713</v>
      </c>
      <c r="AL20" s="69" t="n">
        <f aca="false">TaxEquity!AK22</f>
        <v>86.10209713</v>
      </c>
      <c r="AM20" s="69" t="n">
        <f aca="false">TaxEquity!AL22</f>
        <v>86.10209713</v>
      </c>
    </row>
    <row r="21" customFormat="false" ht="21" hidden="false" customHeight="true" outlineLevel="0" collapsed="false">
      <c r="C21" s="56" t="s">
        <v>426</v>
      </c>
      <c r="D21" s="69"/>
      <c r="E21" s="69"/>
      <c r="F21" s="69"/>
      <c r="G21" s="69"/>
      <c r="H21" s="69"/>
      <c r="I21" s="69"/>
      <c r="J21" s="69" t="n">
        <f aca="false">MIN(MAX(0,Inputs!J60),J20)</f>
        <v>0</v>
      </c>
      <c r="K21" s="69" t="n">
        <f aca="false">MIN(MAX(0,Inputs!K60),K20)</f>
        <v>0</v>
      </c>
      <c r="L21" s="69" t="n">
        <f aca="false">MIN(MAX(0,Inputs!L60),L20)</f>
        <v>0</v>
      </c>
      <c r="M21" s="69" t="n">
        <f aca="false">MIN(MAX(0,Inputs!M60),M20)</f>
        <v>0</v>
      </c>
      <c r="N21" s="69" t="n">
        <f aca="false">MIN(MAX(0,Inputs!N60),N20)</f>
        <v>0</v>
      </c>
      <c r="O21" s="69" t="n">
        <f aca="false">MIN(MAX(0,Inputs!O60),O20)</f>
        <v>0</v>
      </c>
      <c r="P21" s="69" t="n">
        <f aca="false">MIN(MAX(0,Inputs!P60),P20)</f>
        <v>0</v>
      </c>
      <c r="Q21" s="69" t="n">
        <f aca="false">MIN(MAX(0,Inputs!Q60),Q20)</f>
        <v>0</v>
      </c>
      <c r="R21" s="69" t="n">
        <f aca="false">MIN(MAX(0,Inputs!R60),R20)</f>
        <v>0</v>
      </c>
      <c r="S21" s="69" t="n">
        <f aca="false">MIN(MAX(0,Inputs!S60),S20)</f>
        <v>0</v>
      </c>
      <c r="T21" s="69" t="n">
        <f aca="false">MIN(MAX(0,Inputs!T60),T20)</f>
        <v>0</v>
      </c>
      <c r="U21" s="69" t="n">
        <f aca="false">MIN(MAX(0,Inputs!U60),U20)</f>
        <v>0</v>
      </c>
      <c r="V21" s="69" t="n">
        <f aca="false">MIN(MAX(0,Inputs!V60),V20)</f>
        <v>0</v>
      </c>
      <c r="W21" s="69" t="n">
        <f aca="false">MIN(MAX(0,Inputs!W60),W20)</f>
        <v>0</v>
      </c>
      <c r="X21" s="69" t="n">
        <f aca="false">MIN(MAX(0,Inputs!X60),X20)</f>
        <v>0</v>
      </c>
      <c r="Y21" s="69" t="n">
        <f aca="false">MIN(MAX(0,Inputs!Y60),Y20)</f>
        <v>0</v>
      </c>
      <c r="Z21" s="69" t="n">
        <f aca="false">MIN(MAX(0,Inputs!Z60),Z20)</f>
        <v>0</v>
      </c>
      <c r="AA21" s="69" t="n">
        <f aca="false">MIN(MAX(0,Inputs!AA60),AA20)</f>
        <v>0</v>
      </c>
      <c r="AB21" s="69" t="n">
        <f aca="false">MIN(MAX(0,Inputs!AB60),AB20)</f>
        <v>0</v>
      </c>
      <c r="AC21" s="69" t="n">
        <f aca="false">MIN(MAX(0,Inputs!AC60),AC20)</f>
        <v>0</v>
      </c>
      <c r="AD21" s="69" t="n">
        <f aca="false">MIN(MAX(0,Inputs!AD60),AD20)</f>
        <v>0</v>
      </c>
      <c r="AE21" s="69" t="n">
        <f aca="false">MIN(MAX(0,Inputs!AE60),AE20)</f>
        <v>0</v>
      </c>
      <c r="AF21" s="69" t="n">
        <f aca="false">MIN(MAX(0,Inputs!AF60),AF20)</f>
        <v>0</v>
      </c>
      <c r="AG21" s="69" t="n">
        <f aca="false">MIN(MAX(0,Inputs!AG60),AG20)</f>
        <v>0</v>
      </c>
      <c r="AH21" s="69" t="n">
        <f aca="false">MIN(MAX(0,Inputs!AH60),AH20)</f>
        <v>0</v>
      </c>
      <c r="AI21" s="69" t="n">
        <f aca="false">MIN(MAX(0,Inputs!AI60),AI20)</f>
        <v>0</v>
      </c>
      <c r="AJ21" s="69" t="n">
        <f aca="false">MIN(MAX(0,Inputs!AJ60),AJ20)</f>
        <v>0</v>
      </c>
      <c r="AK21" s="69" t="n">
        <f aca="false">MIN(MAX(0,Inputs!AK60),AK20)</f>
        <v>0</v>
      </c>
      <c r="AL21" s="69" t="n">
        <f aca="false">MIN(MAX(0,Inputs!AL60),AL20)</f>
        <v>0</v>
      </c>
      <c r="AM21" s="69" t="n">
        <f aca="false">MIN(MAX(0,Inputs!AM60),AM20)</f>
        <v>0</v>
      </c>
    </row>
    <row r="22" customFormat="false" ht="21" hidden="false" customHeight="true" outlineLevel="0" collapsed="false">
      <c r="C22" s="56" t="s">
        <v>427</v>
      </c>
      <c r="D22" s="71"/>
      <c r="E22" s="71"/>
      <c r="F22" s="71"/>
      <c r="G22" s="71"/>
      <c r="H22" s="71"/>
      <c r="I22" s="71"/>
      <c r="J22" s="71" t="n">
        <f aca="false">J20-J21</f>
        <v>86.10209713</v>
      </c>
      <c r="K22" s="71" t="n">
        <f aca="false">K20-K21</f>
        <v>86.10209713</v>
      </c>
      <c r="L22" s="71" t="n">
        <f aca="false">L20-L21</f>
        <v>86.10209713</v>
      </c>
      <c r="M22" s="71" t="n">
        <f aca="false">M20-M21</f>
        <v>86.10209713</v>
      </c>
      <c r="N22" s="71" t="n">
        <f aca="false">N20-N21</f>
        <v>86.10209713</v>
      </c>
      <c r="O22" s="71" t="n">
        <f aca="false">O20-O21</f>
        <v>86.10209713</v>
      </c>
      <c r="P22" s="71" t="n">
        <f aca="false">P20-P21</f>
        <v>86.10209713</v>
      </c>
      <c r="Q22" s="71" t="n">
        <f aca="false">Q20-Q21</f>
        <v>86.10209713</v>
      </c>
      <c r="R22" s="71" t="n">
        <f aca="false">R20-R21</f>
        <v>86.10209713</v>
      </c>
      <c r="S22" s="71" t="n">
        <f aca="false">S20-S21</f>
        <v>86.10209713</v>
      </c>
      <c r="T22" s="71" t="n">
        <f aca="false">T20-T21</f>
        <v>86.10209713</v>
      </c>
      <c r="U22" s="71" t="n">
        <f aca="false">U20-U21</f>
        <v>86.10209713</v>
      </c>
      <c r="V22" s="71" t="n">
        <f aca="false">V20-V21</f>
        <v>86.10209713</v>
      </c>
      <c r="W22" s="71" t="n">
        <f aca="false">W20-W21</f>
        <v>86.10209713</v>
      </c>
      <c r="X22" s="71" t="n">
        <f aca="false">X20-X21</f>
        <v>86.10209713</v>
      </c>
      <c r="Y22" s="71" t="n">
        <f aca="false">Y20-Y21</f>
        <v>86.10209713</v>
      </c>
      <c r="Z22" s="71" t="n">
        <f aca="false">Z20-Z21</f>
        <v>86.10209713</v>
      </c>
      <c r="AA22" s="71" t="n">
        <f aca="false">AA20-AA21</f>
        <v>86.10209713</v>
      </c>
      <c r="AB22" s="71" t="n">
        <f aca="false">AB20-AB21</f>
        <v>86.10209713</v>
      </c>
      <c r="AC22" s="71" t="n">
        <f aca="false">AC20-AC21</f>
        <v>86.10209713</v>
      </c>
      <c r="AD22" s="71" t="n">
        <f aca="false">AD20-AD21</f>
        <v>86.10209713</v>
      </c>
      <c r="AE22" s="71" t="n">
        <f aca="false">AE20-AE21</f>
        <v>86.10209713</v>
      </c>
      <c r="AF22" s="71" t="n">
        <f aca="false">AF20-AF21</f>
        <v>86.10209713</v>
      </c>
      <c r="AG22" s="71" t="n">
        <f aca="false">AG20-AG21</f>
        <v>86.10209713</v>
      </c>
      <c r="AH22" s="71" t="n">
        <f aca="false">AH20-AH21</f>
        <v>86.10209713</v>
      </c>
      <c r="AI22" s="71" t="n">
        <f aca="false">AI20-AI21</f>
        <v>86.10209713</v>
      </c>
      <c r="AJ22" s="71" t="n">
        <f aca="false">AJ20-AJ21</f>
        <v>86.10209713</v>
      </c>
      <c r="AK22" s="71" t="n">
        <f aca="false">AK20-AK21</f>
        <v>86.10209713</v>
      </c>
      <c r="AL22" s="71" t="n">
        <f aca="false">AL20-AL21</f>
        <v>86.10209713</v>
      </c>
      <c r="AM22" s="71" t="n">
        <f aca="false">AM20-AM21</f>
        <v>86.10209713</v>
      </c>
    </row>
    <row r="23" customFormat="false" ht="21" hidden="false" customHeight="true" outlineLevel="0" collapsed="false">
      <c r="C23" s="56" t="s">
        <v>428</v>
      </c>
      <c r="D23" s="71"/>
      <c r="E23" s="71"/>
      <c r="F23" s="71"/>
      <c r="G23" s="71"/>
      <c r="H23" s="71"/>
      <c r="I23" s="71"/>
      <c r="J23" s="71" t="n">
        <f aca="false">J17-J21</f>
        <v>0</v>
      </c>
      <c r="K23" s="71" t="n">
        <f aca="false">K17-K21</f>
        <v>0</v>
      </c>
      <c r="L23" s="71" t="n">
        <f aca="false">L17-L21</f>
        <v>0</v>
      </c>
      <c r="M23" s="71" t="n">
        <f aca="false">M17-M21</f>
        <v>0</v>
      </c>
      <c r="N23" s="71" t="n">
        <f aca="false">N17-N21</f>
        <v>0</v>
      </c>
      <c r="O23" s="71" t="n">
        <f aca="false">O17-O21</f>
        <v>0</v>
      </c>
      <c r="P23" s="71" t="n">
        <f aca="false">P17-P21</f>
        <v>0</v>
      </c>
      <c r="Q23" s="71" t="n">
        <f aca="false">Q17-Q21</f>
        <v>0</v>
      </c>
      <c r="R23" s="71" t="n">
        <f aca="false">R17-R21</f>
        <v>0</v>
      </c>
      <c r="S23" s="71" t="n">
        <f aca="false">S17-S21</f>
        <v>0</v>
      </c>
      <c r="T23" s="71" t="n">
        <f aca="false">T17-T21</f>
        <v>0</v>
      </c>
      <c r="U23" s="71" t="n">
        <f aca="false">U17-U21</f>
        <v>0</v>
      </c>
      <c r="V23" s="71" t="n">
        <f aca="false">V17-V21</f>
        <v>0</v>
      </c>
      <c r="W23" s="71" t="n">
        <f aca="false">W17-W21</f>
        <v>0</v>
      </c>
      <c r="X23" s="71" t="n">
        <f aca="false">X17-X21</f>
        <v>0</v>
      </c>
      <c r="Y23" s="71" t="n">
        <f aca="false">Y17-Y21</f>
        <v>0</v>
      </c>
      <c r="Z23" s="71" t="n">
        <f aca="false">Z17-Z21</f>
        <v>0</v>
      </c>
      <c r="AA23" s="71" t="n">
        <f aca="false">AA17-AA21</f>
        <v>0</v>
      </c>
      <c r="AB23" s="71" t="n">
        <f aca="false">AB17-AB21</f>
        <v>0</v>
      </c>
      <c r="AC23" s="71" t="n">
        <f aca="false">AC17-AC21</f>
        <v>0</v>
      </c>
      <c r="AD23" s="71" t="n">
        <f aca="false">AD17-AD21</f>
        <v>0</v>
      </c>
      <c r="AE23" s="71" t="n">
        <f aca="false">AE17-AE21</f>
        <v>0</v>
      </c>
      <c r="AF23" s="71" t="n">
        <f aca="false">AF17-AF21</f>
        <v>0</v>
      </c>
      <c r="AG23" s="71" t="n">
        <f aca="false">AG17-AG21</f>
        <v>0</v>
      </c>
      <c r="AH23" s="71" t="n">
        <f aca="false">AH17-AH21</f>
        <v>0</v>
      </c>
      <c r="AI23" s="71" t="n">
        <f aca="false">AI17-AI21</f>
        <v>0</v>
      </c>
      <c r="AJ23" s="71" t="n">
        <f aca="false">AJ17-AJ21</f>
        <v>0</v>
      </c>
      <c r="AK23" s="71" t="n">
        <f aca="false">AK17-AK21</f>
        <v>0</v>
      </c>
      <c r="AL23" s="71" t="n">
        <f aca="false">AL17-AL21</f>
        <v>0</v>
      </c>
      <c r="AM23" s="71" t="n">
        <f aca="false">AM17-AM21</f>
        <v>0</v>
      </c>
    </row>
    <row r="24" customFormat="false" ht="21" hidden="false" customHeight="true" outlineLevel="0" collapsed="false">
      <c r="C24" s="56" t="s">
        <v>429</v>
      </c>
      <c r="D24" s="71"/>
      <c r="E24" s="71"/>
      <c r="F24" s="71"/>
      <c r="G24" s="71"/>
      <c r="H24" s="71"/>
      <c r="I24" s="71"/>
      <c r="J24" s="71" t="n">
        <f aca="false">J10+J23</f>
        <v>44.1132636023108</v>
      </c>
      <c r="K24" s="71" t="n">
        <f aca="false">K10+K23</f>
        <v>59.1931460893123</v>
      </c>
      <c r="L24" s="71" t="n">
        <f aca="false">L10+L23</f>
        <v>65.652596228016</v>
      </c>
      <c r="M24" s="71" t="n">
        <f aca="false">M10+M23</f>
        <v>68.7086710492301</v>
      </c>
      <c r="N24" s="71" t="n">
        <f aca="false">N10+N23</f>
        <v>69.695051071217</v>
      </c>
      <c r="O24" s="71" t="n">
        <f aca="false">O10+O23</f>
        <v>70.7584953024395</v>
      </c>
      <c r="P24" s="71" t="n">
        <f aca="false">P10+P23</f>
        <v>75.0741217897431</v>
      </c>
      <c r="Q24" s="71" t="n">
        <f aca="false">Q10+Q23</f>
        <v>74.2837436074053</v>
      </c>
      <c r="R24" s="71" t="n">
        <f aca="false">R10+R23</f>
        <v>75.3450551261909</v>
      </c>
      <c r="S24" s="71" t="n">
        <f aca="false">S10+S23</f>
        <v>74.3575142401284</v>
      </c>
      <c r="T24" s="71" t="n">
        <f aca="false">T10+T23</f>
        <v>74.9835577496082</v>
      </c>
      <c r="U24" s="71" t="n">
        <f aca="false">U10+U23</f>
        <v>74.6088780174548</v>
      </c>
      <c r="V24" s="71" t="n">
        <f aca="false">V10+V23</f>
        <v>71.3755149052881</v>
      </c>
      <c r="W24" s="71" t="n">
        <f aca="false">W10+W23</f>
        <v>71.0642063149517</v>
      </c>
      <c r="X24" s="71" t="n">
        <f aca="false">X10+X23</f>
        <v>71.1456462144055</v>
      </c>
      <c r="Y24" s="71" t="n">
        <f aca="false">Y10+Y23</f>
        <v>71.56327601101</v>
      </c>
      <c r="Z24" s="71" t="n">
        <f aca="false">Z10+Z23</f>
        <v>71.2328991402153</v>
      </c>
      <c r="AA24" s="71" t="n">
        <f aca="false">AA10+AA23</f>
        <v>71.7532523001794</v>
      </c>
      <c r="AB24" s="71" t="n">
        <f aca="false">AB10+AB23</f>
        <v>75.7368616314481</v>
      </c>
      <c r="AC24" s="71" t="n">
        <f aca="false">AC10+AC23</f>
        <v>75.0648783803083</v>
      </c>
      <c r="AD24" s="71" t="n">
        <f aca="false">AD10+AD23</f>
        <v>75.633384126756</v>
      </c>
      <c r="AE24" s="71" t="n">
        <f aca="false">AE10+AE23</f>
        <v>74.8158516066304</v>
      </c>
      <c r="AF24" s="71" t="n">
        <f aca="false">AF10+AF23</f>
        <v>75.374224427574</v>
      </c>
      <c r="AG24" s="71" t="n">
        <f aca="false">AG10+AG23</f>
        <v>74.966197712155</v>
      </c>
      <c r="AH24" s="71" t="n">
        <f aca="false">AH10+AH23</f>
        <v>71.6651356526542</v>
      </c>
      <c r="AI24" s="71" t="n">
        <f aca="false">AI10+AI23</f>
        <v>71.3328241246654</v>
      </c>
      <c r="AJ24" s="71" t="n">
        <f aca="false">AJ10+AJ23</f>
        <v>71.2501399805118</v>
      </c>
      <c r="AK24" s="71" t="n">
        <f aca="false">AK10+AK23</f>
        <v>71.6350908035492</v>
      </c>
      <c r="AL24" s="71" t="n">
        <f aca="false">AL10+AL23</f>
        <v>71.2769566480958</v>
      </c>
      <c r="AM24" s="71" t="n">
        <f aca="false">AM10+AM23</f>
        <v>71.796577926552</v>
      </c>
    </row>
    <row r="25" customFormat="false" ht="21" hidden="false" customHeight="true" outlineLevel="0" collapsed="false">
      <c r="C25" s="56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</row>
    <row r="26" customFormat="false" ht="21" hidden="false" customHeight="true" outlineLevel="0" collapsed="false">
      <c r="C26" s="56" t="s">
        <v>430</v>
      </c>
      <c r="D26" s="69"/>
      <c r="E26" s="69"/>
      <c r="F26" s="69"/>
      <c r="G26" s="69"/>
      <c r="H26" s="69"/>
      <c r="I26" s="69"/>
      <c r="J26" s="69" t="n">
        <f aca="false">H1Data!D42-H1Data!D43</f>
        <v>132.89805812</v>
      </c>
      <c r="K26" s="69" t="n">
        <f aca="false">H1Data!D42-H1Data!D43</f>
        <v>132.89805812</v>
      </c>
      <c r="L26" s="69" t="n">
        <f aca="false">H1Data!D42-H1Data!D43</f>
        <v>132.89805812</v>
      </c>
      <c r="M26" s="69" t="n">
        <f aca="false">H1Data!D42-H1Data!D43</f>
        <v>132.89805812</v>
      </c>
      <c r="N26" s="69" t="n">
        <f aca="false">H1Data!D42-H1Data!D43</f>
        <v>132.89805812</v>
      </c>
      <c r="O26" s="69" t="n">
        <f aca="false">H1Data!D42-H1Data!D43</f>
        <v>132.89805812</v>
      </c>
      <c r="P26" s="69" t="n">
        <f aca="false">H1Data!D42-H1Data!D43</f>
        <v>132.89805812</v>
      </c>
      <c r="Q26" s="69" t="n">
        <f aca="false">H1Data!D42-H1Data!D43</f>
        <v>132.89805812</v>
      </c>
      <c r="R26" s="69" t="n">
        <f aca="false">H1Data!D42-H1Data!D43</f>
        <v>132.89805812</v>
      </c>
      <c r="S26" s="69" t="n">
        <f aca="false">H1Data!D42-H1Data!D43</f>
        <v>132.89805812</v>
      </c>
      <c r="T26" s="69" t="n">
        <f aca="false">H1Data!D42-H1Data!D43</f>
        <v>132.89805812</v>
      </c>
      <c r="U26" s="69" t="n">
        <f aca="false">H1Data!D42-H1Data!D43</f>
        <v>132.89805812</v>
      </c>
      <c r="V26" s="69" t="n">
        <f aca="false">H1Data!D42-H1Data!D43</f>
        <v>132.89805812</v>
      </c>
      <c r="W26" s="69" t="n">
        <f aca="false">H1Data!D42-H1Data!D43</f>
        <v>132.89805812</v>
      </c>
      <c r="X26" s="69" t="n">
        <f aca="false">H1Data!D42-H1Data!D43</f>
        <v>132.89805812</v>
      </c>
      <c r="Y26" s="69" t="n">
        <f aca="false">H1Data!D42-H1Data!D43</f>
        <v>132.89805812</v>
      </c>
      <c r="Z26" s="69" t="n">
        <f aca="false">H1Data!D42-H1Data!D43</f>
        <v>132.89805812</v>
      </c>
      <c r="AA26" s="69" t="n">
        <f aca="false">H1Data!D42-H1Data!D43</f>
        <v>132.89805812</v>
      </c>
      <c r="AB26" s="69" t="n">
        <f aca="false">H1Data!D42-H1Data!D43</f>
        <v>132.89805812</v>
      </c>
      <c r="AC26" s="69" t="n">
        <f aca="false">H1Data!D42-H1Data!D43</f>
        <v>132.89805812</v>
      </c>
      <c r="AD26" s="69" t="n">
        <f aca="false">H1Data!D42-H1Data!D43</f>
        <v>132.89805812</v>
      </c>
      <c r="AE26" s="69" t="n">
        <f aca="false">H1Data!D42-H1Data!D43</f>
        <v>132.89805812</v>
      </c>
      <c r="AF26" s="69" t="n">
        <f aca="false">H1Data!D42-H1Data!D43</f>
        <v>132.89805812</v>
      </c>
      <c r="AG26" s="69" t="n">
        <f aca="false">H1Data!D42-H1Data!D43</f>
        <v>132.89805812</v>
      </c>
      <c r="AH26" s="69" t="n">
        <f aca="false">H1Data!D42-H1Data!D43</f>
        <v>132.89805812</v>
      </c>
      <c r="AI26" s="69" t="n">
        <f aca="false">H1Data!D42-H1Data!D43</f>
        <v>132.89805812</v>
      </c>
      <c r="AJ26" s="69" t="n">
        <f aca="false">H1Data!D42-H1Data!D43</f>
        <v>132.89805812</v>
      </c>
      <c r="AK26" s="69" t="n">
        <f aca="false">H1Data!D42-H1Data!D43</f>
        <v>132.89805812</v>
      </c>
      <c r="AL26" s="69" t="n">
        <f aca="false">H1Data!D42-H1Data!D43</f>
        <v>132.89805812</v>
      </c>
      <c r="AM26" s="69" t="n">
        <f aca="false">H1Data!D42-H1Data!D43</f>
        <v>132.89805812</v>
      </c>
    </row>
    <row r="27" customFormat="false" ht="21" hidden="false" customHeight="true" outlineLevel="0" collapsed="false">
      <c r="C27" s="56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</row>
    <row r="28" customFormat="false" ht="21" hidden="false" customHeight="true" outlineLevel="0" collapsed="false">
      <c r="C28" s="56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</row>
    <row r="29" customFormat="false" ht="21" hidden="false" customHeight="true" outlineLevel="0" collapsed="false">
      <c r="C29" s="56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</row>
    <row r="30" customFormat="false" ht="21" hidden="false" customHeight="true" outlineLevel="0" collapsed="false">
      <c r="C30" s="56" t="s">
        <v>431</v>
      </c>
      <c r="D30" s="69"/>
      <c r="E30" s="69"/>
      <c r="F30" s="69"/>
      <c r="G30" s="69"/>
      <c r="H30" s="69"/>
      <c r="I30" s="69"/>
      <c r="J30" s="69" t="n">
        <f aca="false">H1Data!D58</f>
        <v>10269.48150582</v>
      </c>
      <c r="K30" s="69" t="n">
        <f aca="false">TaxEquity!J35</f>
        <v>10476.2356228618</v>
      </c>
      <c r="L30" s="69" t="n">
        <f aca="false">TaxEquity!K35</f>
        <v>10753.667525542</v>
      </c>
      <c r="M30" s="69" t="n">
        <f aca="false">TaxEquity!L35</f>
        <v>11061.3741755645</v>
      </c>
      <c r="N30" s="69" t="n">
        <f aca="false">TaxEquity!M35</f>
        <v>11383.4043192412</v>
      </c>
      <c r="O30" s="69" t="n">
        <f aca="false">TaxEquity!N35</f>
        <v>11710.0575198822</v>
      </c>
      <c r="P30" s="69" t="n">
        <f aca="false">TaxEquity!O35</f>
        <v>12041.694969139</v>
      </c>
      <c r="Q30" s="69" t="n">
        <f aca="false">TaxEquity!P35</f>
        <v>12393.5592950991</v>
      </c>
      <c r="R30" s="69" t="n">
        <f aca="false">TaxEquity!Q35</f>
        <v>12741.7192036148</v>
      </c>
      <c r="S30" s="69" t="n">
        <f aca="false">TaxEquity!R35</f>
        <v>13094.8533649528</v>
      </c>
      <c r="T30" s="69" t="n">
        <f aca="false">TaxEquity!S35</f>
        <v>13443.3590284815</v>
      </c>
      <c r="U30" s="69" t="n">
        <f aca="false">TaxEquity!T35</f>
        <v>13794.7988905361</v>
      </c>
      <c r="V30" s="69" t="n">
        <f aca="false">TaxEquity!U35</f>
        <v>10613.600285134</v>
      </c>
      <c r="W30" s="69" t="n">
        <f aca="false">TaxEquity!V35</f>
        <v>10948.1296388378</v>
      </c>
      <c r="X30" s="69" t="n">
        <f aca="false">TaxEquity!W35</f>
        <v>11281.1999226958</v>
      </c>
      <c r="Y30" s="69" t="n">
        <f aca="false">TaxEquity!X35</f>
        <v>11614.6519065944</v>
      </c>
      <c r="Z30" s="69" t="n">
        <f aca="false">TaxEquity!Y35</f>
        <v>11950.0612763854</v>
      </c>
      <c r="AA30" s="69" t="n">
        <f aca="false">TaxEquity!Z35</f>
        <v>12283.9222053531</v>
      </c>
      <c r="AB30" s="69" t="n">
        <f aca="false">TaxEquity!AA35</f>
        <v>12620.2219735576</v>
      </c>
      <c r="AC30" s="69" t="n">
        <f aca="false">TaxEquity!AB35</f>
        <v>12975.1924898018</v>
      </c>
      <c r="AD30" s="69" t="n">
        <f aca="false">TaxEquity!AC35</f>
        <v>13327.0134928971</v>
      </c>
      <c r="AE30" s="69" t="n">
        <f aca="false">TaxEquity!AD35</f>
        <v>13681.4990212177</v>
      </c>
      <c r="AF30" s="69" t="n">
        <f aca="false">TaxEquity!AE35</f>
        <v>14032.1528626363</v>
      </c>
      <c r="AG30" s="69" t="n">
        <f aca="false">TaxEquity!AF35</f>
        <v>14385.4237373493</v>
      </c>
      <c r="AH30" s="69" t="n">
        <f aca="false">TaxEquity!AG35</f>
        <v>11038.3137852978</v>
      </c>
      <c r="AI30" s="69" t="n">
        <f aca="false">TaxEquity!AH35</f>
        <v>11374.2005602625</v>
      </c>
      <c r="AJ30" s="69" t="n">
        <f aca="false">TaxEquity!AI35</f>
        <v>11708.5298268738</v>
      </c>
      <c r="AK30" s="69" t="n">
        <f aca="false">TaxEquity!AJ35</f>
        <v>12042.4715618038</v>
      </c>
      <c r="AL30" s="69" t="n">
        <f aca="false">TaxEquity!AK35</f>
        <v>12378.2175197955</v>
      </c>
      <c r="AM30" s="69" t="n">
        <f aca="false">TaxEquity!AL35</f>
        <v>12712.2849415591</v>
      </c>
    </row>
    <row r="31" customFormat="false" ht="21" hidden="false" customHeight="true" outlineLevel="0" collapsed="false">
      <c r="C31" s="56" t="s">
        <v>432</v>
      </c>
      <c r="D31" s="69"/>
      <c r="E31" s="69"/>
      <c r="F31" s="69"/>
      <c r="G31" s="69"/>
      <c r="H31" s="69"/>
      <c r="I31" s="69"/>
      <c r="J31" s="69" t="n">
        <f aca="false">Monthly_PL!J32</f>
        <v>206.754117041816</v>
      </c>
      <c r="K31" s="69" t="n">
        <f aca="false">Monthly_PL!K32</f>
        <v>277.431902680216</v>
      </c>
      <c r="L31" s="69" t="n">
        <f aca="false">Monthly_PL!L32</f>
        <v>307.706650022495</v>
      </c>
      <c r="M31" s="69" t="n">
        <f aca="false">Monthly_PL!M32</f>
        <v>322.030143676698</v>
      </c>
      <c r="N31" s="69" t="n">
        <f aca="false">Monthly_PL!N32</f>
        <v>326.653200640973</v>
      </c>
      <c r="O31" s="69" t="n">
        <f aca="false">Monthly_PL!O32</f>
        <v>331.637449256805</v>
      </c>
      <c r="P31" s="69" t="n">
        <f aca="false">Monthly_PL!P32</f>
        <v>351.864325960119</v>
      </c>
      <c r="Q31" s="69" t="n">
        <f aca="false">Monthly_PL!Q32</f>
        <v>348.159908515706</v>
      </c>
      <c r="R31" s="69" t="n">
        <f aca="false">Monthly_PL!R32</f>
        <v>353.134161337965</v>
      </c>
      <c r="S31" s="69" t="n">
        <f aca="false">Monthly_PL!S32</f>
        <v>348.505663528752</v>
      </c>
      <c r="T31" s="69" t="n">
        <f aca="false">Monthly_PL!T32</f>
        <v>351.4398620546</v>
      </c>
      <c r="U31" s="69" t="n">
        <f aca="false">Monthly_PL!U32</f>
        <v>349.683778489955</v>
      </c>
      <c r="V31" s="69" t="n">
        <f aca="false">Monthly_PL!V32</f>
        <v>334.529353703833</v>
      </c>
      <c r="W31" s="69" t="n">
        <f aca="false">Monthly_PL!W32</f>
        <v>333.07028385802</v>
      </c>
      <c r="X31" s="69" t="n">
        <f aca="false">Monthly_PL!X32</f>
        <v>333.451983898519</v>
      </c>
      <c r="Y31" s="69" t="n">
        <f aca="false">Monthly_PL!Y32</f>
        <v>335.409369791019</v>
      </c>
      <c r="Z31" s="69" t="n">
        <f aca="false">Monthly_PL!Z32</f>
        <v>333.860928967688</v>
      </c>
      <c r="AA31" s="69" t="n">
        <f aca="false">Monthly_PL!AA32</f>
        <v>336.299768204526</v>
      </c>
      <c r="AB31" s="69" t="n">
        <f aca="false">Monthly_PL!AB32</f>
        <v>354.97051624419</v>
      </c>
      <c r="AC31" s="69" t="n">
        <f aca="false">Monthly_PL!AC32</f>
        <v>351.821003095291</v>
      </c>
      <c r="AD31" s="69" t="n">
        <f aca="false">Monthly_PL!AD32</f>
        <v>354.485528320621</v>
      </c>
      <c r="AE31" s="69" t="n">
        <f aca="false">Monthly_PL!AE32</f>
        <v>350.653841418574</v>
      </c>
      <c r="AF31" s="69" t="n">
        <f aca="false">Monthly_PL!AF32</f>
        <v>353.270874713029</v>
      </c>
      <c r="AG31" s="69" t="n">
        <f aca="false">Monthly_PL!AG32</f>
        <v>351.358497428128</v>
      </c>
      <c r="AH31" s="69" t="n">
        <f aca="false">Monthly_PL!AH32</f>
        <v>335.88677496467</v>
      </c>
      <c r="AI31" s="69" t="n">
        <f aca="false">Monthly_PL!AI32</f>
        <v>334.329266611364</v>
      </c>
      <c r="AJ31" s="69" t="n">
        <f aca="false">Monthly_PL!AJ32</f>
        <v>333.94173492992</v>
      </c>
      <c r="AK31" s="69" t="n">
        <f aca="false">Monthly_PL!AK32</f>
        <v>335.745957991699</v>
      </c>
      <c r="AL31" s="69" t="n">
        <f aca="false">Monthly_PL!AL32</f>
        <v>334.067421763664</v>
      </c>
      <c r="AM31" s="69" t="n">
        <f aca="false">Monthly_PL!AM32</f>
        <v>336.502830750673</v>
      </c>
    </row>
    <row r="32" customFormat="false" ht="21" hidden="false" customHeight="true" outlineLevel="0" collapsed="false">
      <c r="C32" s="56" t="s">
        <v>433</v>
      </c>
      <c r="D32" s="69"/>
      <c r="E32" s="69"/>
      <c r="F32" s="69"/>
      <c r="G32" s="69"/>
      <c r="H32" s="69"/>
      <c r="I32" s="69"/>
      <c r="J32" s="69" t="n">
        <f aca="false">SourceHistory!F21</f>
        <v>4070.63274777</v>
      </c>
      <c r="K32" s="69" t="n">
        <f aca="false">SourceHistory!F21</f>
        <v>4070.63274777</v>
      </c>
      <c r="L32" s="69" t="n">
        <f aca="false">SourceHistory!F21</f>
        <v>4070.63274777</v>
      </c>
      <c r="M32" s="69" t="n">
        <f aca="false">SourceHistory!F21</f>
        <v>4070.63274777</v>
      </c>
      <c r="N32" s="69" t="n">
        <f aca="false">SourceHistory!F21</f>
        <v>4070.63274777</v>
      </c>
      <c r="O32" s="69" t="n">
        <f aca="false">SourceHistory!F21</f>
        <v>4070.63274777</v>
      </c>
      <c r="P32" s="69" t="n">
        <f aca="false">SUM(Monthly_PL!D32:O32)</f>
        <v>3923.202648769</v>
      </c>
      <c r="Q32" s="69" t="n">
        <f aca="false">SUM(Monthly_PL!D32:O32)</f>
        <v>3923.202648769</v>
      </c>
      <c r="R32" s="69" t="n">
        <f aca="false">SUM(Monthly_PL!D32:O32)</f>
        <v>3923.202648769</v>
      </c>
      <c r="S32" s="69" t="n">
        <f aca="false">SUM(Monthly_PL!D32:O32)</f>
        <v>3923.202648769</v>
      </c>
      <c r="T32" s="69" t="n">
        <f aca="false">SUM(Monthly_PL!D32:O32)</f>
        <v>3923.202648769</v>
      </c>
      <c r="U32" s="69" t="n">
        <f aca="false">SUM(Monthly_PL!D32:O32)</f>
        <v>3923.202648769</v>
      </c>
      <c r="V32" s="69" t="n">
        <f aca="false">SUM(Monthly_PL!D32:O32)</f>
        <v>3923.202648769</v>
      </c>
      <c r="W32" s="69" t="n">
        <f aca="false">SUM(Monthly_PL!D32:O32)</f>
        <v>3923.202648769</v>
      </c>
      <c r="X32" s="69" t="n">
        <f aca="false">SUM(Monthly_PL!D32:O32)</f>
        <v>3923.202648769</v>
      </c>
      <c r="Y32" s="69" t="n">
        <f aca="false">SUM(Monthly_PL!D32:O32)</f>
        <v>3923.202648769</v>
      </c>
      <c r="Z32" s="69" t="n">
        <f aca="false">SUM(Monthly_PL!D32:O32)</f>
        <v>3923.202648769</v>
      </c>
      <c r="AA32" s="69" t="n">
        <f aca="false">SUM(Monthly_PL!D32:O32)</f>
        <v>3923.202648769</v>
      </c>
      <c r="AB32" s="69" t="n">
        <f aca="false">SUM(Monthly_PL!P32:AA32)</f>
        <v>4109.4093883107</v>
      </c>
      <c r="AC32" s="69" t="n">
        <f aca="false">SUM(Monthly_PL!P32:AA32)</f>
        <v>4109.4093883107</v>
      </c>
      <c r="AD32" s="69" t="n">
        <f aca="false">SUM(Monthly_PL!P32:AA32)</f>
        <v>4109.4093883107</v>
      </c>
      <c r="AE32" s="69" t="n">
        <f aca="false">SUM(Monthly_PL!P32:AA32)</f>
        <v>4109.4093883107</v>
      </c>
      <c r="AF32" s="69" t="n">
        <f aca="false">SUM(Monthly_PL!P32:AA32)</f>
        <v>4109.4093883107</v>
      </c>
      <c r="AG32" s="69" t="n">
        <f aca="false">SUM(Monthly_PL!P32:AA32)</f>
        <v>4109.4093883107</v>
      </c>
      <c r="AH32" s="69" t="n">
        <f aca="false">SUM(Monthly_PL!P32:AA32)</f>
        <v>4109.4093883107</v>
      </c>
      <c r="AI32" s="69" t="n">
        <f aca="false">SUM(Monthly_PL!P32:AA32)</f>
        <v>4109.4093883107</v>
      </c>
      <c r="AJ32" s="69" t="n">
        <f aca="false">SUM(Monthly_PL!P32:AA32)</f>
        <v>4109.4093883107</v>
      </c>
      <c r="AK32" s="69" t="n">
        <f aca="false">SUM(Monthly_PL!P32:AA32)</f>
        <v>4109.4093883107</v>
      </c>
      <c r="AL32" s="69" t="n">
        <f aca="false">SUM(Monthly_PL!P32:AA32)</f>
        <v>4109.4093883107</v>
      </c>
      <c r="AM32" s="69" t="n">
        <f aca="false">SUM(Monthly_PL!P32:AA32)</f>
        <v>4109.4093883107</v>
      </c>
    </row>
    <row r="33" customFormat="false" ht="21" hidden="false" customHeight="true" outlineLevel="0" collapsed="false">
      <c r="C33" s="56" t="s">
        <v>434</v>
      </c>
      <c r="D33" s="69"/>
      <c r="E33" s="69"/>
      <c r="F33" s="69"/>
      <c r="G33" s="69"/>
      <c r="H33" s="69"/>
      <c r="I33" s="69"/>
      <c r="J33" s="69" t="n">
        <f aca="false">MAX(0,J32)*Inputs!J37</f>
        <v>0</v>
      </c>
      <c r="K33" s="69" t="n">
        <f aca="false">MAX(0,K32)*Inputs!K37</f>
        <v>0</v>
      </c>
      <c r="L33" s="69" t="n">
        <f aca="false">MAX(0,L32)*Inputs!L37</f>
        <v>0</v>
      </c>
      <c r="M33" s="69" t="n">
        <f aca="false">MAX(0,M32)*Inputs!M37</f>
        <v>0</v>
      </c>
      <c r="N33" s="69" t="n">
        <f aca="false">MAX(0,N32)*Inputs!N37</f>
        <v>0</v>
      </c>
      <c r="O33" s="69" t="n">
        <f aca="false">MAX(0,O32)*Inputs!O37</f>
        <v>0</v>
      </c>
      <c r="P33" s="69" t="n">
        <f aca="false">MAX(0,P32)*Inputs!P37</f>
        <v>0</v>
      </c>
      <c r="Q33" s="69" t="n">
        <f aca="false">MAX(0,Q32)*Inputs!Q37</f>
        <v>0</v>
      </c>
      <c r="R33" s="69" t="n">
        <f aca="false">MAX(0,R32)*Inputs!R37</f>
        <v>0</v>
      </c>
      <c r="S33" s="69" t="n">
        <f aca="false">MAX(0,S32)*Inputs!S37</f>
        <v>0</v>
      </c>
      <c r="T33" s="69" t="n">
        <f aca="false">MAX(0,T32)*Inputs!T37</f>
        <v>0</v>
      </c>
      <c r="U33" s="69" t="n">
        <f aca="false">MAX(0,U32)*Inputs!U37</f>
        <v>3530.8823838921</v>
      </c>
      <c r="V33" s="69" t="n">
        <f aca="false">MAX(0,V32)*Inputs!V37</f>
        <v>0</v>
      </c>
      <c r="W33" s="69" t="n">
        <f aca="false">MAX(0,W32)*Inputs!W37</f>
        <v>0</v>
      </c>
      <c r="X33" s="69" t="n">
        <f aca="false">MAX(0,X32)*Inputs!X37</f>
        <v>0</v>
      </c>
      <c r="Y33" s="69" t="n">
        <f aca="false">MAX(0,Y32)*Inputs!Y37</f>
        <v>0</v>
      </c>
      <c r="Z33" s="69" t="n">
        <f aca="false">MAX(0,Z32)*Inputs!Z37</f>
        <v>0</v>
      </c>
      <c r="AA33" s="69" t="n">
        <f aca="false">MAX(0,AA32)*Inputs!AA37</f>
        <v>0</v>
      </c>
      <c r="AB33" s="69" t="n">
        <f aca="false">MAX(0,AB32)*Inputs!AB37</f>
        <v>0</v>
      </c>
      <c r="AC33" s="69" t="n">
        <f aca="false">MAX(0,AC32)*Inputs!AC37</f>
        <v>0</v>
      </c>
      <c r="AD33" s="69" t="n">
        <f aca="false">MAX(0,AD32)*Inputs!AD37</f>
        <v>0</v>
      </c>
      <c r="AE33" s="69" t="n">
        <f aca="false">MAX(0,AE32)*Inputs!AE37</f>
        <v>0</v>
      </c>
      <c r="AF33" s="69" t="n">
        <f aca="false">MAX(0,AF32)*Inputs!AF37</f>
        <v>0</v>
      </c>
      <c r="AG33" s="69" t="n">
        <f aca="false">MAX(0,AG32)*Inputs!AG37</f>
        <v>3698.46844947963</v>
      </c>
      <c r="AH33" s="69" t="n">
        <f aca="false">MAX(0,AH32)*Inputs!AH37</f>
        <v>0</v>
      </c>
      <c r="AI33" s="69" t="n">
        <f aca="false">MAX(0,AI32)*Inputs!AI37</f>
        <v>0</v>
      </c>
      <c r="AJ33" s="69" t="n">
        <f aca="false">MAX(0,AJ32)*Inputs!AJ37</f>
        <v>0</v>
      </c>
      <c r="AK33" s="69" t="n">
        <f aca="false">MAX(0,AK32)*Inputs!AK37</f>
        <v>0</v>
      </c>
      <c r="AL33" s="69" t="n">
        <f aca="false">MAX(0,AL32)*Inputs!AL37</f>
        <v>0</v>
      </c>
      <c r="AM33" s="69" t="n">
        <f aca="false">MAX(0,AM32)*Inputs!AM37</f>
        <v>0</v>
      </c>
    </row>
    <row r="34" customFormat="false" ht="21" hidden="false" customHeight="true" outlineLevel="0" collapsed="false">
      <c r="C34" s="56" t="s">
        <v>435</v>
      </c>
      <c r="D34" s="71"/>
      <c r="E34" s="71"/>
      <c r="F34" s="71"/>
      <c r="G34" s="71"/>
      <c r="H34" s="71"/>
      <c r="I34" s="71"/>
      <c r="J34" s="71" t="n">
        <f aca="false">MIN(MAX(0,J33),MAX(0,J30+J31))</f>
        <v>0</v>
      </c>
      <c r="K34" s="71" t="n">
        <f aca="false">MIN(MAX(0,K33),MAX(0,K30+K31))</f>
        <v>0</v>
      </c>
      <c r="L34" s="71" t="n">
        <f aca="false">MIN(MAX(0,L33),MAX(0,L30+L31))</f>
        <v>0</v>
      </c>
      <c r="M34" s="71" t="n">
        <f aca="false">MIN(MAX(0,M33),MAX(0,M30+M31))</f>
        <v>0</v>
      </c>
      <c r="N34" s="71" t="n">
        <f aca="false">MIN(MAX(0,N33),MAX(0,N30+N31))</f>
        <v>0</v>
      </c>
      <c r="O34" s="71" t="n">
        <f aca="false">MIN(MAX(0,O33),MAX(0,O30+O31))</f>
        <v>0</v>
      </c>
      <c r="P34" s="71" t="n">
        <f aca="false">MIN(MAX(0,P33),MAX(0,P30+P31))</f>
        <v>0</v>
      </c>
      <c r="Q34" s="71" t="n">
        <f aca="false">MIN(MAX(0,Q33),MAX(0,Q30+Q31))</f>
        <v>0</v>
      </c>
      <c r="R34" s="71" t="n">
        <f aca="false">MIN(MAX(0,R33),MAX(0,R30+R31))</f>
        <v>0</v>
      </c>
      <c r="S34" s="71" t="n">
        <f aca="false">MIN(MAX(0,S33),MAX(0,S30+S31))</f>
        <v>0</v>
      </c>
      <c r="T34" s="71" t="n">
        <f aca="false">MIN(MAX(0,T33),MAX(0,T30+T31))</f>
        <v>0</v>
      </c>
      <c r="U34" s="71" t="n">
        <f aca="false">MIN(MAX(0,U33),MAX(0,U30+U31))</f>
        <v>3530.8823838921</v>
      </c>
      <c r="V34" s="71" t="n">
        <f aca="false">MIN(MAX(0,V33),MAX(0,V30+V31))</f>
        <v>0</v>
      </c>
      <c r="W34" s="71" t="n">
        <f aca="false">MIN(MAX(0,W33),MAX(0,W30+W31))</f>
        <v>0</v>
      </c>
      <c r="X34" s="71" t="n">
        <f aca="false">MIN(MAX(0,X33),MAX(0,X30+X31))</f>
        <v>0</v>
      </c>
      <c r="Y34" s="71" t="n">
        <f aca="false">MIN(MAX(0,Y33),MAX(0,Y30+Y31))</f>
        <v>0</v>
      </c>
      <c r="Z34" s="71" t="n">
        <f aca="false">MIN(MAX(0,Z33),MAX(0,Z30+Z31))</f>
        <v>0</v>
      </c>
      <c r="AA34" s="71" t="n">
        <f aca="false">MIN(MAX(0,AA33),MAX(0,AA30+AA31))</f>
        <v>0</v>
      </c>
      <c r="AB34" s="71" t="n">
        <f aca="false">MIN(MAX(0,AB33),MAX(0,AB30+AB31))</f>
        <v>0</v>
      </c>
      <c r="AC34" s="71" t="n">
        <f aca="false">MIN(MAX(0,AC33),MAX(0,AC30+AC31))</f>
        <v>0</v>
      </c>
      <c r="AD34" s="71" t="n">
        <f aca="false">MIN(MAX(0,AD33),MAX(0,AD30+AD31))</f>
        <v>0</v>
      </c>
      <c r="AE34" s="71" t="n">
        <f aca="false">MIN(MAX(0,AE33),MAX(0,AE30+AE31))</f>
        <v>0</v>
      </c>
      <c r="AF34" s="71" t="n">
        <f aca="false">MIN(MAX(0,AF33),MAX(0,AF30+AF31))</f>
        <v>0</v>
      </c>
      <c r="AG34" s="71" t="n">
        <f aca="false">MIN(MAX(0,AG33),MAX(0,AG30+AG31))</f>
        <v>3698.46844947963</v>
      </c>
      <c r="AH34" s="71" t="n">
        <f aca="false">MIN(MAX(0,AH33),MAX(0,AH30+AH31))</f>
        <v>0</v>
      </c>
      <c r="AI34" s="71" t="n">
        <f aca="false">MIN(MAX(0,AI33),MAX(0,AI30+AI31))</f>
        <v>0</v>
      </c>
      <c r="AJ34" s="71" t="n">
        <f aca="false">MIN(MAX(0,AJ33),MAX(0,AJ30+AJ31))</f>
        <v>0</v>
      </c>
      <c r="AK34" s="71" t="n">
        <f aca="false">MIN(MAX(0,AK33),MAX(0,AK30+AK31))</f>
        <v>0</v>
      </c>
      <c r="AL34" s="71" t="n">
        <f aca="false">MIN(MAX(0,AL33),MAX(0,AL30+AL31))</f>
        <v>0</v>
      </c>
      <c r="AM34" s="71" t="n">
        <f aca="false">MIN(MAX(0,AM33),MAX(0,AM30+AM31))</f>
        <v>0</v>
      </c>
    </row>
    <row r="35" customFormat="false" ht="21" hidden="false" customHeight="true" outlineLevel="0" collapsed="false">
      <c r="C35" s="56" t="s">
        <v>436</v>
      </c>
      <c r="D35" s="71"/>
      <c r="E35" s="71"/>
      <c r="F35" s="71"/>
      <c r="G35" s="71"/>
      <c r="H35" s="71"/>
      <c r="I35" s="71"/>
      <c r="J35" s="71" t="n">
        <f aca="false">J30+J31-J34</f>
        <v>10476.2356228618</v>
      </c>
      <c r="K35" s="71" t="n">
        <f aca="false">K30+K31-K34</f>
        <v>10753.667525542</v>
      </c>
      <c r="L35" s="71" t="n">
        <f aca="false">L30+L31-L34</f>
        <v>11061.3741755645</v>
      </c>
      <c r="M35" s="71" t="n">
        <f aca="false">M30+M31-M34</f>
        <v>11383.4043192412</v>
      </c>
      <c r="N35" s="71" t="n">
        <f aca="false">N30+N31-N34</f>
        <v>11710.0575198822</v>
      </c>
      <c r="O35" s="71" t="n">
        <f aca="false">O30+O31-O34</f>
        <v>12041.694969139</v>
      </c>
      <c r="P35" s="71" t="n">
        <f aca="false">P30+P31-P34</f>
        <v>12393.5592950991</v>
      </c>
      <c r="Q35" s="71" t="n">
        <f aca="false">Q30+Q31-Q34</f>
        <v>12741.7192036148</v>
      </c>
      <c r="R35" s="71" t="n">
        <f aca="false">R30+R31-R34</f>
        <v>13094.8533649528</v>
      </c>
      <c r="S35" s="71" t="n">
        <f aca="false">S30+S31-S34</f>
        <v>13443.3590284815</v>
      </c>
      <c r="T35" s="71" t="n">
        <f aca="false">T30+T31-T34</f>
        <v>13794.7988905361</v>
      </c>
      <c r="U35" s="71" t="n">
        <f aca="false">U30+U31-U34</f>
        <v>10613.600285134</v>
      </c>
      <c r="V35" s="71" t="n">
        <f aca="false">V30+V31-V34</f>
        <v>10948.1296388378</v>
      </c>
      <c r="W35" s="71" t="n">
        <f aca="false">W30+W31-W34</f>
        <v>11281.1999226958</v>
      </c>
      <c r="X35" s="71" t="n">
        <f aca="false">X30+X31-X34</f>
        <v>11614.6519065944</v>
      </c>
      <c r="Y35" s="71" t="n">
        <f aca="false">Y30+Y31-Y34</f>
        <v>11950.0612763854</v>
      </c>
      <c r="Z35" s="71" t="n">
        <f aca="false">Z30+Z31-Z34</f>
        <v>12283.9222053531</v>
      </c>
      <c r="AA35" s="71" t="n">
        <f aca="false">AA30+AA31-AA34</f>
        <v>12620.2219735576</v>
      </c>
      <c r="AB35" s="71" t="n">
        <f aca="false">AB30+AB31-AB34</f>
        <v>12975.1924898018</v>
      </c>
      <c r="AC35" s="71" t="n">
        <f aca="false">AC30+AC31-AC34</f>
        <v>13327.0134928971</v>
      </c>
      <c r="AD35" s="71" t="n">
        <f aca="false">AD30+AD31-AD34</f>
        <v>13681.4990212177</v>
      </c>
      <c r="AE35" s="71" t="n">
        <f aca="false">AE30+AE31-AE34</f>
        <v>14032.1528626363</v>
      </c>
      <c r="AF35" s="71" t="n">
        <f aca="false">AF30+AF31-AF34</f>
        <v>14385.4237373493</v>
      </c>
      <c r="AG35" s="71" t="n">
        <f aca="false">AG30+AG31-AG34</f>
        <v>11038.3137852978</v>
      </c>
      <c r="AH35" s="71" t="n">
        <f aca="false">AH30+AH31-AH34</f>
        <v>11374.2005602625</v>
      </c>
      <c r="AI35" s="71" t="n">
        <f aca="false">AI30+AI31-AI34</f>
        <v>11708.5298268738</v>
      </c>
      <c r="AJ35" s="71" t="n">
        <f aca="false">AJ30+AJ31-AJ34</f>
        <v>12042.4715618038</v>
      </c>
      <c r="AK35" s="71" t="n">
        <f aca="false">AK30+AK31-AK34</f>
        <v>12378.2175197955</v>
      </c>
      <c r="AL35" s="71" t="n">
        <f aca="false">AL30+AL31-AL34</f>
        <v>12712.2849415591</v>
      </c>
      <c r="AM35" s="71" t="n">
        <f aca="false">AM30+AM31-AM34</f>
        <v>13048.7877723098</v>
      </c>
    </row>
    <row r="36" customFormat="false" ht="21" hidden="false" customHeight="true" outlineLevel="0" collapsed="false">
      <c r="C36" s="56" t="s">
        <v>437</v>
      </c>
      <c r="D36" s="69"/>
      <c r="E36" s="69"/>
      <c r="F36" s="69"/>
      <c r="G36" s="69"/>
      <c r="H36" s="69"/>
      <c r="I36" s="69"/>
      <c r="J36" s="69" t="n">
        <f aca="false">H1Data!D59</f>
        <v>14.9650577</v>
      </c>
      <c r="K36" s="69" t="n">
        <f aca="false">TaxEquity!J39</f>
        <v>15.2530099197028</v>
      </c>
      <c r="L36" s="69" t="n">
        <f aca="false">TaxEquity!K39</f>
        <v>15.6393970607965</v>
      </c>
      <c r="M36" s="69" t="n">
        <f aca="false">TaxEquity!L39</f>
        <v>16.0679486860751</v>
      </c>
      <c r="N36" s="69" t="n">
        <f aca="false">TaxEquity!M39</f>
        <v>16.5164490400688</v>
      </c>
      <c r="O36" s="69" t="n">
        <f aca="false">TaxEquity!N39</f>
        <v>16.9713880543114</v>
      </c>
      <c r="P36" s="69" t="n">
        <f aca="false">TaxEquity!O39</f>
        <v>17.43326877048</v>
      </c>
      <c r="Q36" s="69" t="n">
        <f aca="false">TaxEquity!P39</f>
        <v>17.9233200214254</v>
      </c>
      <c r="R36" s="69" t="n">
        <f aca="false">TaxEquity!Q39</f>
        <v>18.4082120269778</v>
      </c>
      <c r="S36" s="69" t="n">
        <f aca="false">TaxEquity!R39</f>
        <v>18.900031813036</v>
      </c>
      <c r="T36" s="69" t="n">
        <f aca="false">TaxEquity!S39</f>
        <v>19.3854053612291</v>
      </c>
      <c r="U36" s="69" t="n">
        <f aca="false">TaxEquity!T39</f>
        <v>19.8748654494662</v>
      </c>
      <c r="V36" s="69" t="n">
        <f aca="false">TaxEquity!U39</f>
        <v>14.5312728197602</v>
      </c>
      <c r="W36" s="69" t="n">
        <f aca="false">TaxEquity!V39</f>
        <v>14.9971811718308</v>
      </c>
      <c r="X36" s="69" t="n">
        <f aca="false">TaxEquity!W39</f>
        <v>15.4610574366723</v>
      </c>
      <c r="Y36" s="69" t="n">
        <f aca="false">TaxEquity!X39</f>
        <v>15.9254653057957</v>
      </c>
      <c r="Z36" s="69" t="n">
        <f aca="false">TaxEquity!Y39</f>
        <v>16.3925992807913</v>
      </c>
      <c r="AA36" s="69" t="n">
        <f aca="false">TaxEquity!Z39</f>
        <v>16.8575766991072</v>
      </c>
      <c r="AB36" s="69" t="n">
        <f aca="false">TaxEquity!AA39</f>
        <v>17.325950756783</v>
      </c>
      <c r="AC36" s="69" t="n">
        <f aca="false">TaxEquity!AB39</f>
        <v>17.8203280854864</v>
      </c>
      <c r="AD36" s="69" t="n">
        <f aca="false">TaxEquity!AC39</f>
        <v>18.3103189994708</v>
      </c>
      <c r="AE36" s="69" t="n">
        <f aca="false">TaxEquity!AD39</f>
        <v>18.8040208719796</v>
      </c>
      <c r="AF36" s="69" t="n">
        <f aca="false">TaxEquity!AE39</f>
        <v>19.2923862473756</v>
      </c>
      <c r="AG36" s="69" t="n">
        <f aca="false">TaxEquity!AF39</f>
        <v>19.7843964379606</v>
      </c>
      <c r="AH36" s="69" t="n">
        <f aca="false">TaxEquity!AG39</f>
        <v>15.1227831454539</v>
      </c>
      <c r="AI36" s="69" t="n">
        <f aca="false">TaxEquity!AH39</f>
        <v>15.590582015937</v>
      </c>
      <c r="AJ36" s="69" t="n">
        <f aca="false">TaxEquity!AI39</f>
        <v>16.0562117011388</v>
      </c>
      <c r="AK36" s="69" t="n">
        <f aca="false">TaxEquity!AJ39</f>
        <v>16.5213016601699</v>
      </c>
      <c r="AL36" s="69" t="n">
        <f aca="false">TaxEquity!AK39</f>
        <v>16.9889044109311</v>
      </c>
      <c r="AM36" s="69" t="n">
        <f aca="false">TaxEquity!AL39</f>
        <v>17.4541694175176</v>
      </c>
    </row>
    <row r="37" customFormat="false" ht="21" hidden="false" customHeight="true" outlineLevel="0" collapsed="false">
      <c r="C37" s="56" t="s">
        <v>438</v>
      </c>
      <c r="D37" s="69"/>
      <c r="E37" s="69"/>
      <c r="F37" s="69"/>
      <c r="G37" s="69"/>
      <c r="H37" s="69"/>
      <c r="I37" s="69"/>
      <c r="J37" s="69" t="n">
        <f aca="false">Monthly_PL!J33</f>
        <v>0.287952219702819</v>
      </c>
      <c r="K37" s="69" t="n">
        <f aca="false">Monthly_PL!K33</f>
        <v>0.386387141093724</v>
      </c>
      <c r="L37" s="69" t="n">
        <f aca="false">Monthly_PL!L33</f>
        <v>0.428551625278521</v>
      </c>
      <c r="M37" s="69" t="n">
        <f aca="false">Monthly_PL!M33</f>
        <v>0.448500353993764</v>
      </c>
      <c r="N37" s="69" t="n">
        <f aca="false">Monthly_PL!N33</f>
        <v>0.454939014242578</v>
      </c>
      <c r="O37" s="69" t="n">
        <f aca="false">Monthly_PL!O33</f>
        <v>0.461880716168586</v>
      </c>
      <c r="P37" s="69" t="n">
        <f aca="false">Monthly_PL!P33</f>
        <v>0.490051250945393</v>
      </c>
      <c r="Q37" s="69" t="n">
        <f aca="false">Monthly_PL!Q33</f>
        <v>0.484892005552429</v>
      </c>
      <c r="R37" s="69" t="n">
        <f aca="false">Monthly_PL!R33</f>
        <v>0.49181978605821</v>
      </c>
      <c r="S37" s="69" t="n">
        <f aca="false">Monthly_PL!S33</f>
        <v>0.485373548193051</v>
      </c>
      <c r="T37" s="69" t="n">
        <f aca="false">Monthly_PL!T33</f>
        <v>0.489460088237116</v>
      </c>
      <c r="U37" s="69" t="n">
        <f aca="false">Monthly_PL!U33</f>
        <v>0.487014341725956</v>
      </c>
      <c r="V37" s="69" t="n">
        <f aca="false">Monthly_PL!V33</f>
        <v>0.465908352070617</v>
      </c>
      <c r="W37" s="69" t="n">
        <f aca="false">Monthly_PL!W33</f>
        <v>0.463876264841523</v>
      </c>
      <c r="X37" s="69" t="n">
        <f aca="false">Monthly_PL!X33</f>
        <v>0.464407869123435</v>
      </c>
      <c r="Y37" s="69" t="n">
        <f aca="false">Monthly_PL!Y33</f>
        <v>0.467133974995592</v>
      </c>
      <c r="Z37" s="69" t="n">
        <f aca="false">Monthly_PL!Z33</f>
        <v>0.464977418315918</v>
      </c>
      <c r="AA37" s="69" t="n">
        <f aca="false">Monthly_PL!AA33</f>
        <v>0.468374057675722</v>
      </c>
      <c r="AB37" s="69" t="n">
        <f aca="false">Monthly_PL!AB33</f>
        <v>0.494377328703432</v>
      </c>
      <c r="AC37" s="69" t="n">
        <f aca="false">Monthly_PL!AC33</f>
        <v>0.48999091398442</v>
      </c>
      <c r="AD37" s="69" t="n">
        <f aca="false">Monthly_PL!AD33</f>
        <v>0.493701872508805</v>
      </c>
      <c r="AE37" s="69" t="n">
        <f aca="false">Monthly_PL!AE33</f>
        <v>0.488365375396016</v>
      </c>
      <c r="AF37" s="69" t="n">
        <f aca="false">Monthly_PL!AF33</f>
        <v>0.492010190584979</v>
      </c>
      <c r="AG37" s="69" t="n">
        <f aca="false">Monthly_PL!AG33</f>
        <v>0.489346769454723</v>
      </c>
      <c r="AH37" s="69" t="n">
        <f aca="false">Monthly_PL!AH33</f>
        <v>0.467798870483126</v>
      </c>
      <c r="AI37" s="69" t="n">
        <f aca="false">Monthly_PL!AI33</f>
        <v>0.465629685201804</v>
      </c>
      <c r="AJ37" s="69" t="n">
        <f aca="false">Monthly_PL!AJ33</f>
        <v>0.465089959031057</v>
      </c>
      <c r="AK37" s="69" t="n">
        <f aca="false">Monthly_PL!AK33</f>
        <v>0.467602750761212</v>
      </c>
      <c r="AL37" s="69" t="n">
        <f aca="false">Monthly_PL!AL33</f>
        <v>0.465265006586492</v>
      </c>
      <c r="AM37" s="69" t="n">
        <f aca="false">Monthly_PL!AM33</f>
        <v>0.46865686854178</v>
      </c>
    </row>
    <row r="38" customFormat="false" ht="21" hidden="false" customHeight="true" outlineLevel="0" collapsed="false">
      <c r="C38" s="56" t="s">
        <v>439</v>
      </c>
      <c r="D38" s="69"/>
      <c r="E38" s="69"/>
      <c r="F38" s="69"/>
      <c r="G38" s="69"/>
      <c r="H38" s="69"/>
      <c r="I38" s="69"/>
      <c r="J38" s="69" t="n">
        <f aca="false">MIN(MAX(0,J36+J37),MAX(0,SourceHistory!F22)*MAX(0,Inputs!J37))</f>
        <v>0</v>
      </c>
      <c r="K38" s="69" t="n">
        <f aca="false">MIN(MAX(0,K36+K37),MAX(0,SourceHistory!F22)*MAX(0,Inputs!K37))</f>
        <v>0</v>
      </c>
      <c r="L38" s="69" t="n">
        <f aca="false">MIN(MAX(0,L36+L37),MAX(0,SourceHistory!F22)*MAX(0,Inputs!L37))</f>
        <v>0</v>
      </c>
      <c r="M38" s="69" t="n">
        <f aca="false">MIN(MAX(0,M36+M37),MAX(0,SourceHistory!F22)*MAX(0,Inputs!M37))</f>
        <v>0</v>
      </c>
      <c r="N38" s="69" t="n">
        <f aca="false">MIN(MAX(0,N36+N37),MAX(0,SourceHistory!F22)*MAX(0,Inputs!N37))</f>
        <v>0</v>
      </c>
      <c r="O38" s="69" t="n">
        <f aca="false">MIN(MAX(0,O36+O37),MAX(0,SourceHistory!F22)*MAX(0,Inputs!O37))</f>
        <v>0</v>
      </c>
      <c r="P38" s="69" t="n">
        <f aca="false">MIN(MAX(0,P36+P37),MAX(0,SUM(Monthly_PL!D33:O33))*MAX(0,Inputs!P37))</f>
        <v>0</v>
      </c>
      <c r="Q38" s="69" t="n">
        <f aca="false">MIN(MAX(0,Q36+Q37),MAX(0,SUM(Monthly_PL!D33:O33))*MAX(0,Inputs!Q37))</f>
        <v>0</v>
      </c>
      <c r="R38" s="69" t="n">
        <f aca="false">MIN(MAX(0,R36+R37),MAX(0,SUM(Monthly_PL!D33:O33))*MAX(0,Inputs!R37))</f>
        <v>0</v>
      </c>
      <c r="S38" s="69" t="n">
        <f aca="false">MIN(MAX(0,S36+S37),MAX(0,SUM(Monthly_PL!D33:O33))*MAX(0,Inputs!S37))</f>
        <v>0</v>
      </c>
      <c r="T38" s="69" t="n">
        <f aca="false">MIN(MAX(0,T36+T37),MAX(0,SUM(Monthly_PL!D33:O33))*MAX(0,Inputs!T37))</f>
        <v>0</v>
      </c>
      <c r="U38" s="69" t="n">
        <f aca="false">MIN(MAX(0,U36+U37),MAX(0,SUM(Monthly_PL!D33:O33))*MAX(0,Inputs!U37))</f>
        <v>5.83060697143199</v>
      </c>
      <c r="V38" s="69" t="n">
        <f aca="false">MIN(MAX(0,V36+V37),MAX(0,SUM(Monthly_PL!D33:O33))*MAX(0,Inputs!V37))</f>
        <v>0</v>
      </c>
      <c r="W38" s="69" t="n">
        <f aca="false">MIN(MAX(0,W36+W37),MAX(0,SUM(Monthly_PL!D33:O33))*MAX(0,Inputs!W37))</f>
        <v>0</v>
      </c>
      <c r="X38" s="69" t="n">
        <f aca="false">MIN(MAX(0,X36+X37),MAX(0,SUM(Monthly_PL!D33:O33))*MAX(0,Inputs!X37))</f>
        <v>0</v>
      </c>
      <c r="Y38" s="69" t="n">
        <f aca="false">MIN(MAX(0,Y36+Y37),MAX(0,SUM(Monthly_PL!D33:O33))*MAX(0,Inputs!Y37))</f>
        <v>0</v>
      </c>
      <c r="Z38" s="69" t="n">
        <f aca="false">MIN(MAX(0,Z36+Z37),MAX(0,SUM(Monthly_PL!D33:O33))*MAX(0,Inputs!Z37))</f>
        <v>0</v>
      </c>
      <c r="AA38" s="69" t="n">
        <f aca="false">MIN(MAX(0,AA36+AA37),MAX(0,SUM(Monthly_PL!D33:O33))*MAX(0,Inputs!AA37))</f>
        <v>0</v>
      </c>
      <c r="AB38" s="69" t="n">
        <f aca="false">MIN(MAX(0,AB36+AB37),MAX(0,SUM(Monthly_PL!P33:AA33))*MAX(0,Inputs!AB37))</f>
        <v>0</v>
      </c>
      <c r="AC38" s="69" t="n">
        <f aca="false">MIN(MAX(0,AC36+AC37),MAX(0,SUM(Monthly_PL!P33:AA33))*MAX(0,Inputs!AC37))</f>
        <v>0</v>
      </c>
      <c r="AD38" s="69" t="n">
        <f aca="false">MIN(MAX(0,AD36+AD37),MAX(0,SUM(Monthly_PL!P33:AA33))*MAX(0,Inputs!AD37))</f>
        <v>0</v>
      </c>
      <c r="AE38" s="69" t="n">
        <f aca="false">MIN(MAX(0,AE36+AE37),MAX(0,SUM(Monthly_PL!P33:AA33))*MAX(0,Inputs!AE37))</f>
        <v>0</v>
      </c>
      <c r="AF38" s="69" t="n">
        <f aca="false">MIN(MAX(0,AF36+AF37),MAX(0,SUM(Monthly_PL!P33:AA33))*MAX(0,Inputs!AF37))</f>
        <v>0</v>
      </c>
      <c r="AG38" s="69" t="n">
        <f aca="false">MIN(MAX(0,AG36+AG37),MAX(0,SUM(Monthly_PL!P33:AA33))*MAX(0,Inputs!AG37))</f>
        <v>5.15096006196147</v>
      </c>
      <c r="AH38" s="69" t="n">
        <f aca="false">MIN(MAX(0,AH36+AH37),MAX(0,SUM(Monthly_PL!P33:AA33))*MAX(0,Inputs!AH37))</f>
        <v>0</v>
      </c>
      <c r="AI38" s="69" t="n">
        <f aca="false">MIN(MAX(0,AI36+AI37),MAX(0,SUM(Monthly_PL!P33:AA33))*MAX(0,Inputs!AI37))</f>
        <v>0</v>
      </c>
      <c r="AJ38" s="69" t="n">
        <f aca="false">MIN(MAX(0,AJ36+AJ37),MAX(0,SUM(Monthly_PL!P33:AA33))*MAX(0,Inputs!AJ37))</f>
        <v>0</v>
      </c>
      <c r="AK38" s="69" t="n">
        <f aca="false">MIN(MAX(0,AK36+AK37),MAX(0,SUM(Monthly_PL!P33:AA33))*MAX(0,Inputs!AK37))</f>
        <v>0</v>
      </c>
      <c r="AL38" s="69" t="n">
        <f aca="false">MIN(MAX(0,AL36+AL37),MAX(0,SUM(Monthly_PL!P33:AA33))*MAX(0,Inputs!AL37))</f>
        <v>0</v>
      </c>
      <c r="AM38" s="69" t="n">
        <f aca="false">MIN(MAX(0,AM36+AM37),MAX(0,SUM(Monthly_PL!P33:AA33))*MAX(0,Inputs!AM37))</f>
        <v>0</v>
      </c>
    </row>
    <row r="39" customFormat="false" ht="21" hidden="false" customHeight="true" outlineLevel="0" collapsed="false">
      <c r="C39" s="56" t="s">
        <v>440</v>
      </c>
      <c r="D39" s="71"/>
      <c r="E39" s="71"/>
      <c r="F39" s="71"/>
      <c r="G39" s="71"/>
      <c r="H39" s="71"/>
      <c r="I39" s="71"/>
      <c r="J39" s="71" t="n">
        <f aca="false">J36+J37-J38</f>
        <v>15.2530099197028</v>
      </c>
      <c r="K39" s="71" t="n">
        <f aca="false">K36+K37-K38</f>
        <v>15.6393970607965</v>
      </c>
      <c r="L39" s="71" t="n">
        <f aca="false">L36+L37-L38</f>
        <v>16.0679486860751</v>
      </c>
      <c r="M39" s="71" t="n">
        <f aca="false">M36+M37-M38</f>
        <v>16.5164490400688</v>
      </c>
      <c r="N39" s="71" t="n">
        <f aca="false">N36+N37-N38</f>
        <v>16.9713880543114</v>
      </c>
      <c r="O39" s="71" t="n">
        <f aca="false">O36+O37-O38</f>
        <v>17.43326877048</v>
      </c>
      <c r="P39" s="71" t="n">
        <f aca="false">P36+P37-P38</f>
        <v>17.9233200214254</v>
      </c>
      <c r="Q39" s="71" t="n">
        <f aca="false">Q36+Q37-Q38</f>
        <v>18.4082120269778</v>
      </c>
      <c r="R39" s="71" t="n">
        <f aca="false">R36+R37-R38</f>
        <v>18.900031813036</v>
      </c>
      <c r="S39" s="71" t="n">
        <f aca="false">S36+S37-S38</f>
        <v>19.3854053612291</v>
      </c>
      <c r="T39" s="71" t="n">
        <f aca="false">T36+T37-T38</f>
        <v>19.8748654494662</v>
      </c>
      <c r="U39" s="71" t="n">
        <f aca="false">U36+U37-U38</f>
        <v>14.5312728197602</v>
      </c>
      <c r="V39" s="71" t="n">
        <f aca="false">V36+V37-V38</f>
        <v>14.9971811718308</v>
      </c>
      <c r="W39" s="71" t="n">
        <f aca="false">W36+W37-W38</f>
        <v>15.4610574366723</v>
      </c>
      <c r="X39" s="71" t="n">
        <f aca="false">X36+X37-X38</f>
        <v>15.9254653057957</v>
      </c>
      <c r="Y39" s="71" t="n">
        <f aca="false">Y36+Y37-Y38</f>
        <v>16.3925992807913</v>
      </c>
      <c r="Z39" s="71" t="n">
        <f aca="false">Z36+Z37-Z38</f>
        <v>16.8575766991072</v>
      </c>
      <c r="AA39" s="71" t="n">
        <f aca="false">AA36+AA37-AA38</f>
        <v>17.325950756783</v>
      </c>
      <c r="AB39" s="71" t="n">
        <f aca="false">AB36+AB37-AB38</f>
        <v>17.8203280854864</v>
      </c>
      <c r="AC39" s="71" t="n">
        <f aca="false">AC36+AC37-AC38</f>
        <v>18.3103189994708</v>
      </c>
      <c r="AD39" s="71" t="n">
        <f aca="false">AD36+AD37-AD38</f>
        <v>18.8040208719796</v>
      </c>
      <c r="AE39" s="71" t="n">
        <f aca="false">AE36+AE37-AE38</f>
        <v>19.2923862473756</v>
      </c>
      <c r="AF39" s="71" t="n">
        <f aca="false">AF36+AF37-AF38</f>
        <v>19.7843964379606</v>
      </c>
      <c r="AG39" s="71" t="n">
        <f aca="false">AG36+AG37-AG38</f>
        <v>15.1227831454539</v>
      </c>
      <c r="AH39" s="71" t="n">
        <f aca="false">AH36+AH37-AH38</f>
        <v>15.590582015937</v>
      </c>
      <c r="AI39" s="71" t="n">
        <f aca="false">AI36+AI37-AI38</f>
        <v>16.0562117011388</v>
      </c>
      <c r="AJ39" s="71" t="n">
        <f aca="false">AJ36+AJ37-AJ38</f>
        <v>16.5213016601699</v>
      </c>
      <c r="AK39" s="71" t="n">
        <f aca="false">AK36+AK37-AK38</f>
        <v>16.9889044109311</v>
      </c>
      <c r="AL39" s="71" t="n">
        <f aca="false">AL36+AL37-AL38</f>
        <v>17.4541694175176</v>
      </c>
      <c r="AM39" s="71" t="n">
        <f aca="false">AM36+AM37-AM38</f>
        <v>17.9228262860593</v>
      </c>
    </row>
    <row r="40" customFormat="false" ht="21" hidden="false" customHeight="true" outlineLevel="0" collapsed="false">
      <c r="C40" s="56" t="s">
        <v>202</v>
      </c>
      <c r="D40" s="69"/>
      <c r="E40" s="69"/>
      <c r="F40" s="69"/>
      <c r="G40" s="69"/>
      <c r="H40" s="69"/>
      <c r="I40" s="69"/>
      <c r="J40" s="69" t="n">
        <f aca="false">MAX(0,Inputs!J53)</f>
        <v>0</v>
      </c>
      <c r="K40" s="69" t="n">
        <f aca="false">MAX(0,Inputs!K53)</f>
        <v>0</v>
      </c>
      <c r="L40" s="69" t="n">
        <f aca="false">MAX(0,Inputs!L53)</f>
        <v>0</v>
      </c>
      <c r="M40" s="69" t="n">
        <f aca="false">MAX(0,Inputs!M53)</f>
        <v>0</v>
      </c>
      <c r="N40" s="69" t="n">
        <f aca="false">MAX(0,Inputs!N53)</f>
        <v>0</v>
      </c>
      <c r="O40" s="69" t="n">
        <f aca="false">MAX(0,Inputs!O53)</f>
        <v>0</v>
      </c>
      <c r="P40" s="69" t="n">
        <f aca="false">MAX(0,Inputs!P53)</f>
        <v>0</v>
      </c>
      <c r="Q40" s="69" t="n">
        <f aca="false">MAX(0,Inputs!Q53)</f>
        <v>0</v>
      </c>
      <c r="R40" s="69" t="n">
        <f aca="false">MAX(0,Inputs!R53)</f>
        <v>0</v>
      </c>
      <c r="S40" s="69" t="n">
        <f aca="false">MAX(0,Inputs!S53)</f>
        <v>0</v>
      </c>
      <c r="T40" s="69" t="n">
        <f aca="false">MAX(0,Inputs!T53)</f>
        <v>0</v>
      </c>
      <c r="U40" s="69" t="n">
        <f aca="false">MAX(0,Inputs!U53)</f>
        <v>0</v>
      </c>
      <c r="V40" s="69" t="n">
        <f aca="false">MAX(0,Inputs!V53)</f>
        <v>0</v>
      </c>
      <c r="W40" s="69" t="n">
        <f aca="false">MAX(0,Inputs!W53)</f>
        <v>0</v>
      </c>
      <c r="X40" s="69" t="n">
        <f aca="false">MAX(0,Inputs!X53)</f>
        <v>0</v>
      </c>
      <c r="Y40" s="69" t="n">
        <f aca="false">MAX(0,Inputs!Y53)</f>
        <v>0</v>
      </c>
      <c r="Z40" s="69" t="n">
        <f aca="false">MAX(0,Inputs!Z53)</f>
        <v>0</v>
      </c>
      <c r="AA40" s="69" t="n">
        <f aca="false">MAX(0,Inputs!AA53)</f>
        <v>0</v>
      </c>
      <c r="AB40" s="69" t="n">
        <f aca="false">MAX(0,Inputs!AB53)</f>
        <v>0</v>
      </c>
      <c r="AC40" s="69" t="n">
        <f aca="false">MAX(0,Inputs!AC53)</f>
        <v>0</v>
      </c>
      <c r="AD40" s="69" t="n">
        <f aca="false">MAX(0,Inputs!AD53)</f>
        <v>0</v>
      </c>
      <c r="AE40" s="69" t="n">
        <f aca="false">MAX(0,Inputs!AE53)</f>
        <v>0</v>
      </c>
      <c r="AF40" s="69" t="n">
        <f aca="false">MAX(0,Inputs!AF53)</f>
        <v>0</v>
      </c>
      <c r="AG40" s="69" t="n">
        <f aca="false">MAX(0,Inputs!AG53)</f>
        <v>0</v>
      </c>
      <c r="AH40" s="69" t="n">
        <f aca="false">MAX(0,Inputs!AH53)</f>
        <v>0</v>
      </c>
      <c r="AI40" s="69" t="n">
        <f aca="false">MAX(0,Inputs!AI53)</f>
        <v>0</v>
      </c>
      <c r="AJ40" s="69" t="n">
        <f aca="false">MAX(0,Inputs!AJ53)</f>
        <v>0</v>
      </c>
      <c r="AK40" s="69" t="n">
        <f aca="false">MAX(0,Inputs!AK53)</f>
        <v>0</v>
      </c>
      <c r="AL40" s="69" t="n">
        <f aca="false">MAX(0,Inputs!AL53)</f>
        <v>0</v>
      </c>
      <c r="AM40" s="69" t="n">
        <f aca="false">MAX(0,Inputs!AM53)</f>
        <v>0</v>
      </c>
    </row>
    <row r="41" customFormat="false" ht="21" hidden="false" customHeight="true" outlineLevel="0" collapsed="false">
      <c r="C41" s="56" t="s">
        <v>441</v>
      </c>
      <c r="D41" s="69"/>
      <c r="E41" s="69"/>
      <c r="F41" s="69"/>
      <c r="G41" s="69"/>
      <c r="H41" s="69"/>
      <c r="I41" s="69"/>
      <c r="J41" s="69" t="n">
        <f aca="false">J40*MIN(1,MAX(0,Inputs!J54))</f>
        <v>0</v>
      </c>
      <c r="K41" s="69" t="n">
        <f aca="false">K40*MIN(1,MAX(0,Inputs!K54))</f>
        <v>0</v>
      </c>
      <c r="L41" s="69" t="n">
        <f aca="false">L40*MIN(1,MAX(0,Inputs!L54))</f>
        <v>0</v>
      </c>
      <c r="M41" s="69" t="n">
        <f aca="false">M40*MIN(1,MAX(0,Inputs!M54))</f>
        <v>0</v>
      </c>
      <c r="N41" s="69" t="n">
        <f aca="false">N40*MIN(1,MAX(0,Inputs!N54))</f>
        <v>0</v>
      </c>
      <c r="O41" s="69" t="n">
        <f aca="false">O40*MIN(1,MAX(0,Inputs!O54))</f>
        <v>0</v>
      </c>
      <c r="P41" s="69" t="n">
        <f aca="false">P40*MIN(1,MAX(0,Inputs!P54))</f>
        <v>0</v>
      </c>
      <c r="Q41" s="69" t="n">
        <f aca="false">Q40*MIN(1,MAX(0,Inputs!Q54))</f>
        <v>0</v>
      </c>
      <c r="R41" s="69" t="n">
        <f aca="false">R40*MIN(1,MAX(0,Inputs!R54))</f>
        <v>0</v>
      </c>
      <c r="S41" s="69" t="n">
        <f aca="false">S40*MIN(1,MAX(0,Inputs!S54))</f>
        <v>0</v>
      </c>
      <c r="T41" s="69" t="n">
        <f aca="false">T40*MIN(1,MAX(0,Inputs!T54))</f>
        <v>0</v>
      </c>
      <c r="U41" s="69" t="n">
        <f aca="false">U40*MIN(1,MAX(0,Inputs!U54))</f>
        <v>0</v>
      </c>
      <c r="V41" s="69" t="n">
        <f aca="false">V40*MIN(1,MAX(0,Inputs!V54))</f>
        <v>0</v>
      </c>
      <c r="W41" s="69" t="n">
        <f aca="false">W40*MIN(1,MAX(0,Inputs!W54))</f>
        <v>0</v>
      </c>
      <c r="X41" s="69" t="n">
        <f aca="false">X40*MIN(1,MAX(0,Inputs!X54))</f>
        <v>0</v>
      </c>
      <c r="Y41" s="69" t="n">
        <f aca="false">Y40*MIN(1,MAX(0,Inputs!Y54))</f>
        <v>0</v>
      </c>
      <c r="Z41" s="69" t="n">
        <f aca="false">Z40*MIN(1,MAX(0,Inputs!Z54))</f>
        <v>0</v>
      </c>
      <c r="AA41" s="69" t="n">
        <f aca="false">AA40*MIN(1,MAX(0,Inputs!AA54))</f>
        <v>0</v>
      </c>
      <c r="AB41" s="69" t="n">
        <f aca="false">AB40*MIN(1,MAX(0,Inputs!AB54))</f>
        <v>0</v>
      </c>
      <c r="AC41" s="69" t="n">
        <f aca="false">AC40*MIN(1,MAX(0,Inputs!AC54))</f>
        <v>0</v>
      </c>
      <c r="AD41" s="69" t="n">
        <f aca="false">AD40*MIN(1,MAX(0,Inputs!AD54))</f>
        <v>0</v>
      </c>
      <c r="AE41" s="69" t="n">
        <f aca="false">AE40*MIN(1,MAX(0,Inputs!AE54))</f>
        <v>0</v>
      </c>
      <c r="AF41" s="69" t="n">
        <f aca="false">AF40*MIN(1,MAX(0,Inputs!AF54))</f>
        <v>0</v>
      </c>
      <c r="AG41" s="69" t="n">
        <f aca="false">AG40*MIN(1,MAX(0,Inputs!AG54))</f>
        <v>0</v>
      </c>
      <c r="AH41" s="69" t="n">
        <f aca="false">AH40*MIN(1,MAX(0,Inputs!AH54))</f>
        <v>0</v>
      </c>
      <c r="AI41" s="69" t="n">
        <f aca="false">AI40*MIN(1,MAX(0,Inputs!AI54))</f>
        <v>0</v>
      </c>
      <c r="AJ41" s="69" t="n">
        <f aca="false">AJ40*MIN(1,MAX(0,Inputs!AJ54))</f>
        <v>0</v>
      </c>
      <c r="AK41" s="69" t="n">
        <f aca="false">AK40*MIN(1,MAX(0,Inputs!AK54))</f>
        <v>0</v>
      </c>
      <c r="AL41" s="69" t="n">
        <f aca="false">AL40*MIN(1,MAX(0,Inputs!AL54))</f>
        <v>0</v>
      </c>
      <c r="AM41" s="69" t="n">
        <f aca="false">AM40*MIN(1,MAX(0,Inputs!AM54))</f>
        <v>0</v>
      </c>
    </row>
    <row r="42" customFormat="false" ht="21" hidden="false" customHeight="true" outlineLevel="0" collapsed="false">
      <c r="C42" s="56" t="s">
        <v>442</v>
      </c>
      <c r="D42" s="71"/>
      <c r="E42" s="71"/>
      <c r="F42" s="71"/>
      <c r="G42" s="71"/>
      <c r="H42" s="71"/>
      <c r="I42" s="71"/>
      <c r="J42" s="71" t="n">
        <f aca="false">J40-J41</f>
        <v>0</v>
      </c>
      <c r="K42" s="71" t="n">
        <f aca="false">K40-K41</f>
        <v>0</v>
      </c>
      <c r="L42" s="71" t="n">
        <f aca="false">L40-L41</f>
        <v>0</v>
      </c>
      <c r="M42" s="71" t="n">
        <f aca="false">M40-M41</f>
        <v>0</v>
      </c>
      <c r="N42" s="71" t="n">
        <f aca="false">N40-N41</f>
        <v>0</v>
      </c>
      <c r="O42" s="71" t="n">
        <f aca="false">O40-O41</f>
        <v>0</v>
      </c>
      <c r="P42" s="71" t="n">
        <f aca="false">P40-P41</f>
        <v>0</v>
      </c>
      <c r="Q42" s="71" t="n">
        <f aca="false">Q40-Q41</f>
        <v>0</v>
      </c>
      <c r="R42" s="71" t="n">
        <f aca="false">R40-R41</f>
        <v>0</v>
      </c>
      <c r="S42" s="71" t="n">
        <f aca="false">S40-S41</f>
        <v>0</v>
      </c>
      <c r="T42" s="71" t="n">
        <f aca="false">T40-T41</f>
        <v>0</v>
      </c>
      <c r="U42" s="71" t="n">
        <f aca="false">U40-U41</f>
        <v>0</v>
      </c>
      <c r="V42" s="71" t="n">
        <f aca="false">V40-V41</f>
        <v>0</v>
      </c>
      <c r="W42" s="71" t="n">
        <f aca="false">W40-W41</f>
        <v>0</v>
      </c>
      <c r="X42" s="71" t="n">
        <f aca="false">X40-X41</f>
        <v>0</v>
      </c>
      <c r="Y42" s="71" t="n">
        <f aca="false">Y40-Y41</f>
        <v>0</v>
      </c>
      <c r="Z42" s="71" t="n">
        <f aca="false">Z40-Z41</f>
        <v>0</v>
      </c>
      <c r="AA42" s="71" t="n">
        <f aca="false">AA40-AA41</f>
        <v>0</v>
      </c>
      <c r="AB42" s="71" t="n">
        <f aca="false">AB40-AB41</f>
        <v>0</v>
      </c>
      <c r="AC42" s="71" t="n">
        <f aca="false">AC40-AC41</f>
        <v>0</v>
      </c>
      <c r="AD42" s="71" t="n">
        <f aca="false">AD40-AD41</f>
        <v>0</v>
      </c>
      <c r="AE42" s="71" t="n">
        <f aca="false">AE40-AE41</f>
        <v>0</v>
      </c>
      <c r="AF42" s="71" t="n">
        <f aca="false">AF40-AF41</f>
        <v>0</v>
      </c>
      <c r="AG42" s="71" t="n">
        <f aca="false">AG40-AG41</f>
        <v>0</v>
      </c>
      <c r="AH42" s="71" t="n">
        <f aca="false">AH40-AH41</f>
        <v>0</v>
      </c>
      <c r="AI42" s="71" t="n">
        <f aca="false">AI40-AI41</f>
        <v>0</v>
      </c>
      <c r="AJ42" s="71" t="n">
        <f aca="false">AJ40-AJ41</f>
        <v>0</v>
      </c>
      <c r="AK42" s="71" t="n">
        <f aca="false">AK40-AK41</f>
        <v>0</v>
      </c>
      <c r="AL42" s="71" t="n">
        <f aca="false">AL40-AL41</f>
        <v>0</v>
      </c>
      <c r="AM42" s="71" t="n">
        <f aca="false">AM40-AM41</f>
        <v>0</v>
      </c>
    </row>
    <row r="43" customFormat="false" ht="21" hidden="false" customHeight="true" outlineLevel="0" collapsed="false">
      <c r="C43" s="56" t="s">
        <v>443</v>
      </c>
      <c r="D43" s="69"/>
      <c r="E43" s="69"/>
      <c r="F43" s="69"/>
      <c r="G43" s="69"/>
      <c r="H43" s="69"/>
      <c r="I43" s="69"/>
      <c r="J43" s="69" t="n">
        <f aca="false">H1Data!D53+H1Data!D54-H1Data!D55+H1Data!D56+H1Data!D57</f>
        <v>4923.78191169</v>
      </c>
      <c r="K43" s="69" t="n">
        <f aca="false">TaxEquity!J46</f>
        <v>4927.54895812917</v>
      </c>
      <c r="L43" s="69" t="n">
        <f aca="false">TaxEquity!K46</f>
        <v>4931.31600456833</v>
      </c>
      <c r="M43" s="69" t="n">
        <f aca="false">TaxEquity!L46</f>
        <v>4935.0830510075</v>
      </c>
      <c r="N43" s="69" t="n">
        <f aca="false">TaxEquity!M46</f>
        <v>4938.85009744667</v>
      </c>
      <c r="O43" s="69" t="n">
        <f aca="false">TaxEquity!N46</f>
        <v>4942.61714388583</v>
      </c>
      <c r="P43" s="69" t="n">
        <f aca="false">TaxEquity!O46</f>
        <v>4946.384190325</v>
      </c>
      <c r="Q43" s="69" t="n">
        <f aca="false">TaxEquity!P46</f>
        <v>4950.15123676417</v>
      </c>
      <c r="R43" s="69" t="n">
        <f aca="false">TaxEquity!Q46</f>
        <v>4953.91828320333</v>
      </c>
      <c r="S43" s="69" t="n">
        <f aca="false">TaxEquity!R46</f>
        <v>4957.6853296425</v>
      </c>
      <c r="T43" s="69" t="n">
        <f aca="false">TaxEquity!S46</f>
        <v>4961.45237608167</v>
      </c>
      <c r="U43" s="69" t="n">
        <f aca="false">TaxEquity!T46</f>
        <v>4965.21942252083</v>
      </c>
      <c r="V43" s="69" t="n">
        <f aca="false">TaxEquity!U46</f>
        <v>4968.98646896</v>
      </c>
      <c r="W43" s="69" t="n">
        <f aca="false">TaxEquity!V46</f>
        <v>4972.75351539917</v>
      </c>
      <c r="X43" s="69" t="n">
        <f aca="false">TaxEquity!W46</f>
        <v>4976.52056183833</v>
      </c>
      <c r="Y43" s="69" t="n">
        <f aca="false">TaxEquity!X46</f>
        <v>4980.2876082775</v>
      </c>
      <c r="Z43" s="69" t="n">
        <f aca="false">TaxEquity!Y46</f>
        <v>4984.05465471667</v>
      </c>
      <c r="AA43" s="69" t="n">
        <f aca="false">TaxEquity!Z46</f>
        <v>4987.82170115583</v>
      </c>
      <c r="AB43" s="69" t="n">
        <f aca="false">TaxEquity!AA46</f>
        <v>4991.588747595</v>
      </c>
      <c r="AC43" s="69" t="n">
        <f aca="false">TaxEquity!AB46</f>
        <v>4995.35579403417</v>
      </c>
      <c r="AD43" s="69" t="n">
        <f aca="false">TaxEquity!AC46</f>
        <v>4999.12284047333</v>
      </c>
      <c r="AE43" s="69" t="n">
        <f aca="false">TaxEquity!AD46</f>
        <v>5002.8898869125</v>
      </c>
      <c r="AF43" s="69" t="n">
        <f aca="false">TaxEquity!AE46</f>
        <v>5006.65693335167</v>
      </c>
      <c r="AG43" s="69" t="n">
        <f aca="false">TaxEquity!AF46</f>
        <v>5010.42397979083</v>
      </c>
      <c r="AH43" s="69" t="n">
        <f aca="false">TaxEquity!AG46</f>
        <v>5014.19102623</v>
      </c>
      <c r="AI43" s="69" t="n">
        <f aca="false">TaxEquity!AH46</f>
        <v>5017.95807266917</v>
      </c>
      <c r="AJ43" s="69" t="n">
        <f aca="false">TaxEquity!AI46</f>
        <v>5021.72511910833</v>
      </c>
      <c r="AK43" s="69" t="n">
        <f aca="false">TaxEquity!AJ46</f>
        <v>5025.4921655475</v>
      </c>
      <c r="AL43" s="69" t="n">
        <f aca="false">TaxEquity!AK46</f>
        <v>5029.25921198667</v>
      </c>
      <c r="AM43" s="69" t="n">
        <f aca="false">TaxEquity!AL46</f>
        <v>5033.02625842583</v>
      </c>
    </row>
    <row r="44" customFormat="false" ht="21" hidden="false" customHeight="true" outlineLevel="0" collapsed="false">
      <c r="C44" s="56" t="s">
        <v>444</v>
      </c>
      <c r="D44" s="69"/>
      <c r="E44" s="69"/>
      <c r="F44" s="69"/>
      <c r="G44" s="69"/>
      <c r="H44" s="69"/>
      <c r="I44" s="69"/>
      <c r="J44" s="69" t="n">
        <f aca="false">MAX(0,Inputs!J58)</f>
        <v>3.76704643916667</v>
      </c>
      <c r="K44" s="69" t="n">
        <f aca="false">MAX(0,Inputs!K58)</f>
        <v>3.76704643916667</v>
      </c>
      <c r="L44" s="69" t="n">
        <f aca="false">MAX(0,Inputs!L58)</f>
        <v>3.76704643916667</v>
      </c>
      <c r="M44" s="69" t="n">
        <f aca="false">MAX(0,Inputs!M58)</f>
        <v>3.76704643916667</v>
      </c>
      <c r="N44" s="69" t="n">
        <f aca="false">MAX(0,Inputs!N58)</f>
        <v>3.76704643916667</v>
      </c>
      <c r="O44" s="69" t="n">
        <f aca="false">MAX(0,Inputs!O58)</f>
        <v>3.76704643916667</v>
      </c>
      <c r="P44" s="69" t="n">
        <f aca="false">MAX(0,Inputs!P58)</f>
        <v>3.76704643916667</v>
      </c>
      <c r="Q44" s="69" t="n">
        <f aca="false">MAX(0,Inputs!Q58)</f>
        <v>3.76704643916667</v>
      </c>
      <c r="R44" s="69" t="n">
        <f aca="false">MAX(0,Inputs!R58)</f>
        <v>3.76704643916667</v>
      </c>
      <c r="S44" s="69" t="n">
        <f aca="false">MAX(0,Inputs!S58)</f>
        <v>3.76704643916667</v>
      </c>
      <c r="T44" s="69" t="n">
        <f aca="false">MAX(0,Inputs!T58)</f>
        <v>3.76704643916667</v>
      </c>
      <c r="U44" s="69" t="n">
        <f aca="false">MAX(0,Inputs!U58)</f>
        <v>3.76704643916667</v>
      </c>
      <c r="V44" s="69" t="n">
        <f aca="false">MAX(0,Inputs!V58)</f>
        <v>3.76704643916667</v>
      </c>
      <c r="W44" s="69" t="n">
        <f aca="false">MAX(0,Inputs!W58)</f>
        <v>3.76704643916667</v>
      </c>
      <c r="X44" s="69" t="n">
        <f aca="false">MAX(0,Inputs!X58)</f>
        <v>3.76704643916667</v>
      </c>
      <c r="Y44" s="69" t="n">
        <f aca="false">MAX(0,Inputs!Y58)</f>
        <v>3.76704643916667</v>
      </c>
      <c r="Z44" s="69" t="n">
        <f aca="false">MAX(0,Inputs!Z58)</f>
        <v>3.76704643916667</v>
      </c>
      <c r="AA44" s="69" t="n">
        <f aca="false">MAX(0,Inputs!AA58)</f>
        <v>3.76704643916667</v>
      </c>
      <c r="AB44" s="69" t="n">
        <f aca="false">MAX(0,Inputs!AB58)</f>
        <v>3.76704643916667</v>
      </c>
      <c r="AC44" s="69" t="n">
        <f aca="false">MAX(0,Inputs!AC58)</f>
        <v>3.76704643916667</v>
      </c>
      <c r="AD44" s="69" t="n">
        <f aca="false">MAX(0,Inputs!AD58)</f>
        <v>3.76704643916667</v>
      </c>
      <c r="AE44" s="69" t="n">
        <f aca="false">MAX(0,Inputs!AE58)</f>
        <v>3.76704643916667</v>
      </c>
      <c r="AF44" s="69" t="n">
        <f aca="false">MAX(0,Inputs!AF58)</f>
        <v>3.76704643916667</v>
      </c>
      <c r="AG44" s="69" t="n">
        <f aca="false">MAX(0,Inputs!AG58)</f>
        <v>3.76704643916667</v>
      </c>
      <c r="AH44" s="69" t="n">
        <f aca="false">MAX(0,Inputs!AH58)</f>
        <v>3.76704643916667</v>
      </c>
      <c r="AI44" s="69" t="n">
        <f aca="false">MAX(0,Inputs!AI58)</f>
        <v>3.76704643916667</v>
      </c>
      <c r="AJ44" s="69" t="n">
        <f aca="false">MAX(0,Inputs!AJ58)</f>
        <v>3.76704643916667</v>
      </c>
      <c r="AK44" s="69" t="n">
        <f aca="false">MAX(0,Inputs!AK58)</f>
        <v>3.76704643916667</v>
      </c>
      <c r="AL44" s="69" t="n">
        <f aca="false">MAX(0,Inputs!AL58)</f>
        <v>3.76704643916667</v>
      </c>
      <c r="AM44" s="69" t="n">
        <f aca="false">MAX(0,Inputs!AM58)</f>
        <v>3.76704643916667</v>
      </c>
    </row>
    <row r="45" customFormat="false" ht="21" hidden="false" customHeight="true" outlineLevel="0" collapsed="false">
      <c r="C45" s="56" t="s">
        <v>445</v>
      </c>
      <c r="D45" s="69"/>
      <c r="E45" s="69"/>
      <c r="F45" s="69"/>
      <c r="G45" s="69"/>
      <c r="H45" s="69"/>
      <c r="I45" s="69"/>
      <c r="J45" s="69" t="n">
        <f aca="false">Inputs!J61+Funding!J57</f>
        <v>0</v>
      </c>
      <c r="K45" s="69" t="n">
        <f aca="false">Inputs!K61+Funding!K57</f>
        <v>0</v>
      </c>
      <c r="L45" s="69" t="n">
        <f aca="false">Inputs!L61+Funding!L57</f>
        <v>0</v>
      </c>
      <c r="M45" s="69" t="n">
        <f aca="false">Inputs!M61+Funding!M57</f>
        <v>0</v>
      </c>
      <c r="N45" s="69" t="n">
        <f aca="false">Inputs!N61+Funding!N57</f>
        <v>0</v>
      </c>
      <c r="O45" s="69" t="n">
        <f aca="false">Inputs!O61+Funding!O57</f>
        <v>0</v>
      </c>
      <c r="P45" s="69" t="n">
        <f aca="false">Inputs!P61+Funding!P57</f>
        <v>0</v>
      </c>
      <c r="Q45" s="69" t="n">
        <f aca="false">Inputs!Q61+Funding!Q57</f>
        <v>0</v>
      </c>
      <c r="R45" s="69" t="n">
        <f aca="false">Inputs!R61+Funding!R57</f>
        <v>0</v>
      </c>
      <c r="S45" s="69" t="n">
        <f aca="false">Inputs!S61+Funding!S57</f>
        <v>0</v>
      </c>
      <c r="T45" s="69" t="n">
        <f aca="false">Inputs!T61+Funding!T57</f>
        <v>0</v>
      </c>
      <c r="U45" s="69" t="n">
        <f aca="false">Inputs!U61+Funding!U57</f>
        <v>0</v>
      </c>
      <c r="V45" s="69" t="n">
        <f aca="false">Inputs!V61+Funding!V57</f>
        <v>0</v>
      </c>
      <c r="W45" s="69" t="n">
        <f aca="false">Inputs!W61+Funding!W57</f>
        <v>0</v>
      </c>
      <c r="X45" s="69" t="n">
        <f aca="false">Inputs!X61+Funding!X57</f>
        <v>0</v>
      </c>
      <c r="Y45" s="69" t="n">
        <f aca="false">Inputs!Y61+Funding!Y57</f>
        <v>0</v>
      </c>
      <c r="Z45" s="69" t="n">
        <f aca="false">Inputs!Z61+Funding!Z57</f>
        <v>0</v>
      </c>
      <c r="AA45" s="69" t="n">
        <f aca="false">Inputs!AA61+Funding!AA57</f>
        <v>0</v>
      </c>
      <c r="AB45" s="69" t="n">
        <f aca="false">Inputs!AB61+Funding!AB57</f>
        <v>0</v>
      </c>
      <c r="AC45" s="69" t="n">
        <f aca="false">Inputs!AC61+Funding!AC57</f>
        <v>0</v>
      </c>
      <c r="AD45" s="69" t="n">
        <f aca="false">Inputs!AD61+Funding!AD57</f>
        <v>0</v>
      </c>
      <c r="AE45" s="69" t="n">
        <f aca="false">Inputs!AE61+Funding!AE57</f>
        <v>0</v>
      </c>
      <c r="AF45" s="69" t="n">
        <f aca="false">Inputs!AF61+Funding!AF57</f>
        <v>0</v>
      </c>
      <c r="AG45" s="69" t="n">
        <f aca="false">Inputs!AG61+Funding!AG57</f>
        <v>0</v>
      </c>
      <c r="AH45" s="69" t="n">
        <f aca="false">Inputs!AH61+Funding!AH57</f>
        <v>0</v>
      </c>
      <c r="AI45" s="69" t="n">
        <f aca="false">Inputs!AI61+Funding!AI57</f>
        <v>0</v>
      </c>
      <c r="AJ45" s="69" t="n">
        <f aca="false">Inputs!AJ61+Funding!AJ57</f>
        <v>0</v>
      </c>
      <c r="AK45" s="69" t="n">
        <f aca="false">Inputs!AK61+Funding!AK57</f>
        <v>0</v>
      </c>
      <c r="AL45" s="69" t="n">
        <f aca="false">Inputs!AL61+Funding!AL57</f>
        <v>0</v>
      </c>
      <c r="AM45" s="69" t="n">
        <f aca="false">Inputs!AM61+Funding!AM57</f>
        <v>0</v>
      </c>
    </row>
    <row r="46" customFormat="false" ht="21" hidden="false" customHeight="true" outlineLevel="0" collapsed="false">
      <c r="C46" s="56" t="s">
        <v>446</v>
      </c>
      <c r="D46" s="71"/>
      <c r="E46" s="71"/>
      <c r="F46" s="71"/>
      <c r="G46" s="71"/>
      <c r="H46" s="71"/>
      <c r="I46" s="71"/>
      <c r="J46" s="71" t="n">
        <f aca="false">J43+J42+J44+J45-J53</f>
        <v>4927.54895812917</v>
      </c>
      <c r="K46" s="71" t="n">
        <f aca="false">K43+K42+K44+K45-K53</f>
        <v>4931.31600456833</v>
      </c>
      <c r="L46" s="71" t="n">
        <f aca="false">L43+L42+L44+L45-L53</f>
        <v>4935.0830510075</v>
      </c>
      <c r="M46" s="71" t="n">
        <f aca="false">M43+M42+M44+M45-M53</f>
        <v>4938.85009744667</v>
      </c>
      <c r="N46" s="71" t="n">
        <f aca="false">N43+N42+N44+N45-N53</f>
        <v>4942.61714388583</v>
      </c>
      <c r="O46" s="71" t="n">
        <f aca="false">O43+O42+O44+O45-O53</f>
        <v>4946.384190325</v>
      </c>
      <c r="P46" s="71" t="n">
        <f aca="false">P43+P42+P44+P45-P53</f>
        <v>4950.15123676417</v>
      </c>
      <c r="Q46" s="71" t="n">
        <f aca="false">Q43+Q42+Q44+Q45-Q53</f>
        <v>4953.91828320333</v>
      </c>
      <c r="R46" s="71" t="n">
        <f aca="false">R43+R42+R44+R45-R53</f>
        <v>4957.6853296425</v>
      </c>
      <c r="S46" s="71" t="n">
        <f aca="false">S43+S42+S44+S45-S53</f>
        <v>4961.45237608167</v>
      </c>
      <c r="T46" s="71" t="n">
        <f aca="false">T43+T42+T44+T45-T53</f>
        <v>4965.21942252083</v>
      </c>
      <c r="U46" s="71" t="n">
        <f aca="false">U43+U42+U44+U45-U53</f>
        <v>4968.98646896</v>
      </c>
      <c r="V46" s="71" t="n">
        <f aca="false">V43+V42+V44+V45-V53</f>
        <v>4972.75351539917</v>
      </c>
      <c r="W46" s="71" t="n">
        <f aca="false">W43+W42+W44+W45-W53</f>
        <v>4976.52056183833</v>
      </c>
      <c r="X46" s="71" t="n">
        <f aca="false">X43+X42+X44+X45-X53</f>
        <v>4980.2876082775</v>
      </c>
      <c r="Y46" s="71" t="n">
        <f aca="false">Y43+Y42+Y44+Y45-Y53</f>
        <v>4984.05465471667</v>
      </c>
      <c r="Z46" s="71" t="n">
        <f aca="false">Z43+Z42+Z44+Z45-Z53</f>
        <v>4987.82170115583</v>
      </c>
      <c r="AA46" s="71" t="n">
        <f aca="false">AA43+AA42+AA44+AA45-AA53</f>
        <v>4991.588747595</v>
      </c>
      <c r="AB46" s="71" t="n">
        <f aca="false">AB43+AB42+AB44+AB45-AB53</f>
        <v>4995.35579403417</v>
      </c>
      <c r="AC46" s="71" t="n">
        <f aca="false">AC43+AC42+AC44+AC45-AC53</f>
        <v>4999.12284047333</v>
      </c>
      <c r="AD46" s="71" t="n">
        <f aca="false">AD43+AD42+AD44+AD45-AD53</f>
        <v>5002.8898869125</v>
      </c>
      <c r="AE46" s="71" t="n">
        <f aca="false">AE43+AE42+AE44+AE45-AE53</f>
        <v>5006.65693335167</v>
      </c>
      <c r="AF46" s="71" t="n">
        <f aca="false">AF43+AF42+AF44+AF45-AF53</f>
        <v>5010.42397979083</v>
      </c>
      <c r="AG46" s="71" t="n">
        <f aca="false">AG43+AG42+AG44+AG45-AG53</f>
        <v>5014.19102623</v>
      </c>
      <c r="AH46" s="71" t="n">
        <f aca="false">AH43+AH42+AH44+AH45-AH53</f>
        <v>5017.95807266917</v>
      </c>
      <c r="AI46" s="71" t="n">
        <f aca="false">AI43+AI42+AI44+AI45-AI53</f>
        <v>5021.72511910833</v>
      </c>
      <c r="AJ46" s="71" t="n">
        <f aca="false">AJ43+AJ42+AJ44+AJ45-AJ53</f>
        <v>5025.4921655475</v>
      </c>
      <c r="AK46" s="71" t="n">
        <f aca="false">AK43+AK42+AK44+AK45-AK53</f>
        <v>5029.25921198667</v>
      </c>
      <c r="AL46" s="71" t="n">
        <f aca="false">AL43+AL42+AL44+AL45-AL53</f>
        <v>5033.02625842583</v>
      </c>
      <c r="AM46" s="71" t="n">
        <f aca="false">AM43+AM42+AM44+AM45-AM53</f>
        <v>5036.793304865</v>
      </c>
    </row>
    <row r="47" customFormat="false" ht="21" hidden="false" customHeight="true" outlineLevel="0" collapsed="false"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</row>
    <row r="48" customFormat="false" ht="21" hidden="false" customHeight="true" outlineLevel="0" collapsed="false">
      <c r="C48" s="56" t="s">
        <v>447</v>
      </c>
      <c r="D48" s="71"/>
      <c r="E48" s="71"/>
      <c r="F48" s="71"/>
      <c r="G48" s="71"/>
      <c r="H48" s="71"/>
      <c r="I48" s="71"/>
      <c r="J48" s="71" t="n">
        <f aca="false">J30+J31-J34-J35</f>
        <v>0</v>
      </c>
      <c r="K48" s="71" t="n">
        <f aca="false">K30+K31-K34-K35</f>
        <v>0</v>
      </c>
      <c r="L48" s="71" t="n">
        <f aca="false">L30+L31-L34-L35</f>
        <v>0</v>
      </c>
      <c r="M48" s="71" t="n">
        <f aca="false">M30+M31-M34-M35</f>
        <v>0</v>
      </c>
      <c r="N48" s="71" t="n">
        <f aca="false">N30+N31-N34-N35</f>
        <v>0</v>
      </c>
      <c r="O48" s="71" t="n">
        <f aca="false">O30+O31-O34-O35</f>
        <v>0</v>
      </c>
      <c r="P48" s="71" t="n">
        <f aca="false">P30+P31-P34-P35</f>
        <v>0</v>
      </c>
      <c r="Q48" s="71" t="n">
        <f aca="false">Q30+Q31-Q34-Q35</f>
        <v>0</v>
      </c>
      <c r="R48" s="71" t="n">
        <f aca="false">R30+R31-R34-R35</f>
        <v>0</v>
      </c>
      <c r="S48" s="71" t="n">
        <f aca="false">S30+S31-S34-S35</f>
        <v>0</v>
      </c>
      <c r="T48" s="71" t="n">
        <f aca="false">T30+T31-T34-T35</f>
        <v>0</v>
      </c>
      <c r="U48" s="71" t="n">
        <f aca="false">U30+U31-U34-U35</f>
        <v>0</v>
      </c>
      <c r="V48" s="71" t="n">
        <f aca="false">V30+V31-V34-V35</f>
        <v>0</v>
      </c>
      <c r="W48" s="71" t="n">
        <f aca="false">W30+W31-W34-W35</f>
        <v>0</v>
      </c>
      <c r="X48" s="71" t="n">
        <f aca="false">X30+X31-X34-X35</f>
        <v>0</v>
      </c>
      <c r="Y48" s="71" t="n">
        <f aca="false">Y30+Y31-Y34-Y35</f>
        <v>0</v>
      </c>
      <c r="Z48" s="71" t="n">
        <f aca="false">Z30+Z31-Z34-Z35</f>
        <v>0</v>
      </c>
      <c r="AA48" s="71" t="n">
        <f aca="false">AA30+AA31-AA34-AA35</f>
        <v>0</v>
      </c>
      <c r="AB48" s="71" t="n">
        <f aca="false">AB30+AB31-AB34-AB35</f>
        <v>0</v>
      </c>
      <c r="AC48" s="71" t="n">
        <f aca="false">AC30+AC31-AC34-AC35</f>
        <v>0</v>
      </c>
      <c r="AD48" s="71" t="n">
        <f aca="false">AD30+AD31-AD34-AD35</f>
        <v>0</v>
      </c>
      <c r="AE48" s="71" t="n">
        <f aca="false">AE30+AE31-AE34-AE35</f>
        <v>0</v>
      </c>
      <c r="AF48" s="71" t="n">
        <f aca="false">AF30+AF31-AF34-AF35</f>
        <v>0</v>
      </c>
      <c r="AG48" s="71" t="n">
        <f aca="false">AG30+AG31-AG34-AG35</f>
        <v>0</v>
      </c>
      <c r="AH48" s="71" t="n">
        <f aca="false">AH30+AH31-AH34-AH35</f>
        <v>0</v>
      </c>
      <c r="AI48" s="71" t="n">
        <f aca="false">AI30+AI31-AI34-AI35</f>
        <v>0</v>
      </c>
      <c r="AJ48" s="71" t="n">
        <f aca="false">AJ30+AJ31-AJ34-AJ35</f>
        <v>0</v>
      </c>
      <c r="AK48" s="71" t="n">
        <f aca="false">AK30+AK31-AK34-AK35</f>
        <v>0</v>
      </c>
      <c r="AL48" s="71" t="n">
        <f aca="false">AL30+AL31-AL34-AL35</f>
        <v>0</v>
      </c>
      <c r="AM48" s="71" t="n">
        <f aca="false">AM30+AM31-AM34-AM35</f>
        <v>0</v>
      </c>
    </row>
    <row r="49" customFormat="false" ht="21" hidden="false" customHeight="true" outlineLevel="0" collapsed="false">
      <c r="C49" s="56" t="s">
        <v>448</v>
      </c>
      <c r="D49" s="71"/>
      <c r="E49" s="71"/>
      <c r="F49" s="71"/>
      <c r="G49" s="71"/>
      <c r="H49" s="71"/>
      <c r="I49" s="71"/>
      <c r="J49" s="71" t="n">
        <f aca="false">J36+J37-J38-J39</f>
        <v>0</v>
      </c>
      <c r="K49" s="71" t="n">
        <f aca="false">K36+K37-K38-K39</f>
        <v>0</v>
      </c>
      <c r="L49" s="71" t="n">
        <f aca="false">L36+L37-L38-L39</f>
        <v>0</v>
      </c>
      <c r="M49" s="71" t="n">
        <f aca="false">M36+M37-M38-M39</f>
        <v>0</v>
      </c>
      <c r="N49" s="71" t="n">
        <f aca="false">N36+N37-N38-N39</f>
        <v>0</v>
      </c>
      <c r="O49" s="71" t="n">
        <f aca="false">O36+O37-O38-O39</f>
        <v>0</v>
      </c>
      <c r="P49" s="71" t="n">
        <f aca="false">P36+P37-P38-P39</f>
        <v>0</v>
      </c>
      <c r="Q49" s="71" t="n">
        <f aca="false">Q36+Q37-Q38-Q39</f>
        <v>0</v>
      </c>
      <c r="R49" s="71" t="n">
        <f aca="false">R36+R37-R38-R39</f>
        <v>0</v>
      </c>
      <c r="S49" s="71" t="n">
        <f aca="false">S36+S37-S38-S39</f>
        <v>0</v>
      </c>
      <c r="T49" s="71" t="n">
        <f aca="false">T36+T37-T38-T39</f>
        <v>0</v>
      </c>
      <c r="U49" s="71" t="n">
        <f aca="false">U36+U37-U38-U39</f>
        <v>0</v>
      </c>
      <c r="V49" s="71" t="n">
        <f aca="false">V36+V37-V38-V39</f>
        <v>0</v>
      </c>
      <c r="W49" s="71" t="n">
        <f aca="false">W36+W37-W38-W39</f>
        <v>0</v>
      </c>
      <c r="X49" s="71" t="n">
        <f aca="false">X36+X37-X38-X39</f>
        <v>0</v>
      </c>
      <c r="Y49" s="71" t="n">
        <f aca="false">Y36+Y37-Y38-Y39</f>
        <v>0</v>
      </c>
      <c r="Z49" s="71" t="n">
        <f aca="false">Z36+Z37-Z38-Z39</f>
        <v>0</v>
      </c>
      <c r="AA49" s="71" t="n">
        <f aca="false">AA36+AA37-AA38-AA39</f>
        <v>0</v>
      </c>
      <c r="AB49" s="71" t="n">
        <f aca="false">AB36+AB37-AB38-AB39</f>
        <v>0</v>
      </c>
      <c r="AC49" s="71" t="n">
        <f aca="false">AC36+AC37-AC38-AC39</f>
        <v>0</v>
      </c>
      <c r="AD49" s="71" t="n">
        <f aca="false">AD36+AD37-AD38-AD39</f>
        <v>0</v>
      </c>
      <c r="AE49" s="71" t="n">
        <f aca="false">AE36+AE37-AE38-AE39</f>
        <v>0</v>
      </c>
      <c r="AF49" s="71" t="n">
        <f aca="false">AF36+AF37-AF38-AF39</f>
        <v>0</v>
      </c>
      <c r="AG49" s="71" t="n">
        <f aca="false">AG36+AG37-AG38-AG39</f>
        <v>0</v>
      </c>
      <c r="AH49" s="71" t="n">
        <f aca="false">AH36+AH37-AH38-AH39</f>
        <v>0</v>
      </c>
      <c r="AI49" s="71" t="n">
        <f aca="false">AI36+AI37-AI38-AI39</f>
        <v>0</v>
      </c>
      <c r="AJ49" s="71" t="n">
        <f aca="false">AJ36+AJ37-AJ38-AJ39</f>
        <v>0</v>
      </c>
      <c r="AK49" s="71" t="n">
        <f aca="false">AK36+AK37-AK38-AK39</f>
        <v>0</v>
      </c>
      <c r="AL49" s="71" t="n">
        <f aca="false">AL36+AL37-AL38-AL39</f>
        <v>0</v>
      </c>
      <c r="AM49" s="71" t="n">
        <f aca="false">AM36+AM37-AM38-AM39</f>
        <v>0</v>
      </c>
    </row>
    <row r="50" customFormat="false" ht="21" hidden="false" customHeight="true" outlineLevel="0" collapsed="false">
      <c r="C50" s="56" t="s">
        <v>449</v>
      </c>
      <c r="D50" s="71"/>
      <c r="E50" s="71"/>
      <c r="F50" s="71"/>
      <c r="G50" s="71"/>
      <c r="H50" s="71"/>
      <c r="I50" s="71"/>
      <c r="J50" s="71" t="n">
        <f aca="false">J43+J42+J44+J45-J53-J46</f>
        <v>0</v>
      </c>
      <c r="K50" s="71" t="n">
        <f aca="false">K43+K42+K44+K45-K53-K46</f>
        <v>0</v>
      </c>
      <c r="L50" s="71" t="n">
        <f aca="false">L43+L42+L44+L45-L53-L46</f>
        <v>0</v>
      </c>
      <c r="M50" s="71" t="n">
        <f aca="false">M43+M42+M44+M45-M53-M46</f>
        <v>0</v>
      </c>
      <c r="N50" s="71" t="n">
        <f aca="false">N43+N42+N44+N45-N53-N46</f>
        <v>0</v>
      </c>
      <c r="O50" s="71" t="n">
        <f aca="false">O43+O42+O44+O45-O53-O46</f>
        <v>0</v>
      </c>
      <c r="P50" s="71" t="n">
        <f aca="false">P43+P42+P44+P45-P53-P46</f>
        <v>0</v>
      </c>
      <c r="Q50" s="71" t="n">
        <f aca="false">Q43+Q42+Q44+Q45-Q53-Q46</f>
        <v>0</v>
      </c>
      <c r="R50" s="71" t="n">
        <f aca="false">R43+R42+R44+R45-R53-R46</f>
        <v>0</v>
      </c>
      <c r="S50" s="71" t="n">
        <f aca="false">S43+S42+S44+S45-S53-S46</f>
        <v>0</v>
      </c>
      <c r="T50" s="71" t="n">
        <f aca="false">T43+T42+T44+T45-T53-T46</f>
        <v>0</v>
      </c>
      <c r="U50" s="71" t="n">
        <f aca="false">U43+U42+U44+U45-U53-U46</f>
        <v>0</v>
      </c>
      <c r="V50" s="71" t="n">
        <f aca="false">V43+V42+V44+V45-V53-V46</f>
        <v>0</v>
      </c>
      <c r="W50" s="71" t="n">
        <f aca="false">W43+W42+W44+W45-W53-W46</f>
        <v>0</v>
      </c>
      <c r="X50" s="71" t="n">
        <f aca="false">X43+X42+X44+X45-X53-X46</f>
        <v>0</v>
      </c>
      <c r="Y50" s="71" t="n">
        <f aca="false">Y43+Y42+Y44+Y45-Y53-Y46</f>
        <v>0</v>
      </c>
      <c r="Z50" s="71" t="n">
        <f aca="false">Z43+Z42+Z44+Z45-Z53-Z46</f>
        <v>0</v>
      </c>
      <c r="AA50" s="71" t="n">
        <f aca="false">AA43+AA42+AA44+AA45-AA53-AA46</f>
        <v>0</v>
      </c>
      <c r="AB50" s="71" t="n">
        <f aca="false">AB43+AB42+AB44+AB45-AB53-AB46</f>
        <v>0</v>
      </c>
      <c r="AC50" s="71" t="n">
        <f aca="false">AC43+AC42+AC44+AC45-AC53-AC46</f>
        <v>0</v>
      </c>
      <c r="AD50" s="71" t="n">
        <f aca="false">AD43+AD42+AD44+AD45-AD53-AD46</f>
        <v>0</v>
      </c>
      <c r="AE50" s="71" t="n">
        <f aca="false">AE43+AE42+AE44+AE45-AE53-AE46</f>
        <v>0</v>
      </c>
      <c r="AF50" s="71" t="n">
        <f aca="false">AF43+AF42+AF44+AF45-AF53-AF46</f>
        <v>0</v>
      </c>
      <c r="AG50" s="71" t="n">
        <f aca="false">AG43+AG42+AG44+AG45-AG53-AG46</f>
        <v>0</v>
      </c>
      <c r="AH50" s="71" t="n">
        <f aca="false">AH43+AH42+AH44+AH45-AH53-AH46</f>
        <v>0</v>
      </c>
      <c r="AI50" s="71" t="n">
        <f aca="false">AI43+AI42+AI44+AI45-AI53-AI46</f>
        <v>0</v>
      </c>
      <c r="AJ50" s="71" t="n">
        <f aca="false">AJ43+AJ42+AJ44+AJ45-AJ53-AJ46</f>
        <v>0</v>
      </c>
      <c r="AK50" s="71" t="n">
        <f aca="false">AK43+AK42+AK44+AK45-AK53-AK46</f>
        <v>0</v>
      </c>
      <c r="AL50" s="71" t="n">
        <f aca="false">AL43+AL42+AL44+AL45-AL53-AL46</f>
        <v>0</v>
      </c>
      <c r="AM50" s="71" t="n">
        <f aca="false">AM43+AM42+AM44+AM45-AM53-AM46</f>
        <v>0</v>
      </c>
    </row>
    <row r="51" customFormat="false" ht="21" hidden="false" customHeight="true" outlineLevel="0" collapsed="false">
      <c r="C51" s="56" t="s">
        <v>450</v>
      </c>
      <c r="D51" s="71"/>
      <c r="E51" s="71"/>
      <c r="F51" s="71"/>
      <c r="G51" s="71"/>
      <c r="H51" s="71"/>
      <c r="I51" s="71"/>
      <c r="J51" s="71" t="n">
        <f aca="false">J40-J41-J42</f>
        <v>0</v>
      </c>
      <c r="K51" s="71" t="n">
        <f aca="false">K40-K41-K42</f>
        <v>0</v>
      </c>
      <c r="L51" s="71" t="n">
        <f aca="false">L40-L41-L42</f>
        <v>0</v>
      </c>
      <c r="M51" s="71" t="n">
        <f aca="false">M40-M41-M42</f>
        <v>0</v>
      </c>
      <c r="N51" s="71" t="n">
        <f aca="false">N40-N41-N42</f>
        <v>0</v>
      </c>
      <c r="O51" s="71" t="n">
        <f aca="false">O40-O41-O42</f>
        <v>0</v>
      </c>
      <c r="P51" s="71" t="n">
        <f aca="false">P40-P41-P42</f>
        <v>0</v>
      </c>
      <c r="Q51" s="71" t="n">
        <f aca="false">Q40-Q41-Q42</f>
        <v>0</v>
      </c>
      <c r="R51" s="71" t="n">
        <f aca="false">R40-R41-R42</f>
        <v>0</v>
      </c>
      <c r="S51" s="71" t="n">
        <f aca="false">S40-S41-S42</f>
        <v>0</v>
      </c>
      <c r="T51" s="71" t="n">
        <f aca="false">T40-T41-T42</f>
        <v>0</v>
      </c>
      <c r="U51" s="71" t="n">
        <f aca="false">U40-U41-U42</f>
        <v>0</v>
      </c>
      <c r="V51" s="71" t="n">
        <f aca="false">V40-V41-V42</f>
        <v>0</v>
      </c>
      <c r="W51" s="71" t="n">
        <f aca="false">W40-W41-W42</f>
        <v>0</v>
      </c>
      <c r="X51" s="71" t="n">
        <f aca="false">X40-X41-X42</f>
        <v>0</v>
      </c>
      <c r="Y51" s="71" t="n">
        <f aca="false">Y40-Y41-Y42</f>
        <v>0</v>
      </c>
      <c r="Z51" s="71" t="n">
        <f aca="false">Z40-Z41-Z42</f>
        <v>0</v>
      </c>
      <c r="AA51" s="71" t="n">
        <f aca="false">AA40-AA41-AA42</f>
        <v>0</v>
      </c>
      <c r="AB51" s="71" t="n">
        <f aca="false">AB40-AB41-AB42</f>
        <v>0</v>
      </c>
      <c r="AC51" s="71" t="n">
        <f aca="false">AC40-AC41-AC42</f>
        <v>0</v>
      </c>
      <c r="AD51" s="71" t="n">
        <f aca="false">AD40-AD41-AD42</f>
        <v>0</v>
      </c>
      <c r="AE51" s="71" t="n">
        <f aca="false">AE40-AE41-AE42</f>
        <v>0</v>
      </c>
      <c r="AF51" s="71" t="n">
        <f aca="false">AF40-AF41-AF42</f>
        <v>0</v>
      </c>
      <c r="AG51" s="71" t="n">
        <f aca="false">AG40-AG41-AG42</f>
        <v>0</v>
      </c>
      <c r="AH51" s="71" t="n">
        <f aca="false">AH40-AH41-AH42</f>
        <v>0</v>
      </c>
      <c r="AI51" s="71" t="n">
        <f aca="false">AI40-AI41-AI42</f>
        <v>0</v>
      </c>
      <c r="AJ51" s="71" t="n">
        <f aca="false">AJ40-AJ41-AJ42</f>
        <v>0</v>
      </c>
      <c r="AK51" s="71" t="n">
        <f aca="false">AK40-AK41-AK42</f>
        <v>0</v>
      </c>
      <c r="AL51" s="71" t="n">
        <f aca="false">AL40-AL41-AL42</f>
        <v>0</v>
      </c>
      <c r="AM51" s="71" t="n">
        <f aca="false">AM40-AM41-AM42</f>
        <v>0</v>
      </c>
    </row>
    <row r="52" customFormat="false" ht="21" hidden="false" customHeight="true" outlineLevel="0" collapsed="false">
      <c r="C52" s="56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</row>
    <row r="53" customFormat="false" ht="21" hidden="false" customHeight="true" outlineLevel="0" collapsed="false">
      <c r="C53" s="56" t="s">
        <v>451</v>
      </c>
      <c r="D53" s="69"/>
      <c r="E53" s="69"/>
      <c r="F53" s="69"/>
      <c r="G53" s="69"/>
      <c r="H53" s="69"/>
      <c r="I53" s="69"/>
      <c r="J53" s="69" t="n">
        <f aca="false">MIN(MAX(0,Inputs!J65),MAX(0,J43+J42+J44+J45))</f>
        <v>0</v>
      </c>
      <c r="K53" s="69" t="n">
        <f aca="false">MIN(MAX(0,Inputs!K65),MAX(0,K43+K42+K44+K45))</f>
        <v>0</v>
      </c>
      <c r="L53" s="69" t="n">
        <f aca="false">MIN(MAX(0,Inputs!L65),MAX(0,L43+L42+L44+L45))</f>
        <v>0</v>
      </c>
      <c r="M53" s="69" t="n">
        <f aca="false">MIN(MAX(0,Inputs!M65),MAX(0,M43+M42+M44+M45))</f>
        <v>0</v>
      </c>
      <c r="N53" s="69" t="n">
        <f aca="false">MIN(MAX(0,Inputs!N65),MAX(0,N43+N42+N44+N45))</f>
        <v>0</v>
      </c>
      <c r="O53" s="69" t="n">
        <f aca="false">MIN(MAX(0,Inputs!O65),MAX(0,O43+O42+O44+O45))</f>
        <v>0</v>
      </c>
      <c r="P53" s="69" t="n">
        <f aca="false">MIN(MAX(0,Inputs!P65),MAX(0,P43+P42+P44+P45))</f>
        <v>0</v>
      </c>
      <c r="Q53" s="69" t="n">
        <f aca="false">MIN(MAX(0,Inputs!Q65),MAX(0,Q43+Q42+Q44+Q45))</f>
        <v>0</v>
      </c>
      <c r="R53" s="69" t="n">
        <f aca="false">MIN(MAX(0,Inputs!R65),MAX(0,R43+R42+R44+R45))</f>
        <v>0</v>
      </c>
      <c r="S53" s="69" t="n">
        <f aca="false">MIN(MAX(0,Inputs!S65),MAX(0,S43+S42+S44+S45))</f>
        <v>0</v>
      </c>
      <c r="T53" s="69" t="n">
        <f aca="false">MIN(MAX(0,Inputs!T65),MAX(0,T43+T42+T44+T45))</f>
        <v>0</v>
      </c>
      <c r="U53" s="69" t="n">
        <f aca="false">MIN(MAX(0,Inputs!U65),MAX(0,U43+U42+U44+U45))</f>
        <v>0</v>
      </c>
      <c r="V53" s="69" t="n">
        <f aca="false">MIN(MAX(0,Inputs!V65),MAX(0,V43+V42+V44+V45))</f>
        <v>0</v>
      </c>
      <c r="W53" s="69" t="n">
        <f aca="false">MIN(MAX(0,Inputs!W65),MAX(0,W43+W42+W44+W45))</f>
        <v>0</v>
      </c>
      <c r="X53" s="69" t="n">
        <f aca="false">MIN(MAX(0,Inputs!X65),MAX(0,X43+X42+X44+X45))</f>
        <v>0</v>
      </c>
      <c r="Y53" s="69" t="n">
        <f aca="false">MIN(MAX(0,Inputs!Y65),MAX(0,Y43+Y42+Y44+Y45))</f>
        <v>0</v>
      </c>
      <c r="Z53" s="69" t="n">
        <f aca="false">MIN(MAX(0,Inputs!Z65),MAX(0,Z43+Z42+Z44+Z45))</f>
        <v>0</v>
      </c>
      <c r="AA53" s="69" t="n">
        <f aca="false">MIN(MAX(0,Inputs!AA65),MAX(0,AA43+AA42+AA44+AA45))</f>
        <v>0</v>
      </c>
      <c r="AB53" s="69" t="n">
        <f aca="false">MIN(MAX(0,Inputs!AB65),MAX(0,AB43+AB42+AB44+AB45))</f>
        <v>0</v>
      </c>
      <c r="AC53" s="69" t="n">
        <f aca="false">MIN(MAX(0,Inputs!AC65),MAX(0,AC43+AC42+AC44+AC45))</f>
        <v>0</v>
      </c>
      <c r="AD53" s="69" t="n">
        <f aca="false">MIN(MAX(0,Inputs!AD65),MAX(0,AD43+AD42+AD44+AD45))</f>
        <v>0</v>
      </c>
      <c r="AE53" s="69" t="n">
        <f aca="false">MIN(MAX(0,Inputs!AE65),MAX(0,AE43+AE42+AE44+AE45))</f>
        <v>0</v>
      </c>
      <c r="AF53" s="69" t="n">
        <f aca="false">MIN(MAX(0,Inputs!AF65),MAX(0,AF43+AF42+AF44+AF45))</f>
        <v>0</v>
      </c>
      <c r="AG53" s="69" t="n">
        <f aca="false">MIN(MAX(0,Inputs!AG65),MAX(0,AG43+AG42+AG44+AG45))</f>
        <v>0</v>
      </c>
      <c r="AH53" s="69" t="n">
        <f aca="false">MIN(MAX(0,Inputs!AH65),MAX(0,AH43+AH42+AH44+AH45))</f>
        <v>0</v>
      </c>
      <c r="AI53" s="69" t="n">
        <f aca="false">MIN(MAX(0,Inputs!AI65),MAX(0,AI43+AI42+AI44+AI45))</f>
        <v>0</v>
      </c>
      <c r="AJ53" s="69" t="n">
        <f aca="false">MIN(MAX(0,Inputs!AJ65),MAX(0,AJ43+AJ42+AJ44+AJ45))</f>
        <v>0</v>
      </c>
      <c r="AK53" s="69" t="n">
        <f aca="false">MIN(MAX(0,Inputs!AK65),MAX(0,AK43+AK42+AK44+AK45))</f>
        <v>0</v>
      </c>
      <c r="AL53" s="69" t="n">
        <f aca="false">MIN(MAX(0,Inputs!AL65),MAX(0,AL43+AL42+AL44+AL45))</f>
        <v>0</v>
      </c>
      <c r="AM53" s="69" t="n">
        <f aca="false">MIN(MAX(0,Inputs!AM65),MAX(0,AM43+AM42+AM44+AM45))</f>
        <v>0</v>
      </c>
    </row>
    <row r="54" customFormat="false" ht="21" hidden="false" customHeight="true" outlineLevel="0" collapsed="false">
      <c r="C54" s="56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</row>
    <row r="55" customFormat="false" ht="21" hidden="false" customHeight="true" outlineLevel="0" collapsed="false">
      <c r="C55" s="56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</row>
    <row r="56" customFormat="false" ht="21" hidden="false" customHeight="true" outlineLevel="0" collapsed="false">
      <c r="C56" s="56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</row>
    <row r="57" customFormat="false" ht="21" hidden="false" customHeight="true" outlineLevel="0" collapsed="false">
      <c r="C57" s="56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</row>
    <row r="58" customFormat="false" ht="21" hidden="false" customHeight="true" outlineLevel="0" collapsed="false">
      <c r="C58" s="56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</row>
    <row r="59" customFormat="false" ht="21" hidden="false" customHeight="true" outlineLevel="0" collapsed="false">
      <c r="C59" s="56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</row>
    <row r="60" customFormat="false" ht="21" hidden="false" customHeight="true" outlineLevel="0" collapsed="false">
      <c r="C60" s="56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</row>
    <row r="61" customFormat="false" ht="21" hidden="false" customHeight="true" outlineLevel="0" collapsed="false">
      <c r="C61" s="56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</row>
    <row r="62" customFormat="false" ht="21" hidden="false" customHeight="true" outlineLevel="0" collapsed="false">
      <c r="C62" s="56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</row>
    <row r="63" customFormat="false" ht="21" hidden="false" customHeight="true" outlineLevel="0" collapsed="false">
      <c r="C63" s="5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</row>
    <row r="64" customFormat="false" ht="21" hidden="false" customHeight="true" outlineLevel="0" collapsed="false">
      <c r="C64" s="56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</row>
    <row r="65" customFormat="false" ht="21" hidden="false" customHeight="true" outlineLevel="0" collapsed="false">
      <c r="C65" s="5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</row>
    <row r="66" customFormat="false" ht="21" hidden="false" customHeight="true" outlineLevel="0" collapsed="false">
      <c r="C66" s="56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</row>
    <row r="67" customFormat="false" ht="21" hidden="false" customHeight="true" outlineLevel="0" collapsed="false">
      <c r="C67" s="5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</row>
    <row r="68" customFormat="false" ht="21" hidden="false" customHeight="true" outlineLevel="0" collapsed="false">
      <c r="C68" s="56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</row>
    <row r="69" customFormat="false" ht="21" hidden="false" customHeight="true" outlineLevel="0" collapsed="false">
      <c r="C69" s="5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</row>
    <row r="70" customFormat="false" ht="21" hidden="false" customHeight="true" outlineLevel="0" collapsed="false">
      <c r="C70" s="56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</row>
    <row r="71" customFormat="false" ht="21" hidden="false" customHeight="true" outlineLevel="0" collapsed="false">
      <c r="C71" s="56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</row>
  </sheetData>
  <sheetProtection sheet="1" objects="1" scenarios="1" selectLockedCells="0" selectUnlockedCells="0"/>
  <mergeCells count="2">
    <mergeCell ref="C2:K2"/>
    <mergeCell ref="C3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>
  <sheetPr filterMode="false">
    <pageSetUpPr fitToPage="false"/>
  </sheetPr>
  <dimension ref="C1:AM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39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customFormat="false" ht="33" hidden="false" customHeight="true" outlineLevel="0" collapsed="false">
      <c r="C2" s="57" t="s">
        <v>452</v>
      </c>
      <c r="D2" s="57"/>
      <c r="E2" s="57"/>
      <c r="F2" s="57"/>
      <c r="G2" s="57"/>
      <c r="H2" s="57"/>
      <c r="I2" s="57"/>
      <c r="J2" s="57"/>
      <c r="K2" s="57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</row>
    <row r="3" customFormat="false" ht="21" hidden="false" customHeight="true" outlineLevel="0" collapsed="false">
      <c r="C3" s="58" t="s">
        <v>129</v>
      </c>
      <c r="D3" s="58"/>
      <c r="E3" s="58"/>
      <c r="F3" s="58"/>
      <c r="G3" s="58"/>
      <c r="H3" s="58"/>
      <c r="I3" s="58"/>
      <c r="J3" s="58"/>
      <c r="K3" s="58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</row>
    <row r="6" customFormat="false" ht="21" hidden="false" customHeight="true" outlineLevel="0" collapsed="false">
      <c r="C6" s="56"/>
      <c r="D6" s="56" t="s">
        <v>130</v>
      </c>
      <c r="E6" s="56" t="s">
        <v>130</v>
      </c>
      <c r="F6" s="56" t="s">
        <v>130</v>
      </c>
      <c r="G6" s="56" t="s">
        <v>130</v>
      </c>
      <c r="H6" s="56" t="s">
        <v>130</v>
      </c>
      <c r="I6" s="56" t="s">
        <v>221</v>
      </c>
      <c r="J6" s="56" t="s">
        <v>132</v>
      </c>
      <c r="K6" s="56" t="s">
        <v>132</v>
      </c>
      <c r="L6" s="56" t="s">
        <v>132</v>
      </c>
      <c r="M6" s="56" t="s">
        <v>132</v>
      </c>
      <c r="N6" s="56" t="s">
        <v>132</v>
      </c>
      <c r="O6" s="56" t="s">
        <v>132</v>
      </c>
      <c r="P6" s="56" t="s">
        <v>132</v>
      </c>
      <c r="Q6" s="56" t="s">
        <v>132</v>
      </c>
      <c r="R6" s="56" t="s">
        <v>132</v>
      </c>
      <c r="S6" s="56" t="s">
        <v>132</v>
      </c>
      <c r="T6" s="56" t="s">
        <v>132</v>
      </c>
      <c r="U6" s="56" t="s">
        <v>132</v>
      </c>
      <c r="V6" s="56" t="s">
        <v>132</v>
      </c>
      <c r="W6" s="56" t="s">
        <v>132</v>
      </c>
      <c r="X6" s="56" t="s">
        <v>132</v>
      </c>
      <c r="Y6" s="56" t="s">
        <v>132</v>
      </c>
      <c r="Z6" s="56" t="s">
        <v>132</v>
      </c>
      <c r="AA6" s="56" t="s">
        <v>132</v>
      </c>
      <c r="AB6" s="56" t="s">
        <v>132</v>
      </c>
      <c r="AC6" s="56" t="s">
        <v>132</v>
      </c>
      <c r="AD6" s="56" t="s">
        <v>132</v>
      </c>
      <c r="AE6" s="56" t="s">
        <v>132</v>
      </c>
      <c r="AF6" s="56" t="s">
        <v>132</v>
      </c>
      <c r="AG6" s="56" t="s">
        <v>132</v>
      </c>
      <c r="AH6" s="56" t="s">
        <v>132</v>
      </c>
      <c r="AI6" s="56" t="s">
        <v>132</v>
      </c>
      <c r="AJ6" s="56" t="s">
        <v>132</v>
      </c>
      <c r="AK6" s="56" t="s">
        <v>132</v>
      </c>
      <c r="AL6" s="56" t="s">
        <v>132</v>
      </c>
      <c r="AM6" s="56" t="s">
        <v>132</v>
      </c>
    </row>
    <row r="7" customFormat="false" ht="21" hidden="false" customHeight="true" outlineLevel="0" collapsed="false">
      <c r="C7" s="63"/>
      <c r="D7" s="73" t="n">
        <v>46053</v>
      </c>
      <c r="E7" s="73" t="n">
        <v>46081</v>
      </c>
      <c r="F7" s="73" t="n">
        <v>46112</v>
      </c>
      <c r="G7" s="73" t="n">
        <v>46142</v>
      </c>
      <c r="H7" s="73" t="n">
        <v>46173</v>
      </c>
      <c r="I7" s="73" t="n">
        <v>46203</v>
      </c>
      <c r="J7" s="73" t="n">
        <v>46234</v>
      </c>
      <c r="K7" s="73" t="n">
        <v>46265</v>
      </c>
      <c r="L7" s="73" t="n">
        <v>46295</v>
      </c>
      <c r="M7" s="73" t="n">
        <v>46326</v>
      </c>
      <c r="N7" s="73" t="n">
        <v>46356</v>
      </c>
      <c r="O7" s="73" t="n">
        <v>46387</v>
      </c>
      <c r="P7" s="73" t="n">
        <v>46418</v>
      </c>
      <c r="Q7" s="73" t="n">
        <v>46446</v>
      </c>
      <c r="R7" s="73" t="n">
        <v>46477</v>
      </c>
      <c r="S7" s="73" t="n">
        <v>46507</v>
      </c>
      <c r="T7" s="73" t="n">
        <v>46538</v>
      </c>
      <c r="U7" s="73" t="n">
        <v>46568</v>
      </c>
      <c r="V7" s="73" t="n">
        <v>46599</v>
      </c>
      <c r="W7" s="73" t="n">
        <v>46630</v>
      </c>
      <c r="X7" s="73" t="n">
        <v>46660</v>
      </c>
      <c r="Y7" s="73" t="n">
        <v>46691</v>
      </c>
      <c r="Z7" s="73" t="n">
        <v>46721</v>
      </c>
      <c r="AA7" s="73" t="n">
        <v>46752</v>
      </c>
      <c r="AB7" s="73" t="n">
        <v>46783</v>
      </c>
      <c r="AC7" s="73" t="n">
        <v>46812</v>
      </c>
      <c r="AD7" s="73" t="n">
        <v>46843</v>
      </c>
      <c r="AE7" s="73" t="n">
        <v>46873</v>
      </c>
      <c r="AF7" s="73" t="n">
        <v>46904</v>
      </c>
      <c r="AG7" s="73" t="n">
        <v>46934</v>
      </c>
      <c r="AH7" s="73" t="n">
        <v>46965</v>
      </c>
      <c r="AI7" s="73" t="n">
        <v>46996</v>
      </c>
      <c r="AJ7" s="73" t="n">
        <v>47026</v>
      </c>
      <c r="AK7" s="73" t="n">
        <v>47057</v>
      </c>
      <c r="AL7" s="73" t="n">
        <v>47087</v>
      </c>
      <c r="AM7" s="73" t="n">
        <v>47118</v>
      </c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</row>
    <row r="9" customFormat="false" ht="21" hidden="false" customHeight="true" outlineLevel="0" collapsed="false">
      <c r="C9" s="56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</row>
    <row r="10" customFormat="false" ht="21" hidden="false" customHeight="true" outlineLevel="0" collapsed="false">
      <c r="C10" s="81" t="s">
        <v>453</v>
      </c>
      <c r="D10" s="69"/>
      <c r="E10" s="69"/>
      <c r="F10" s="69"/>
      <c r="G10" s="69"/>
      <c r="H10" s="69"/>
      <c r="I10" s="69"/>
      <c r="J10" s="69" t="n">
        <f aca="false">H1Data!D20*(1+Inputs!J101)</f>
        <v>114.8102443</v>
      </c>
      <c r="K10" s="69" t="n">
        <f aca="false">(OtherBalances!J10)*(1+Inputs!K101)</f>
        <v>114.8102443</v>
      </c>
      <c r="L10" s="69" t="n">
        <f aca="false">(OtherBalances!K10)*(1+Inputs!L101)</f>
        <v>114.8102443</v>
      </c>
      <c r="M10" s="69" t="n">
        <f aca="false">(OtherBalances!L10)*(1+Inputs!M101)</f>
        <v>114.8102443</v>
      </c>
      <c r="N10" s="69" t="n">
        <f aca="false">(OtherBalances!M10)*(1+Inputs!N101)</f>
        <v>114.8102443</v>
      </c>
      <c r="O10" s="69" t="n">
        <f aca="false">(OtherBalances!N10)*(1+Inputs!O101)</f>
        <v>114.8102443</v>
      </c>
      <c r="P10" s="69" t="n">
        <f aca="false">(OtherBalances!O10)*(1+Inputs!P101)</f>
        <v>114.8102443</v>
      </c>
      <c r="Q10" s="69" t="n">
        <f aca="false">(OtherBalances!P10)*(1+Inputs!Q101)</f>
        <v>114.8102443</v>
      </c>
      <c r="R10" s="69" t="n">
        <f aca="false">(OtherBalances!Q10)*(1+Inputs!R101)</f>
        <v>114.8102443</v>
      </c>
      <c r="S10" s="69" t="n">
        <f aca="false">(OtherBalances!R10)*(1+Inputs!S101)</f>
        <v>114.8102443</v>
      </c>
      <c r="T10" s="69" t="n">
        <f aca="false">(OtherBalances!S10)*(1+Inputs!T101)</f>
        <v>114.8102443</v>
      </c>
      <c r="U10" s="69" t="n">
        <f aca="false">(OtherBalances!T10)*(1+Inputs!U101)</f>
        <v>114.8102443</v>
      </c>
      <c r="V10" s="69" t="n">
        <f aca="false">(OtherBalances!U10)*(1+Inputs!V101)</f>
        <v>114.8102443</v>
      </c>
      <c r="W10" s="69" t="n">
        <f aca="false">(OtherBalances!V10)*(1+Inputs!W101)</f>
        <v>114.8102443</v>
      </c>
      <c r="X10" s="69" t="n">
        <f aca="false">(OtherBalances!W10)*(1+Inputs!X101)</f>
        <v>114.8102443</v>
      </c>
      <c r="Y10" s="69" t="n">
        <f aca="false">(OtherBalances!X10)*(1+Inputs!Y101)</f>
        <v>114.8102443</v>
      </c>
      <c r="Z10" s="69" t="n">
        <f aca="false">(OtherBalances!Y10)*(1+Inputs!Z101)</f>
        <v>114.8102443</v>
      </c>
      <c r="AA10" s="69" t="n">
        <f aca="false">(OtherBalances!Z10)*(1+Inputs!AA101)</f>
        <v>114.8102443</v>
      </c>
      <c r="AB10" s="69" t="n">
        <f aca="false">(OtherBalances!AA10)*(1+Inputs!AB101)</f>
        <v>114.8102443</v>
      </c>
      <c r="AC10" s="69" t="n">
        <f aca="false">(OtherBalances!AB10)*(1+Inputs!AC101)</f>
        <v>114.8102443</v>
      </c>
      <c r="AD10" s="69" t="n">
        <f aca="false">(OtherBalances!AC10)*(1+Inputs!AD101)</f>
        <v>114.8102443</v>
      </c>
      <c r="AE10" s="69" t="n">
        <f aca="false">(OtherBalances!AD10)*(1+Inputs!AE101)</f>
        <v>114.8102443</v>
      </c>
      <c r="AF10" s="69" t="n">
        <f aca="false">(OtherBalances!AE10)*(1+Inputs!AF101)</f>
        <v>114.8102443</v>
      </c>
      <c r="AG10" s="69" t="n">
        <f aca="false">(OtherBalances!AF10)*(1+Inputs!AG101)</f>
        <v>114.8102443</v>
      </c>
      <c r="AH10" s="69" t="n">
        <f aca="false">(OtherBalances!AG10)*(1+Inputs!AH101)</f>
        <v>114.8102443</v>
      </c>
      <c r="AI10" s="69" t="n">
        <f aca="false">(OtherBalances!AH10)*(1+Inputs!AI101)</f>
        <v>114.8102443</v>
      </c>
      <c r="AJ10" s="69" t="n">
        <f aca="false">(OtherBalances!AI10)*(1+Inputs!AJ101)</f>
        <v>114.8102443</v>
      </c>
      <c r="AK10" s="69" t="n">
        <f aca="false">(OtherBalances!AJ10)*(1+Inputs!AK101)</f>
        <v>114.8102443</v>
      </c>
      <c r="AL10" s="69" t="n">
        <f aca="false">(OtherBalances!AK10)*(1+Inputs!AL101)</f>
        <v>114.8102443</v>
      </c>
      <c r="AM10" s="69" t="n">
        <f aca="false">(OtherBalances!AL10)*(1+Inputs!AM101)</f>
        <v>114.8102443</v>
      </c>
    </row>
    <row r="11" customFormat="false" ht="21" hidden="false" customHeight="true" outlineLevel="0" collapsed="false">
      <c r="C11" s="81" t="s">
        <v>454</v>
      </c>
      <c r="D11" s="69"/>
      <c r="E11" s="69"/>
      <c r="F11" s="69"/>
      <c r="G11" s="69"/>
      <c r="H11" s="69"/>
      <c r="I11" s="69"/>
      <c r="J11" s="69" t="n">
        <f aca="false">H1Data!D21*(1+Inputs!J101)</f>
        <v>11.25568774</v>
      </c>
      <c r="K11" s="69" t="n">
        <f aca="false">(OtherBalances!J11)*(1+Inputs!K101)</f>
        <v>11.25568774</v>
      </c>
      <c r="L11" s="69" t="n">
        <f aca="false">(OtherBalances!K11)*(1+Inputs!L101)</f>
        <v>11.25568774</v>
      </c>
      <c r="M11" s="69" t="n">
        <f aca="false">(OtherBalances!L11)*(1+Inputs!M101)</f>
        <v>11.25568774</v>
      </c>
      <c r="N11" s="69" t="n">
        <f aca="false">(OtherBalances!M11)*(1+Inputs!N101)</f>
        <v>11.25568774</v>
      </c>
      <c r="O11" s="69" t="n">
        <f aca="false">(OtherBalances!N11)*(1+Inputs!O101)</f>
        <v>11.25568774</v>
      </c>
      <c r="P11" s="69" t="n">
        <f aca="false">(OtherBalances!O11)*(1+Inputs!P101)</f>
        <v>11.25568774</v>
      </c>
      <c r="Q11" s="69" t="n">
        <f aca="false">(OtherBalances!P11)*(1+Inputs!Q101)</f>
        <v>11.25568774</v>
      </c>
      <c r="R11" s="69" t="n">
        <f aca="false">(OtherBalances!Q11)*(1+Inputs!R101)</f>
        <v>11.25568774</v>
      </c>
      <c r="S11" s="69" t="n">
        <f aca="false">(OtherBalances!R11)*(1+Inputs!S101)</f>
        <v>11.25568774</v>
      </c>
      <c r="T11" s="69" t="n">
        <f aca="false">(OtherBalances!S11)*(1+Inputs!T101)</f>
        <v>11.25568774</v>
      </c>
      <c r="U11" s="69" t="n">
        <f aca="false">(OtherBalances!T11)*(1+Inputs!U101)</f>
        <v>11.25568774</v>
      </c>
      <c r="V11" s="69" t="n">
        <f aca="false">(OtherBalances!U11)*(1+Inputs!V101)</f>
        <v>11.25568774</v>
      </c>
      <c r="W11" s="69" t="n">
        <f aca="false">(OtherBalances!V11)*(1+Inputs!W101)</f>
        <v>11.25568774</v>
      </c>
      <c r="X11" s="69" t="n">
        <f aca="false">(OtherBalances!W11)*(1+Inputs!X101)</f>
        <v>11.25568774</v>
      </c>
      <c r="Y11" s="69" t="n">
        <f aca="false">(OtherBalances!X11)*(1+Inputs!Y101)</f>
        <v>11.25568774</v>
      </c>
      <c r="Z11" s="69" t="n">
        <f aca="false">(OtherBalances!Y11)*(1+Inputs!Z101)</f>
        <v>11.25568774</v>
      </c>
      <c r="AA11" s="69" t="n">
        <f aca="false">(OtherBalances!Z11)*(1+Inputs!AA101)</f>
        <v>11.25568774</v>
      </c>
      <c r="AB11" s="69" t="n">
        <f aca="false">(OtherBalances!AA11)*(1+Inputs!AB101)</f>
        <v>11.25568774</v>
      </c>
      <c r="AC11" s="69" t="n">
        <f aca="false">(OtherBalances!AB11)*(1+Inputs!AC101)</f>
        <v>11.25568774</v>
      </c>
      <c r="AD11" s="69" t="n">
        <f aca="false">(OtherBalances!AC11)*(1+Inputs!AD101)</f>
        <v>11.25568774</v>
      </c>
      <c r="AE11" s="69" t="n">
        <f aca="false">(OtherBalances!AD11)*(1+Inputs!AE101)</f>
        <v>11.25568774</v>
      </c>
      <c r="AF11" s="69" t="n">
        <f aca="false">(OtherBalances!AE11)*(1+Inputs!AF101)</f>
        <v>11.25568774</v>
      </c>
      <c r="AG11" s="69" t="n">
        <f aca="false">(OtherBalances!AF11)*(1+Inputs!AG101)</f>
        <v>11.25568774</v>
      </c>
      <c r="AH11" s="69" t="n">
        <f aca="false">(OtherBalances!AG11)*(1+Inputs!AH101)</f>
        <v>11.25568774</v>
      </c>
      <c r="AI11" s="69" t="n">
        <f aca="false">(OtherBalances!AH11)*(1+Inputs!AI101)</f>
        <v>11.25568774</v>
      </c>
      <c r="AJ11" s="69" t="n">
        <f aca="false">(OtherBalances!AI11)*(1+Inputs!AJ101)</f>
        <v>11.25568774</v>
      </c>
      <c r="AK11" s="69" t="n">
        <f aca="false">(OtherBalances!AJ11)*(1+Inputs!AK101)</f>
        <v>11.25568774</v>
      </c>
      <c r="AL11" s="69" t="n">
        <f aca="false">(OtherBalances!AK11)*(1+Inputs!AL101)</f>
        <v>11.25568774</v>
      </c>
      <c r="AM11" s="69" t="n">
        <f aca="false">(OtherBalances!AL11)*(1+Inputs!AM101)</f>
        <v>11.25568774</v>
      </c>
    </row>
    <row r="12" customFormat="false" ht="21" hidden="false" customHeight="true" outlineLevel="0" collapsed="false">
      <c r="C12" s="81" t="s">
        <v>455</v>
      </c>
      <c r="D12" s="69"/>
      <c r="E12" s="69"/>
      <c r="F12" s="69"/>
      <c r="G12" s="69"/>
      <c r="H12" s="69"/>
      <c r="I12" s="69"/>
      <c r="J12" s="69" t="n">
        <f aca="false">H1Data!D23*(1+Inputs!J101)</f>
        <v>35.21094389</v>
      </c>
      <c r="K12" s="69" t="n">
        <f aca="false">(OtherBalances!J12)*(1+Inputs!K101)</f>
        <v>35.21094389</v>
      </c>
      <c r="L12" s="69" t="n">
        <f aca="false">(OtherBalances!K12)*(1+Inputs!L101)</f>
        <v>35.21094389</v>
      </c>
      <c r="M12" s="69" t="n">
        <f aca="false">(OtherBalances!L12)*(1+Inputs!M101)</f>
        <v>35.21094389</v>
      </c>
      <c r="N12" s="69" t="n">
        <f aca="false">(OtherBalances!M12)*(1+Inputs!N101)</f>
        <v>35.21094389</v>
      </c>
      <c r="O12" s="69" t="n">
        <f aca="false">(OtherBalances!N12)*(1+Inputs!O101)</f>
        <v>35.21094389</v>
      </c>
      <c r="P12" s="69" t="n">
        <f aca="false">(OtherBalances!O12)*(1+Inputs!P101)</f>
        <v>35.21094389</v>
      </c>
      <c r="Q12" s="69" t="n">
        <f aca="false">(OtherBalances!P12)*(1+Inputs!Q101)</f>
        <v>35.21094389</v>
      </c>
      <c r="R12" s="69" t="n">
        <f aca="false">(OtherBalances!Q12)*(1+Inputs!R101)</f>
        <v>35.21094389</v>
      </c>
      <c r="S12" s="69" t="n">
        <f aca="false">(OtherBalances!R12)*(1+Inputs!S101)</f>
        <v>35.21094389</v>
      </c>
      <c r="T12" s="69" t="n">
        <f aca="false">(OtherBalances!S12)*(1+Inputs!T101)</f>
        <v>35.21094389</v>
      </c>
      <c r="U12" s="69" t="n">
        <f aca="false">(OtherBalances!T12)*(1+Inputs!U101)</f>
        <v>35.21094389</v>
      </c>
      <c r="V12" s="69" t="n">
        <f aca="false">(OtherBalances!U12)*(1+Inputs!V101)</f>
        <v>35.21094389</v>
      </c>
      <c r="W12" s="69" t="n">
        <f aca="false">(OtherBalances!V12)*(1+Inputs!W101)</f>
        <v>35.21094389</v>
      </c>
      <c r="X12" s="69" t="n">
        <f aca="false">(OtherBalances!W12)*(1+Inputs!X101)</f>
        <v>35.21094389</v>
      </c>
      <c r="Y12" s="69" t="n">
        <f aca="false">(OtherBalances!X12)*(1+Inputs!Y101)</f>
        <v>35.21094389</v>
      </c>
      <c r="Z12" s="69" t="n">
        <f aca="false">(OtherBalances!Y12)*(1+Inputs!Z101)</f>
        <v>35.21094389</v>
      </c>
      <c r="AA12" s="69" t="n">
        <f aca="false">(OtherBalances!Z12)*(1+Inputs!AA101)</f>
        <v>35.21094389</v>
      </c>
      <c r="AB12" s="69" t="n">
        <f aca="false">(OtherBalances!AA12)*(1+Inputs!AB101)</f>
        <v>35.21094389</v>
      </c>
      <c r="AC12" s="69" t="n">
        <f aca="false">(OtherBalances!AB12)*(1+Inputs!AC101)</f>
        <v>35.21094389</v>
      </c>
      <c r="AD12" s="69" t="n">
        <f aca="false">(OtherBalances!AC12)*(1+Inputs!AD101)</f>
        <v>35.21094389</v>
      </c>
      <c r="AE12" s="69" t="n">
        <f aca="false">(OtherBalances!AD12)*(1+Inputs!AE101)</f>
        <v>35.21094389</v>
      </c>
      <c r="AF12" s="69" t="n">
        <f aca="false">(OtherBalances!AE12)*(1+Inputs!AF101)</f>
        <v>35.21094389</v>
      </c>
      <c r="AG12" s="69" t="n">
        <f aca="false">(OtherBalances!AF12)*(1+Inputs!AG101)</f>
        <v>35.21094389</v>
      </c>
      <c r="AH12" s="69" t="n">
        <f aca="false">(OtherBalances!AG12)*(1+Inputs!AH101)</f>
        <v>35.21094389</v>
      </c>
      <c r="AI12" s="69" t="n">
        <f aca="false">(OtherBalances!AH12)*(1+Inputs!AI101)</f>
        <v>35.21094389</v>
      </c>
      <c r="AJ12" s="69" t="n">
        <f aca="false">(OtherBalances!AI12)*(1+Inputs!AJ101)</f>
        <v>35.21094389</v>
      </c>
      <c r="AK12" s="69" t="n">
        <f aca="false">(OtherBalances!AJ12)*(1+Inputs!AK101)</f>
        <v>35.21094389</v>
      </c>
      <c r="AL12" s="69" t="n">
        <f aca="false">(OtherBalances!AK12)*(1+Inputs!AL101)</f>
        <v>35.21094389</v>
      </c>
      <c r="AM12" s="69" t="n">
        <f aca="false">(OtherBalances!AL12)*(1+Inputs!AM101)</f>
        <v>35.21094389</v>
      </c>
    </row>
    <row r="13" customFormat="false" ht="21" hidden="false" customHeight="true" outlineLevel="0" collapsed="false">
      <c r="C13" s="81" t="s">
        <v>456</v>
      </c>
      <c r="D13" s="69"/>
      <c r="E13" s="69"/>
      <c r="F13" s="69"/>
      <c r="G13" s="69"/>
      <c r="H13" s="69"/>
      <c r="I13" s="69"/>
      <c r="J13" s="69" t="n">
        <f aca="false">H1Data!D30*(1+Inputs!J101)</f>
        <v>24.88275831</v>
      </c>
      <c r="K13" s="69" t="n">
        <f aca="false">(OtherBalances!J13)*(1+Inputs!K101)</f>
        <v>24.88275831</v>
      </c>
      <c r="L13" s="69" t="n">
        <f aca="false">(OtherBalances!K13)*(1+Inputs!L101)</f>
        <v>24.88275831</v>
      </c>
      <c r="M13" s="69" t="n">
        <f aca="false">(OtherBalances!L13)*(1+Inputs!M101)</f>
        <v>24.88275831</v>
      </c>
      <c r="N13" s="69" t="n">
        <f aca="false">(OtherBalances!M13)*(1+Inputs!N101)</f>
        <v>24.88275831</v>
      </c>
      <c r="O13" s="69" t="n">
        <f aca="false">(OtherBalances!N13)*(1+Inputs!O101)</f>
        <v>24.88275831</v>
      </c>
      <c r="P13" s="69" t="n">
        <f aca="false">(OtherBalances!O13)*(1+Inputs!P101)</f>
        <v>24.88275831</v>
      </c>
      <c r="Q13" s="69" t="n">
        <f aca="false">(OtherBalances!P13)*(1+Inputs!Q101)</f>
        <v>24.88275831</v>
      </c>
      <c r="R13" s="69" t="n">
        <f aca="false">(OtherBalances!Q13)*(1+Inputs!R101)</f>
        <v>24.88275831</v>
      </c>
      <c r="S13" s="69" t="n">
        <f aca="false">(OtherBalances!R13)*(1+Inputs!S101)</f>
        <v>24.88275831</v>
      </c>
      <c r="T13" s="69" t="n">
        <f aca="false">(OtherBalances!S13)*(1+Inputs!T101)</f>
        <v>24.88275831</v>
      </c>
      <c r="U13" s="69" t="n">
        <f aca="false">(OtherBalances!T13)*(1+Inputs!U101)</f>
        <v>24.88275831</v>
      </c>
      <c r="V13" s="69" t="n">
        <f aca="false">(OtherBalances!U13)*(1+Inputs!V101)</f>
        <v>24.88275831</v>
      </c>
      <c r="W13" s="69" t="n">
        <f aca="false">(OtherBalances!V13)*(1+Inputs!W101)</f>
        <v>24.88275831</v>
      </c>
      <c r="X13" s="69" t="n">
        <f aca="false">(OtherBalances!W13)*(1+Inputs!X101)</f>
        <v>24.88275831</v>
      </c>
      <c r="Y13" s="69" t="n">
        <f aca="false">(OtherBalances!X13)*(1+Inputs!Y101)</f>
        <v>24.88275831</v>
      </c>
      <c r="Z13" s="69" t="n">
        <f aca="false">(OtherBalances!Y13)*(1+Inputs!Z101)</f>
        <v>24.88275831</v>
      </c>
      <c r="AA13" s="69" t="n">
        <f aca="false">(OtherBalances!Z13)*(1+Inputs!AA101)</f>
        <v>24.88275831</v>
      </c>
      <c r="AB13" s="69" t="n">
        <f aca="false">(OtherBalances!AA13)*(1+Inputs!AB101)</f>
        <v>24.88275831</v>
      </c>
      <c r="AC13" s="69" t="n">
        <f aca="false">(OtherBalances!AB13)*(1+Inputs!AC101)</f>
        <v>24.88275831</v>
      </c>
      <c r="AD13" s="69" t="n">
        <f aca="false">(OtherBalances!AC13)*(1+Inputs!AD101)</f>
        <v>24.88275831</v>
      </c>
      <c r="AE13" s="69" t="n">
        <f aca="false">(OtherBalances!AD13)*(1+Inputs!AE101)</f>
        <v>24.88275831</v>
      </c>
      <c r="AF13" s="69" t="n">
        <f aca="false">(OtherBalances!AE13)*(1+Inputs!AF101)</f>
        <v>24.88275831</v>
      </c>
      <c r="AG13" s="69" t="n">
        <f aca="false">(OtherBalances!AF13)*(1+Inputs!AG101)</f>
        <v>24.88275831</v>
      </c>
      <c r="AH13" s="69" t="n">
        <f aca="false">(OtherBalances!AG13)*(1+Inputs!AH101)</f>
        <v>24.88275831</v>
      </c>
      <c r="AI13" s="69" t="n">
        <f aca="false">(OtherBalances!AH13)*(1+Inputs!AI101)</f>
        <v>24.88275831</v>
      </c>
      <c r="AJ13" s="69" t="n">
        <f aca="false">(OtherBalances!AI13)*(1+Inputs!AJ101)</f>
        <v>24.88275831</v>
      </c>
      <c r="AK13" s="69" t="n">
        <f aca="false">(OtherBalances!AJ13)*(1+Inputs!AK101)</f>
        <v>24.88275831</v>
      </c>
      <c r="AL13" s="69" t="n">
        <f aca="false">(OtherBalances!AK13)*(1+Inputs!AL101)</f>
        <v>24.88275831</v>
      </c>
      <c r="AM13" s="69" t="n">
        <f aca="false">(OtherBalances!AL13)*(1+Inputs!AM101)</f>
        <v>24.88275831</v>
      </c>
    </row>
    <row r="14" customFormat="false" ht="21" hidden="false" customHeight="true" outlineLevel="0" collapsed="false">
      <c r="C14" s="56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</row>
    <row r="15" customFormat="false" ht="21" hidden="false" customHeight="true" outlineLevel="0" collapsed="false">
      <c r="C15" s="56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</row>
    <row r="16" customFormat="false" ht="21" hidden="false" customHeight="true" outlineLevel="0" collapsed="false">
      <c r="C16" s="5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</row>
    <row r="17" customFormat="false" ht="21" hidden="false" customHeight="true" outlineLevel="0" collapsed="false">
      <c r="C17" s="56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</row>
    <row r="18" customFormat="false" ht="21" hidden="false" customHeight="true" outlineLevel="0" collapsed="false">
      <c r="C18" s="56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</row>
    <row r="19" customFormat="false" ht="21" hidden="false" customHeight="true" outlineLevel="0" collapsed="false">
      <c r="C19" s="56" t="s">
        <v>457</v>
      </c>
      <c r="D19" s="71"/>
      <c r="E19" s="71"/>
      <c r="F19" s="71"/>
      <c r="G19" s="71"/>
      <c r="H19" s="71"/>
      <c r="I19" s="71"/>
      <c r="J19" s="71" t="n">
        <f aca="false">J10+J11+J12+J13</f>
        <v>186.15963424</v>
      </c>
      <c r="K19" s="71" t="n">
        <f aca="false">K10+K11+K12+K13</f>
        <v>186.15963424</v>
      </c>
      <c r="L19" s="71" t="n">
        <f aca="false">L10+L11+L12+L13</f>
        <v>186.15963424</v>
      </c>
      <c r="M19" s="71" t="n">
        <f aca="false">M10+M11+M12+M13</f>
        <v>186.15963424</v>
      </c>
      <c r="N19" s="71" t="n">
        <f aca="false">N10+N11+N12+N13</f>
        <v>186.15963424</v>
      </c>
      <c r="O19" s="71" t="n">
        <f aca="false">O10+O11+O12+O13</f>
        <v>186.15963424</v>
      </c>
      <c r="P19" s="71" t="n">
        <f aca="false">P10+P11+P12+P13</f>
        <v>186.15963424</v>
      </c>
      <c r="Q19" s="71" t="n">
        <f aca="false">Q10+Q11+Q12+Q13</f>
        <v>186.15963424</v>
      </c>
      <c r="R19" s="71" t="n">
        <f aca="false">R10+R11+R12+R13</f>
        <v>186.15963424</v>
      </c>
      <c r="S19" s="71" t="n">
        <f aca="false">S10+S11+S12+S13</f>
        <v>186.15963424</v>
      </c>
      <c r="T19" s="71" t="n">
        <f aca="false">T10+T11+T12+T13</f>
        <v>186.15963424</v>
      </c>
      <c r="U19" s="71" t="n">
        <f aca="false">U10+U11+U12+U13</f>
        <v>186.15963424</v>
      </c>
      <c r="V19" s="71" t="n">
        <f aca="false">V10+V11+V12+V13</f>
        <v>186.15963424</v>
      </c>
      <c r="W19" s="71" t="n">
        <f aca="false">W10+W11+W12+W13</f>
        <v>186.15963424</v>
      </c>
      <c r="X19" s="71" t="n">
        <f aca="false">X10+X11+X12+X13</f>
        <v>186.15963424</v>
      </c>
      <c r="Y19" s="71" t="n">
        <f aca="false">Y10+Y11+Y12+Y13</f>
        <v>186.15963424</v>
      </c>
      <c r="Z19" s="71" t="n">
        <f aca="false">Z10+Z11+Z12+Z13</f>
        <v>186.15963424</v>
      </c>
      <c r="AA19" s="71" t="n">
        <f aca="false">AA10+AA11+AA12+AA13</f>
        <v>186.15963424</v>
      </c>
      <c r="AB19" s="71" t="n">
        <f aca="false">AB10+AB11+AB12+AB13</f>
        <v>186.15963424</v>
      </c>
      <c r="AC19" s="71" t="n">
        <f aca="false">AC10+AC11+AC12+AC13</f>
        <v>186.15963424</v>
      </c>
      <c r="AD19" s="71" t="n">
        <f aca="false">AD10+AD11+AD12+AD13</f>
        <v>186.15963424</v>
      </c>
      <c r="AE19" s="71" t="n">
        <f aca="false">AE10+AE11+AE12+AE13</f>
        <v>186.15963424</v>
      </c>
      <c r="AF19" s="71" t="n">
        <f aca="false">AF10+AF11+AF12+AF13</f>
        <v>186.15963424</v>
      </c>
      <c r="AG19" s="71" t="n">
        <f aca="false">AG10+AG11+AG12+AG13</f>
        <v>186.15963424</v>
      </c>
      <c r="AH19" s="71" t="n">
        <f aca="false">AH10+AH11+AH12+AH13</f>
        <v>186.15963424</v>
      </c>
      <c r="AI19" s="71" t="n">
        <f aca="false">AI10+AI11+AI12+AI13</f>
        <v>186.15963424</v>
      </c>
      <c r="AJ19" s="71" t="n">
        <f aca="false">AJ10+AJ11+AJ12+AJ13</f>
        <v>186.15963424</v>
      </c>
      <c r="AK19" s="71" t="n">
        <f aca="false">AK10+AK11+AK12+AK13</f>
        <v>186.15963424</v>
      </c>
      <c r="AL19" s="71" t="n">
        <f aca="false">AL10+AL11+AL12+AL13</f>
        <v>186.15963424</v>
      </c>
      <c r="AM19" s="71" t="n">
        <f aca="false">AM10+AM11+AM12+AM13</f>
        <v>186.15963424</v>
      </c>
    </row>
    <row r="20" customFormat="false" ht="21" hidden="false" customHeight="true" outlineLevel="0" collapsed="false">
      <c r="C20" s="56" t="s">
        <v>458</v>
      </c>
      <c r="D20" s="69"/>
      <c r="E20" s="69"/>
      <c r="F20" s="69"/>
      <c r="G20" s="69"/>
      <c r="H20" s="69"/>
      <c r="I20" s="69"/>
      <c r="J20" s="69" t="n">
        <f aca="false">J19-(H1Data!D20+H1Data!D21+H1Data!D23+H1Data!D30)</f>
        <v>0</v>
      </c>
      <c r="K20" s="69" t="n">
        <f aca="false">K19-(OtherBalances!J19)</f>
        <v>0</v>
      </c>
      <c r="L20" s="69" t="n">
        <f aca="false">L19-(OtherBalances!K19)</f>
        <v>0</v>
      </c>
      <c r="M20" s="69" t="n">
        <f aca="false">M19-(OtherBalances!L19)</f>
        <v>0</v>
      </c>
      <c r="N20" s="69" t="n">
        <f aca="false">N19-(OtherBalances!M19)</f>
        <v>0</v>
      </c>
      <c r="O20" s="69" t="n">
        <f aca="false">O19-(OtherBalances!N19)</f>
        <v>0</v>
      </c>
      <c r="P20" s="69" t="n">
        <f aca="false">P19-(OtherBalances!O19)</f>
        <v>0</v>
      </c>
      <c r="Q20" s="69" t="n">
        <f aca="false">Q19-(OtherBalances!P19)</f>
        <v>0</v>
      </c>
      <c r="R20" s="69" t="n">
        <f aca="false">R19-(OtherBalances!Q19)</f>
        <v>0</v>
      </c>
      <c r="S20" s="69" t="n">
        <f aca="false">S19-(OtherBalances!R19)</f>
        <v>0</v>
      </c>
      <c r="T20" s="69" t="n">
        <f aca="false">T19-(OtherBalances!S19)</f>
        <v>0</v>
      </c>
      <c r="U20" s="69" t="n">
        <f aca="false">U19-(OtherBalances!T19)</f>
        <v>0</v>
      </c>
      <c r="V20" s="69" t="n">
        <f aca="false">V19-(OtherBalances!U19)</f>
        <v>0</v>
      </c>
      <c r="W20" s="69" t="n">
        <f aca="false">W19-(OtherBalances!V19)</f>
        <v>0</v>
      </c>
      <c r="X20" s="69" t="n">
        <f aca="false">X19-(OtherBalances!W19)</f>
        <v>0</v>
      </c>
      <c r="Y20" s="69" t="n">
        <f aca="false">Y19-(OtherBalances!X19)</f>
        <v>0</v>
      </c>
      <c r="Z20" s="69" t="n">
        <f aca="false">Z19-(OtherBalances!Y19)</f>
        <v>0</v>
      </c>
      <c r="AA20" s="69" t="n">
        <f aca="false">AA19-(OtherBalances!Z19)</f>
        <v>0</v>
      </c>
      <c r="AB20" s="69" t="n">
        <f aca="false">AB19-(OtherBalances!AA19)</f>
        <v>0</v>
      </c>
      <c r="AC20" s="69" t="n">
        <f aca="false">AC19-(OtherBalances!AB19)</f>
        <v>0</v>
      </c>
      <c r="AD20" s="69" t="n">
        <f aca="false">AD19-(OtherBalances!AC19)</f>
        <v>0</v>
      </c>
      <c r="AE20" s="69" t="n">
        <f aca="false">AE19-(OtherBalances!AD19)</f>
        <v>0</v>
      </c>
      <c r="AF20" s="69" t="n">
        <f aca="false">AF19-(OtherBalances!AE19)</f>
        <v>0</v>
      </c>
      <c r="AG20" s="69" t="n">
        <f aca="false">AG19-(OtherBalances!AF19)</f>
        <v>0</v>
      </c>
      <c r="AH20" s="69" t="n">
        <f aca="false">AH19-(OtherBalances!AG19)</f>
        <v>0</v>
      </c>
      <c r="AI20" s="69" t="n">
        <f aca="false">AI19-(OtherBalances!AH19)</f>
        <v>0</v>
      </c>
      <c r="AJ20" s="69" t="n">
        <f aca="false">AJ19-(OtherBalances!AI19)</f>
        <v>0</v>
      </c>
      <c r="AK20" s="69" t="n">
        <f aca="false">AK19-(OtherBalances!AJ19)</f>
        <v>0</v>
      </c>
      <c r="AL20" s="69" t="n">
        <f aca="false">AL19-(OtherBalances!AK19)</f>
        <v>0</v>
      </c>
      <c r="AM20" s="69" t="n">
        <f aca="false">AM19-(OtherBalances!AL19)</f>
        <v>0</v>
      </c>
    </row>
    <row r="21" customFormat="false" ht="21" hidden="false" customHeight="true" outlineLevel="0" collapsed="false">
      <c r="C21" s="56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</row>
    <row r="22" customFormat="false" ht="21" hidden="false" customHeight="true" outlineLevel="0" collapsed="false">
      <c r="C22" s="56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</row>
    <row r="23" customFormat="false" ht="21" hidden="false" customHeight="true" outlineLevel="0" collapsed="false">
      <c r="C23" s="56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</row>
    <row r="24" customFormat="false" ht="21" hidden="false" customHeight="true" outlineLevel="0" collapsed="false">
      <c r="C24" s="56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</row>
    <row r="25" customFormat="false" ht="21" hidden="false" customHeight="true" outlineLevel="0" collapsed="false">
      <c r="C25" s="56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</row>
    <row r="26" customFormat="false" ht="21" hidden="false" customHeight="true" outlineLevel="0" collapsed="false">
      <c r="C26" s="56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</row>
    <row r="27" customFormat="false" ht="21" hidden="false" customHeight="true" outlineLevel="0" collapsed="false">
      <c r="C27" s="56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</row>
    <row r="28" customFormat="false" ht="21" hidden="false" customHeight="true" outlineLevel="0" collapsed="false">
      <c r="C28" s="56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</row>
    <row r="29" customFormat="false" ht="21" hidden="false" customHeight="true" outlineLevel="0" collapsed="false">
      <c r="C29" s="56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</row>
    <row r="30" customFormat="false" ht="21" hidden="false" customHeight="true" outlineLevel="0" collapsed="false">
      <c r="C30" s="81" t="s">
        <v>459</v>
      </c>
      <c r="D30" s="69"/>
      <c r="E30" s="69"/>
      <c r="F30" s="69"/>
      <c r="G30" s="69"/>
      <c r="H30" s="69"/>
      <c r="I30" s="69"/>
      <c r="J30" s="69" t="n">
        <f aca="false">H1Data!D41*(1+Inputs!J102)</f>
        <v>239.91840373</v>
      </c>
      <c r="K30" s="69" t="n">
        <f aca="false">(OtherBalances!J30)*(1+Inputs!K102)</f>
        <v>239.91840373</v>
      </c>
      <c r="L30" s="69" t="n">
        <f aca="false">(OtherBalances!K30)*(1+Inputs!L102)</f>
        <v>239.91840373</v>
      </c>
      <c r="M30" s="69" t="n">
        <f aca="false">(OtherBalances!L30)*(1+Inputs!M102)</f>
        <v>239.91840373</v>
      </c>
      <c r="N30" s="69" t="n">
        <f aca="false">(OtherBalances!M30)*(1+Inputs!N102)</f>
        <v>239.91840373</v>
      </c>
      <c r="O30" s="69" t="n">
        <f aca="false">(OtherBalances!N30)*(1+Inputs!O102)</f>
        <v>239.91840373</v>
      </c>
      <c r="P30" s="69" t="n">
        <f aca="false">(OtherBalances!O30)*(1+Inputs!P102)</f>
        <v>239.91840373</v>
      </c>
      <c r="Q30" s="69" t="n">
        <f aca="false">(OtherBalances!P30)*(1+Inputs!Q102)</f>
        <v>239.91840373</v>
      </c>
      <c r="R30" s="69" t="n">
        <f aca="false">(OtherBalances!Q30)*(1+Inputs!R102)</f>
        <v>239.91840373</v>
      </c>
      <c r="S30" s="69" t="n">
        <f aca="false">(OtherBalances!R30)*(1+Inputs!S102)</f>
        <v>239.91840373</v>
      </c>
      <c r="T30" s="69" t="n">
        <f aca="false">(OtherBalances!S30)*(1+Inputs!T102)</f>
        <v>239.91840373</v>
      </c>
      <c r="U30" s="69" t="n">
        <f aca="false">(OtherBalances!T30)*(1+Inputs!U102)</f>
        <v>239.91840373</v>
      </c>
      <c r="V30" s="69" t="n">
        <f aca="false">(OtherBalances!U30)*(1+Inputs!V102)</f>
        <v>239.91840373</v>
      </c>
      <c r="W30" s="69" t="n">
        <f aca="false">(OtherBalances!V30)*(1+Inputs!W102)</f>
        <v>239.91840373</v>
      </c>
      <c r="X30" s="69" t="n">
        <f aca="false">(OtherBalances!W30)*(1+Inputs!X102)</f>
        <v>239.91840373</v>
      </c>
      <c r="Y30" s="69" t="n">
        <f aca="false">(OtherBalances!X30)*(1+Inputs!Y102)</f>
        <v>239.91840373</v>
      </c>
      <c r="Z30" s="69" t="n">
        <f aca="false">(OtherBalances!Y30)*(1+Inputs!Z102)</f>
        <v>239.91840373</v>
      </c>
      <c r="AA30" s="69" t="n">
        <f aca="false">(OtherBalances!Z30)*(1+Inputs!AA102)</f>
        <v>239.91840373</v>
      </c>
      <c r="AB30" s="69" t="n">
        <f aca="false">(OtherBalances!AA30)*(1+Inputs!AB102)</f>
        <v>239.91840373</v>
      </c>
      <c r="AC30" s="69" t="n">
        <f aca="false">(OtherBalances!AB30)*(1+Inputs!AC102)</f>
        <v>239.91840373</v>
      </c>
      <c r="AD30" s="69" t="n">
        <f aca="false">(OtherBalances!AC30)*(1+Inputs!AD102)</f>
        <v>239.91840373</v>
      </c>
      <c r="AE30" s="69" t="n">
        <f aca="false">(OtherBalances!AD30)*(1+Inputs!AE102)</f>
        <v>239.91840373</v>
      </c>
      <c r="AF30" s="69" t="n">
        <f aca="false">(OtherBalances!AE30)*(1+Inputs!AF102)</f>
        <v>239.91840373</v>
      </c>
      <c r="AG30" s="69" t="n">
        <f aca="false">(OtherBalances!AF30)*(1+Inputs!AG102)</f>
        <v>239.91840373</v>
      </c>
      <c r="AH30" s="69" t="n">
        <f aca="false">(OtherBalances!AG30)*(1+Inputs!AH102)</f>
        <v>239.91840373</v>
      </c>
      <c r="AI30" s="69" t="n">
        <f aca="false">(OtherBalances!AH30)*(1+Inputs!AI102)</f>
        <v>239.91840373</v>
      </c>
      <c r="AJ30" s="69" t="n">
        <f aca="false">(OtherBalances!AI30)*(1+Inputs!AJ102)</f>
        <v>239.91840373</v>
      </c>
      <c r="AK30" s="69" t="n">
        <f aca="false">(OtherBalances!AJ30)*(1+Inputs!AK102)</f>
        <v>239.91840373</v>
      </c>
      <c r="AL30" s="69" t="n">
        <f aca="false">(OtherBalances!AK30)*(1+Inputs!AL102)</f>
        <v>239.91840373</v>
      </c>
      <c r="AM30" s="69" t="n">
        <f aca="false">(OtherBalances!AL30)*(1+Inputs!AM102)</f>
        <v>239.91840373</v>
      </c>
    </row>
    <row r="31" customFormat="false" ht="21" hidden="false" customHeight="true" outlineLevel="0" collapsed="false">
      <c r="C31" s="81" t="s">
        <v>460</v>
      </c>
      <c r="D31" s="69"/>
      <c r="E31" s="69"/>
      <c r="F31" s="69"/>
      <c r="G31" s="69"/>
      <c r="H31" s="69"/>
      <c r="I31" s="69"/>
      <c r="J31" s="69" t="n">
        <f aca="false">H1Data!D44*(1+Inputs!J102)</f>
        <v>923.23918069</v>
      </c>
      <c r="K31" s="69" t="n">
        <f aca="false">(OtherBalances!J31)*(1+Inputs!K102)</f>
        <v>923.23918069</v>
      </c>
      <c r="L31" s="69" t="n">
        <f aca="false">(OtherBalances!K31)*(1+Inputs!L102)</f>
        <v>923.23918069</v>
      </c>
      <c r="M31" s="69" t="n">
        <f aca="false">(OtherBalances!L31)*(1+Inputs!M102)</f>
        <v>923.23918069</v>
      </c>
      <c r="N31" s="69" t="n">
        <f aca="false">(OtherBalances!M31)*(1+Inputs!N102)</f>
        <v>923.23918069</v>
      </c>
      <c r="O31" s="69" t="n">
        <f aca="false">(OtherBalances!N31)*(1+Inputs!O102)</f>
        <v>923.23918069</v>
      </c>
      <c r="P31" s="69" t="n">
        <f aca="false">(OtherBalances!O31)*(1+Inputs!P102)</f>
        <v>923.23918069</v>
      </c>
      <c r="Q31" s="69" t="n">
        <f aca="false">(OtherBalances!P31)*(1+Inputs!Q102)</f>
        <v>923.23918069</v>
      </c>
      <c r="R31" s="69" t="n">
        <f aca="false">(OtherBalances!Q31)*(1+Inputs!R102)</f>
        <v>923.23918069</v>
      </c>
      <c r="S31" s="69" t="n">
        <f aca="false">(OtherBalances!R31)*(1+Inputs!S102)</f>
        <v>923.23918069</v>
      </c>
      <c r="T31" s="69" t="n">
        <f aca="false">(OtherBalances!S31)*(1+Inputs!T102)</f>
        <v>923.23918069</v>
      </c>
      <c r="U31" s="69" t="n">
        <f aca="false">(OtherBalances!T31)*(1+Inputs!U102)</f>
        <v>923.23918069</v>
      </c>
      <c r="V31" s="69" t="n">
        <f aca="false">(OtherBalances!U31)*(1+Inputs!V102)</f>
        <v>923.23918069</v>
      </c>
      <c r="W31" s="69" t="n">
        <f aca="false">(OtherBalances!V31)*(1+Inputs!W102)</f>
        <v>923.23918069</v>
      </c>
      <c r="X31" s="69" t="n">
        <f aca="false">(OtherBalances!W31)*(1+Inputs!X102)</f>
        <v>923.23918069</v>
      </c>
      <c r="Y31" s="69" t="n">
        <f aca="false">(OtherBalances!X31)*(1+Inputs!Y102)</f>
        <v>923.23918069</v>
      </c>
      <c r="Z31" s="69" t="n">
        <f aca="false">(OtherBalances!Y31)*(1+Inputs!Z102)</f>
        <v>923.23918069</v>
      </c>
      <c r="AA31" s="69" t="n">
        <f aca="false">(OtherBalances!Z31)*(1+Inputs!AA102)</f>
        <v>923.23918069</v>
      </c>
      <c r="AB31" s="69" t="n">
        <f aca="false">(OtherBalances!AA31)*(1+Inputs!AB102)</f>
        <v>923.23918069</v>
      </c>
      <c r="AC31" s="69" t="n">
        <f aca="false">(OtherBalances!AB31)*(1+Inputs!AC102)</f>
        <v>923.23918069</v>
      </c>
      <c r="AD31" s="69" t="n">
        <f aca="false">(OtherBalances!AC31)*(1+Inputs!AD102)</f>
        <v>923.23918069</v>
      </c>
      <c r="AE31" s="69" t="n">
        <f aca="false">(OtherBalances!AD31)*(1+Inputs!AE102)</f>
        <v>923.23918069</v>
      </c>
      <c r="AF31" s="69" t="n">
        <f aca="false">(OtherBalances!AE31)*(1+Inputs!AF102)</f>
        <v>923.23918069</v>
      </c>
      <c r="AG31" s="69" t="n">
        <f aca="false">(OtherBalances!AF31)*(1+Inputs!AG102)</f>
        <v>923.23918069</v>
      </c>
      <c r="AH31" s="69" t="n">
        <f aca="false">(OtherBalances!AG31)*(1+Inputs!AH102)</f>
        <v>923.23918069</v>
      </c>
      <c r="AI31" s="69" t="n">
        <f aca="false">(OtherBalances!AH31)*(1+Inputs!AI102)</f>
        <v>923.23918069</v>
      </c>
      <c r="AJ31" s="69" t="n">
        <f aca="false">(OtherBalances!AI31)*(1+Inputs!AJ102)</f>
        <v>923.23918069</v>
      </c>
      <c r="AK31" s="69" t="n">
        <f aca="false">(OtherBalances!AJ31)*(1+Inputs!AK102)</f>
        <v>923.23918069</v>
      </c>
      <c r="AL31" s="69" t="n">
        <f aca="false">(OtherBalances!AK31)*(1+Inputs!AL102)</f>
        <v>923.23918069</v>
      </c>
      <c r="AM31" s="69" t="n">
        <f aca="false">(OtherBalances!AL31)*(1+Inputs!AM102)</f>
        <v>923.23918069</v>
      </c>
    </row>
    <row r="32" customFormat="false" ht="21" hidden="false" customHeight="true" outlineLevel="0" collapsed="false">
      <c r="C32" s="81" t="s">
        <v>461</v>
      </c>
      <c r="D32" s="69"/>
      <c r="E32" s="69"/>
      <c r="F32" s="69"/>
      <c r="G32" s="69"/>
      <c r="H32" s="69"/>
      <c r="I32" s="69"/>
      <c r="J32" s="69" t="n">
        <f aca="false">H1Data!D46*(1+Inputs!J102)</f>
        <v>62.49536118</v>
      </c>
      <c r="K32" s="69" t="n">
        <f aca="false">(OtherBalances!J32)*(1+Inputs!K102)</f>
        <v>62.49536118</v>
      </c>
      <c r="L32" s="69" t="n">
        <f aca="false">(OtherBalances!K32)*(1+Inputs!L102)</f>
        <v>62.49536118</v>
      </c>
      <c r="M32" s="69" t="n">
        <f aca="false">(OtherBalances!L32)*(1+Inputs!M102)</f>
        <v>62.49536118</v>
      </c>
      <c r="N32" s="69" t="n">
        <f aca="false">(OtherBalances!M32)*(1+Inputs!N102)</f>
        <v>62.49536118</v>
      </c>
      <c r="O32" s="69" t="n">
        <f aca="false">(OtherBalances!N32)*(1+Inputs!O102)</f>
        <v>62.49536118</v>
      </c>
      <c r="P32" s="69" t="n">
        <f aca="false">(OtherBalances!O32)*(1+Inputs!P102)</f>
        <v>62.49536118</v>
      </c>
      <c r="Q32" s="69" t="n">
        <f aca="false">(OtherBalances!P32)*(1+Inputs!Q102)</f>
        <v>62.49536118</v>
      </c>
      <c r="R32" s="69" t="n">
        <f aca="false">(OtherBalances!Q32)*(1+Inputs!R102)</f>
        <v>62.49536118</v>
      </c>
      <c r="S32" s="69" t="n">
        <f aca="false">(OtherBalances!R32)*(1+Inputs!S102)</f>
        <v>62.49536118</v>
      </c>
      <c r="T32" s="69" t="n">
        <f aca="false">(OtherBalances!S32)*(1+Inputs!T102)</f>
        <v>62.49536118</v>
      </c>
      <c r="U32" s="69" t="n">
        <f aca="false">(OtherBalances!T32)*(1+Inputs!U102)</f>
        <v>62.49536118</v>
      </c>
      <c r="V32" s="69" t="n">
        <f aca="false">(OtherBalances!U32)*(1+Inputs!V102)</f>
        <v>62.49536118</v>
      </c>
      <c r="W32" s="69" t="n">
        <f aca="false">(OtherBalances!V32)*(1+Inputs!W102)</f>
        <v>62.49536118</v>
      </c>
      <c r="X32" s="69" t="n">
        <f aca="false">(OtherBalances!W32)*(1+Inputs!X102)</f>
        <v>62.49536118</v>
      </c>
      <c r="Y32" s="69" t="n">
        <f aca="false">(OtherBalances!X32)*(1+Inputs!Y102)</f>
        <v>62.49536118</v>
      </c>
      <c r="Z32" s="69" t="n">
        <f aca="false">(OtherBalances!Y32)*(1+Inputs!Z102)</f>
        <v>62.49536118</v>
      </c>
      <c r="AA32" s="69" t="n">
        <f aca="false">(OtherBalances!Z32)*(1+Inputs!AA102)</f>
        <v>62.49536118</v>
      </c>
      <c r="AB32" s="69" t="n">
        <f aca="false">(OtherBalances!AA32)*(1+Inputs!AB102)</f>
        <v>62.49536118</v>
      </c>
      <c r="AC32" s="69" t="n">
        <f aca="false">(OtherBalances!AB32)*(1+Inputs!AC102)</f>
        <v>62.49536118</v>
      </c>
      <c r="AD32" s="69" t="n">
        <f aca="false">(OtherBalances!AC32)*(1+Inputs!AD102)</f>
        <v>62.49536118</v>
      </c>
      <c r="AE32" s="69" t="n">
        <f aca="false">(OtherBalances!AD32)*(1+Inputs!AE102)</f>
        <v>62.49536118</v>
      </c>
      <c r="AF32" s="69" t="n">
        <f aca="false">(OtherBalances!AE32)*(1+Inputs!AF102)</f>
        <v>62.49536118</v>
      </c>
      <c r="AG32" s="69" t="n">
        <f aca="false">(OtherBalances!AF32)*(1+Inputs!AG102)</f>
        <v>62.49536118</v>
      </c>
      <c r="AH32" s="69" t="n">
        <f aca="false">(OtherBalances!AG32)*(1+Inputs!AH102)</f>
        <v>62.49536118</v>
      </c>
      <c r="AI32" s="69" t="n">
        <f aca="false">(OtherBalances!AH32)*(1+Inputs!AI102)</f>
        <v>62.49536118</v>
      </c>
      <c r="AJ32" s="69" t="n">
        <f aca="false">(OtherBalances!AI32)*(1+Inputs!AJ102)</f>
        <v>62.49536118</v>
      </c>
      <c r="AK32" s="69" t="n">
        <f aca="false">(OtherBalances!AJ32)*(1+Inputs!AK102)</f>
        <v>62.49536118</v>
      </c>
      <c r="AL32" s="69" t="n">
        <f aca="false">(OtherBalances!AK32)*(1+Inputs!AL102)</f>
        <v>62.49536118</v>
      </c>
      <c r="AM32" s="69" t="n">
        <f aca="false">(OtherBalances!AL32)*(1+Inputs!AM102)</f>
        <v>62.49536118</v>
      </c>
    </row>
    <row r="33" customFormat="false" ht="21" hidden="false" customHeight="true" outlineLevel="0" collapsed="false">
      <c r="C33" s="81" t="s">
        <v>462</v>
      </c>
      <c r="D33" s="69"/>
      <c r="E33" s="69"/>
      <c r="F33" s="69"/>
      <c r="G33" s="69"/>
      <c r="H33" s="69"/>
      <c r="I33" s="69"/>
      <c r="J33" s="69" t="n">
        <f aca="false">H1Data!D49*(1+Inputs!J102)</f>
        <v>52.1655653</v>
      </c>
      <c r="K33" s="69" t="n">
        <f aca="false">(OtherBalances!J33)*(1+Inputs!K102)</f>
        <v>52.1655653</v>
      </c>
      <c r="L33" s="69" t="n">
        <f aca="false">(OtherBalances!K33)*(1+Inputs!L102)</f>
        <v>52.1655653</v>
      </c>
      <c r="M33" s="69" t="n">
        <f aca="false">(OtherBalances!L33)*(1+Inputs!M102)</f>
        <v>52.1655653</v>
      </c>
      <c r="N33" s="69" t="n">
        <f aca="false">(OtherBalances!M33)*(1+Inputs!N102)</f>
        <v>52.1655653</v>
      </c>
      <c r="O33" s="69" t="n">
        <f aca="false">(OtherBalances!N33)*(1+Inputs!O102)</f>
        <v>52.1655653</v>
      </c>
      <c r="P33" s="69" t="n">
        <f aca="false">(OtherBalances!O33)*(1+Inputs!P102)</f>
        <v>52.1655653</v>
      </c>
      <c r="Q33" s="69" t="n">
        <f aca="false">(OtherBalances!P33)*(1+Inputs!Q102)</f>
        <v>52.1655653</v>
      </c>
      <c r="R33" s="69" t="n">
        <f aca="false">(OtherBalances!Q33)*(1+Inputs!R102)</f>
        <v>52.1655653</v>
      </c>
      <c r="S33" s="69" t="n">
        <f aca="false">(OtherBalances!R33)*(1+Inputs!S102)</f>
        <v>52.1655653</v>
      </c>
      <c r="T33" s="69" t="n">
        <f aca="false">(OtherBalances!S33)*(1+Inputs!T102)</f>
        <v>52.1655653</v>
      </c>
      <c r="U33" s="69" t="n">
        <f aca="false">(OtherBalances!T33)*(1+Inputs!U102)</f>
        <v>52.1655653</v>
      </c>
      <c r="V33" s="69" t="n">
        <f aca="false">(OtherBalances!U33)*(1+Inputs!V102)</f>
        <v>52.1655653</v>
      </c>
      <c r="W33" s="69" t="n">
        <f aca="false">(OtherBalances!V33)*(1+Inputs!W102)</f>
        <v>52.1655653</v>
      </c>
      <c r="X33" s="69" t="n">
        <f aca="false">(OtherBalances!W33)*(1+Inputs!X102)</f>
        <v>52.1655653</v>
      </c>
      <c r="Y33" s="69" t="n">
        <f aca="false">(OtherBalances!X33)*(1+Inputs!Y102)</f>
        <v>52.1655653</v>
      </c>
      <c r="Z33" s="69" t="n">
        <f aca="false">(OtherBalances!Y33)*(1+Inputs!Z102)</f>
        <v>52.1655653</v>
      </c>
      <c r="AA33" s="69" t="n">
        <f aca="false">(OtherBalances!Z33)*(1+Inputs!AA102)</f>
        <v>52.1655653</v>
      </c>
      <c r="AB33" s="69" t="n">
        <f aca="false">(OtherBalances!AA33)*(1+Inputs!AB102)</f>
        <v>52.1655653</v>
      </c>
      <c r="AC33" s="69" t="n">
        <f aca="false">(OtherBalances!AB33)*(1+Inputs!AC102)</f>
        <v>52.1655653</v>
      </c>
      <c r="AD33" s="69" t="n">
        <f aca="false">(OtherBalances!AC33)*(1+Inputs!AD102)</f>
        <v>52.1655653</v>
      </c>
      <c r="AE33" s="69" t="n">
        <f aca="false">(OtherBalances!AD33)*(1+Inputs!AE102)</f>
        <v>52.1655653</v>
      </c>
      <c r="AF33" s="69" t="n">
        <f aca="false">(OtherBalances!AE33)*(1+Inputs!AF102)</f>
        <v>52.1655653</v>
      </c>
      <c r="AG33" s="69" t="n">
        <f aca="false">(OtherBalances!AF33)*(1+Inputs!AG102)</f>
        <v>52.1655653</v>
      </c>
      <c r="AH33" s="69" t="n">
        <f aca="false">(OtherBalances!AG33)*(1+Inputs!AH102)</f>
        <v>52.1655653</v>
      </c>
      <c r="AI33" s="69" t="n">
        <f aca="false">(OtherBalances!AH33)*(1+Inputs!AI102)</f>
        <v>52.1655653</v>
      </c>
      <c r="AJ33" s="69" t="n">
        <f aca="false">(OtherBalances!AI33)*(1+Inputs!AJ102)</f>
        <v>52.1655653</v>
      </c>
      <c r="AK33" s="69" t="n">
        <f aca="false">(OtherBalances!AJ33)*(1+Inputs!AK102)</f>
        <v>52.1655653</v>
      </c>
      <c r="AL33" s="69" t="n">
        <f aca="false">(OtherBalances!AK33)*(1+Inputs!AL102)</f>
        <v>52.1655653</v>
      </c>
      <c r="AM33" s="69" t="n">
        <f aca="false">(OtherBalances!AL33)*(1+Inputs!AM102)</f>
        <v>52.1655653</v>
      </c>
    </row>
    <row r="34" customFormat="false" ht="21" hidden="false" customHeight="true" outlineLevel="0" collapsed="false">
      <c r="C34" s="81" t="s">
        <v>463</v>
      </c>
      <c r="D34" s="69"/>
      <c r="E34" s="69"/>
      <c r="F34" s="69"/>
      <c r="G34" s="69"/>
      <c r="H34" s="69"/>
      <c r="I34" s="69"/>
      <c r="J34" s="69" t="n">
        <f aca="false">H1Data!D51*(1+Inputs!J102)</f>
        <v>100.34332817</v>
      </c>
      <c r="K34" s="69" t="n">
        <f aca="false">(OtherBalances!J34)*(1+Inputs!K102)</f>
        <v>100.34332817</v>
      </c>
      <c r="L34" s="69" t="n">
        <f aca="false">(OtherBalances!K34)*(1+Inputs!L102)</f>
        <v>100.34332817</v>
      </c>
      <c r="M34" s="69" t="n">
        <f aca="false">(OtherBalances!L34)*(1+Inputs!M102)</f>
        <v>100.34332817</v>
      </c>
      <c r="N34" s="69" t="n">
        <f aca="false">(OtherBalances!M34)*(1+Inputs!N102)</f>
        <v>100.34332817</v>
      </c>
      <c r="O34" s="69" t="n">
        <f aca="false">(OtherBalances!N34)*(1+Inputs!O102)</f>
        <v>100.34332817</v>
      </c>
      <c r="P34" s="69" t="n">
        <f aca="false">(OtherBalances!O34)*(1+Inputs!P102)</f>
        <v>100.34332817</v>
      </c>
      <c r="Q34" s="69" t="n">
        <f aca="false">(OtherBalances!P34)*(1+Inputs!Q102)</f>
        <v>100.34332817</v>
      </c>
      <c r="R34" s="69" t="n">
        <f aca="false">(OtherBalances!Q34)*(1+Inputs!R102)</f>
        <v>100.34332817</v>
      </c>
      <c r="S34" s="69" t="n">
        <f aca="false">(OtherBalances!R34)*(1+Inputs!S102)</f>
        <v>100.34332817</v>
      </c>
      <c r="T34" s="69" t="n">
        <f aca="false">(OtherBalances!S34)*(1+Inputs!T102)</f>
        <v>100.34332817</v>
      </c>
      <c r="U34" s="69" t="n">
        <f aca="false">(OtherBalances!T34)*(1+Inputs!U102)</f>
        <v>100.34332817</v>
      </c>
      <c r="V34" s="69" t="n">
        <f aca="false">(OtherBalances!U34)*(1+Inputs!V102)</f>
        <v>100.34332817</v>
      </c>
      <c r="W34" s="69" t="n">
        <f aca="false">(OtherBalances!V34)*(1+Inputs!W102)</f>
        <v>100.34332817</v>
      </c>
      <c r="X34" s="69" t="n">
        <f aca="false">(OtherBalances!W34)*(1+Inputs!X102)</f>
        <v>100.34332817</v>
      </c>
      <c r="Y34" s="69" t="n">
        <f aca="false">(OtherBalances!X34)*(1+Inputs!Y102)</f>
        <v>100.34332817</v>
      </c>
      <c r="Z34" s="69" t="n">
        <f aca="false">(OtherBalances!Y34)*(1+Inputs!Z102)</f>
        <v>100.34332817</v>
      </c>
      <c r="AA34" s="69" t="n">
        <f aca="false">(OtherBalances!Z34)*(1+Inputs!AA102)</f>
        <v>100.34332817</v>
      </c>
      <c r="AB34" s="69" t="n">
        <f aca="false">(OtherBalances!AA34)*(1+Inputs!AB102)</f>
        <v>100.34332817</v>
      </c>
      <c r="AC34" s="69" t="n">
        <f aca="false">(OtherBalances!AB34)*(1+Inputs!AC102)</f>
        <v>100.34332817</v>
      </c>
      <c r="AD34" s="69" t="n">
        <f aca="false">(OtherBalances!AC34)*(1+Inputs!AD102)</f>
        <v>100.34332817</v>
      </c>
      <c r="AE34" s="69" t="n">
        <f aca="false">(OtherBalances!AD34)*(1+Inputs!AE102)</f>
        <v>100.34332817</v>
      </c>
      <c r="AF34" s="69" t="n">
        <f aca="false">(OtherBalances!AE34)*(1+Inputs!AF102)</f>
        <v>100.34332817</v>
      </c>
      <c r="AG34" s="69" t="n">
        <f aca="false">(OtherBalances!AF34)*(1+Inputs!AG102)</f>
        <v>100.34332817</v>
      </c>
      <c r="AH34" s="69" t="n">
        <f aca="false">(OtherBalances!AG34)*(1+Inputs!AH102)</f>
        <v>100.34332817</v>
      </c>
      <c r="AI34" s="69" t="n">
        <f aca="false">(OtherBalances!AH34)*(1+Inputs!AI102)</f>
        <v>100.34332817</v>
      </c>
      <c r="AJ34" s="69" t="n">
        <f aca="false">(OtherBalances!AI34)*(1+Inputs!AJ102)</f>
        <v>100.34332817</v>
      </c>
      <c r="AK34" s="69" t="n">
        <f aca="false">(OtherBalances!AJ34)*(1+Inputs!AK102)</f>
        <v>100.34332817</v>
      </c>
      <c r="AL34" s="69" t="n">
        <f aca="false">(OtherBalances!AK34)*(1+Inputs!AL102)</f>
        <v>100.34332817</v>
      </c>
      <c r="AM34" s="69" t="n">
        <f aca="false">(OtherBalances!AL34)*(1+Inputs!AM102)</f>
        <v>100.34332817</v>
      </c>
    </row>
    <row r="35" customFormat="false" ht="21" hidden="false" customHeight="true" outlineLevel="0" collapsed="false">
      <c r="C35" s="56" t="s">
        <v>464</v>
      </c>
      <c r="D35" s="59"/>
      <c r="E35" s="59"/>
      <c r="F35" s="59"/>
      <c r="G35" s="59"/>
      <c r="H35" s="59"/>
      <c r="I35" s="59"/>
      <c r="J35" s="59" t="n">
        <f aca="false">H1Data!D35</f>
        <v>30.516795</v>
      </c>
      <c r="K35" s="59" t="n">
        <f aca="false">H1Data!D35</f>
        <v>30.516795</v>
      </c>
      <c r="L35" s="59" t="n">
        <f aca="false">H1Data!D35</f>
        <v>30.516795</v>
      </c>
      <c r="M35" s="59" t="n">
        <f aca="false">H1Data!D35</f>
        <v>30.516795</v>
      </c>
      <c r="N35" s="59" t="n">
        <f aca="false">H1Data!D35</f>
        <v>30.516795</v>
      </c>
      <c r="O35" s="59" t="n">
        <f aca="false">H1Data!D35</f>
        <v>30.516795</v>
      </c>
      <c r="P35" s="59" t="n">
        <f aca="false">H1Data!D35</f>
        <v>30.516795</v>
      </c>
      <c r="Q35" s="59" t="n">
        <f aca="false">H1Data!D35</f>
        <v>30.516795</v>
      </c>
      <c r="R35" s="59" t="n">
        <f aca="false">H1Data!D35</f>
        <v>30.516795</v>
      </c>
      <c r="S35" s="59" t="n">
        <f aca="false">H1Data!D35</f>
        <v>30.516795</v>
      </c>
      <c r="T35" s="59" t="n">
        <f aca="false">H1Data!D35</f>
        <v>30.516795</v>
      </c>
      <c r="U35" s="59" t="n">
        <f aca="false">H1Data!D35</f>
        <v>30.516795</v>
      </c>
      <c r="V35" s="59" t="n">
        <f aca="false">H1Data!D35</f>
        <v>30.516795</v>
      </c>
      <c r="W35" s="59" t="n">
        <f aca="false">H1Data!D35</f>
        <v>30.516795</v>
      </c>
      <c r="X35" s="59" t="n">
        <f aca="false">H1Data!D35</f>
        <v>30.516795</v>
      </c>
      <c r="Y35" s="59" t="n">
        <f aca="false">H1Data!D35</f>
        <v>30.516795</v>
      </c>
      <c r="Z35" s="59" t="n">
        <f aca="false">H1Data!D35</f>
        <v>30.516795</v>
      </c>
      <c r="AA35" s="59" t="n">
        <f aca="false">H1Data!D35</f>
        <v>30.516795</v>
      </c>
      <c r="AB35" s="59" t="n">
        <f aca="false">H1Data!D35</f>
        <v>30.516795</v>
      </c>
      <c r="AC35" s="59" t="n">
        <f aca="false">H1Data!D35</f>
        <v>30.516795</v>
      </c>
      <c r="AD35" s="59" t="n">
        <f aca="false">H1Data!D35</f>
        <v>30.516795</v>
      </c>
      <c r="AE35" s="59" t="n">
        <f aca="false">H1Data!D35</f>
        <v>30.516795</v>
      </c>
      <c r="AF35" s="59" t="n">
        <f aca="false">H1Data!D35</f>
        <v>30.516795</v>
      </c>
      <c r="AG35" s="59" t="n">
        <f aca="false">H1Data!D35</f>
        <v>30.516795</v>
      </c>
      <c r="AH35" s="59" t="n">
        <f aca="false">H1Data!D35</f>
        <v>30.516795</v>
      </c>
      <c r="AI35" s="59" t="n">
        <f aca="false">H1Data!D35</f>
        <v>30.516795</v>
      </c>
      <c r="AJ35" s="59" t="n">
        <f aca="false">H1Data!D35</f>
        <v>30.516795</v>
      </c>
      <c r="AK35" s="59" t="n">
        <f aca="false">H1Data!D35</f>
        <v>30.516795</v>
      </c>
      <c r="AL35" s="59" t="n">
        <f aca="false">H1Data!D35</f>
        <v>30.516795</v>
      </c>
      <c r="AM35" s="59" t="n">
        <f aca="false">H1Data!D35</f>
        <v>30.516795</v>
      </c>
    </row>
    <row r="36" customFormat="false" ht="21" hidden="false" customHeight="true" outlineLevel="0" collapsed="false">
      <c r="C36" s="56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</row>
    <row r="37" customFormat="false" ht="21" hidden="false" customHeight="true" outlineLevel="0" collapsed="false">
      <c r="C37" s="56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</row>
    <row r="38" customFormat="false" ht="21" hidden="false" customHeight="true" outlineLevel="0" collapsed="false">
      <c r="C38" s="5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</row>
    <row r="39" customFormat="false" ht="21" hidden="false" customHeight="true" outlineLevel="0" collapsed="false">
      <c r="C39" s="56" t="s">
        <v>170</v>
      </c>
      <c r="D39" s="71"/>
      <c r="E39" s="71"/>
      <c r="F39" s="71"/>
      <c r="G39" s="71"/>
      <c r="H39" s="71"/>
      <c r="I39" s="71"/>
      <c r="J39" s="71" t="n">
        <f aca="false">SUM(J30:J35)</f>
        <v>1408.67863407</v>
      </c>
      <c r="K39" s="71" t="n">
        <f aca="false">SUM(K30:K35)</f>
        <v>1408.67863407</v>
      </c>
      <c r="L39" s="71" t="n">
        <f aca="false">SUM(L30:L35)</f>
        <v>1408.67863407</v>
      </c>
      <c r="M39" s="71" t="n">
        <f aca="false">SUM(M30:M35)</f>
        <v>1408.67863407</v>
      </c>
      <c r="N39" s="71" t="n">
        <f aca="false">SUM(N30:N35)</f>
        <v>1408.67863407</v>
      </c>
      <c r="O39" s="71" t="n">
        <f aca="false">SUM(O30:O35)</f>
        <v>1408.67863407</v>
      </c>
      <c r="P39" s="71" t="n">
        <f aca="false">SUM(P30:P35)</f>
        <v>1408.67863407</v>
      </c>
      <c r="Q39" s="71" t="n">
        <f aca="false">SUM(Q30:Q35)</f>
        <v>1408.67863407</v>
      </c>
      <c r="R39" s="71" t="n">
        <f aca="false">SUM(R30:R35)</f>
        <v>1408.67863407</v>
      </c>
      <c r="S39" s="71" t="n">
        <f aca="false">SUM(S30:S35)</f>
        <v>1408.67863407</v>
      </c>
      <c r="T39" s="71" t="n">
        <f aca="false">SUM(T30:T35)</f>
        <v>1408.67863407</v>
      </c>
      <c r="U39" s="71" t="n">
        <f aca="false">SUM(U30:U35)</f>
        <v>1408.67863407</v>
      </c>
      <c r="V39" s="71" t="n">
        <f aca="false">SUM(V30:V35)</f>
        <v>1408.67863407</v>
      </c>
      <c r="W39" s="71" t="n">
        <f aca="false">SUM(W30:W35)</f>
        <v>1408.67863407</v>
      </c>
      <c r="X39" s="71" t="n">
        <f aca="false">SUM(X30:X35)</f>
        <v>1408.67863407</v>
      </c>
      <c r="Y39" s="71" t="n">
        <f aca="false">SUM(Y30:Y35)</f>
        <v>1408.67863407</v>
      </c>
      <c r="Z39" s="71" t="n">
        <f aca="false">SUM(Z30:Z35)</f>
        <v>1408.67863407</v>
      </c>
      <c r="AA39" s="71" t="n">
        <f aca="false">SUM(AA30:AA35)</f>
        <v>1408.67863407</v>
      </c>
      <c r="AB39" s="71" t="n">
        <f aca="false">SUM(AB30:AB35)</f>
        <v>1408.67863407</v>
      </c>
      <c r="AC39" s="71" t="n">
        <f aca="false">SUM(AC30:AC35)</f>
        <v>1408.67863407</v>
      </c>
      <c r="AD39" s="71" t="n">
        <f aca="false">SUM(AD30:AD35)</f>
        <v>1408.67863407</v>
      </c>
      <c r="AE39" s="71" t="n">
        <f aca="false">SUM(AE30:AE35)</f>
        <v>1408.67863407</v>
      </c>
      <c r="AF39" s="71" t="n">
        <f aca="false">SUM(AF30:AF35)</f>
        <v>1408.67863407</v>
      </c>
      <c r="AG39" s="71" t="n">
        <f aca="false">SUM(AG30:AG35)</f>
        <v>1408.67863407</v>
      </c>
      <c r="AH39" s="71" t="n">
        <f aca="false">SUM(AH30:AH35)</f>
        <v>1408.67863407</v>
      </c>
      <c r="AI39" s="71" t="n">
        <f aca="false">SUM(AI30:AI35)</f>
        <v>1408.67863407</v>
      </c>
      <c r="AJ39" s="71" t="n">
        <f aca="false">SUM(AJ30:AJ35)</f>
        <v>1408.67863407</v>
      </c>
      <c r="AK39" s="71" t="n">
        <f aca="false">SUM(AK30:AK35)</f>
        <v>1408.67863407</v>
      </c>
      <c r="AL39" s="71" t="n">
        <f aca="false">SUM(AL30:AL35)</f>
        <v>1408.67863407</v>
      </c>
      <c r="AM39" s="71" t="n">
        <f aca="false">SUM(AM30:AM35)</f>
        <v>1408.67863407</v>
      </c>
    </row>
    <row r="40" customFormat="false" ht="21" hidden="false" customHeight="true" outlineLevel="0" collapsed="false">
      <c r="C40" s="56" t="s">
        <v>465</v>
      </c>
      <c r="D40" s="69"/>
      <c r="E40" s="69"/>
      <c r="F40" s="69"/>
      <c r="G40" s="69"/>
      <c r="H40" s="69"/>
      <c r="I40" s="69"/>
      <c r="J40" s="69" t="n">
        <f aca="false">J39-(H1Data!D41+H1Data!D44+H1Data!D46+H1Data!D49+H1Data!D51+H1Data!D35)</f>
        <v>0</v>
      </c>
      <c r="K40" s="69" t="n">
        <f aca="false">K39-(OtherBalances!J39)</f>
        <v>0</v>
      </c>
      <c r="L40" s="69" t="n">
        <f aca="false">L39-(OtherBalances!K39)</f>
        <v>0</v>
      </c>
      <c r="M40" s="69" t="n">
        <f aca="false">M39-(OtherBalances!L39)</f>
        <v>0</v>
      </c>
      <c r="N40" s="69" t="n">
        <f aca="false">N39-(OtherBalances!M39)</f>
        <v>0</v>
      </c>
      <c r="O40" s="69" t="n">
        <f aca="false">O39-(OtherBalances!N39)</f>
        <v>0</v>
      </c>
      <c r="P40" s="69" t="n">
        <f aca="false">P39-(OtherBalances!O39)</f>
        <v>0</v>
      </c>
      <c r="Q40" s="69" t="n">
        <f aca="false">Q39-(OtherBalances!P39)</f>
        <v>0</v>
      </c>
      <c r="R40" s="69" t="n">
        <f aca="false">R39-(OtherBalances!Q39)</f>
        <v>0</v>
      </c>
      <c r="S40" s="69" t="n">
        <f aca="false">S39-(OtherBalances!R39)</f>
        <v>0</v>
      </c>
      <c r="T40" s="69" t="n">
        <f aca="false">T39-(OtherBalances!S39)</f>
        <v>0</v>
      </c>
      <c r="U40" s="69" t="n">
        <f aca="false">U39-(OtherBalances!T39)</f>
        <v>0</v>
      </c>
      <c r="V40" s="69" t="n">
        <f aca="false">V39-(OtherBalances!U39)</f>
        <v>0</v>
      </c>
      <c r="W40" s="69" t="n">
        <f aca="false">W39-(OtherBalances!V39)</f>
        <v>0</v>
      </c>
      <c r="X40" s="69" t="n">
        <f aca="false">X39-(OtherBalances!W39)</f>
        <v>0</v>
      </c>
      <c r="Y40" s="69" t="n">
        <f aca="false">Y39-(OtherBalances!X39)</f>
        <v>0</v>
      </c>
      <c r="Z40" s="69" t="n">
        <f aca="false">Z39-(OtherBalances!Y39)</f>
        <v>0</v>
      </c>
      <c r="AA40" s="69" t="n">
        <f aca="false">AA39-(OtherBalances!Z39)</f>
        <v>0</v>
      </c>
      <c r="AB40" s="69" t="n">
        <f aca="false">AB39-(OtherBalances!AA39)</f>
        <v>0</v>
      </c>
      <c r="AC40" s="69" t="n">
        <f aca="false">AC39-(OtherBalances!AB39)</f>
        <v>0</v>
      </c>
      <c r="AD40" s="69" t="n">
        <f aca="false">AD39-(OtherBalances!AC39)</f>
        <v>0</v>
      </c>
      <c r="AE40" s="69" t="n">
        <f aca="false">AE39-(OtherBalances!AD39)</f>
        <v>0</v>
      </c>
      <c r="AF40" s="69" t="n">
        <f aca="false">AF39-(OtherBalances!AE39)</f>
        <v>0</v>
      </c>
      <c r="AG40" s="69" t="n">
        <f aca="false">AG39-(OtherBalances!AF39)</f>
        <v>0</v>
      </c>
      <c r="AH40" s="69" t="n">
        <f aca="false">AH39-(OtherBalances!AG39)</f>
        <v>0</v>
      </c>
      <c r="AI40" s="69" t="n">
        <f aca="false">AI39-(OtherBalances!AH39)</f>
        <v>0</v>
      </c>
      <c r="AJ40" s="69" t="n">
        <f aca="false">AJ39-(OtherBalances!AI39)</f>
        <v>0</v>
      </c>
      <c r="AK40" s="69" t="n">
        <f aca="false">AK39-(OtherBalances!AJ39)</f>
        <v>0</v>
      </c>
      <c r="AL40" s="69" t="n">
        <f aca="false">AL39-(OtherBalances!AK39)</f>
        <v>0</v>
      </c>
      <c r="AM40" s="69" t="n">
        <f aca="false">AM39-(OtherBalances!AL39)</f>
        <v>0</v>
      </c>
    </row>
    <row r="41" customFormat="false" ht="21" hidden="false" customHeight="true" outlineLevel="0" collapsed="false">
      <c r="C41" s="56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</row>
    <row r="42" customFormat="false" ht="21" hidden="false" customHeight="true" outlineLevel="0" collapsed="false">
      <c r="C42" s="56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</row>
    <row r="43" customFormat="false" ht="21" hidden="false" customHeight="true" outlineLevel="0" collapsed="false">
      <c r="C43" s="56" t="s">
        <v>466</v>
      </c>
      <c r="D43" s="71"/>
      <c r="E43" s="69"/>
      <c r="F43" s="69"/>
      <c r="G43" s="69"/>
      <c r="H43" s="69"/>
      <c r="I43" s="69"/>
      <c r="J43" s="69" t="n">
        <f aca="false">0</f>
        <v>0</v>
      </c>
      <c r="K43" s="69" t="n">
        <f aca="false">OtherBalances!J45</f>
        <v>7.99570331639787</v>
      </c>
      <c r="L43" s="69" t="n">
        <f aca="false">OtherBalances!K45</f>
        <v>16.1344214778974</v>
      </c>
      <c r="M43" s="69" t="n">
        <f aca="false">OtherBalances!L45</f>
        <v>24.653808965884</v>
      </c>
      <c r="N43" s="69" t="n">
        <f aca="false">OtherBalances!M45</f>
        <v>33.6208952831982</v>
      </c>
      <c r="O43" s="69" t="n">
        <f aca="false">OtherBalances!N45</f>
        <v>42.5564578373055</v>
      </c>
      <c r="P43" s="69" t="n">
        <f aca="false">OtherBalances!O45</f>
        <v>52.8821504624452</v>
      </c>
      <c r="Q43" s="69" t="n">
        <f aca="false">OtherBalances!P45</f>
        <v>63.0891912119423</v>
      </c>
      <c r="R43" s="69" t="n">
        <f aca="false">OtherBalances!Q45</f>
        <v>73.6198959297739</v>
      </c>
      <c r="S43" s="69" t="n">
        <f aca="false">OtherBalances!R45</f>
        <v>86.5544998819173</v>
      </c>
      <c r="T43" s="69" t="n">
        <f aca="false">OtherBalances!S45</f>
        <v>97.9896694192845</v>
      </c>
      <c r="U43" s="69" t="n">
        <f aca="false">OtherBalances!T45</f>
        <v>111.37900854778</v>
      </c>
      <c r="V43" s="69" t="n">
        <f aca="false">OtherBalances!U45</f>
        <v>124.533058200405</v>
      </c>
      <c r="W43" s="69" t="n">
        <f aca="false">OtherBalances!V45</f>
        <v>132.333701661935</v>
      </c>
      <c r="X43" s="69" t="n">
        <f aca="false">OtherBalances!W45</f>
        <v>140.134992046819</v>
      </c>
      <c r="Y43" s="69" t="n">
        <f aca="false">OtherBalances!X45</f>
        <v>148.62757062231</v>
      </c>
      <c r="Z43" s="69" t="n">
        <f aca="false">OtherBalances!Y45</f>
        <v>157.936007261979</v>
      </c>
      <c r="AA43" s="69" t="n">
        <f aca="false">OtherBalances!Z45</f>
        <v>167.181635866469</v>
      </c>
      <c r="AB43" s="69" t="n">
        <f aca="false">OtherBalances!AA45</f>
        <v>177.856820137165</v>
      </c>
      <c r="AC43" s="69" t="n">
        <f aca="false">OtherBalances!AB45</f>
        <v>188.355069764606</v>
      </c>
      <c r="AD43" s="69" t="n">
        <f aca="false">OtherBalances!AC45</f>
        <v>199.573776897975</v>
      </c>
      <c r="AE43" s="69" t="n">
        <f aca="false">OtherBalances!AD45</f>
        <v>212.517279047826</v>
      </c>
      <c r="AF43" s="69" t="n">
        <f aca="false">OtherBalances!AE45</f>
        <v>224.429455448371</v>
      </c>
      <c r="AG43" s="69" t="n">
        <f aca="false">OtherBalances!AF45</f>
        <v>238.135013190205</v>
      </c>
      <c r="AH43" s="69" t="n">
        <f aca="false">OtherBalances!AG45</f>
        <v>251.590844046614</v>
      </c>
      <c r="AI43" s="69" t="n">
        <f aca="false">OtherBalances!AH45</f>
        <v>259.453834400197</v>
      </c>
      <c r="AJ43" s="69" t="n">
        <f aca="false">OtherBalances!AI45</f>
        <v>267.29167929763</v>
      </c>
      <c r="AK43" s="69" t="n">
        <f aca="false">OtherBalances!AJ45</f>
        <v>275.830035830114</v>
      </c>
      <c r="AL43" s="69" t="n">
        <f aca="false">OtherBalances!AK45</f>
        <v>285.200524454676</v>
      </c>
      <c r="AM43" s="69" t="n">
        <f aca="false">OtherBalances!AL45</f>
        <v>294.483804937232</v>
      </c>
    </row>
    <row r="44" customFormat="false" ht="21" hidden="false" customHeight="true" outlineLevel="0" collapsed="false">
      <c r="C44" s="56" t="s">
        <v>467</v>
      </c>
      <c r="D44" s="69"/>
      <c r="E44" s="69"/>
      <c r="F44" s="69"/>
      <c r="G44" s="69"/>
      <c r="H44" s="69"/>
      <c r="I44" s="69"/>
      <c r="J44" s="69" t="n">
        <f aca="false">Funding!J62-Funding!J63</f>
        <v>7.99570331639787</v>
      </c>
      <c r="K44" s="69" t="n">
        <f aca="false">Funding!K62-Funding!K63</f>
        <v>8.13871816149952</v>
      </c>
      <c r="L44" s="69" t="n">
        <f aca="false">Funding!L62-Funding!L63</f>
        <v>8.51938748798664</v>
      </c>
      <c r="M44" s="69" t="n">
        <f aca="false">Funding!M62-Funding!M63</f>
        <v>8.96708631731416</v>
      </c>
      <c r="N44" s="69" t="n">
        <f aca="false">Funding!N62-Funding!N63</f>
        <v>8.9355625541073</v>
      </c>
      <c r="O44" s="69" t="n">
        <f aca="false">Funding!O62-Funding!O63</f>
        <v>10.3256926251397</v>
      </c>
      <c r="P44" s="69" t="n">
        <f aca="false">Funding!P62-Funding!P63</f>
        <v>10.2070407494972</v>
      </c>
      <c r="Q44" s="69" t="n">
        <f aca="false">Funding!Q62-Funding!Q63</f>
        <v>10.5307047178315</v>
      </c>
      <c r="R44" s="69" t="n">
        <f aca="false">Funding!R62-Funding!R63</f>
        <v>12.9346039521434</v>
      </c>
      <c r="S44" s="69" t="n">
        <f aca="false">Funding!S62-Funding!S63</f>
        <v>11.4351695373672</v>
      </c>
      <c r="T44" s="69" t="n">
        <f aca="false">Funding!T62-Funding!T63</f>
        <v>13.3893391284959</v>
      </c>
      <c r="U44" s="69" t="n">
        <f aca="false">Funding!U62-Funding!U63</f>
        <v>13.1540496526246</v>
      </c>
      <c r="V44" s="69" t="n">
        <f aca="false">Funding!V62-Funding!V63</f>
        <v>7.80064346152955</v>
      </c>
      <c r="W44" s="69" t="n">
        <f aca="false">Funding!W62-Funding!W63</f>
        <v>7.80129038488444</v>
      </c>
      <c r="X44" s="69" t="n">
        <f aca="false">Funding!X62-Funding!X63</f>
        <v>8.4925785754908</v>
      </c>
      <c r="Y44" s="69" t="n">
        <f aca="false">Funding!Y62-Funding!Y63</f>
        <v>9.30843663966905</v>
      </c>
      <c r="Z44" s="69" t="n">
        <f aca="false">Funding!Z62-Funding!Z63</f>
        <v>9.24562860448977</v>
      </c>
      <c r="AA44" s="69" t="n">
        <f aca="false">Funding!AA62-Funding!AA63</f>
        <v>10.6751842706963</v>
      </c>
      <c r="AB44" s="69" t="n">
        <f aca="false">Funding!AB62-Funding!AB63</f>
        <v>10.4982496274412</v>
      </c>
      <c r="AC44" s="69" t="n">
        <f aca="false">Funding!AC62-Funding!AC63</f>
        <v>11.2187071333684</v>
      </c>
      <c r="AD44" s="69" t="n">
        <f aca="false">Funding!AD62-Funding!AD63</f>
        <v>12.9435021498517</v>
      </c>
      <c r="AE44" s="69" t="n">
        <f aca="false">Funding!AE62-Funding!AE63</f>
        <v>11.9121764005451</v>
      </c>
      <c r="AF44" s="69" t="n">
        <f aca="false">Funding!AF62-Funding!AF63</f>
        <v>13.7055577418331</v>
      </c>
      <c r="AG44" s="69" t="n">
        <f aca="false">Funding!AG62-Funding!AG63</f>
        <v>13.4558308564097</v>
      </c>
      <c r="AH44" s="69" t="n">
        <f aca="false">Funding!AH62-Funding!AH63</f>
        <v>7.86299035358236</v>
      </c>
      <c r="AI44" s="69" t="n">
        <f aca="false">Funding!AI62-Funding!AI63</f>
        <v>7.83784489743388</v>
      </c>
      <c r="AJ44" s="69" t="n">
        <f aca="false">Funding!AJ62-Funding!AJ63</f>
        <v>8.5383565324836</v>
      </c>
      <c r="AK44" s="69" t="n">
        <f aca="false">Funding!AK62-Funding!AK63</f>
        <v>9.37048862456234</v>
      </c>
      <c r="AL44" s="69" t="n">
        <f aca="false">Funding!AL62-Funding!AL63</f>
        <v>9.2832804825554</v>
      </c>
      <c r="AM44" s="69" t="n">
        <f aca="false">Funding!AM62-Funding!AM63</f>
        <v>10.7389211868526</v>
      </c>
    </row>
    <row r="45" customFormat="false" ht="21" hidden="false" customHeight="true" outlineLevel="0" collapsed="false">
      <c r="C45" s="56" t="s">
        <v>468</v>
      </c>
      <c r="D45" s="71"/>
      <c r="E45" s="71"/>
      <c r="F45" s="71"/>
      <c r="G45" s="71"/>
      <c r="H45" s="71"/>
      <c r="I45" s="71"/>
      <c r="J45" s="71" t="n">
        <f aca="false">J43+J44</f>
        <v>7.99570331639787</v>
      </c>
      <c r="K45" s="71" t="n">
        <f aca="false">K43+K44</f>
        <v>16.1344214778974</v>
      </c>
      <c r="L45" s="71" t="n">
        <f aca="false">L43+L44</f>
        <v>24.653808965884</v>
      </c>
      <c r="M45" s="71" t="n">
        <f aca="false">M43+M44</f>
        <v>33.6208952831982</v>
      </c>
      <c r="N45" s="71" t="n">
        <f aca="false">N43+N44</f>
        <v>42.5564578373055</v>
      </c>
      <c r="O45" s="71" t="n">
        <f aca="false">O43+O44</f>
        <v>52.8821504624452</v>
      </c>
      <c r="P45" s="71" t="n">
        <f aca="false">P43+P44</f>
        <v>63.0891912119423</v>
      </c>
      <c r="Q45" s="71" t="n">
        <f aca="false">Q43+Q44</f>
        <v>73.6198959297739</v>
      </c>
      <c r="R45" s="71" t="n">
        <f aca="false">R43+R44</f>
        <v>86.5544998819173</v>
      </c>
      <c r="S45" s="71" t="n">
        <f aca="false">S43+S44</f>
        <v>97.9896694192845</v>
      </c>
      <c r="T45" s="71" t="n">
        <f aca="false">T43+T44</f>
        <v>111.37900854778</v>
      </c>
      <c r="U45" s="71" t="n">
        <f aca="false">U43+U44</f>
        <v>124.533058200405</v>
      </c>
      <c r="V45" s="71" t="n">
        <f aca="false">V43+V44</f>
        <v>132.333701661935</v>
      </c>
      <c r="W45" s="71" t="n">
        <f aca="false">W43+W44</f>
        <v>140.134992046819</v>
      </c>
      <c r="X45" s="71" t="n">
        <f aca="false">X43+X44</f>
        <v>148.62757062231</v>
      </c>
      <c r="Y45" s="71" t="n">
        <f aca="false">Y43+Y44</f>
        <v>157.936007261979</v>
      </c>
      <c r="Z45" s="71" t="n">
        <f aca="false">Z43+Z44</f>
        <v>167.181635866469</v>
      </c>
      <c r="AA45" s="71" t="n">
        <f aca="false">AA43+AA44</f>
        <v>177.856820137165</v>
      </c>
      <c r="AB45" s="71" t="n">
        <f aca="false">AB43+AB44</f>
        <v>188.355069764606</v>
      </c>
      <c r="AC45" s="71" t="n">
        <f aca="false">AC43+AC44</f>
        <v>199.573776897975</v>
      </c>
      <c r="AD45" s="71" t="n">
        <f aca="false">AD43+AD44</f>
        <v>212.517279047826</v>
      </c>
      <c r="AE45" s="71" t="n">
        <f aca="false">AE43+AE44</f>
        <v>224.429455448371</v>
      </c>
      <c r="AF45" s="71" t="n">
        <f aca="false">AF43+AF44</f>
        <v>238.135013190205</v>
      </c>
      <c r="AG45" s="71" t="n">
        <f aca="false">AG43+AG44</f>
        <v>251.590844046614</v>
      </c>
      <c r="AH45" s="71" t="n">
        <f aca="false">AH43+AH44</f>
        <v>259.453834400197</v>
      </c>
      <c r="AI45" s="71" t="n">
        <f aca="false">AI43+AI44</f>
        <v>267.29167929763</v>
      </c>
      <c r="AJ45" s="71" t="n">
        <f aca="false">AJ43+AJ44</f>
        <v>275.830035830114</v>
      </c>
      <c r="AK45" s="71" t="n">
        <f aca="false">AK43+AK44</f>
        <v>285.200524454676</v>
      </c>
      <c r="AL45" s="71" t="n">
        <f aca="false">AL43+AL44</f>
        <v>294.483804937232</v>
      </c>
      <c r="AM45" s="71" t="n">
        <f aca="false">AM43+AM44</f>
        <v>305.222726124084</v>
      </c>
    </row>
    <row r="46" customFormat="false" ht="21" hidden="false" customHeight="true" outlineLevel="0" collapsed="false">
      <c r="C46" s="56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</row>
    <row r="47" customFormat="false" ht="21" hidden="false" customHeight="true" outlineLevel="0" collapsed="false"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</row>
    <row r="48" customFormat="false" ht="21" hidden="false" customHeight="true" outlineLevel="0" collapsed="false">
      <c r="C48" s="56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</row>
    <row r="49" customFormat="false" ht="21" hidden="false" customHeight="true" outlineLevel="0" collapsed="false">
      <c r="C49" s="56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</row>
    <row r="50" customFormat="false" ht="21" hidden="false" customHeight="true" outlineLevel="0" collapsed="false">
      <c r="C50" s="56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</row>
    <row r="51" customFormat="false" ht="21" hidden="false" customHeight="true" outlineLevel="0" collapsed="false">
      <c r="C51" s="56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</row>
    <row r="52" customFormat="false" ht="21" hidden="false" customHeight="true" outlineLevel="0" collapsed="false">
      <c r="C52" s="56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</row>
    <row r="53" customFormat="false" ht="21" hidden="false" customHeight="true" outlineLevel="0" collapsed="false">
      <c r="C53" s="56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</row>
    <row r="54" customFormat="false" ht="21" hidden="false" customHeight="true" outlineLevel="0" collapsed="false">
      <c r="C54" s="56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</row>
    <row r="55" customFormat="false" ht="21" hidden="false" customHeight="true" outlineLevel="0" collapsed="false">
      <c r="C55" s="56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</row>
    <row r="56" customFormat="false" ht="21" hidden="false" customHeight="true" outlineLevel="0" collapsed="false">
      <c r="C56" s="56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</row>
    <row r="57" customFormat="false" ht="21" hidden="false" customHeight="true" outlineLevel="0" collapsed="false">
      <c r="C57" s="56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</row>
    <row r="58" customFormat="false" ht="21" hidden="false" customHeight="true" outlineLevel="0" collapsed="false">
      <c r="C58" s="56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</row>
    <row r="59" customFormat="false" ht="21" hidden="false" customHeight="true" outlineLevel="0" collapsed="false">
      <c r="C59" s="56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</row>
    <row r="60" customFormat="false" ht="21" hidden="false" customHeight="true" outlineLevel="0" collapsed="false">
      <c r="C60" s="56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</row>
    <row r="61" customFormat="false" ht="21" hidden="false" customHeight="true" outlineLevel="0" collapsed="false">
      <c r="C61" s="56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</row>
    <row r="62" customFormat="false" ht="21" hidden="false" customHeight="true" outlineLevel="0" collapsed="false">
      <c r="C62" s="56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</row>
    <row r="63" customFormat="false" ht="21" hidden="false" customHeight="true" outlineLevel="0" collapsed="false">
      <c r="C63" s="5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</row>
    <row r="64" customFormat="false" ht="21" hidden="false" customHeight="true" outlineLevel="0" collapsed="false">
      <c r="C64" s="56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</row>
    <row r="65" customFormat="false" ht="21" hidden="false" customHeight="true" outlineLevel="0" collapsed="false">
      <c r="C65" s="5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</row>
    <row r="66" customFormat="false" ht="21" hidden="false" customHeight="true" outlineLevel="0" collapsed="false">
      <c r="C66" s="56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</row>
    <row r="67" customFormat="false" ht="21" hidden="false" customHeight="true" outlineLevel="0" collapsed="false">
      <c r="C67" s="5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</row>
    <row r="68" customFormat="false" ht="21" hidden="false" customHeight="true" outlineLevel="0" collapsed="false">
      <c r="C68" s="56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</row>
    <row r="69" customFormat="false" ht="21" hidden="false" customHeight="true" outlineLevel="0" collapsed="false">
      <c r="C69" s="5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</row>
    <row r="70" customFormat="false" ht="21" hidden="false" customHeight="true" outlineLevel="0" collapsed="false">
      <c r="C70" s="56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</row>
    <row r="71" customFormat="false" ht="21" hidden="false" customHeight="true" outlineLevel="0" collapsed="false">
      <c r="C71" s="56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</row>
  </sheetData>
  <sheetProtection sheet="1" objects="1" scenarios="1" selectLockedCells="0" selectUnlockedCells="0"/>
  <mergeCells count="2">
    <mergeCell ref="C2:K2"/>
    <mergeCell ref="C3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>
  <sheetPr filterMode="false">
    <pageSetUpPr fitToPage="false"/>
  </sheetPr>
  <dimension ref="C1:AM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39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customFormat="false" ht="33" hidden="false" customHeight="true" outlineLevel="0" collapsed="false">
      <c r="C2" s="57" t="s">
        <v>469</v>
      </c>
      <c r="D2" s="57"/>
      <c r="E2" s="57"/>
      <c r="F2" s="57"/>
      <c r="G2" s="57"/>
      <c r="H2" s="57"/>
      <c r="I2" s="57"/>
      <c r="J2" s="57"/>
      <c r="K2" s="57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</row>
    <row r="3" customFormat="false" ht="21" hidden="false" customHeight="true" outlineLevel="0" collapsed="false">
      <c r="C3" s="58" t="s">
        <v>470</v>
      </c>
      <c r="D3" s="58"/>
      <c r="E3" s="58"/>
      <c r="F3" s="58"/>
      <c r="G3" s="58"/>
      <c r="H3" s="58"/>
      <c r="I3" s="58"/>
      <c r="J3" s="58"/>
      <c r="K3" s="58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</row>
    <row r="5" customFormat="false" ht="21" hidden="false" customHeight="true" outlineLevel="0" collapsed="false">
      <c r="C5" s="56" t="s">
        <v>471</v>
      </c>
      <c r="D5" s="56" t="n">
        <v>1</v>
      </c>
      <c r="E5" s="56" t="n">
        <v>1</v>
      </c>
      <c r="F5" s="56" t="n">
        <v>1</v>
      </c>
      <c r="G5" s="56" t="n">
        <v>1</v>
      </c>
      <c r="H5" s="56" t="n">
        <v>1</v>
      </c>
      <c r="I5" s="56" t="n">
        <v>1</v>
      </c>
      <c r="J5" s="82" t="n">
        <v>1</v>
      </c>
      <c r="K5" s="82" t="n">
        <v>1</v>
      </c>
      <c r="L5" s="82" t="n">
        <v>1</v>
      </c>
      <c r="M5" s="82" t="n">
        <v>1</v>
      </c>
      <c r="N5" s="82" t="n">
        <v>1</v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2" t="n">
        <v>1</v>
      </c>
      <c r="U5" s="82" t="n">
        <v>1</v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2" t="n">
        <v>1</v>
      </c>
      <c r="AB5" s="82" t="n">
        <v>1</v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2" t="n">
        <v>1</v>
      </c>
      <c r="AI5" s="82" t="n">
        <v>1</v>
      </c>
      <c r="AJ5" s="82" t="n">
        <v>1</v>
      </c>
      <c r="AK5" s="82" t="n">
        <v>1</v>
      </c>
      <c r="AL5" s="82" t="n">
        <v>1</v>
      </c>
      <c r="AM5" s="82" t="n">
        <v>1</v>
      </c>
    </row>
    <row r="6" customFormat="false" ht="21" hidden="false" customHeight="true" outlineLevel="0" collapsed="false">
      <c r="C6" s="56"/>
      <c r="D6" s="56"/>
      <c r="E6" s="56"/>
      <c r="F6" s="56"/>
      <c r="G6" s="56"/>
      <c r="H6" s="56"/>
      <c r="I6" s="56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</row>
    <row r="7" customFormat="false" ht="21" hidden="false" customHeight="true" outlineLevel="0" collapsed="false">
      <c r="C7" s="63"/>
      <c r="D7" s="73" t="n">
        <v>46053</v>
      </c>
      <c r="E7" s="73" t="n">
        <v>46081</v>
      </c>
      <c r="F7" s="73" t="n">
        <v>46112</v>
      </c>
      <c r="G7" s="73" t="n">
        <v>46142</v>
      </c>
      <c r="H7" s="73" t="n">
        <v>46173</v>
      </c>
      <c r="I7" s="73" t="n">
        <v>46203</v>
      </c>
      <c r="J7" s="84" t="n">
        <v>46234</v>
      </c>
      <c r="K7" s="84" t="n">
        <v>46265</v>
      </c>
      <c r="L7" s="84" t="n">
        <v>46295</v>
      </c>
      <c r="M7" s="84" t="n">
        <v>46326</v>
      </c>
      <c r="N7" s="84" t="n">
        <v>46356</v>
      </c>
      <c r="O7" s="84" t="n">
        <v>46387</v>
      </c>
      <c r="P7" s="84" t="n">
        <v>46418</v>
      </c>
      <c r="Q7" s="84" t="n">
        <v>46446</v>
      </c>
      <c r="R7" s="84" t="n">
        <v>46477</v>
      </c>
      <c r="S7" s="84" t="n">
        <v>46507</v>
      </c>
      <c r="T7" s="84" t="n">
        <v>46538</v>
      </c>
      <c r="U7" s="84" t="n">
        <v>46568</v>
      </c>
      <c r="V7" s="84" t="n">
        <v>46599</v>
      </c>
      <c r="W7" s="84" t="n">
        <v>46630</v>
      </c>
      <c r="X7" s="84" t="n">
        <v>46660</v>
      </c>
      <c r="Y7" s="84" t="n">
        <v>46691</v>
      </c>
      <c r="Z7" s="84" t="n">
        <v>46721</v>
      </c>
      <c r="AA7" s="84" t="n">
        <v>46752</v>
      </c>
      <c r="AB7" s="84" t="n">
        <v>46783</v>
      </c>
      <c r="AC7" s="84" t="n">
        <v>46812</v>
      </c>
      <c r="AD7" s="84" t="n">
        <v>46843</v>
      </c>
      <c r="AE7" s="84" t="n">
        <v>46873</v>
      </c>
      <c r="AF7" s="84" t="n">
        <v>46904</v>
      </c>
      <c r="AG7" s="84" t="n">
        <v>46934</v>
      </c>
      <c r="AH7" s="84" t="n">
        <v>46965</v>
      </c>
      <c r="AI7" s="84" t="n">
        <v>46996</v>
      </c>
      <c r="AJ7" s="84" t="n">
        <v>47026</v>
      </c>
      <c r="AK7" s="84" t="n">
        <v>47057</v>
      </c>
      <c r="AL7" s="84" t="n">
        <v>47087</v>
      </c>
      <c r="AM7" s="84" t="n">
        <v>47118</v>
      </c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</row>
    <row r="9" customFormat="false" ht="21" hidden="false" customHeight="true" outlineLevel="0" collapsed="false">
      <c r="C9" s="86" t="s">
        <v>472</v>
      </c>
      <c r="D9" s="62" t="n">
        <v>0.02</v>
      </c>
      <c r="E9" s="62" t="n">
        <v>0.02</v>
      </c>
      <c r="F9" s="62" t="n">
        <v>0.02</v>
      </c>
      <c r="G9" s="62" t="n">
        <v>0.02</v>
      </c>
      <c r="H9" s="62" t="n">
        <v>0.02</v>
      </c>
      <c r="I9" s="62" t="n">
        <v>0.02</v>
      </c>
      <c r="J9" s="87" t="n">
        <v>0.02</v>
      </c>
      <c r="K9" s="87" t="n">
        <v>0.02</v>
      </c>
      <c r="L9" s="87" t="n">
        <v>0.02</v>
      </c>
      <c r="M9" s="87" t="n">
        <v>0.02</v>
      </c>
      <c r="N9" s="87" t="n">
        <v>0.02</v>
      </c>
      <c r="O9" s="87" t="n">
        <v>0.02</v>
      </c>
      <c r="P9" s="87" t="n">
        <v>0.02</v>
      </c>
      <c r="Q9" s="87" t="n">
        <v>0.02</v>
      </c>
      <c r="R9" s="87" t="n">
        <v>0.02</v>
      </c>
      <c r="S9" s="87" t="n">
        <v>0.02</v>
      </c>
      <c r="T9" s="87" t="n">
        <v>0.02</v>
      </c>
      <c r="U9" s="87" t="n">
        <v>0.02</v>
      </c>
      <c r="V9" s="87" t="n">
        <v>0.02</v>
      </c>
      <c r="W9" s="87" t="n">
        <v>0.02</v>
      </c>
      <c r="X9" s="87" t="n">
        <v>0.02</v>
      </c>
      <c r="Y9" s="87" t="n">
        <v>0.02</v>
      </c>
      <c r="Z9" s="87" t="n">
        <v>0.02</v>
      </c>
      <c r="AA9" s="87" t="n">
        <v>0.02</v>
      </c>
      <c r="AB9" s="87" t="n">
        <v>0.02</v>
      </c>
      <c r="AC9" s="87" t="n">
        <v>0.02</v>
      </c>
      <c r="AD9" s="87" t="n">
        <v>0.02</v>
      </c>
      <c r="AE9" s="87" t="n">
        <v>0.02</v>
      </c>
      <c r="AF9" s="87" t="n">
        <v>0.02</v>
      </c>
      <c r="AG9" s="87" t="n">
        <v>0.02</v>
      </c>
      <c r="AH9" s="87" t="n">
        <v>0.02</v>
      </c>
      <c r="AI9" s="87" t="n">
        <v>0.02</v>
      </c>
      <c r="AJ9" s="87" t="n">
        <v>0.02</v>
      </c>
      <c r="AK9" s="87" t="n">
        <v>0.02</v>
      </c>
      <c r="AL9" s="87" t="n">
        <v>0.02</v>
      </c>
      <c r="AM9" s="87" t="n">
        <v>0.02</v>
      </c>
    </row>
    <row r="10" customFormat="false" ht="21" hidden="false" customHeight="true" outlineLevel="0" collapsed="false">
      <c r="C10" s="86" t="s">
        <v>473</v>
      </c>
      <c r="D10" s="62" t="n">
        <v>0</v>
      </c>
      <c r="E10" s="62" t="n">
        <v>0</v>
      </c>
      <c r="F10" s="62" t="n">
        <v>0</v>
      </c>
      <c r="G10" s="62" t="n">
        <v>0</v>
      </c>
      <c r="H10" s="62" t="n">
        <v>0</v>
      </c>
      <c r="I10" s="62" t="n">
        <v>0</v>
      </c>
      <c r="J10" s="87" t="n">
        <v>0</v>
      </c>
      <c r="K10" s="87" t="n">
        <v>0</v>
      </c>
      <c r="L10" s="87" t="n">
        <v>0</v>
      </c>
      <c r="M10" s="87" t="n">
        <v>0</v>
      </c>
      <c r="N10" s="87" t="n">
        <v>0</v>
      </c>
      <c r="O10" s="87" t="n">
        <v>0</v>
      </c>
      <c r="P10" s="87" t="n">
        <v>0</v>
      </c>
      <c r="Q10" s="87" t="n">
        <v>0</v>
      </c>
      <c r="R10" s="87" t="n">
        <v>0</v>
      </c>
      <c r="S10" s="87" t="n">
        <v>0</v>
      </c>
      <c r="T10" s="87" t="n">
        <v>0</v>
      </c>
      <c r="U10" s="87" t="n">
        <v>0</v>
      </c>
      <c r="V10" s="87" t="n">
        <v>0</v>
      </c>
      <c r="W10" s="87" t="n">
        <v>0</v>
      </c>
      <c r="X10" s="87" t="n">
        <v>0</v>
      </c>
      <c r="Y10" s="87" t="n">
        <v>0</v>
      </c>
      <c r="Z10" s="87" t="n">
        <v>0</v>
      </c>
      <c r="AA10" s="87" t="n">
        <v>0</v>
      </c>
      <c r="AB10" s="87" t="n">
        <v>0</v>
      </c>
      <c r="AC10" s="87" t="n">
        <v>0</v>
      </c>
      <c r="AD10" s="87" t="n">
        <v>0</v>
      </c>
      <c r="AE10" s="87" t="n">
        <v>0</v>
      </c>
      <c r="AF10" s="87" t="n">
        <v>0</v>
      </c>
      <c r="AG10" s="87" t="n">
        <v>0</v>
      </c>
      <c r="AH10" s="87" t="n">
        <v>0</v>
      </c>
      <c r="AI10" s="87" t="n">
        <v>0</v>
      </c>
      <c r="AJ10" s="87" t="n">
        <v>0</v>
      </c>
      <c r="AK10" s="87" t="n">
        <v>0</v>
      </c>
      <c r="AL10" s="87" t="n">
        <v>0</v>
      </c>
      <c r="AM10" s="87" t="n">
        <v>0</v>
      </c>
    </row>
    <row r="11" customFormat="false" ht="21" hidden="false" customHeight="true" outlineLevel="0" collapsed="false">
      <c r="C11" s="56"/>
      <c r="D11" s="59"/>
      <c r="E11" s="59"/>
      <c r="F11" s="59"/>
      <c r="G11" s="59"/>
      <c r="H11" s="59"/>
      <c r="I11" s="59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</row>
    <row r="12" customFormat="false" ht="21" hidden="false" customHeight="true" outlineLevel="0" collapsed="false">
      <c r="C12" s="56"/>
      <c r="D12" s="59"/>
      <c r="E12" s="59"/>
      <c r="F12" s="59"/>
      <c r="G12" s="59"/>
      <c r="H12" s="59"/>
      <c r="I12" s="59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</row>
    <row r="13" customFormat="false" ht="21" hidden="false" customHeight="true" outlineLevel="0" collapsed="false">
      <c r="C13" s="86" t="s">
        <v>474</v>
      </c>
      <c r="D13" s="62" t="n">
        <v>0.03</v>
      </c>
      <c r="E13" s="62" t="n">
        <v>0.03</v>
      </c>
      <c r="F13" s="62" t="n">
        <v>0.03</v>
      </c>
      <c r="G13" s="62" t="n">
        <v>0.03</v>
      </c>
      <c r="H13" s="62" t="n">
        <v>0.03</v>
      </c>
      <c r="I13" s="62" t="n">
        <v>0.03</v>
      </c>
      <c r="J13" s="87" t="n">
        <v>0.03</v>
      </c>
      <c r="K13" s="87" t="n">
        <v>0.03</v>
      </c>
      <c r="L13" s="87" t="n">
        <v>0.03</v>
      </c>
      <c r="M13" s="87" t="n">
        <v>0.03</v>
      </c>
      <c r="N13" s="87" t="n">
        <v>0.03</v>
      </c>
      <c r="O13" s="87" t="n">
        <v>0.03</v>
      </c>
      <c r="P13" s="87" t="n">
        <v>0.03</v>
      </c>
      <c r="Q13" s="87" t="n">
        <v>0.03</v>
      </c>
      <c r="R13" s="87" t="n">
        <v>0.03</v>
      </c>
      <c r="S13" s="87" t="n">
        <v>0.03</v>
      </c>
      <c r="T13" s="87" t="n">
        <v>0.03</v>
      </c>
      <c r="U13" s="87" t="n">
        <v>0.03</v>
      </c>
      <c r="V13" s="87" t="n">
        <v>0.03</v>
      </c>
      <c r="W13" s="87" t="n">
        <v>0.03</v>
      </c>
      <c r="X13" s="87" t="n">
        <v>0.03</v>
      </c>
      <c r="Y13" s="87" t="n">
        <v>0.03</v>
      </c>
      <c r="Z13" s="87" t="n">
        <v>0.03</v>
      </c>
      <c r="AA13" s="87" t="n">
        <v>0.03</v>
      </c>
      <c r="AB13" s="87" t="n">
        <v>0.03</v>
      </c>
      <c r="AC13" s="87" t="n">
        <v>0.03</v>
      </c>
      <c r="AD13" s="87" t="n">
        <v>0.03</v>
      </c>
      <c r="AE13" s="87" t="n">
        <v>0.03</v>
      </c>
      <c r="AF13" s="87" t="n">
        <v>0.03</v>
      </c>
      <c r="AG13" s="87" t="n">
        <v>0.03</v>
      </c>
      <c r="AH13" s="87" t="n">
        <v>0.03</v>
      </c>
      <c r="AI13" s="87" t="n">
        <v>0.03</v>
      </c>
      <c r="AJ13" s="87" t="n">
        <v>0.03</v>
      </c>
      <c r="AK13" s="87" t="n">
        <v>0.03</v>
      </c>
      <c r="AL13" s="87" t="n">
        <v>0.03</v>
      </c>
      <c r="AM13" s="87" t="n">
        <v>0.03</v>
      </c>
    </row>
    <row r="14" customFormat="false" ht="21" hidden="false" customHeight="true" outlineLevel="0" collapsed="false">
      <c r="C14" s="86" t="s">
        <v>475</v>
      </c>
      <c r="D14" s="62" t="n">
        <v>0.01</v>
      </c>
      <c r="E14" s="62" t="n">
        <v>0.01</v>
      </c>
      <c r="F14" s="62" t="n">
        <v>0.01</v>
      </c>
      <c r="G14" s="62" t="n">
        <v>0.01</v>
      </c>
      <c r="H14" s="62" t="n">
        <v>0.01</v>
      </c>
      <c r="I14" s="62" t="n">
        <v>0.01</v>
      </c>
      <c r="J14" s="87" t="n">
        <v>0.01</v>
      </c>
      <c r="K14" s="87" t="n">
        <v>0.01</v>
      </c>
      <c r="L14" s="87" t="n">
        <v>0.01</v>
      </c>
      <c r="M14" s="87" t="n">
        <v>0.01</v>
      </c>
      <c r="N14" s="87" t="n">
        <v>0.01</v>
      </c>
      <c r="O14" s="87" t="n">
        <v>0.01</v>
      </c>
      <c r="P14" s="87" t="n">
        <v>0.01</v>
      </c>
      <c r="Q14" s="87" t="n">
        <v>0.01</v>
      </c>
      <c r="R14" s="87" t="n">
        <v>0.01</v>
      </c>
      <c r="S14" s="87" t="n">
        <v>0.01</v>
      </c>
      <c r="T14" s="87" t="n">
        <v>0.01</v>
      </c>
      <c r="U14" s="87" t="n">
        <v>0.01</v>
      </c>
      <c r="V14" s="87" t="n">
        <v>0.01</v>
      </c>
      <c r="W14" s="87" t="n">
        <v>0.01</v>
      </c>
      <c r="X14" s="87" t="n">
        <v>0.01</v>
      </c>
      <c r="Y14" s="87" t="n">
        <v>0.01</v>
      </c>
      <c r="Z14" s="87" t="n">
        <v>0.01</v>
      </c>
      <c r="AA14" s="87" t="n">
        <v>0.01</v>
      </c>
      <c r="AB14" s="87" t="n">
        <v>0.01</v>
      </c>
      <c r="AC14" s="87" t="n">
        <v>0.01</v>
      </c>
      <c r="AD14" s="87" t="n">
        <v>0.01</v>
      </c>
      <c r="AE14" s="87" t="n">
        <v>0.01</v>
      </c>
      <c r="AF14" s="87" t="n">
        <v>0.01</v>
      </c>
      <c r="AG14" s="87" t="n">
        <v>0.01</v>
      </c>
      <c r="AH14" s="87" t="n">
        <v>0.01</v>
      </c>
      <c r="AI14" s="87" t="n">
        <v>0.01</v>
      </c>
      <c r="AJ14" s="87" t="n">
        <v>0.01</v>
      </c>
      <c r="AK14" s="87" t="n">
        <v>0.01</v>
      </c>
      <c r="AL14" s="87" t="n">
        <v>0.01</v>
      </c>
      <c r="AM14" s="87" t="n">
        <v>0.01</v>
      </c>
    </row>
    <row r="15" customFormat="false" ht="21" hidden="false" customHeight="true" outlineLevel="0" collapsed="false">
      <c r="C15" s="56"/>
      <c r="D15" s="59"/>
      <c r="E15" s="59"/>
      <c r="F15" s="59"/>
      <c r="G15" s="59"/>
      <c r="H15" s="59"/>
      <c r="I15" s="59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</row>
    <row r="16" customFormat="false" ht="21" hidden="false" customHeight="true" outlineLevel="0" collapsed="false">
      <c r="C16" s="56"/>
      <c r="D16" s="59"/>
      <c r="E16" s="59"/>
      <c r="F16" s="59"/>
      <c r="G16" s="59"/>
      <c r="H16" s="59"/>
      <c r="I16" s="59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</row>
    <row r="17" customFormat="false" ht="21" hidden="false" customHeight="true" outlineLevel="0" collapsed="false">
      <c r="C17" s="86" t="s">
        <v>476</v>
      </c>
      <c r="D17" s="62" t="n">
        <v>0.15</v>
      </c>
      <c r="E17" s="62" t="n">
        <v>0.15</v>
      </c>
      <c r="F17" s="62" t="n">
        <v>0.15</v>
      </c>
      <c r="G17" s="62" t="n">
        <v>0.15</v>
      </c>
      <c r="H17" s="62" t="n">
        <v>0.15</v>
      </c>
      <c r="I17" s="62" t="n">
        <v>0.15</v>
      </c>
      <c r="J17" s="87" t="n">
        <v>0.15</v>
      </c>
      <c r="K17" s="87" t="n">
        <v>0.15</v>
      </c>
      <c r="L17" s="87" t="n">
        <v>0.15</v>
      </c>
      <c r="M17" s="87" t="n">
        <v>0.15</v>
      </c>
      <c r="N17" s="87" t="n">
        <v>0.15</v>
      </c>
      <c r="O17" s="87" t="n">
        <v>0.15</v>
      </c>
      <c r="P17" s="87" t="n">
        <v>0.15</v>
      </c>
      <c r="Q17" s="87" t="n">
        <v>0.15</v>
      </c>
      <c r="R17" s="87" t="n">
        <v>0.15</v>
      </c>
      <c r="S17" s="87" t="n">
        <v>0.15</v>
      </c>
      <c r="T17" s="87" t="n">
        <v>0.15</v>
      </c>
      <c r="U17" s="87" t="n">
        <v>0.15</v>
      </c>
      <c r="V17" s="87" t="n">
        <v>0.15</v>
      </c>
      <c r="W17" s="87" t="n">
        <v>0.15</v>
      </c>
      <c r="X17" s="87" t="n">
        <v>0.15</v>
      </c>
      <c r="Y17" s="87" t="n">
        <v>0.15</v>
      </c>
      <c r="Z17" s="87" t="n">
        <v>0.15</v>
      </c>
      <c r="AA17" s="87" t="n">
        <v>0.15</v>
      </c>
      <c r="AB17" s="87" t="n">
        <v>0.15</v>
      </c>
      <c r="AC17" s="87" t="n">
        <v>0.15</v>
      </c>
      <c r="AD17" s="87" t="n">
        <v>0.15</v>
      </c>
      <c r="AE17" s="87" t="n">
        <v>0.15</v>
      </c>
      <c r="AF17" s="87" t="n">
        <v>0.15</v>
      </c>
      <c r="AG17" s="87" t="n">
        <v>0.15</v>
      </c>
      <c r="AH17" s="87" t="n">
        <v>0.15</v>
      </c>
      <c r="AI17" s="87" t="n">
        <v>0.15</v>
      </c>
      <c r="AJ17" s="87" t="n">
        <v>0.15</v>
      </c>
      <c r="AK17" s="87" t="n">
        <v>0.15</v>
      </c>
      <c r="AL17" s="87" t="n">
        <v>0.15</v>
      </c>
      <c r="AM17" s="87" t="n">
        <v>0.15</v>
      </c>
    </row>
    <row r="18" customFormat="false" ht="21" hidden="false" customHeight="true" outlineLevel="0" collapsed="false">
      <c r="C18" s="86" t="s">
        <v>477</v>
      </c>
      <c r="D18" s="62" t="n">
        <v>-0.02</v>
      </c>
      <c r="E18" s="62" t="n">
        <v>-0.02</v>
      </c>
      <c r="F18" s="62" t="n">
        <v>-0.02</v>
      </c>
      <c r="G18" s="62" t="n">
        <v>-0.02</v>
      </c>
      <c r="H18" s="62" t="n">
        <v>-0.02</v>
      </c>
      <c r="I18" s="62" t="n">
        <v>-0.02</v>
      </c>
      <c r="J18" s="87" t="n">
        <v>-0.02</v>
      </c>
      <c r="K18" s="87" t="n">
        <v>-0.02</v>
      </c>
      <c r="L18" s="87" t="n">
        <v>-0.02</v>
      </c>
      <c r="M18" s="87" t="n">
        <v>-0.02</v>
      </c>
      <c r="N18" s="87" t="n">
        <v>-0.02</v>
      </c>
      <c r="O18" s="87" t="n">
        <v>-0.02</v>
      </c>
      <c r="P18" s="87" t="n">
        <v>-0.02</v>
      </c>
      <c r="Q18" s="87" t="n">
        <v>-0.02</v>
      </c>
      <c r="R18" s="87" t="n">
        <v>-0.02</v>
      </c>
      <c r="S18" s="87" t="n">
        <v>-0.02</v>
      </c>
      <c r="T18" s="87" t="n">
        <v>-0.02</v>
      </c>
      <c r="U18" s="87" t="n">
        <v>-0.02</v>
      </c>
      <c r="V18" s="87" t="n">
        <v>-0.02</v>
      </c>
      <c r="W18" s="87" t="n">
        <v>-0.02</v>
      </c>
      <c r="X18" s="87" t="n">
        <v>-0.02</v>
      </c>
      <c r="Y18" s="87" t="n">
        <v>-0.02</v>
      </c>
      <c r="Z18" s="87" t="n">
        <v>-0.02</v>
      </c>
      <c r="AA18" s="87" t="n">
        <v>-0.02</v>
      </c>
      <c r="AB18" s="87" t="n">
        <v>-0.02</v>
      </c>
      <c r="AC18" s="87" t="n">
        <v>-0.02</v>
      </c>
      <c r="AD18" s="87" t="n">
        <v>-0.02</v>
      </c>
      <c r="AE18" s="87" t="n">
        <v>-0.02</v>
      </c>
      <c r="AF18" s="87" t="n">
        <v>-0.02</v>
      </c>
      <c r="AG18" s="87" t="n">
        <v>-0.02</v>
      </c>
      <c r="AH18" s="87" t="n">
        <v>-0.02</v>
      </c>
      <c r="AI18" s="87" t="n">
        <v>-0.02</v>
      </c>
      <c r="AJ18" s="87" t="n">
        <v>-0.02</v>
      </c>
      <c r="AK18" s="87" t="n">
        <v>-0.02</v>
      </c>
      <c r="AL18" s="87" t="n">
        <v>-0.02</v>
      </c>
      <c r="AM18" s="87" t="n">
        <v>-0.02</v>
      </c>
    </row>
    <row r="19" customFormat="false" ht="21" hidden="false" customHeight="true" outlineLevel="0" collapsed="false">
      <c r="C19" s="56"/>
      <c r="D19" s="59"/>
      <c r="E19" s="59"/>
      <c r="F19" s="59"/>
      <c r="G19" s="59"/>
      <c r="H19" s="59"/>
      <c r="I19" s="59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</row>
    <row r="20" customFormat="false" ht="21" hidden="false" customHeight="true" outlineLevel="0" collapsed="false">
      <c r="C20" s="56"/>
      <c r="D20" s="59"/>
      <c r="E20" s="59"/>
      <c r="F20" s="59"/>
      <c r="G20" s="59"/>
      <c r="H20" s="59"/>
      <c r="I20" s="59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</row>
    <row r="21" customFormat="false" ht="21" hidden="false" customHeight="true" outlineLevel="0" collapsed="false">
      <c r="C21" s="56" t="s">
        <v>478</v>
      </c>
      <c r="D21" s="88" t="n">
        <v>0.02</v>
      </c>
      <c r="E21" s="88" t="n">
        <v>0</v>
      </c>
      <c r="F21" s="88" t="n">
        <v>0</v>
      </c>
      <c r="G21" s="88" t="n">
        <v>0</v>
      </c>
      <c r="H21" s="88" t="n">
        <v>0</v>
      </c>
      <c r="I21" s="88" t="n">
        <v>0</v>
      </c>
      <c r="J21" s="87" t="n">
        <v>0.02</v>
      </c>
      <c r="K21" s="87" t="n">
        <v>0</v>
      </c>
      <c r="L21" s="87" t="n">
        <v>0</v>
      </c>
      <c r="M21" s="87" t="n">
        <v>0</v>
      </c>
      <c r="N21" s="87" t="n">
        <v>0</v>
      </c>
      <c r="O21" s="87" t="n">
        <v>0</v>
      </c>
      <c r="P21" s="87" t="n">
        <v>0.02</v>
      </c>
      <c r="Q21" s="87" t="n">
        <v>0</v>
      </c>
      <c r="R21" s="87" t="n">
        <v>0</v>
      </c>
      <c r="S21" s="87" t="n">
        <v>0</v>
      </c>
      <c r="T21" s="87" t="n">
        <v>0</v>
      </c>
      <c r="U21" s="87" t="n">
        <v>0</v>
      </c>
      <c r="V21" s="87" t="n">
        <v>0</v>
      </c>
      <c r="W21" s="87" t="n">
        <v>0</v>
      </c>
      <c r="X21" s="87" t="n">
        <v>0</v>
      </c>
      <c r="Y21" s="87" t="n">
        <v>0</v>
      </c>
      <c r="Z21" s="87" t="n">
        <v>0</v>
      </c>
      <c r="AA21" s="87" t="n">
        <v>0</v>
      </c>
      <c r="AB21" s="87" t="n">
        <v>0.02</v>
      </c>
      <c r="AC21" s="87" t="n">
        <v>0</v>
      </c>
      <c r="AD21" s="87" t="n">
        <v>0</v>
      </c>
      <c r="AE21" s="87" t="n">
        <v>0</v>
      </c>
      <c r="AF21" s="87" t="n">
        <v>0</v>
      </c>
      <c r="AG21" s="87" t="n">
        <v>0</v>
      </c>
      <c r="AH21" s="87" t="n">
        <v>0</v>
      </c>
      <c r="AI21" s="87" t="n">
        <v>0</v>
      </c>
      <c r="AJ21" s="87" t="n">
        <v>0</v>
      </c>
      <c r="AK21" s="87" t="n">
        <v>0</v>
      </c>
      <c r="AL21" s="87" t="n">
        <v>0</v>
      </c>
      <c r="AM21" s="87" t="n">
        <v>0</v>
      </c>
    </row>
    <row r="22" customFormat="false" ht="21" hidden="false" customHeight="true" outlineLevel="0" collapsed="false">
      <c r="C22" s="56" t="s">
        <v>479</v>
      </c>
      <c r="D22" s="88" t="n">
        <v>0.02</v>
      </c>
      <c r="E22" s="88" t="n">
        <v>0</v>
      </c>
      <c r="F22" s="88" t="n">
        <v>0</v>
      </c>
      <c r="G22" s="88" t="n">
        <v>0</v>
      </c>
      <c r="H22" s="88" t="n">
        <v>0</v>
      </c>
      <c r="I22" s="88" t="n">
        <v>0</v>
      </c>
      <c r="J22" s="87" t="n">
        <v>0.02</v>
      </c>
      <c r="K22" s="87" t="n">
        <v>0</v>
      </c>
      <c r="L22" s="87" t="n">
        <v>0</v>
      </c>
      <c r="M22" s="87" t="n">
        <v>0</v>
      </c>
      <c r="N22" s="87" t="n">
        <v>0</v>
      </c>
      <c r="O22" s="87" t="n">
        <v>0</v>
      </c>
      <c r="P22" s="87" t="n">
        <v>0.02</v>
      </c>
      <c r="Q22" s="87" t="n">
        <v>0</v>
      </c>
      <c r="R22" s="87" t="n">
        <v>0</v>
      </c>
      <c r="S22" s="87" t="n">
        <v>0</v>
      </c>
      <c r="T22" s="87" t="n">
        <v>0</v>
      </c>
      <c r="U22" s="87" t="n">
        <v>0</v>
      </c>
      <c r="V22" s="87" t="n">
        <v>0</v>
      </c>
      <c r="W22" s="87" t="n">
        <v>0</v>
      </c>
      <c r="X22" s="87" t="n">
        <v>0</v>
      </c>
      <c r="Y22" s="87" t="n">
        <v>0</v>
      </c>
      <c r="Z22" s="87" t="n">
        <v>0</v>
      </c>
      <c r="AA22" s="87" t="n">
        <v>0</v>
      </c>
      <c r="AB22" s="87" t="n">
        <v>0.02</v>
      </c>
      <c r="AC22" s="87" t="n">
        <v>0</v>
      </c>
      <c r="AD22" s="87" t="n">
        <v>0</v>
      </c>
      <c r="AE22" s="87" t="n">
        <v>0</v>
      </c>
      <c r="AF22" s="87" t="n">
        <v>0</v>
      </c>
      <c r="AG22" s="87" t="n">
        <v>0</v>
      </c>
      <c r="AH22" s="87" t="n">
        <v>0</v>
      </c>
      <c r="AI22" s="87" t="n">
        <v>0</v>
      </c>
      <c r="AJ22" s="87" t="n">
        <v>0</v>
      </c>
      <c r="AK22" s="87" t="n">
        <v>0</v>
      </c>
      <c r="AL22" s="87" t="n">
        <v>0</v>
      </c>
      <c r="AM22" s="87" t="n">
        <v>0</v>
      </c>
    </row>
    <row r="23" customFormat="false" ht="21" hidden="false" customHeight="true" outlineLevel="0" collapsed="false">
      <c r="C23" s="56" t="s">
        <v>480</v>
      </c>
      <c r="D23" s="88" t="n">
        <v>0.03</v>
      </c>
      <c r="E23" s="88" t="n">
        <v>0</v>
      </c>
      <c r="F23" s="88" t="n">
        <v>0</v>
      </c>
      <c r="G23" s="88" t="n">
        <v>0</v>
      </c>
      <c r="H23" s="88" t="n">
        <v>0</v>
      </c>
      <c r="I23" s="88" t="n">
        <v>0</v>
      </c>
      <c r="J23" s="87" t="n">
        <v>0.03</v>
      </c>
      <c r="K23" s="87" t="n">
        <v>0</v>
      </c>
      <c r="L23" s="87" t="n">
        <v>0</v>
      </c>
      <c r="M23" s="87" t="n">
        <v>0</v>
      </c>
      <c r="N23" s="87" t="n">
        <v>0</v>
      </c>
      <c r="O23" s="87" t="n">
        <v>0</v>
      </c>
      <c r="P23" s="87" t="n">
        <v>0.03</v>
      </c>
      <c r="Q23" s="87" t="n">
        <v>0</v>
      </c>
      <c r="R23" s="87" t="n">
        <v>0</v>
      </c>
      <c r="S23" s="87" t="n">
        <v>0</v>
      </c>
      <c r="T23" s="87" t="n">
        <v>0</v>
      </c>
      <c r="U23" s="87" t="n">
        <v>0</v>
      </c>
      <c r="V23" s="87" t="n">
        <v>0</v>
      </c>
      <c r="W23" s="87" t="n">
        <v>0</v>
      </c>
      <c r="X23" s="87" t="n">
        <v>0</v>
      </c>
      <c r="Y23" s="87" t="n">
        <v>0</v>
      </c>
      <c r="Z23" s="87" t="n">
        <v>0</v>
      </c>
      <c r="AA23" s="87" t="n">
        <v>0</v>
      </c>
      <c r="AB23" s="87" t="n">
        <v>0.03</v>
      </c>
      <c r="AC23" s="87" t="n">
        <v>0</v>
      </c>
      <c r="AD23" s="87" t="n">
        <v>0</v>
      </c>
      <c r="AE23" s="87" t="n">
        <v>0</v>
      </c>
      <c r="AF23" s="87" t="n">
        <v>0</v>
      </c>
      <c r="AG23" s="87" t="n">
        <v>0</v>
      </c>
      <c r="AH23" s="87" t="n">
        <v>0</v>
      </c>
      <c r="AI23" s="87" t="n">
        <v>0</v>
      </c>
      <c r="AJ23" s="87" t="n">
        <v>0</v>
      </c>
      <c r="AK23" s="87" t="n">
        <v>0</v>
      </c>
      <c r="AL23" s="87" t="n">
        <v>0</v>
      </c>
      <c r="AM23" s="87" t="n">
        <v>0</v>
      </c>
    </row>
    <row r="24" customFormat="false" ht="21" hidden="false" customHeight="true" outlineLevel="0" collapsed="false">
      <c r="C24" s="56"/>
      <c r="D24" s="59"/>
      <c r="E24" s="59"/>
      <c r="F24" s="59"/>
      <c r="G24" s="59"/>
      <c r="H24" s="59"/>
      <c r="I24" s="59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</row>
    <row r="25" customFormat="false" ht="21" hidden="false" customHeight="true" outlineLevel="0" collapsed="false">
      <c r="C25" s="86" t="s">
        <v>481</v>
      </c>
      <c r="D25" s="89" t="n">
        <v>21.5924688547545</v>
      </c>
      <c r="E25" s="89" t="n">
        <v>21.5924688547545</v>
      </c>
      <c r="F25" s="89" t="n">
        <v>21.5924688547545</v>
      </c>
      <c r="G25" s="89" t="n">
        <v>21.5924688547545</v>
      </c>
      <c r="H25" s="89" t="n">
        <v>21.5924688547545</v>
      </c>
      <c r="I25" s="89" t="n">
        <v>21.5924688547545</v>
      </c>
      <c r="J25" s="90" t="n">
        <v>21.5924688547545</v>
      </c>
      <c r="K25" s="90" t="n">
        <v>21.5924688547545</v>
      </c>
      <c r="L25" s="90" t="n">
        <v>21.5924688547545</v>
      </c>
      <c r="M25" s="90" t="n">
        <v>21.5924688547545</v>
      </c>
      <c r="N25" s="90" t="n">
        <v>21.5924688547545</v>
      </c>
      <c r="O25" s="90" t="n">
        <v>21.5924688547545</v>
      </c>
      <c r="P25" s="90" t="n">
        <v>21.5924688547545</v>
      </c>
      <c r="Q25" s="90" t="n">
        <v>21.5924688547545</v>
      </c>
      <c r="R25" s="90" t="n">
        <v>21.5924688547545</v>
      </c>
      <c r="S25" s="90" t="n">
        <v>21.5924688547545</v>
      </c>
      <c r="T25" s="90" t="n">
        <v>21.5924688547545</v>
      </c>
      <c r="U25" s="90" t="n">
        <v>21.5924688547545</v>
      </c>
      <c r="V25" s="90" t="n">
        <v>21.5924688547545</v>
      </c>
      <c r="W25" s="90" t="n">
        <v>21.5924688547545</v>
      </c>
      <c r="X25" s="90" t="n">
        <v>21.5924688547545</v>
      </c>
      <c r="Y25" s="90" t="n">
        <v>21.5924688547545</v>
      </c>
      <c r="Z25" s="90" t="n">
        <v>21.5924688547545</v>
      </c>
      <c r="AA25" s="90" t="n">
        <v>21.5924688547545</v>
      </c>
      <c r="AB25" s="90" t="n">
        <v>21.5924688547545</v>
      </c>
      <c r="AC25" s="90" t="n">
        <v>21.5924688547545</v>
      </c>
      <c r="AD25" s="90" t="n">
        <v>21.5924688547545</v>
      </c>
      <c r="AE25" s="90" t="n">
        <v>21.5924688547545</v>
      </c>
      <c r="AF25" s="90" t="n">
        <v>21.5924688547545</v>
      </c>
      <c r="AG25" s="90" t="n">
        <v>21.5924688547545</v>
      </c>
      <c r="AH25" s="90" t="n">
        <v>21.5924688547545</v>
      </c>
      <c r="AI25" s="90" t="n">
        <v>21.5924688547545</v>
      </c>
      <c r="AJ25" s="90" t="n">
        <v>21.5924688547545</v>
      </c>
      <c r="AK25" s="90" t="n">
        <v>21.5924688547545</v>
      </c>
      <c r="AL25" s="90" t="n">
        <v>21.5924688547545</v>
      </c>
      <c r="AM25" s="90" t="n">
        <v>21.5924688547545</v>
      </c>
    </row>
    <row r="26" customFormat="false" ht="21" hidden="false" customHeight="true" outlineLevel="0" collapsed="false">
      <c r="C26" s="86" t="s">
        <v>482</v>
      </c>
      <c r="D26" s="89" t="n">
        <v>24.2706827058605</v>
      </c>
      <c r="E26" s="89" t="n">
        <v>24.2706827058605</v>
      </c>
      <c r="F26" s="89" t="n">
        <v>24.2706827058605</v>
      </c>
      <c r="G26" s="89" t="n">
        <v>24.2706827058605</v>
      </c>
      <c r="H26" s="89" t="n">
        <v>24.2706827058605</v>
      </c>
      <c r="I26" s="89" t="n">
        <v>24.2706827058605</v>
      </c>
      <c r="J26" s="90" t="n">
        <v>24.2706827058605</v>
      </c>
      <c r="K26" s="90" t="n">
        <v>24.2706827058605</v>
      </c>
      <c r="L26" s="90" t="n">
        <v>24.2706827058605</v>
      </c>
      <c r="M26" s="90" t="n">
        <v>24.2706827058605</v>
      </c>
      <c r="N26" s="90" t="n">
        <v>24.2706827058605</v>
      </c>
      <c r="O26" s="90" t="n">
        <v>24.2706827058605</v>
      </c>
      <c r="P26" s="90" t="n">
        <v>24.2706827058605</v>
      </c>
      <c r="Q26" s="90" t="n">
        <v>24.2706827058605</v>
      </c>
      <c r="R26" s="90" t="n">
        <v>24.2706827058605</v>
      </c>
      <c r="S26" s="90" t="n">
        <v>24.2706827058605</v>
      </c>
      <c r="T26" s="90" t="n">
        <v>24.2706827058605</v>
      </c>
      <c r="U26" s="90" t="n">
        <v>24.2706827058605</v>
      </c>
      <c r="V26" s="90" t="n">
        <v>24.2706827058605</v>
      </c>
      <c r="W26" s="90" t="n">
        <v>24.2706827058605</v>
      </c>
      <c r="X26" s="90" t="n">
        <v>24.2706827058605</v>
      </c>
      <c r="Y26" s="90" t="n">
        <v>24.2706827058605</v>
      </c>
      <c r="Z26" s="90" t="n">
        <v>24.2706827058605</v>
      </c>
      <c r="AA26" s="90" t="n">
        <v>24.2706827058605</v>
      </c>
      <c r="AB26" s="90" t="n">
        <v>24.2706827058605</v>
      </c>
      <c r="AC26" s="90" t="n">
        <v>24.2706827058605</v>
      </c>
      <c r="AD26" s="90" t="n">
        <v>24.2706827058605</v>
      </c>
      <c r="AE26" s="90" t="n">
        <v>24.2706827058605</v>
      </c>
      <c r="AF26" s="90" t="n">
        <v>24.2706827058605</v>
      </c>
      <c r="AG26" s="90" t="n">
        <v>24.2706827058605</v>
      </c>
      <c r="AH26" s="90" t="n">
        <v>24.2706827058605</v>
      </c>
      <c r="AI26" s="90" t="n">
        <v>24.2706827058605</v>
      </c>
      <c r="AJ26" s="90" t="n">
        <v>24.2706827058605</v>
      </c>
      <c r="AK26" s="90" t="n">
        <v>24.2706827058605</v>
      </c>
      <c r="AL26" s="90" t="n">
        <v>24.2706827058605</v>
      </c>
      <c r="AM26" s="90" t="n">
        <v>24.2706827058605</v>
      </c>
    </row>
    <row r="27" customFormat="false" ht="21" hidden="false" customHeight="true" outlineLevel="0" collapsed="false">
      <c r="C27" s="86" t="s">
        <v>483</v>
      </c>
      <c r="D27" s="89" t="n">
        <v>45.0304572441977</v>
      </c>
      <c r="E27" s="89" t="n">
        <v>45.0304572441977</v>
      </c>
      <c r="F27" s="89" t="n">
        <v>45.0304572441977</v>
      </c>
      <c r="G27" s="89" t="n">
        <v>45.0304572441977</v>
      </c>
      <c r="H27" s="89" t="n">
        <v>45.0304572441977</v>
      </c>
      <c r="I27" s="89" t="n">
        <v>45.0304572441977</v>
      </c>
      <c r="J27" s="90" t="n">
        <v>45.0304572441977</v>
      </c>
      <c r="K27" s="90" t="n">
        <v>45.0304572441977</v>
      </c>
      <c r="L27" s="90" t="n">
        <v>45.0304572441977</v>
      </c>
      <c r="M27" s="90" t="n">
        <v>45.0304572441977</v>
      </c>
      <c r="N27" s="90" t="n">
        <v>45.0304572441977</v>
      </c>
      <c r="O27" s="90" t="n">
        <v>45.0304572441977</v>
      </c>
      <c r="P27" s="90" t="n">
        <v>45.0304572441977</v>
      </c>
      <c r="Q27" s="90" t="n">
        <v>45.0304572441977</v>
      </c>
      <c r="R27" s="90" t="n">
        <v>45.0304572441977</v>
      </c>
      <c r="S27" s="90" t="n">
        <v>45.0304572441977</v>
      </c>
      <c r="T27" s="90" t="n">
        <v>45.0304572441977</v>
      </c>
      <c r="U27" s="90" t="n">
        <v>45.0304572441977</v>
      </c>
      <c r="V27" s="90" t="n">
        <v>45.0304572441977</v>
      </c>
      <c r="W27" s="90" t="n">
        <v>45.0304572441977</v>
      </c>
      <c r="X27" s="90" t="n">
        <v>45.0304572441977</v>
      </c>
      <c r="Y27" s="90" t="n">
        <v>45.0304572441977</v>
      </c>
      <c r="Z27" s="90" t="n">
        <v>45.0304572441977</v>
      </c>
      <c r="AA27" s="90" t="n">
        <v>45.0304572441977</v>
      </c>
      <c r="AB27" s="90" t="n">
        <v>45.0304572441977</v>
      </c>
      <c r="AC27" s="90" t="n">
        <v>45.0304572441977</v>
      </c>
      <c r="AD27" s="90" t="n">
        <v>45.0304572441977</v>
      </c>
      <c r="AE27" s="90" t="n">
        <v>45.0304572441977</v>
      </c>
      <c r="AF27" s="90" t="n">
        <v>45.0304572441977</v>
      </c>
      <c r="AG27" s="90" t="n">
        <v>45.0304572441977</v>
      </c>
      <c r="AH27" s="90" t="n">
        <v>45.0304572441977</v>
      </c>
      <c r="AI27" s="90" t="n">
        <v>45.0304572441977</v>
      </c>
      <c r="AJ27" s="90" t="n">
        <v>45.0304572441977</v>
      </c>
      <c r="AK27" s="90" t="n">
        <v>45.0304572441977</v>
      </c>
      <c r="AL27" s="90" t="n">
        <v>45.0304572441977</v>
      </c>
      <c r="AM27" s="90" t="n">
        <v>45.0304572441977</v>
      </c>
    </row>
    <row r="28" customFormat="false" ht="21" hidden="false" customHeight="true" outlineLevel="0" collapsed="false">
      <c r="C28" s="56"/>
      <c r="D28" s="59"/>
      <c r="E28" s="59"/>
      <c r="F28" s="59"/>
      <c r="G28" s="59"/>
      <c r="H28" s="59"/>
      <c r="I28" s="59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</row>
    <row r="29" customFormat="false" ht="21" hidden="false" customHeight="true" outlineLevel="0" collapsed="false">
      <c r="C29" s="56" t="s">
        <v>484</v>
      </c>
      <c r="D29" s="89" t="n">
        <v>4.74942035102921</v>
      </c>
      <c r="E29" s="89" t="n">
        <v>4.74942035102921</v>
      </c>
      <c r="F29" s="89" t="n">
        <v>4.74942035102921</v>
      </c>
      <c r="G29" s="89" t="n">
        <v>4.74942035102921</v>
      </c>
      <c r="H29" s="89" t="n">
        <v>4.74942035102921</v>
      </c>
      <c r="I29" s="89" t="n">
        <v>4.74942035102921</v>
      </c>
      <c r="J29" s="90" t="n">
        <v>4.74942035102921</v>
      </c>
      <c r="K29" s="90" t="n">
        <v>4.74942035102921</v>
      </c>
      <c r="L29" s="90" t="n">
        <v>4.74942035102921</v>
      </c>
      <c r="M29" s="90" t="n">
        <v>4.74942035102921</v>
      </c>
      <c r="N29" s="90" t="n">
        <v>4.74942035102921</v>
      </c>
      <c r="O29" s="90" t="n">
        <v>4.74942035102921</v>
      </c>
      <c r="P29" s="90" t="n">
        <v>4.74942035102921</v>
      </c>
      <c r="Q29" s="90" t="n">
        <v>4.74942035102921</v>
      </c>
      <c r="R29" s="90" t="n">
        <v>4.74942035102921</v>
      </c>
      <c r="S29" s="90" t="n">
        <v>4.74942035102921</v>
      </c>
      <c r="T29" s="90" t="n">
        <v>4.74942035102921</v>
      </c>
      <c r="U29" s="90" t="n">
        <v>4.74942035102921</v>
      </c>
      <c r="V29" s="90" t="n">
        <v>4.74942035102921</v>
      </c>
      <c r="W29" s="90" t="n">
        <v>4.74942035102921</v>
      </c>
      <c r="X29" s="90" t="n">
        <v>4.74942035102921</v>
      </c>
      <c r="Y29" s="90" t="n">
        <v>4.74942035102921</v>
      </c>
      <c r="Z29" s="90" t="n">
        <v>4.74942035102921</v>
      </c>
      <c r="AA29" s="90" t="n">
        <v>4.74942035102921</v>
      </c>
      <c r="AB29" s="90" t="n">
        <v>4.74942035102921</v>
      </c>
      <c r="AC29" s="90" t="n">
        <v>4.74942035102921</v>
      </c>
      <c r="AD29" s="90" t="n">
        <v>4.74942035102921</v>
      </c>
      <c r="AE29" s="90" t="n">
        <v>4.74942035102921</v>
      </c>
      <c r="AF29" s="90" t="n">
        <v>4.74942035102921</v>
      </c>
      <c r="AG29" s="90" t="n">
        <v>4.74942035102921</v>
      </c>
      <c r="AH29" s="90" t="n">
        <v>4.74942035102921</v>
      </c>
      <c r="AI29" s="90" t="n">
        <v>4.74942035102921</v>
      </c>
      <c r="AJ29" s="90" t="n">
        <v>4.74942035102921</v>
      </c>
      <c r="AK29" s="90" t="n">
        <v>4.74942035102921</v>
      </c>
      <c r="AL29" s="90" t="n">
        <v>4.74942035102921</v>
      </c>
      <c r="AM29" s="90" t="n">
        <v>4.74942035102921</v>
      </c>
    </row>
    <row r="30" customFormat="false" ht="21" hidden="false" customHeight="true" outlineLevel="0" collapsed="false">
      <c r="C30" s="56" t="s">
        <v>485</v>
      </c>
      <c r="D30" s="89" t="n">
        <v>7.61898432720929</v>
      </c>
      <c r="E30" s="89" t="n">
        <v>7.61898432720929</v>
      </c>
      <c r="F30" s="89" t="n">
        <v>7.61898432720929</v>
      </c>
      <c r="G30" s="89" t="n">
        <v>7.61898432720929</v>
      </c>
      <c r="H30" s="89" t="n">
        <v>7.61898432720929</v>
      </c>
      <c r="I30" s="89" t="n">
        <v>7.61898432720929</v>
      </c>
      <c r="J30" s="90" t="n">
        <v>7.61898432720929</v>
      </c>
      <c r="K30" s="90" t="n">
        <v>7.61898432720929</v>
      </c>
      <c r="L30" s="90" t="n">
        <v>7.61898432720929</v>
      </c>
      <c r="M30" s="90" t="n">
        <v>7.61898432720929</v>
      </c>
      <c r="N30" s="90" t="n">
        <v>7.61898432720929</v>
      </c>
      <c r="O30" s="90" t="n">
        <v>7.61898432720929</v>
      </c>
      <c r="P30" s="90" t="n">
        <v>7.61898432720929</v>
      </c>
      <c r="Q30" s="90" t="n">
        <v>7.61898432720929</v>
      </c>
      <c r="R30" s="90" t="n">
        <v>7.61898432720929</v>
      </c>
      <c r="S30" s="90" t="n">
        <v>7.61898432720929</v>
      </c>
      <c r="T30" s="90" t="n">
        <v>7.61898432720929</v>
      </c>
      <c r="U30" s="90" t="n">
        <v>7.61898432720929</v>
      </c>
      <c r="V30" s="90" t="n">
        <v>7.61898432720929</v>
      </c>
      <c r="W30" s="90" t="n">
        <v>7.61898432720929</v>
      </c>
      <c r="X30" s="90" t="n">
        <v>7.61898432720929</v>
      </c>
      <c r="Y30" s="90" t="n">
        <v>7.61898432720929</v>
      </c>
      <c r="Z30" s="90" t="n">
        <v>7.61898432720929</v>
      </c>
      <c r="AA30" s="90" t="n">
        <v>7.61898432720929</v>
      </c>
      <c r="AB30" s="90" t="n">
        <v>7.61898432720929</v>
      </c>
      <c r="AC30" s="90" t="n">
        <v>7.61898432720929</v>
      </c>
      <c r="AD30" s="90" t="n">
        <v>7.61898432720929</v>
      </c>
      <c r="AE30" s="90" t="n">
        <v>7.61898432720929</v>
      </c>
      <c r="AF30" s="90" t="n">
        <v>7.61898432720929</v>
      </c>
      <c r="AG30" s="90" t="n">
        <v>7.61898432720929</v>
      </c>
      <c r="AH30" s="90" t="n">
        <v>7.61898432720929</v>
      </c>
      <c r="AI30" s="90" t="n">
        <v>7.61898432720929</v>
      </c>
      <c r="AJ30" s="90" t="n">
        <v>7.61898432720929</v>
      </c>
      <c r="AK30" s="90" t="n">
        <v>7.61898432720929</v>
      </c>
      <c r="AL30" s="90" t="n">
        <v>7.61898432720929</v>
      </c>
      <c r="AM30" s="90" t="n">
        <v>7.61898432720929</v>
      </c>
    </row>
    <row r="31" customFormat="false" ht="21" hidden="false" customHeight="true" outlineLevel="0" collapsed="false">
      <c r="C31" s="56" t="s">
        <v>486</v>
      </c>
      <c r="D31" s="88" t="n">
        <v>0.0813724026946397</v>
      </c>
      <c r="E31" s="88" t="n">
        <v>0.0813724026946397</v>
      </c>
      <c r="F31" s="88" t="n">
        <v>0.0813724026946397</v>
      </c>
      <c r="G31" s="88" t="n">
        <v>0.0813724026946397</v>
      </c>
      <c r="H31" s="88" t="n">
        <v>0.0813724026946397</v>
      </c>
      <c r="I31" s="88" t="n">
        <v>0.0813724026946397</v>
      </c>
      <c r="J31" s="87" t="n">
        <v>0.0813724026946397</v>
      </c>
      <c r="K31" s="87" t="n">
        <v>0.0813724026946397</v>
      </c>
      <c r="L31" s="87" t="n">
        <v>0.0813724026946397</v>
      </c>
      <c r="M31" s="87" t="n">
        <v>0.0813724026946397</v>
      </c>
      <c r="N31" s="87" t="n">
        <v>0.0813724026946397</v>
      </c>
      <c r="O31" s="87" t="n">
        <v>0.0813724026946397</v>
      </c>
      <c r="P31" s="87" t="n">
        <v>0.0813724026946397</v>
      </c>
      <c r="Q31" s="87" t="n">
        <v>0.0813724026946397</v>
      </c>
      <c r="R31" s="87" t="n">
        <v>0.0813724026946397</v>
      </c>
      <c r="S31" s="87" t="n">
        <v>0.0813724026946397</v>
      </c>
      <c r="T31" s="87" t="n">
        <v>0.0813724026946397</v>
      </c>
      <c r="U31" s="87" t="n">
        <v>0.0813724026946397</v>
      </c>
      <c r="V31" s="87" t="n">
        <v>0.0813724026946397</v>
      </c>
      <c r="W31" s="87" t="n">
        <v>0.0813724026946397</v>
      </c>
      <c r="X31" s="87" t="n">
        <v>0.0813724026946397</v>
      </c>
      <c r="Y31" s="87" t="n">
        <v>0.0813724026946397</v>
      </c>
      <c r="Z31" s="87" t="n">
        <v>0.0813724026946397</v>
      </c>
      <c r="AA31" s="87" t="n">
        <v>0.0813724026946397</v>
      </c>
      <c r="AB31" s="87" t="n">
        <v>0.0813724026946397</v>
      </c>
      <c r="AC31" s="87" t="n">
        <v>0.0813724026946397</v>
      </c>
      <c r="AD31" s="87" t="n">
        <v>0.0813724026946397</v>
      </c>
      <c r="AE31" s="87" t="n">
        <v>0.0813724026946397</v>
      </c>
      <c r="AF31" s="87" t="n">
        <v>0.0813724026946397</v>
      </c>
      <c r="AG31" s="87" t="n">
        <v>0.0813724026946397</v>
      </c>
      <c r="AH31" s="87" t="n">
        <v>0.0813724026946397</v>
      </c>
      <c r="AI31" s="87" t="n">
        <v>0.0813724026946397</v>
      </c>
      <c r="AJ31" s="87" t="n">
        <v>0.0813724026946397</v>
      </c>
      <c r="AK31" s="87" t="n">
        <v>0.0813724026946397</v>
      </c>
      <c r="AL31" s="87" t="n">
        <v>0.0813724026946397</v>
      </c>
      <c r="AM31" s="87" t="n">
        <v>0.0813724026946397</v>
      </c>
    </row>
    <row r="32" customFormat="false" ht="21" hidden="false" customHeight="true" outlineLevel="0" collapsed="false">
      <c r="C32" s="56" t="s">
        <v>487</v>
      </c>
      <c r="D32" s="89" t="n">
        <v>108.237856301742</v>
      </c>
      <c r="E32" s="89" t="n">
        <v>108.237856301742</v>
      </c>
      <c r="F32" s="89" t="n">
        <v>108.237856301742</v>
      </c>
      <c r="G32" s="89" t="n">
        <v>108.237856301742</v>
      </c>
      <c r="H32" s="89" t="n">
        <v>108.237856301742</v>
      </c>
      <c r="I32" s="89" t="n">
        <v>108.237856301742</v>
      </c>
      <c r="J32" s="90" t="n">
        <v>108.237856301742</v>
      </c>
      <c r="K32" s="90" t="n">
        <v>108.237856301742</v>
      </c>
      <c r="L32" s="90" t="n">
        <v>108.237856301742</v>
      </c>
      <c r="M32" s="90" t="n">
        <v>108.237856301742</v>
      </c>
      <c r="N32" s="90" t="n">
        <v>108.237856301742</v>
      </c>
      <c r="O32" s="90" t="n">
        <v>108.237856301742</v>
      </c>
      <c r="P32" s="90" t="n">
        <v>108.237856301742</v>
      </c>
      <c r="Q32" s="90" t="n">
        <v>108.237856301742</v>
      </c>
      <c r="R32" s="90" t="n">
        <v>108.237856301742</v>
      </c>
      <c r="S32" s="90" t="n">
        <v>108.237856301742</v>
      </c>
      <c r="T32" s="90" t="n">
        <v>108.237856301742</v>
      </c>
      <c r="U32" s="90" t="n">
        <v>108.237856301742</v>
      </c>
      <c r="V32" s="90" t="n">
        <v>108.237856301742</v>
      </c>
      <c r="W32" s="90" t="n">
        <v>108.237856301742</v>
      </c>
      <c r="X32" s="90" t="n">
        <v>108.237856301742</v>
      </c>
      <c r="Y32" s="90" t="n">
        <v>108.237856301742</v>
      </c>
      <c r="Z32" s="90" t="n">
        <v>108.237856301742</v>
      </c>
      <c r="AA32" s="90" t="n">
        <v>108.237856301742</v>
      </c>
      <c r="AB32" s="90" t="n">
        <v>108.237856301742</v>
      </c>
      <c r="AC32" s="90" t="n">
        <v>108.237856301742</v>
      </c>
      <c r="AD32" s="90" t="n">
        <v>108.237856301742</v>
      </c>
      <c r="AE32" s="90" t="n">
        <v>108.237856301742</v>
      </c>
      <c r="AF32" s="90" t="n">
        <v>108.237856301742</v>
      </c>
      <c r="AG32" s="90" t="n">
        <v>108.237856301742</v>
      </c>
      <c r="AH32" s="90" t="n">
        <v>108.237856301742</v>
      </c>
      <c r="AI32" s="90" t="n">
        <v>108.237856301742</v>
      </c>
      <c r="AJ32" s="90" t="n">
        <v>108.237856301742</v>
      </c>
      <c r="AK32" s="90" t="n">
        <v>108.237856301742</v>
      </c>
      <c r="AL32" s="90" t="n">
        <v>108.237856301742</v>
      </c>
      <c r="AM32" s="90" t="n">
        <v>108.237856301742</v>
      </c>
    </row>
    <row r="33" customFormat="false" ht="21" hidden="false" customHeight="true" outlineLevel="0" collapsed="false">
      <c r="C33" s="56" t="s">
        <v>488</v>
      </c>
      <c r="D33" s="89" t="n">
        <v>0</v>
      </c>
      <c r="E33" s="89" t="n">
        <v>0</v>
      </c>
      <c r="F33" s="89" t="n">
        <v>0</v>
      </c>
      <c r="G33" s="89" t="n">
        <v>0</v>
      </c>
      <c r="H33" s="89" t="n">
        <v>0</v>
      </c>
      <c r="I33" s="89" t="n">
        <v>0</v>
      </c>
      <c r="J33" s="90" t="n">
        <v>0</v>
      </c>
      <c r="K33" s="90" t="n">
        <v>0</v>
      </c>
      <c r="L33" s="90" t="n">
        <v>0</v>
      </c>
      <c r="M33" s="90" t="n">
        <v>0</v>
      </c>
      <c r="N33" s="90" t="n">
        <v>0</v>
      </c>
      <c r="O33" s="90" t="n">
        <v>0</v>
      </c>
      <c r="P33" s="90" t="n">
        <v>0</v>
      </c>
      <c r="Q33" s="90" t="n">
        <v>0</v>
      </c>
      <c r="R33" s="90" t="n">
        <v>0</v>
      </c>
      <c r="S33" s="90" t="n">
        <v>0</v>
      </c>
      <c r="T33" s="90" t="n">
        <v>0</v>
      </c>
      <c r="U33" s="90" t="n">
        <v>0</v>
      </c>
      <c r="V33" s="90" t="n">
        <v>0</v>
      </c>
      <c r="W33" s="90" t="n">
        <v>0</v>
      </c>
      <c r="X33" s="90" t="n">
        <v>0</v>
      </c>
      <c r="Y33" s="90" t="n">
        <v>0</v>
      </c>
      <c r="Z33" s="90" t="n">
        <v>0</v>
      </c>
      <c r="AA33" s="90" t="n">
        <v>0</v>
      </c>
      <c r="AB33" s="90" t="n">
        <v>0</v>
      </c>
      <c r="AC33" s="90" t="n">
        <v>0</v>
      </c>
      <c r="AD33" s="90" t="n">
        <v>0</v>
      </c>
      <c r="AE33" s="90" t="n">
        <v>0</v>
      </c>
      <c r="AF33" s="90" t="n">
        <v>0</v>
      </c>
      <c r="AG33" s="90" t="n">
        <v>0</v>
      </c>
      <c r="AH33" s="90" t="n">
        <v>0</v>
      </c>
      <c r="AI33" s="90" t="n">
        <v>0</v>
      </c>
      <c r="AJ33" s="90" t="n">
        <v>0</v>
      </c>
      <c r="AK33" s="90" t="n">
        <v>0</v>
      </c>
      <c r="AL33" s="90" t="n">
        <v>0</v>
      </c>
      <c r="AM33" s="90" t="n">
        <v>0</v>
      </c>
    </row>
    <row r="34" customFormat="false" ht="21" hidden="false" customHeight="true" outlineLevel="0" collapsed="false">
      <c r="C34" s="56" t="s">
        <v>489</v>
      </c>
      <c r="D34" s="89" t="n">
        <v>0</v>
      </c>
      <c r="E34" s="89" t="n">
        <v>0</v>
      </c>
      <c r="F34" s="89" t="n">
        <v>0</v>
      </c>
      <c r="G34" s="89" t="n">
        <v>0</v>
      </c>
      <c r="H34" s="89" t="n">
        <v>0</v>
      </c>
      <c r="I34" s="89" t="n">
        <v>0</v>
      </c>
      <c r="J34" s="90" t="n">
        <v>0</v>
      </c>
      <c r="K34" s="90" t="n">
        <v>0</v>
      </c>
      <c r="L34" s="90" t="n">
        <v>0</v>
      </c>
      <c r="M34" s="90" t="n">
        <v>0</v>
      </c>
      <c r="N34" s="90" t="n">
        <v>0</v>
      </c>
      <c r="O34" s="90" t="n">
        <v>0</v>
      </c>
      <c r="P34" s="90" t="n">
        <v>0</v>
      </c>
      <c r="Q34" s="90" t="n">
        <v>0</v>
      </c>
      <c r="R34" s="90" t="n">
        <v>0</v>
      </c>
      <c r="S34" s="90" t="n">
        <v>0</v>
      </c>
      <c r="T34" s="90" t="n">
        <v>0</v>
      </c>
      <c r="U34" s="90" t="n">
        <v>0</v>
      </c>
      <c r="V34" s="90" t="n">
        <v>0</v>
      </c>
      <c r="W34" s="90" t="n">
        <v>0</v>
      </c>
      <c r="X34" s="90" t="n">
        <v>0</v>
      </c>
      <c r="Y34" s="90" t="n">
        <v>0</v>
      </c>
      <c r="Z34" s="90" t="n">
        <v>0</v>
      </c>
      <c r="AA34" s="90" t="n">
        <v>0</v>
      </c>
      <c r="AB34" s="90" t="n">
        <v>0</v>
      </c>
      <c r="AC34" s="90" t="n">
        <v>0</v>
      </c>
      <c r="AD34" s="90" t="n">
        <v>0</v>
      </c>
      <c r="AE34" s="90" t="n">
        <v>0</v>
      </c>
      <c r="AF34" s="90" t="n">
        <v>0</v>
      </c>
      <c r="AG34" s="90" t="n">
        <v>0</v>
      </c>
      <c r="AH34" s="90" t="n">
        <v>0</v>
      </c>
      <c r="AI34" s="90" t="n">
        <v>0</v>
      </c>
      <c r="AJ34" s="90" t="n">
        <v>0</v>
      </c>
      <c r="AK34" s="90" t="n">
        <v>0</v>
      </c>
      <c r="AL34" s="90" t="n">
        <v>0</v>
      </c>
      <c r="AM34" s="90" t="n">
        <v>0</v>
      </c>
    </row>
    <row r="35" customFormat="false" ht="21" hidden="false" customHeight="true" outlineLevel="0" collapsed="false">
      <c r="C35" s="56" t="s">
        <v>490</v>
      </c>
      <c r="D35" s="88" t="n">
        <v>0.17564135747907</v>
      </c>
      <c r="E35" s="88" t="n">
        <v>0.17564135747907</v>
      </c>
      <c r="F35" s="88" t="n">
        <v>0.17564135747907</v>
      </c>
      <c r="G35" s="88" t="n">
        <v>0.17564135747907</v>
      </c>
      <c r="H35" s="88" t="n">
        <v>0.17564135747907</v>
      </c>
      <c r="I35" s="88" t="n">
        <v>0.17564135747907</v>
      </c>
      <c r="J35" s="87" t="n">
        <v>0.17564135747907</v>
      </c>
      <c r="K35" s="87" t="n">
        <v>0.17564135747907</v>
      </c>
      <c r="L35" s="87" t="n">
        <v>0.17564135747907</v>
      </c>
      <c r="M35" s="87" t="n">
        <v>0.17564135747907</v>
      </c>
      <c r="N35" s="87" t="n">
        <v>0.17564135747907</v>
      </c>
      <c r="O35" s="87" t="n">
        <v>0.17564135747907</v>
      </c>
      <c r="P35" s="87" t="n">
        <v>0.17564135747907</v>
      </c>
      <c r="Q35" s="87" t="n">
        <v>0.17564135747907</v>
      </c>
      <c r="R35" s="87" t="n">
        <v>0.17564135747907</v>
      </c>
      <c r="S35" s="87" t="n">
        <v>0.17564135747907</v>
      </c>
      <c r="T35" s="87" t="n">
        <v>0.17564135747907</v>
      </c>
      <c r="U35" s="87" t="n">
        <v>0.17564135747907</v>
      </c>
      <c r="V35" s="87" t="n">
        <v>0.17564135747907</v>
      </c>
      <c r="W35" s="87" t="n">
        <v>0.17564135747907</v>
      </c>
      <c r="X35" s="87" t="n">
        <v>0.17564135747907</v>
      </c>
      <c r="Y35" s="87" t="n">
        <v>0.17564135747907</v>
      </c>
      <c r="Z35" s="87" t="n">
        <v>0.17564135747907</v>
      </c>
      <c r="AA35" s="87" t="n">
        <v>0.17564135747907</v>
      </c>
      <c r="AB35" s="87" t="n">
        <v>0.17564135747907</v>
      </c>
      <c r="AC35" s="87" t="n">
        <v>0.17564135747907</v>
      </c>
      <c r="AD35" s="87" t="n">
        <v>0.17564135747907</v>
      </c>
      <c r="AE35" s="87" t="n">
        <v>0.17564135747907</v>
      </c>
      <c r="AF35" s="87" t="n">
        <v>0.17564135747907</v>
      </c>
      <c r="AG35" s="87" t="n">
        <v>0.17564135747907</v>
      </c>
      <c r="AH35" s="87" t="n">
        <v>0.17564135747907</v>
      </c>
      <c r="AI35" s="87" t="n">
        <v>0.17564135747907</v>
      </c>
      <c r="AJ35" s="87" t="n">
        <v>0.17564135747907</v>
      </c>
      <c r="AK35" s="87" t="n">
        <v>0.17564135747907</v>
      </c>
      <c r="AL35" s="87" t="n">
        <v>0.17564135747907</v>
      </c>
      <c r="AM35" s="87" t="n">
        <v>0.17564135747907</v>
      </c>
    </row>
    <row r="36" customFormat="false" ht="21" hidden="false" customHeight="true" outlineLevel="0" collapsed="false">
      <c r="C36" s="56" t="s">
        <v>491</v>
      </c>
      <c r="D36" s="88" t="n">
        <v>0</v>
      </c>
      <c r="E36" s="88" t="n">
        <v>0</v>
      </c>
      <c r="F36" s="88" t="n">
        <v>1</v>
      </c>
      <c r="G36" s="88" t="n">
        <v>0</v>
      </c>
      <c r="H36" s="88" t="n">
        <v>0</v>
      </c>
      <c r="I36" s="88" t="n">
        <v>1</v>
      </c>
      <c r="J36" s="87" t="n">
        <v>0</v>
      </c>
      <c r="K36" s="87" t="n">
        <v>0</v>
      </c>
      <c r="L36" s="87" t="n">
        <v>1</v>
      </c>
      <c r="M36" s="87" t="n">
        <v>0</v>
      </c>
      <c r="N36" s="87" t="n">
        <v>0</v>
      </c>
      <c r="O36" s="87" t="n">
        <v>1</v>
      </c>
      <c r="P36" s="87" t="n">
        <v>0</v>
      </c>
      <c r="Q36" s="87" t="n">
        <v>0</v>
      </c>
      <c r="R36" s="87" t="n">
        <v>1</v>
      </c>
      <c r="S36" s="87" t="n">
        <v>0</v>
      </c>
      <c r="T36" s="87" t="n">
        <v>0</v>
      </c>
      <c r="U36" s="87" t="n">
        <v>1</v>
      </c>
      <c r="V36" s="87" t="n">
        <v>0</v>
      </c>
      <c r="W36" s="87" t="n">
        <v>0</v>
      </c>
      <c r="X36" s="87" t="n">
        <v>1</v>
      </c>
      <c r="Y36" s="87" t="n">
        <v>0</v>
      </c>
      <c r="Z36" s="87" t="n">
        <v>0</v>
      </c>
      <c r="AA36" s="87" t="n">
        <v>1</v>
      </c>
      <c r="AB36" s="87" t="n">
        <v>0</v>
      </c>
      <c r="AC36" s="87" t="n">
        <v>0</v>
      </c>
      <c r="AD36" s="87" t="n">
        <v>1</v>
      </c>
      <c r="AE36" s="87" t="n">
        <v>0</v>
      </c>
      <c r="AF36" s="87" t="n">
        <v>0</v>
      </c>
      <c r="AG36" s="87" t="n">
        <v>1</v>
      </c>
      <c r="AH36" s="87" t="n">
        <v>0</v>
      </c>
      <c r="AI36" s="87" t="n">
        <v>0</v>
      </c>
      <c r="AJ36" s="87" t="n">
        <v>1</v>
      </c>
      <c r="AK36" s="87" t="n">
        <v>0</v>
      </c>
      <c r="AL36" s="87" t="n">
        <v>0</v>
      </c>
      <c r="AM36" s="87" t="n">
        <v>1</v>
      </c>
    </row>
    <row r="37" customFormat="false" ht="21" hidden="false" customHeight="true" outlineLevel="0" collapsed="false">
      <c r="C37" s="56" t="s">
        <v>492</v>
      </c>
      <c r="D37" s="88" t="n">
        <v>0</v>
      </c>
      <c r="E37" s="88" t="n">
        <v>0</v>
      </c>
      <c r="F37" s="88" t="n">
        <v>0</v>
      </c>
      <c r="G37" s="88" t="n">
        <v>0</v>
      </c>
      <c r="H37" s="88" t="n">
        <v>0</v>
      </c>
      <c r="I37" s="88" t="n">
        <v>0.9</v>
      </c>
      <c r="J37" s="87" t="n">
        <v>0</v>
      </c>
      <c r="K37" s="87" t="n">
        <v>0</v>
      </c>
      <c r="L37" s="87" t="n">
        <v>0</v>
      </c>
      <c r="M37" s="87" t="n">
        <v>0</v>
      </c>
      <c r="N37" s="87" t="n">
        <v>0</v>
      </c>
      <c r="O37" s="87" t="n">
        <v>0</v>
      </c>
      <c r="P37" s="87" t="n">
        <v>0</v>
      </c>
      <c r="Q37" s="87" t="n">
        <v>0</v>
      </c>
      <c r="R37" s="87" t="n">
        <v>0</v>
      </c>
      <c r="S37" s="87" t="n">
        <v>0</v>
      </c>
      <c r="T37" s="87" t="n">
        <v>0</v>
      </c>
      <c r="U37" s="87" t="n">
        <v>0.9</v>
      </c>
      <c r="V37" s="87" t="n">
        <v>0</v>
      </c>
      <c r="W37" s="87" t="n">
        <v>0</v>
      </c>
      <c r="X37" s="87" t="n">
        <v>0</v>
      </c>
      <c r="Y37" s="87" t="n">
        <v>0</v>
      </c>
      <c r="Z37" s="87" t="n">
        <v>0</v>
      </c>
      <c r="AA37" s="87" t="n">
        <v>0</v>
      </c>
      <c r="AB37" s="87" t="n">
        <v>0</v>
      </c>
      <c r="AC37" s="87" t="n">
        <v>0</v>
      </c>
      <c r="AD37" s="87" t="n">
        <v>0</v>
      </c>
      <c r="AE37" s="87" t="n">
        <v>0</v>
      </c>
      <c r="AF37" s="87" t="n">
        <v>0</v>
      </c>
      <c r="AG37" s="87" t="n">
        <v>0.9</v>
      </c>
      <c r="AH37" s="87" t="n">
        <v>0</v>
      </c>
      <c r="AI37" s="87" t="n">
        <v>0</v>
      </c>
      <c r="AJ37" s="87" t="n">
        <v>0</v>
      </c>
      <c r="AK37" s="87" t="n">
        <v>0</v>
      </c>
      <c r="AL37" s="87" t="n">
        <v>0</v>
      </c>
      <c r="AM37" s="87" t="n">
        <v>0</v>
      </c>
    </row>
    <row r="38" customFormat="false" ht="21" hidden="false" customHeight="true" outlineLevel="0" collapsed="false">
      <c r="C38" s="56" t="s">
        <v>493</v>
      </c>
      <c r="D38" s="89" t="n">
        <v>0</v>
      </c>
      <c r="E38" s="89" t="n">
        <v>0</v>
      </c>
      <c r="F38" s="89" t="n">
        <v>0</v>
      </c>
      <c r="G38" s="89" t="n">
        <v>0</v>
      </c>
      <c r="H38" s="89" t="n">
        <v>0</v>
      </c>
      <c r="I38" s="89" t="n">
        <v>0</v>
      </c>
      <c r="J38" s="90" t="n">
        <v>0</v>
      </c>
      <c r="K38" s="90" t="n">
        <v>0</v>
      </c>
      <c r="L38" s="90" t="n">
        <v>0</v>
      </c>
      <c r="M38" s="90" t="n">
        <v>0</v>
      </c>
      <c r="N38" s="90" t="n">
        <v>0</v>
      </c>
      <c r="O38" s="90" t="n">
        <v>0</v>
      </c>
      <c r="P38" s="90" t="n">
        <v>0</v>
      </c>
      <c r="Q38" s="90" t="n">
        <v>0</v>
      </c>
      <c r="R38" s="90" t="n">
        <v>0</v>
      </c>
      <c r="S38" s="90" t="n">
        <v>0</v>
      </c>
      <c r="T38" s="90" t="n">
        <v>0</v>
      </c>
      <c r="U38" s="90" t="n">
        <v>0</v>
      </c>
      <c r="V38" s="90" t="n">
        <v>0</v>
      </c>
      <c r="W38" s="90" t="n">
        <v>0</v>
      </c>
      <c r="X38" s="90" t="n">
        <v>0</v>
      </c>
      <c r="Y38" s="90" t="n">
        <v>0</v>
      </c>
      <c r="Z38" s="90" t="n">
        <v>0</v>
      </c>
      <c r="AA38" s="90" t="n">
        <v>0</v>
      </c>
      <c r="AB38" s="90" t="n">
        <v>0</v>
      </c>
      <c r="AC38" s="90" t="n">
        <v>0</v>
      </c>
      <c r="AD38" s="90" t="n">
        <v>0</v>
      </c>
      <c r="AE38" s="90" t="n">
        <v>0</v>
      </c>
      <c r="AF38" s="90" t="n">
        <v>0</v>
      </c>
      <c r="AG38" s="90" t="n">
        <v>0</v>
      </c>
      <c r="AH38" s="90" t="n">
        <v>0</v>
      </c>
      <c r="AI38" s="90" t="n">
        <v>0</v>
      </c>
      <c r="AJ38" s="90" t="n">
        <v>0</v>
      </c>
      <c r="AK38" s="90" t="n">
        <v>0</v>
      </c>
      <c r="AL38" s="90" t="n">
        <v>0</v>
      </c>
      <c r="AM38" s="90" t="n">
        <v>0</v>
      </c>
    </row>
    <row r="39" customFormat="false" ht="21" hidden="false" customHeight="true" outlineLevel="0" collapsed="false">
      <c r="C39" s="56"/>
      <c r="D39" s="59"/>
      <c r="E39" s="59"/>
      <c r="F39" s="59"/>
      <c r="G39" s="59"/>
      <c r="H39" s="59"/>
      <c r="I39" s="59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</row>
    <row r="40" customFormat="false" ht="21" hidden="false" customHeight="true" outlineLevel="0" collapsed="false">
      <c r="C40" s="56"/>
      <c r="D40" s="59"/>
      <c r="E40" s="59"/>
      <c r="F40" s="59"/>
      <c r="G40" s="59"/>
      <c r="H40" s="59"/>
      <c r="I40" s="59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</row>
    <row r="41" customFormat="false" ht="21" hidden="false" customHeight="true" outlineLevel="0" collapsed="false">
      <c r="C41" s="56" t="s">
        <v>494</v>
      </c>
      <c r="D41" s="89" t="n">
        <v>0</v>
      </c>
      <c r="E41" s="89" t="n">
        <v>0</v>
      </c>
      <c r="F41" s="89" t="n">
        <v>0</v>
      </c>
      <c r="G41" s="89" t="n">
        <v>0</v>
      </c>
      <c r="H41" s="89" t="n">
        <v>0</v>
      </c>
      <c r="I41" s="89" t="n">
        <v>0</v>
      </c>
      <c r="J41" s="90" t="n">
        <v>0</v>
      </c>
      <c r="K41" s="90" t="n">
        <v>0</v>
      </c>
      <c r="L41" s="90" t="n">
        <v>0</v>
      </c>
      <c r="M41" s="90" t="n">
        <v>0</v>
      </c>
      <c r="N41" s="90" t="n">
        <v>0</v>
      </c>
      <c r="O41" s="90" t="n">
        <v>0</v>
      </c>
      <c r="P41" s="90" t="n">
        <v>0</v>
      </c>
      <c r="Q41" s="90" t="n">
        <v>0</v>
      </c>
      <c r="R41" s="90" t="n">
        <v>0</v>
      </c>
      <c r="S41" s="90" t="n">
        <v>0</v>
      </c>
      <c r="T41" s="90" t="n">
        <v>0</v>
      </c>
      <c r="U41" s="90" t="n">
        <v>0</v>
      </c>
      <c r="V41" s="90" t="n">
        <v>0</v>
      </c>
      <c r="W41" s="90" t="n">
        <v>0</v>
      </c>
      <c r="X41" s="90" t="n">
        <v>0</v>
      </c>
      <c r="Y41" s="90" t="n">
        <v>0</v>
      </c>
      <c r="Z41" s="90" t="n">
        <v>0</v>
      </c>
      <c r="AA41" s="90" t="n">
        <v>0</v>
      </c>
      <c r="AB41" s="90" t="n">
        <v>0</v>
      </c>
      <c r="AC41" s="90" t="n">
        <v>0</v>
      </c>
      <c r="AD41" s="90" t="n">
        <v>0</v>
      </c>
      <c r="AE41" s="90" t="n">
        <v>0</v>
      </c>
      <c r="AF41" s="90" t="n">
        <v>0</v>
      </c>
      <c r="AG41" s="90" t="n">
        <v>0</v>
      </c>
      <c r="AH41" s="90" t="n">
        <v>0</v>
      </c>
      <c r="AI41" s="90" t="n">
        <v>0</v>
      </c>
      <c r="AJ41" s="90" t="n">
        <v>0</v>
      </c>
      <c r="AK41" s="90" t="n">
        <v>0</v>
      </c>
      <c r="AL41" s="90" t="n">
        <v>0</v>
      </c>
      <c r="AM41" s="90" t="n">
        <v>0</v>
      </c>
    </row>
    <row r="42" customFormat="false" ht="21" hidden="false" customHeight="true" outlineLevel="0" collapsed="false">
      <c r="C42" s="56" t="s">
        <v>495</v>
      </c>
      <c r="D42" s="89" t="n">
        <v>0</v>
      </c>
      <c r="E42" s="89" t="n">
        <v>0</v>
      </c>
      <c r="F42" s="89" t="n">
        <v>0</v>
      </c>
      <c r="G42" s="89" t="n">
        <v>0</v>
      </c>
      <c r="H42" s="89" t="n">
        <v>0</v>
      </c>
      <c r="I42" s="89" t="n">
        <v>0</v>
      </c>
      <c r="J42" s="90" t="n">
        <v>0</v>
      </c>
      <c r="K42" s="90" t="n">
        <v>0</v>
      </c>
      <c r="L42" s="90" t="n">
        <v>0</v>
      </c>
      <c r="M42" s="90" t="n">
        <v>0</v>
      </c>
      <c r="N42" s="90" t="n">
        <v>0</v>
      </c>
      <c r="O42" s="90" t="n">
        <v>0</v>
      </c>
      <c r="P42" s="90" t="n">
        <v>0</v>
      </c>
      <c r="Q42" s="90" t="n">
        <v>0</v>
      </c>
      <c r="R42" s="90" t="n">
        <v>0</v>
      </c>
      <c r="S42" s="90" t="n">
        <v>0</v>
      </c>
      <c r="T42" s="90" t="n">
        <v>0</v>
      </c>
      <c r="U42" s="90" t="n">
        <v>0</v>
      </c>
      <c r="V42" s="90" t="n">
        <v>0</v>
      </c>
      <c r="W42" s="90" t="n">
        <v>0</v>
      </c>
      <c r="X42" s="90" t="n">
        <v>0</v>
      </c>
      <c r="Y42" s="90" t="n">
        <v>0</v>
      </c>
      <c r="Z42" s="90" t="n">
        <v>0</v>
      </c>
      <c r="AA42" s="90" t="n">
        <v>0</v>
      </c>
      <c r="AB42" s="90" t="n">
        <v>0</v>
      </c>
      <c r="AC42" s="90" t="n">
        <v>0</v>
      </c>
      <c r="AD42" s="90" t="n">
        <v>0</v>
      </c>
      <c r="AE42" s="90" t="n">
        <v>0</v>
      </c>
      <c r="AF42" s="90" t="n">
        <v>0</v>
      </c>
      <c r="AG42" s="90" t="n">
        <v>0</v>
      </c>
      <c r="AH42" s="90" t="n">
        <v>0</v>
      </c>
      <c r="AI42" s="90" t="n">
        <v>0</v>
      </c>
      <c r="AJ42" s="90" t="n">
        <v>0</v>
      </c>
      <c r="AK42" s="90" t="n">
        <v>0</v>
      </c>
      <c r="AL42" s="90" t="n">
        <v>0</v>
      </c>
      <c r="AM42" s="90" t="n">
        <v>0</v>
      </c>
    </row>
    <row r="43" customFormat="false" ht="21" hidden="false" customHeight="true" outlineLevel="0" collapsed="false">
      <c r="C43" s="56" t="s">
        <v>496</v>
      </c>
      <c r="D43" s="89" t="n">
        <v>0</v>
      </c>
      <c r="E43" s="89" t="n">
        <v>0</v>
      </c>
      <c r="F43" s="89" t="n">
        <v>0</v>
      </c>
      <c r="G43" s="89" t="n">
        <v>0</v>
      </c>
      <c r="H43" s="89" t="n">
        <v>0</v>
      </c>
      <c r="I43" s="89" t="n">
        <v>0</v>
      </c>
      <c r="J43" s="90" t="n">
        <v>0</v>
      </c>
      <c r="K43" s="90" t="n">
        <v>0</v>
      </c>
      <c r="L43" s="90" t="n">
        <v>0</v>
      </c>
      <c r="M43" s="90" t="n">
        <v>0</v>
      </c>
      <c r="N43" s="90" t="n">
        <v>0</v>
      </c>
      <c r="O43" s="90" t="n">
        <v>0</v>
      </c>
      <c r="P43" s="90" t="n">
        <v>0</v>
      </c>
      <c r="Q43" s="90" t="n">
        <v>0</v>
      </c>
      <c r="R43" s="90" t="n">
        <v>0</v>
      </c>
      <c r="S43" s="90" t="n">
        <v>0</v>
      </c>
      <c r="T43" s="90" t="n">
        <v>0</v>
      </c>
      <c r="U43" s="90" t="n">
        <v>0</v>
      </c>
      <c r="V43" s="90" t="n">
        <v>0</v>
      </c>
      <c r="W43" s="90" t="n">
        <v>0</v>
      </c>
      <c r="X43" s="90" t="n">
        <v>0</v>
      </c>
      <c r="Y43" s="90" t="n">
        <v>0</v>
      </c>
      <c r="Z43" s="90" t="n">
        <v>0</v>
      </c>
      <c r="AA43" s="90" t="n">
        <v>0</v>
      </c>
      <c r="AB43" s="90" t="n">
        <v>0</v>
      </c>
      <c r="AC43" s="90" t="n">
        <v>0</v>
      </c>
      <c r="AD43" s="90" t="n">
        <v>0</v>
      </c>
      <c r="AE43" s="90" t="n">
        <v>0</v>
      </c>
      <c r="AF43" s="90" t="n">
        <v>0</v>
      </c>
      <c r="AG43" s="90" t="n">
        <v>0</v>
      </c>
      <c r="AH43" s="90" t="n">
        <v>0</v>
      </c>
      <c r="AI43" s="90" t="n">
        <v>0</v>
      </c>
      <c r="AJ43" s="90" t="n">
        <v>0</v>
      </c>
      <c r="AK43" s="90" t="n">
        <v>0</v>
      </c>
      <c r="AL43" s="90" t="n">
        <v>0</v>
      </c>
      <c r="AM43" s="90" t="n">
        <v>0</v>
      </c>
    </row>
    <row r="44" customFormat="false" ht="21" hidden="false" customHeight="true" outlineLevel="0" collapsed="false">
      <c r="C44" s="56" t="s">
        <v>497</v>
      </c>
      <c r="D44" s="89" t="n">
        <v>0</v>
      </c>
      <c r="E44" s="89" t="n">
        <v>0</v>
      </c>
      <c r="F44" s="89" t="n">
        <v>0</v>
      </c>
      <c r="G44" s="89" t="n">
        <v>0</v>
      </c>
      <c r="H44" s="89" t="n">
        <v>0</v>
      </c>
      <c r="I44" s="89" t="n">
        <v>50</v>
      </c>
      <c r="J44" s="90" t="n">
        <v>0</v>
      </c>
      <c r="K44" s="90" t="n">
        <v>0</v>
      </c>
      <c r="L44" s="90" t="n">
        <v>0</v>
      </c>
      <c r="M44" s="90" t="n">
        <v>0</v>
      </c>
      <c r="N44" s="90" t="n">
        <v>0</v>
      </c>
      <c r="O44" s="90" t="n">
        <v>0</v>
      </c>
      <c r="P44" s="90" t="n">
        <v>0</v>
      </c>
      <c r="Q44" s="90" t="n">
        <v>0</v>
      </c>
      <c r="R44" s="90" t="n">
        <v>0</v>
      </c>
      <c r="S44" s="90" t="n">
        <v>0</v>
      </c>
      <c r="T44" s="90" t="n">
        <v>0</v>
      </c>
      <c r="U44" s="90" t="n">
        <v>0</v>
      </c>
      <c r="V44" s="90" t="n">
        <v>0</v>
      </c>
      <c r="W44" s="90" t="n">
        <v>0</v>
      </c>
      <c r="X44" s="90" t="n">
        <v>0</v>
      </c>
      <c r="Y44" s="90" t="n">
        <v>0</v>
      </c>
      <c r="Z44" s="90" t="n">
        <v>0</v>
      </c>
      <c r="AA44" s="90" t="n">
        <v>0</v>
      </c>
      <c r="AB44" s="90" t="n">
        <v>0</v>
      </c>
      <c r="AC44" s="90" t="n">
        <v>0</v>
      </c>
      <c r="AD44" s="90" t="n">
        <v>0</v>
      </c>
      <c r="AE44" s="90" t="n">
        <v>0</v>
      </c>
      <c r="AF44" s="90" t="n">
        <v>0</v>
      </c>
      <c r="AG44" s="90" t="n">
        <v>0</v>
      </c>
      <c r="AH44" s="90" t="n">
        <v>0</v>
      </c>
      <c r="AI44" s="90" t="n">
        <v>0</v>
      </c>
      <c r="AJ44" s="90" t="n">
        <v>0</v>
      </c>
      <c r="AK44" s="90" t="n">
        <v>0</v>
      </c>
      <c r="AL44" s="90" t="n">
        <v>0</v>
      </c>
      <c r="AM44" s="90" t="n">
        <v>0</v>
      </c>
    </row>
    <row r="45" customFormat="false" ht="21" hidden="false" customHeight="true" outlineLevel="0" collapsed="false">
      <c r="C45" s="56" t="s">
        <v>498</v>
      </c>
      <c r="D45" s="89" t="n">
        <v>0</v>
      </c>
      <c r="E45" s="89" t="n">
        <v>0</v>
      </c>
      <c r="F45" s="89" t="n">
        <v>0</v>
      </c>
      <c r="G45" s="89" t="n">
        <v>0</v>
      </c>
      <c r="H45" s="89" t="n">
        <v>0</v>
      </c>
      <c r="I45" s="89" t="n">
        <v>59.99</v>
      </c>
      <c r="J45" s="90" t="n">
        <v>0</v>
      </c>
      <c r="K45" s="90" t="n">
        <v>0</v>
      </c>
      <c r="L45" s="90" t="n">
        <v>0</v>
      </c>
      <c r="M45" s="90" t="n">
        <v>0</v>
      </c>
      <c r="N45" s="90" t="n">
        <v>0</v>
      </c>
      <c r="O45" s="90" t="n">
        <v>0</v>
      </c>
      <c r="P45" s="90" t="n">
        <v>0</v>
      </c>
      <c r="Q45" s="90" t="n">
        <v>0</v>
      </c>
      <c r="R45" s="90" t="n">
        <v>0</v>
      </c>
      <c r="S45" s="90" t="n">
        <v>0</v>
      </c>
      <c r="T45" s="90" t="n">
        <v>0</v>
      </c>
      <c r="U45" s="90" t="n">
        <v>139.401799816</v>
      </c>
      <c r="V45" s="90" t="n">
        <v>0</v>
      </c>
      <c r="W45" s="90" t="n">
        <v>0</v>
      </c>
      <c r="X45" s="90" t="n">
        <v>0</v>
      </c>
      <c r="Y45" s="90" t="n">
        <v>0</v>
      </c>
      <c r="Z45" s="90" t="n">
        <v>0</v>
      </c>
      <c r="AA45" s="90" t="n">
        <v>0</v>
      </c>
      <c r="AB45" s="90" t="n">
        <v>0</v>
      </c>
      <c r="AC45" s="90" t="n">
        <v>0</v>
      </c>
      <c r="AD45" s="90" t="n">
        <v>0</v>
      </c>
      <c r="AE45" s="90" t="n">
        <v>0</v>
      </c>
      <c r="AF45" s="90" t="n">
        <v>0</v>
      </c>
      <c r="AG45" s="90" t="n">
        <v>139.401799816</v>
      </c>
      <c r="AH45" s="90" t="n">
        <v>0</v>
      </c>
      <c r="AI45" s="90" t="n">
        <v>0</v>
      </c>
      <c r="AJ45" s="90" t="n">
        <v>0</v>
      </c>
      <c r="AK45" s="90" t="n">
        <v>0</v>
      </c>
      <c r="AL45" s="90" t="n">
        <v>0</v>
      </c>
      <c r="AM45" s="90" t="n">
        <v>0</v>
      </c>
    </row>
    <row r="46" customFormat="false" ht="21" hidden="false" customHeight="true" outlineLevel="0" collapsed="false">
      <c r="C46" s="56" t="s">
        <v>499</v>
      </c>
      <c r="D46" s="89" t="n">
        <v>0</v>
      </c>
      <c r="E46" s="89" t="n">
        <v>0</v>
      </c>
      <c r="F46" s="89" t="n">
        <v>0</v>
      </c>
      <c r="G46" s="89" t="n">
        <v>0</v>
      </c>
      <c r="H46" s="89" t="n">
        <v>0</v>
      </c>
      <c r="I46" s="89" t="n">
        <v>45.0252</v>
      </c>
      <c r="J46" s="90" t="n">
        <v>0</v>
      </c>
      <c r="K46" s="90" t="n">
        <v>0</v>
      </c>
      <c r="L46" s="90" t="n">
        <v>0</v>
      </c>
      <c r="M46" s="90" t="n">
        <v>0</v>
      </c>
      <c r="N46" s="90" t="n">
        <v>0</v>
      </c>
      <c r="O46" s="90" t="n">
        <v>0</v>
      </c>
      <c r="P46" s="90" t="n">
        <v>0</v>
      </c>
      <c r="Q46" s="90" t="n">
        <v>0</v>
      </c>
      <c r="R46" s="90" t="n">
        <v>0</v>
      </c>
      <c r="S46" s="90" t="n">
        <v>0</v>
      </c>
      <c r="T46" s="90" t="n">
        <v>0</v>
      </c>
      <c r="U46" s="90" t="n">
        <v>45.0252</v>
      </c>
      <c r="V46" s="90" t="n">
        <v>0</v>
      </c>
      <c r="W46" s="90" t="n">
        <v>0</v>
      </c>
      <c r="X46" s="90" t="n">
        <v>0</v>
      </c>
      <c r="Y46" s="90" t="n">
        <v>0</v>
      </c>
      <c r="Z46" s="90" t="n">
        <v>0</v>
      </c>
      <c r="AA46" s="90" t="n">
        <v>0</v>
      </c>
      <c r="AB46" s="90" t="n">
        <v>0</v>
      </c>
      <c r="AC46" s="90" t="n">
        <v>0</v>
      </c>
      <c r="AD46" s="90" t="n">
        <v>0</v>
      </c>
      <c r="AE46" s="90" t="n">
        <v>0</v>
      </c>
      <c r="AF46" s="90" t="n">
        <v>0</v>
      </c>
      <c r="AG46" s="90" t="n">
        <v>45.0252</v>
      </c>
      <c r="AH46" s="90" t="n">
        <v>0</v>
      </c>
      <c r="AI46" s="90" t="n">
        <v>0</v>
      </c>
      <c r="AJ46" s="90" t="n">
        <v>0</v>
      </c>
      <c r="AK46" s="90" t="n">
        <v>0</v>
      </c>
      <c r="AL46" s="90" t="n">
        <v>0</v>
      </c>
      <c r="AM46" s="90" t="n">
        <v>0</v>
      </c>
    </row>
    <row r="47" customFormat="false" ht="21" hidden="false" customHeight="true" outlineLevel="0" collapsed="false">
      <c r="C47" s="56" t="s">
        <v>500</v>
      </c>
      <c r="D47" s="89" t="n">
        <v>0</v>
      </c>
      <c r="E47" s="89" t="n">
        <v>0</v>
      </c>
      <c r="F47" s="89" t="n">
        <v>0</v>
      </c>
      <c r="G47" s="89" t="n">
        <v>0</v>
      </c>
      <c r="H47" s="89" t="n">
        <v>0</v>
      </c>
      <c r="I47" s="89" t="n">
        <v>0</v>
      </c>
      <c r="J47" s="90" t="n">
        <v>0</v>
      </c>
      <c r="K47" s="90" t="n">
        <v>0</v>
      </c>
      <c r="L47" s="90" t="n">
        <v>0</v>
      </c>
      <c r="M47" s="90" t="n">
        <v>0</v>
      </c>
      <c r="N47" s="90" t="n">
        <v>0</v>
      </c>
      <c r="O47" s="90" t="n">
        <v>0</v>
      </c>
      <c r="P47" s="90" t="n">
        <v>0</v>
      </c>
      <c r="Q47" s="90" t="n">
        <v>0</v>
      </c>
      <c r="R47" s="90" t="n">
        <v>0</v>
      </c>
      <c r="S47" s="90" t="n">
        <v>0</v>
      </c>
      <c r="T47" s="90" t="n">
        <v>0</v>
      </c>
      <c r="U47" s="90" t="n">
        <v>0</v>
      </c>
      <c r="V47" s="90" t="n">
        <v>0</v>
      </c>
      <c r="W47" s="90" t="n">
        <v>0</v>
      </c>
      <c r="X47" s="90" t="n">
        <v>0</v>
      </c>
      <c r="Y47" s="90" t="n">
        <v>0</v>
      </c>
      <c r="Z47" s="90" t="n">
        <v>0</v>
      </c>
      <c r="AA47" s="90" t="n">
        <v>0</v>
      </c>
      <c r="AB47" s="90" t="n">
        <v>0</v>
      </c>
      <c r="AC47" s="90" t="n">
        <v>0</v>
      </c>
      <c r="AD47" s="90" t="n">
        <v>0</v>
      </c>
      <c r="AE47" s="90" t="n">
        <v>0</v>
      </c>
      <c r="AF47" s="90" t="n">
        <v>0</v>
      </c>
      <c r="AG47" s="90" t="n">
        <v>0</v>
      </c>
      <c r="AH47" s="90" t="n">
        <v>0</v>
      </c>
      <c r="AI47" s="90" t="n">
        <v>0</v>
      </c>
      <c r="AJ47" s="90" t="n">
        <v>0</v>
      </c>
      <c r="AK47" s="90" t="n">
        <v>0</v>
      </c>
      <c r="AL47" s="90" t="n">
        <v>0</v>
      </c>
      <c r="AM47" s="90" t="n">
        <v>0</v>
      </c>
    </row>
    <row r="48" customFormat="false" ht="21" hidden="false" customHeight="true" outlineLevel="0" collapsed="false">
      <c r="C48" s="56" t="s">
        <v>501</v>
      </c>
      <c r="D48" s="89" t="n">
        <v>1.11674455083333</v>
      </c>
      <c r="E48" s="89" t="n">
        <v>1.11674455083333</v>
      </c>
      <c r="F48" s="89" t="n">
        <v>1.11674455083333</v>
      </c>
      <c r="G48" s="89" t="n">
        <v>1.11674455083333</v>
      </c>
      <c r="H48" s="89" t="n">
        <v>1.11674455083333</v>
      </c>
      <c r="I48" s="89" t="n">
        <v>1.11674455083333</v>
      </c>
      <c r="J48" s="90" t="n">
        <v>1.11674455083333</v>
      </c>
      <c r="K48" s="90" t="n">
        <v>1.11674455083333</v>
      </c>
      <c r="L48" s="90" t="n">
        <v>1.11674455083333</v>
      </c>
      <c r="M48" s="90" t="n">
        <v>1.11674455083333</v>
      </c>
      <c r="N48" s="90" t="n">
        <v>1.11674455083333</v>
      </c>
      <c r="O48" s="90" t="n">
        <v>1.11674455083333</v>
      </c>
      <c r="P48" s="90" t="n">
        <v>1.11674455083333</v>
      </c>
      <c r="Q48" s="90" t="n">
        <v>1.11674455083333</v>
      </c>
      <c r="R48" s="90" t="n">
        <v>1.11674455083333</v>
      </c>
      <c r="S48" s="90" t="n">
        <v>1.11674455083333</v>
      </c>
      <c r="T48" s="90" t="n">
        <v>1.11674455083333</v>
      </c>
      <c r="U48" s="90" t="n">
        <v>1.11674455083333</v>
      </c>
      <c r="V48" s="90" t="n">
        <v>1.11674455083333</v>
      </c>
      <c r="W48" s="90" t="n">
        <v>1.11674455083333</v>
      </c>
      <c r="X48" s="90" t="n">
        <v>1.11674455083333</v>
      </c>
      <c r="Y48" s="90" t="n">
        <v>1.11674455083333</v>
      </c>
      <c r="Z48" s="90" t="n">
        <v>1.11674455083333</v>
      </c>
      <c r="AA48" s="90" t="n">
        <v>1.11674455083333</v>
      </c>
      <c r="AB48" s="90" t="n">
        <v>1.11674455083333</v>
      </c>
      <c r="AC48" s="90" t="n">
        <v>1.11674455083333</v>
      </c>
      <c r="AD48" s="90" t="n">
        <v>1.11674455083333</v>
      </c>
      <c r="AE48" s="90" t="n">
        <v>1.11674455083333</v>
      </c>
      <c r="AF48" s="90" t="n">
        <v>1.11674455083333</v>
      </c>
      <c r="AG48" s="90" t="n">
        <v>1.11674455083333</v>
      </c>
      <c r="AH48" s="90" t="n">
        <v>1.11674455083333</v>
      </c>
      <c r="AI48" s="90" t="n">
        <v>1.11674455083333</v>
      </c>
      <c r="AJ48" s="90" t="n">
        <v>1.11674455083333</v>
      </c>
      <c r="AK48" s="90" t="n">
        <v>1.11674455083333</v>
      </c>
      <c r="AL48" s="90" t="n">
        <v>1.11674455083333</v>
      </c>
      <c r="AM48" s="90" t="n">
        <v>1.11674455083333</v>
      </c>
    </row>
    <row r="49" customFormat="false" ht="21" hidden="false" customHeight="true" outlineLevel="0" collapsed="false">
      <c r="C49" s="56" t="s">
        <v>502</v>
      </c>
      <c r="D49" s="88" t="n">
        <v>0.0515429667661324</v>
      </c>
      <c r="E49" s="88" t="n">
        <v>0.0515429667661324</v>
      </c>
      <c r="F49" s="88" t="n">
        <v>0.0515429667661324</v>
      </c>
      <c r="G49" s="88" t="n">
        <v>0.0515429667661324</v>
      </c>
      <c r="H49" s="88" t="n">
        <v>0.0515429667661324</v>
      </c>
      <c r="I49" s="88" t="n">
        <v>0.0515429667661324</v>
      </c>
      <c r="J49" s="87" t="n">
        <v>0.0515429667661324</v>
      </c>
      <c r="K49" s="87" t="n">
        <v>0.0515429667661324</v>
      </c>
      <c r="L49" s="87" t="n">
        <v>0.0515429667661324</v>
      </c>
      <c r="M49" s="87" t="n">
        <v>0.0515429667661324</v>
      </c>
      <c r="N49" s="87" t="n">
        <v>0.0515429667661324</v>
      </c>
      <c r="O49" s="87" t="n">
        <v>0.0515429667661324</v>
      </c>
      <c r="P49" s="87" t="n">
        <v>0.0515429667661324</v>
      </c>
      <c r="Q49" s="87" t="n">
        <v>0.0515429667661324</v>
      </c>
      <c r="R49" s="87" t="n">
        <v>0.0515429667661324</v>
      </c>
      <c r="S49" s="87" t="n">
        <v>0.0515429667661324</v>
      </c>
      <c r="T49" s="87" t="n">
        <v>0.0515429667661324</v>
      </c>
      <c r="U49" s="87" t="n">
        <v>0.0515429667661324</v>
      </c>
      <c r="V49" s="87" t="n">
        <v>0.0515429667661324</v>
      </c>
      <c r="W49" s="87" t="n">
        <v>0.0515429667661324</v>
      </c>
      <c r="X49" s="87" t="n">
        <v>0.0515429667661324</v>
      </c>
      <c r="Y49" s="87" t="n">
        <v>0.0515429667661324</v>
      </c>
      <c r="Z49" s="87" t="n">
        <v>0.0515429667661324</v>
      </c>
      <c r="AA49" s="87" t="n">
        <v>0.0515429667661324</v>
      </c>
      <c r="AB49" s="87" t="n">
        <v>0.0515429667661324</v>
      </c>
      <c r="AC49" s="87" t="n">
        <v>0.0515429667661324</v>
      </c>
      <c r="AD49" s="87" t="n">
        <v>0.0515429667661324</v>
      </c>
      <c r="AE49" s="87" t="n">
        <v>0.0515429667661324</v>
      </c>
      <c r="AF49" s="87" t="n">
        <v>0.0515429667661324</v>
      </c>
      <c r="AG49" s="87" t="n">
        <v>0.0515429667661324</v>
      </c>
      <c r="AH49" s="87" t="n">
        <v>0.0515429667661324</v>
      </c>
      <c r="AI49" s="87" t="n">
        <v>0.0515429667661324</v>
      </c>
      <c r="AJ49" s="87" t="n">
        <v>0.0515429667661324</v>
      </c>
      <c r="AK49" s="87" t="n">
        <v>0.0515429667661324</v>
      </c>
      <c r="AL49" s="87" t="n">
        <v>0.0515429667661324</v>
      </c>
      <c r="AM49" s="87" t="n">
        <v>0.0515429667661324</v>
      </c>
    </row>
    <row r="50" customFormat="false" ht="21" hidden="false" customHeight="true" outlineLevel="0" collapsed="false">
      <c r="C50" s="56" t="s">
        <v>503</v>
      </c>
      <c r="D50" s="88" t="n">
        <v>0.045</v>
      </c>
      <c r="E50" s="88" t="n">
        <v>0.045</v>
      </c>
      <c r="F50" s="88" t="n">
        <v>0.045</v>
      </c>
      <c r="G50" s="88" t="n">
        <v>0.045</v>
      </c>
      <c r="H50" s="88" t="n">
        <v>0.045</v>
      </c>
      <c r="I50" s="88" t="n">
        <v>0.045</v>
      </c>
      <c r="J50" s="87" t="n">
        <v>0.045</v>
      </c>
      <c r="K50" s="87" t="n">
        <v>0.045</v>
      </c>
      <c r="L50" s="87" t="n">
        <v>0.045</v>
      </c>
      <c r="M50" s="87" t="n">
        <v>0.045</v>
      </c>
      <c r="N50" s="87" t="n">
        <v>0.045</v>
      </c>
      <c r="O50" s="87" t="n">
        <v>0.045</v>
      </c>
      <c r="P50" s="87" t="n">
        <v>0.045</v>
      </c>
      <c r="Q50" s="87" t="n">
        <v>0.045</v>
      </c>
      <c r="R50" s="87" t="n">
        <v>0.045</v>
      </c>
      <c r="S50" s="87" t="n">
        <v>0.045</v>
      </c>
      <c r="T50" s="87" t="n">
        <v>0.045</v>
      </c>
      <c r="U50" s="87" t="n">
        <v>0.045</v>
      </c>
      <c r="V50" s="87" t="n">
        <v>0.045</v>
      </c>
      <c r="W50" s="87" t="n">
        <v>0.045</v>
      </c>
      <c r="X50" s="87" t="n">
        <v>0.045</v>
      </c>
      <c r="Y50" s="87" t="n">
        <v>0.045</v>
      </c>
      <c r="Z50" s="87" t="n">
        <v>0.045</v>
      </c>
      <c r="AA50" s="87" t="n">
        <v>0.045</v>
      </c>
      <c r="AB50" s="87" t="n">
        <v>0.045</v>
      </c>
      <c r="AC50" s="87" t="n">
        <v>0.045</v>
      </c>
      <c r="AD50" s="87" t="n">
        <v>0.045</v>
      </c>
      <c r="AE50" s="87" t="n">
        <v>0.045</v>
      </c>
      <c r="AF50" s="87" t="n">
        <v>0.045</v>
      </c>
      <c r="AG50" s="87" t="n">
        <v>0.045</v>
      </c>
      <c r="AH50" s="87" t="n">
        <v>0.045</v>
      </c>
      <c r="AI50" s="87" t="n">
        <v>0.045</v>
      </c>
      <c r="AJ50" s="87" t="n">
        <v>0.045</v>
      </c>
      <c r="AK50" s="87" t="n">
        <v>0.045</v>
      </c>
      <c r="AL50" s="87" t="n">
        <v>0.045</v>
      </c>
      <c r="AM50" s="87" t="n">
        <v>0.045</v>
      </c>
    </row>
    <row r="51" customFormat="false" ht="21" hidden="false" customHeight="true" outlineLevel="0" collapsed="false">
      <c r="C51" s="56" t="s">
        <v>504</v>
      </c>
      <c r="D51" s="89" t="n">
        <v>43.762172146</v>
      </c>
      <c r="E51" s="89" t="n">
        <v>43.762172146</v>
      </c>
      <c r="F51" s="89" t="n">
        <v>43.762172146</v>
      </c>
      <c r="G51" s="89" t="n">
        <v>43.762172146</v>
      </c>
      <c r="H51" s="89" t="n">
        <v>43.762172146</v>
      </c>
      <c r="I51" s="89" t="n">
        <v>43.762172146</v>
      </c>
      <c r="J51" s="90" t="n">
        <v>43.762172146</v>
      </c>
      <c r="K51" s="90" t="n">
        <v>43.762172146</v>
      </c>
      <c r="L51" s="90" t="n">
        <v>43.762172146</v>
      </c>
      <c r="M51" s="90" t="n">
        <v>43.762172146</v>
      </c>
      <c r="N51" s="90" t="n">
        <v>43.762172146</v>
      </c>
      <c r="O51" s="90" t="n">
        <v>43.762172146</v>
      </c>
      <c r="P51" s="90" t="n">
        <v>45.9502807533</v>
      </c>
      <c r="Q51" s="90" t="n">
        <v>45.9502807533</v>
      </c>
      <c r="R51" s="90" t="n">
        <v>45.9502807533</v>
      </c>
      <c r="S51" s="90" t="n">
        <v>45.9502807533</v>
      </c>
      <c r="T51" s="90" t="n">
        <v>45.9502807533</v>
      </c>
      <c r="U51" s="90" t="n">
        <v>45.9502807533</v>
      </c>
      <c r="V51" s="90" t="n">
        <v>45.9502807533</v>
      </c>
      <c r="W51" s="90" t="n">
        <v>45.9502807533</v>
      </c>
      <c r="X51" s="90" t="n">
        <v>45.9502807533</v>
      </c>
      <c r="Y51" s="90" t="n">
        <v>45.9502807533</v>
      </c>
      <c r="Z51" s="90" t="n">
        <v>45.9502807533</v>
      </c>
      <c r="AA51" s="90" t="n">
        <v>45.9502807533</v>
      </c>
      <c r="AB51" s="90" t="n">
        <v>48.247794790965</v>
      </c>
      <c r="AC51" s="90" t="n">
        <v>48.247794790965</v>
      </c>
      <c r="AD51" s="90" t="n">
        <v>48.247794790965</v>
      </c>
      <c r="AE51" s="90" t="n">
        <v>48.247794790965</v>
      </c>
      <c r="AF51" s="90" t="n">
        <v>48.247794790965</v>
      </c>
      <c r="AG51" s="90" t="n">
        <v>48.247794790965</v>
      </c>
      <c r="AH51" s="90" t="n">
        <v>48.247794790965</v>
      </c>
      <c r="AI51" s="90" t="n">
        <v>48.247794790965</v>
      </c>
      <c r="AJ51" s="90" t="n">
        <v>48.247794790965</v>
      </c>
      <c r="AK51" s="90" t="n">
        <v>48.247794790965</v>
      </c>
      <c r="AL51" s="90" t="n">
        <v>48.247794790965</v>
      </c>
      <c r="AM51" s="90" t="n">
        <v>48.247794790965</v>
      </c>
    </row>
    <row r="52" customFormat="false" ht="21" hidden="false" customHeight="true" outlineLevel="0" collapsed="false">
      <c r="C52" s="56"/>
      <c r="D52" s="59"/>
      <c r="E52" s="59"/>
      <c r="F52" s="59"/>
      <c r="G52" s="59"/>
      <c r="H52" s="59"/>
      <c r="I52" s="59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</row>
    <row r="53" customFormat="false" ht="21" hidden="false" customHeight="true" outlineLevel="0" collapsed="false">
      <c r="C53" s="56" t="s">
        <v>202</v>
      </c>
      <c r="D53" s="89" t="n">
        <v>0</v>
      </c>
      <c r="E53" s="89" t="n">
        <v>0</v>
      </c>
      <c r="F53" s="89" t="n">
        <v>0</v>
      </c>
      <c r="G53" s="89" t="n">
        <v>0</v>
      </c>
      <c r="H53" s="89" t="n">
        <v>0</v>
      </c>
      <c r="I53" s="89" t="n">
        <v>0</v>
      </c>
      <c r="J53" s="90" t="n">
        <v>0</v>
      </c>
      <c r="K53" s="90" t="n">
        <v>0</v>
      </c>
      <c r="L53" s="90" t="n">
        <v>0</v>
      </c>
      <c r="M53" s="90" t="n">
        <v>0</v>
      </c>
      <c r="N53" s="90" t="n">
        <v>0</v>
      </c>
      <c r="O53" s="90" t="n">
        <v>0</v>
      </c>
      <c r="P53" s="90" t="n">
        <v>0</v>
      </c>
      <c r="Q53" s="90" t="n">
        <v>0</v>
      </c>
      <c r="R53" s="90" t="n">
        <v>0</v>
      </c>
      <c r="S53" s="90" t="n">
        <v>0</v>
      </c>
      <c r="T53" s="90" t="n">
        <v>0</v>
      </c>
      <c r="U53" s="90" t="n">
        <v>0</v>
      </c>
      <c r="V53" s="90" t="n">
        <v>0</v>
      </c>
      <c r="W53" s="90" t="n">
        <v>0</v>
      </c>
      <c r="X53" s="90" t="n">
        <v>0</v>
      </c>
      <c r="Y53" s="90" t="n">
        <v>0</v>
      </c>
      <c r="Z53" s="90" t="n">
        <v>0</v>
      </c>
      <c r="AA53" s="90" t="n">
        <v>0</v>
      </c>
      <c r="AB53" s="90" t="n">
        <v>0</v>
      </c>
      <c r="AC53" s="90" t="n">
        <v>0</v>
      </c>
      <c r="AD53" s="90" t="n">
        <v>0</v>
      </c>
      <c r="AE53" s="90" t="n">
        <v>0</v>
      </c>
      <c r="AF53" s="90" t="n">
        <v>0</v>
      </c>
      <c r="AG53" s="90" t="n">
        <v>0</v>
      </c>
      <c r="AH53" s="90" t="n">
        <v>0</v>
      </c>
      <c r="AI53" s="90" t="n">
        <v>0</v>
      </c>
      <c r="AJ53" s="90" t="n">
        <v>0</v>
      </c>
      <c r="AK53" s="90" t="n">
        <v>0</v>
      </c>
      <c r="AL53" s="90" t="n">
        <v>0</v>
      </c>
      <c r="AM53" s="90" t="n">
        <v>0</v>
      </c>
    </row>
    <row r="54" customFormat="false" ht="21" hidden="false" customHeight="true" outlineLevel="0" collapsed="false">
      <c r="C54" s="56" t="s">
        <v>505</v>
      </c>
      <c r="D54" s="88" t="n">
        <v>0.02</v>
      </c>
      <c r="E54" s="88" t="n">
        <v>0.02</v>
      </c>
      <c r="F54" s="88" t="n">
        <v>0.02</v>
      </c>
      <c r="G54" s="88" t="n">
        <v>0.02</v>
      </c>
      <c r="H54" s="88" t="n">
        <v>0.02</v>
      </c>
      <c r="I54" s="88" t="n">
        <v>0.02</v>
      </c>
      <c r="J54" s="87" t="n">
        <v>0.02</v>
      </c>
      <c r="K54" s="87" t="n">
        <v>0.02</v>
      </c>
      <c r="L54" s="87" t="n">
        <v>0.02</v>
      </c>
      <c r="M54" s="87" t="n">
        <v>0.02</v>
      </c>
      <c r="N54" s="87" t="n">
        <v>0.02</v>
      </c>
      <c r="O54" s="87" t="n">
        <v>0.02</v>
      </c>
      <c r="P54" s="87" t="n">
        <v>0.02</v>
      </c>
      <c r="Q54" s="87" t="n">
        <v>0.02</v>
      </c>
      <c r="R54" s="87" t="n">
        <v>0.02</v>
      </c>
      <c r="S54" s="87" t="n">
        <v>0.02</v>
      </c>
      <c r="T54" s="87" t="n">
        <v>0.02</v>
      </c>
      <c r="U54" s="87" t="n">
        <v>0.02</v>
      </c>
      <c r="V54" s="87" t="n">
        <v>0.02</v>
      </c>
      <c r="W54" s="87" t="n">
        <v>0.02</v>
      </c>
      <c r="X54" s="87" t="n">
        <v>0.02</v>
      </c>
      <c r="Y54" s="87" t="n">
        <v>0.02</v>
      </c>
      <c r="Z54" s="87" t="n">
        <v>0.02</v>
      </c>
      <c r="AA54" s="87" t="n">
        <v>0.02</v>
      </c>
      <c r="AB54" s="87" t="n">
        <v>0.02</v>
      </c>
      <c r="AC54" s="87" t="n">
        <v>0.02</v>
      </c>
      <c r="AD54" s="87" t="n">
        <v>0.02</v>
      </c>
      <c r="AE54" s="87" t="n">
        <v>0.02</v>
      </c>
      <c r="AF54" s="87" t="n">
        <v>0.02</v>
      </c>
      <c r="AG54" s="87" t="n">
        <v>0.02</v>
      </c>
      <c r="AH54" s="87" t="n">
        <v>0.02</v>
      </c>
      <c r="AI54" s="87" t="n">
        <v>0.02</v>
      </c>
      <c r="AJ54" s="87" t="n">
        <v>0.02</v>
      </c>
      <c r="AK54" s="87" t="n">
        <v>0.02</v>
      </c>
      <c r="AL54" s="87" t="n">
        <v>0.02</v>
      </c>
      <c r="AM54" s="87" t="n">
        <v>0.02</v>
      </c>
    </row>
    <row r="55" customFormat="false" ht="21" hidden="false" customHeight="true" outlineLevel="0" collapsed="false">
      <c r="C55" s="56" t="s">
        <v>506</v>
      </c>
      <c r="D55" s="89" t="n">
        <v>0</v>
      </c>
      <c r="E55" s="89" t="n">
        <v>0</v>
      </c>
      <c r="F55" s="89" t="n">
        <v>0</v>
      </c>
      <c r="G55" s="89" t="n">
        <v>0</v>
      </c>
      <c r="H55" s="89" t="n">
        <v>0</v>
      </c>
      <c r="I55" s="89" t="n">
        <v>0</v>
      </c>
      <c r="J55" s="90" t="n">
        <v>0</v>
      </c>
      <c r="K55" s="90" t="n">
        <v>0</v>
      </c>
      <c r="L55" s="90" t="n">
        <v>0</v>
      </c>
      <c r="M55" s="90" t="n">
        <v>0</v>
      </c>
      <c r="N55" s="90" t="n">
        <v>0</v>
      </c>
      <c r="O55" s="90" t="n">
        <v>0</v>
      </c>
      <c r="P55" s="90" t="n">
        <v>0</v>
      </c>
      <c r="Q55" s="90" t="n">
        <v>0</v>
      </c>
      <c r="R55" s="90" t="n">
        <v>0</v>
      </c>
      <c r="S55" s="90" t="n">
        <v>0</v>
      </c>
      <c r="T55" s="90" t="n">
        <v>0</v>
      </c>
      <c r="U55" s="90" t="n">
        <v>0</v>
      </c>
      <c r="V55" s="90" t="n">
        <v>0</v>
      </c>
      <c r="W55" s="90" t="n">
        <v>0</v>
      </c>
      <c r="X55" s="90" t="n">
        <v>0</v>
      </c>
      <c r="Y55" s="90" t="n">
        <v>0</v>
      </c>
      <c r="Z55" s="90" t="n">
        <v>0</v>
      </c>
      <c r="AA55" s="90" t="n">
        <v>0</v>
      </c>
      <c r="AB55" s="90" t="n">
        <v>0</v>
      </c>
      <c r="AC55" s="90" t="n">
        <v>0</v>
      </c>
      <c r="AD55" s="90" t="n">
        <v>0</v>
      </c>
      <c r="AE55" s="90" t="n">
        <v>0</v>
      </c>
      <c r="AF55" s="90" t="n">
        <v>0</v>
      </c>
      <c r="AG55" s="90" t="n">
        <v>0</v>
      </c>
      <c r="AH55" s="90" t="n">
        <v>0</v>
      </c>
      <c r="AI55" s="90" t="n">
        <v>0</v>
      </c>
      <c r="AJ55" s="90" t="n">
        <v>0</v>
      </c>
      <c r="AK55" s="90" t="n">
        <v>0</v>
      </c>
      <c r="AL55" s="90" t="n">
        <v>0</v>
      </c>
      <c r="AM55" s="90" t="n">
        <v>0</v>
      </c>
    </row>
    <row r="56" customFormat="false" ht="21" hidden="false" customHeight="true" outlineLevel="0" collapsed="false">
      <c r="C56" s="56" t="s">
        <v>507</v>
      </c>
      <c r="D56" s="89" t="n">
        <v>0</v>
      </c>
      <c r="E56" s="89" t="n">
        <v>0</v>
      </c>
      <c r="F56" s="89" t="n">
        <v>0</v>
      </c>
      <c r="G56" s="89" t="n">
        <v>0</v>
      </c>
      <c r="H56" s="89" t="n">
        <v>0</v>
      </c>
      <c r="I56" s="89" t="n">
        <v>0</v>
      </c>
      <c r="J56" s="90" t="n">
        <v>0</v>
      </c>
      <c r="K56" s="90" t="n">
        <v>0</v>
      </c>
      <c r="L56" s="90" t="n">
        <v>0</v>
      </c>
      <c r="M56" s="90" t="n">
        <v>0</v>
      </c>
      <c r="N56" s="90" t="n">
        <v>0</v>
      </c>
      <c r="O56" s="90" t="n">
        <v>0</v>
      </c>
      <c r="P56" s="90" t="n">
        <v>0</v>
      </c>
      <c r="Q56" s="90" t="n">
        <v>0</v>
      </c>
      <c r="R56" s="90" t="n">
        <v>0</v>
      </c>
      <c r="S56" s="90" t="n">
        <v>0</v>
      </c>
      <c r="T56" s="90" t="n">
        <v>0</v>
      </c>
      <c r="U56" s="90" t="n">
        <v>0</v>
      </c>
      <c r="V56" s="90" t="n">
        <v>0</v>
      </c>
      <c r="W56" s="90" t="n">
        <v>0</v>
      </c>
      <c r="X56" s="90" t="n">
        <v>0</v>
      </c>
      <c r="Y56" s="90" t="n">
        <v>0</v>
      </c>
      <c r="Z56" s="90" t="n">
        <v>0</v>
      </c>
      <c r="AA56" s="90" t="n">
        <v>0</v>
      </c>
      <c r="AB56" s="90" t="n">
        <v>0</v>
      </c>
      <c r="AC56" s="90" t="n">
        <v>0</v>
      </c>
      <c r="AD56" s="90" t="n">
        <v>0</v>
      </c>
      <c r="AE56" s="90" t="n">
        <v>0</v>
      </c>
      <c r="AF56" s="90" t="n">
        <v>0</v>
      </c>
      <c r="AG56" s="90" t="n">
        <v>0</v>
      </c>
      <c r="AH56" s="90" t="n">
        <v>0</v>
      </c>
      <c r="AI56" s="90" t="n">
        <v>0</v>
      </c>
      <c r="AJ56" s="90" t="n">
        <v>0</v>
      </c>
      <c r="AK56" s="90" t="n">
        <v>0</v>
      </c>
      <c r="AL56" s="90" t="n">
        <v>0</v>
      </c>
      <c r="AM56" s="90" t="n">
        <v>0</v>
      </c>
    </row>
    <row r="57" customFormat="false" ht="21" hidden="false" customHeight="true" outlineLevel="0" collapsed="false">
      <c r="C57" s="56" t="s">
        <v>508</v>
      </c>
      <c r="D57" s="89" t="n">
        <v>0</v>
      </c>
      <c r="E57" s="89" t="n">
        <v>0</v>
      </c>
      <c r="F57" s="89" t="n">
        <v>0</v>
      </c>
      <c r="G57" s="89" t="n">
        <v>0</v>
      </c>
      <c r="H57" s="89" t="n">
        <v>0</v>
      </c>
      <c r="I57" s="89" t="n">
        <v>0</v>
      </c>
      <c r="J57" s="90" t="n">
        <v>0</v>
      </c>
      <c r="K57" s="90" t="n">
        <v>0</v>
      </c>
      <c r="L57" s="90" t="n">
        <v>0</v>
      </c>
      <c r="M57" s="90" t="n">
        <v>0</v>
      </c>
      <c r="N57" s="90" t="n">
        <v>0</v>
      </c>
      <c r="O57" s="90" t="n">
        <v>0</v>
      </c>
      <c r="P57" s="90" t="n">
        <v>0</v>
      </c>
      <c r="Q57" s="90" t="n">
        <v>0</v>
      </c>
      <c r="R57" s="90" t="n">
        <v>0</v>
      </c>
      <c r="S57" s="90" t="n">
        <v>0</v>
      </c>
      <c r="T57" s="90" t="n">
        <v>0</v>
      </c>
      <c r="U57" s="90" t="n">
        <v>0</v>
      </c>
      <c r="V57" s="90" t="n">
        <v>0</v>
      </c>
      <c r="W57" s="90" t="n">
        <v>0</v>
      </c>
      <c r="X57" s="90" t="n">
        <v>0</v>
      </c>
      <c r="Y57" s="90" t="n">
        <v>0</v>
      </c>
      <c r="Z57" s="90" t="n">
        <v>0</v>
      </c>
      <c r="AA57" s="90" t="n">
        <v>0</v>
      </c>
      <c r="AB57" s="90" t="n">
        <v>0</v>
      </c>
      <c r="AC57" s="90" t="n">
        <v>0</v>
      </c>
      <c r="AD57" s="90" t="n">
        <v>0</v>
      </c>
      <c r="AE57" s="90" t="n">
        <v>0</v>
      </c>
      <c r="AF57" s="90" t="n">
        <v>0</v>
      </c>
      <c r="AG57" s="90" t="n">
        <v>0</v>
      </c>
      <c r="AH57" s="90" t="n">
        <v>0</v>
      </c>
      <c r="AI57" s="90" t="n">
        <v>0</v>
      </c>
      <c r="AJ57" s="90" t="n">
        <v>0</v>
      </c>
      <c r="AK57" s="90" t="n">
        <v>0</v>
      </c>
      <c r="AL57" s="90" t="n">
        <v>0</v>
      </c>
      <c r="AM57" s="90" t="n">
        <v>0</v>
      </c>
    </row>
    <row r="58" customFormat="false" ht="21" hidden="false" customHeight="true" outlineLevel="0" collapsed="false">
      <c r="C58" s="56" t="s">
        <v>509</v>
      </c>
      <c r="D58" s="89" t="n">
        <v>3.76704643916667</v>
      </c>
      <c r="E58" s="89" t="n">
        <v>3.76704643916667</v>
      </c>
      <c r="F58" s="89" t="n">
        <v>3.76704643916667</v>
      </c>
      <c r="G58" s="89" t="n">
        <v>3.76704643916667</v>
      </c>
      <c r="H58" s="89" t="n">
        <v>3.76704643916667</v>
      </c>
      <c r="I58" s="89" t="n">
        <v>3.76704643916667</v>
      </c>
      <c r="J58" s="90" t="n">
        <v>3.76704643916667</v>
      </c>
      <c r="K58" s="90" t="n">
        <v>3.76704643916667</v>
      </c>
      <c r="L58" s="90" t="n">
        <v>3.76704643916667</v>
      </c>
      <c r="M58" s="90" t="n">
        <v>3.76704643916667</v>
      </c>
      <c r="N58" s="90" t="n">
        <v>3.76704643916667</v>
      </c>
      <c r="O58" s="90" t="n">
        <v>3.76704643916667</v>
      </c>
      <c r="P58" s="90" t="n">
        <v>3.76704643916667</v>
      </c>
      <c r="Q58" s="90" t="n">
        <v>3.76704643916667</v>
      </c>
      <c r="R58" s="90" t="n">
        <v>3.76704643916667</v>
      </c>
      <c r="S58" s="90" t="n">
        <v>3.76704643916667</v>
      </c>
      <c r="T58" s="90" t="n">
        <v>3.76704643916667</v>
      </c>
      <c r="U58" s="90" t="n">
        <v>3.76704643916667</v>
      </c>
      <c r="V58" s="90" t="n">
        <v>3.76704643916667</v>
      </c>
      <c r="W58" s="90" t="n">
        <v>3.76704643916667</v>
      </c>
      <c r="X58" s="90" t="n">
        <v>3.76704643916667</v>
      </c>
      <c r="Y58" s="90" t="n">
        <v>3.76704643916667</v>
      </c>
      <c r="Z58" s="90" t="n">
        <v>3.76704643916667</v>
      </c>
      <c r="AA58" s="90" t="n">
        <v>3.76704643916667</v>
      </c>
      <c r="AB58" s="90" t="n">
        <v>3.76704643916667</v>
      </c>
      <c r="AC58" s="90" t="n">
        <v>3.76704643916667</v>
      </c>
      <c r="AD58" s="90" t="n">
        <v>3.76704643916667</v>
      </c>
      <c r="AE58" s="90" t="n">
        <v>3.76704643916667</v>
      </c>
      <c r="AF58" s="90" t="n">
        <v>3.76704643916667</v>
      </c>
      <c r="AG58" s="90" t="n">
        <v>3.76704643916667</v>
      </c>
      <c r="AH58" s="90" t="n">
        <v>3.76704643916667</v>
      </c>
      <c r="AI58" s="90" t="n">
        <v>3.76704643916667</v>
      </c>
      <c r="AJ58" s="90" t="n">
        <v>3.76704643916667</v>
      </c>
      <c r="AK58" s="90" t="n">
        <v>3.76704643916667</v>
      </c>
      <c r="AL58" s="90" t="n">
        <v>3.76704643916667</v>
      </c>
      <c r="AM58" s="90" t="n">
        <v>3.76704643916667</v>
      </c>
    </row>
    <row r="59" customFormat="false" ht="21" hidden="false" customHeight="true" outlineLevel="0" collapsed="false">
      <c r="C59" s="56" t="s">
        <v>510</v>
      </c>
      <c r="D59" s="89" t="n">
        <v>0</v>
      </c>
      <c r="E59" s="89" t="n">
        <v>0</v>
      </c>
      <c r="F59" s="89" t="n">
        <v>0</v>
      </c>
      <c r="G59" s="89" t="n">
        <v>0</v>
      </c>
      <c r="H59" s="89" t="n">
        <v>0</v>
      </c>
      <c r="I59" s="89" t="n">
        <v>0</v>
      </c>
      <c r="J59" s="90" t="n">
        <v>0</v>
      </c>
      <c r="K59" s="90" t="n">
        <v>0</v>
      </c>
      <c r="L59" s="90" t="n">
        <v>0</v>
      </c>
      <c r="M59" s="90" t="n">
        <v>0</v>
      </c>
      <c r="N59" s="90" t="n">
        <v>0</v>
      </c>
      <c r="O59" s="90" t="n">
        <v>0</v>
      </c>
      <c r="P59" s="90" t="n">
        <v>0</v>
      </c>
      <c r="Q59" s="90" t="n">
        <v>0</v>
      </c>
      <c r="R59" s="90" t="n">
        <v>0</v>
      </c>
      <c r="S59" s="90" t="n">
        <v>0</v>
      </c>
      <c r="T59" s="90" t="n">
        <v>0</v>
      </c>
      <c r="U59" s="90" t="n">
        <v>0</v>
      </c>
      <c r="V59" s="90" t="n">
        <v>0</v>
      </c>
      <c r="W59" s="90" t="n">
        <v>0</v>
      </c>
      <c r="X59" s="90" t="n">
        <v>0</v>
      </c>
      <c r="Y59" s="90" t="n">
        <v>0</v>
      </c>
      <c r="Z59" s="90" t="n">
        <v>0</v>
      </c>
      <c r="AA59" s="90" t="n">
        <v>0</v>
      </c>
      <c r="AB59" s="90" t="n">
        <v>0</v>
      </c>
      <c r="AC59" s="90" t="n">
        <v>0</v>
      </c>
      <c r="AD59" s="90" t="n">
        <v>0</v>
      </c>
      <c r="AE59" s="90" t="n">
        <v>0</v>
      </c>
      <c r="AF59" s="90" t="n">
        <v>0</v>
      </c>
      <c r="AG59" s="90" t="n">
        <v>0</v>
      </c>
      <c r="AH59" s="90" t="n">
        <v>0</v>
      </c>
      <c r="AI59" s="90" t="n">
        <v>0</v>
      </c>
      <c r="AJ59" s="90" t="n">
        <v>0</v>
      </c>
      <c r="AK59" s="90" t="n">
        <v>0</v>
      </c>
      <c r="AL59" s="90" t="n">
        <v>0</v>
      </c>
      <c r="AM59" s="90" t="n">
        <v>0</v>
      </c>
    </row>
    <row r="60" customFormat="false" ht="21" hidden="false" customHeight="true" outlineLevel="0" collapsed="false">
      <c r="C60" s="56" t="s">
        <v>511</v>
      </c>
      <c r="D60" s="89" t="n">
        <v>0</v>
      </c>
      <c r="E60" s="89" t="n">
        <v>0</v>
      </c>
      <c r="F60" s="89" t="n">
        <v>0</v>
      </c>
      <c r="G60" s="89" t="n">
        <v>0</v>
      </c>
      <c r="H60" s="89" t="n">
        <v>0</v>
      </c>
      <c r="I60" s="89" t="n">
        <v>0</v>
      </c>
      <c r="J60" s="90" t="n">
        <v>0</v>
      </c>
      <c r="K60" s="90" t="n">
        <v>0</v>
      </c>
      <c r="L60" s="90" t="n">
        <v>0</v>
      </c>
      <c r="M60" s="90" t="n">
        <v>0</v>
      </c>
      <c r="N60" s="90" t="n">
        <v>0</v>
      </c>
      <c r="O60" s="90" t="n">
        <v>0</v>
      </c>
      <c r="P60" s="90" t="n">
        <v>0</v>
      </c>
      <c r="Q60" s="90" t="n">
        <v>0</v>
      </c>
      <c r="R60" s="90" t="n">
        <v>0</v>
      </c>
      <c r="S60" s="90" t="n">
        <v>0</v>
      </c>
      <c r="T60" s="90" t="n">
        <v>0</v>
      </c>
      <c r="U60" s="90" t="n">
        <v>0</v>
      </c>
      <c r="V60" s="90" t="n">
        <v>0</v>
      </c>
      <c r="W60" s="90" t="n">
        <v>0</v>
      </c>
      <c r="X60" s="90" t="n">
        <v>0</v>
      </c>
      <c r="Y60" s="90" t="n">
        <v>0</v>
      </c>
      <c r="Z60" s="90" t="n">
        <v>0</v>
      </c>
      <c r="AA60" s="90" t="n">
        <v>0</v>
      </c>
      <c r="AB60" s="90" t="n">
        <v>0</v>
      </c>
      <c r="AC60" s="90" t="n">
        <v>0</v>
      </c>
      <c r="AD60" s="90" t="n">
        <v>0</v>
      </c>
      <c r="AE60" s="90" t="n">
        <v>0</v>
      </c>
      <c r="AF60" s="90" t="n">
        <v>0</v>
      </c>
      <c r="AG60" s="90" t="n">
        <v>0</v>
      </c>
      <c r="AH60" s="90" t="n">
        <v>0</v>
      </c>
      <c r="AI60" s="90" t="n">
        <v>0</v>
      </c>
      <c r="AJ60" s="90" t="n">
        <v>0</v>
      </c>
      <c r="AK60" s="90" t="n">
        <v>0</v>
      </c>
      <c r="AL60" s="90" t="n">
        <v>0</v>
      </c>
      <c r="AM60" s="90" t="n">
        <v>0</v>
      </c>
    </row>
    <row r="61" customFormat="false" ht="21" hidden="false" customHeight="true" outlineLevel="0" collapsed="false">
      <c r="C61" s="56" t="s">
        <v>512</v>
      </c>
      <c r="D61" s="89" t="n">
        <v>0</v>
      </c>
      <c r="E61" s="89" t="n">
        <v>0</v>
      </c>
      <c r="F61" s="89" t="n">
        <v>0</v>
      </c>
      <c r="G61" s="89" t="n">
        <v>0</v>
      </c>
      <c r="H61" s="89" t="n">
        <v>0</v>
      </c>
      <c r="I61" s="89" t="n">
        <v>0</v>
      </c>
      <c r="J61" s="90" t="n">
        <v>0</v>
      </c>
      <c r="K61" s="90" t="n">
        <v>0</v>
      </c>
      <c r="L61" s="90" t="n">
        <v>0</v>
      </c>
      <c r="M61" s="90" t="n">
        <v>0</v>
      </c>
      <c r="N61" s="90" t="n">
        <v>0</v>
      </c>
      <c r="O61" s="90" t="n">
        <v>0</v>
      </c>
      <c r="P61" s="90" t="n">
        <v>0</v>
      </c>
      <c r="Q61" s="90" t="n">
        <v>0</v>
      </c>
      <c r="R61" s="90" t="n">
        <v>0</v>
      </c>
      <c r="S61" s="90" t="n">
        <v>0</v>
      </c>
      <c r="T61" s="90" t="n">
        <v>0</v>
      </c>
      <c r="U61" s="90" t="n">
        <v>0</v>
      </c>
      <c r="V61" s="90" t="n">
        <v>0</v>
      </c>
      <c r="W61" s="90" t="n">
        <v>0</v>
      </c>
      <c r="X61" s="90" t="n">
        <v>0</v>
      </c>
      <c r="Y61" s="90" t="n">
        <v>0</v>
      </c>
      <c r="Z61" s="90" t="n">
        <v>0</v>
      </c>
      <c r="AA61" s="90" t="n">
        <v>0</v>
      </c>
      <c r="AB61" s="90" t="n">
        <v>0</v>
      </c>
      <c r="AC61" s="90" t="n">
        <v>0</v>
      </c>
      <c r="AD61" s="90" t="n">
        <v>0</v>
      </c>
      <c r="AE61" s="90" t="n">
        <v>0</v>
      </c>
      <c r="AF61" s="90" t="n">
        <v>0</v>
      </c>
      <c r="AG61" s="90" t="n">
        <v>0</v>
      </c>
      <c r="AH61" s="90" t="n">
        <v>0</v>
      </c>
      <c r="AI61" s="90" t="n">
        <v>0</v>
      </c>
      <c r="AJ61" s="90" t="n">
        <v>0</v>
      </c>
      <c r="AK61" s="90" t="n">
        <v>0</v>
      </c>
      <c r="AL61" s="90" t="n">
        <v>0</v>
      </c>
      <c r="AM61" s="90" t="n">
        <v>0</v>
      </c>
    </row>
    <row r="62" customFormat="false" ht="21" hidden="false" customHeight="true" outlineLevel="0" collapsed="false">
      <c r="C62" s="56" t="s">
        <v>513</v>
      </c>
      <c r="D62" s="89" t="n">
        <v>0</v>
      </c>
      <c r="E62" s="89" t="n">
        <v>0</v>
      </c>
      <c r="F62" s="89" t="n">
        <v>0</v>
      </c>
      <c r="G62" s="89" t="n">
        <v>0</v>
      </c>
      <c r="H62" s="89" t="n">
        <v>0</v>
      </c>
      <c r="I62" s="89" t="n">
        <v>0</v>
      </c>
      <c r="J62" s="90" t="n">
        <v>0</v>
      </c>
      <c r="K62" s="90" t="n">
        <v>0</v>
      </c>
      <c r="L62" s="90" t="n">
        <v>0</v>
      </c>
      <c r="M62" s="90" t="n">
        <v>0</v>
      </c>
      <c r="N62" s="90" t="n">
        <v>0</v>
      </c>
      <c r="O62" s="90" t="n">
        <v>0</v>
      </c>
      <c r="P62" s="90" t="n">
        <v>0</v>
      </c>
      <c r="Q62" s="90" t="n">
        <v>0</v>
      </c>
      <c r="R62" s="90" t="n">
        <v>0</v>
      </c>
      <c r="S62" s="90" t="n">
        <v>0</v>
      </c>
      <c r="T62" s="90" t="n">
        <v>0</v>
      </c>
      <c r="U62" s="90" t="n">
        <v>0</v>
      </c>
      <c r="V62" s="90" t="n">
        <v>0</v>
      </c>
      <c r="W62" s="90" t="n">
        <v>0</v>
      </c>
      <c r="X62" s="90" t="n">
        <v>0</v>
      </c>
      <c r="Y62" s="90" t="n">
        <v>0</v>
      </c>
      <c r="Z62" s="90" t="n">
        <v>0</v>
      </c>
      <c r="AA62" s="90" t="n">
        <v>0</v>
      </c>
      <c r="AB62" s="90" t="n">
        <v>0</v>
      </c>
      <c r="AC62" s="90" t="n">
        <v>0</v>
      </c>
      <c r="AD62" s="90" t="n">
        <v>0</v>
      </c>
      <c r="AE62" s="90" t="n">
        <v>0</v>
      </c>
      <c r="AF62" s="90" t="n">
        <v>0</v>
      </c>
      <c r="AG62" s="90" t="n">
        <v>0</v>
      </c>
      <c r="AH62" s="90" t="n">
        <v>0</v>
      </c>
      <c r="AI62" s="90" t="n">
        <v>0</v>
      </c>
      <c r="AJ62" s="90" t="n">
        <v>0</v>
      </c>
      <c r="AK62" s="90" t="n">
        <v>0</v>
      </c>
      <c r="AL62" s="90" t="n">
        <v>0</v>
      </c>
      <c r="AM62" s="90" t="n">
        <v>0</v>
      </c>
    </row>
    <row r="63" customFormat="false" ht="21" hidden="false" customHeight="true" outlineLevel="0" collapsed="false">
      <c r="C63" s="56" t="s">
        <v>514</v>
      </c>
      <c r="D63" s="89" t="n">
        <v>0</v>
      </c>
      <c r="E63" s="89" t="n">
        <v>0</v>
      </c>
      <c r="F63" s="89" t="n">
        <v>0</v>
      </c>
      <c r="G63" s="89" t="n">
        <v>0</v>
      </c>
      <c r="H63" s="89" t="n">
        <v>0</v>
      </c>
      <c r="I63" s="89" t="n">
        <v>0</v>
      </c>
      <c r="J63" s="90" t="n">
        <v>0</v>
      </c>
      <c r="K63" s="90" t="n">
        <v>0</v>
      </c>
      <c r="L63" s="90" t="n">
        <v>0</v>
      </c>
      <c r="M63" s="90" t="n">
        <v>0</v>
      </c>
      <c r="N63" s="90" t="n">
        <v>0</v>
      </c>
      <c r="O63" s="90" t="n">
        <v>0</v>
      </c>
      <c r="P63" s="90" t="n">
        <v>0</v>
      </c>
      <c r="Q63" s="90" t="n">
        <v>0</v>
      </c>
      <c r="R63" s="90" t="n">
        <v>0</v>
      </c>
      <c r="S63" s="90" t="n">
        <v>0</v>
      </c>
      <c r="T63" s="90" t="n">
        <v>0</v>
      </c>
      <c r="U63" s="90" t="n">
        <v>0</v>
      </c>
      <c r="V63" s="90" t="n">
        <v>0</v>
      </c>
      <c r="W63" s="90" t="n">
        <v>0</v>
      </c>
      <c r="X63" s="90" t="n">
        <v>0</v>
      </c>
      <c r="Y63" s="90" t="n">
        <v>0</v>
      </c>
      <c r="Z63" s="90" t="n">
        <v>0</v>
      </c>
      <c r="AA63" s="90" t="n">
        <v>0</v>
      </c>
      <c r="AB63" s="90" t="n">
        <v>0</v>
      </c>
      <c r="AC63" s="90" t="n">
        <v>0</v>
      </c>
      <c r="AD63" s="90" t="n">
        <v>0</v>
      </c>
      <c r="AE63" s="90" t="n">
        <v>0</v>
      </c>
      <c r="AF63" s="90" t="n">
        <v>0</v>
      </c>
      <c r="AG63" s="90" t="n">
        <v>0</v>
      </c>
      <c r="AH63" s="90" t="n">
        <v>0</v>
      </c>
      <c r="AI63" s="90" t="n">
        <v>0</v>
      </c>
      <c r="AJ63" s="90" t="n">
        <v>0</v>
      </c>
      <c r="AK63" s="90" t="n">
        <v>0</v>
      </c>
      <c r="AL63" s="90" t="n">
        <v>0</v>
      </c>
      <c r="AM63" s="90" t="n">
        <v>0</v>
      </c>
    </row>
    <row r="64" customFormat="false" ht="21" hidden="false" customHeight="true" outlineLevel="0" collapsed="false">
      <c r="C64" s="56" t="s">
        <v>515</v>
      </c>
      <c r="D64" s="89" t="n">
        <v>0</v>
      </c>
      <c r="E64" s="89" t="n">
        <v>0</v>
      </c>
      <c r="F64" s="89" t="n">
        <v>0</v>
      </c>
      <c r="G64" s="89" t="n">
        <v>0</v>
      </c>
      <c r="H64" s="89" t="n">
        <v>0</v>
      </c>
      <c r="I64" s="89" t="n">
        <v>0</v>
      </c>
      <c r="J64" s="90" t="n">
        <v>0</v>
      </c>
      <c r="K64" s="90" t="n">
        <v>0</v>
      </c>
      <c r="L64" s="90" t="n">
        <v>0</v>
      </c>
      <c r="M64" s="90" t="n">
        <v>0</v>
      </c>
      <c r="N64" s="90" t="n">
        <v>0</v>
      </c>
      <c r="O64" s="90" t="n">
        <v>0</v>
      </c>
      <c r="P64" s="90" t="n">
        <v>0</v>
      </c>
      <c r="Q64" s="90" t="n">
        <v>0</v>
      </c>
      <c r="R64" s="90" t="n">
        <v>0</v>
      </c>
      <c r="S64" s="90" t="n">
        <v>0</v>
      </c>
      <c r="T64" s="90" t="n">
        <v>0</v>
      </c>
      <c r="U64" s="90" t="n">
        <v>0</v>
      </c>
      <c r="V64" s="90" t="n">
        <v>0</v>
      </c>
      <c r="W64" s="90" t="n">
        <v>0</v>
      </c>
      <c r="X64" s="90" t="n">
        <v>0</v>
      </c>
      <c r="Y64" s="90" t="n">
        <v>0</v>
      </c>
      <c r="Z64" s="90" t="n">
        <v>0</v>
      </c>
      <c r="AA64" s="90" t="n">
        <v>0</v>
      </c>
      <c r="AB64" s="90" t="n">
        <v>0</v>
      </c>
      <c r="AC64" s="90" t="n">
        <v>0</v>
      </c>
      <c r="AD64" s="90" t="n">
        <v>0</v>
      </c>
      <c r="AE64" s="90" t="n">
        <v>0</v>
      </c>
      <c r="AF64" s="90" t="n">
        <v>0</v>
      </c>
      <c r="AG64" s="90" t="n">
        <v>0</v>
      </c>
      <c r="AH64" s="90" t="n">
        <v>0</v>
      </c>
      <c r="AI64" s="90" t="n">
        <v>0</v>
      </c>
      <c r="AJ64" s="90" t="n">
        <v>0</v>
      </c>
      <c r="AK64" s="90" t="n">
        <v>0</v>
      </c>
      <c r="AL64" s="90" t="n">
        <v>0</v>
      </c>
      <c r="AM64" s="90" t="n">
        <v>0</v>
      </c>
    </row>
    <row r="65" customFormat="false" ht="21" hidden="false" customHeight="true" outlineLevel="0" collapsed="false">
      <c r="C65" s="56" t="s">
        <v>516</v>
      </c>
      <c r="D65" s="89" t="n">
        <v>0</v>
      </c>
      <c r="E65" s="89" t="n">
        <v>0</v>
      </c>
      <c r="F65" s="89" t="n">
        <v>0</v>
      </c>
      <c r="G65" s="89" t="n">
        <v>0</v>
      </c>
      <c r="H65" s="89" t="n">
        <v>0</v>
      </c>
      <c r="I65" s="89" t="n">
        <v>0</v>
      </c>
      <c r="J65" s="90" t="n">
        <v>0</v>
      </c>
      <c r="K65" s="90" t="n">
        <v>0</v>
      </c>
      <c r="L65" s="90" t="n">
        <v>0</v>
      </c>
      <c r="M65" s="90" t="n">
        <v>0</v>
      </c>
      <c r="N65" s="90" t="n">
        <v>0</v>
      </c>
      <c r="O65" s="90" t="n">
        <v>0</v>
      </c>
      <c r="P65" s="90" t="n">
        <v>0</v>
      </c>
      <c r="Q65" s="90" t="n">
        <v>0</v>
      </c>
      <c r="R65" s="90" t="n">
        <v>0</v>
      </c>
      <c r="S65" s="90" t="n">
        <v>0</v>
      </c>
      <c r="T65" s="90" t="n">
        <v>0</v>
      </c>
      <c r="U65" s="90" t="n">
        <v>0</v>
      </c>
      <c r="V65" s="90" t="n">
        <v>0</v>
      </c>
      <c r="W65" s="90" t="n">
        <v>0</v>
      </c>
      <c r="X65" s="90" t="n">
        <v>0</v>
      </c>
      <c r="Y65" s="90" t="n">
        <v>0</v>
      </c>
      <c r="Z65" s="90" t="n">
        <v>0</v>
      </c>
      <c r="AA65" s="90" t="n">
        <v>0</v>
      </c>
      <c r="AB65" s="90" t="n">
        <v>0</v>
      </c>
      <c r="AC65" s="90" t="n">
        <v>0</v>
      </c>
      <c r="AD65" s="90" t="n">
        <v>0</v>
      </c>
      <c r="AE65" s="90" t="n">
        <v>0</v>
      </c>
      <c r="AF65" s="90" t="n">
        <v>0</v>
      </c>
      <c r="AG65" s="90" t="n">
        <v>0</v>
      </c>
      <c r="AH65" s="90" t="n">
        <v>0</v>
      </c>
      <c r="AI65" s="90" t="n">
        <v>0</v>
      </c>
      <c r="AJ65" s="90" t="n">
        <v>0</v>
      </c>
      <c r="AK65" s="90" t="n">
        <v>0</v>
      </c>
      <c r="AL65" s="90" t="n">
        <v>0</v>
      </c>
      <c r="AM65" s="90" t="n">
        <v>0</v>
      </c>
    </row>
    <row r="66" customFormat="false" ht="21" hidden="false" customHeight="true" outlineLevel="0" collapsed="false">
      <c r="C66" s="56"/>
      <c r="D66" s="59"/>
      <c r="E66" s="59"/>
      <c r="F66" s="59"/>
      <c r="G66" s="59"/>
      <c r="H66" s="59"/>
      <c r="I66" s="59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</row>
    <row r="67" customFormat="false" ht="21" hidden="false" customHeight="true" outlineLevel="0" collapsed="false">
      <c r="C67" s="56"/>
      <c r="D67" s="59"/>
      <c r="E67" s="59"/>
      <c r="F67" s="59"/>
      <c r="G67" s="59"/>
      <c r="H67" s="59"/>
      <c r="I67" s="59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</row>
    <row r="68" customFormat="false" ht="21" hidden="false" customHeight="true" outlineLevel="0" collapsed="false">
      <c r="C68" s="56"/>
      <c r="D68" s="59"/>
      <c r="E68" s="59"/>
      <c r="F68" s="59"/>
      <c r="G68" s="59"/>
      <c r="H68" s="59"/>
      <c r="I68" s="59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</row>
    <row r="69" customFormat="false" ht="21" hidden="false" customHeight="true" outlineLevel="0" collapsed="false">
      <c r="C69" s="56"/>
      <c r="D69" s="59"/>
      <c r="E69" s="59"/>
      <c r="F69" s="59"/>
      <c r="G69" s="59"/>
      <c r="H69" s="59"/>
      <c r="I69" s="59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</row>
    <row r="70" customFormat="false" ht="21" hidden="false" customHeight="true" outlineLevel="0" collapsed="false">
      <c r="C70" s="56" t="s">
        <v>517</v>
      </c>
      <c r="D70" s="91" t="n">
        <v>0</v>
      </c>
      <c r="E70" s="91" t="n">
        <v>0</v>
      </c>
      <c r="F70" s="91" t="n">
        <v>0</v>
      </c>
      <c r="G70" s="91" t="n">
        <v>0</v>
      </c>
      <c r="H70" s="91" t="n">
        <v>0</v>
      </c>
      <c r="I70" s="91" t="n">
        <v>0</v>
      </c>
      <c r="J70" s="92" t="n">
        <v>0</v>
      </c>
      <c r="K70" s="92" t="n">
        <v>0</v>
      </c>
      <c r="L70" s="92" t="n">
        <v>0</v>
      </c>
      <c r="M70" s="92" t="n">
        <v>0</v>
      </c>
      <c r="N70" s="92" t="n">
        <v>0</v>
      </c>
      <c r="O70" s="92" t="n">
        <v>0</v>
      </c>
      <c r="P70" s="92" t="n">
        <v>0</v>
      </c>
      <c r="Q70" s="92" t="n">
        <v>0</v>
      </c>
      <c r="R70" s="92" t="n">
        <v>0</v>
      </c>
      <c r="S70" s="92" t="n">
        <v>0</v>
      </c>
      <c r="T70" s="92" t="n">
        <v>0</v>
      </c>
      <c r="U70" s="92" t="n">
        <v>0</v>
      </c>
      <c r="V70" s="92" t="n">
        <v>0</v>
      </c>
      <c r="W70" s="92" t="n">
        <v>0</v>
      </c>
      <c r="X70" s="92" t="n">
        <v>0</v>
      </c>
      <c r="Y70" s="92" t="n">
        <v>0</v>
      </c>
      <c r="Z70" s="92" t="n">
        <v>0</v>
      </c>
      <c r="AA70" s="92" t="n">
        <v>0</v>
      </c>
      <c r="AB70" s="92" t="n">
        <v>0</v>
      </c>
      <c r="AC70" s="92" t="n">
        <v>0</v>
      </c>
      <c r="AD70" s="92" t="n">
        <v>0</v>
      </c>
      <c r="AE70" s="92" t="n">
        <v>0</v>
      </c>
      <c r="AF70" s="92" t="n">
        <v>0</v>
      </c>
      <c r="AG70" s="92" t="n">
        <v>0</v>
      </c>
      <c r="AH70" s="92" t="n">
        <v>0</v>
      </c>
      <c r="AI70" s="92" t="n">
        <v>0</v>
      </c>
      <c r="AJ70" s="92" t="n">
        <v>0</v>
      </c>
      <c r="AK70" s="92" t="n">
        <v>0</v>
      </c>
      <c r="AL70" s="92" t="n">
        <v>0</v>
      </c>
      <c r="AM70" s="92" t="n">
        <v>0</v>
      </c>
    </row>
    <row r="71" customFormat="false" ht="21" hidden="false" customHeight="true" outlineLevel="0" collapsed="false">
      <c r="C71" s="56" t="s">
        <v>518</v>
      </c>
      <c r="D71" s="91" t="n">
        <v>0</v>
      </c>
      <c r="E71" s="91" t="n">
        <v>0</v>
      </c>
      <c r="F71" s="91" t="n">
        <v>0</v>
      </c>
      <c r="G71" s="91" t="n">
        <v>0</v>
      </c>
      <c r="H71" s="91" t="n">
        <v>0</v>
      </c>
      <c r="I71" s="91" t="n">
        <v>0</v>
      </c>
      <c r="J71" s="92" t="n">
        <v>0</v>
      </c>
      <c r="K71" s="92" t="n">
        <v>0</v>
      </c>
      <c r="L71" s="92" t="n">
        <v>0</v>
      </c>
      <c r="M71" s="92" t="n">
        <v>0</v>
      </c>
      <c r="N71" s="92" t="n">
        <v>0</v>
      </c>
      <c r="O71" s="92" t="n">
        <v>0</v>
      </c>
      <c r="P71" s="92" t="n">
        <v>0</v>
      </c>
      <c r="Q71" s="92" t="n">
        <v>0</v>
      </c>
      <c r="R71" s="92" t="n">
        <v>0</v>
      </c>
      <c r="S71" s="92" t="n">
        <v>0</v>
      </c>
      <c r="T71" s="92" t="n">
        <v>0</v>
      </c>
      <c r="U71" s="92" t="n">
        <v>0</v>
      </c>
      <c r="V71" s="92" t="n">
        <v>0</v>
      </c>
      <c r="W71" s="92" t="n">
        <v>0</v>
      </c>
      <c r="X71" s="92" t="n">
        <v>0</v>
      </c>
      <c r="Y71" s="92" t="n">
        <v>0</v>
      </c>
      <c r="Z71" s="92" t="n">
        <v>0</v>
      </c>
      <c r="AA71" s="92" t="n">
        <v>0</v>
      </c>
      <c r="AB71" s="92" t="n">
        <v>0</v>
      </c>
      <c r="AC71" s="92" t="n">
        <v>0</v>
      </c>
      <c r="AD71" s="92" t="n">
        <v>0</v>
      </c>
      <c r="AE71" s="92" t="n">
        <v>0</v>
      </c>
      <c r="AF71" s="92" t="n">
        <v>0</v>
      </c>
      <c r="AG71" s="92" t="n">
        <v>0</v>
      </c>
      <c r="AH71" s="92" t="n">
        <v>0</v>
      </c>
      <c r="AI71" s="92" t="n">
        <v>0</v>
      </c>
      <c r="AJ71" s="92" t="n">
        <v>0</v>
      </c>
      <c r="AK71" s="92" t="n">
        <v>0</v>
      </c>
      <c r="AL71" s="92" t="n">
        <v>0</v>
      </c>
      <c r="AM71" s="92" t="n">
        <v>0</v>
      </c>
    </row>
    <row r="72" customFormat="false" ht="21" hidden="false" customHeight="true" outlineLevel="0" collapsed="false">
      <c r="C72" s="56" t="s">
        <v>519</v>
      </c>
      <c r="D72" s="91" t="n">
        <v>0</v>
      </c>
      <c r="E72" s="91" t="n">
        <v>0</v>
      </c>
      <c r="F72" s="91" t="n">
        <v>0</v>
      </c>
      <c r="G72" s="91" t="n">
        <v>0</v>
      </c>
      <c r="H72" s="91" t="n">
        <v>0</v>
      </c>
      <c r="I72" s="91" t="n">
        <v>0</v>
      </c>
      <c r="J72" s="92" t="n">
        <v>0</v>
      </c>
      <c r="K72" s="92" t="n">
        <v>0</v>
      </c>
      <c r="L72" s="92" t="n">
        <v>0</v>
      </c>
      <c r="M72" s="92" t="n">
        <v>0</v>
      </c>
      <c r="N72" s="92" t="n">
        <v>0</v>
      </c>
      <c r="O72" s="92" t="n">
        <v>0</v>
      </c>
      <c r="P72" s="92" t="n">
        <v>0</v>
      </c>
      <c r="Q72" s="92" t="n">
        <v>0</v>
      </c>
      <c r="R72" s="92" t="n">
        <v>0</v>
      </c>
      <c r="S72" s="92" t="n">
        <v>0</v>
      </c>
      <c r="T72" s="92" t="n">
        <v>0</v>
      </c>
      <c r="U72" s="92" t="n">
        <v>0</v>
      </c>
      <c r="V72" s="92" t="n">
        <v>0</v>
      </c>
      <c r="W72" s="92" t="n">
        <v>0</v>
      </c>
      <c r="X72" s="92" t="n">
        <v>0</v>
      </c>
      <c r="Y72" s="92" t="n">
        <v>0</v>
      </c>
      <c r="Z72" s="92" t="n">
        <v>0</v>
      </c>
      <c r="AA72" s="92" t="n">
        <v>0</v>
      </c>
      <c r="AB72" s="92" t="n">
        <v>0</v>
      </c>
      <c r="AC72" s="92" t="n">
        <v>0</v>
      </c>
      <c r="AD72" s="92" t="n">
        <v>0</v>
      </c>
      <c r="AE72" s="92" t="n">
        <v>0</v>
      </c>
      <c r="AF72" s="92" t="n">
        <v>0</v>
      </c>
      <c r="AG72" s="92" t="n">
        <v>0</v>
      </c>
      <c r="AH72" s="92" t="n">
        <v>0</v>
      </c>
      <c r="AI72" s="92" t="n">
        <v>0</v>
      </c>
      <c r="AJ72" s="92" t="n">
        <v>0</v>
      </c>
      <c r="AK72" s="92" t="n">
        <v>0</v>
      </c>
      <c r="AL72" s="92" t="n">
        <v>0</v>
      </c>
      <c r="AM72" s="92" t="n">
        <v>0</v>
      </c>
    </row>
    <row r="73" customFormat="false" ht="21" hidden="false" customHeight="true" outlineLevel="0" collapsed="false">
      <c r="C73" s="56" t="s">
        <v>520</v>
      </c>
      <c r="D73" s="91" t="n">
        <v>0</v>
      </c>
      <c r="E73" s="91" t="n">
        <v>0</v>
      </c>
      <c r="F73" s="91" t="n">
        <v>0</v>
      </c>
      <c r="G73" s="91" t="n">
        <v>0</v>
      </c>
      <c r="H73" s="91" t="n">
        <v>0</v>
      </c>
      <c r="I73" s="91" t="n">
        <v>0</v>
      </c>
      <c r="J73" s="92" t="n">
        <v>0</v>
      </c>
      <c r="K73" s="92" t="n">
        <v>0</v>
      </c>
      <c r="L73" s="92" t="n">
        <v>0</v>
      </c>
      <c r="M73" s="92" t="n">
        <v>0</v>
      </c>
      <c r="N73" s="92" t="n">
        <v>0</v>
      </c>
      <c r="O73" s="92" t="n">
        <v>0</v>
      </c>
      <c r="P73" s="92" t="n">
        <v>0</v>
      </c>
      <c r="Q73" s="92" t="n">
        <v>0</v>
      </c>
      <c r="R73" s="92" t="n">
        <v>0</v>
      </c>
      <c r="S73" s="92" t="n">
        <v>0</v>
      </c>
      <c r="T73" s="92" t="n">
        <v>0</v>
      </c>
      <c r="U73" s="92" t="n">
        <v>0</v>
      </c>
      <c r="V73" s="92" t="n">
        <v>0</v>
      </c>
      <c r="W73" s="92" t="n">
        <v>0</v>
      </c>
      <c r="X73" s="92" t="n">
        <v>0</v>
      </c>
      <c r="Y73" s="92" t="n">
        <v>0</v>
      </c>
      <c r="Z73" s="92" t="n">
        <v>0</v>
      </c>
      <c r="AA73" s="92" t="n">
        <v>0</v>
      </c>
      <c r="AB73" s="92" t="n">
        <v>0</v>
      </c>
      <c r="AC73" s="92" t="n">
        <v>0</v>
      </c>
      <c r="AD73" s="92" t="n">
        <v>0</v>
      </c>
      <c r="AE73" s="92" t="n">
        <v>0</v>
      </c>
      <c r="AF73" s="92" t="n">
        <v>0</v>
      </c>
      <c r="AG73" s="92" t="n">
        <v>0</v>
      </c>
      <c r="AH73" s="92" t="n">
        <v>0</v>
      </c>
      <c r="AI73" s="92" t="n">
        <v>0</v>
      </c>
      <c r="AJ73" s="92" t="n">
        <v>0</v>
      </c>
      <c r="AK73" s="92" t="n">
        <v>0</v>
      </c>
      <c r="AL73" s="92" t="n">
        <v>0</v>
      </c>
      <c r="AM73" s="92" t="n">
        <v>0</v>
      </c>
    </row>
    <row r="74" customFormat="false" ht="21" hidden="false" customHeight="true" outlineLevel="0" collapsed="false">
      <c r="C74" s="56" t="s">
        <v>521</v>
      </c>
      <c r="D74" s="91" t="n">
        <v>0</v>
      </c>
      <c r="E74" s="91" t="n">
        <v>0</v>
      </c>
      <c r="F74" s="91" t="n">
        <v>0</v>
      </c>
      <c r="G74" s="91" t="n">
        <v>0</v>
      </c>
      <c r="H74" s="91" t="n">
        <v>0</v>
      </c>
      <c r="I74" s="91" t="n">
        <v>0</v>
      </c>
      <c r="J74" s="92" t="n">
        <v>0</v>
      </c>
      <c r="K74" s="92" t="n">
        <v>0</v>
      </c>
      <c r="L74" s="92" t="n">
        <v>0</v>
      </c>
      <c r="M74" s="92" t="n">
        <v>0</v>
      </c>
      <c r="N74" s="92" t="n">
        <v>0</v>
      </c>
      <c r="O74" s="92" t="n">
        <v>0</v>
      </c>
      <c r="P74" s="92" t="n">
        <v>0</v>
      </c>
      <c r="Q74" s="92" t="n">
        <v>0</v>
      </c>
      <c r="R74" s="92" t="n">
        <v>0</v>
      </c>
      <c r="S74" s="92" t="n">
        <v>0</v>
      </c>
      <c r="T74" s="92" t="n">
        <v>0</v>
      </c>
      <c r="U74" s="92" t="n">
        <v>0</v>
      </c>
      <c r="V74" s="92" t="n">
        <v>0</v>
      </c>
      <c r="W74" s="92" t="n">
        <v>0</v>
      </c>
      <c r="X74" s="92" t="n">
        <v>0</v>
      </c>
      <c r="Y74" s="92" t="n">
        <v>0</v>
      </c>
      <c r="Z74" s="92" t="n">
        <v>0</v>
      </c>
      <c r="AA74" s="92" t="n">
        <v>0</v>
      </c>
      <c r="AB74" s="92" t="n">
        <v>0</v>
      </c>
      <c r="AC74" s="92" t="n">
        <v>0</v>
      </c>
      <c r="AD74" s="92" t="n">
        <v>0</v>
      </c>
      <c r="AE74" s="92" t="n">
        <v>0</v>
      </c>
      <c r="AF74" s="92" t="n">
        <v>0</v>
      </c>
      <c r="AG74" s="92" t="n">
        <v>0</v>
      </c>
      <c r="AH74" s="92" t="n">
        <v>0</v>
      </c>
      <c r="AI74" s="92" t="n">
        <v>0</v>
      </c>
      <c r="AJ74" s="92" t="n">
        <v>0</v>
      </c>
      <c r="AK74" s="92" t="n">
        <v>0</v>
      </c>
      <c r="AL74" s="92" t="n">
        <v>0</v>
      </c>
      <c r="AM74" s="92" t="n">
        <v>0</v>
      </c>
    </row>
    <row r="75" customFormat="false" ht="21" hidden="false" customHeight="true" outlineLevel="0" collapsed="false">
      <c r="C75" s="56" t="s">
        <v>522</v>
      </c>
      <c r="D75" s="91" t="n">
        <v>0</v>
      </c>
      <c r="E75" s="91" t="n">
        <v>0</v>
      </c>
      <c r="F75" s="91" t="n">
        <v>0</v>
      </c>
      <c r="G75" s="91" t="n">
        <v>0</v>
      </c>
      <c r="H75" s="91" t="n">
        <v>0</v>
      </c>
      <c r="I75" s="91" t="n">
        <v>0</v>
      </c>
      <c r="J75" s="92" t="n">
        <v>0</v>
      </c>
      <c r="K75" s="92" t="n">
        <v>0</v>
      </c>
      <c r="L75" s="92" t="n">
        <v>0</v>
      </c>
      <c r="M75" s="92" t="n">
        <v>0</v>
      </c>
      <c r="N75" s="92" t="n">
        <v>0</v>
      </c>
      <c r="O75" s="92" t="n">
        <v>0</v>
      </c>
      <c r="P75" s="92" t="n">
        <v>0</v>
      </c>
      <c r="Q75" s="92" t="n">
        <v>0</v>
      </c>
      <c r="R75" s="92" t="n">
        <v>0</v>
      </c>
      <c r="S75" s="92" t="n">
        <v>0</v>
      </c>
      <c r="T75" s="92" t="n">
        <v>0</v>
      </c>
      <c r="U75" s="92" t="n">
        <v>0</v>
      </c>
      <c r="V75" s="92" t="n">
        <v>0</v>
      </c>
      <c r="W75" s="92" t="n">
        <v>0</v>
      </c>
      <c r="X75" s="92" t="n">
        <v>0</v>
      </c>
      <c r="Y75" s="92" t="n">
        <v>0</v>
      </c>
      <c r="Z75" s="92" t="n">
        <v>0</v>
      </c>
      <c r="AA75" s="92" t="n">
        <v>0</v>
      </c>
      <c r="AB75" s="92" t="n">
        <v>0</v>
      </c>
      <c r="AC75" s="92" t="n">
        <v>0</v>
      </c>
      <c r="AD75" s="92" t="n">
        <v>0</v>
      </c>
      <c r="AE75" s="92" t="n">
        <v>0</v>
      </c>
      <c r="AF75" s="92" t="n">
        <v>0</v>
      </c>
      <c r="AG75" s="92" t="n">
        <v>0</v>
      </c>
      <c r="AH75" s="92" t="n">
        <v>0</v>
      </c>
      <c r="AI75" s="92" t="n">
        <v>0</v>
      </c>
      <c r="AJ75" s="92" t="n">
        <v>0</v>
      </c>
      <c r="AK75" s="92" t="n">
        <v>0</v>
      </c>
      <c r="AL75" s="92" t="n">
        <v>0</v>
      </c>
      <c r="AM75" s="92" t="n">
        <v>0</v>
      </c>
    </row>
    <row r="76" customFormat="false" ht="21" hidden="false" customHeight="true" outlineLevel="0" collapsed="false">
      <c r="C76" s="56" t="s">
        <v>523</v>
      </c>
      <c r="D76" s="91" t="n">
        <v>0</v>
      </c>
      <c r="E76" s="91" t="n">
        <v>0</v>
      </c>
      <c r="F76" s="91" t="n">
        <v>0</v>
      </c>
      <c r="G76" s="91" t="n">
        <v>0</v>
      </c>
      <c r="H76" s="91" t="n">
        <v>0</v>
      </c>
      <c r="I76" s="91" t="n">
        <v>0</v>
      </c>
      <c r="J76" s="92" t="n">
        <v>0</v>
      </c>
      <c r="K76" s="92" t="n">
        <v>0</v>
      </c>
      <c r="L76" s="92" t="n">
        <v>0</v>
      </c>
      <c r="M76" s="92" t="n">
        <v>0</v>
      </c>
      <c r="N76" s="92" t="n">
        <v>0</v>
      </c>
      <c r="O76" s="92" t="n">
        <v>0</v>
      </c>
      <c r="P76" s="92" t="n">
        <v>0</v>
      </c>
      <c r="Q76" s="92" t="n">
        <v>0</v>
      </c>
      <c r="R76" s="92" t="n">
        <v>0</v>
      </c>
      <c r="S76" s="92" t="n">
        <v>0</v>
      </c>
      <c r="T76" s="92" t="n">
        <v>0</v>
      </c>
      <c r="U76" s="92" t="n">
        <v>0</v>
      </c>
      <c r="V76" s="92" t="n">
        <v>0</v>
      </c>
      <c r="W76" s="92" t="n">
        <v>0</v>
      </c>
      <c r="X76" s="92" t="n">
        <v>0</v>
      </c>
      <c r="Y76" s="92" t="n">
        <v>0</v>
      </c>
      <c r="Z76" s="92" t="n">
        <v>0</v>
      </c>
      <c r="AA76" s="92" t="n">
        <v>0</v>
      </c>
      <c r="AB76" s="92" t="n">
        <v>0</v>
      </c>
      <c r="AC76" s="92" t="n">
        <v>0</v>
      </c>
      <c r="AD76" s="92" t="n">
        <v>0</v>
      </c>
      <c r="AE76" s="92" t="n">
        <v>0</v>
      </c>
      <c r="AF76" s="92" t="n">
        <v>0</v>
      </c>
      <c r="AG76" s="92" t="n">
        <v>0</v>
      </c>
      <c r="AH76" s="92" t="n">
        <v>0</v>
      </c>
      <c r="AI76" s="92" t="n">
        <v>0</v>
      </c>
      <c r="AJ76" s="92" t="n">
        <v>0</v>
      </c>
      <c r="AK76" s="92" t="n">
        <v>0</v>
      </c>
      <c r="AL76" s="92" t="n">
        <v>0</v>
      </c>
      <c r="AM76" s="92" t="n">
        <v>0</v>
      </c>
    </row>
    <row r="77" customFormat="false" ht="21" hidden="false" customHeight="true" outlineLevel="0" collapsed="false">
      <c r="C77" s="56" t="s">
        <v>524</v>
      </c>
      <c r="D77" s="91" t="n">
        <v>0</v>
      </c>
      <c r="E77" s="91" t="n">
        <v>0</v>
      </c>
      <c r="F77" s="91" t="n">
        <v>0</v>
      </c>
      <c r="G77" s="91" t="n">
        <v>0</v>
      </c>
      <c r="H77" s="91" t="n">
        <v>0</v>
      </c>
      <c r="I77" s="91" t="n">
        <v>0</v>
      </c>
      <c r="J77" s="92" t="n">
        <v>0</v>
      </c>
      <c r="K77" s="92" t="n">
        <v>0</v>
      </c>
      <c r="L77" s="92" t="n">
        <v>0</v>
      </c>
      <c r="M77" s="92" t="n">
        <v>0</v>
      </c>
      <c r="N77" s="92" t="n">
        <v>0</v>
      </c>
      <c r="O77" s="92" t="n">
        <v>0</v>
      </c>
      <c r="P77" s="92" t="n">
        <v>0</v>
      </c>
      <c r="Q77" s="92" t="n">
        <v>0</v>
      </c>
      <c r="R77" s="92" t="n">
        <v>0</v>
      </c>
      <c r="S77" s="92" t="n">
        <v>0</v>
      </c>
      <c r="T77" s="92" t="n">
        <v>0</v>
      </c>
      <c r="U77" s="92" t="n">
        <v>0</v>
      </c>
      <c r="V77" s="92" t="n">
        <v>0</v>
      </c>
      <c r="W77" s="92" t="n">
        <v>0</v>
      </c>
      <c r="X77" s="92" t="n">
        <v>0</v>
      </c>
      <c r="Y77" s="92" t="n">
        <v>0</v>
      </c>
      <c r="Z77" s="92" t="n">
        <v>0</v>
      </c>
      <c r="AA77" s="92" t="n">
        <v>0</v>
      </c>
      <c r="AB77" s="92" t="n">
        <v>0</v>
      </c>
      <c r="AC77" s="92" t="n">
        <v>0</v>
      </c>
      <c r="AD77" s="92" t="n">
        <v>0</v>
      </c>
      <c r="AE77" s="92" t="n">
        <v>0</v>
      </c>
      <c r="AF77" s="92" t="n">
        <v>0</v>
      </c>
      <c r="AG77" s="92" t="n">
        <v>0</v>
      </c>
      <c r="AH77" s="92" t="n">
        <v>0</v>
      </c>
      <c r="AI77" s="92" t="n">
        <v>0</v>
      </c>
      <c r="AJ77" s="92" t="n">
        <v>0</v>
      </c>
      <c r="AK77" s="92" t="n">
        <v>0</v>
      </c>
      <c r="AL77" s="92" t="n">
        <v>0</v>
      </c>
      <c r="AM77" s="92" t="n">
        <v>0</v>
      </c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</row>
    <row r="80" customFormat="false" ht="21" hidden="false" customHeight="true" outlineLevel="0" collapsed="false">
      <c r="C80" s="56" t="s">
        <v>525</v>
      </c>
      <c r="D80" s="88" t="n">
        <v>0.0123458511989627</v>
      </c>
      <c r="E80" s="88" t="n">
        <v>0.0123458511989627</v>
      </c>
      <c r="F80" s="88" t="n">
        <v>0.0123458511989627</v>
      </c>
      <c r="G80" s="88" t="n">
        <v>0.0123458511989627</v>
      </c>
      <c r="H80" s="88" t="n">
        <v>0.0123458511989627</v>
      </c>
      <c r="I80" s="88" t="n">
        <v>0.0123458511989627</v>
      </c>
      <c r="J80" s="87" t="n">
        <v>0.0123458511989627</v>
      </c>
      <c r="K80" s="87" t="n">
        <v>0.0123458511989627</v>
      </c>
      <c r="L80" s="87" t="n">
        <v>0.0123458511989627</v>
      </c>
      <c r="M80" s="87" t="n">
        <v>0.0123458511989627</v>
      </c>
      <c r="N80" s="87" t="n">
        <v>0.0123458511989627</v>
      </c>
      <c r="O80" s="87" t="n">
        <v>0.0123458511989627</v>
      </c>
      <c r="P80" s="87" t="n">
        <v>0.0123458511989627</v>
      </c>
      <c r="Q80" s="87" t="n">
        <v>0.0123458511989627</v>
      </c>
      <c r="R80" s="87" t="n">
        <v>0.0123458511989627</v>
      </c>
      <c r="S80" s="87" t="n">
        <v>0.0123458511989627</v>
      </c>
      <c r="T80" s="87" t="n">
        <v>0.0123458511989627</v>
      </c>
      <c r="U80" s="87" t="n">
        <v>0.0123458511989627</v>
      </c>
      <c r="V80" s="87" t="n">
        <v>0.0123458511989627</v>
      </c>
      <c r="W80" s="87" t="n">
        <v>0.0123458511989627</v>
      </c>
      <c r="X80" s="87" t="n">
        <v>0.0123458511989627</v>
      </c>
      <c r="Y80" s="87" t="n">
        <v>0.0123458511989627</v>
      </c>
      <c r="Z80" s="87" t="n">
        <v>0.0123458511989627</v>
      </c>
      <c r="AA80" s="87" t="n">
        <v>0.0123458511989627</v>
      </c>
      <c r="AB80" s="87" t="n">
        <v>0.0123458511989627</v>
      </c>
      <c r="AC80" s="87" t="n">
        <v>0.0123458511989627</v>
      </c>
      <c r="AD80" s="87" t="n">
        <v>0.0123458511989627</v>
      </c>
      <c r="AE80" s="87" t="n">
        <v>0.0123458511989627</v>
      </c>
      <c r="AF80" s="87" t="n">
        <v>0.0123458511989627</v>
      </c>
      <c r="AG80" s="87" t="n">
        <v>0.0123458511989627</v>
      </c>
      <c r="AH80" s="87" t="n">
        <v>0.0123458511989627</v>
      </c>
      <c r="AI80" s="87" t="n">
        <v>0.0123458511989627</v>
      </c>
      <c r="AJ80" s="87" t="n">
        <v>0.0123458511989627</v>
      </c>
      <c r="AK80" s="87" t="n">
        <v>0.0123458511989627</v>
      </c>
      <c r="AL80" s="87" t="n">
        <v>0.0123458511989627</v>
      </c>
      <c r="AM80" s="87" t="n">
        <v>0.0123458511989627</v>
      </c>
    </row>
    <row r="81" customFormat="false" ht="21" hidden="false" customHeight="true" outlineLevel="0" collapsed="false">
      <c r="C81" s="56" t="s">
        <v>526</v>
      </c>
      <c r="D81" s="88" t="n">
        <v>0.0423910246109768</v>
      </c>
      <c r="E81" s="88" t="n">
        <v>0.0423910246109768</v>
      </c>
      <c r="F81" s="88" t="n">
        <v>0.0423910246109768</v>
      </c>
      <c r="G81" s="88" t="n">
        <v>0.0423910246109768</v>
      </c>
      <c r="H81" s="88" t="n">
        <v>0.0423910246109768</v>
      </c>
      <c r="I81" s="88" t="n">
        <v>0.0423910246109768</v>
      </c>
      <c r="J81" s="87" t="n">
        <v>0.0423910246109768</v>
      </c>
      <c r="K81" s="87" t="n">
        <v>0.0423910246109768</v>
      </c>
      <c r="L81" s="87" t="n">
        <v>0.0423910246109768</v>
      </c>
      <c r="M81" s="87" t="n">
        <v>0.0423910246109768</v>
      </c>
      <c r="N81" s="87" t="n">
        <v>0.0423910246109768</v>
      </c>
      <c r="O81" s="87" t="n">
        <v>0.0423910246109768</v>
      </c>
      <c r="P81" s="87" t="n">
        <v>0.0423910246109768</v>
      </c>
      <c r="Q81" s="87" t="n">
        <v>0.0423910246109768</v>
      </c>
      <c r="R81" s="87" t="n">
        <v>0.0423910246109768</v>
      </c>
      <c r="S81" s="87" t="n">
        <v>0.0423910246109768</v>
      </c>
      <c r="T81" s="87" t="n">
        <v>0.0423910246109768</v>
      </c>
      <c r="U81" s="87" t="n">
        <v>0.0423910246109768</v>
      </c>
      <c r="V81" s="87" t="n">
        <v>0.0423910246109768</v>
      </c>
      <c r="W81" s="87" t="n">
        <v>0.0423910246109768</v>
      </c>
      <c r="X81" s="87" t="n">
        <v>0.0423910246109768</v>
      </c>
      <c r="Y81" s="87" t="n">
        <v>0.0423910246109768</v>
      </c>
      <c r="Z81" s="87" t="n">
        <v>0.0423910246109768</v>
      </c>
      <c r="AA81" s="87" t="n">
        <v>0.0423910246109768</v>
      </c>
      <c r="AB81" s="87" t="n">
        <v>0.0423910246109768</v>
      </c>
      <c r="AC81" s="87" t="n">
        <v>0.0423910246109768</v>
      </c>
      <c r="AD81" s="87" t="n">
        <v>0.0423910246109768</v>
      </c>
      <c r="AE81" s="87" t="n">
        <v>0.0423910246109768</v>
      </c>
      <c r="AF81" s="87" t="n">
        <v>0.0423910246109768</v>
      </c>
      <c r="AG81" s="87" t="n">
        <v>0.0423910246109768</v>
      </c>
      <c r="AH81" s="87" t="n">
        <v>0.0423910246109768</v>
      </c>
      <c r="AI81" s="87" t="n">
        <v>0.0423910246109768</v>
      </c>
      <c r="AJ81" s="87" t="n">
        <v>0.0423910246109768</v>
      </c>
      <c r="AK81" s="87" t="n">
        <v>0.0423910246109768</v>
      </c>
      <c r="AL81" s="87" t="n">
        <v>0.0423910246109768</v>
      </c>
      <c r="AM81" s="87" t="n">
        <v>0.0423910246109768</v>
      </c>
    </row>
    <row r="82" customFormat="false" ht="21" hidden="false" customHeight="true" outlineLevel="0" collapsed="false">
      <c r="C82" s="56" t="s">
        <v>527</v>
      </c>
      <c r="D82" s="88" t="n">
        <v>0.0223391071941145</v>
      </c>
      <c r="E82" s="88" t="n">
        <v>0.0223391071941145</v>
      </c>
      <c r="F82" s="88" t="n">
        <v>0.0223391071941145</v>
      </c>
      <c r="G82" s="88" t="n">
        <v>0.0223391071941145</v>
      </c>
      <c r="H82" s="88" t="n">
        <v>0.0223391071941145</v>
      </c>
      <c r="I82" s="88" t="n">
        <v>0.0223391071941145</v>
      </c>
      <c r="J82" s="87" t="n">
        <v>0.0223391071941145</v>
      </c>
      <c r="K82" s="87" t="n">
        <v>0.0223391071941145</v>
      </c>
      <c r="L82" s="87" t="n">
        <v>0.0223391071941145</v>
      </c>
      <c r="M82" s="87" t="n">
        <v>0.0223391071941145</v>
      </c>
      <c r="N82" s="87" t="n">
        <v>0.0223391071941145</v>
      </c>
      <c r="O82" s="87" t="n">
        <v>0.0223391071941145</v>
      </c>
      <c r="P82" s="87" t="n">
        <v>0.0223391071941145</v>
      </c>
      <c r="Q82" s="87" t="n">
        <v>0.0223391071941145</v>
      </c>
      <c r="R82" s="87" t="n">
        <v>0.0223391071941145</v>
      </c>
      <c r="S82" s="87" t="n">
        <v>0.0223391071941145</v>
      </c>
      <c r="T82" s="87" t="n">
        <v>0.0223391071941145</v>
      </c>
      <c r="U82" s="87" t="n">
        <v>0.0223391071941145</v>
      </c>
      <c r="V82" s="87" t="n">
        <v>0.0223391071941145</v>
      </c>
      <c r="W82" s="87" t="n">
        <v>0.0223391071941145</v>
      </c>
      <c r="X82" s="87" t="n">
        <v>0.0223391071941145</v>
      </c>
      <c r="Y82" s="87" t="n">
        <v>0.0223391071941145</v>
      </c>
      <c r="Z82" s="87" t="n">
        <v>0.0223391071941145</v>
      </c>
      <c r="AA82" s="87" t="n">
        <v>0.0223391071941145</v>
      </c>
      <c r="AB82" s="87" t="n">
        <v>0.0223391071941145</v>
      </c>
      <c r="AC82" s="87" t="n">
        <v>0.0223391071941145</v>
      </c>
      <c r="AD82" s="87" t="n">
        <v>0.0223391071941145</v>
      </c>
      <c r="AE82" s="87" t="n">
        <v>0.0223391071941145</v>
      </c>
      <c r="AF82" s="87" t="n">
        <v>0.0223391071941145</v>
      </c>
      <c r="AG82" s="87" t="n">
        <v>0.0223391071941145</v>
      </c>
      <c r="AH82" s="87" t="n">
        <v>0.0223391071941145</v>
      </c>
      <c r="AI82" s="87" t="n">
        <v>0.0223391071941145</v>
      </c>
      <c r="AJ82" s="87" t="n">
        <v>0.0223391071941145</v>
      </c>
      <c r="AK82" s="87" t="n">
        <v>0.0223391071941145</v>
      </c>
      <c r="AL82" s="87" t="n">
        <v>0.0223391071941145</v>
      </c>
      <c r="AM82" s="87" t="n">
        <v>0.0223391071941145</v>
      </c>
    </row>
    <row r="83" customFormat="false" ht="21" hidden="false" customHeight="true" outlineLevel="0" collapsed="false">
      <c r="C83" s="56" t="s">
        <v>528</v>
      </c>
      <c r="D83" s="88" t="n">
        <v>0.0714435328000255</v>
      </c>
      <c r="E83" s="88" t="n">
        <v>0.0714435328000255</v>
      </c>
      <c r="F83" s="88" t="n">
        <v>0.0714435328000255</v>
      </c>
      <c r="G83" s="88" t="n">
        <v>0.0714435328000255</v>
      </c>
      <c r="H83" s="88" t="n">
        <v>0.0714435328000255</v>
      </c>
      <c r="I83" s="88" t="n">
        <v>0.0714435328000255</v>
      </c>
      <c r="J83" s="87" t="n">
        <v>0.0714435328000255</v>
      </c>
      <c r="K83" s="87" t="n">
        <v>0.0714435328000255</v>
      </c>
      <c r="L83" s="87" t="n">
        <v>0.0714435328000255</v>
      </c>
      <c r="M83" s="87" t="n">
        <v>0.0714435328000255</v>
      </c>
      <c r="N83" s="87" t="n">
        <v>0.0714435328000255</v>
      </c>
      <c r="O83" s="87" t="n">
        <v>0.0714435328000255</v>
      </c>
      <c r="P83" s="87" t="n">
        <v>0.0714435328000255</v>
      </c>
      <c r="Q83" s="87" t="n">
        <v>0.0714435328000255</v>
      </c>
      <c r="R83" s="87" t="n">
        <v>0.0714435328000255</v>
      </c>
      <c r="S83" s="87" t="n">
        <v>0.0714435328000255</v>
      </c>
      <c r="T83" s="87" t="n">
        <v>0.0714435328000255</v>
      </c>
      <c r="U83" s="87" t="n">
        <v>0.0714435328000255</v>
      </c>
      <c r="V83" s="87" t="n">
        <v>0.0714435328000255</v>
      </c>
      <c r="W83" s="87" t="n">
        <v>0.0714435328000255</v>
      </c>
      <c r="X83" s="87" t="n">
        <v>0.0714435328000255</v>
      </c>
      <c r="Y83" s="87" t="n">
        <v>0.0714435328000255</v>
      </c>
      <c r="Z83" s="87" t="n">
        <v>0.0714435328000255</v>
      </c>
      <c r="AA83" s="87" t="n">
        <v>0.0714435328000255</v>
      </c>
      <c r="AB83" s="87" t="n">
        <v>0.0714435328000255</v>
      </c>
      <c r="AC83" s="87" t="n">
        <v>0.0714435328000255</v>
      </c>
      <c r="AD83" s="87" t="n">
        <v>0.0714435328000255</v>
      </c>
      <c r="AE83" s="87" t="n">
        <v>0.0714435328000255</v>
      </c>
      <c r="AF83" s="87" t="n">
        <v>0.0714435328000255</v>
      </c>
      <c r="AG83" s="87" t="n">
        <v>0.0714435328000255</v>
      </c>
      <c r="AH83" s="87" t="n">
        <v>0.0714435328000255</v>
      </c>
      <c r="AI83" s="87" t="n">
        <v>0.0714435328000255</v>
      </c>
      <c r="AJ83" s="87" t="n">
        <v>0.0714435328000255</v>
      </c>
      <c r="AK83" s="87" t="n">
        <v>0.0714435328000255</v>
      </c>
      <c r="AL83" s="87" t="n">
        <v>0.0714435328000255</v>
      </c>
      <c r="AM83" s="87" t="n">
        <v>0.0714435328000255</v>
      </c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</row>
    <row r="90" customFormat="false" ht="21" hidden="false" customHeight="true" outlineLevel="0" collapsed="false">
      <c r="C90" s="56" t="s">
        <v>529</v>
      </c>
      <c r="D90" s="89" t="n">
        <v>30</v>
      </c>
      <c r="E90" s="89" t="n">
        <v>30</v>
      </c>
      <c r="F90" s="89" t="n">
        <v>30</v>
      </c>
      <c r="G90" s="89" t="n">
        <v>30</v>
      </c>
      <c r="H90" s="89" t="n">
        <v>30</v>
      </c>
      <c r="I90" s="89" t="n">
        <v>30</v>
      </c>
      <c r="J90" s="90" t="n">
        <v>30</v>
      </c>
      <c r="K90" s="90" t="n">
        <v>30</v>
      </c>
      <c r="L90" s="90" t="n">
        <v>30</v>
      </c>
      <c r="M90" s="90" t="n">
        <v>30</v>
      </c>
      <c r="N90" s="90" t="n">
        <v>30</v>
      </c>
      <c r="O90" s="90" t="n">
        <v>30</v>
      </c>
      <c r="P90" s="90" t="n">
        <v>30</v>
      </c>
      <c r="Q90" s="90" t="n">
        <v>30</v>
      </c>
      <c r="R90" s="90" t="n">
        <v>30</v>
      </c>
      <c r="S90" s="90" t="n">
        <v>30</v>
      </c>
      <c r="T90" s="90" t="n">
        <v>30</v>
      </c>
      <c r="U90" s="90" t="n">
        <v>30</v>
      </c>
      <c r="V90" s="90" t="n">
        <v>30</v>
      </c>
      <c r="W90" s="90" t="n">
        <v>30</v>
      </c>
      <c r="X90" s="90" t="n">
        <v>30</v>
      </c>
      <c r="Y90" s="90" t="n">
        <v>30</v>
      </c>
      <c r="Z90" s="90" t="n">
        <v>30</v>
      </c>
      <c r="AA90" s="90" t="n">
        <v>30</v>
      </c>
      <c r="AB90" s="90" t="n">
        <v>30</v>
      </c>
      <c r="AC90" s="90" t="n">
        <v>30</v>
      </c>
      <c r="AD90" s="90" t="n">
        <v>30</v>
      </c>
      <c r="AE90" s="90" t="n">
        <v>30</v>
      </c>
      <c r="AF90" s="90" t="n">
        <v>30</v>
      </c>
      <c r="AG90" s="90" t="n">
        <v>30</v>
      </c>
      <c r="AH90" s="90" t="n">
        <v>30</v>
      </c>
      <c r="AI90" s="90" t="n">
        <v>30</v>
      </c>
      <c r="AJ90" s="90" t="n">
        <v>30</v>
      </c>
      <c r="AK90" s="90" t="n">
        <v>30</v>
      </c>
      <c r="AL90" s="90" t="n">
        <v>30</v>
      </c>
      <c r="AM90" s="90" t="n">
        <v>30</v>
      </c>
    </row>
    <row r="91" customFormat="false" ht="21" hidden="false" customHeight="true" outlineLevel="0" collapsed="false">
      <c r="C91" s="56" t="s">
        <v>530</v>
      </c>
      <c r="D91" s="89" t="n">
        <v>10</v>
      </c>
      <c r="E91" s="89" t="n">
        <v>10</v>
      </c>
      <c r="F91" s="89" t="n">
        <v>10</v>
      </c>
      <c r="G91" s="89" t="n">
        <v>10</v>
      </c>
      <c r="H91" s="89" t="n">
        <v>10</v>
      </c>
      <c r="I91" s="89" t="n">
        <v>10</v>
      </c>
      <c r="J91" s="90" t="n">
        <v>10</v>
      </c>
      <c r="K91" s="90" t="n">
        <v>10</v>
      </c>
      <c r="L91" s="90" t="n">
        <v>10</v>
      </c>
      <c r="M91" s="90" t="n">
        <v>10</v>
      </c>
      <c r="N91" s="90" t="n">
        <v>10</v>
      </c>
      <c r="O91" s="90" t="n">
        <v>10</v>
      </c>
      <c r="P91" s="90" t="n">
        <v>10</v>
      </c>
      <c r="Q91" s="90" t="n">
        <v>10</v>
      </c>
      <c r="R91" s="90" t="n">
        <v>10</v>
      </c>
      <c r="S91" s="90" t="n">
        <v>10</v>
      </c>
      <c r="T91" s="90" t="n">
        <v>10</v>
      </c>
      <c r="U91" s="90" t="n">
        <v>10</v>
      </c>
      <c r="V91" s="90" t="n">
        <v>10</v>
      </c>
      <c r="W91" s="90" t="n">
        <v>10</v>
      </c>
      <c r="X91" s="90" t="n">
        <v>10</v>
      </c>
      <c r="Y91" s="90" t="n">
        <v>10</v>
      </c>
      <c r="Z91" s="90" t="n">
        <v>10</v>
      </c>
      <c r="AA91" s="90" t="n">
        <v>10</v>
      </c>
      <c r="AB91" s="90" t="n">
        <v>10</v>
      </c>
      <c r="AC91" s="90" t="n">
        <v>10</v>
      </c>
      <c r="AD91" s="90" t="n">
        <v>10</v>
      </c>
      <c r="AE91" s="90" t="n">
        <v>10</v>
      </c>
      <c r="AF91" s="90" t="n">
        <v>10</v>
      </c>
      <c r="AG91" s="90" t="n">
        <v>10</v>
      </c>
      <c r="AH91" s="90" t="n">
        <v>10</v>
      </c>
      <c r="AI91" s="90" t="n">
        <v>10</v>
      </c>
      <c r="AJ91" s="90" t="n">
        <v>10</v>
      </c>
      <c r="AK91" s="90" t="n">
        <v>10</v>
      </c>
      <c r="AL91" s="90" t="n">
        <v>10</v>
      </c>
      <c r="AM91" s="90" t="n">
        <v>10</v>
      </c>
    </row>
    <row r="92" customFormat="false" ht="21" hidden="false" customHeight="true" outlineLevel="0" collapsed="false">
      <c r="C92" s="56" t="s">
        <v>531</v>
      </c>
      <c r="D92" s="89" t="n">
        <v>5</v>
      </c>
      <c r="E92" s="89" t="n">
        <v>5</v>
      </c>
      <c r="F92" s="89" t="n">
        <v>5</v>
      </c>
      <c r="G92" s="89" t="n">
        <v>5</v>
      </c>
      <c r="H92" s="89" t="n">
        <v>5</v>
      </c>
      <c r="I92" s="89" t="n">
        <v>5</v>
      </c>
      <c r="J92" s="90" t="n">
        <v>5</v>
      </c>
      <c r="K92" s="90" t="n">
        <v>5</v>
      </c>
      <c r="L92" s="90" t="n">
        <v>5</v>
      </c>
      <c r="M92" s="90" t="n">
        <v>5</v>
      </c>
      <c r="N92" s="90" t="n">
        <v>5</v>
      </c>
      <c r="O92" s="90" t="n">
        <v>5</v>
      </c>
      <c r="P92" s="90" t="n">
        <v>5</v>
      </c>
      <c r="Q92" s="90" t="n">
        <v>5</v>
      </c>
      <c r="R92" s="90" t="n">
        <v>5</v>
      </c>
      <c r="S92" s="90" t="n">
        <v>5</v>
      </c>
      <c r="T92" s="90" t="n">
        <v>5</v>
      </c>
      <c r="U92" s="90" t="n">
        <v>5</v>
      </c>
      <c r="V92" s="90" t="n">
        <v>5</v>
      </c>
      <c r="W92" s="90" t="n">
        <v>5</v>
      </c>
      <c r="X92" s="90" t="n">
        <v>5</v>
      </c>
      <c r="Y92" s="90" t="n">
        <v>5</v>
      </c>
      <c r="Z92" s="90" t="n">
        <v>5</v>
      </c>
      <c r="AA92" s="90" t="n">
        <v>5</v>
      </c>
      <c r="AB92" s="90" t="n">
        <v>5</v>
      </c>
      <c r="AC92" s="90" t="n">
        <v>5</v>
      </c>
      <c r="AD92" s="90" t="n">
        <v>5</v>
      </c>
      <c r="AE92" s="90" t="n">
        <v>5</v>
      </c>
      <c r="AF92" s="90" t="n">
        <v>5</v>
      </c>
      <c r="AG92" s="90" t="n">
        <v>5</v>
      </c>
      <c r="AH92" s="90" t="n">
        <v>5</v>
      </c>
      <c r="AI92" s="90" t="n">
        <v>5</v>
      </c>
      <c r="AJ92" s="90" t="n">
        <v>5</v>
      </c>
      <c r="AK92" s="90" t="n">
        <v>5</v>
      </c>
      <c r="AL92" s="90" t="n">
        <v>5</v>
      </c>
      <c r="AM92" s="90" t="n">
        <v>5</v>
      </c>
    </row>
    <row r="93" customFormat="false" ht="21" hidden="false" customHeight="true" outlineLevel="0" collapsed="false">
      <c r="C93" s="56" t="s">
        <v>532</v>
      </c>
      <c r="D93" s="89" t="n">
        <v>5</v>
      </c>
      <c r="E93" s="89" t="n">
        <v>5</v>
      </c>
      <c r="F93" s="89" t="n">
        <v>5</v>
      </c>
      <c r="G93" s="89" t="n">
        <v>5</v>
      </c>
      <c r="H93" s="89" t="n">
        <v>5</v>
      </c>
      <c r="I93" s="89" t="n">
        <v>5</v>
      </c>
      <c r="J93" s="90" t="n">
        <v>5</v>
      </c>
      <c r="K93" s="90" t="n">
        <v>5</v>
      </c>
      <c r="L93" s="90" t="n">
        <v>5</v>
      </c>
      <c r="M93" s="90" t="n">
        <v>5</v>
      </c>
      <c r="N93" s="90" t="n">
        <v>5</v>
      </c>
      <c r="O93" s="90" t="n">
        <v>5</v>
      </c>
      <c r="P93" s="90" t="n">
        <v>5</v>
      </c>
      <c r="Q93" s="90" t="n">
        <v>5</v>
      </c>
      <c r="R93" s="90" t="n">
        <v>5</v>
      </c>
      <c r="S93" s="90" t="n">
        <v>5</v>
      </c>
      <c r="T93" s="90" t="n">
        <v>5</v>
      </c>
      <c r="U93" s="90" t="n">
        <v>5</v>
      </c>
      <c r="V93" s="90" t="n">
        <v>5</v>
      </c>
      <c r="W93" s="90" t="n">
        <v>5</v>
      </c>
      <c r="X93" s="90" t="n">
        <v>5</v>
      </c>
      <c r="Y93" s="90" t="n">
        <v>5</v>
      </c>
      <c r="Z93" s="90" t="n">
        <v>5</v>
      </c>
      <c r="AA93" s="90" t="n">
        <v>5</v>
      </c>
      <c r="AB93" s="90" t="n">
        <v>5</v>
      </c>
      <c r="AC93" s="90" t="n">
        <v>5</v>
      </c>
      <c r="AD93" s="90" t="n">
        <v>5</v>
      </c>
      <c r="AE93" s="90" t="n">
        <v>5</v>
      </c>
      <c r="AF93" s="90" t="n">
        <v>5</v>
      </c>
      <c r="AG93" s="90" t="n">
        <v>5</v>
      </c>
      <c r="AH93" s="90" t="n">
        <v>5</v>
      </c>
      <c r="AI93" s="90" t="n">
        <v>5</v>
      </c>
      <c r="AJ93" s="90" t="n">
        <v>5</v>
      </c>
      <c r="AK93" s="90" t="n">
        <v>5</v>
      </c>
      <c r="AL93" s="90" t="n">
        <v>5</v>
      </c>
      <c r="AM93" s="90" t="n">
        <v>5</v>
      </c>
    </row>
    <row r="94" customFormat="false" ht="21" hidden="false" customHeight="true" outlineLevel="0" collapsed="false">
      <c r="C94" s="56" t="s">
        <v>533</v>
      </c>
      <c r="D94" s="89" t="n">
        <v>5</v>
      </c>
      <c r="E94" s="89" t="n">
        <v>5</v>
      </c>
      <c r="F94" s="89" t="n">
        <v>5</v>
      </c>
      <c r="G94" s="89" t="n">
        <v>5</v>
      </c>
      <c r="H94" s="89" t="n">
        <v>5</v>
      </c>
      <c r="I94" s="89" t="n">
        <v>5</v>
      </c>
      <c r="J94" s="90" t="n">
        <v>5</v>
      </c>
      <c r="K94" s="90" t="n">
        <v>5</v>
      </c>
      <c r="L94" s="90" t="n">
        <v>5</v>
      </c>
      <c r="M94" s="90" t="n">
        <v>5</v>
      </c>
      <c r="N94" s="90" t="n">
        <v>5</v>
      </c>
      <c r="O94" s="90" t="n">
        <v>5</v>
      </c>
      <c r="P94" s="90" t="n">
        <v>5</v>
      </c>
      <c r="Q94" s="90" t="n">
        <v>5</v>
      </c>
      <c r="R94" s="90" t="n">
        <v>5</v>
      </c>
      <c r="S94" s="90" t="n">
        <v>5</v>
      </c>
      <c r="T94" s="90" t="n">
        <v>5</v>
      </c>
      <c r="U94" s="90" t="n">
        <v>5</v>
      </c>
      <c r="V94" s="90" t="n">
        <v>5</v>
      </c>
      <c r="W94" s="90" t="n">
        <v>5</v>
      </c>
      <c r="X94" s="90" t="n">
        <v>5</v>
      </c>
      <c r="Y94" s="90" t="n">
        <v>5</v>
      </c>
      <c r="Z94" s="90" t="n">
        <v>5</v>
      </c>
      <c r="AA94" s="90" t="n">
        <v>5</v>
      </c>
      <c r="AB94" s="90" t="n">
        <v>5</v>
      </c>
      <c r="AC94" s="90" t="n">
        <v>5</v>
      </c>
      <c r="AD94" s="90" t="n">
        <v>5</v>
      </c>
      <c r="AE94" s="90" t="n">
        <v>5</v>
      </c>
      <c r="AF94" s="90" t="n">
        <v>5</v>
      </c>
      <c r="AG94" s="90" t="n">
        <v>5</v>
      </c>
      <c r="AH94" s="90" t="n">
        <v>5</v>
      </c>
      <c r="AI94" s="90" t="n">
        <v>5</v>
      </c>
      <c r="AJ94" s="90" t="n">
        <v>5</v>
      </c>
      <c r="AK94" s="90" t="n">
        <v>5</v>
      </c>
      <c r="AL94" s="90" t="n">
        <v>5</v>
      </c>
      <c r="AM94" s="90" t="n">
        <v>5</v>
      </c>
    </row>
    <row r="95" customFormat="false" ht="21" hidden="false" customHeight="true" outlineLevel="0" collapsed="false">
      <c r="C95" s="56" t="s">
        <v>534</v>
      </c>
      <c r="D95" s="89" t="n">
        <v>10</v>
      </c>
      <c r="E95" s="89" t="n">
        <v>10</v>
      </c>
      <c r="F95" s="89" t="n">
        <v>10</v>
      </c>
      <c r="G95" s="89" t="n">
        <v>10</v>
      </c>
      <c r="H95" s="89" t="n">
        <v>10</v>
      </c>
      <c r="I95" s="89" t="n">
        <v>10</v>
      </c>
      <c r="J95" s="90" t="n">
        <v>10</v>
      </c>
      <c r="K95" s="90" t="n">
        <v>10</v>
      </c>
      <c r="L95" s="90" t="n">
        <v>10</v>
      </c>
      <c r="M95" s="90" t="n">
        <v>10</v>
      </c>
      <c r="N95" s="90" t="n">
        <v>10</v>
      </c>
      <c r="O95" s="90" t="n">
        <v>10</v>
      </c>
      <c r="P95" s="90" t="n">
        <v>10</v>
      </c>
      <c r="Q95" s="90" t="n">
        <v>10</v>
      </c>
      <c r="R95" s="90" t="n">
        <v>10</v>
      </c>
      <c r="S95" s="90" t="n">
        <v>10</v>
      </c>
      <c r="T95" s="90" t="n">
        <v>10</v>
      </c>
      <c r="U95" s="90" t="n">
        <v>10</v>
      </c>
      <c r="V95" s="90" t="n">
        <v>10</v>
      </c>
      <c r="W95" s="90" t="n">
        <v>10</v>
      </c>
      <c r="X95" s="90" t="n">
        <v>10</v>
      </c>
      <c r="Y95" s="90" t="n">
        <v>10</v>
      </c>
      <c r="Z95" s="90" t="n">
        <v>10</v>
      </c>
      <c r="AA95" s="90" t="n">
        <v>10</v>
      </c>
      <c r="AB95" s="90" t="n">
        <v>10</v>
      </c>
      <c r="AC95" s="90" t="n">
        <v>10</v>
      </c>
      <c r="AD95" s="90" t="n">
        <v>10</v>
      </c>
      <c r="AE95" s="90" t="n">
        <v>10</v>
      </c>
      <c r="AF95" s="90" t="n">
        <v>10</v>
      </c>
      <c r="AG95" s="90" t="n">
        <v>10</v>
      </c>
      <c r="AH95" s="90" t="n">
        <v>10</v>
      </c>
      <c r="AI95" s="90" t="n">
        <v>10</v>
      </c>
      <c r="AJ95" s="90" t="n">
        <v>10</v>
      </c>
      <c r="AK95" s="90" t="n">
        <v>10</v>
      </c>
      <c r="AL95" s="90" t="n">
        <v>10</v>
      </c>
      <c r="AM95" s="90" t="n">
        <v>10</v>
      </c>
    </row>
    <row r="96" customFormat="false" ht="21" hidden="false" customHeight="true" outlineLevel="0" collapsed="false">
      <c r="C96" s="56" t="s">
        <v>535</v>
      </c>
      <c r="D96" s="89" t="n">
        <v>3</v>
      </c>
      <c r="E96" s="89" t="n">
        <v>3</v>
      </c>
      <c r="F96" s="89" t="n">
        <v>3</v>
      </c>
      <c r="G96" s="89" t="n">
        <v>3</v>
      </c>
      <c r="H96" s="89" t="n">
        <v>3</v>
      </c>
      <c r="I96" s="89" t="n">
        <v>3</v>
      </c>
      <c r="J96" s="90" t="n">
        <v>3</v>
      </c>
      <c r="K96" s="90" t="n">
        <v>3</v>
      </c>
      <c r="L96" s="90" t="n">
        <v>3</v>
      </c>
      <c r="M96" s="90" t="n">
        <v>3</v>
      </c>
      <c r="N96" s="90" t="n">
        <v>3</v>
      </c>
      <c r="O96" s="90" t="n">
        <v>3</v>
      </c>
      <c r="P96" s="90" t="n">
        <v>3</v>
      </c>
      <c r="Q96" s="90" t="n">
        <v>3</v>
      </c>
      <c r="R96" s="90" t="n">
        <v>3</v>
      </c>
      <c r="S96" s="90" t="n">
        <v>3</v>
      </c>
      <c r="T96" s="90" t="n">
        <v>3</v>
      </c>
      <c r="U96" s="90" t="n">
        <v>3</v>
      </c>
      <c r="V96" s="90" t="n">
        <v>3</v>
      </c>
      <c r="W96" s="90" t="n">
        <v>3</v>
      </c>
      <c r="X96" s="90" t="n">
        <v>3</v>
      </c>
      <c r="Y96" s="90" t="n">
        <v>3</v>
      </c>
      <c r="Z96" s="90" t="n">
        <v>3</v>
      </c>
      <c r="AA96" s="90" t="n">
        <v>3</v>
      </c>
      <c r="AB96" s="90" t="n">
        <v>3</v>
      </c>
      <c r="AC96" s="90" t="n">
        <v>3</v>
      </c>
      <c r="AD96" s="90" t="n">
        <v>3</v>
      </c>
      <c r="AE96" s="90" t="n">
        <v>3</v>
      </c>
      <c r="AF96" s="90" t="n">
        <v>3</v>
      </c>
      <c r="AG96" s="90" t="n">
        <v>3</v>
      </c>
      <c r="AH96" s="90" t="n">
        <v>3</v>
      </c>
      <c r="AI96" s="90" t="n">
        <v>3</v>
      </c>
      <c r="AJ96" s="90" t="n">
        <v>3</v>
      </c>
      <c r="AK96" s="90" t="n">
        <v>3</v>
      </c>
      <c r="AL96" s="90" t="n">
        <v>3</v>
      </c>
      <c r="AM96" s="90" t="n">
        <v>3</v>
      </c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</row>
    <row r="98" customFormat="false" ht="21" hidden="false" customHeight="true" outlineLevel="0" collapsed="false">
      <c r="C98" s="56" t="s">
        <v>536</v>
      </c>
      <c r="D98" s="88" t="n">
        <v>0.1</v>
      </c>
      <c r="E98" s="88" t="n">
        <v>0.1</v>
      </c>
      <c r="F98" s="88" t="n">
        <v>0.1</v>
      </c>
      <c r="G98" s="88" t="n">
        <v>0.1</v>
      </c>
      <c r="H98" s="88" t="n">
        <v>0.1</v>
      </c>
      <c r="I98" s="88" t="n">
        <v>0.1</v>
      </c>
      <c r="J98" s="87" t="n">
        <v>0.1</v>
      </c>
      <c r="K98" s="87" t="n">
        <v>0.1</v>
      </c>
      <c r="L98" s="87" t="n">
        <v>0.1</v>
      </c>
      <c r="M98" s="87" t="n">
        <v>0.1</v>
      </c>
      <c r="N98" s="87" t="n">
        <v>0.1</v>
      </c>
      <c r="O98" s="87" t="n">
        <v>0.1</v>
      </c>
      <c r="P98" s="87" t="n">
        <v>0.1</v>
      </c>
      <c r="Q98" s="87" t="n">
        <v>0.1</v>
      </c>
      <c r="R98" s="87" t="n">
        <v>0.1</v>
      </c>
      <c r="S98" s="87" t="n">
        <v>0.1</v>
      </c>
      <c r="T98" s="87" t="n">
        <v>0.1</v>
      </c>
      <c r="U98" s="87" t="n">
        <v>0.1</v>
      </c>
      <c r="V98" s="87" t="n">
        <v>0.1</v>
      </c>
      <c r="W98" s="87" t="n">
        <v>0.1</v>
      </c>
      <c r="X98" s="87" t="n">
        <v>0.1</v>
      </c>
      <c r="Y98" s="87" t="n">
        <v>0.1</v>
      </c>
      <c r="Z98" s="87" t="n">
        <v>0.1</v>
      </c>
      <c r="AA98" s="87" t="n">
        <v>0.1</v>
      </c>
      <c r="AB98" s="87" t="n">
        <v>0.1</v>
      </c>
      <c r="AC98" s="87" t="n">
        <v>0.1</v>
      </c>
      <c r="AD98" s="87" t="n">
        <v>0.1</v>
      </c>
      <c r="AE98" s="87" t="n">
        <v>0.1</v>
      </c>
      <c r="AF98" s="87" t="n">
        <v>0.1</v>
      </c>
      <c r="AG98" s="87" t="n">
        <v>0.1</v>
      </c>
      <c r="AH98" s="87" t="n">
        <v>0.1</v>
      </c>
      <c r="AI98" s="87" t="n">
        <v>0.1</v>
      </c>
      <c r="AJ98" s="87" t="n">
        <v>0.1</v>
      </c>
      <c r="AK98" s="87" t="n">
        <v>0.1</v>
      </c>
      <c r="AL98" s="87" t="n">
        <v>0.1</v>
      </c>
      <c r="AM98" s="87" t="n">
        <v>0.1</v>
      </c>
    </row>
    <row r="99" customFormat="false" ht="21" hidden="false" customHeight="true" outlineLevel="0" collapsed="false">
      <c r="C99" s="56" t="s">
        <v>537</v>
      </c>
      <c r="D99" s="89" t="n">
        <v>0</v>
      </c>
      <c r="E99" s="89" t="n">
        <v>0</v>
      </c>
      <c r="F99" s="89" t="n">
        <v>0</v>
      </c>
      <c r="G99" s="89" t="n">
        <v>0</v>
      </c>
      <c r="H99" s="89" t="n">
        <v>0</v>
      </c>
      <c r="I99" s="89" t="n">
        <v>0</v>
      </c>
      <c r="J99" s="90" t="n">
        <v>0</v>
      </c>
      <c r="K99" s="90" t="n">
        <v>0</v>
      </c>
      <c r="L99" s="90" t="n">
        <v>0</v>
      </c>
      <c r="M99" s="90" t="n">
        <v>0</v>
      </c>
      <c r="N99" s="90" t="n">
        <v>0</v>
      </c>
      <c r="O99" s="90" t="n">
        <v>0</v>
      </c>
      <c r="P99" s="90" t="n">
        <v>0</v>
      </c>
      <c r="Q99" s="90" t="n">
        <v>0</v>
      </c>
      <c r="R99" s="90" t="n">
        <v>0</v>
      </c>
      <c r="S99" s="90" t="n">
        <v>0</v>
      </c>
      <c r="T99" s="90" t="n">
        <v>0</v>
      </c>
      <c r="U99" s="90" t="n">
        <v>0</v>
      </c>
      <c r="V99" s="90" t="n">
        <v>0</v>
      </c>
      <c r="W99" s="90" t="n">
        <v>0</v>
      </c>
      <c r="X99" s="90" t="n">
        <v>0</v>
      </c>
      <c r="Y99" s="90" t="n">
        <v>0</v>
      </c>
      <c r="Z99" s="90" t="n">
        <v>0</v>
      </c>
      <c r="AA99" s="90" t="n">
        <v>0</v>
      </c>
      <c r="AB99" s="90" t="n">
        <v>0</v>
      </c>
      <c r="AC99" s="90" t="n">
        <v>0</v>
      </c>
      <c r="AD99" s="90" t="n">
        <v>0</v>
      </c>
      <c r="AE99" s="90" t="n">
        <v>0</v>
      </c>
      <c r="AF99" s="90" t="n">
        <v>0</v>
      </c>
      <c r="AG99" s="90" t="n">
        <v>0</v>
      </c>
      <c r="AH99" s="90" t="n">
        <v>0</v>
      </c>
      <c r="AI99" s="90" t="n">
        <v>0</v>
      </c>
      <c r="AJ99" s="90" t="n">
        <v>0</v>
      </c>
      <c r="AK99" s="90" t="n">
        <v>0</v>
      </c>
      <c r="AL99" s="90" t="n">
        <v>0</v>
      </c>
      <c r="AM99" s="90" t="n">
        <v>0</v>
      </c>
    </row>
    <row r="100" customFormat="false" ht="21" hidden="false" customHeight="true" outlineLevel="0" collapsed="false">
      <c r="C100" s="56" t="s">
        <v>538</v>
      </c>
      <c r="D100" s="89" t="n">
        <v>13.4981373941248</v>
      </c>
      <c r="E100" s="89" t="n">
        <v>13.4981373941248</v>
      </c>
      <c r="F100" s="89" t="n">
        <v>13.4981373941248</v>
      </c>
      <c r="G100" s="89" t="n">
        <v>13.4981373941248</v>
      </c>
      <c r="H100" s="89" t="n">
        <v>13.4981373941248</v>
      </c>
      <c r="I100" s="89" t="n">
        <v>13.4981373941248</v>
      </c>
      <c r="J100" s="90" t="n">
        <v>13.4981373941248</v>
      </c>
      <c r="K100" s="90" t="n">
        <v>13.4981373941248</v>
      </c>
      <c r="L100" s="90" t="n">
        <v>13.4981373941248</v>
      </c>
      <c r="M100" s="90" t="n">
        <v>13.4981373941248</v>
      </c>
      <c r="N100" s="90" t="n">
        <v>13.4981373941248</v>
      </c>
      <c r="O100" s="90" t="n">
        <v>13.4981373941248</v>
      </c>
      <c r="P100" s="90" t="n">
        <v>13.4981373941248</v>
      </c>
      <c r="Q100" s="90" t="n">
        <v>13.4981373941248</v>
      </c>
      <c r="R100" s="90" t="n">
        <v>13.4981373941248</v>
      </c>
      <c r="S100" s="90" t="n">
        <v>13.4981373941248</v>
      </c>
      <c r="T100" s="90" t="n">
        <v>13.4981373941248</v>
      </c>
      <c r="U100" s="90" t="n">
        <v>13.4981373941248</v>
      </c>
      <c r="V100" s="90" t="n">
        <v>13.4981373941248</v>
      </c>
      <c r="W100" s="90" t="n">
        <v>13.4981373941248</v>
      </c>
      <c r="X100" s="90" t="n">
        <v>13.4981373941248</v>
      </c>
      <c r="Y100" s="90" t="n">
        <v>13.4981373941248</v>
      </c>
      <c r="Z100" s="90" t="n">
        <v>13.4981373941248</v>
      </c>
      <c r="AA100" s="90" t="n">
        <v>13.4981373941248</v>
      </c>
      <c r="AB100" s="90" t="n">
        <v>13.4981373941248</v>
      </c>
      <c r="AC100" s="90" t="n">
        <v>13.4981373941248</v>
      </c>
      <c r="AD100" s="90" t="n">
        <v>13.4981373941248</v>
      </c>
      <c r="AE100" s="90" t="n">
        <v>13.4981373941248</v>
      </c>
      <c r="AF100" s="90" t="n">
        <v>13.4981373941248</v>
      </c>
      <c r="AG100" s="90" t="n">
        <v>13.4981373941248</v>
      </c>
      <c r="AH100" s="90" t="n">
        <v>13.4981373941248</v>
      </c>
      <c r="AI100" s="90" t="n">
        <v>13.4981373941248</v>
      </c>
      <c r="AJ100" s="90" t="n">
        <v>13.4981373941248</v>
      </c>
      <c r="AK100" s="90" t="n">
        <v>13.4981373941248</v>
      </c>
      <c r="AL100" s="90" t="n">
        <v>13.4981373941248</v>
      </c>
      <c r="AM100" s="90" t="n">
        <v>13.4981373941248</v>
      </c>
    </row>
    <row r="101" customFormat="false" ht="21" hidden="false" customHeight="true" outlineLevel="0" collapsed="false">
      <c r="C101" s="56" t="s">
        <v>539</v>
      </c>
      <c r="D101" s="88" t="n">
        <v>0</v>
      </c>
      <c r="E101" s="88" t="n">
        <v>0</v>
      </c>
      <c r="F101" s="88" t="n">
        <v>0</v>
      </c>
      <c r="G101" s="88" t="n">
        <v>0</v>
      </c>
      <c r="H101" s="88" t="n">
        <v>0</v>
      </c>
      <c r="I101" s="88" t="n">
        <v>0</v>
      </c>
      <c r="J101" s="87" t="n">
        <v>0</v>
      </c>
      <c r="K101" s="87" t="n">
        <v>0</v>
      </c>
      <c r="L101" s="87" t="n">
        <v>0</v>
      </c>
      <c r="M101" s="87" t="n">
        <v>0</v>
      </c>
      <c r="N101" s="87" t="n">
        <v>0</v>
      </c>
      <c r="O101" s="87" t="n">
        <v>0</v>
      </c>
      <c r="P101" s="87" t="n">
        <v>0</v>
      </c>
      <c r="Q101" s="87" t="n">
        <v>0</v>
      </c>
      <c r="R101" s="87" t="n">
        <v>0</v>
      </c>
      <c r="S101" s="87" t="n">
        <v>0</v>
      </c>
      <c r="T101" s="87" t="n">
        <v>0</v>
      </c>
      <c r="U101" s="87" t="n">
        <v>0</v>
      </c>
      <c r="V101" s="87" t="n">
        <v>0</v>
      </c>
      <c r="W101" s="87" t="n">
        <v>0</v>
      </c>
      <c r="X101" s="87" t="n">
        <v>0</v>
      </c>
      <c r="Y101" s="87" t="n">
        <v>0</v>
      </c>
      <c r="Z101" s="87" t="n">
        <v>0</v>
      </c>
      <c r="AA101" s="87" t="n">
        <v>0</v>
      </c>
      <c r="AB101" s="87" t="n">
        <v>0</v>
      </c>
      <c r="AC101" s="87" t="n">
        <v>0</v>
      </c>
      <c r="AD101" s="87" t="n">
        <v>0</v>
      </c>
      <c r="AE101" s="87" t="n">
        <v>0</v>
      </c>
      <c r="AF101" s="87" t="n">
        <v>0</v>
      </c>
      <c r="AG101" s="87" t="n">
        <v>0</v>
      </c>
      <c r="AH101" s="87" t="n">
        <v>0</v>
      </c>
      <c r="AI101" s="87" t="n">
        <v>0</v>
      </c>
      <c r="AJ101" s="87" t="n">
        <v>0</v>
      </c>
      <c r="AK101" s="87" t="n">
        <v>0</v>
      </c>
      <c r="AL101" s="87" t="n">
        <v>0</v>
      </c>
      <c r="AM101" s="87" t="n">
        <v>0</v>
      </c>
    </row>
    <row r="102" customFormat="false" ht="21" hidden="false" customHeight="true" outlineLevel="0" collapsed="false">
      <c r="C102" s="56" t="s">
        <v>540</v>
      </c>
      <c r="D102" s="88" t="n">
        <v>0</v>
      </c>
      <c r="E102" s="88" t="n">
        <v>0</v>
      </c>
      <c r="F102" s="88" t="n">
        <v>0</v>
      </c>
      <c r="G102" s="88" t="n">
        <v>0</v>
      </c>
      <c r="H102" s="88" t="n">
        <v>0</v>
      </c>
      <c r="I102" s="88" t="n">
        <v>0</v>
      </c>
      <c r="J102" s="87" t="n">
        <v>0</v>
      </c>
      <c r="K102" s="87" t="n">
        <v>0</v>
      </c>
      <c r="L102" s="87" t="n">
        <v>0</v>
      </c>
      <c r="M102" s="87" t="n">
        <v>0</v>
      </c>
      <c r="N102" s="87" t="n">
        <v>0</v>
      </c>
      <c r="O102" s="87" t="n">
        <v>0</v>
      </c>
      <c r="P102" s="87" t="n">
        <v>0</v>
      </c>
      <c r="Q102" s="87" t="n">
        <v>0</v>
      </c>
      <c r="R102" s="87" t="n">
        <v>0</v>
      </c>
      <c r="S102" s="87" t="n">
        <v>0</v>
      </c>
      <c r="T102" s="87" t="n">
        <v>0</v>
      </c>
      <c r="U102" s="87" t="n">
        <v>0</v>
      </c>
      <c r="V102" s="87" t="n">
        <v>0</v>
      </c>
      <c r="W102" s="87" t="n">
        <v>0</v>
      </c>
      <c r="X102" s="87" t="n">
        <v>0</v>
      </c>
      <c r="Y102" s="87" t="n">
        <v>0</v>
      </c>
      <c r="Z102" s="87" t="n">
        <v>0</v>
      </c>
      <c r="AA102" s="87" t="n">
        <v>0</v>
      </c>
      <c r="AB102" s="87" t="n">
        <v>0</v>
      </c>
      <c r="AC102" s="87" t="n">
        <v>0</v>
      </c>
      <c r="AD102" s="87" t="n">
        <v>0</v>
      </c>
      <c r="AE102" s="87" t="n">
        <v>0</v>
      </c>
      <c r="AF102" s="87" t="n">
        <v>0</v>
      </c>
      <c r="AG102" s="87" t="n">
        <v>0</v>
      </c>
      <c r="AH102" s="87" t="n">
        <v>0</v>
      </c>
      <c r="AI102" s="87" t="n">
        <v>0</v>
      </c>
      <c r="AJ102" s="87" t="n">
        <v>0</v>
      </c>
      <c r="AK102" s="87" t="n">
        <v>0</v>
      </c>
      <c r="AL102" s="87" t="n">
        <v>0</v>
      </c>
      <c r="AM102" s="87" t="n">
        <v>0</v>
      </c>
    </row>
    <row r="103" customFormat="false" ht="21" hidden="false" customHeight="true" outlineLevel="0" collapsed="false">
      <c r="C103" s="56" t="s">
        <v>541</v>
      </c>
      <c r="D103" s="89" t="n">
        <v>0</v>
      </c>
      <c r="E103" s="89" t="n">
        <v>0</v>
      </c>
      <c r="F103" s="89" t="n">
        <v>0</v>
      </c>
      <c r="G103" s="89" t="n">
        <v>0</v>
      </c>
      <c r="H103" s="89" t="n">
        <v>0</v>
      </c>
      <c r="I103" s="89" t="n">
        <v>0</v>
      </c>
      <c r="J103" s="90" t="n">
        <v>0</v>
      </c>
      <c r="K103" s="90" t="n">
        <v>0</v>
      </c>
      <c r="L103" s="90" t="n">
        <v>0</v>
      </c>
      <c r="M103" s="90" t="n">
        <v>0</v>
      </c>
      <c r="N103" s="90" t="n">
        <v>0</v>
      </c>
      <c r="O103" s="90" t="n">
        <v>0</v>
      </c>
      <c r="P103" s="90" t="n">
        <v>0</v>
      </c>
      <c r="Q103" s="90" t="n">
        <v>0</v>
      </c>
      <c r="R103" s="90" t="n">
        <v>0</v>
      </c>
      <c r="S103" s="90" t="n">
        <v>0</v>
      </c>
      <c r="T103" s="90" t="n">
        <v>0</v>
      </c>
      <c r="U103" s="90" t="n">
        <v>0</v>
      </c>
      <c r="V103" s="90" t="n">
        <v>0</v>
      </c>
      <c r="W103" s="90" t="n">
        <v>0</v>
      </c>
      <c r="X103" s="90" t="n">
        <v>0</v>
      </c>
      <c r="Y103" s="90" t="n">
        <v>0</v>
      </c>
      <c r="Z103" s="90" t="n">
        <v>0</v>
      </c>
      <c r="AA103" s="90" t="n">
        <v>0</v>
      </c>
      <c r="AB103" s="90" t="n">
        <v>0</v>
      </c>
      <c r="AC103" s="90" t="n">
        <v>0</v>
      </c>
      <c r="AD103" s="90" t="n">
        <v>0</v>
      </c>
      <c r="AE103" s="90" t="n">
        <v>0</v>
      </c>
      <c r="AF103" s="90" t="n">
        <v>0</v>
      </c>
      <c r="AG103" s="90" t="n">
        <v>0</v>
      </c>
      <c r="AH103" s="90" t="n">
        <v>0</v>
      </c>
      <c r="AI103" s="90" t="n">
        <v>0</v>
      </c>
      <c r="AJ103" s="90" t="n">
        <v>0</v>
      </c>
      <c r="AK103" s="90" t="n">
        <v>0</v>
      </c>
      <c r="AL103" s="90" t="n">
        <v>0</v>
      </c>
      <c r="AM103" s="90" t="n">
        <v>0</v>
      </c>
    </row>
    <row r="104" customFormat="false" ht="21" hidden="false" customHeight="true" outlineLevel="0" collapsed="false">
      <c r="C104" s="56" t="s">
        <v>542</v>
      </c>
      <c r="D104" s="89" t="n">
        <v>0</v>
      </c>
      <c r="E104" s="89" t="n">
        <v>0</v>
      </c>
      <c r="F104" s="89" t="n">
        <v>0</v>
      </c>
      <c r="G104" s="89" t="n">
        <v>0</v>
      </c>
      <c r="H104" s="89" t="n">
        <v>0</v>
      </c>
      <c r="I104" s="89" t="n">
        <v>0</v>
      </c>
      <c r="J104" s="90" t="n">
        <v>0</v>
      </c>
      <c r="K104" s="90" t="n">
        <v>0</v>
      </c>
      <c r="L104" s="90" t="n">
        <v>0</v>
      </c>
      <c r="M104" s="90" t="n">
        <v>0</v>
      </c>
      <c r="N104" s="90" t="n">
        <v>0</v>
      </c>
      <c r="O104" s="90" t="n">
        <v>0</v>
      </c>
      <c r="P104" s="90" t="n">
        <v>0</v>
      </c>
      <c r="Q104" s="90" t="n">
        <v>0</v>
      </c>
      <c r="R104" s="90" t="n">
        <v>0</v>
      </c>
      <c r="S104" s="90" t="n">
        <v>0</v>
      </c>
      <c r="T104" s="90" t="n">
        <v>0</v>
      </c>
      <c r="U104" s="90" t="n">
        <v>0</v>
      </c>
      <c r="V104" s="90" t="n">
        <v>0</v>
      </c>
      <c r="W104" s="90" t="n">
        <v>0</v>
      </c>
      <c r="X104" s="90" t="n">
        <v>0</v>
      </c>
      <c r="Y104" s="90" t="n">
        <v>0</v>
      </c>
      <c r="Z104" s="90" t="n">
        <v>0</v>
      </c>
      <c r="AA104" s="90" t="n">
        <v>0</v>
      </c>
      <c r="AB104" s="90" t="n">
        <v>0</v>
      </c>
      <c r="AC104" s="90" t="n">
        <v>0</v>
      </c>
      <c r="AD104" s="90" t="n">
        <v>0</v>
      </c>
      <c r="AE104" s="90" t="n">
        <v>0</v>
      </c>
      <c r="AF104" s="90" t="n">
        <v>0</v>
      </c>
      <c r="AG104" s="90" t="n">
        <v>0</v>
      </c>
      <c r="AH104" s="90" t="n">
        <v>0</v>
      </c>
      <c r="AI104" s="90" t="n">
        <v>0</v>
      </c>
      <c r="AJ104" s="90" t="n">
        <v>0</v>
      </c>
      <c r="AK104" s="90" t="n">
        <v>0</v>
      </c>
      <c r="AL104" s="90" t="n">
        <v>0</v>
      </c>
      <c r="AM104" s="90" t="n">
        <v>0</v>
      </c>
    </row>
    <row r="105" customFormat="false" ht="21" hidden="false" customHeight="true" outlineLevel="0" collapsed="false">
      <c r="C105" s="56" t="s">
        <v>543</v>
      </c>
      <c r="D105" s="89" t="n">
        <v>0</v>
      </c>
      <c r="E105" s="89" t="n">
        <v>0</v>
      </c>
      <c r="F105" s="89" t="n">
        <v>0</v>
      </c>
      <c r="G105" s="89" t="n">
        <v>0</v>
      </c>
      <c r="H105" s="89" t="n">
        <v>0</v>
      </c>
      <c r="I105" s="89" t="n">
        <v>0</v>
      </c>
      <c r="J105" s="90" t="n">
        <v>0</v>
      </c>
      <c r="K105" s="90" t="n">
        <v>0</v>
      </c>
      <c r="L105" s="90" t="n">
        <v>0</v>
      </c>
      <c r="M105" s="90" t="n">
        <v>0</v>
      </c>
      <c r="N105" s="90" t="n">
        <v>0</v>
      </c>
      <c r="O105" s="90" t="n">
        <v>0</v>
      </c>
      <c r="P105" s="90" t="n">
        <v>0</v>
      </c>
      <c r="Q105" s="90" t="n">
        <v>0</v>
      </c>
      <c r="R105" s="90" t="n">
        <v>0</v>
      </c>
      <c r="S105" s="90" t="n">
        <v>0</v>
      </c>
      <c r="T105" s="90" t="n">
        <v>0</v>
      </c>
      <c r="U105" s="90" t="n">
        <v>0</v>
      </c>
      <c r="V105" s="90" t="n">
        <v>0</v>
      </c>
      <c r="W105" s="90" t="n">
        <v>0</v>
      </c>
      <c r="X105" s="90" t="n">
        <v>0</v>
      </c>
      <c r="Y105" s="90" t="n">
        <v>0</v>
      </c>
      <c r="Z105" s="90" t="n">
        <v>0</v>
      </c>
      <c r="AA105" s="90" t="n">
        <v>0</v>
      </c>
      <c r="AB105" s="90" t="n">
        <v>0</v>
      </c>
      <c r="AC105" s="90" t="n">
        <v>0</v>
      </c>
      <c r="AD105" s="90" t="n">
        <v>0</v>
      </c>
      <c r="AE105" s="90" t="n">
        <v>0</v>
      </c>
      <c r="AF105" s="90" t="n">
        <v>0</v>
      </c>
      <c r="AG105" s="90" t="n">
        <v>0</v>
      </c>
      <c r="AH105" s="90" t="n">
        <v>0</v>
      </c>
      <c r="AI105" s="90" t="n">
        <v>0</v>
      </c>
      <c r="AJ105" s="90" t="n">
        <v>0</v>
      </c>
      <c r="AK105" s="90" t="n">
        <v>0</v>
      </c>
      <c r="AL105" s="90" t="n">
        <v>0</v>
      </c>
      <c r="AM105" s="90" t="n">
        <v>0</v>
      </c>
    </row>
    <row r="106" customFormat="false" ht="21" hidden="false" customHeight="true" outlineLevel="0" collapsed="false">
      <c r="C106" s="56" t="s">
        <v>544</v>
      </c>
      <c r="D106" s="89" t="n">
        <v>0</v>
      </c>
      <c r="E106" s="89" t="n">
        <v>0</v>
      </c>
      <c r="F106" s="89" t="n">
        <v>0</v>
      </c>
      <c r="G106" s="89" t="n">
        <v>0</v>
      </c>
      <c r="H106" s="89" t="n">
        <v>0</v>
      </c>
      <c r="I106" s="89" t="n">
        <v>0</v>
      </c>
      <c r="J106" s="90" t="n">
        <v>0</v>
      </c>
      <c r="K106" s="90" t="n">
        <v>0</v>
      </c>
      <c r="L106" s="90" t="n">
        <v>0</v>
      </c>
      <c r="M106" s="90" t="n">
        <v>0</v>
      </c>
      <c r="N106" s="90" t="n">
        <v>0</v>
      </c>
      <c r="O106" s="90" t="n">
        <v>0</v>
      </c>
      <c r="P106" s="90" t="n">
        <v>0</v>
      </c>
      <c r="Q106" s="90" t="n">
        <v>0</v>
      </c>
      <c r="R106" s="90" t="n">
        <v>0</v>
      </c>
      <c r="S106" s="90" t="n">
        <v>0</v>
      </c>
      <c r="T106" s="90" t="n">
        <v>0</v>
      </c>
      <c r="U106" s="90" t="n">
        <v>0</v>
      </c>
      <c r="V106" s="90" t="n">
        <v>0</v>
      </c>
      <c r="W106" s="90" t="n">
        <v>0</v>
      </c>
      <c r="X106" s="90" t="n">
        <v>0</v>
      </c>
      <c r="Y106" s="90" t="n">
        <v>0</v>
      </c>
      <c r="Z106" s="90" t="n">
        <v>0</v>
      </c>
      <c r="AA106" s="90" t="n">
        <v>0</v>
      </c>
      <c r="AB106" s="90" t="n">
        <v>0</v>
      </c>
      <c r="AC106" s="90" t="n">
        <v>0</v>
      </c>
      <c r="AD106" s="90" t="n">
        <v>0</v>
      </c>
      <c r="AE106" s="90" t="n">
        <v>0</v>
      </c>
      <c r="AF106" s="90" t="n">
        <v>0</v>
      </c>
      <c r="AG106" s="90" t="n">
        <v>0</v>
      </c>
      <c r="AH106" s="90" t="n">
        <v>0</v>
      </c>
      <c r="AI106" s="90" t="n">
        <v>0</v>
      </c>
      <c r="AJ106" s="90" t="n">
        <v>0</v>
      </c>
      <c r="AK106" s="90" t="n">
        <v>0</v>
      </c>
      <c r="AL106" s="90" t="n">
        <v>0</v>
      </c>
      <c r="AM106" s="90" t="n">
        <v>0</v>
      </c>
    </row>
    <row r="107" customFormat="false" ht="21" hidden="false" customHeight="true" outlineLevel="0" collapsed="false">
      <c r="C107" s="56" t="s">
        <v>545</v>
      </c>
      <c r="D107" s="89" t="n">
        <v>0</v>
      </c>
      <c r="E107" s="89" t="n">
        <v>0</v>
      </c>
      <c r="F107" s="89" t="n">
        <v>0</v>
      </c>
      <c r="G107" s="89" t="n">
        <v>0</v>
      </c>
      <c r="H107" s="89" t="n">
        <v>0</v>
      </c>
      <c r="I107" s="89" t="n">
        <v>0</v>
      </c>
      <c r="J107" s="90" t="n">
        <v>0</v>
      </c>
      <c r="K107" s="90" t="n">
        <v>0</v>
      </c>
      <c r="L107" s="90" t="n">
        <v>0</v>
      </c>
      <c r="M107" s="90" t="n">
        <v>0</v>
      </c>
      <c r="N107" s="90" t="n">
        <v>0</v>
      </c>
      <c r="O107" s="90" t="n">
        <v>0</v>
      </c>
      <c r="P107" s="90" t="n">
        <v>0</v>
      </c>
      <c r="Q107" s="90" t="n">
        <v>0</v>
      </c>
      <c r="R107" s="90" t="n">
        <v>0</v>
      </c>
      <c r="S107" s="90" t="n">
        <v>0</v>
      </c>
      <c r="T107" s="90" t="n">
        <v>0</v>
      </c>
      <c r="U107" s="90" t="n">
        <v>0</v>
      </c>
      <c r="V107" s="90" t="n">
        <v>0</v>
      </c>
      <c r="W107" s="90" t="n">
        <v>0</v>
      </c>
      <c r="X107" s="90" t="n">
        <v>0</v>
      </c>
      <c r="Y107" s="90" t="n">
        <v>0</v>
      </c>
      <c r="Z107" s="90" t="n">
        <v>0</v>
      </c>
      <c r="AA107" s="90" t="n">
        <v>0</v>
      </c>
      <c r="AB107" s="90" t="n">
        <v>0</v>
      </c>
      <c r="AC107" s="90" t="n">
        <v>0</v>
      </c>
      <c r="AD107" s="90" t="n">
        <v>0</v>
      </c>
      <c r="AE107" s="90" t="n">
        <v>0</v>
      </c>
      <c r="AF107" s="90" t="n">
        <v>0</v>
      </c>
      <c r="AG107" s="90" t="n">
        <v>0</v>
      </c>
      <c r="AH107" s="90" t="n">
        <v>0</v>
      </c>
      <c r="AI107" s="90" t="n">
        <v>0</v>
      </c>
      <c r="AJ107" s="90" t="n">
        <v>0</v>
      </c>
      <c r="AK107" s="90" t="n">
        <v>0</v>
      </c>
      <c r="AL107" s="90" t="n">
        <v>0</v>
      </c>
      <c r="AM107" s="90" t="n">
        <v>0</v>
      </c>
    </row>
    <row r="108" customFormat="false" ht="21" hidden="false" customHeight="true" outlineLevel="0" collapsed="false">
      <c r="C108" s="56" t="s">
        <v>546</v>
      </c>
      <c r="D108" s="89" t="n">
        <v>0</v>
      </c>
      <c r="E108" s="89" t="n">
        <v>0</v>
      </c>
      <c r="F108" s="89" t="n">
        <v>0</v>
      </c>
      <c r="G108" s="89" t="n">
        <v>0</v>
      </c>
      <c r="H108" s="89" t="n">
        <v>0</v>
      </c>
      <c r="I108" s="89" t="n">
        <v>0</v>
      </c>
      <c r="J108" s="90" t="n">
        <v>0</v>
      </c>
      <c r="K108" s="90" t="n">
        <v>0</v>
      </c>
      <c r="L108" s="90" t="n">
        <v>0</v>
      </c>
      <c r="M108" s="90" t="n">
        <v>0</v>
      </c>
      <c r="N108" s="90" t="n">
        <v>0</v>
      </c>
      <c r="O108" s="90" t="n">
        <v>0</v>
      </c>
      <c r="P108" s="90" t="n">
        <v>0</v>
      </c>
      <c r="Q108" s="90" t="n">
        <v>0</v>
      </c>
      <c r="R108" s="90" t="n">
        <v>0</v>
      </c>
      <c r="S108" s="90" t="n">
        <v>0</v>
      </c>
      <c r="T108" s="90" t="n">
        <v>0</v>
      </c>
      <c r="U108" s="90" t="n">
        <v>0</v>
      </c>
      <c r="V108" s="90" t="n">
        <v>0</v>
      </c>
      <c r="W108" s="90" t="n">
        <v>0</v>
      </c>
      <c r="X108" s="90" t="n">
        <v>0</v>
      </c>
      <c r="Y108" s="90" t="n">
        <v>0</v>
      </c>
      <c r="Z108" s="90" t="n">
        <v>0</v>
      </c>
      <c r="AA108" s="90" t="n">
        <v>0</v>
      </c>
      <c r="AB108" s="90" t="n">
        <v>0</v>
      </c>
      <c r="AC108" s="90" t="n">
        <v>0</v>
      </c>
      <c r="AD108" s="90" t="n">
        <v>0</v>
      </c>
      <c r="AE108" s="90" t="n">
        <v>0</v>
      </c>
      <c r="AF108" s="90" t="n">
        <v>0</v>
      </c>
      <c r="AG108" s="90" t="n">
        <v>0</v>
      </c>
      <c r="AH108" s="90" t="n">
        <v>0</v>
      </c>
      <c r="AI108" s="90" t="n">
        <v>0</v>
      </c>
      <c r="AJ108" s="90" t="n">
        <v>0</v>
      </c>
      <c r="AK108" s="90" t="n">
        <v>0</v>
      </c>
      <c r="AL108" s="90" t="n">
        <v>0</v>
      </c>
      <c r="AM108" s="90" t="n">
        <v>0</v>
      </c>
    </row>
    <row r="109" customFormat="false" ht="21" hidden="false" customHeight="true" outlineLevel="0" collapsed="false">
      <c r="C109" s="56" t="s">
        <v>547</v>
      </c>
      <c r="D109" s="89" t="n">
        <v>0</v>
      </c>
      <c r="E109" s="89" t="n">
        <v>0</v>
      </c>
      <c r="F109" s="89" t="n">
        <v>0</v>
      </c>
      <c r="G109" s="89" t="n">
        <v>0</v>
      </c>
      <c r="H109" s="89" t="n">
        <v>0</v>
      </c>
      <c r="I109" s="89" t="n">
        <v>0</v>
      </c>
      <c r="J109" s="90" t="n">
        <v>0</v>
      </c>
      <c r="K109" s="90" t="n">
        <v>0</v>
      </c>
      <c r="L109" s="90" t="n">
        <v>0</v>
      </c>
      <c r="M109" s="90" t="n">
        <v>0</v>
      </c>
      <c r="N109" s="90" t="n">
        <v>0</v>
      </c>
      <c r="O109" s="90" t="n">
        <v>0</v>
      </c>
      <c r="P109" s="90" t="n">
        <v>0</v>
      </c>
      <c r="Q109" s="90" t="n">
        <v>0</v>
      </c>
      <c r="R109" s="90" t="n">
        <v>0</v>
      </c>
      <c r="S109" s="90" t="n">
        <v>0</v>
      </c>
      <c r="T109" s="90" t="n">
        <v>0</v>
      </c>
      <c r="U109" s="90" t="n">
        <v>0</v>
      </c>
      <c r="V109" s="90" t="n">
        <v>0</v>
      </c>
      <c r="W109" s="90" t="n">
        <v>0</v>
      </c>
      <c r="X109" s="90" t="n">
        <v>0</v>
      </c>
      <c r="Y109" s="90" t="n">
        <v>0</v>
      </c>
      <c r="Z109" s="90" t="n">
        <v>0</v>
      </c>
      <c r="AA109" s="90" t="n">
        <v>0</v>
      </c>
      <c r="AB109" s="90" t="n">
        <v>0</v>
      </c>
      <c r="AC109" s="90" t="n">
        <v>0</v>
      </c>
      <c r="AD109" s="90" t="n">
        <v>0</v>
      </c>
      <c r="AE109" s="90" t="n">
        <v>0</v>
      </c>
      <c r="AF109" s="90" t="n">
        <v>0</v>
      </c>
      <c r="AG109" s="90" t="n">
        <v>0</v>
      </c>
      <c r="AH109" s="90" t="n">
        <v>0</v>
      </c>
      <c r="AI109" s="90" t="n">
        <v>0</v>
      </c>
      <c r="AJ109" s="90" t="n">
        <v>0</v>
      </c>
      <c r="AK109" s="90" t="n">
        <v>0</v>
      </c>
      <c r="AL109" s="90" t="n">
        <v>0</v>
      </c>
      <c r="AM109" s="90" t="n">
        <v>0</v>
      </c>
    </row>
    <row r="110" customFormat="false" ht="21" hidden="false" customHeight="true" outlineLevel="0" collapsed="false">
      <c r="C110" s="56" t="s">
        <v>548</v>
      </c>
      <c r="D110" s="89" t="n">
        <v>0</v>
      </c>
      <c r="E110" s="89" t="n">
        <v>0</v>
      </c>
      <c r="F110" s="89" t="n">
        <v>0</v>
      </c>
      <c r="G110" s="89" t="n">
        <v>0</v>
      </c>
      <c r="H110" s="89" t="n">
        <v>0</v>
      </c>
      <c r="I110" s="89" t="n">
        <v>0</v>
      </c>
      <c r="J110" s="90" t="n">
        <v>0</v>
      </c>
      <c r="K110" s="90" t="n">
        <v>0</v>
      </c>
      <c r="L110" s="90" t="n">
        <v>0</v>
      </c>
      <c r="M110" s="90" t="n">
        <v>0</v>
      </c>
      <c r="N110" s="90" t="n">
        <v>0</v>
      </c>
      <c r="O110" s="90" t="n">
        <v>0</v>
      </c>
      <c r="P110" s="90" t="n">
        <v>0</v>
      </c>
      <c r="Q110" s="90" t="n">
        <v>0</v>
      </c>
      <c r="R110" s="90" t="n">
        <v>0</v>
      </c>
      <c r="S110" s="90" t="n">
        <v>0</v>
      </c>
      <c r="T110" s="90" t="n">
        <v>0</v>
      </c>
      <c r="U110" s="90" t="n">
        <v>0</v>
      </c>
      <c r="V110" s="90" t="n">
        <v>0</v>
      </c>
      <c r="W110" s="90" t="n">
        <v>0</v>
      </c>
      <c r="X110" s="90" t="n">
        <v>0</v>
      </c>
      <c r="Y110" s="90" t="n">
        <v>0</v>
      </c>
      <c r="Z110" s="90" t="n">
        <v>0</v>
      </c>
      <c r="AA110" s="90" t="n">
        <v>0</v>
      </c>
      <c r="AB110" s="90" t="n">
        <v>0</v>
      </c>
      <c r="AC110" s="90" t="n">
        <v>0</v>
      </c>
      <c r="AD110" s="90" t="n">
        <v>0</v>
      </c>
      <c r="AE110" s="90" t="n">
        <v>0</v>
      </c>
      <c r="AF110" s="90" t="n">
        <v>0</v>
      </c>
      <c r="AG110" s="90" t="n">
        <v>0</v>
      </c>
      <c r="AH110" s="90" t="n">
        <v>0</v>
      </c>
      <c r="AI110" s="90" t="n">
        <v>0</v>
      </c>
      <c r="AJ110" s="90" t="n">
        <v>0</v>
      </c>
      <c r="AK110" s="90" t="n">
        <v>0</v>
      </c>
      <c r="AL110" s="90" t="n">
        <v>0</v>
      </c>
      <c r="AM110" s="90" t="n">
        <v>0</v>
      </c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</row>
    <row r="130" customFormat="false" ht="21" hidden="false" customHeight="true" outlineLevel="0" collapsed="false">
      <c r="C130" s="56" t="s">
        <v>549</v>
      </c>
      <c r="D130" s="89" t="n">
        <v>1</v>
      </c>
      <c r="E130" s="89" t="n">
        <v>1</v>
      </c>
      <c r="F130" s="89" t="n">
        <v>1</v>
      </c>
      <c r="G130" s="89" t="n">
        <v>1</v>
      </c>
      <c r="H130" s="89" t="n">
        <v>1</v>
      </c>
      <c r="I130" s="89" t="n">
        <v>1</v>
      </c>
      <c r="J130" s="90" t="n">
        <v>1</v>
      </c>
      <c r="K130" s="90" t="n">
        <v>1</v>
      </c>
      <c r="L130" s="90" t="n">
        <v>1</v>
      </c>
      <c r="M130" s="90" t="n">
        <v>1</v>
      </c>
      <c r="N130" s="90" t="n">
        <v>1</v>
      </c>
      <c r="O130" s="90" t="n">
        <v>1</v>
      </c>
      <c r="P130" s="90" t="n">
        <v>1</v>
      </c>
      <c r="Q130" s="90" t="n">
        <v>1</v>
      </c>
      <c r="R130" s="90" t="n">
        <v>1</v>
      </c>
      <c r="S130" s="90" t="n">
        <v>1</v>
      </c>
      <c r="T130" s="90" t="n">
        <v>1</v>
      </c>
      <c r="U130" s="90" t="n">
        <v>1</v>
      </c>
      <c r="V130" s="90" t="n">
        <v>1</v>
      </c>
      <c r="W130" s="90" t="n">
        <v>1</v>
      </c>
      <c r="X130" s="90" t="n">
        <v>1</v>
      </c>
      <c r="Y130" s="90" t="n">
        <v>1</v>
      </c>
      <c r="Z130" s="90" t="n">
        <v>1</v>
      </c>
      <c r="AA130" s="90" t="n">
        <v>1</v>
      </c>
      <c r="AB130" s="90" t="n">
        <v>1</v>
      </c>
      <c r="AC130" s="90" t="n">
        <v>1</v>
      </c>
      <c r="AD130" s="90" t="n">
        <v>1</v>
      </c>
      <c r="AE130" s="90" t="n">
        <v>1</v>
      </c>
      <c r="AF130" s="90" t="n">
        <v>1</v>
      </c>
      <c r="AG130" s="90" t="n">
        <v>1</v>
      </c>
      <c r="AH130" s="90" t="n">
        <v>1</v>
      </c>
      <c r="AI130" s="90" t="n">
        <v>1</v>
      </c>
      <c r="AJ130" s="90" t="n">
        <v>1</v>
      </c>
      <c r="AK130" s="90" t="n">
        <v>1</v>
      </c>
      <c r="AL130" s="90" t="n">
        <v>1</v>
      </c>
      <c r="AM130" s="90" t="n">
        <v>1</v>
      </c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</row>
    <row r="132" customFormat="false" ht="21" hidden="false" customHeight="true" outlineLevel="0" collapsed="false">
      <c r="C132" s="56" t="s">
        <v>550</v>
      </c>
      <c r="D132" s="89" t="n">
        <v>1</v>
      </c>
      <c r="E132" s="89" t="n">
        <v>1</v>
      </c>
      <c r="F132" s="89" t="n">
        <v>1</v>
      </c>
      <c r="G132" s="89" t="n">
        <v>1</v>
      </c>
      <c r="H132" s="89" t="n">
        <v>1</v>
      </c>
      <c r="I132" s="89" t="n">
        <v>1</v>
      </c>
      <c r="J132" s="90" t="n">
        <v>1</v>
      </c>
      <c r="K132" s="90" t="n">
        <v>1</v>
      </c>
      <c r="L132" s="90" t="n">
        <v>1</v>
      </c>
      <c r="M132" s="90" t="n">
        <v>1</v>
      </c>
      <c r="N132" s="90" t="n">
        <v>1</v>
      </c>
      <c r="O132" s="90" t="n">
        <v>1</v>
      </c>
      <c r="P132" s="90" t="n">
        <v>1</v>
      </c>
      <c r="Q132" s="90" t="n">
        <v>1</v>
      </c>
      <c r="R132" s="90" t="n">
        <v>1</v>
      </c>
      <c r="S132" s="90" t="n">
        <v>1</v>
      </c>
      <c r="T132" s="90" t="n">
        <v>1</v>
      </c>
      <c r="U132" s="90" t="n">
        <v>1</v>
      </c>
      <c r="V132" s="90" t="n">
        <v>1</v>
      </c>
      <c r="W132" s="90" t="n">
        <v>1</v>
      </c>
      <c r="X132" s="90" t="n">
        <v>1</v>
      </c>
      <c r="Y132" s="90" t="n">
        <v>1</v>
      </c>
      <c r="Z132" s="90" t="n">
        <v>1</v>
      </c>
      <c r="AA132" s="90" t="n">
        <v>1</v>
      </c>
      <c r="AB132" s="90" t="n">
        <v>1</v>
      </c>
      <c r="AC132" s="90" t="n">
        <v>1</v>
      </c>
      <c r="AD132" s="90" t="n">
        <v>1</v>
      </c>
      <c r="AE132" s="90" t="n">
        <v>1</v>
      </c>
      <c r="AF132" s="90" t="n">
        <v>1</v>
      </c>
      <c r="AG132" s="90" t="n">
        <v>1</v>
      </c>
      <c r="AH132" s="90" t="n">
        <v>1</v>
      </c>
      <c r="AI132" s="90" t="n">
        <v>1</v>
      </c>
      <c r="AJ132" s="90" t="n">
        <v>1</v>
      </c>
      <c r="AK132" s="90" t="n">
        <v>1</v>
      </c>
      <c r="AL132" s="90" t="n">
        <v>1</v>
      </c>
      <c r="AM132" s="90" t="n">
        <v>1</v>
      </c>
    </row>
    <row r="133" customFormat="false" ht="21" hidden="false" customHeight="true" outlineLevel="0" collapsed="false">
      <c r="C133" s="56" t="s">
        <v>551</v>
      </c>
      <c r="D133" s="89" t="n">
        <v>1</v>
      </c>
      <c r="E133" s="89" t="n">
        <v>1</v>
      </c>
      <c r="F133" s="89" t="n">
        <v>1</v>
      </c>
      <c r="G133" s="89" t="n">
        <v>1</v>
      </c>
      <c r="H133" s="89" t="n">
        <v>1</v>
      </c>
      <c r="I133" s="89" t="n">
        <v>1</v>
      </c>
      <c r="J133" s="90" t="n">
        <v>1</v>
      </c>
      <c r="K133" s="90" t="n">
        <v>1</v>
      </c>
      <c r="L133" s="90" t="n">
        <v>1</v>
      </c>
      <c r="M133" s="90" t="n">
        <v>1</v>
      </c>
      <c r="N133" s="90" t="n">
        <v>1</v>
      </c>
      <c r="O133" s="90" t="n">
        <v>1</v>
      </c>
      <c r="P133" s="90" t="n">
        <v>1</v>
      </c>
      <c r="Q133" s="90" t="n">
        <v>1</v>
      </c>
      <c r="R133" s="90" t="n">
        <v>1</v>
      </c>
      <c r="S133" s="90" t="n">
        <v>1</v>
      </c>
      <c r="T133" s="90" t="n">
        <v>1</v>
      </c>
      <c r="U133" s="90" t="n">
        <v>1</v>
      </c>
      <c r="V133" s="90" t="n">
        <v>1</v>
      </c>
      <c r="W133" s="90" t="n">
        <v>1</v>
      </c>
      <c r="X133" s="90" t="n">
        <v>1</v>
      </c>
      <c r="Y133" s="90" t="n">
        <v>1</v>
      </c>
      <c r="Z133" s="90" t="n">
        <v>1</v>
      </c>
      <c r="AA133" s="90" t="n">
        <v>1</v>
      </c>
      <c r="AB133" s="90" t="n">
        <v>1</v>
      </c>
      <c r="AC133" s="90" t="n">
        <v>1</v>
      </c>
      <c r="AD133" s="90" t="n">
        <v>1</v>
      </c>
      <c r="AE133" s="90" t="n">
        <v>1</v>
      </c>
      <c r="AF133" s="90" t="n">
        <v>1</v>
      </c>
      <c r="AG133" s="90" t="n">
        <v>1</v>
      </c>
      <c r="AH133" s="90" t="n">
        <v>1</v>
      </c>
      <c r="AI133" s="90" t="n">
        <v>1</v>
      </c>
      <c r="AJ133" s="90" t="n">
        <v>1</v>
      </c>
      <c r="AK133" s="90" t="n">
        <v>1</v>
      </c>
      <c r="AL133" s="90" t="n">
        <v>1</v>
      </c>
      <c r="AM133" s="90" t="n">
        <v>1</v>
      </c>
    </row>
    <row r="134" customFormat="false" ht="21" hidden="false" customHeight="true" outlineLevel="0" collapsed="false">
      <c r="C134" s="56" t="s">
        <v>552</v>
      </c>
      <c r="D134" s="89" t="n">
        <v>1</v>
      </c>
      <c r="E134" s="89" t="n">
        <v>1</v>
      </c>
      <c r="F134" s="89" t="n">
        <v>1</v>
      </c>
      <c r="G134" s="89" t="n">
        <v>1</v>
      </c>
      <c r="H134" s="89" t="n">
        <v>1</v>
      </c>
      <c r="I134" s="89" t="n">
        <v>1</v>
      </c>
      <c r="J134" s="90" t="n">
        <v>1</v>
      </c>
      <c r="K134" s="90" t="n">
        <v>1</v>
      </c>
      <c r="L134" s="90" t="n">
        <v>1</v>
      </c>
      <c r="M134" s="90" t="n">
        <v>1</v>
      </c>
      <c r="N134" s="90" t="n">
        <v>1</v>
      </c>
      <c r="O134" s="90" t="n">
        <v>1</v>
      </c>
      <c r="P134" s="90" t="n">
        <v>1</v>
      </c>
      <c r="Q134" s="90" t="n">
        <v>1</v>
      </c>
      <c r="R134" s="90" t="n">
        <v>1</v>
      </c>
      <c r="S134" s="90" t="n">
        <v>1</v>
      </c>
      <c r="T134" s="90" t="n">
        <v>1</v>
      </c>
      <c r="U134" s="90" t="n">
        <v>1</v>
      </c>
      <c r="V134" s="90" t="n">
        <v>1</v>
      </c>
      <c r="W134" s="90" t="n">
        <v>1</v>
      </c>
      <c r="X134" s="90" t="n">
        <v>1</v>
      </c>
      <c r="Y134" s="90" t="n">
        <v>1</v>
      </c>
      <c r="Z134" s="90" t="n">
        <v>1</v>
      </c>
      <c r="AA134" s="90" t="n">
        <v>1</v>
      </c>
      <c r="AB134" s="90" t="n">
        <v>1</v>
      </c>
      <c r="AC134" s="90" t="n">
        <v>1</v>
      </c>
      <c r="AD134" s="90" t="n">
        <v>1</v>
      </c>
      <c r="AE134" s="90" t="n">
        <v>1</v>
      </c>
      <c r="AF134" s="90" t="n">
        <v>1</v>
      </c>
      <c r="AG134" s="90" t="n">
        <v>1</v>
      </c>
      <c r="AH134" s="90" t="n">
        <v>1</v>
      </c>
      <c r="AI134" s="90" t="n">
        <v>1</v>
      </c>
      <c r="AJ134" s="90" t="n">
        <v>1</v>
      </c>
      <c r="AK134" s="90" t="n">
        <v>1</v>
      </c>
      <c r="AL134" s="90" t="n">
        <v>1</v>
      </c>
      <c r="AM134" s="90" t="n">
        <v>1</v>
      </c>
    </row>
    <row r="135" customFormat="false" ht="21" hidden="false" customHeight="true" outlineLevel="0" collapsed="false">
      <c r="C135" s="56" t="s">
        <v>553</v>
      </c>
      <c r="D135" s="89" t="n">
        <v>1</v>
      </c>
      <c r="E135" s="89" t="n">
        <v>1</v>
      </c>
      <c r="F135" s="89" t="n">
        <v>1</v>
      </c>
      <c r="G135" s="89" t="n">
        <v>1</v>
      </c>
      <c r="H135" s="89" t="n">
        <v>1</v>
      </c>
      <c r="I135" s="89" t="n">
        <v>1</v>
      </c>
      <c r="J135" s="90" t="n">
        <v>1</v>
      </c>
      <c r="K135" s="90" t="n">
        <v>1</v>
      </c>
      <c r="L135" s="90" t="n">
        <v>1</v>
      </c>
      <c r="M135" s="90" t="n">
        <v>1</v>
      </c>
      <c r="N135" s="90" t="n">
        <v>1</v>
      </c>
      <c r="O135" s="90" t="n">
        <v>1</v>
      </c>
      <c r="P135" s="90" t="n">
        <v>1</v>
      </c>
      <c r="Q135" s="90" t="n">
        <v>1</v>
      </c>
      <c r="R135" s="90" t="n">
        <v>1</v>
      </c>
      <c r="S135" s="90" t="n">
        <v>1</v>
      </c>
      <c r="T135" s="90" t="n">
        <v>1</v>
      </c>
      <c r="U135" s="90" t="n">
        <v>1</v>
      </c>
      <c r="V135" s="90" t="n">
        <v>1</v>
      </c>
      <c r="W135" s="90" t="n">
        <v>1</v>
      </c>
      <c r="X135" s="90" t="n">
        <v>1</v>
      </c>
      <c r="Y135" s="90" t="n">
        <v>1</v>
      </c>
      <c r="Z135" s="90" t="n">
        <v>1</v>
      </c>
      <c r="AA135" s="90" t="n">
        <v>1</v>
      </c>
      <c r="AB135" s="90" t="n">
        <v>1</v>
      </c>
      <c r="AC135" s="90" t="n">
        <v>1</v>
      </c>
      <c r="AD135" s="90" t="n">
        <v>1</v>
      </c>
      <c r="AE135" s="90" t="n">
        <v>1</v>
      </c>
      <c r="AF135" s="90" t="n">
        <v>1</v>
      </c>
      <c r="AG135" s="90" t="n">
        <v>1</v>
      </c>
      <c r="AH135" s="90" t="n">
        <v>1</v>
      </c>
      <c r="AI135" s="90" t="n">
        <v>1</v>
      </c>
      <c r="AJ135" s="90" t="n">
        <v>1</v>
      </c>
      <c r="AK135" s="90" t="n">
        <v>1</v>
      </c>
      <c r="AL135" s="90" t="n">
        <v>1</v>
      </c>
      <c r="AM135" s="90" t="n">
        <v>1</v>
      </c>
    </row>
    <row r="136" customFormat="false" ht="21" hidden="false" customHeight="true" outlineLevel="0" collapsed="false">
      <c r="C136" s="56" t="s">
        <v>554</v>
      </c>
      <c r="D136" s="89" t="n">
        <v>1</v>
      </c>
      <c r="E136" s="89" t="n">
        <v>1</v>
      </c>
      <c r="F136" s="89" t="n">
        <v>1</v>
      </c>
      <c r="G136" s="89" t="n">
        <v>1</v>
      </c>
      <c r="H136" s="89" t="n">
        <v>1</v>
      </c>
      <c r="I136" s="89" t="n">
        <v>1</v>
      </c>
      <c r="J136" s="90" t="n">
        <v>1</v>
      </c>
      <c r="K136" s="90" t="n">
        <v>1</v>
      </c>
      <c r="L136" s="90" t="n">
        <v>1</v>
      </c>
      <c r="M136" s="90" t="n">
        <v>1</v>
      </c>
      <c r="N136" s="90" t="n">
        <v>1</v>
      </c>
      <c r="O136" s="90" t="n">
        <v>1</v>
      </c>
      <c r="P136" s="90" t="n">
        <v>1</v>
      </c>
      <c r="Q136" s="90" t="n">
        <v>1</v>
      </c>
      <c r="R136" s="90" t="n">
        <v>1</v>
      </c>
      <c r="S136" s="90" t="n">
        <v>1</v>
      </c>
      <c r="T136" s="90" t="n">
        <v>1</v>
      </c>
      <c r="U136" s="90" t="n">
        <v>1</v>
      </c>
      <c r="V136" s="90" t="n">
        <v>1</v>
      </c>
      <c r="W136" s="90" t="n">
        <v>1</v>
      </c>
      <c r="X136" s="90" t="n">
        <v>1</v>
      </c>
      <c r="Y136" s="90" t="n">
        <v>1</v>
      </c>
      <c r="Z136" s="90" t="n">
        <v>1</v>
      </c>
      <c r="AA136" s="90" t="n">
        <v>1</v>
      </c>
      <c r="AB136" s="90" t="n">
        <v>1</v>
      </c>
      <c r="AC136" s="90" t="n">
        <v>1</v>
      </c>
      <c r="AD136" s="90" t="n">
        <v>1</v>
      </c>
      <c r="AE136" s="90" t="n">
        <v>1</v>
      </c>
      <c r="AF136" s="90" t="n">
        <v>1</v>
      </c>
      <c r="AG136" s="90" t="n">
        <v>1</v>
      </c>
      <c r="AH136" s="90" t="n">
        <v>1</v>
      </c>
      <c r="AI136" s="90" t="n">
        <v>1</v>
      </c>
      <c r="AJ136" s="90" t="n">
        <v>1</v>
      </c>
      <c r="AK136" s="90" t="n">
        <v>1</v>
      </c>
      <c r="AL136" s="90" t="n">
        <v>1</v>
      </c>
      <c r="AM136" s="90" t="n">
        <v>1</v>
      </c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</row>
    <row r="144" customFormat="false" ht="21" hidden="false" customHeight="true" outlineLevel="0" collapsed="false">
      <c r="C144" s="56" t="s">
        <v>555</v>
      </c>
      <c r="D144" s="89" t="n">
        <v>1</v>
      </c>
      <c r="E144" s="89" t="n">
        <v>1</v>
      </c>
      <c r="F144" s="89" t="n">
        <v>1</v>
      </c>
      <c r="G144" s="89" t="n">
        <v>1</v>
      </c>
      <c r="H144" s="89" t="n">
        <v>1</v>
      </c>
      <c r="I144" s="89" t="n">
        <v>1</v>
      </c>
      <c r="J144" s="90" t="n">
        <v>1</v>
      </c>
      <c r="K144" s="90" t="n">
        <v>1</v>
      </c>
      <c r="L144" s="90" t="n">
        <v>1</v>
      </c>
      <c r="M144" s="90" t="n">
        <v>1</v>
      </c>
      <c r="N144" s="90" t="n">
        <v>1</v>
      </c>
      <c r="O144" s="90" t="n">
        <v>1</v>
      </c>
      <c r="P144" s="90" t="n">
        <v>1</v>
      </c>
      <c r="Q144" s="90" t="n">
        <v>1</v>
      </c>
      <c r="R144" s="90" t="n">
        <v>1</v>
      </c>
      <c r="S144" s="90" t="n">
        <v>1</v>
      </c>
      <c r="T144" s="90" t="n">
        <v>1</v>
      </c>
      <c r="U144" s="90" t="n">
        <v>1</v>
      </c>
      <c r="V144" s="90" t="n">
        <v>1</v>
      </c>
      <c r="W144" s="90" t="n">
        <v>1</v>
      </c>
      <c r="X144" s="90" t="n">
        <v>1</v>
      </c>
      <c r="Y144" s="90" t="n">
        <v>1</v>
      </c>
      <c r="Z144" s="90" t="n">
        <v>1</v>
      </c>
      <c r="AA144" s="90" t="n">
        <v>1</v>
      </c>
      <c r="AB144" s="90" t="n">
        <v>1</v>
      </c>
      <c r="AC144" s="90" t="n">
        <v>1</v>
      </c>
      <c r="AD144" s="90" t="n">
        <v>1</v>
      </c>
      <c r="AE144" s="90" t="n">
        <v>1</v>
      </c>
      <c r="AF144" s="90" t="n">
        <v>1</v>
      </c>
      <c r="AG144" s="90" t="n">
        <v>1</v>
      </c>
      <c r="AH144" s="90" t="n">
        <v>1</v>
      </c>
      <c r="AI144" s="90" t="n">
        <v>1</v>
      </c>
      <c r="AJ144" s="90" t="n">
        <v>1</v>
      </c>
      <c r="AK144" s="90" t="n">
        <v>1</v>
      </c>
      <c r="AL144" s="90" t="n">
        <v>1</v>
      </c>
      <c r="AM144" s="90" t="n">
        <v>1</v>
      </c>
    </row>
    <row r="145" customFormat="false" ht="21" hidden="false" customHeight="true" outlineLevel="0" collapsed="false">
      <c r="C145" s="56" t="s">
        <v>556</v>
      </c>
      <c r="D145" s="89" t="n">
        <v>1</v>
      </c>
      <c r="E145" s="89" t="n">
        <v>1</v>
      </c>
      <c r="F145" s="89" t="n">
        <v>1</v>
      </c>
      <c r="G145" s="89" t="n">
        <v>1</v>
      </c>
      <c r="H145" s="89" t="n">
        <v>1</v>
      </c>
      <c r="I145" s="89" t="n">
        <v>1</v>
      </c>
      <c r="J145" s="90" t="n">
        <v>1</v>
      </c>
      <c r="K145" s="90" t="n">
        <v>1</v>
      </c>
      <c r="L145" s="90" t="n">
        <v>1</v>
      </c>
      <c r="M145" s="90" t="n">
        <v>1</v>
      </c>
      <c r="N145" s="90" t="n">
        <v>1</v>
      </c>
      <c r="O145" s="90" t="n">
        <v>1</v>
      </c>
      <c r="P145" s="90" t="n">
        <v>1</v>
      </c>
      <c r="Q145" s="90" t="n">
        <v>1</v>
      </c>
      <c r="R145" s="90" t="n">
        <v>1</v>
      </c>
      <c r="S145" s="90" t="n">
        <v>1</v>
      </c>
      <c r="T145" s="90" t="n">
        <v>1</v>
      </c>
      <c r="U145" s="90" t="n">
        <v>1</v>
      </c>
      <c r="V145" s="90" t="n">
        <v>1</v>
      </c>
      <c r="W145" s="90" t="n">
        <v>1</v>
      </c>
      <c r="X145" s="90" t="n">
        <v>1</v>
      </c>
      <c r="Y145" s="90" t="n">
        <v>1</v>
      </c>
      <c r="Z145" s="90" t="n">
        <v>1</v>
      </c>
      <c r="AA145" s="90" t="n">
        <v>1</v>
      </c>
      <c r="AB145" s="90" t="n">
        <v>1</v>
      </c>
      <c r="AC145" s="90" t="n">
        <v>1</v>
      </c>
      <c r="AD145" s="90" t="n">
        <v>1</v>
      </c>
      <c r="AE145" s="90" t="n">
        <v>1</v>
      </c>
      <c r="AF145" s="90" t="n">
        <v>1</v>
      </c>
      <c r="AG145" s="90" t="n">
        <v>1</v>
      </c>
      <c r="AH145" s="90" t="n">
        <v>1</v>
      </c>
      <c r="AI145" s="90" t="n">
        <v>1</v>
      </c>
      <c r="AJ145" s="90" t="n">
        <v>1</v>
      </c>
      <c r="AK145" s="90" t="n">
        <v>1</v>
      </c>
      <c r="AL145" s="90" t="n">
        <v>1</v>
      </c>
      <c r="AM145" s="90" t="n">
        <v>1</v>
      </c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</row>
    <row r="147" customFormat="false" ht="21" hidden="false" customHeight="true" outlineLevel="0" collapsed="false">
      <c r="C147" s="56" t="s">
        <v>557</v>
      </c>
      <c r="D147" s="89" t="n">
        <v>1</v>
      </c>
      <c r="E147" s="89" t="n">
        <v>1</v>
      </c>
      <c r="F147" s="89" t="n">
        <v>1</v>
      </c>
      <c r="G147" s="89" t="n">
        <v>1</v>
      </c>
      <c r="H147" s="89" t="n">
        <v>1</v>
      </c>
      <c r="I147" s="89" t="n">
        <v>1</v>
      </c>
      <c r="J147" s="90" t="n">
        <v>1</v>
      </c>
      <c r="K147" s="90" t="n">
        <v>1</v>
      </c>
      <c r="L147" s="90" t="n">
        <v>1</v>
      </c>
      <c r="M147" s="90" t="n">
        <v>1</v>
      </c>
      <c r="N147" s="90" t="n">
        <v>1</v>
      </c>
      <c r="O147" s="90" t="n">
        <v>1</v>
      </c>
      <c r="P147" s="90" t="n">
        <v>1</v>
      </c>
      <c r="Q147" s="90" t="n">
        <v>1</v>
      </c>
      <c r="R147" s="90" t="n">
        <v>1</v>
      </c>
      <c r="S147" s="90" t="n">
        <v>1</v>
      </c>
      <c r="T147" s="90" t="n">
        <v>1</v>
      </c>
      <c r="U147" s="90" t="n">
        <v>1</v>
      </c>
      <c r="V147" s="90" t="n">
        <v>1</v>
      </c>
      <c r="W147" s="90" t="n">
        <v>1</v>
      </c>
      <c r="X147" s="90" t="n">
        <v>1</v>
      </c>
      <c r="Y147" s="90" t="n">
        <v>1</v>
      </c>
      <c r="Z147" s="90" t="n">
        <v>1</v>
      </c>
      <c r="AA147" s="90" t="n">
        <v>1</v>
      </c>
      <c r="AB147" s="90" t="n">
        <v>1</v>
      </c>
      <c r="AC147" s="90" t="n">
        <v>1</v>
      </c>
      <c r="AD147" s="90" t="n">
        <v>1</v>
      </c>
      <c r="AE147" s="90" t="n">
        <v>1</v>
      </c>
      <c r="AF147" s="90" t="n">
        <v>1</v>
      </c>
      <c r="AG147" s="90" t="n">
        <v>1</v>
      </c>
      <c r="AH147" s="90" t="n">
        <v>1</v>
      </c>
      <c r="AI147" s="90" t="n">
        <v>1</v>
      </c>
      <c r="AJ147" s="90" t="n">
        <v>1</v>
      </c>
      <c r="AK147" s="90" t="n">
        <v>1</v>
      </c>
      <c r="AL147" s="90" t="n">
        <v>1</v>
      </c>
      <c r="AM147" s="90" t="n">
        <v>1</v>
      </c>
    </row>
    <row r="148" customFormat="false" ht="21" hidden="false" customHeight="true" outlineLevel="0" collapsed="false">
      <c r="C148" s="56" t="s">
        <v>558</v>
      </c>
      <c r="D148" s="89" t="n">
        <v>1</v>
      </c>
      <c r="E148" s="89" t="n">
        <v>1</v>
      </c>
      <c r="F148" s="89" t="n">
        <v>1</v>
      </c>
      <c r="G148" s="89" t="n">
        <v>1</v>
      </c>
      <c r="H148" s="89" t="n">
        <v>1</v>
      </c>
      <c r="I148" s="89" t="n">
        <v>1</v>
      </c>
      <c r="J148" s="90" t="n">
        <v>1</v>
      </c>
      <c r="K148" s="90" t="n">
        <v>1</v>
      </c>
      <c r="L148" s="90" t="n">
        <v>1</v>
      </c>
      <c r="M148" s="90" t="n">
        <v>1</v>
      </c>
      <c r="N148" s="90" t="n">
        <v>1</v>
      </c>
      <c r="O148" s="90" t="n">
        <v>1</v>
      </c>
      <c r="P148" s="90" t="n">
        <v>1</v>
      </c>
      <c r="Q148" s="90" t="n">
        <v>1</v>
      </c>
      <c r="R148" s="90" t="n">
        <v>1</v>
      </c>
      <c r="S148" s="90" t="n">
        <v>1</v>
      </c>
      <c r="T148" s="90" t="n">
        <v>1</v>
      </c>
      <c r="U148" s="90" t="n">
        <v>1</v>
      </c>
      <c r="V148" s="90" t="n">
        <v>1</v>
      </c>
      <c r="W148" s="90" t="n">
        <v>1</v>
      </c>
      <c r="X148" s="90" t="n">
        <v>1</v>
      </c>
      <c r="Y148" s="90" t="n">
        <v>1</v>
      </c>
      <c r="Z148" s="90" t="n">
        <v>1</v>
      </c>
      <c r="AA148" s="90" t="n">
        <v>1</v>
      </c>
      <c r="AB148" s="90" t="n">
        <v>1</v>
      </c>
      <c r="AC148" s="90" t="n">
        <v>1</v>
      </c>
      <c r="AD148" s="90" t="n">
        <v>1</v>
      </c>
      <c r="AE148" s="90" t="n">
        <v>1</v>
      </c>
      <c r="AF148" s="90" t="n">
        <v>1</v>
      </c>
      <c r="AG148" s="90" t="n">
        <v>1</v>
      </c>
      <c r="AH148" s="90" t="n">
        <v>1</v>
      </c>
      <c r="AI148" s="90" t="n">
        <v>1</v>
      </c>
      <c r="AJ148" s="90" t="n">
        <v>1</v>
      </c>
      <c r="AK148" s="90" t="n">
        <v>1</v>
      </c>
      <c r="AL148" s="90" t="n">
        <v>1</v>
      </c>
      <c r="AM148" s="90" t="n">
        <v>1</v>
      </c>
    </row>
    <row r="149" customFormat="false" ht="21" hidden="false" customHeight="true" outlineLevel="0" collapsed="false">
      <c r="C149" s="56" t="s">
        <v>559</v>
      </c>
      <c r="D149" s="89" t="n">
        <v>1</v>
      </c>
      <c r="E149" s="89" t="n">
        <v>1</v>
      </c>
      <c r="F149" s="89" t="n">
        <v>1</v>
      </c>
      <c r="G149" s="89" t="n">
        <v>1</v>
      </c>
      <c r="H149" s="89" t="n">
        <v>1</v>
      </c>
      <c r="I149" s="89" t="n">
        <v>1</v>
      </c>
      <c r="J149" s="90" t="n">
        <v>1</v>
      </c>
      <c r="K149" s="90" t="n">
        <v>1</v>
      </c>
      <c r="L149" s="90" t="n">
        <v>1</v>
      </c>
      <c r="M149" s="90" t="n">
        <v>1</v>
      </c>
      <c r="N149" s="90" t="n">
        <v>1</v>
      </c>
      <c r="O149" s="90" t="n">
        <v>1</v>
      </c>
      <c r="P149" s="90" t="n">
        <v>1</v>
      </c>
      <c r="Q149" s="90" t="n">
        <v>1</v>
      </c>
      <c r="R149" s="90" t="n">
        <v>1</v>
      </c>
      <c r="S149" s="90" t="n">
        <v>1</v>
      </c>
      <c r="T149" s="90" t="n">
        <v>1</v>
      </c>
      <c r="U149" s="90" t="n">
        <v>1</v>
      </c>
      <c r="V149" s="90" t="n">
        <v>1</v>
      </c>
      <c r="W149" s="90" t="n">
        <v>1</v>
      </c>
      <c r="X149" s="90" t="n">
        <v>1</v>
      </c>
      <c r="Y149" s="90" t="n">
        <v>1</v>
      </c>
      <c r="Z149" s="90" t="n">
        <v>1</v>
      </c>
      <c r="AA149" s="90" t="n">
        <v>1</v>
      </c>
      <c r="AB149" s="90" t="n">
        <v>1</v>
      </c>
      <c r="AC149" s="90" t="n">
        <v>1</v>
      </c>
      <c r="AD149" s="90" t="n">
        <v>1</v>
      </c>
      <c r="AE149" s="90" t="n">
        <v>1</v>
      </c>
      <c r="AF149" s="90" t="n">
        <v>1</v>
      </c>
      <c r="AG149" s="90" t="n">
        <v>1</v>
      </c>
      <c r="AH149" s="90" t="n">
        <v>1</v>
      </c>
      <c r="AI149" s="90" t="n">
        <v>1</v>
      </c>
      <c r="AJ149" s="90" t="n">
        <v>1</v>
      </c>
      <c r="AK149" s="90" t="n">
        <v>1</v>
      </c>
      <c r="AL149" s="90" t="n">
        <v>1</v>
      </c>
      <c r="AM149" s="90" t="n">
        <v>1</v>
      </c>
    </row>
    <row r="150" customFormat="false" ht="21" hidden="false" customHeight="true" outlineLevel="0" collapsed="false">
      <c r="C150" s="56" t="s">
        <v>560</v>
      </c>
      <c r="D150" s="89" t="n">
        <v>1</v>
      </c>
      <c r="E150" s="89" t="n">
        <v>1</v>
      </c>
      <c r="F150" s="89" t="n">
        <v>1</v>
      </c>
      <c r="G150" s="89" t="n">
        <v>1</v>
      </c>
      <c r="H150" s="89" t="n">
        <v>1</v>
      </c>
      <c r="I150" s="89" t="n">
        <v>1</v>
      </c>
      <c r="J150" s="90" t="n">
        <v>1</v>
      </c>
      <c r="K150" s="90" t="n">
        <v>1</v>
      </c>
      <c r="L150" s="90" t="n">
        <v>1</v>
      </c>
      <c r="M150" s="90" t="n">
        <v>1</v>
      </c>
      <c r="N150" s="90" t="n">
        <v>1</v>
      </c>
      <c r="O150" s="90" t="n">
        <v>1</v>
      </c>
      <c r="P150" s="90" t="n">
        <v>1</v>
      </c>
      <c r="Q150" s="90" t="n">
        <v>1</v>
      </c>
      <c r="R150" s="90" t="n">
        <v>1</v>
      </c>
      <c r="S150" s="90" t="n">
        <v>1</v>
      </c>
      <c r="T150" s="90" t="n">
        <v>1</v>
      </c>
      <c r="U150" s="90" t="n">
        <v>1</v>
      </c>
      <c r="V150" s="90" t="n">
        <v>1</v>
      </c>
      <c r="W150" s="90" t="n">
        <v>1</v>
      </c>
      <c r="X150" s="90" t="n">
        <v>1</v>
      </c>
      <c r="Y150" s="90" t="n">
        <v>1</v>
      </c>
      <c r="Z150" s="90" t="n">
        <v>1</v>
      </c>
      <c r="AA150" s="90" t="n">
        <v>1</v>
      </c>
      <c r="AB150" s="90" t="n">
        <v>1</v>
      </c>
      <c r="AC150" s="90" t="n">
        <v>1</v>
      </c>
      <c r="AD150" s="90" t="n">
        <v>1</v>
      </c>
      <c r="AE150" s="90" t="n">
        <v>1</v>
      </c>
      <c r="AF150" s="90" t="n">
        <v>1</v>
      </c>
      <c r="AG150" s="90" t="n">
        <v>1</v>
      </c>
      <c r="AH150" s="90" t="n">
        <v>1</v>
      </c>
      <c r="AI150" s="90" t="n">
        <v>1</v>
      </c>
      <c r="AJ150" s="90" t="n">
        <v>1</v>
      </c>
      <c r="AK150" s="90" t="n">
        <v>1</v>
      </c>
      <c r="AL150" s="90" t="n">
        <v>1</v>
      </c>
      <c r="AM150" s="90" t="n">
        <v>1</v>
      </c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</row>
    <row r="156" customFormat="false" ht="21" hidden="false" customHeight="true" outlineLevel="0" collapsed="false">
      <c r="C156" s="56" t="s">
        <v>561</v>
      </c>
      <c r="D156" s="89" t="n">
        <v>1</v>
      </c>
      <c r="E156" s="89" t="n">
        <v>1</v>
      </c>
      <c r="F156" s="89" t="n">
        <v>1</v>
      </c>
      <c r="G156" s="89" t="n">
        <v>1</v>
      </c>
      <c r="H156" s="89" t="n">
        <v>1</v>
      </c>
      <c r="I156" s="89" t="n">
        <v>1</v>
      </c>
      <c r="J156" s="90" t="n">
        <v>1</v>
      </c>
      <c r="K156" s="90" t="n">
        <v>1</v>
      </c>
      <c r="L156" s="90" t="n">
        <v>1</v>
      </c>
      <c r="M156" s="90" t="n">
        <v>1</v>
      </c>
      <c r="N156" s="90" t="n">
        <v>1</v>
      </c>
      <c r="O156" s="90" t="n">
        <v>1</v>
      </c>
      <c r="P156" s="90" t="n">
        <v>1</v>
      </c>
      <c r="Q156" s="90" t="n">
        <v>1</v>
      </c>
      <c r="R156" s="90" t="n">
        <v>1</v>
      </c>
      <c r="S156" s="90" t="n">
        <v>1</v>
      </c>
      <c r="T156" s="90" t="n">
        <v>1</v>
      </c>
      <c r="U156" s="90" t="n">
        <v>1</v>
      </c>
      <c r="V156" s="90" t="n">
        <v>1</v>
      </c>
      <c r="W156" s="90" t="n">
        <v>1</v>
      </c>
      <c r="X156" s="90" t="n">
        <v>1</v>
      </c>
      <c r="Y156" s="90" t="n">
        <v>1</v>
      </c>
      <c r="Z156" s="90" t="n">
        <v>1</v>
      </c>
      <c r="AA156" s="90" t="n">
        <v>1</v>
      </c>
      <c r="AB156" s="90" t="n">
        <v>1</v>
      </c>
      <c r="AC156" s="90" t="n">
        <v>1</v>
      </c>
      <c r="AD156" s="90" t="n">
        <v>1</v>
      </c>
      <c r="AE156" s="90" t="n">
        <v>1</v>
      </c>
      <c r="AF156" s="90" t="n">
        <v>1</v>
      </c>
      <c r="AG156" s="90" t="n">
        <v>1</v>
      </c>
      <c r="AH156" s="90" t="n">
        <v>1</v>
      </c>
      <c r="AI156" s="90" t="n">
        <v>1</v>
      </c>
      <c r="AJ156" s="90" t="n">
        <v>1</v>
      </c>
      <c r="AK156" s="90" t="n">
        <v>1</v>
      </c>
      <c r="AL156" s="90" t="n">
        <v>1</v>
      </c>
      <c r="AM156" s="90" t="n">
        <v>1</v>
      </c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</row>
    <row r="158" customFormat="false" ht="21" hidden="false" customHeight="true" outlineLevel="0" collapsed="false">
      <c r="C158" s="56" t="s">
        <v>562</v>
      </c>
      <c r="D158" s="89" t="n">
        <v>1</v>
      </c>
      <c r="E158" s="89" t="n">
        <v>1</v>
      </c>
      <c r="F158" s="89" t="n">
        <v>1</v>
      </c>
      <c r="G158" s="89" t="n">
        <v>1</v>
      </c>
      <c r="H158" s="89" t="n">
        <v>1</v>
      </c>
      <c r="I158" s="89" t="n">
        <v>1</v>
      </c>
      <c r="J158" s="90" t="n">
        <v>1</v>
      </c>
      <c r="K158" s="90" t="n">
        <v>1</v>
      </c>
      <c r="L158" s="90" t="n">
        <v>1</v>
      </c>
      <c r="M158" s="90" t="n">
        <v>1</v>
      </c>
      <c r="N158" s="90" t="n">
        <v>1</v>
      </c>
      <c r="O158" s="90" t="n">
        <v>1</v>
      </c>
      <c r="P158" s="90" t="n">
        <v>1</v>
      </c>
      <c r="Q158" s="90" t="n">
        <v>1</v>
      </c>
      <c r="R158" s="90" t="n">
        <v>1</v>
      </c>
      <c r="S158" s="90" t="n">
        <v>1</v>
      </c>
      <c r="T158" s="90" t="n">
        <v>1</v>
      </c>
      <c r="U158" s="90" t="n">
        <v>1</v>
      </c>
      <c r="V158" s="90" t="n">
        <v>1</v>
      </c>
      <c r="W158" s="90" t="n">
        <v>1</v>
      </c>
      <c r="X158" s="90" t="n">
        <v>1</v>
      </c>
      <c r="Y158" s="90" t="n">
        <v>1</v>
      </c>
      <c r="Z158" s="90" t="n">
        <v>1</v>
      </c>
      <c r="AA158" s="90" t="n">
        <v>1</v>
      </c>
      <c r="AB158" s="90" t="n">
        <v>1</v>
      </c>
      <c r="AC158" s="90" t="n">
        <v>1</v>
      </c>
      <c r="AD158" s="90" t="n">
        <v>1</v>
      </c>
      <c r="AE158" s="90" t="n">
        <v>1</v>
      </c>
      <c r="AF158" s="90" t="n">
        <v>1</v>
      </c>
      <c r="AG158" s="90" t="n">
        <v>1</v>
      </c>
      <c r="AH158" s="90" t="n">
        <v>1</v>
      </c>
      <c r="AI158" s="90" t="n">
        <v>1</v>
      </c>
      <c r="AJ158" s="90" t="n">
        <v>1</v>
      </c>
      <c r="AK158" s="90" t="n">
        <v>1</v>
      </c>
      <c r="AL158" s="90" t="n">
        <v>1</v>
      </c>
      <c r="AM158" s="90" t="n">
        <v>1</v>
      </c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</row>
  </sheetData>
  <sheetProtection sheet="1" objects="1" scenarios="1" selectLockedCells="0" selectUnlockedCells="0"/>
  <mergeCells count="2">
    <mergeCell ref="C2:K2"/>
    <mergeCell ref="C3:K4"/>
  </mergeCells>
  <dataValidations count="3306"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9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0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2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4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2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7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8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2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2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2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23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2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D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E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F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G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H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I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J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K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L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M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N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O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P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Q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R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S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T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U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V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W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X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Y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Z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A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B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C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D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E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F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G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H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I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J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K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L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M31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D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E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F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G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H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I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J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K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L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M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N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O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P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Q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R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S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T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U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V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W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X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Y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Z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A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B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C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D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E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F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G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H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I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J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K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L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M35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D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E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F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G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H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I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J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K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L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M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N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O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P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Q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R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S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T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U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V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W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X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Y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Z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A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B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C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D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E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F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G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H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I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J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K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L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M36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D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E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F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G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H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I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J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K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L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M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N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O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P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Q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R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S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T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U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V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W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X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Y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Z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A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B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C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D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E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F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G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H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I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J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K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L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M37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3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4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4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4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4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D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E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F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G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H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I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J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K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L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M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N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O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P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Q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R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S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T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U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V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W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X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Y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Z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A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B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C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D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E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F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G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H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I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J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K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L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M49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D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E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F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G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H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I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J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K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L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M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N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O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P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Q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R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S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T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U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V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W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X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Y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Z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A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B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C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D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E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F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G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H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I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J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K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L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M50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5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5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D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E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F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G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H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I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J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K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L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M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N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O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P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Q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R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S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T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U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V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W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X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Y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Z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A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B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C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D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E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F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G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H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I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J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K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L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M54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5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D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E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F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G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H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I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J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K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L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M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N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O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P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Q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R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S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T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U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V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W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X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Y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Z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A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B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C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D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E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F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G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H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I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J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K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L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M57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5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6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D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E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F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G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H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I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J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K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L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M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N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O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P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Q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R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S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T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U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V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W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X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Y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Z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A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B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C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D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E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F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G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H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I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J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K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L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M61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D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E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F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G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H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I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J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K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L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M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N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O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P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Q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R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S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T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U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V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W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X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Y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Z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A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B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C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D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E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F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G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H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I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J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K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L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M62" type="decimal">
      <formula1>-1000000000000</formula1>
      <formula2>1000000000000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6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6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6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70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71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72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73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74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75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76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77" type="whole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8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8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8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D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E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F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G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H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I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J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K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L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M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N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O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P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Q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R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S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T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U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V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W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X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Y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Z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A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B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C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D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E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F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G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H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I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J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K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L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M83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D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E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F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G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H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I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J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K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L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M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N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O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P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Q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R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S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T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U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V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W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X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Y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Z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A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B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C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D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E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F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G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H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I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J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K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L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M9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D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E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F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G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H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I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J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K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L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M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N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O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P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Q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R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S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T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U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V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W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X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Y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Z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A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B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C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D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E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F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G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H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I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J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K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L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M91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D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E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F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G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H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I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J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K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L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M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N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O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P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Q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R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S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T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U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V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W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X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Y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Z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A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B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C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D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E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F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G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H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I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J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K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L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M9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D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E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F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G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H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I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J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K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L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M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N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O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P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Q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R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S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T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U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V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W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X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Y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Z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A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B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C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D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E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F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G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H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I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J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K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L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M9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D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E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F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G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H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I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J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K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L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M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N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O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P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Q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R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S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T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U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V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W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X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Y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Z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A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B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C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D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E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F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G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H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I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J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K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L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M9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D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E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F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G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H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I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J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K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L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M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N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O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P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Q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R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S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T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U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V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W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X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Y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Z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A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B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C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D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E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F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G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H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I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J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K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L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M9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D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E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F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G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H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I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J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K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L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M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N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O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P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Q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R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S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T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U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V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W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X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Y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Z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A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B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C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D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E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F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G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H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I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J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K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L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" showDropDown="false" showErrorMessage="true" showInputMessage="false" sqref="AM9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D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E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F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G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H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I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J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K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L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M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N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O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P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Q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R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S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T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U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V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W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X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Y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Z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A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B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C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D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E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F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G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H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I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J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K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L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between" showDropDown="false" showErrorMessage="true" showInputMessage="false" sqref="AM98" type="decimal">
      <formula1>0</formula1>
      <formula2>1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9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0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01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02" type="decimal">
      <formula1>-1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0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0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0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0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0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0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0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1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3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32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33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3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3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3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44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45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47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4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49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50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56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D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E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F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G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H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I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J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K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L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M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N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O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P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Q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R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S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T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U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V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W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X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Y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Z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A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B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C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D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E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F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G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H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I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J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K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L158" type="decimal">
      <formula1>0</formula1>
      <formula2>0</formula2>
    </dataValidation>
    <dataValidation allowBlank="false" error="Use the numeric range in AssumptionRegister. Missing evidence is not zero." errorStyle="stop" errorTitle="Invalid model input" operator="greaterThanOrEqual" showDropDown="false" showErrorMessage="true" showInputMessage="false" sqref="AM158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>
  <sheetPr filterMode="false">
    <pageSetUpPr fitToPage="false"/>
  </sheetPr>
  <dimension ref="C1:AM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39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customFormat="false" ht="33" hidden="false" customHeight="true" outlineLevel="0" collapsed="false">
      <c r="C2" s="57" t="s">
        <v>563</v>
      </c>
      <c r="D2" s="57"/>
      <c r="E2" s="57"/>
      <c r="F2" s="57"/>
      <c r="G2" s="57"/>
      <c r="H2" s="57"/>
      <c r="I2" s="57"/>
      <c r="J2" s="57"/>
      <c r="K2" s="57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</row>
    <row r="3" customFormat="false" ht="21" hidden="false" customHeight="true" outlineLevel="0" collapsed="false">
      <c r="C3" s="58" t="s">
        <v>129</v>
      </c>
      <c r="D3" s="58"/>
      <c r="E3" s="58"/>
      <c r="F3" s="58"/>
      <c r="G3" s="58"/>
      <c r="H3" s="58"/>
      <c r="I3" s="58"/>
      <c r="J3" s="58"/>
      <c r="K3" s="58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</row>
    <row r="6" customFormat="false" ht="21" hidden="false" customHeight="true" outlineLevel="0" collapsed="false">
      <c r="C6" s="56"/>
      <c r="D6" s="56" t="s">
        <v>130</v>
      </c>
      <c r="E6" s="56" t="s">
        <v>130</v>
      </c>
      <c r="F6" s="56" t="s">
        <v>130</v>
      </c>
      <c r="G6" s="56" t="s">
        <v>130</v>
      </c>
      <c r="H6" s="56" t="s">
        <v>130</v>
      </c>
      <c r="I6" s="56" t="s">
        <v>221</v>
      </c>
      <c r="J6" s="56" t="s">
        <v>132</v>
      </c>
      <c r="K6" s="56" t="s">
        <v>132</v>
      </c>
      <c r="L6" s="56" t="s">
        <v>132</v>
      </c>
      <c r="M6" s="56" t="s">
        <v>132</v>
      </c>
      <c r="N6" s="56" t="s">
        <v>132</v>
      </c>
      <c r="O6" s="56" t="s">
        <v>132</v>
      </c>
      <c r="P6" s="56" t="s">
        <v>132</v>
      </c>
      <c r="Q6" s="56" t="s">
        <v>132</v>
      </c>
      <c r="R6" s="56" t="s">
        <v>132</v>
      </c>
      <c r="S6" s="56" t="s">
        <v>132</v>
      </c>
      <c r="T6" s="56" t="s">
        <v>132</v>
      </c>
      <c r="U6" s="56" t="s">
        <v>132</v>
      </c>
      <c r="V6" s="56" t="s">
        <v>132</v>
      </c>
      <c r="W6" s="56" t="s">
        <v>132</v>
      </c>
      <c r="X6" s="56" t="s">
        <v>132</v>
      </c>
      <c r="Y6" s="56" t="s">
        <v>132</v>
      </c>
      <c r="Z6" s="56" t="s">
        <v>132</v>
      </c>
      <c r="AA6" s="56" t="s">
        <v>132</v>
      </c>
      <c r="AB6" s="56" t="s">
        <v>132</v>
      </c>
      <c r="AC6" s="56" t="s">
        <v>132</v>
      </c>
      <c r="AD6" s="56" t="s">
        <v>132</v>
      </c>
      <c r="AE6" s="56" t="s">
        <v>132</v>
      </c>
      <c r="AF6" s="56" t="s">
        <v>132</v>
      </c>
      <c r="AG6" s="56" t="s">
        <v>132</v>
      </c>
      <c r="AH6" s="56" t="s">
        <v>132</v>
      </c>
      <c r="AI6" s="56" t="s">
        <v>132</v>
      </c>
      <c r="AJ6" s="56" t="s">
        <v>132</v>
      </c>
      <c r="AK6" s="56" t="s">
        <v>132</v>
      </c>
      <c r="AL6" s="56" t="s">
        <v>132</v>
      </c>
      <c r="AM6" s="56" t="s">
        <v>132</v>
      </c>
    </row>
    <row r="7" customFormat="false" ht="21" hidden="false" customHeight="true" outlineLevel="0" collapsed="false">
      <c r="C7" s="63"/>
      <c r="D7" s="73" t="n">
        <v>46053</v>
      </c>
      <c r="E7" s="73" t="n">
        <v>46081</v>
      </c>
      <c r="F7" s="73" t="n">
        <v>46112</v>
      </c>
      <c r="G7" s="73" t="n">
        <v>46142</v>
      </c>
      <c r="H7" s="73" t="n">
        <v>46173</v>
      </c>
      <c r="I7" s="73" t="n">
        <v>46203</v>
      </c>
      <c r="J7" s="73" t="n">
        <v>46234</v>
      </c>
      <c r="K7" s="73" t="n">
        <v>46265</v>
      </c>
      <c r="L7" s="73" t="n">
        <v>46295</v>
      </c>
      <c r="M7" s="73" t="n">
        <v>46326</v>
      </c>
      <c r="N7" s="73" t="n">
        <v>46356</v>
      </c>
      <c r="O7" s="73" t="n">
        <v>46387</v>
      </c>
      <c r="P7" s="73" t="n">
        <v>46418</v>
      </c>
      <c r="Q7" s="73" t="n">
        <v>46446</v>
      </c>
      <c r="R7" s="73" t="n">
        <v>46477</v>
      </c>
      <c r="S7" s="73" t="n">
        <v>46507</v>
      </c>
      <c r="T7" s="73" t="n">
        <v>46538</v>
      </c>
      <c r="U7" s="73" t="n">
        <v>46568</v>
      </c>
      <c r="V7" s="73" t="n">
        <v>46599</v>
      </c>
      <c r="W7" s="73" t="n">
        <v>46630</v>
      </c>
      <c r="X7" s="73" t="n">
        <v>46660</v>
      </c>
      <c r="Y7" s="73" t="n">
        <v>46691</v>
      </c>
      <c r="Z7" s="73" t="n">
        <v>46721</v>
      </c>
      <c r="AA7" s="73" t="n">
        <v>46752</v>
      </c>
      <c r="AB7" s="73" t="n">
        <v>46783</v>
      </c>
      <c r="AC7" s="73" t="n">
        <v>46812</v>
      </c>
      <c r="AD7" s="73" t="n">
        <v>46843</v>
      </c>
      <c r="AE7" s="73" t="n">
        <v>46873</v>
      </c>
      <c r="AF7" s="73" t="n">
        <v>46904</v>
      </c>
      <c r="AG7" s="73" t="n">
        <v>46934</v>
      </c>
      <c r="AH7" s="73" t="n">
        <v>46965</v>
      </c>
      <c r="AI7" s="73" t="n">
        <v>46996</v>
      </c>
      <c r="AJ7" s="73" t="n">
        <v>47026</v>
      </c>
      <c r="AK7" s="73" t="n">
        <v>47057</v>
      </c>
      <c r="AL7" s="73" t="n">
        <v>47087</v>
      </c>
      <c r="AM7" s="73" t="n">
        <v>47118</v>
      </c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</row>
    <row r="9" customFormat="false" ht="21" hidden="false" customHeight="true" outlineLevel="0" collapsed="false">
      <c r="C9" s="60" t="s">
        <v>564</v>
      </c>
      <c r="D9" s="93"/>
      <c r="E9" s="93"/>
      <c r="F9" s="93"/>
      <c r="G9" s="93"/>
      <c r="H9" s="93"/>
      <c r="I9" s="93"/>
      <c r="J9" s="93" t="n">
        <f aca="false">Monthly_BS!J44</f>
        <v>0</v>
      </c>
      <c r="K9" s="93" t="n">
        <f aca="false">Monthly_BS!K44</f>
        <v>0</v>
      </c>
      <c r="L9" s="93" t="n">
        <f aca="false">Monthly_BS!L44</f>
        <v>0</v>
      </c>
      <c r="M9" s="93" t="n">
        <f aca="false">Monthly_BS!M44</f>
        <v>0</v>
      </c>
      <c r="N9" s="93" t="n">
        <f aca="false">Monthly_BS!N44</f>
        <v>0</v>
      </c>
      <c r="O9" s="93" t="n">
        <f aca="false">Monthly_BS!O44</f>
        <v>0</v>
      </c>
      <c r="P9" s="93" t="n">
        <f aca="false">Monthly_BS!P44</f>
        <v>0</v>
      </c>
      <c r="Q9" s="93" t="n">
        <f aca="false">Monthly_BS!Q44</f>
        <v>0</v>
      </c>
      <c r="R9" s="93" t="n">
        <f aca="false">Monthly_BS!R44</f>
        <v>0</v>
      </c>
      <c r="S9" s="93" t="n">
        <f aca="false">Monthly_BS!S44</f>
        <v>0</v>
      </c>
      <c r="T9" s="93" t="n">
        <f aca="false">Monthly_BS!T44</f>
        <v>0</v>
      </c>
      <c r="U9" s="93" t="n">
        <f aca="false">Monthly_BS!U44</f>
        <v>0</v>
      </c>
      <c r="V9" s="93" t="n">
        <f aca="false">Monthly_BS!V44</f>
        <v>0</v>
      </c>
      <c r="W9" s="93" t="n">
        <f aca="false">Monthly_BS!W44</f>
        <v>0</v>
      </c>
      <c r="X9" s="93" t="n">
        <f aca="false">Monthly_BS!X44</f>
        <v>0</v>
      </c>
      <c r="Y9" s="93" t="n">
        <f aca="false">Monthly_BS!Y44</f>
        <v>0</v>
      </c>
      <c r="Z9" s="93" t="n">
        <f aca="false">Monthly_BS!Z44</f>
        <v>0</v>
      </c>
      <c r="AA9" s="93" t="n">
        <f aca="false">Monthly_BS!AA44</f>
        <v>0</v>
      </c>
      <c r="AB9" s="93" t="n">
        <f aca="false">Monthly_BS!AB44</f>
        <v>0</v>
      </c>
      <c r="AC9" s="93" t="n">
        <f aca="false">Monthly_BS!AC44</f>
        <v>0</v>
      </c>
      <c r="AD9" s="93" t="n">
        <f aca="false">Monthly_BS!AD44</f>
        <v>0</v>
      </c>
      <c r="AE9" s="93" t="n">
        <f aca="false">Monthly_BS!AE44</f>
        <v>0</v>
      </c>
      <c r="AF9" s="93" t="n">
        <f aca="false">Monthly_BS!AF44</f>
        <v>0</v>
      </c>
      <c r="AG9" s="93" t="n">
        <f aca="false">Monthly_BS!AG44</f>
        <v>0</v>
      </c>
      <c r="AH9" s="93" t="n">
        <f aca="false">Monthly_BS!AH44</f>
        <v>0</v>
      </c>
      <c r="AI9" s="93" t="n">
        <f aca="false">Monthly_BS!AI44</f>
        <v>0</v>
      </c>
      <c r="AJ9" s="93" t="n">
        <f aca="false">Monthly_BS!AJ44</f>
        <v>0</v>
      </c>
      <c r="AK9" s="93" t="n">
        <f aca="false">Monthly_BS!AK44</f>
        <v>0</v>
      </c>
      <c r="AL9" s="93" t="n">
        <f aca="false">Monthly_BS!AL44</f>
        <v>0</v>
      </c>
      <c r="AM9" s="93" t="n">
        <f aca="false">Monthly_BS!AM44</f>
        <v>0</v>
      </c>
    </row>
    <row r="10" customFormat="false" ht="21" hidden="false" customHeight="true" outlineLevel="0" collapsed="false">
      <c r="C10" s="60" t="s">
        <v>565</v>
      </c>
      <c r="D10" s="93"/>
      <c r="E10" s="93"/>
      <c r="F10" s="93"/>
      <c r="G10" s="93"/>
      <c r="H10" s="93"/>
      <c r="I10" s="93"/>
      <c r="J10" s="93" t="n">
        <f aca="false">Monthly_CF!J62</f>
        <v>0</v>
      </c>
      <c r="K10" s="93" t="n">
        <f aca="false">Monthly_CF!K62</f>
        <v>0</v>
      </c>
      <c r="L10" s="93" t="n">
        <f aca="false">Monthly_CF!L62</f>
        <v>0</v>
      </c>
      <c r="M10" s="93" t="n">
        <f aca="false">Monthly_CF!M62</f>
        <v>0</v>
      </c>
      <c r="N10" s="93" t="n">
        <f aca="false">Monthly_CF!N62</f>
        <v>0</v>
      </c>
      <c r="O10" s="93" t="n">
        <f aca="false">Monthly_CF!O62</f>
        <v>0</v>
      </c>
      <c r="P10" s="93" t="n">
        <f aca="false">Monthly_CF!P62</f>
        <v>0</v>
      </c>
      <c r="Q10" s="93" t="n">
        <f aca="false">Monthly_CF!Q62</f>
        <v>0</v>
      </c>
      <c r="R10" s="93" t="n">
        <f aca="false">Monthly_CF!R62</f>
        <v>0</v>
      </c>
      <c r="S10" s="93" t="n">
        <f aca="false">Monthly_CF!S62</f>
        <v>0</v>
      </c>
      <c r="T10" s="93" t="n">
        <f aca="false">Monthly_CF!T62</f>
        <v>0</v>
      </c>
      <c r="U10" s="93" t="n">
        <f aca="false">Monthly_CF!U62</f>
        <v>0</v>
      </c>
      <c r="V10" s="93" t="n">
        <f aca="false">Monthly_CF!V62</f>
        <v>0</v>
      </c>
      <c r="W10" s="93" t="n">
        <f aca="false">Monthly_CF!W62</f>
        <v>0</v>
      </c>
      <c r="X10" s="93" t="n">
        <f aca="false">Monthly_CF!X62</f>
        <v>0</v>
      </c>
      <c r="Y10" s="93" t="n">
        <f aca="false">Monthly_CF!Y62</f>
        <v>0</v>
      </c>
      <c r="Z10" s="93" t="n">
        <f aca="false">Monthly_CF!Z62</f>
        <v>0</v>
      </c>
      <c r="AA10" s="93" t="n">
        <f aca="false">Monthly_CF!AA62</f>
        <v>0</v>
      </c>
      <c r="AB10" s="93" t="n">
        <f aca="false">Monthly_CF!AB62</f>
        <v>0</v>
      </c>
      <c r="AC10" s="93" t="n">
        <f aca="false">Monthly_CF!AC62</f>
        <v>0</v>
      </c>
      <c r="AD10" s="93" t="n">
        <f aca="false">Monthly_CF!AD62</f>
        <v>0</v>
      </c>
      <c r="AE10" s="93" t="n">
        <f aca="false">Monthly_CF!AE62</f>
        <v>0</v>
      </c>
      <c r="AF10" s="93" t="n">
        <f aca="false">Monthly_CF!AF62</f>
        <v>0</v>
      </c>
      <c r="AG10" s="93" t="n">
        <f aca="false">Monthly_CF!AG62</f>
        <v>0</v>
      </c>
      <c r="AH10" s="93" t="n">
        <f aca="false">Monthly_CF!AH62</f>
        <v>0</v>
      </c>
      <c r="AI10" s="93" t="n">
        <f aca="false">Monthly_CF!AI62</f>
        <v>0</v>
      </c>
      <c r="AJ10" s="93" t="n">
        <f aca="false">Monthly_CF!AJ62</f>
        <v>0</v>
      </c>
      <c r="AK10" s="93" t="n">
        <f aca="false">Monthly_CF!AK62</f>
        <v>0</v>
      </c>
      <c r="AL10" s="93" t="n">
        <f aca="false">Monthly_CF!AL62</f>
        <v>0</v>
      </c>
      <c r="AM10" s="93" t="n">
        <f aca="false">Monthly_CF!AM62</f>
        <v>0</v>
      </c>
    </row>
    <row r="11" customFormat="false" ht="21" hidden="false" customHeight="true" outlineLevel="0" collapsed="false">
      <c r="C11" s="60" t="s">
        <v>566</v>
      </c>
      <c r="D11" s="93"/>
      <c r="E11" s="93"/>
      <c r="F11" s="93"/>
      <c r="G11" s="93"/>
      <c r="H11" s="93"/>
      <c r="I11" s="93"/>
      <c r="J11" s="93" t="n">
        <f aca="false">Monthly_CF!J61</f>
        <v>0</v>
      </c>
      <c r="K11" s="93" t="n">
        <f aca="false">Monthly_CF!K61</f>
        <v>0</v>
      </c>
      <c r="L11" s="93" t="n">
        <f aca="false">Monthly_CF!L61</f>
        <v>0</v>
      </c>
      <c r="M11" s="93" t="n">
        <f aca="false">Monthly_CF!M61</f>
        <v>0</v>
      </c>
      <c r="N11" s="93" t="n">
        <f aca="false">Monthly_CF!N61</f>
        <v>0</v>
      </c>
      <c r="O11" s="93" t="n">
        <f aca="false">Monthly_CF!O61</f>
        <v>-3.62376795237651E-013</v>
      </c>
      <c r="P11" s="93" t="n">
        <f aca="false">Monthly_CF!P61</f>
        <v>0</v>
      </c>
      <c r="Q11" s="93" t="n">
        <f aca="false">Monthly_CF!Q61</f>
        <v>0</v>
      </c>
      <c r="R11" s="93" t="n">
        <f aca="false">Monthly_CF!R61</f>
        <v>0</v>
      </c>
      <c r="S11" s="93" t="n">
        <f aca="false">Monthly_CF!S61</f>
        <v>0</v>
      </c>
      <c r="T11" s="93" t="n">
        <f aca="false">Monthly_CF!T61</f>
        <v>0</v>
      </c>
      <c r="U11" s="93" t="n">
        <f aca="false">Monthly_CF!U61</f>
        <v>0</v>
      </c>
      <c r="V11" s="93" t="n">
        <f aca="false">Monthly_CF!V61</f>
        <v>-2.94875235340442E-013</v>
      </c>
      <c r="W11" s="93" t="n">
        <f aca="false">Monthly_CF!W61</f>
        <v>0</v>
      </c>
      <c r="X11" s="93" t="n">
        <f aca="false">Monthly_CF!X61</f>
        <v>0</v>
      </c>
      <c r="Y11" s="93" t="n">
        <f aca="false">Monthly_CF!Y61</f>
        <v>0</v>
      </c>
      <c r="Z11" s="93" t="n">
        <f aca="false">Monthly_CF!Z61</f>
        <v>0</v>
      </c>
      <c r="AA11" s="93" t="n">
        <f aca="false">Monthly_CF!AA61</f>
        <v>0</v>
      </c>
      <c r="AB11" s="93" t="n">
        <f aca="false">Monthly_CF!AB61</f>
        <v>0</v>
      </c>
      <c r="AC11" s="93" t="n">
        <f aca="false">Monthly_CF!AC61</f>
        <v>0</v>
      </c>
      <c r="AD11" s="93" t="n">
        <f aca="false">Monthly_CF!AD61</f>
        <v>0</v>
      </c>
      <c r="AE11" s="93" t="n">
        <f aca="false">Monthly_CF!AE61</f>
        <v>0</v>
      </c>
      <c r="AF11" s="93" t="n">
        <f aca="false">Monthly_CF!AF61</f>
        <v>7.8159700933611E-013</v>
      </c>
      <c r="AG11" s="93" t="n">
        <f aca="false">Monthly_CF!AG61</f>
        <v>0</v>
      </c>
      <c r="AH11" s="93" t="n">
        <f aca="false">Monthly_CF!AH61</f>
        <v>-3.28626015289046E-014</v>
      </c>
      <c r="AI11" s="93" t="n">
        <f aca="false">Monthly_CF!AI61</f>
        <v>0</v>
      </c>
      <c r="AJ11" s="93" t="n">
        <f aca="false">Monthly_CF!AJ61</f>
        <v>0</v>
      </c>
      <c r="AK11" s="93" t="n">
        <f aca="false">Monthly_CF!AK61</f>
        <v>0</v>
      </c>
      <c r="AL11" s="93" t="n">
        <f aca="false">Monthly_CF!AL61</f>
        <v>0</v>
      </c>
      <c r="AM11" s="93" t="n">
        <f aca="false">Monthly_CF!AM61</f>
        <v>0</v>
      </c>
    </row>
    <row r="12" customFormat="false" ht="21" hidden="false" customHeight="true" outlineLevel="0" collapsed="false">
      <c r="C12" s="56" t="s">
        <v>567</v>
      </c>
      <c r="D12" s="69"/>
      <c r="E12" s="69"/>
      <c r="F12" s="69"/>
      <c r="G12" s="69"/>
      <c r="H12" s="69"/>
      <c r="I12" s="69"/>
      <c r="J12" s="69" t="n">
        <f aca="false">Monthly_PL!J29-Monthly_PL!J30-Monthly_PL!J31</f>
        <v>0</v>
      </c>
      <c r="K12" s="69" t="n">
        <f aca="false">Monthly_PL!K29-Monthly_PL!K30-Monthly_PL!K31</f>
        <v>0</v>
      </c>
      <c r="L12" s="69" t="n">
        <f aca="false">Monthly_PL!L29-Monthly_PL!L30-Monthly_PL!L31</f>
        <v>0</v>
      </c>
      <c r="M12" s="69" t="n">
        <f aca="false">Monthly_PL!M29-Monthly_PL!M30-Monthly_PL!M31</f>
        <v>0</v>
      </c>
      <c r="N12" s="69" t="n">
        <f aca="false">Monthly_PL!N29-Monthly_PL!N30-Monthly_PL!N31</f>
        <v>0</v>
      </c>
      <c r="O12" s="69" t="n">
        <f aca="false">Monthly_PL!O29-Monthly_PL!O30-Monthly_PL!O31</f>
        <v>0</v>
      </c>
      <c r="P12" s="69" t="n">
        <f aca="false">Monthly_PL!P29-Monthly_PL!P30-Monthly_PL!P31</f>
        <v>0</v>
      </c>
      <c r="Q12" s="69" t="n">
        <f aca="false">Monthly_PL!Q29-Monthly_PL!Q30-Monthly_PL!Q31</f>
        <v>0</v>
      </c>
      <c r="R12" s="69" t="n">
        <f aca="false">Monthly_PL!R29-Monthly_PL!R30-Monthly_PL!R31</f>
        <v>0</v>
      </c>
      <c r="S12" s="69" t="n">
        <f aca="false">Monthly_PL!S29-Monthly_PL!S30-Monthly_PL!S31</f>
        <v>0</v>
      </c>
      <c r="T12" s="69" t="n">
        <f aca="false">Monthly_PL!T29-Monthly_PL!T30-Monthly_PL!T31</f>
        <v>0</v>
      </c>
      <c r="U12" s="69" t="n">
        <f aca="false">Monthly_PL!U29-Monthly_PL!U30-Monthly_PL!U31</f>
        <v>0</v>
      </c>
      <c r="V12" s="69" t="n">
        <f aca="false">Monthly_PL!V29-Monthly_PL!V30-Monthly_PL!V31</f>
        <v>0</v>
      </c>
      <c r="W12" s="69" t="n">
        <f aca="false">Monthly_PL!W29-Monthly_PL!W30-Monthly_PL!W31</f>
        <v>0</v>
      </c>
      <c r="X12" s="69" t="n">
        <f aca="false">Monthly_PL!X29-Monthly_PL!X30-Monthly_PL!X31</f>
        <v>0</v>
      </c>
      <c r="Y12" s="69" t="n">
        <f aca="false">Monthly_PL!Y29-Monthly_PL!Y30-Monthly_PL!Y31</f>
        <v>0</v>
      </c>
      <c r="Z12" s="69" t="n">
        <f aca="false">Monthly_PL!Z29-Monthly_PL!Z30-Monthly_PL!Z31</f>
        <v>0</v>
      </c>
      <c r="AA12" s="69" t="n">
        <f aca="false">Monthly_PL!AA29-Monthly_PL!AA30-Monthly_PL!AA31</f>
        <v>0</v>
      </c>
      <c r="AB12" s="69" t="n">
        <f aca="false">Monthly_PL!AB29-Monthly_PL!AB30-Monthly_PL!AB31</f>
        <v>0</v>
      </c>
      <c r="AC12" s="69" t="n">
        <f aca="false">Monthly_PL!AC29-Monthly_PL!AC30-Monthly_PL!AC31</f>
        <v>0</v>
      </c>
      <c r="AD12" s="69" t="n">
        <f aca="false">Monthly_PL!AD29-Monthly_PL!AD30-Monthly_PL!AD31</f>
        <v>0</v>
      </c>
      <c r="AE12" s="69" t="n">
        <f aca="false">Monthly_PL!AE29-Monthly_PL!AE30-Monthly_PL!AE31</f>
        <v>0</v>
      </c>
      <c r="AF12" s="69" t="n">
        <f aca="false">Monthly_PL!AF29-Monthly_PL!AF30-Monthly_PL!AF31</f>
        <v>0</v>
      </c>
      <c r="AG12" s="69" t="n">
        <f aca="false">Monthly_PL!AG29-Monthly_PL!AG30-Monthly_PL!AG31</f>
        <v>0</v>
      </c>
      <c r="AH12" s="69" t="n">
        <f aca="false">Monthly_PL!AH29-Monthly_PL!AH30-Monthly_PL!AH31</f>
        <v>0</v>
      </c>
      <c r="AI12" s="69" t="n">
        <f aca="false">Monthly_PL!AI29-Monthly_PL!AI30-Monthly_PL!AI31</f>
        <v>0</v>
      </c>
      <c r="AJ12" s="69" t="n">
        <f aca="false">Monthly_PL!AJ29-Monthly_PL!AJ30-Monthly_PL!AJ31</f>
        <v>0</v>
      </c>
      <c r="AK12" s="69" t="n">
        <f aca="false">Monthly_PL!AK29-Monthly_PL!AK30-Monthly_PL!AK31</f>
        <v>0</v>
      </c>
      <c r="AL12" s="69" t="n">
        <f aca="false">Monthly_PL!AL29-Monthly_PL!AL30-Monthly_PL!AL31</f>
        <v>0</v>
      </c>
      <c r="AM12" s="69" t="n">
        <f aca="false">Monthly_PL!AM29-Monthly_PL!AM30-Monthly_PL!AM31</f>
        <v>0</v>
      </c>
    </row>
    <row r="13" customFormat="false" ht="21" hidden="false" customHeight="true" outlineLevel="0" collapsed="false">
      <c r="C13" s="56" t="s">
        <v>568</v>
      </c>
      <c r="D13" s="69"/>
      <c r="E13" s="69"/>
      <c r="F13" s="69"/>
      <c r="G13" s="69"/>
      <c r="H13" s="69"/>
      <c r="I13" s="69"/>
      <c r="J13" s="69" t="n">
        <f aca="false">Monthly_PL!J32+Monthly_PL!J33-Monthly_PL!J31</f>
        <v>0</v>
      </c>
      <c r="K13" s="69" t="n">
        <f aca="false">Monthly_PL!K32+Monthly_PL!K33-Monthly_PL!K31</f>
        <v>0</v>
      </c>
      <c r="L13" s="69" t="n">
        <f aca="false">Monthly_PL!L32+Monthly_PL!L33-Monthly_PL!L31</f>
        <v>0</v>
      </c>
      <c r="M13" s="69" t="n">
        <f aca="false">Monthly_PL!M32+Monthly_PL!M33-Monthly_PL!M31</f>
        <v>0</v>
      </c>
      <c r="N13" s="69" t="n">
        <f aca="false">Monthly_PL!N32+Monthly_PL!N33-Monthly_PL!N31</f>
        <v>0</v>
      </c>
      <c r="O13" s="69" t="n">
        <f aca="false">Monthly_PL!O32+Monthly_PL!O33-Monthly_PL!O31</f>
        <v>0</v>
      </c>
      <c r="P13" s="69" t="n">
        <f aca="false">Monthly_PL!P32+Monthly_PL!P33-Monthly_PL!P31</f>
        <v>0</v>
      </c>
      <c r="Q13" s="69" t="n">
        <f aca="false">Monthly_PL!Q32+Monthly_PL!Q33-Monthly_PL!Q31</f>
        <v>0</v>
      </c>
      <c r="R13" s="69" t="n">
        <f aca="false">Monthly_PL!R32+Monthly_PL!R33-Monthly_PL!R31</f>
        <v>0</v>
      </c>
      <c r="S13" s="69" t="n">
        <f aca="false">Monthly_PL!S32+Monthly_PL!S33-Monthly_PL!S31</f>
        <v>0</v>
      </c>
      <c r="T13" s="69" t="n">
        <f aca="false">Monthly_PL!T32+Monthly_PL!T33-Monthly_PL!T31</f>
        <v>0</v>
      </c>
      <c r="U13" s="69" t="n">
        <f aca="false">Monthly_PL!U32+Monthly_PL!U33-Monthly_PL!U31</f>
        <v>0</v>
      </c>
      <c r="V13" s="69" t="n">
        <f aca="false">Monthly_PL!V32+Monthly_PL!V33-Monthly_PL!V31</f>
        <v>0</v>
      </c>
      <c r="W13" s="69" t="n">
        <f aca="false">Monthly_PL!W32+Monthly_PL!W33-Monthly_PL!W31</f>
        <v>0</v>
      </c>
      <c r="X13" s="69" t="n">
        <f aca="false">Monthly_PL!X32+Monthly_PL!X33-Monthly_PL!X31</f>
        <v>0</v>
      </c>
      <c r="Y13" s="69" t="n">
        <f aca="false">Monthly_PL!Y32+Monthly_PL!Y33-Monthly_PL!Y31</f>
        <v>0</v>
      </c>
      <c r="Z13" s="69" t="n">
        <f aca="false">Monthly_PL!Z32+Monthly_PL!Z33-Monthly_PL!Z31</f>
        <v>0</v>
      </c>
      <c r="AA13" s="69" t="n">
        <f aca="false">Monthly_PL!AA32+Monthly_PL!AA33-Monthly_PL!AA31</f>
        <v>0</v>
      </c>
      <c r="AB13" s="69" t="n">
        <f aca="false">Monthly_PL!AB32+Monthly_PL!AB33-Monthly_PL!AB31</f>
        <v>0</v>
      </c>
      <c r="AC13" s="69" t="n">
        <f aca="false">Monthly_PL!AC32+Monthly_PL!AC33-Monthly_PL!AC31</f>
        <v>0</v>
      </c>
      <c r="AD13" s="69" t="n">
        <f aca="false">Monthly_PL!AD32+Monthly_PL!AD33-Monthly_PL!AD31</f>
        <v>0</v>
      </c>
      <c r="AE13" s="69" t="n">
        <f aca="false">Monthly_PL!AE32+Monthly_PL!AE33-Monthly_PL!AE31</f>
        <v>0</v>
      </c>
      <c r="AF13" s="69" t="n">
        <f aca="false">Monthly_PL!AF32+Monthly_PL!AF33-Monthly_PL!AF31</f>
        <v>0</v>
      </c>
      <c r="AG13" s="69" t="n">
        <f aca="false">Monthly_PL!AG32+Monthly_PL!AG33-Monthly_PL!AG31</f>
        <v>0</v>
      </c>
      <c r="AH13" s="69" t="n">
        <f aca="false">Monthly_PL!AH32+Monthly_PL!AH33-Monthly_PL!AH31</f>
        <v>0</v>
      </c>
      <c r="AI13" s="69" t="n">
        <f aca="false">Monthly_PL!AI32+Monthly_PL!AI33-Monthly_PL!AI31</f>
        <v>0</v>
      </c>
      <c r="AJ13" s="69" t="n">
        <f aca="false">Monthly_PL!AJ32+Monthly_PL!AJ33-Monthly_PL!AJ31</f>
        <v>0</v>
      </c>
      <c r="AK13" s="69" t="n">
        <f aca="false">Monthly_PL!AK32+Monthly_PL!AK33-Monthly_PL!AK31</f>
        <v>0</v>
      </c>
      <c r="AL13" s="69" t="n">
        <f aca="false">Monthly_PL!AL32+Monthly_PL!AL33-Monthly_PL!AL31</f>
        <v>0</v>
      </c>
      <c r="AM13" s="69" t="n">
        <f aca="false">Monthly_PL!AM32+Monthly_PL!AM33-Monthly_PL!AM31</f>
        <v>0</v>
      </c>
    </row>
    <row r="14" customFormat="false" ht="21" hidden="false" customHeight="true" outlineLevel="0" collapsed="false">
      <c r="C14" s="56" t="s">
        <v>569</v>
      </c>
      <c r="D14" s="69"/>
      <c r="E14" s="69"/>
      <c r="F14" s="69"/>
      <c r="G14" s="69"/>
      <c r="H14" s="69"/>
      <c r="I14" s="69"/>
      <c r="J14" s="69" t="n">
        <f aca="false">ABS(Production!J16)+ABS(Production!J40)+ABS(Production!J64)</f>
        <v>0</v>
      </c>
      <c r="K14" s="69" t="n">
        <f aca="false">ABS(Production!K16)+ABS(Production!K40)+ABS(Production!K64)</f>
        <v>0</v>
      </c>
      <c r="L14" s="69" t="n">
        <f aca="false">ABS(Production!L16)+ABS(Production!L40)+ABS(Production!L64)</f>
        <v>0</v>
      </c>
      <c r="M14" s="69" t="n">
        <f aca="false">ABS(Production!M16)+ABS(Production!M40)+ABS(Production!M64)</f>
        <v>0</v>
      </c>
      <c r="N14" s="69" t="n">
        <f aca="false">ABS(Production!N16)+ABS(Production!N40)+ABS(Production!N64)</f>
        <v>0</v>
      </c>
      <c r="O14" s="69" t="n">
        <f aca="false">ABS(Production!O16)+ABS(Production!O40)+ABS(Production!O64)</f>
        <v>0</v>
      </c>
      <c r="P14" s="69" t="n">
        <f aca="false">ABS(Production!P16)+ABS(Production!P40)+ABS(Production!P64)</f>
        <v>0</v>
      </c>
      <c r="Q14" s="69" t="n">
        <f aca="false">ABS(Production!Q16)+ABS(Production!Q40)+ABS(Production!Q64)</f>
        <v>0</v>
      </c>
      <c r="R14" s="69" t="n">
        <f aca="false">ABS(Production!R16)+ABS(Production!R40)+ABS(Production!R64)</f>
        <v>0</v>
      </c>
      <c r="S14" s="69" t="n">
        <f aca="false">ABS(Production!S16)+ABS(Production!S40)+ABS(Production!S64)</f>
        <v>0</v>
      </c>
      <c r="T14" s="69" t="n">
        <f aca="false">ABS(Production!T16)+ABS(Production!T40)+ABS(Production!T64)</f>
        <v>0</v>
      </c>
      <c r="U14" s="69" t="n">
        <f aca="false">ABS(Production!U16)+ABS(Production!U40)+ABS(Production!U64)</f>
        <v>0</v>
      </c>
      <c r="V14" s="69" t="n">
        <f aca="false">ABS(Production!V16)+ABS(Production!V40)+ABS(Production!V64)</f>
        <v>0</v>
      </c>
      <c r="W14" s="69" t="n">
        <f aca="false">ABS(Production!W16)+ABS(Production!W40)+ABS(Production!W64)</f>
        <v>0</v>
      </c>
      <c r="X14" s="69" t="n">
        <f aca="false">ABS(Production!X16)+ABS(Production!X40)+ABS(Production!X64)</f>
        <v>0</v>
      </c>
      <c r="Y14" s="69" t="n">
        <f aca="false">ABS(Production!Y16)+ABS(Production!Y40)+ABS(Production!Y64)</f>
        <v>0</v>
      </c>
      <c r="Z14" s="69" t="n">
        <f aca="false">ABS(Production!Z16)+ABS(Production!Z40)+ABS(Production!Z64)</f>
        <v>0</v>
      </c>
      <c r="AA14" s="69" t="n">
        <f aca="false">ABS(Production!AA16)+ABS(Production!AA40)+ABS(Production!AA64)</f>
        <v>0</v>
      </c>
      <c r="AB14" s="69" t="n">
        <f aca="false">ABS(Production!AB16)+ABS(Production!AB40)+ABS(Production!AB64)</f>
        <v>0</v>
      </c>
      <c r="AC14" s="69" t="n">
        <f aca="false">ABS(Production!AC16)+ABS(Production!AC40)+ABS(Production!AC64)</f>
        <v>0</v>
      </c>
      <c r="AD14" s="69" t="n">
        <f aca="false">ABS(Production!AD16)+ABS(Production!AD40)+ABS(Production!AD64)</f>
        <v>0</v>
      </c>
      <c r="AE14" s="69" t="n">
        <f aca="false">ABS(Production!AE16)+ABS(Production!AE40)+ABS(Production!AE64)</f>
        <v>0</v>
      </c>
      <c r="AF14" s="69" t="n">
        <f aca="false">ABS(Production!AF16)+ABS(Production!AF40)+ABS(Production!AF64)</f>
        <v>0</v>
      </c>
      <c r="AG14" s="69" t="n">
        <f aca="false">ABS(Production!AG16)+ABS(Production!AG40)+ABS(Production!AG64)</f>
        <v>0</v>
      </c>
      <c r="AH14" s="69" t="n">
        <f aca="false">ABS(Production!AH16)+ABS(Production!AH40)+ABS(Production!AH64)</f>
        <v>0</v>
      </c>
      <c r="AI14" s="69" t="n">
        <f aca="false">ABS(Production!AI16)+ABS(Production!AI40)+ABS(Production!AI64)</f>
        <v>0</v>
      </c>
      <c r="AJ14" s="69" t="n">
        <f aca="false">ABS(Production!AJ16)+ABS(Production!AJ40)+ABS(Production!AJ64)</f>
        <v>0</v>
      </c>
      <c r="AK14" s="69" t="n">
        <f aca="false">ABS(Production!AK16)+ABS(Production!AK40)+ABS(Production!AK64)</f>
        <v>0</v>
      </c>
      <c r="AL14" s="69" t="n">
        <f aca="false">ABS(Production!AL16)+ABS(Production!AL40)+ABS(Production!AL64)</f>
        <v>0</v>
      </c>
      <c r="AM14" s="69" t="n">
        <f aca="false">ABS(Production!AM16)+ABS(Production!AM40)+ABS(Production!AM64)</f>
        <v>0</v>
      </c>
    </row>
    <row r="15" customFormat="false" ht="21" hidden="false" customHeight="true" outlineLevel="0" collapsed="false">
      <c r="C15" s="56" t="s">
        <v>570</v>
      </c>
      <c r="D15" s="69"/>
      <c r="E15" s="69"/>
      <c r="F15" s="69"/>
      <c r="G15" s="69"/>
      <c r="H15" s="69"/>
      <c r="I15" s="69"/>
      <c r="J15" s="69" t="n">
        <f aca="false">ABS(Production!J29)+ABS(Production!J53)+ABS(Production!J77)</f>
        <v>0</v>
      </c>
      <c r="K15" s="69" t="n">
        <f aca="false">ABS(Production!K29)+ABS(Production!K53)+ABS(Production!K77)</f>
        <v>0</v>
      </c>
      <c r="L15" s="69" t="n">
        <f aca="false">ABS(Production!L29)+ABS(Production!L53)+ABS(Production!L77)</f>
        <v>0</v>
      </c>
      <c r="M15" s="69" t="n">
        <f aca="false">ABS(Production!M29)+ABS(Production!M53)+ABS(Production!M77)</f>
        <v>0</v>
      </c>
      <c r="N15" s="69" t="n">
        <f aca="false">ABS(Production!N29)+ABS(Production!N53)+ABS(Production!N77)</f>
        <v>0</v>
      </c>
      <c r="O15" s="69" t="n">
        <f aca="false">ABS(Production!O29)+ABS(Production!O53)+ABS(Production!O77)</f>
        <v>0</v>
      </c>
      <c r="P15" s="69" t="n">
        <f aca="false">ABS(Production!P29)+ABS(Production!P53)+ABS(Production!P77)</f>
        <v>0</v>
      </c>
      <c r="Q15" s="69" t="n">
        <f aca="false">ABS(Production!Q29)+ABS(Production!Q53)+ABS(Production!Q77)</f>
        <v>0</v>
      </c>
      <c r="R15" s="69" t="n">
        <f aca="false">ABS(Production!R29)+ABS(Production!R53)+ABS(Production!R77)</f>
        <v>0</v>
      </c>
      <c r="S15" s="69" t="n">
        <f aca="false">ABS(Production!S29)+ABS(Production!S53)+ABS(Production!S77)</f>
        <v>0</v>
      </c>
      <c r="T15" s="69" t="n">
        <f aca="false">ABS(Production!T29)+ABS(Production!T53)+ABS(Production!T77)</f>
        <v>0</v>
      </c>
      <c r="U15" s="69" t="n">
        <f aca="false">ABS(Production!U29)+ABS(Production!U53)+ABS(Production!U77)</f>
        <v>0</v>
      </c>
      <c r="V15" s="69" t="n">
        <f aca="false">ABS(Production!V29)+ABS(Production!V53)+ABS(Production!V77)</f>
        <v>0</v>
      </c>
      <c r="W15" s="69" t="n">
        <f aca="false">ABS(Production!W29)+ABS(Production!W53)+ABS(Production!W77)</f>
        <v>0</v>
      </c>
      <c r="X15" s="69" t="n">
        <f aca="false">ABS(Production!X29)+ABS(Production!X53)+ABS(Production!X77)</f>
        <v>0</v>
      </c>
      <c r="Y15" s="69" t="n">
        <f aca="false">ABS(Production!Y29)+ABS(Production!Y53)+ABS(Production!Y77)</f>
        <v>0</v>
      </c>
      <c r="Z15" s="69" t="n">
        <f aca="false">ABS(Production!Z29)+ABS(Production!Z53)+ABS(Production!Z77)</f>
        <v>0</v>
      </c>
      <c r="AA15" s="69" t="n">
        <f aca="false">ABS(Production!AA29)+ABS(Production!AA53)+ABS(Production!AA77)</f>
        <v>0</v>
      </c>
      <c r="AB15" s="69" t="n">
        <f aca="false">ABS(Production!AB29)+ABS(Production!AB53)+ABS(Production!AB77)</f>
        <v>0</v>
      </c>
      <c r="AC15" s="69" t="n">
        <f aca="false">ABS(Production!AC29)+ABS(Production!AC53)+ABS(Production!AC77)</f>
        <v>0</v>
      </c>
      <c r="AD15" s="69" t="n">
        <f aca="false">ABS(Production!AD29)+ABS(Production!AD53)+ABS(Production!AD77)</f>
        <v>0</v>
      </c>
      <c r="AE15" s="69" t="n">
        <f aca="false">ABS(Production!AE29)+ABS(Production!AE53)+ABS(Production!AE77)</f>
        <v>0</v>
      </c>
      <c r="AF15" s="69" t="n">
        <f aca="false">ABS(Production!AF29)+ABS(Production!AF53)+ABS(Production!AF77)</f>
        <v>0</v>
      </c>
      <c r="AG15" s="69" t="n">
        <f aca="false">ABS(Production!AG29)+ABS(Production!AG53)+ABS(Production!AG77)</f>
        <v>0</v>
      </c>
      <c r="AH15" s="69" t="n">
        <f aca="false">ABS(Production!AH29)+ABS(Production!AH53)+ABS(Production!AH77)</f>
        <v>0</v>
      </c>
      <c r="AI15" s="69" t="n">
        <f aca="false">ABS(Production!AI29)+ABS(Production!AI53)+ABS(Production!AI77)</f>
        <v>0</v>
      </c>
      <c r="AJ15" s="69" t="n">
        <f aca="false">ABS(Production!AJ29)+ABS(Production!AJ53)+ABS(Production!AJ77)</f>
        <v>0</v>
      </c>
      <c r="AK15" s="69" t="n">
        <f aca="false">ABS(Production!AK29)+ABS(Production!AK53)+ABS(Production!AK77)</f>
        <v>0</v>
      </c>
      <c r="AL15" s="69" t="n">
        <f aca="false">ABS(Production!AL29)+ABS(Production!AL53)+ABS(Production!AL77)</f>
        <v>0</v>
      </c>
      <c r="AM15" s="69" t="n">
        <f aca="false">ABS(Production!AM29)+ABS(Production!AM53)+ABS(Production!AM77)</f>
        <v>0</v>
      </c>
    </row>
    <row r="16" customFormat="false" ht="21" hidden="false" customHeight="true" outlineLevel="0" collapsed="false">
      <c r="C16" s="56" t="s">
        <v>571</v>
      </c>
      <c r="D16" s="69"/>
      <c r="E16" s="69"/>
      <c r="F16" s="69"/>
      <c r="G16" s="69"/>
      <c r="H16" s="69"/>
      <c r="I16" s="69"/>
      <c r="J16" s="69" t="n">
        <f aca="false">ABS(Inventory!J14)+ABS(Inventory!J20)</f>
        <v>0</v>
      </c>
      <c r="K16" s="69" t="n">
        <f aca="false">ABS(Inventory!K14)+ABS(Inventory!K20)</f>
        <v>0</v>
      </c>
      <c r="L16" s="69" t="n">
        <f aca="false">ABS(Inventory!L14)+ABS(Inventory!L20)</f>
        <v>0</v>
      </c>
      <c r="M16" s="69" t="n">
        <f aca="false">ABS(Inventory!M14)+ABS(Inventory!M20)</f>
        <v>0</v>
      </c>
      <c r="N16" s="69" t="n">
        <f aca="false">ABS(Inventory!N14)+ABS(Inventory!N20)</f>
        <v>0</v>
      </c>
      <c r="O16" s="69" t="n">
        <f aca="false">ABS(Inventory!O14)+ABS(Inventory!O20)</f>
        <v>0</v>
      </c>
      <c r="P16" s="69" t="n">
        <f aca="false">ABS(Inventory!P14)+ABS(Inventory!P20)</f>
        <v>0</v>
      </c>
      <c r="Q16" s="69" t="n">
        <f aca="false">ABS(Inventory!Q14)+ABS(Inventory!Q20)</f>
        <v>0</v>
      </c>
      <c r="R16" s="69" t="n">
        <f aca="false">ABS(Inventory!R14)+ABS(Inventory!R20)</f>
        <v>0</v>
      </c>
      <c r="S16" s="69" t="n">
        <f aca="false">ABS(Inventory!S14)+ABS(Inventory!S20)</f>
        <v>0</v>
      </c>
      <c r="T16" s="69" t="n">
        <f aca="false">ABS(Inventory!T14)+ABS(Inventory!T20)</f>
        <v>0</v>
      </c>
      <c r="U16" s="69" t="n">
        <f aca="false">ABS(Inventory!U14)+ABS(Inventory!U20)</f>
        <v>0</v>
      </c>
      <c r="V16" s="69" t="n">
        <f aca="false">ABS(Inventory!V14)+ABS(Inventory!V20)</f>
        <v>0</v>
      </c>
      <c r="W16" s="69" t="n">
        <f aca="false">ABS(Inventory!W14)+ABS(Inventory!W20)</f>
        <v>0</v>
      </c>
      <c r="X16" s="69" t="n">
        <f aca="false">ABS(Inventory!X14)+ABS(Inventory!X20)</f>
        <v>0</v>
      </c>
      <c r="Y16" s="69" t="n">
        <f aca="false">ABS(Inventory!Y14)+ABS(Inventory!Y20)</f>
        <v>0</v>
      </c>
      <c r="Z16" s="69" t="n">
        <f aca="false">ABS(Inventory!Z14)+ABS(Inventory!Z20)</f>
        <v>0</v>
      </c>
      <c r="AA16" s="69" t="n">
        <f aca="false">ABS(Inventory!AA14)+ABS(Inventory!AA20)</f>
        <v>0</v>
      </c>
      <c r="AB16" s="69" t="n">
        <f aca="false">ABS(Inventory!AB14)+ABS(Inventory!AB20)</f>
        <v>0</v>
      </c>
      <c r="AC16" s="69" t="n">
        <f aca="false">ABS(Inventory!AC14)+ABS(Inventory!AC20)</f>
        <v>0</v>
      </c>
      <c r="AD16" s="69" t="n">
        <f aca="false">ABS(Inventory!AD14)+ABS(Inventory!AD20)</f>
        <v>0</v>
      </c>
      <c r="AE16" s="69" t="n">
        <f aca="false">ABS(Inventory!AE14)+ABS(Inventory!AE20)</f>
        <v>0</v>
      </c>
      <c r="AF16" s="69" t="n">
        <f aca="false">ABS(Inventory!AF14)+ABS(Inventory!AF20)</f>
        <v>0</v>
      </c>
      <c r="AG16" s="69" t="n">
        <f aca="false">ABS(Inventory!AG14)+ABS(Inventory!AG20)</f>
        <v>0</v>
      </c>
      <c r="AH16" s="69" t="n">
        <f aca="false">ABS(Inventory!AH14)+ABS(Inventory!AH20)</f>
        <v>0</v>
      </c>
      <c r="AI16" s="69" t="n">
        <f aca="false">ABS(Inventory!AI14)+ABS(Inventory!AI20)</f>
        <v>0</v>
      </c>
      <c r="AJ16" s="69" t="n">
        <f aca="false">ABS(Inventory!AJ14)+ABS(Inventory!AJ20)</f>
        <v>0</v>
      </c>
      <c r="AK16" s="69" t="n">
        <f aca="false">ABS(Inventory!AK14)+ABS(Inventory!AK20)</f>
        <v>0</v>
      </c>
      <c r="AL16" s="69" t="n">
        <f aca="false">ABS(Inventory!AL14)+ABS(Inventory!AL20)</f>
        <v>0</v>
      </c>
      <c r="AM16" s="69" t="n">
        <f aca="false">ABS(Inventory!AM14)+ABS(Inventory!AM20)</f>
        <v>0</v>
      </c>
    </row>
    <row r="17" customFormat="false" ht="21" hidden="false" customHeight="true" outlineLevel="0" collapsed="false">
      <c r="C17" s="56" t="s">
        <v>572</v>
      </c>
      <c r="D17" s="69"/>
      <c r="E17" s="69"/>
      <c r="F17" s="69"/>
      <c r="G17" s="69"/>
      <c r="H17" s="69"/>
      <c r="I17" s="69"/>
      <c r="J17" s="69" t="n">
        <f aca="false">ABS(Receivables!J20)+ABS(Receivables!J31)+ABS(Receivables!J41)</f>
        <v>0</v>
      </c>
      <c r="K17" s="69" t="n">
        <f aca="false">ABS(Receivables!K20)+ABS(Receivables!K31)+ABS(Receivables!K41)</f>
        <v>0</v>
      </c>
      <c r="L17" s="69" t="n">
        <f aca="false">ABS(Receivables!L20)+ABS(Receivables!L31)+ABS(Receivables!L41)</f>
        <v>0</v>
      </c>
      <c r="M17" s="69" t="n">
        <f aca="false">ABS(Receivables!M20)+ABS(Receivables!M31)+ABS(Receivables!M41)</f>
        <v>0</v>
      </c>
      <c r="N17" s="69" t="n">
        <f aca="false">ABS(Receivables!N20)+ABS(Receivables!N31)+ABS(Receivables!N41)</f>
        <v>0</v>
      </c>
      <c r="O17" s="69" t="n">
        <f aca="false">ABS(Receivables!O20)+ABS(Receivables!O31)+ABS(Receivables!O41)</f>
        <v>0</v>
      </c>
      <c r="P17" s="69" t="n">
        <f aca="false">ABS(Receivables!P20)+ABS(Receivables!P31)+ABS(Receivables!P41)</f>
        <v>0</v>
      </c>
      <c r="Q17" s="69" t="n">
        <f aca="false">ABS(Receivables!Q20)+ABS(Receivables!Q31)+ABS(Receivables!Q41)</f>
        <v>0</v>
      </c>
      <c r="R17" s="69" t="n">
        <f aca="false">ABS(Receivables!R20)+ABS(Receivables!R31)+ABS(Receivables!R41)</f>
        <v>0</v>
      </c>
      <c r="S17" s="69" t="n">
        <f aca="false">ABS(Receivables!S20)+ABS(Receivables!S31)+ABS(Receivables!S41)</f>
        <v>0</v>
      </c>
      <c r="T17" s="69" t="n">
        <f aca="false">ABS(Receivables!T20)+ABS(Receivables!T31)+ABS(Receivables!T41)</f>
        <v>0</v>
      </c>
      <c r="U17" s="69" t="n">
        <f aca="false">ABS(Receivables!U20)+ABS(Receivables!U31)+ABS(Receivables!U41)</f>
        <v>0</v>
      </c>
      <c r="V17" s="69" t="n">
        <f aca="false">ABS(Receivables!V20)+ABS(Receivables!V31)+ABS(Receivables!V41)</f>
        <v>0</v>
      </c>
      <c r="W17" s="69" t="n">
        <f aca="false">ABS(Receivables!W20)+ABS(Receivables!W31)+ABS(Receivables!W41)</f>
        <v>0</v>
      </c>
      <c r="X17" s="69" t="n">
        <f aca="false">ABS(Receivables!X20)+ABS(Receivables!X31)+ABS(Receivables!X41)</f>
        <v>0</v>
      </c>
      <c r="Y17" s="69" t="n">
        <f aca="false">ABS(Receivables!Y20)+ABS(Receivables!Y31)+ABS(Receivables!Y41)</f>
        <v>0</v>
      </c>
      <c r="Z17" s="69" t="n">
        <f aca="false">ABS(Receivables!Z20)+ABS(Receivables!Z31)+ABS(Receivables!Z41)</f>
        <v>0</v>
      </c>
      <c r="AA17" s="69" t="n">
        <f aca="false">ABS(Receivables!AA20)+ABS(Receivables!AA31)+ABS(Receivables!AA41)</f>
        <v>0</v>
      </c>
      <c r="AB17" s="69" t="n">
        <f aca="false">ABS(Receivables!AB20)+ABS(Receivables!AB31)+ABS(Receivables!AB41)</f>
        <v>0</v>
      </c>
      <c r="AC17" s="69" t="n">
        <f aca="false">ABS(Receivables!AC20)+ABS(Receivables!AC31)+ABS(Receivables!AC41)</f>
        <v>0</v>
      </c>
      <c r="AD17" s="69" t="n">
        <f aca="false">ABS(Receivables!AD20)+ABS(Receivables!AD31)+ABS(Receivables!AD41)</f>
        <v>0</v>
      </c>
      <c r="AE17" s="69" t="n">
        <f aca="false">ABS(Receivables!AE20)+ABS(Receivables!AE31)+ABS(Receivables!AE41)</f>
        <v>0</v>
      </c>
      <c r="AF17" s="69" t="n">
        <f aca="false">ABS(Receivables!AF20)+ABS(Receivables!AF31)+ABS(Receivables!AF41)</f>
        <v>0</v>
      </c>
      <c r="AG17" s="69" t="n">
        <f aca="false">ABS(Receivables!AG20)+ABS(Receivables!AG31)+ABS(Receivables!AG41)</f>
        <v>0</v>
      </c>
      <c r="AH17" s="69" t="n">
        <f aca="false">ABS(Receivables!AH20)+ABS(Receivables!AH31)+ABS(Receivables!AH41)</f>
        <v>0</v>
      </c>
      <c r="AI17" s="69" t="n">
        <f aca="false">ABS(Receivables!AI20)+ABS(Receivables!AI31)+ABS(Receivables!AI41)</f>
        <v>0</v>
      </c>
      <c r="AJ17" s="69" t="n">
        <f aca="false">ABS(Receivables!AJ20)+ABS(Receivables!AJ31)+ABS(Receivables!AJ41)</f>
        <v>0</v>
      </c>
      <c r="AK17" s="69" t="n">
        <f aca="false">ABS(Receivables!AK20)+ABS(Receivables!AK31)+ABS(Receivables!AK41)</f>
        <v>0</v>
      </c>
      <c r="AL17" s="69" t="n">
        <f aca="false">ABS(Receivables!AL20)+ABS(Receivables!AL31)+ABS(Receivables!AL41)</f>
        <v>0</v>
      </c>
      <c r="AM17" s="69" t="n">
        <f aca="false">ABS(Receivables!AM20)+ABS(Receivables!AM31)+ABS(Receivables!AM41)</f>
        <v>0</v>
      </c>
    </row>
    <row r="18" customFormat="false" ht="21" hidden="false" customHeight="true" outlineLevel="0" collapsed="false">
      <c r="C18" s="56" t="s">
        <v>573</v>
      </c>
      <c r="D18" s="69"/>
      <c r="E18" s="69"/>
      <c r="F18" s="69"/>
      <c r="G18" s="69"/>
      <c r="H18" s="69"/>
      <c r="I18" s="69"/>
      <c r="J18" s="69" t="n">
        <f aca="false">ABS(Assets!J17)+ABS(Assets!J29)+ABS(Assets!J41)+ABS(Assets!J53)+ABS(Assets!J65)+ABS(Assets!J77)+ABS(Assets!J89)</f>
        <v>0</v>
      </c>
      <c r="K18" s="69" t="n">
        <f aca="false">ABS(Assets!K17)+ABS(Assets!K29)+ABS(Assets!K41)+ABS(Assets!K53)+ABS(Assets!K65)+ABS(Assets!K77)+ABS(Assets!K89)</f>
        <v>0</v>
      </c>
      <c r="L18" s="69" t="n">
        <f aca="false">ABS(Assets!L17)+ABS(Assets!L29)+ABS(Assets!L41)+ABS(Assets!L53)+ABS(Assets!L65)+ABS(Assets!L77)+ABS(Assets!L89)</f>
        <v>0</v>
      </c>
      <c r="M18" s="69" t="n">
        <f aca="false">ABS(Assets!M17)+ABS(Assets!M29)+ABS(Assets!M41)+ABS(Assets!M53)+ABS(Assets!M65)+ABS(Assets!M77)+ABS(Assets!M89)</f>
        <v>0</v>
      </c>
      <c r="N18" s="69" t="n">
        <f aca="false">ABS(Assets!N17)+ABS(Assets!N29)+ABS(Assets!N41)+ABS(Assets!N53)+ABS(Assets!N65)+ABS(Assets!N77)+ABS(Assets!N89)</f>
        <v>0</v>
      </c>
      <c r="O18" s="69" t="n">
        <f aca="false">ABS(Assets!O17)+ABS(Assets!O29)+ABS(Assets!O41)+ABS(Assets!O53)+ABS(Assets!O65)+ABS(Assets!O77)+ABS(Assets!O89)</f>
        <v>0</v>
      </c>
      <c r="P18" s="69" t="n">
        <f aca="false">ABS(Assets!P17)+ABS(Assets!P29)+ABS(Assets!P41)+ABS(Assets!P53)+ABS(Assets!P65)+ABS(Assets!P77)+ABS(Assets!P89)</f>
        <v>0</v>
      </c>
      <c r="Q18" s="69" t="n">
        <f aca="false">ABS(Assets!Q17)+ABS(Assets!Q29)+ABS(Assets!Q41)+ABS(Assets!Q53)+ABS(Assets!Q65)+ABS(Assets!Q77)+ABS(Assets!Q89)</f>
        <v>0</v>
      </c>
      <c r="R18" s="69" t="n">
        <f aca="false">ABS(Assets!R17)+ABS(Assets!R29)+ABS(Assets!R41)+ABS(Assets!R53)+ABS(Assets!R65)+ABS(Assets!R77)+ABS(Assets!R89)</f>
        <v>0</v>
      </c>
      <c r="S18" s="69" t="n">
        <f aca="false">ABS(Assets!S17)+ABS(Assets!S29)+ABS(Assets!S41)+ABS(Assets!S53)+ABS(Assets!S65)+ABS(Assets!S77)+ABS(Assets!S89)</f>
        <v>0</v>
      </c>
      <c r="T18" s="69" t="n">
        <f aca="false">ABS(Assets!T17)+ABS(Assets!T29)+ABS(Assets!T41)+ABS(Assets!T53)+ABS(Assets!T65)+ABS(Assets!T77)+ABS(Assets!T89)</f>
        <v>0</v>
      </c>
      <c r="U18" s="69" t="n">
        <f aca="false">ABS(Assets!U17)+ABS(Assets!U29)+ABS(Assets!U41)+ABS(Assets!U53)+ABS(Assets!U65)+ABS(Assets!U77)+ABS(Assets!U89)</f>
        <v>0</v>
      </c>
      <c r="V18" s="69" t="n">
        <f aca="false">ABS(Assets!V17)+ABS(Assets!V29)+ABS(Assets!V41)+ABS(Assets!V53)+ABS(Assets!V65)+ABS(Assets!V77)+ABS(Assets!V89)</f>
        <v>0</v>
      </c>
      <c r="W18" s="69" t="n">
        <f aca="false">ABS(Assets!W17)+ABS(Assets!W29)+ABS(Assets!W41)+ABS(Assets!W53)+ABS(Assets!W65)+ABS(Assets!W77)+ABS(Assets!W89)</f>
        <v>0</v>
      </c>
      <c r="X18" s="69" t="n">
        <f aca="false">ABS(Assets!X17)+ABS(Assets!X29)+ABS(Assets!X41)+ABS(Assets!X53)+ABS(Assets!X65)+ABS(Assets!X77)+ABS(Assets!X89)</f>
        <v>0</v>
      </c>
      <c r="Y18" s="69" t="n">
        <f aca="false">ABS(Assets!Y17)+ABS(Assets!Y29)+ABS(Assets!Y41)+ABS(Assets!Y53)+ABS(Assets!Y65)+ABS(Assets!Y77)+ABS(Assets!Y89)</f>
        <v>0</v>
      </c>
      <c r="Z18" s="69" t="n">
        <f aca="false">ABS(Assets!Z17)+ABS(Assets!Z29)+ABS(Assets!Z41)+ABS(Assets!Z53)+ABS(Assets!Z65)+ABS(Assets!Z77)+ABS(Assets!Z89)</f>
        <v>0</v>
      </c>
      <c r="AA18" s="69" t="n">
        <f aca="false">ABS(Assets!AA17)+ABS(Assets!AA29)+ABS(Assets!AA41)+ABS(Assets!AA53)+ABS(Assets!AA65)+ABS(Assets!AA77)+ABS(Assets!AA89)</f>
        <v>0</v>
      </c>
      <c r="AB18" s="69" t="n">
        <f aca="false">ABS(Assets!AB17)+ABS(Assets!AB29)+ABS(Assets!AB41)+ABS(Assets!AB53)+ABS(Assets!AB65)+ABS(Assets!AB77)+ABS(Assets!AB89)</f>
        <v>0</v>
      </c>
      <c r="AC18" s="69" t="n">
        <f aca="false">ABS(Assets!AC17)+ABS(Assets!AC29)+ABS(Assets!AC41)+ABS(Assets!AC53)+ABS(Assets!AC65)+ABS(Assets!AC77)+ABS(Assets!AC89)</f>
        <v>0</v>
      </c>
      <c r="AD18" s="69" t="n">
        <f aca="false">ABS(Assets!AD17)+ABS(Assets!AD29)+ABS(Assets!AD41)+ABS(Assets!AD53)+ABS(Assets!AD65)+ABS(Assets!AD77)+ABS(Assets!AD89)</f>
        <v>0</v>
      </c>
      <c r="AE18" s="69" t="n">
        <f aca="false">ABS(Assets!AE17)+ABS(Assets!AE29)+ABS(Assets!AE41)+ABS(Assets!AE53)+ABS(Assets!AE65)+ABS(Assets!AE77)+ABS(Assets!AE89)</f>
        <v>0</v>
      </c>
      <c r="AF18" s="69" t="n">
        <f aca="false">ABS(Assets!AF17)+ABS(Assets!AF29)+ABS(Assets!AF41)+ABS(Assets!AF53)+ABS(Assets!AF65)+ABS(Assets!AF77)+ABS(Assets!AF89)</f>
        <v>0</v>
      </c>
      <c r="AG18" s="69" t="n">
        <f aca="false">ABS(Assets!AG17)+ABS(Assets!AG29)+ABS(Assets!AG41)+ABS(Assets!AG53)+ABS(Assets!AG65)+ABS(Assets!AG77)+ABS(Assets!AG89)</f>
        <v>0</v>
      </c>
      <c r="AH18" s="69" t="n">
        <f aca="false">ABS(Assets!AH17)+ABS(Assets!AH29)+ABS(Assets!AH41)+ABS(Assets!AH53)+ABS(Assets!AH65)+ABS(Assets!AH77)+ABS(Assets!AH89)</f>
        <v>0</v>
      </c>
      <c r="AI18" s="69" t="n">
        <f aca="false">ABS(Assets!AI17)+ABS(Assets!AI29)+ABS(Assets!AI41)+ABS(Assets!AI53)+ABS(Assets!AI65)+ABS(Assets!AI77)+ABS(Assets!AI89)</f>
        <v>0</v>
      </c>
      <c r="AJ18" s="69" t="n">
        <f aca="false">ABS(Assets!AJ17)+ABS(Assets!AJ29)+ABS(Assets!AJ41)+ABS(Assets!AJ53)+ABS(Assets!AJ65)+ABS(Assets!AJ77)+ABS(Assets!AJ89)</f>
        <v>0</v>
      </c>
      <c r="AK18" s="69" t="n">
        <f aca="false">ABS(Assets!AK17)+ABS(Assets!AK29)+ABS(Assets!AK41)+ABS(Assets!AK53)+ABS(Assets!AK65)+ABS(Assets!AK77)+ABS(Assets!AK89)</f>
        <v>0</v>
      </c>
      <c r="AL18" s="69" t="n">
        <f aca="false">ABS(Assets!AL17)+ABS(Assets!AL29)+ABS(Assets!AL41)+ABS(Assets!AL53)+ABS(Assets!AL65)+ABS(Assets!AL77)+ABS(Assets!AL89)</f>
        <v>0</v>
      </c>
      <c r="AM18" s="69" t="n">
        <f aca="false">ABS(Assets!AM17)+ABS(Assets!AM29)+ABS(Assets!AM41)+ABS(Assets!AM53)+ABS(Assets!AM65)+ABS(Assets!AM77)+ABS(Assets!AM89)</f>
        <v>0</v>
      </c>
    </row>
    <row r="19" customFormat="false" ht="21" hidden="false" customHeight="true" outlineLevel="0" collapsed="false">
      <c r="C19" s="56" t="s">
        <v>574</v>
      </c>
      <c r="D19" s="69"/>
      <c r="E19" s="69"/>
      <c r="F19" s="69"/>
      <c r="G19" s="69"/>
      <c r="H19" s="69"/>
      <c r="I19" s="69"/>
      <c r="J19" s="69" t="n">
        <f aca="false">ABS(Funding!J19)+ABS(Funding!J30)+ABS(Funding!J41)+ABS(Funding!J50)</f>
        <v>0</v>
      </c>
      <c r="K19" s="69" t="n">
        <f aca="false">ABS(Funding!K19)+ABS(Funding!K30)+ABS(Funding!K41)+ABS(Funding!K50)</f>
        <v>0</v>
      </c>
      <c r="L19" s="69" t="n">
        <f aca="false">ABS(Funding!L19)+ABS(Funding!L30)+ABS(Funding!L41)+ABS(Funding!L50)</f>
        <v>0</v>
      </c>
      <c r="M19" s="69" t="n">
        <f aca="false">ABS(Funding!M19)+ABS(Funding!M30)+ABS(Funding!M41)+ABS(Funding!M50)</f>
        <v>0</v>
      </c>
      <c r="N19" s="69" t="n">
        <f aca="false">ABS(Funding!N19)+ABS(Funding!N30)+ABS(Funding!N41)+ABS(Funding!N50)</f>
        <v>0</v>
      </c>
      <c r="O19" s="69" t="n">
        <f aca="false">ABS(Funding!O19)+ABS(Funding!O30)+ABS(Funding!O41)+ABS(Funding!O50)</f>
        <v>0</v>
      </c>
      <c r="P19" s="69" t="n">
        <f aca="false">ABS(Funding!P19)+ABS(Funding!P30)+ABS(Funding!P41)+ABS(Funding!P50)</f>
        <v>0</v>
      </c>
      <c r="Q19" s="69" t="n">
        <f aca="false">ABS(Funding!Q19)+ABS(Funding!Q30)+ABS(Funding!Q41)+ABS(Funding!Q50)</f>
        <v>0</v>
      </c>
      <c r="R19" s="69" t="n">
        <f aca="false">ABS(Funding!R19)+ABS(Funding!R30)+ABS(Funding!R41)+ABS(Funding!R50)</f>
        <v>0</v>
      </c>
      <c r="S19" s="69" t="n">
        <f aca="false">ABS(Funding!S19)+ABS(Funding!S30)+ABS(Funding!S41)+ABS(Funding!S50)</f>
        <v>0</v>
      </c>
      <c r="T19" s="69" t="n">
        <f aca="false">ABS(Funding!T19)+ABS(Funding!T30)+ABS(Funding!T41)+ABS(Funding!T50)</f>
        <v>0</v>
      </c>
      <c r="U19" s="69" t="n">
        <f aca="false">ABS(Funding!U19)+ABS(Funding!U30)+ABS(Funding!U41)+ABS(Funding!U50)</f>
        <v>0</v>
      </c>
      <c r="V19" s="69" t="n">
        <f aca="false">ABS(Funding!V19)+ABS(Funding!V30)+ABS(Funding!V41)+ABS(Funding!V50)</f>
        <v>0</v>
      </c>
      <c r="W19" s="69" t="n">
        <f aca="false">ABS(Funding!W19)+ABS(Funding!W30)+ABS(Funding!W41)+ABS(Funding!W50)</f>
        <v>0</v>
      </c>
      <c r="X19" s="69" t="n">
        <f aca="false">ABS(Funding!X19)+ABS(Funding!X30)+ABS(Funding!X41)+ABS(Funding!X50)</f>
        <v>0</v>
      </c>
      <c r="Y19" s="69" t="n">
        <f aca="false">ABS(Funding!Y19)+ABS(Funding!Y30)+ABS(Funding!Y41)+ABS(Funding!Y50)</f>
        <v>0</v>
      </c>
      <c r="Z19" s="69" t="n">
        <f aca="false">ABS(Funding!Z19)+ABS(Funding!Z30)+ABS(Funding!Z41)+ABS(Funding!Z50)</f>
        <v>0</v>
      </c>
      <c r="AA19" s="69" t="n">
        <f aca="false">ABS(Funding!AA19)+ABS(Funding!AA30)+ABS(Funding!AA41)+ABS(Funding!AA50)</f>
        <v>0</v>
      </c>
      <c r="AB19" s="69" t="n">
        <f aca="false">ABS(Funding!AB19)+ABS(Funding!AB30)+ABS(Funding!AB41)+ABS(Funding!AB50)</f>
        <v>0</v>
      </c>
      <c r="AC19" s="69" t="n">
        <f aca="false">ABS(Funding!AC19)+ABS(Funding!AC30)+ABS(Funding!AC41)+ABS(Funding!AC50)</f>
        <v>0</v>
      </c>
      <c r="AD19" s="69" t="n">
        <f aca="false">ABS(Funding!AD19)+ABS(Funding!AD30)+ABS(Funding!AD41)+ABS(Funding!AD50)</f>
        <v>0</v>
      </c>
      <c r="AE19" s="69" t="n">
        <f aca="false">ABS(Funding!AE19)+ABS(Funding!AE30)+ABS(Funding!AE41)+ABS(Funding!AE50)</f>
        <v>0</v>
      </c>
      <c r="AF19" s="69" t="n">
        <f aca="false">ABS(Funding!AF19)+ABS(Funding!AF30)+ABS(Funding!AF41)+ABS(Funding!AF50)</f>
        <v>0</v>
      </c>
      <c r="AG19" s="69" t="n">
        <f aca="false">ABS(Funding!AG19)+ABS(Funding!AG30)+ABS(Funding!AG41)+ABS(Funding!AG50)</f>
        <v>0</v>
      </c>
      <c r="AH19" s="69" t="n">
        <f aca="false">ABS(Funding!AH19)+ABS(Funding!AH30)+ABS(Funding!AH41)+ABS(Funding!AH50)</f>
        <v>0</v>
      </c>
      <c r="AI19" s="69" t="n">
        <f aca="false">ABS(Funding!AI19)+ABS(Funding!AI30)+ABS(Funding!AI41)+ABS(Funding!AI50)</f>
        <v>0</v>
      </c>
      <c r="AJ19" s="69" t="n">
        <f aca="false">ABS(Funding!AJ19)+ABS(Funding!AJ30)+ABS(Funding!AJ41)+ABS(Funding!AJ50)</f>
        <v>0</v>
      </c>
      <c r="AK19" s="69" t="n">
        <f aca="false">ABS(Funding!AK19)+ABS(Funding!AK30)+ABS(Funding!AK41)+ABS(Funding!AK50)</f>
        <v>0</v>
      </c>
      <c r="AL19" s="69" t="n">
        <f aca="false">ABS(Funding!AL19)+ABS(Funding!AL30)+ABS(Funding!AL41)+ABS(Funding!AL50)</f>
        <v>0</v>
      </c>
      <c r="AM19" s="69" t="n">
        <f aca="false">ABS(Funding!AM19)+ABS(Funding!AM30)+ABS(Funding!AM41)+ABS(Funding!AM50)</f>
        <v>0</v>
      </c>
    </row>
    <row r="20" customFormat="false" ht="21" hidden="false" customHeight="true" outlineLevel="0" collapsed="false">
      <c r="C20" s="56" t="s">
        <v>575</v>
      </c>
      <c r="D20" s="69"/>
      <c r="E20" s="69"/>
      <c r="F20" s="69"/>
      <c r="G20" s="69"/>
      <c r="H20" s="69"/>
      <c r="I20" s="69"/>
      <c r="J20" s="69" t="n">
        <f aca="false">Funding!J60</f>
        <v>0</v>
      </c>
      <c r="K20" s="69" t="n">
        <f aca="false">Funding!K60</f>
        <v>0</v>
      </c>
      <c r="L20" s="69" t="n">
        <f aca="false">Funding!L60</f>
        <v>0</v>
      </c>
      <c r="M20" s="69" t="n">
        <f aca="false">Funding!M60</f>
        <v>0</v>
      </c>
      <c r="N20" s="69" t="n">
        <f aca="false">Funding!N60</f>
        <v>0</v>
      </c>
      <c r="O20" s="69" t="n">
        <f aca="false">Funding!O60</f>
        <v>0</v>
      </c>
      <c r="P20" s="69" t="n">
        <f aca="false">Funding!P60</f>
        <v>0</v>
      </c>
      <c r="Q20" s="69" t="n">
        <f aca="false">Funding!Q60</f>
        <v>0</v>
      </c>
      <c r="R20" s="69" t="n">
        <f aca="false">Funding!R60</f>
        <v>0</v>
      </c>
      <c r="S20" s="69" t="n">
        <f aca="false">Funding!S60</f>
        <v>0</v>
      </c>
      <c r="T20" s="69" t="n">
        <f aca="false">Funding!T60</f>
        <v>0</v>
      </c>
      <c r="U20" s="69" t="n">
        <f aca="false">Funding!U60</f>
        <v>0</v>
      </c>
      <c r="V20" s="69" t="n">
        <f aca="false">Funding!V60</f>
        <v>0</v>
      </c>
      <c r="W20" s="69" t="n">
        <f aca="false">Funding!W60</f>
        <v>0</v>
      </c>
      <c r="X20" s="69" t="n">
        <f aca="false">Funding!X60</f>
        <v>0</v>
      </c>
      <c r="Y20" s="69" t="n">
        <f aca="false">Funding!Y60</f>
        <v>0</v>
      </c>
      <c r="Z20" s="69" t="n">
        <f aca="false">Funding!Z60</f>
        <v>0</v>
      </c>
      <c r="AA20" s="69" t="n">
        <f aca="false">Funding!AA60</f>
        <v>0</v>
      </c>
      <c r="AB20" s="69" t="n">
        <f aca="false">Funding!AB60</f>
        <v>0</v>
      </c>
      <c r="AC20" s="69" t="n">
        <f aca="false">Funding!AC60</f>
        <v>0</v>
      </c>
      <c r="AD20" s="69" t="n">
        <f aca="false">Funding!AD60</f>
        <v>0</v>
      </c>
      <c r="AE20" s="69" t="n">
        <f aca="false">Funding!AE60</f>
        <v>0</v>
      </c>
      <c r="AF20" s="69" t="n">
        <f aca="false">Funding!AF60</f>
        <v>0</v>
      </c>
      <c r="AG20" s="69" t="n">
        <f aca="false">Funding!AG60</f>
        <v>0</v>
      </c>
      <c r="AH20" s="69" t="n">
        <f aca="false">Funding!AH60</f>
        <v>0</v>
      </c>
      <c r="AI20" s="69" t="n">
        <f aca="false">Funding!AI60</f>
        <v>0</v>
      </c>
      <c r="AJ20" s="69" t="n">
        <f aca="false">Funding!AJ60</f>
        <v>0</v>
      </c>
      <c r="AK20" s="69" t="n">
        <f aca="false">Funding!AK60</f>
        <v>0</v>
      </c>
      <c r="AL20" s="69" t="n">
        <f aca="false">Funding!AL60</f>
        <v>0</v>
      </c>
      <c r="AM20" s="69" t="n">
        <f aca="false">Funding!AM60</f>
        <v>0</v>
      </c>
    </row>
    <row r="21" customFormat="false" ht="21" hidden="false" customHeight="true" outlineLevel="0" collapsed="false">
      <c r="C21" s="56" t="s">
        <v>576</v>
      </c>
      <c r="D21" s="69"/>
      <c r="E21" s="69"/>
      <c r="F21" s="69"/>
      <c r="G21" s="69"/>
      <c r="H21" s="69"/>
      <c r="I21" s="69"/>
      <c r="J21" s="69" t="n">
        <f aca="false">ABS(TaxEquity!J14)+ABS(TaxEquity!J48)+ABS(TaxEquity!J49)+ABS(TaxEquity!J50)+ABS(TaxEquity!J51)</f>
        <v>0</v>
      </c>
      <c r="K21" s="69" t="n">
        <f aca="false">ABS(TaxEquity!K14)+ABS(TaxEquity!K48)+ABS(TaxEquity!K49)+ABS(TaxEquity!K50)+ABS(TaxEquity!K51)</f>
        <v>0</v>
      </c>
      <c r="L21" s="69" t="n">
        <f aca="false">ABS(TaxEquity!L14)+ABS(TaxEquity!L48)+ABS(TaxEquity!L49)+ABS(TaxEquity!L50)+ABS(TaxEquity!L51)</f>
        <v>0</v>
      </c>
      <c r="M21" s="69" t="n">
        <f aca="false">ABS(TaxEquity!M14)+ABS(TaxEquity!M48)+ABS(TaxEquity!M49)+ABS(TaxEquity!M50)+ABS(TaxEquity!M51)</f>
        <v>0</v>
      </c>
      <c r="N21" s="69" t="n">
        <f aca="false">ABS(TaxEquity!N14)+ABS(TaxEquity!N48)+ABS(TaxEquity!N49)+ABS(TaxEquity!N50)+ABS(TaxEquity!N51)</f>
        <v>0</v>
      </c>
      <c r="O21" s="69" t="n">
        <f aca="false">ABS(TaxEquity!O14)+ABS(TaxEquity!O48)+ABS(TaxEquity!O49)+ABS(TaxEquity!O50)+ABS(TaxEquity!O51)</f>
        <v>0</v>
      </c>
      <c r="P21" s="69" t="n">
        <f aca="false">ABS(TaxEquity!P14)+ABS(TaxEquity!P48)+ABS(TaxEquity!P49)+ABS(TaxEquity!P50)+ABS(TaxEquity!P51)</f>
        <v>0</v>
      </c>
      <c r="Q21" s="69" t="n">
        <f aca="false">ABS(TaxEquity!Q14)+ABS(TaxEquity!Q48)+ABS(TaxEquity!Q49)+ABS(TaxEquity!Q50)+ABS(TaxEquity!Q51)</f>
        <v>0</v>
      </c>
      <c r="R21" s="69" t="n">
        <f aca="false">ABS(TaxEquity!R14)+ABS(TaxEquity!R48)+ABS(TaxEquity!R49)+ABS(TaxEquity!R50)+ABS(TaxEquity!R51)</f>
        <v>0</v>
      </c>
      <c r="S21" s="69" t="n">
        <f aca="false">ABS(TaxEquity!S14)+ABS(TaxEquity!S48)+ABS(TaxEquity!S49)+ABS(TaxEquity!S50)+ABS(TaxEquity!S51)</f>
        <v>0</v>
      </c>
      <c r="T21" s="69" t="n">
        <f aca="false">ABS(TaxEquity!T14)+ABS(TaxEquity!T48)+ABS(TaxEquity!T49)+ABS(TaxEquity!T50)+ABS(TaxEquity!T51)</f>
        <v>0</v>
      </c>
      <c r="U21" s="69" t="n">
        <f aca="false">ABS(TaxEquity!U14)+ABS(TaxEquity!U48)+ABS(TaxEquity!U49)+ABS(TaxEquity!U50)+ABS(TaxEquity!U51)</f>
        <v>0</v>
      </c>
      <c r="V21" s="69" t="n">
        <f aca="false">ABS(TaxEquity!V14)+ABS(TaxEquity!V48)+ABS(TaxEquity!V49)+ABS(TaxEquity!V50)+ABS(TaxEquity!V51)</f>
        <v>0</v>
      </c>
      <c r="W21" s="69" t="n">
        <f aca="false">ABS(TaxEquity!W14)+ABS(TaxEquity!W48)+ABS(TaxEquity!W49)+ABS(TaxEquity!W50)+ABS(TaxEquity!W51)</f>
        <v>0</v>
      </c>
      <c r="X21" s="69" t="n">
        <f aca="false">ABS(TaxEquity!X14)+ABS(TaxEquity!X48)+ABS(TaxEquity!X49)+ABS(TaxEquity!X50)+ABS(TaxEquity!X51)</f>
        <v>0</v>
      </c>
      <c r="Y21" s="69" t="n">
        <f aca="false">ABS(TaxEquity!Y14)+ABS(TaxEquity!Y48)+ABS(TaxEquity!Y49)+ABS(TaxEquity!Y50)+ABS(TaxEquity!Y51)</f>
        <v>0</v>
      </c>
      <c r="Z21" s="69" t="n">
        <f aca="false">ABS(TaxEquity!Z14)+ABS(TaxEquity!Z48)+ABS(TaxEquity!Z49)+ABS(TaxEquity!Z50)+ABS(TaxEquity!Z51)</f>
        <v>0</v>
      </c>
      <c r="AA21" s="69" t="n">
        <f aca="false">ABS(TaxEquity!AA14)+ABS(TaxEquity!AA48)+ABS(TaxEquity!AA49)+ABS(TaxEquity!AA50)+ABS(TaxEquity!AA51)</f>
        <v>0</v>
      </c>
      <c r="AB21" s="69" t="n">
        <f aca="false">ABS(TaxEquity!AB14)+ABS(TaxEquity!AB48)+ABS(TaxEquity!AB49)+ABS(TaxEquity!AB50)+ABS(TaxEquity!AB51)</f>
        <v>0</v>
      </c>
      <c r="AC21" s="69" t="n">
        <f aca="false">ABS(TaxEquity!AC14)+ABS(TaxEquity!AC48)+ABS(TaxEquity!AC49)+ABS(TaxEquity!AC50)+ABS(TaxEquity!AC51)</f>
        <v>0</v>
      </c>
      <c r="AD21" s="69" t="n">
        <f aca="false">ABS(TaxEquity!AD14)+ABS(TaxEquity!AD48)+ABS(TaxEquity!AD49)+ABS(TaxEquity!AD50)+ABS(TaxEquity!AD51)</f>
        <v>0</v>
      </c>
      <c r="AE21" s="69" t="n">
        <f aca="false">ABS(TaxEquity!AE14)+ABS(TaxEquity!AE48)+ABS(TaxEquity!AE49)+ABS(TaxEquity!AE50)+ABS(TaxEquity!AE51)</f>
        <v>0</v>
      </c>
      <c r="AF21" s="69" t="n">
        <f aca="false">ABS(TaxEquity!AF14)+ABS(TaxEquity!AF48)+ABS(TaxEquity!AF49)+ABS(TaxEquity!AF50)+ABS(TaxEquity!AF51)</f>
        <v>0</v>
      </c>
      <c r="AG21" s="69" t="n">
        <f aca="false">ABS(TaxEquity!AG14)+ABS(TaxEquity!AG48)+ABS(TaxEquity!AG49)+ABS(TaxEquity!AG50)+ABS(TaxEquity!AG51)</f>
        <v>0</v>
      </c>
      <c r="AH21" s="69" t="n">
        <f aca="false">ABS(TaxEquity!AH14)+ABS(TaxEquity!AH48)+ABS(TaxEquity!AH49)+ABS(TaxEquity!AH50)+ABS(TaxEquity!AH51)</f>
        <v>0</v>
      </c>
      <c r="AI21" s="69" t="n">
        <f aca="false">ABS(TaxEquity!AI14)+ABS(TaxEquity!AI48)+ABS(TaxEquity!AI49)+ABS(TaxEquity!AI50)+ABS(TaxEquity!AI51)</f>
        <v>0</v>
      </c>
      <c r="AJ21" s="69" t="n">
        <f aca="false">ABS(TaxEquity!AJ14)+ABS(TaxEquity!AJ48)+ABS(TaxEquity!AJ49)+ABS(TaxEquity!AJ50)+ABS(TaxEquity!AJ51)</f>
        <v>0</v>
      </c>
      <c r="AK21" s="69" t="n">
        <f aca="false">ABS(TaxEquity!AK14)+ABS(TaxEquity!AK48)+ABS(TaxEquity!AK49)+ABS(TaxEquity!AK50)+ABS(TaxEquity!AK51)</f>
        <v>0</v>
      </c>
      <c r="AL21" s="69" t="n">
        <f aca="false">ABS(TaxEquity!AL14)+ABS(TaxEquity!AL48)+ABS(TaxEquity!AL49)+ABS(TaxEquity!AL50)+ABS(TaxEquity!AL51)</f>
        <v>0</v>
      </c>
      <c r="AM21" s="69" t="n">
        <f aca="false">ABS(TaxEquity!AM14)+ABS(TaxEquity!AM48)+ABS(TaxEquity!AM49)+ABS(TaxEquity!AM50)+ABS(TaxEquity!AM51)</f>
        <v>0</v>
      </c>
    </row>
    <row r="22" customFormat="false" ht="21" hidden="false" customHeight="true" outlineLevel="0" collapsed="false">
      <c r="C22" s="56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</row>
    <row r="23" customFormat="false" ht="21" hidden="false" customHeight="true" outlineLevel="0" collapsed="false">
      <c r="C23" s="56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</row>
    <row r="24" customFormat="false" ht="21" hidden="false" customHeight="true" outlineLevel="0" collapsed="false">
      <c r="C24" s="60" t="s">
        <v>577</v>
      </c>
      <c r="D24" s="93"/>
      <c r="E24" s="93"/>
      <c r="F24" s="93"/>
      <c r="G24" s="93"/>
      <c r="H24" s="93"/>
      <c r="I24" s="93"/>
      <c r="J24" s="93" t="n">
        <f aca="false">MAX(0,-Monthly_BS!J10)</f>
        <v>0</v>
      </c>
      <c r="K24" s="93" t="n">
        <f aca="false">MAX(0,-Monthly_BS!K10)</f>
        <v>0</v>
      </c>
      <c r="L24" s="93" t="n">
        <f aca="false">MAX(0,-Monthly_BS!L10)</f>
        <v>0</v>
      </c>
      <c r="M24" s="93" t="n">
        <f aca="false">MAX(0,-Monthly_BS!M10)</f>
        <v>0</v>
      </c>
      <c r="N24" s="93" t="n">
        <f aca="false">MAX(0,-Monthly_BS!N10)</f>
        <v>0</v>
      </c>
      <c r="O24" s="93" t="n">
        <f aca="false">MAX(0,-Monthly_BS!O10)</f>
        <v>0</v>
      </c>
      <c r="P24" s="93" t="n">
        <f aca="false">MAX(0,-Monthly_BS!P10)</f>
        <v>0</v>
      </c>
      <c r="Q24" s="93" t="n">
        <f aca="false">MAX(0,-Monthly_BS!Q10)</f>
        <v>0</v>
      </c>
      <c r="R24" s="93" t="n">
        <f aca="false">MAX(0,-Monthly_BS!R10)</f>
        <v>0</v>
      </c>
      <c r="S24" s="93" t="n">
        <f aca="false">MAX(0,-Monthly_BS!S10)</f>
        <v>0</v>
      </c>
      <c r="T24" s="93" t="n">
        <f aca="false">MAX(0,-Monthly_BS!T10)</f>
        <v>0</v>
      </c>
      <c r="U24" s="93" t="n">
        <f aca="false">MAX(0,-Monthly_BS!U10)</f>
        <v>0</v>
      </c>
      <c r="V24" s="93" t="n">
        <f aca="false">MAX(0,-Monthly_BS!V10)</f>
        <v>0</v>
      </c>
      <c r="W24" s="93" t="n">
        <f aca="false">MAX(0,-Monthly_BS!W10)</f>
        <v>0</v>
      </c>
      <c r="X24" s="93" t="n">
        <f aca="false">MAX(0,-Monthly_BS!X10)</f>
        <v>0</v>
      </c>
      <c r="Y24" s="93" t="n">
        <f aca="false">MAX(0,-Monthly_BS!Y10)</f>
        <v>0</v>
      </c>
      <c r="Z24" s="93" t="n">
        <f aca="false">MAX(0,-Monthly_BS!Z10)</f>
        <v>0</v>
      </c>
      <c r="AA24" s="93" t="n">
        <f aca="false">MAX(0,-Monthly_BS!AA10)</f>
        <v>0</v>
      </c>
      <c r="AB24" s="93" t="n">
        <f aca="false">MAX(0,-Monthly_BS!AB10)</f>
        <v>0</v>
      </c>
      <c r="AC24" s="93" t="n">
        <f aca="false">MAX(0,-Monthly_BS!AC10)</f>
        <v>0</v>
      </c>
      <c r="AD24" s="93" t="n">
        <f aca="false">MAX(0,-Monthly_BS!AD10)</f>
        <v>0</v>
      </c>
      <c r="AE24" s="93" t="n">
        <f aca="false">MAX(0,-Monthly_BS!AE10)</f>
        <v>0</v>
      </c>
      <c r="AF24" s="93" t="n">
        <f aca="false">MAX(0,-Monthly_BS!AF10)</f>
        <v>0</v>
      </c>
      <c r="AG24" s="93" t="n">
        <f aca="false">MAX(0,-Monthly_BS!AG10)</f>
        <v>0</v>
      </c>
      <c r="AH24" s="93" t="n">
        <f aca="false">MAX(0,-Monthly_BS!AH10)</f>
        <v>0</v>
      </c>
      <c r="AI24" s="93" t="n">
        <f aca="false">MAX(0,-Monthly_BS!AI10)</f>
        <v>0</v>
      </c>
      <c r="AJ24" s="93" t="n">
        <f aca="false">MAX(0,-Monthly_BS!AJ10)</f>
        <v>0</v>
      </c>
      <c r="AK24" s="93" t="n">
        <f aca="false">MAX(0,-Monthly_BS!AK10)</f>
        <v>0</v>
      </c>
      <c r="AL24" s="93" t="n">
        <f aca="false">MAX(0,-Monthly_BS!AL10)</f>
        <v>0</v>
      </c>
      <c r="AM24" s="93" t="n">
        <f aca="false">MAX(0,-Monthly_BS!AM10)</f>
        <v>0</v>
      </c>
    </row>
    <row r="25" customFormat="false" ht="21" hidden="false" customHeight="true" outlineLevel="0" collapsed="false">
      <c r="C25" s="56" t="s">
        <v>578</v>
      </c>
      <c r="D25" s="69"/>
      <c r="E25" s="69"/>
      <c r="F25" s="69"/>
      <c r="G25" s="69"/>
      <c r="H25" s="69"/>
      <c r="I25" s="69"/>
      <c r="J25" s="69" t="n">
        <f aca="false">Funding!J17+Funding!J28+Funding!J39</f>
        <v>0</v>
      </c>
      <c r="K25" s="69" t="n">
        <f aca="false">Funding!K17+Funding!K28+Funding!K39</f>
        <v>0</v>
      </c>
      <c r="L25" s="69" t="n">
        <f aca="false">Funding!L17+Funding!L28+Funding!L39</f>
        <v>0</v>
      </c>
      <c r="M25" s="69" t="n">
        <f aca="false">Funding!M17+Funding!M28+Funding!M39</f>
        <v>0</v>
      </c>
      <c r="N25" s="69" t="n">
        <f aca="false">Funding!N17+Funding!N28+Funding!N39</f>
        <v>0</v>
      </c>
      <c r="O25" s="69" t="n">
        <f aca="false">Funding!O17+Funding!O28+Funding!O39</f>
        <v>0</v>
      </c>
      <c r="P25" s="69" t="n">
        <f aca="false">Funding!P17+Funding!P28+Funding!P39</f>
        <v>0</v>
      </c>
      <c r="Q25" s="69" t="n">
        <f aca="false">Funding!Q17+Funding!Q28+Funding!Q39</f>
        <v>0</v>
      </c>
      <c r="R25" s="69" t="n">
        <f aca="false">Funding!R17+Funding!R28+Funding!R39</f>
        <v>0</v>
      </c>
      <c r="S25" s="69" t="n">
        <f aca="false">Funding!S17+Funding!S28+Funding!S39</f>
        <v>0</v>
      </c>
      <c r="T25" s="69" t="n">
        <f aca="false">Funding!T17+Funding!T28+Funding!T39</f>
        <v>0</v>
      </c>
      <c r="U25" s="69" t="n">
        <f aca="false">Funding!U17+Funding!U28+Funding!U39</f>
        <v>0</v>
      </c>
      <c r="V25" s="69" t="n">
        <f aca="false">Funding!V17+Funding!V28+Funding!V39</f>
        <v>0</v>
      </c>
      <c r="W25" s="69" t="n">
        <f aca="false">Funding!W17+Funding!W28+Funding!W39</f>
        <v>0</v>
      </c>
      <c r="X25" s="69" t="n">
        <f aca="false">Funding!X17+Funding!X28+Funding!X39</f>
        <v>0</v>
      </c>
      <c r="Y25" s="69" t="n">
        <f aca="false">Funding!Y17+Funding!Y28+Funding!Y39</f>
        <v>0</v>
      </c>
      <c r="Z25" s="69" t="n">
        <f aca="false">Funding!Z17+Funding!Z28+Funding!Z39</f>
        <v>0</v>
      </c>
      <c r="AA25" s="69" t="n">
        <f aca="false">Funding!AA17+Funding!AA28+Funding!AA39</f>
        <v>0</v>
      </c>
      <c r="AB25" s="69" t="n">
        <f aca="false">Funding!AB17+Funding!AB28+Funding!AB39</f>
        <v>0</v>
      </c>
      <c r="AC25" s="69" t="n">
        <f aca="false">Funding!AC17+Funding!AC28+Funding!AC39</f>
        <v>0</v>
      </c>
      <c r="AD25" s="69" t="n">
        <f aca="false">Funding!AD17+Funding!AD28+Funding!AD39</f>
        <v>0</v>
      </c>
      <c r="AE25" s="69" t="n">
        <f aca="false">Funding!AE17+Funding!AE28+Funding!AE39</f>
        <v>0</v>
      </c>
      <c r="AF25" s="69" t="n">
        <f aca="false">Funding!AF17+Funding!AF28+Funding!AF39</f>
        <v>0</v>
      </c>
      <c r="AG25" s="69" t="n">
        <f aca="false">Funding!AG17+Funding!AG28+Funding!AG39</f>
        <v>0</v>
      </c>
      <c r="AH25" s="69" t="n">
        <f aca="false">Funding!AH17+Funding!AH28+Funding!AH39</f>
        <v>0</v>
      </c>
      <c r="AI25" s="69" t="n">
        <f aca="false">Funding!AI17+Funding!AI28+Funding!AI39</f>
        <v>0</v>
      </c>
      <c r="AJ25" s="69" t="n">
        <f aca="false">Funding!AJ17+Funding!AJ28+Funding!AJ39</f>
        <v>0</v>
      </c>
      <c r="AK25" s="69" t="n">
        <f aca="false">Funding!AK17+Funding!AK28+Funding!AK39</f>
        <v>0</v>
      </c>
      <c r="AL25" s="69" t="n">
        <f aca="false">Funding!AL17+Funding!AL28+Funding!AL39</f>
        <v>0</v>
      </c>
      <c r="AM25" s="69" t="n">
        <f aca="false">Funding!AM17+Funding!AM28+Funding!AM39</f>
        <v>0</v>
      </c>
    </row>
    <row r="26" customFormat="false" ht="21" hidden="false" customHeight="true" outlineLevel="0" collapsed="false">
      <c r="C26" s="56" t="s">
        <v>579</v>
      </c>
      <c r="D26" s="69"/>
      <c r="E26" s="69"/>
      <c r="F26" s="69"/>
      <c r="G26" s="69"/>
      <c r="H26" s="69"/>
      <c r="I26" s="69"/>
      <c r="J26" s="69" t="n">
        <f aca="false">Funding!J18+Funding!J29+Funding!J40</f>
        <v>0</v>
      </c>
      <c r="K26" s="69" t="n">
        <f aca="false">Funding!K18+Funding!K29+Funding!K40</f>
        <v>0</v>
      </c>
      <c r="L26" s="69" t="n">
        <f aca="false">Funding!L18+Funding!L29+Funding!L40</f>
        <v>0</v>
      </c>
      <c r="M26" s="69" t="n">
        <f aca="false">Funding!M18+Funding!M29+Funding!M40</f>
        <v>0</v>
      </c>
      <c r="N26" s="69" t="n">
        <f aca="false">Funding!N18+Funding!N29+Funding!N40</f>
        <v>0</v>
      </c>
      <c r="O26" s="69" t="n">
        <f aca="false">Funding!O18+Funding!O29+Funding!O40</f>
        <v>0</v>
      </c>
      <c r="P26" s="69" t="n">
        <f aca="false">Funding!P18+Funding!P29+Funding!P40</f>
        <v>0</v>
      </c>
      <c r="Q26" s="69" t="n">
        <f aca="false">Funding!Q18+Funding!Q29+Funding!Q40</f>
        <v>0</v>
      </c>
      <c r="R26" s="69" t="n">
        <f aca="false">Funding!R18+Funding!R29+Funding!R40</f>
        <v>0</v>
      </c>
      <c r="S26" s="69" t="n">
        <f aca="false">Funding!S18+Funding!S29+Funding!S40</f>
        <v>0</v>
      </c>
      <c r="T26" s="69" t="n">
        <f aca="false">Funding!T18+Funding!T29+Funding!T40</f>
        <v>0</v>
      </c>
      <c r="U26" s="69" t="n">
        <f aca="false">Funding!U18+Funding!U29+Funding!U40</f>
        <v>0</v>
      </c>
      <c r="V26" s="69" t="n">
        <f aca="false">Funding!V18+Funding!V29+Funding!V40</f>
        <v>0</v>
      </c>
      <c r="W26" s="69" t="n">
        <f aca="false">Funding!W18+Funding!W29+Funding!W40</f>
        <v>0</v>
      </c>
      <c r="X26" s="69" t="n">
        <f aca="false">Funding!X18+Funding!X29+Funding!X40</f>
        <v>0</v>
      </c>
      <c r="Y26" s="69" t="n">
        <f aca="false">Funding!Y18+Funding!Y29+Funding!Y40</f>
        <v>0</v>
      </c>
      <c r="Z26" s="69" t="n">
        <f aca="false">Funding!Z18+Funding!Z29+Funding!Z40</f>
        <v>0</v>
      </c>
      <c r="AA26" s="69" t="n">
        <f aca="false">Funding!AA18+Funding!AA29+Funding!AA40</f>
        <v>0</v>
      </c>
      <c r="AB26" s="69" t="n">
        <f aca="false">Funding!AB18+Funding!AB29+Funding!AB40</f>
        <v>0</v>
      </c>
      <c r="AC26" s="69" t="n">
        <f aca="false">Funding!AC18+Funding!AC29+Funding!AC40</f>
        <v>0</v>
      </c>
      <c r="AD26" s="69" t="n">
        <f aca="false">Funding!AD18+Funding!AD29+Funding!AD40</f>
        <v>0</v>
      </c>
      <c r="AE26" s="69" t="n">
        <f aca="false">Funding!AE18+Funding!AE29+Funding!AE40</f>
        <v>0</v>
      </c>
      <c r="AF26" s="69" t="n">
        <f aca="false">Funding!AF18+Funding!AF29+Funding!AF40</f>
        <v>0</v>
      </c>
      <c r="AG26" s="69" t="n">
        <f aca="false">Funding!AG18+Funding!AG29+Funding!AG40</f>
        <v>0</v>
      </c>
      <c r="AH26" s="69" t="n">
        <f aca="false">Funding!AH18+Funding!AH29+Funding!AH40</f>
        <v>0</v>
      </c>
      <c r="AI26" s="69" t="n">
        <f aca="false">Funding!AI18+Funding!AI29+Funding!AI40</f>
        <v>0</v>
      </c>
      <c r="AJ26" s="69" t="n">
        <f aca="false">Funding!AJ18+Funding!AJ29+Funding!AJ40</f>
        <v>0</v>
      </c>
      <c r="AK26" s="69" t="n">
        <f aca="false">Funding!AK18+Funding!AK29+Funding!AK40</f>
        <v>0</v>
      </c>
      <c r="AL26" s="69" t="n">
        <f aca="false">Funding!AL18+Funding!AL29+Funding!AL40</f>
        <v>0</v>
      </c>
      <c r="AM26" s="69" t="n">
        <f aca="false">Funding!AM18+Funding!AM29+Funding!AM40</f>
        <v>0</v>
      </c>
    </row>
    <row r="27" customFormat="false" ht="21" hidden="false" customHeight="true" outlineLevel="0" collapsed="false">
      <c r="C27" s="60" t="s">
        <v>580</v>
      </c>
      <c r="D27" s="94"/>
      <c r="E27" s="94"/>
      <c r="F27" s="94"/>
      <c r="G27" s="94"/>
      <c r="H27" s="94"/>
      <c r="I27" s="94"/>
      <c r="J27" s="94" t="n">
        <f aca="false">IF(ISNUMBER(Inputs!J5),IF(Inputs!J5&lt;0,1,0),1)+IF(ISNUMBER(Inputs!J9),IF(Inputs!J9&lt;-1,1,0),1)+IF(ISNUMBER(Inputs!J10),IF(Inputs!J10&lt;-1,1,0),1)+IF(ISNUMBER(Inputs!J25),IF(Inputs!J25&lt;0,1,0),1)+IF(ISNUMBER(Inputs!J13),IF(Inputs!J13&lt;-1,1,0),1)+IF(ISNUMBER(Inputs!J14),IF(Inputs!J14&lt;-1,1,0),1)+IF(ISNUMBER(Inputs!J26),IF(Inputs!J26&lt;0,1,0),1)+IF(ISNUMBER(Inputs!J17),IF(Inputs!J17&lt;-1,1,0),1)+IF(ISNUMBER(Inputs!J18),IF(Inputs!J18&lt;-1,1,0),1)+IF(ISNUMBER(Inputs!J27),IF(Inputs!J27&lt;0,1,0),1)+IF(ISNUMBER(Inputs!J21),IF(Inputs!J21&lt;-1,1,0),1)+IF(ISNUMBER(Inputs!J22),IF(Inputs!J22&lt;-1,1,0),1)+IF(ISNUMBER(Inputs!J23),IF(Inputs!J23&lt;-1,1,0),1)+IF(ISNUMBER(Inputs!J29),IF(Inputs!J29&lt;0,1,0),1)+IF(ISNUMBER(Inputs!J30),IF(Inputs!J30&lt;0,1,0),1)+IF(ISNUMBER(Inputs!J31),IF(OR(Inputs!J31&lt;0,Inputs!J31&gt;1),1,0),1)+IF(ISNUMBER(Inputs!J32),IF(Inputs!J32&lt;0,1,0),1)+IF(ISNUMBER(Inputs!J33),IF(Inputs!J33&lt;0,1,0),1)+IF(ISNUMBER(Inputs!J34),IF(Inputs!J34&lt;0,1,0),1)+IF(ISNUMBER(Inputs!J35),IF(OR(Inputs!J35&lt;0,Inputs!J35&gt;1),1,0),1)+IF(ISNUMBER(Inputs!J36),IF(OR(Inputs!J36&lt;0,Inputs!J36&gt;1),1,0),1)+IF(ISNUMBER(Inputs!J37),IF(OR(Inputs!J37&lt;0,Inputs!J37&gt;1),1,0),1)+IF(ISNUMBER(Inputs!J38),IF(Inputs!J38&lt;0,1,0),1)+IF(ISNUMBER(Inputs!J41),IF(Inputs!J41&lt;0,1,0),1)+IF(ISNUMBER(Inputs!J44),IF(Inputs!J44&lt;0,1,0),1)+IF(ISNUMBER(Inputs!J42),IF(Inputs!J42&lt;0,1,0),1)+IF(ISNUMBER(Inputs!J45),IF(Inputs!J45&lt;0,1,0),1)+IF(ISNUMBER(Inputs!J43),IF(Inputs!J43&lt;0,1,0),1)+IF(ISNUMBER(Inputs!J46),IF(Inputs!J46&lt;0,1,0),1)+IF(ISNUMBER(Inputs!J47),IF(Inputs!J47&lt;0,1,0),1)+IF(ISNUMBER(Inputs!J48),IF(Inputs!J48&lt;0,1,0),1)+IF(ISNUMBER(Inputs!J49),IF(OR(Inputs!J49&lt;0,Inputs!J49&gt;1),1,0),1)+IF(ISNUMBER(Inputs!J50),IF(OR(Inputs!J50&lt;0,Inputs!J50&gt;1),1,0),1)+IF(ISNUMBER(Inputs!J51),IF(Inputs!J51&lt;0,1,0),1)+IF(ISNUMBER(Inputs!J53),IF(Inputs!J53&lt;0,1,0),1)+IF(ISNUMBER(Inputs!J54),IF(OR(Inputs!J54&lt;0,Inputs!J54&gt;1),1,0),1)+IF(ISNUMBER(Inputs!J55),IF(Inputs!J55&lt;0,1,0),1)+IF(ISNUMBER(Inputs!J56),IF(Inputs!J56&lt;0,1,0),1)+IF(ISNUMBER(Inputs!J57),IF(FALSE(),1,0),1)+IF(ISNUMBER(Inputs!J58),IF(Inputs!J58&lt;0,1,0),1)+IF(ISNUMBER(Inputs!J59),IF(Inputs!J59&lt;0,1,0),1)+IF(ISNUMBER(Inputs!J60),IF(Inputs!J60&lt;0,1,0),1)+IF(ISNUMBER(Inputs!J61),IF(FALSE(),1,0),1)+IF(ISNUMBER(Inputs!J62),IF(FALSE(),1,0),1)+IF(ISNUMBER(Inputs!J63),IF(Inputs!J63&lt;0,1,0),1)+IF(ISNUMBER(Inputs!J64),IF(Inputs!J64&lt;0,1,0),1)+IF(ISNUMBER(Inputs!J65),IF(Inputs!J65&lt;0,1,0),1)+IF(ISNUMBER(Inputs!J70),IF(OR(Inputs!J70&lt;0,Inputs!J70&lt;&gt;INT(Inputs!J70)),1,0),1)+IF(ISNUMBER(Inputs!J71),IF(OR(Inputs!J71&lt;0,Inputs!J71&lt;&gt;INT(Inputs!J71)),1,0),1)+IF(ISNUMBER(Inputs!J72),IF(OR(Inputs!J72&lt;0,Inputs!J72&lt;&gt;INT(Inputs!J72)),1,0),1)+IF(ISNUMBER(Inputs!J73),IF(OR(Inputs!J73&lt;0,Inputs!J73&lt;&gt;INT(Inputs!J73)),1,0),1)+IF(ISNUMBER(Inputs!J74),IF(OR(Inputs!J74&lt;0,Inputs!J74&lt;&gt;INT(Inputs!J74)),1,0),1)+IF(ISNUMBER(Inputs!J75),IF(OR(Inputs!J75&lt;0,Inputs!J75&lt;&gt;INT(Inputs!J75)),1,0),1)+IF(ISNUMBER(Inputs!J76),IF(OR(Inputs!J76&lt;0,Inputs!J76&lt;&gt;INT(Inputs!J76)),1,0),1)+IF(ISNUMBER(Inputs!J77),IF(OR(Inputs!J77&lt;0,Inputs!J77&lt;&gt;INT(Inputs!J77)),1,0),1)+IF(ISNUMBER(Inputs!J80),IF(Inputs!J80&lt;0,1,0),1)+IF(ISNUMBER(Inputs!J81),IF(Inputs!J81&lt;0,1,0),1)+IF(ISNUMBER(Inputs!J82),IF(Inputs!J82&lt;0,1,0),1)+IF(ISNUMBER(Inputs!J83),IF(OR(Inputs!J83&lt;0,Inputs!J83&gt;1),1,0),1)+IF(ISNUMBER(Inputs!J90),IF(Inputs!J90&lt;=0,1,0),1)+IF(ISNUMBER(Inputs!J91),IF(Inputs!J91&lt;=0,1,0),1)+IF(ISNUMBER(Inputs!J92),IF(Inputs!J92&lt;=0,1,0),1)+IF(ISNUMBER(Inputs!J93),IF(Inputs!J93&lt;=0,1,0),1)+IF(ISNUMBER(Inputs!J94),IF(Inputs!J94&lt;=0,1,0),1)+IF(ISNUMBER(Inputs!J95),IF(Inputs!J95&lt;=0,1,0),1)+IF(ISNUMBER(Inputs!J96),IF(Inputs!J96&lt;=0,1,0),1)+IF(ISNUMBER(Inputs!J98),IF(OR(Inputs!J98&lt;0,Inputs!J98&gt;1),1,0),1)+IF(ISNUMBER(Inputs!J99),IF(Inputs!J99&lt;0,1,0),1)+IF(ISNUMBER(Inputs!J100),IF(Inputs!J100&lt;0,1,0),1)+IF(ISNUMBER(Inputs!J101),IF(Inputs!J101&lt;-1,1,0),1)+IF(ISNUMBER(Inputs!J102),IF(Inputs!J102&lt;-1,1,0),1)+IF(ISNUMBER(Inputs!J103),IF(Inputs!J103&lt;0,1,0),1)+IF(ISNUMBER(Inputs!J104),IF(Inputs!J104&lt;0,1,0),1)+IF(ISNUMBER(Inputs!J105),IF(Inputs!J105&lt;0,1,0),1)+IF(ISNUMBER(Inputs!J106),IF(Inputs!J106&lt;0,1,0),1)+IF(ISNUMBER(Inputs!J107),IF(Inputs!J107&lt;0,1,0),1)+IF(ISNUMBER(Inputs!J108),IF(Inputs!J108&lt;0,1,0),1)+IF(ISNUMBER(Inputs!J109),IF(Inputs!J109&lt;0,1,0),1)+IF(ISNUMBER(Inputs!J110),IF(Inputs!J110&lt;0,1,0),1)+IF(ISNUMBER(Inputs!J130),IF(Inputs!J130&lt;0,1,0),1)+IF(ISNUMBER(Inputs!J132),IF(Inputs!J132&lt;0,1,0),1)+IF(ISNUMBER(Inputs!J133),IF(Inputs!J133&lt;0,1,0),1)+IF(ISNUMBER(Inputs!J134),IF(Inputs!J134&lt;0,1,0),1)+IF(ISNUMBER(Inputs!J135),IF(Inputs!J135&lt;0,1,0),1)+IF(ISNUMBER(Inputs!J136),IF(Inputs!J136&lt;0,1,0),1)+IF(ISNUMBER(Inputs!J144),IF(Inputs!J144&lt;0,1,0),1)+IF(ISNUMBER(Inputs!J145),IF(Inputs!J145&lt;0,1,0),1)+IF(ISNUMBER(Inputs!J147),IF(Inputs!J147&lt;0,1,0),1)+IF(ISNUMBER(Inputs!J148),IF(Inputs!J148&lt;0,1,0),1)+IF(ISNUMBER(Inputs!J149),IF(Inputs!J149&lt;0,1,0),1)+IF(ISNUMBER(Inputs!J150),IF(Inputs!J150&lt;0,1,0),1)+IF(ISNUMBER(Inputs!J156),IF(Inputs!J156&lt;0,1,0),1)+IF(ISNUMBER(Inputs!J158),IF(Inputs!J158&lt;0,1,0),1)</f>
        <v>0</v>
      </c>
      <c r="K27" s="94" t="n">
        <f aca="false">IF(ISNUMBER(Inputs!K5),IF(Inputs!K5&lt;0,1,0),1)+IF(ISNUMBER(Inputs!K9),IF(Inputs!K9&lt;-1,1,0),1)+IF(ISNUMBER(Inputs!K10),IF(Inputs!K10&lt;-1,1,0),1)+IF(ISNUMBER(Inputs!K25),IF(Inputs!K25&lt;0,1,0),1)+IF(ISNUMBER(Inputs!K13),IF(Inputs!K13&lt;-1,1,0),1)+IF(ISNUMBER(Inputs!K14),IF(Inputs!K14&lt;-1,1,0),1)+IF(ISNUMBER(Inputs!K26),IF(Inputs!K26&lt;0,1,0),1)+IF(ISNUMBER(Inputs!K17),IF(Inputs!K17&lt;-1,1,0),1)+IF(ISNUMBER(Inputs!K18),IF(Inputs!K18&lt;-1,1,0),1)+IF(ISNUMBER(Inputs!K27),IF(Inputs!K27&lt;0,1,0),1)+IF(ISNUMBER(Inputs!K21),IF(Inputs!K21&lt;-1,1,0),1)+IF(ISNUMBER(Inputs!K22),IF(Inputs!K22&lt;-1,1,0),1)+IF(ISNUMBER(Inputs!K23),IF(Inputs!K23&lt;-1,1,0),1)+IF(ISNUMBER(Inputs!K29),IF(Inputs!K29&lt;0,1,0),1)+IF(ISNUMBER(Inputs!K30),IF(Inputs!K30&lt;0,1,0),1)+IF(ISNUMBER(Inputs!K31),IF(OR(Inputs!K31&lt;0,Inputs!K31&gt;1),1,0),1)+IF(ISNUMBER(Inputs!K32),IF(Inputs!K32&lt;0,1,0),1)+IF(ISNUMBER(Inputs!K33),IF(Inputs!K33&lt;0,1,0),1)+IF(ISNUMBER(Inputs!K34),IF(Inputs!K34&lt;0,1,0),1)+IF(ISNUMBER(Inputs!K35),IF(OR(Inputs!K35&lt;0,Inputs!K35&gt;1),1,0),1)+IF(ISNUMBER(Inputs!K36),IF(OR(Inputs!K36&lt;0,Inputs!K36&gt;1),1,0),1)+IF(ISNUMBER(Inputs!K37),IF(OR(Inputs!K37&lt;0,Inputs!K37&gt;1),1,0),1)+IF(ISNUMBER(Inputs!K38),IF(Inputs!K38&lt;0,1,0),1)+IF(ISNUMBER(Inputs!K41),IF(Inputs!K41&lt;0,1,0),1)+IF(ISNUMBER(Inputs!K44),IF(Inputs!K44&lt;0,1,0),1)+IF(ISNUMBER(Inputs!K42),IF(Inputs!K42&lt;0,1,0),1)+IF(ISNUMBER(Inputs!K45),IF(Inputs!K45&lt;0,1,0),1)+IF(ISNUMBER(Inputs!K43),IF(Inputs!K43&lt;0,1,0),1)+IF(ISNUMBER(Inputs!K46),IF(Inputs!K46&lt;0,1,0),1)+IF(ISNUMBER(Inputs!K47),IF(Inputs!K47&lt;0,1,0),1)+IF(ISNUMBER(Inputs!K48),IF(Inputs!K48&lt;0,1,0),1)+IF(ISNUMBER(Inputs!K49),IF(OR(Inputs!K49&lt;0,Inputs!K49&gt;1),1,0),1)+IF(ISNUMBER(Inputs!K50),IF(OR(Inputs!K50&lt;0,Inputs!K50&gt;1),1,0),1)+IF(ISNUMBER(Inputs!K51),IF(Inputs!K51&lt;0,1,0),1)+IF(ISNUMBER(Inputs!K53),IF(Inputs!K53&lt;0,1,0),1)+IF(ISNUMBER(Inputs!K54),IF(OR(Inputs!K54&lt;0,Inputs!K54&gt;1),1,0),1)+IF(ISNUMBER(Inputs!K55),IF(Inputs!K55&lt;0,1,0),1)+IF(ISNUMBER(Inputs!K56),IF(Inputs!K56&lt;0,1,0),1)+IF(ISNUMBER(Inputs!K57),IF(FALSE(),1,0),1)+IF(ISNUMBER(Inputs!K58),IF(Inputs!K58&lt;0,1,0),1)+IF(ISNUMBER(Inputs!K59),IF(Inputs!K59&lt;0,1,0),1)+IF(ISNUMBER(Inputs!K60),IF(Inputs!K60&lt;0,1,0),1)+IF(ISNUMBER(Inputs!K61),IF(FALSE(),1,0),1)+IF(ISNUMBER(Inputs!K62),IF(FALSE(),1,0),1)+IF(ISNUMBER(Inputs!K63),IF(Inputs!K63&lt;0,1,0),1)+IF(ISNUMBER(Inputs!K64),IF(Inputs!K64&lt;0,1,0),1)+IF(ISNUMBER(Inputs!K65),IF(Inputs!K65&lt;0,1,0),1)+IF(ISNUMBER(Inputs!K70),IF(OR(Inputs!K70&lt;0,Inputs!K70&lt;&gt;INT(Inputs!K70)),1,0),1)+IF(ISNUMBER(Inputs!K71),IF(OR(Inputs!K71&lt;0,Inputs!K71&lt;&gt;INT(Inputs!K71)),1,0),1)+IF(ISNUMBER(Inputs!K72),IF(OR(Inputs!K72&lt;0,Inputs!K72&lt;&gt;INT(Inputs!K72)),1,0),1)+IF(ISNUMBER(Inputs!K73),IF(OR(Inputs!K73&lt;0,Inputs!K73&lt;&gt;INT(Inputs!K73)),1,0),1)+IF(ISNUMBER(Inputs!K74),IF(OR(Inputs!K74&lt;0,Inputs!K74&lt;&gt;INT(Inputs!K74)),1,0),1)+IF(ISNUMBER(Inputs!K75),IF(OR(Inputs!K75&lt;0,Inputs!K75&lt;&gt;INT(Inputs!K75)),1,0),1)+IF(ISNUMBER(Inputs!K76),IF(OR(Inputs!K76&lt;0,Inputs!K76&lt;&gt;INT(Inputs!K76)),1,0),1)+IF(ISNUMBER(Inputs!K77),IF(OR(Inputs!K77&lt;0,Inputs!K77&lt;&gt;INT(Inputs!K77)),1,0),1)+IF(ISNUMBER(Inputs!K80),IF(Inputs!K80&lt;0,1,0),1)+IF(ISNUMBER(Inputs!K81),IF(Inputs!K81&lt;0,1,0),1)+IF(ISNUMBER(Inputs!K82),IF(Inputs!K82&lt;0,1,0),1)+IF(ISNUMBER(Inputs!K83),IF(OR(Inputs!K83&lt;0,Inputs!K83&gt;1),1,0),1)+IF(ISNUMBER(Inputs!K90),IF(Inputs!K90&lt;=0,1,0),1)+IF(ISNUMBER(Inputs!K91),IF(Inputs!K91&lt;=0,1,0),1)+IF(ISNUMBER(Inputs!K92),IF(Inputs!K92&lt;=0,1,0),1)+IF(ISNUMBER(Inputs!K93),IF(Inputs!K93&lt;=0,1,0),1)+IF(ISNUMBER(Inputs!K94),IF(Inputs!K94&lt;=0,1,0),1)+IF(ISNUMBER(Inputs!K95),IF(Inputs!K95&lt;=0,1,0),1)+IF(ISNUMBER(Inputs!K96),IF(Inputs!K96&lt;=0,1,0),1)+IF(ISNUMBER(Inputs!K98),IF(OR(Inputs!K98&lt;0,Inputs!K98&gt;1),1,0),1)+IF(ISNUMBER(Inputs!K99),IF(Inputs!K99&lt;0,1,0),1)+IF(ISNUMBER(Inputs!K100),IF(Inputs!K100&lt;0,1,0),1)+IF(ISNUMBER(Inputs!K101),IF(Inputs!K101&lt;-1,1,0),1)+IF(ISNUMBER(Inputs!K102),IF(Inputs!K102&lt;-1,1,0),1)+IF(ISNUMBER(Inputs!K103),IF(Inputs!K103&lt;0,1,0),1)+IF(ISNUMBER(Inputs!K104),IF(Inputs!K104&lt;0,1,0),1)+IF(ISNUMBER(Inputs!K105),IF(Inputs!K105&lt;0,1,0),1)+IF(ISNUMBER(Inputs!K106),IF(Inputs!K106&lt;0,1,0),1)+IF(ISNUMBER(Inputs!K107),IF(Inputs!K107&lt;0,1,0),1)+IF(ISNUMBER(Inputs!K108),IF(Inputs!K108&lt;0,1,0),1)+IF(ISNUMBER(Inputs!K109),IF(Inputs!K109&lt;0,1,0),1)+IF(ISNUMBER(Inputs!K110),IF(Inputs!K110&lt;0,1,0),1)+IF(ISNUMBER(Inputs!K130),IF(Inputs!K130&lt;0,1,0),1)+IF(ISNUMBER(Inputs!K132),IF(Inputs!K132&lt;0,1,0),1)+IF(ISNUMBER(Inputs!K133),IF(Inputs!K133&lt;0,1,0),1)+IF(ISNUMBER(Inputs!K134),IF(Inputs!K134&lt;0,1,0),1)+IF(ISNUMBER(Inputs!K135),IF(Inputs!K135&lt;0,1,0),1)+IF(ISNUMBER(Inputs!K136),IF(Inputs!K136&lt;0,1,0),1)+IF(ISNUMBER(Inputs!K144),IF(Inputs!K144&lt;0,1,0),1)+IF(ISNUMBER(Inputs!K145),IF(Inputs!K145&lt;0,1,0),1)+IF(ISNUMBER(Inputs!K147),IF(Inputs!K147&lt;0,1,0),1)+IF(ISNUMBER(Inputs!K148),IF(Inputs!K148&lt;0,1,0),1)+IF(ISNUMBER(Inputs!K149),IF(Inputs!K149&lt;0,1,0),1)+IF(ISNUMBER(Inputs!K150),IF(Inputs!K150&lt;0,1,0),1)+IF(ISNUMBER(Inputs!K156),IF(Inputs!K156&lt;0,1,0),1)+IF(ISNUMBER(Inputs!K158),IF(Inputs!K158&lt;0,1,0),1)</f>
        <v>0</v>
      </c>
      <c r="L27" s="94" t="n">
        <f aca="false">IF(ISNUMBER(Inputs!L5),IF(Inputs!L5&lt;0,1,0),1)+IF(ISNUMBER(Inputs!L9),IF(Inputs!L9&lt;-1,1,0),1)+IF(ISNUMBER(Inputs!L10),IF(Inputs!L10&lt;-1,1,0),1)+IF(ISNUMBER(Inputs!L25),IF(Inputs!L25&lt;0,1,0),1)+IF(ISNUMBER(Inputs!L13),IF(Inputs!L13&lt;-1,1,0),1)+IF(ISNUMBER(Inputs!L14),IF(Inputs!L14&lt;-1,1,0),1)+IF(ISNUMBER(Inputs!L26),IF(Inputs!L26&lt;0,1,0),1)+IF(ISNUMBER(Inputs!L17),IF(Inputs!L17&lt;-1,1,0),1)+IF(ISNUMBER(Inputs!L18),IF(Inputs!L18&lt;-1,1,0),1)+IF(ISNUMBER(Inputs!L27),IF(Inputs!L27&lt;0,1,0),1)+IF(ISNUMBER(Inputs!L21),IF(Inputs!L21&lt;-1,1,0),1)+IF(ISNUMBER(Inputs!L22),IF(Inputs!L22&lt;-1,1,0),1)+IF(ISNUMBER(Inputs!L23),IF(Inputs!L23&lt;-1,1,0),1)+IF(ISNUMBER(Inputs!L29),IF(Inputs!L29&lt;0,1,0),1)+IF(ISNUMBER(Inputs!L30),IF(Inputs!L30&lt;0,1,0),1)+IF(ISNUMBER(Inputs!L31),IF(OR(Inputs!L31&lt;0,Inputs!L31&gt;1),1,0),1)+IF(ISNUMBER(Inputs!L32),IF(Inputs!L32&lt;0,1,0),1)+IF(ISNUMBER(Inputs!L33),IF(Inputs!L33&lt;0,1,0),1)+IF(ISNUMBER(Inputs!L34),IF(Inputs!L34&lt;0,1,0),1)+IF(ISNUMBER(Inputs!L35),IF(OR(Inputs!L35&lt;0,Inputs!L35&gt;1),1,0),1)+IF(ISNUMBER(Inputs!L36),IF(OR(Inputs!L36&lt;0,Inputs!L36&gt;1),1,0),1)+IF(ISNUMBER(Inputs!L37),IF(OR(Inputs!L37&lt;0,Inputs!L37&gt;1),1,0),1)+IF(ISNUMBER(Inputs!L38),IF(Inputs!L38&lt;0,1,0),1)+IF(ISNUMBER(Inputs!L41),IF(Inputs!L41&lt;0,1,0),1)+IF(ISNUMBER(Inputs!L44),IF(Inputs!L44&lt;0,1,0),1)+IF(ISNUMBER(Inputs!L42),IF(Inputs!L42&lt;0,1,0),1)+IF(ISNUMBER(Inputs!L45),IF(Inputs!L45&lt;0,1,0),1)+IF(ISNUMBER(Inputs!L43),IF(Inputs!L43&lt;0,1,0),1)+IF(ISNUMBER(Inputs!L46),IF(Inputs!L46&lt;0,1,0),1)+IF(ISNUMBER(Inputs!L47),IF(Inputs!L47&lt;0,1,0),1)+IF(ISNUMBER(Inputs!L48),IF(Inputs!L48&lt;0,1,0),1)+IF(ISNUMBER(Inputs!L49),IF(OR(Inputs!L49&lt;0,Inputs!L49&gt;1),1,0),1)+IF(ISNUMBER(Inputs!L50),IF(OR(Inputs!L50&lt;0,Inputs!L50&gt;1),1,0),1)+IF(ISNUMBER(Inputs!L51),IF(Inputs!L51&lt;0,1,0),1)+IF(ISNUMBER(Inputs!L53),IF(Inputs!L53&lt;0,1,0),1)+IF(ISNUMBER(Inputs!L54),IF(OR(Inputs!L54&lt;0,Inputs!L54&gt;1),1,0),1)+IF(ISNUMBER(Inputs!L55),IF(Inputs!L55&lt;0,1,0),1)+IF(ISNUMBER(Inputs!L56),IF(Inputs!L56&lt;0,1,0),1)+IF(ISNUMBER(Inputs!L57),IF(FALSE(),1,0),1)+IF(ISNUMBER(Inputs!L58),IF(Inputs!L58&lt;0,1,0),1)+IF(ISNUMBER(Inputs!L59),IF(Inputs!L59&lt;0,1,0),1)+IF(ISNUMBER(Inputs!L60),IF(Inputs!L60&lt;0,1,0),1)+IF(ISNUMBER(Inputs!L61),IF(FALSE(),1,0),1)+IF(ISNUMBER(Inputs!L62),IF(FALSE(),1,0),1)+IF(ISNUMBER(Inputs!L63),IF(Inputs!L63&lt;0,1,0),1)+IF(ISNUMBER(Inputs!L64),IF(Inputs!L64&lt;0,1,0),1)+IF(ISNUMBER(Inputs!L65),IF(Inputs!L65&lt;0,1,0),1)+IF(ISNUMBER(Inputs!L70),IF(OR(Inputs!L70&lt;0,Inputs!L70&lt;&gt;INT(Inputs!L70)),1,0),1)+IF(ISNUMBER(Inputs!L71),IF(OR(Inputs!L71&lt;0,Inputs!L71&lt;&gt;INT(Inputs!L71)),1,0),1)+IF(ISNUMBER(Inputs!L72),IF(OR(Inputs!L72&lt;0,Inputs!L72&lt;&gt;INT(Inputs!L72)),1,0),1)+IF(ISNUMBER(Inputs!L73),IF(OR(Inputs!L73&lt;0,Inputs!L73&lt;&gt;INT(Inputs!L73)),1,0),1)+IF(ISNUMBER(Inputs!L74),IF(OR(Inputs!L74&lt;0,Inputs!L74&lt;&gt;INT(Inputs!L74)),1,0),1)+IF(ISNUMBER(Inputs!L75),IF(OR(Inputs!L75&lt;0,Inputs!L75&lt;&gt;INT(Inputs!L75)),1,0),1)+IF(ISNUMBER(Inputs!L76),IF(OR(Inputs!L76&lt;0,Inputs!L76&lt;&gt;INT(Inputs!L76)),1,0),1)+IF(ISNUMBER(Inputs!L77),IF(OR(Inputs!L77&lt;0,Inputs!L77&lt;&gt;INT(Inputs!L77)),1,0),1)+IF(ISNUMBER(Inputs!L80),IF(Inputs!L80&lt;0,1,0),1)+IF(ISNUMBER(Inputs!L81),IF(Inputs!L81&lt;0,1,0),1)+IF(ISNUMBER(Inputs!L82),IF(Inputs!L82&lt;0,1,0),1)+IF(ISNUMBER(Inputs!L83),IF(OR(Inputs!L83&lt;0,Inputs!L83&gt;1),1,0),1)+IF(ISNUMBER(Inputs!L90),IF(Inputs!L90&lt;=0,1,0),1)+IF(ISNUMBER(Inputs!L91),IF(Inputs!L91&lt;=0,1,0),1)+IF(ISNUMBER(Inputs!L92),IF(Inputs!L92&lt;=0,1,0),1)+IF(ISNUMBER(Inputs!L93),IF(Inputs!L93&lt;=0,1,0),1)+IF(ISNUMBER(Inputs!L94),IF(Inputs!L94&lt;=0,1,0),1)+IF(ISNUMBER(Inputs!L95),IF(Inputs!L95&lt;=0,1,0),1)+IF(ISNUMBER(Inputs!L96),IF(Inputs!L96&lt;=0,1,0),1)+IF(ISNUMBER(Inputs!L98),IF(OR(Inputs!L98&lt;0,Inputs!L98&gt;1),1,0),1)+IF(ISNUMBER(Inputs!L99),IF(Inputs!L99&lt;0,1,0),1)+IF(ISNUMBER(Inputs!L100),IF(Inputs!L100&lt;0,1,0),1)+IF(ISNUMBER(Inputs!L101),IF(Inputs!L101&lt;-1,1,0),1)+IF(ISNUMBER(Inputs!L102),IF(Inputs!L102&lt;-1,1,0),1)+IF(ISNUMBER(Inputs!L103),IF(Inputs!L103&lt;0,1,0),1)+IF(ISNUMBER(Inputs!L104),IF(Inputs!L104&lt;0,1,0),1)+IF(ISNUMBER(Inputs!L105),IF(Inputs!L105&lt;0,1,0),1)+IF(ISNUMBER(Inputs!L106),IF(Inputs!L106&lt;0,1,0),1)+IF(ISNUMBER(Inputs!L107),IF(Inputs!L107&lt;0,1,0),1)+IF(ISNUMBER(Inputs!L108),IF(Inputs!L108&lt;0,1,0),1)+IF(ISNUMBER(Inputs!L109),IF(Inputs!L109&lt;0,1,0),1)+IF(ISNUMBER(Inputs!L110),IF(Inputs!L110&lt;0,1,0),1)+IF(ISNUMBER(Inputs!L130),IF(Inputs!L130&lt;0,1,0),1)+IF(ISNUMBER(Inputs!L132),IF(Inputs!L132&lt;0,1,0),1)+IF(ISNUMBER(Inputs!L133),IF(Inputs!L133&lt;0,1,0),1)+IF(ISNUMBER(Inputs!L134),IF(Inputs!L134&lt;0,1,0),1)+IF(ISNUMBER(Inputs!L135),IF(Inputs!L135&lt;0,1,0),1)+IF(ISNUMBER(Inputs!L136),IF(Inputs!L136&lt;0,1,0),1)+IF(ISNUMBER(Inputs!L144),IF(Inputs!L144&lt;0,1,0),1)+IF(ISNUMBER(Inputs!L145),IF(Inputs!L145&lt;0,1,0),1)+IF(ISNUMBER(Inputs!L147),IF(Inputs!L147&lt;0,1,0),1)+IF(ISNUMBER(Inputs!L148),IF(Inputs!L148&lt;0,1,0),1)+IF(ISNUMBER(Inputs!L149),IF(Inputs!L149&lt;0,1,0),1)+IF(ISNUMBER(Inputs!L150),IF(Inputs!L150&lt;0,1,0),1)+IF(ISNUMBER(Inputs!L156),IF(Inputs!L156&lt;0,1,0),1)+IF(ISNUMBER(Inputs!L158),IF(Inputs!L158&lt;0,1,0),1)</f>
        <v>0</v>
      </c>
      <c r="M27" s="94" t="n">
        <f aca="false">IF(ISNUMBER(Inputs!M5),IF(Inputs!M5&lt;0,1,0),1)+IF(ISNUMBER(Inputs!M9),IF(Inputs!M9&lt;-1,1,0),1)+IF(ISNUMBER(Inputs!M10),IF(Inputs!M10&lt;-1,1,0),1)+IF(ISNUMBER(Inputs!M25),IF(Inputs!M25&lt;0,1,0),1)+IF(ISNUMBER(Inputs!M13),IF(Inputs!M13&lt;-1,1,0),1)+IF(ISNUMBER(Inputs!M14),IF(Inputs!M14&lt;-1,1,0),1)+IF(ISNUMBER(Inputs!M26),IF(Inputs!M26&lt;0,1,0),1)+IF(ISNUMBER(Inputs!M17),IF(Inputs!M17&lt;-1,1,0),1)+IF(ISNUMBER(Inputs!M18),IF(Inputs!M18&lt;-1,1,0),1)+IF(ISNUMBER(Inputs!M27),IF(Inputs!M27&lt;0,1,0),1)+IF(ISNUMBER(Inputs!M21),IF(Inputs!M21&lt;-1,1,0),1)+IF(ISNUMBER(Inputs!M22),IF(Inputs!M22&lt;-1,1,0),1)+IF(ISNUMBER(Inputs!M23),IF(Inputs!M23&lt;-1,1,0),1)+IF(ISNUMBER(Inputs!M29),IF(Inputs!M29&lt;0,1,0),1)+IF(ISNUMBER(Inputs!M30),IF(Inputs!M30&lt;0,1,0),1)+IF(ISNUMBER(Inputs!M31),IF(OR(Inputs!M31&lt;0,Inputs!M31&gt;1),1,0),1)+IF(ISNUMBER(Inputs!M32),IF(Inputs!M32&lt;0,1,0),1)+IF(ISNUMBER(Inputs!M33),IF(Inputs!M33&lt;0,1,0),1)+IF(ISNUMBER(Inputs!M34),IF(Inputs!M34&lt;0,1,0),1)+IF(ISNUMBER(Inputs!M35),IF(OR(Inputs!M35&lt;0,Inputs!M35&gt;1),1,0),1)+IF(ISNUMBER(Inputs!M36),IF(OR(Inputs!M36&lt;0,Inputs!M36&gt;1),1,0),1)+IF(ISNUMBER(Inputs!M37),IF(OR(Inputs!M37&lt;0,Inputs!M37&gt;1),1,0),1)+IF(ISNUMBER(Inputs!M38),IF(Inputs!M38&lt;0,1,0),1)+IF(ISNUMBER(Inputs!M41),IF(Inputs!M41&lt;0,1,0),1)+IF(ISNUMBER(Inputs!M44),IF(Inputs!M44&lt;0,1,0),1)+IF(ISNUMBER(Inputs!M42),IF(Inputs!M42&lt;0,1,0),1)+IF(ISNUMBER(Inputs!M45),IF(Inputs!M45&lt;0,1,0),1)+IF(ISNUMBER(Inputs!M43),IF(Inputs!M43&lt;0,1,0),1)+IF(ISNUMBER(Inputs!M46),IF(Inputs!M46&lt;0,1,0),1)+IF(ISNUMBER(Inputs!M47),IF(Inputs!M47&lt;0,1,0),1)+IF(ISNUMBER(Inputs!M48),IF(Inputs!M48&lt;0,1,0),1)+IF(ISNUMBER(Inputs!M49),IF(OR(Inputs!M49&lt;0,Inputs!M49&gt;1),1,0),1)+IF(ISNUMBER(Inputs!M50),IF(OR(Inputs!M50&lt;0,Inputs!M50&gt;1),1,0),1)+IF(ISNUMBER(Inputs!M51),IF(Inputs!M51&lt;0,1,0),1)+IF(ISNUMBER(Inputs!M53),IF(Inputs!M53&lt;0,1,0),1)+IF(ISNUMBER(Inputs!M54),IF(OR(Inputs!M54&lt;0,Inputs!M54&gt;1),1,0),1)+IF(ISNUMBER(Inputs!M55),IF(Inputs!M55&lt;0,1,0),1)+IF(ISNUMBER(Inputs!M56),IF(Inputs!M56&lt;0,1,0),1)+IF(ISNUMBER(Inputs!M57),IF(FALSE(),1,0),1)+IF(ISNUMBER(Inputs!M58),IF(Inputs!M58&lt;0,1,0),1)+IF(ISNUMBER(Inputs!M59),IF(Inputs!M59&lt;0,1,0),1)+IF(ISNUMBER(Inputs!M60),IF(Inputs!M60&lt;0,1,0),1)+IF(ISNUMBER(Inputs!M61),IF(FALSE(),1,0),1)+IF(ISNUMBER(Inputs!M62),IF(FALSE(),1,0),1)+IF(ISNUMBER(Inputs!M63),IF(Inputs!M63&lt;0,1,0),1)+IF(ISNUMBER(Inputs!M64),IF(Inputs!M64&lt;0,1,0),1)+IF(ISNUMBER(Inputs!M65),IF(Inputs!M65&lt;0,1,0),1)+IF(ISNUMBER(Inputs!M70),IF(OR(Inputs!M70&lt;0,Inputs!M70&lt;&gt;INT(Inputs!M70)),1,0),1)+IF(ISNUMBER(Inputs!M71),IF(OR(Inputs!M71&lt;0,Inputs!M71&lt;&gt;INT(Inputs!M71)),1,0),1)+IF(ISNUMBER(Inputs!M72),IF(OR(Inputs!M72&lt;0,Inputs!M72&lt;&gt;INT(Inputs!M72)),1,0),1)+IF(ISNUMBER(Inputs!M73),IF(OR(Inputs!M73&lt;0,Inputs!M73&lt;&gt;INT(Inputs!M73)),1,0),1)+IF(ISNUMBER(Inputs!M74),IF(OR(Inputs!M74&lt;0,Inputs!M74&lt;&gt;INT(Inputs!M74)),1,0),1)+IF(ISNUMBER(Inputs!M75),IF(OR(Inputs!M75&lt;0,Inputs!M75&lt;&gt;INT(Inputs!M75)),1,0),1)+IF(ISNUMBER(Inputs!M76),IF(OR(Inputs!M76&lt;0,Inputs!M76&lt;&gt;INT(Inputs!M76)),1,0),1)+IF(ISNUMBER(Inputs!M77),IF(OR(Inputs!M77&lt;0,Inputs!M77&lt;&gt;INT(Inputs!M77)),1,0),1)+IF(ISNUMBER(Inputs!M80),IF(Inputs!M80&lt;0,1,0),1)+IF(ISNUMBER(Inputs!M81),IF(Inputs!M81&lt;0,1,0),1)+IF(ISNUMBER(Inputs!M82),IF(Inputs!M82&lt;0,1,0),1)+IF(ISNUMBER(Inputs!M83),IF(OR(Inputs!M83&lt;0,Inputs!M83&gt;1),1,0),1)+IF(ISNUMBER(Inputs!M90),IF(Inputs!M90&lt;=0,1,0),1)+IF(ISNUMBER(Inputs!M91),IF(Inputs!M91&lt;=0,1,0),1)+IF(ISNUMBER(Inputs!M92),IF(Inputs!M92&lt;=0,1,0),1)+IF(ISNUMBER(Inputs!M93),IF(Inputs!M93&lt;=0,1,0),1)+IF(ISNUMBER(Inputs!M94),IF(Inputs!M94&lt;=0,1,0),1)+IF(ISNUMBER(Inputs!M95),IF(Inputs!M95&lt;=0,1,0),1)+IF(ISNUMBER(Inputs!M96),IF(Inputs!M96&lt;=0,1,0),1)+IF(ISNUMBER(Inputs!M98),IF(OR(Inputs!M98&lt;0,Inputs!M98&gt;1),1,0),1)+IF(ISNUMBER(Inputs!M99),IF(Inputs!M99&lt;0,1,0),1)+IF(ISNUMBER(Inputs!M100),IF(Inputs!M100&lt;0,1,0),1)+IF(ISNUMBER(Inputs!M101),IF(Inputs!M101&lt;-1,1,0),1)+IF(ISNUMBER(Inputs!M102),IF(Inputs!M102&lt;-1,1,0),1)+IF(ISNUMBER(Inputs!M103),IF(Inputs!M103&lt;0,1,0),1)+IF(ISNUMBER(Inputs!M104),IF(Inputs!M104&lt;0,1,0),1)+IF(ISNUMBER(Inputs!M105),IF(Inputs!M105&lt;0,1,0),1)+IF(ISNUMBER(Inputs!M106),IF(Inputs!M106&lt;0,1,0),1)+IF(ISNUMBER(Inputs!M107),IF(Inputs!M107&lt;0,1,0),1)+IF(ISNUMBER(Inputs!M108),IF(Inputs!M108&lt;0,1,0),1)+IF(ISNUMBER(Inputs!M109),IF(Inputs!M109&lt;0,1,0),1)+IF(ISNUMBER(Inputs!M110),IF(Inputs!M110&lt;0,1,0),1)+IF(ISNUMBER(Inputs!M130),IF(Inputs!M130&lt;0,1,0),1)+IF(ISNUMBER(Inputs!M132),IF(Inputs!M132&lt;0,1,0),1)+IF(ISNUMBER(Inputs!M133),IF(Inputs!M133&lt;0,1,0),1)+IF(ISNUMBER(Inputs!M134),IF(Inputs!M134&lt;0,1,0),1)+IF(ISNUMBER(Inputs!M135),IF(Inputs!M135&lt;0,1,0),1)+IF(ISNUMBER(Inputs!M136),IF(Inputs!M136&lt;0,1,0),1)+IF(ISNUMBER(Inputs!M144),IF(Inputs!M144&lt;0,1,0),1)+IF(ISNUMBER(Inputs!M145),IF(Inputs!M145&lt;0,1,0),1)+IF(ISNUMBER(Inputs!M147),IF(Inputs!M147&lt;0,1,0),1)+IF(ISNUMBER(Inputs!M148),IF(Inputs!M148&lt;0,1,0),1)+IF(ISNUMBER(Inputs!M149),IF(Inputs!M149&lt;0,1,0),1)+IF(ISNUMBER(Inputs!M150),IF(Inputs!M150&lt;0,1,0),1)+IF(ISNUMBER(Inputs!M156),IF(Inputs!M156&lt;0,1,0),1)+IF(ISNUMBER(Inputs!M158),IF(Inputs!M158&lt;0,1,0),1)</f>
        <v>0</v>
      </c>
      <c r="N27" s="94" t="n">
        <f aca="false">IF(ISNUMBER(Inputs!N5),IF(Inputs!N5&lt;0,1,0),1)+IF(ISNUMBER(Inputs!N9),IF(Inputs!N9&lt;-1,1,0),1)+IF(ISNUMBER(Inputs!N10),IF(Inputs!N10&lt;-1,1,0),1)+IF(ISNUMBER(Inputs!N25),IF(Inputs!N25&lt;0,1,0),1)+IF(ISNUMBER(Inputs!N13),IF(Inputs!N13&lt;-1,1,0),1)+IF(ISNUMBER(Inputs!N14),IF(Inputs!N14&lt;-1,1,0),1)+IF(ISNUMBER(Inputs!N26),IF(Inputs!N26&lt;0,1,0),1)+IF(ISNUMBER(Inputs!N17),IF(Inputs!N17&lt;-1,1,0),1)+IF(ISNUMBER(Inputs!N18),IF(Inputs!N18&lt;-1,1,0),1)+IF(ISNUMBER(Inputs!N27),IF(Inputs!N27&lt;0,1,0),1)+IF(ISNUMBER(Inputs!N21),IF(Inputs!N21&lt;-1,1,0),1)+IF(ISNUMBER(Inputs!N22),IF(Inputs!N22&lt;-1,1,0),1)+IF(ISNUMBER(Inputs!N23),IF(Inputs!N23&lt;-1,1,0),1)+IF(ISNUMBER(Inputs!N29),IF(Inputs!N29&lt;0,1,0),1)+IF(ISNUMBER(Inputs!N30),IF(Inputs!N30&lt;0,1,0),1)+IF(ISNUMBER(Inputs!N31),IF(OR(Inputs!N31&lt;0,Inputs!N31&gt;1),1,0),1)+IF(ISNUMBER(Inputs!N32),IF(Inputs!N32&lt;0,1,0),1)+IF(ISNUMBER(Inputs!N33),IF(Inputs!N33&lt;0,1,0),1)+IF(ISNUMBER(Inputs!N34),IF(Inputs!N34&lt;0,1,0),1)+IF(ISNUMBER(Inputs!N35),IF(OR(Inputs!N35&lt;0,Inputs!N35&gt;1),1,0),1)+IF(ISNUMBER(Inputs!N36),IF(OR(Inputs!N36&lt;0,Inputs!N36&gt;1),1,0),1)+IF(ISNUMBER(Inputs!N37),IF(OR(Inputs!N37&lt;0,Inputs!N37&gt;1),1,0),1)+IF(ISNUMBER(Inputs!N38),IF(Inputs!N38&lt;0,1,0),1)+IF(ISNUMBER(Inputs!N41),IF(Inputs!N41&lt;0,1,0),1)+IF(ISNUMBER(Inputs!N44),IF(Inputs!N44&lt;0,1,0),1)+IF(ISNUMBER(Inputs!N42),IF(Inputs!N42&lt;0,1,0),1)+IF(ISNUMBER(Inputs!N45),IF(Inputs!N45&lt;0,1,0),1)+IF(ISNUMBER(Inputs!N43),IF(Inputs!N43&lt;0,1,0),1)+IF(ISNUMBER(Inputs!N46),IF(Inputs!N46&lt;0,1,0),1)+IF(ISNUMBER(Inputs!N47),IF(Inputs!N47&lt;0,1,0),1)+IF(ISNUMBER(Inputs!N48),IF(Inputs!N48&lt;0,1,0),1)+IF(ISNUMBER(Inputs!N49),IF(OR(Inputs!N49&lt;0,Inputs!N49&gt;1),1,0),1)+IF(ISNUMBER(Inputs!N50),IF(OR(Inputs!N50&lt;0,Inputs!N50&gt;1),1,0),1)+IF(ISNUMBER(Inputs!N51),IF(Inputs!N51&lt;0,1,0),1)+IF(ISNUMBER(Inputs!N53),IF(Inputs!N53&lt;0,1,0),1)+IF(ISNUMBER(Inputs!N54),IF(OR(Inputs!N54&lt;0,Inputs!N54&gt;1),1,0),1)+IF(ISNUMBER(Inputs!N55),IF(Inputs!N55&lt;0,1,0),1)+IF(ISNUMBER(Inputs!N56),IF(Inputs!N56&lt;0,1,0),1)+IF(ISNUMBER(Inputs!N57),IF(FALSE(),1,0),1)+IF(ISNUMBER(Inputs!N58),IF(Inputs!N58&lt;0,1,0),1)+IF(ISNUMBER(Inputs!N59),IF(Inputs!N59&lt;0,1,0),1)+IF(ISNUMBER(Inputs!N60),IF(Inputs!N60&lt;0,1,0),1)+IF(ISNUMBER(Inputs!N61),IF(FALSE(),1,0),1)+IF(ISNUMBER(Inputs!N62),IF(FALSE(),1,0),1)+IF(ISNUMBER(Inputs!N63),IF(Inputs!N63&lt;0,1,0),1)+IF(ISNUMBER(Inputs!N64),IF(Inputs!N64&lt;0,1,0),1)+IF(ISNUMBER(Inputs!N65),IF(Inputs!N65&lt;0,1,0),1)+IF(ISNUMBER(Inputs!N70),IF(OR(Inputs!N70&lt;0,Inputs!N70&lt;&gt;INT(Inputs!N70)),1,0),1)+IF(ISNUMBER(Inputs!N71),IF(OR(Inputs!N71&lt;0,Inputs!N71&lt;&gt;INT(Inputs!N71)),1,0),1)+IF(ISNUMBER(Inputs!N72),IF(OR(Inputs!N72&lt;0,Inputs!N72&lt;&gt;INT(Inputs!N72)),1,0),1)+IF(ISNUMBER(Inputs!N73),IF(OR(Inputs!N73&lt;0,Inputs!N73&lt;&gt;INT(Inputs!N73)),1,0),1)+IF(ISNUMBER(Inputs!N74),IF(OR(Inputs!N74&lt;0,Inputs!N74&lt;&gt;INT(Inputs!N74)),1,0),1)+IF(ISNUMBER(Inputs!N75),IF(OR(Inputs!N75&lt;0,Inputs!N75&lt;&gt;INT(Inputs!N75)),1,0),1)+IF(ISNUMBER(Inputs!N76),IF(OR(Inputs!N76&lt;0,Inputs!N76&lt;&gt;INT(Inputs!N76)),1,0),1)+IF(ISNUMBER(Inputs!N77),IF(OR(Inputs!N77&lt;0,Inputs!N77&lt;&gt;INT(Inputs!N77)),1,0),1)+IF(ISNUMBER(Inputs!N80),IF(Inputs!N80&lt;0,1,0),1)+IF(ISNUMBER(Inputs!N81),IF(Inputs!N81&lt;0,1,0),1)+IF(ISNUMBER(Inputs!N82),IF(Inputs!N82&lt;0,1,0),1)+IF(ISNUMBER(Inputs!N83),IF(OR(Inputs!N83&lt;0,Inputs!N83&gt;1),1,0),1)+IF(ISNUMBER(Inputs!N90),IF(Inputs!N90&lt;=0,1,0),1)+IF(ISNUMBER(Inputs!N91),IF(Inputs!N91&lt;=0,1,0),1)+IF(ISNUMBER(Inputs!N92),IF(Inputs!N92&lt;=0,1,0),1)+IF(ISNUMBER(Inputs!N93),IF(Inputs!N93&lt;=0,1,0),1)+IF(ISNUMBER(Inputs!N94),IF(Inputs!N94&lt;=0,1,0),1)+IF(ISNUMBER(Inputs!N95),IF(Inputs!N95&lt;=0,1,0),1)+IF(ISNUMBER(Inputs!N96),IF(Inputs!N96&lt;=0,1,0),1)+IF(ISNUMBER(Inputs!N98),IF(OR(Inputs!N98&lt;0,Inputs!N98&gt;1),1,0),1)+IF(ISNUMBER(Inputs!N99),IF(Inputs!N99&lt;0,1,0),1)+IF(ISNUMBER(Inputs!N100),IF(Inputs!N100&lt;0,1,0),1)+IF(ISNUMBER(Inputs!N101),IF(Inputs!N101&lt;-1,1,0),1)+IF(ISNUMBER(Inputs!N102),IF(Inputs!N102&lt;-1,1,0),1)+IF(ISNUMBER(Inputs!N103),IF(Inputs!N103&lt;0,1,0),1)+IF(ISNUMBER(Inputs!N104),IF(Inputs!N104&lt;0,1,0),1)+IF(ISNUMBER(Inputs!N105),IF(Inputs!N105&lt;0,1,0),1)+IF(ISNUMBER(Inputs!N106),IF(Inputs!N106&lt;0,1,0),1)+IF(ISNUMBER(Inputs!N107),IF(Inputs!N107&lt;0,1,0),1)+IF(ISNUMBER(Inputs!N108),IF(Inputs!N108&lt;0,1,0),1)+IF(ISNUMBER(Inputs!N109),IF(Inputs!N109&lt;0,1,0),1)+IF(ISNUMBER(Inputs!N110),IF(Inputs!N110&lt;0,1,0),1)+IF(ISNUMBER(Inputs!N130),IF(Inputs!N130&lt;0,1,0),1)+IF(ISNUMBER(Inputs!N132),IF(Inputs!N132&lt;0,1,0),1)+IF(ISNUMBER(Inputs!N133),IF(Inputs!N133&lt;0,1,0),1)+IF(ISNUMBER(Inputs!N134),IF(Inputs!N134&lt;0,1,0),1)+IF(ISNUMBER(Inputs!N135),IF(Inputs!N135&lt;0,1,0),1)+IF(ISNUMBER(Inputs!N136),IF(Inputs!N136&lt;0,1,0),1)+IF(ISNUMBER(Inputs!N144),IF(Inputs!N144&lt;0,1,0),1)+IF(ISNUMBER(Inputs!N145),IF(Inputs!N145&lt;0,1,0),1)+IF(ISNUMBER(Inputs!N147),IF(Inputs!N147&lt;0,1,0),1)+IF(ISNUMBER(Inputs!N148),IF(Inputs!N148&lt;0,1,0),1)+IF(ISNUMBER(Inputs!N149),IF(Inputs!N149&lt;0,1,0),1)+IF(ISNUMBER(Inputs!N150),IF(Inputs!N150&lt;0,1,0),1)+IF(ISNUMBER(Inputs!N156),IF(Inputs!N156&lt;0,1,0),1)+IF(ISNUMBER(Inputs!N158),IF(Inputs!N158&lt;0,1,0),1)</f>
        <v>0</v>
      </c>
      <c r="O27" s="94" t="n">
        <f aca="false">IF(ISNUMBER(Inputs!O5),IF(Inputs!O5&lt;0,1,0),1)+IF(ISNUMBER(Inputs!O9),IF(Inputs!O9&lt;-1,1,0),1)+IF(ISNUMBER(Inputs!O10),IF(Inputs!O10&lt;-1,1,0),1)+IF(ISNUMBER(Inputs!O25),IF(Inputs!O25&lt;0,1,0),1)+IF(ISNUMBER(Inputs!O13),IF(Inputs!O13&lt;-1,1,0),1)+IF(ISNUMBER(Inputs!O14),IF(Inputs!O14&lt;-1,1,0),1)+IF(ISNUMBER(Inputs!O26),IF(Inputs!O26&lt;0,1,0),1)+IF(ISNUMBER(Inputs!O17),IF(Inputs!O17&lt;-1,1,0),1)+IF(ISNUMBER(Inputs!O18),IF(Inputs!O18&lt;-1,1,0),1)+IF(ISNUMBER(Inputs!O27),IF(Inputs!O27&lt;0,1,0),1)+IF(ISNUMBER(Inputs!O21),IF(Inputs!O21&lt;-1,1,0),1)+IF(ISNUMBER(Inputs!O22),IF(Inputs!O22&lt;-1,1,0),1)+IF(ISNUMBER(Inputs!O23),IF(Inputs!O23&lt;-1,1,0),1)+IF(ISNUMBER(Inputs!O29),IF(Inputs!O29&lt;0,1,0),1)+IF(ISNUMBER(Inputs!O30),IF(Inputs!O30&lt;0,1,0),1)+IF(ISNUMBER(Inputs!O31),IF(OR(Inputs!O31&lt;0,Inputs!O31&gt;1),1,0),1)+IF(ISNUMBER(Inputs!O32),IF(Inputs!O32&lt;0,1,0),1)+IF(ISNUMBER(Inputs!O33),IF(Inputs!O33&lt;0,1,0),1)+IF(ISNUMBER(Inputs!O34),IF(Inputs!O34&lt;0,1,0),1)+IF(ISNUMBER(Inputs!O35),IF(OR(Inputs!O35&lt;0,Inputs!O35&gt;1),1,0),1)+IF(ISNUMBER(Inputs!O36),IF(OR(Inputs!O36&lt;0,Inputs!O36&gt;1),1,0),1)+IF(ISNUMBER(Inputs!O37),IF(OR(Inputs!O37&lt;0,Inputs!O37&gt;1),1,0),1)+IF(ISNUMBER(Inputs!O38),IF(Inputs!O38&lt;0,1,0),1)+IF(ISNUMBER(Inputs!O41),IF(Inputs!O41&lt;0,1,0),1)+IF(ISNUMBER(Inputs!O44),IF(Inputs!O44&lt;0,1,0),1)+IF(ISNUMBER(Inputs!O42),IF(Inputs!O42&lt;0,1,0),1)+IF(ISNUMBER(Inputs!O45),IF(Inputs!O45&lt;0,1,0),1)+IF(ISNUMBER(Inputs!O43),IF(Inputs!O43&lt;0,1,0),1)+IF(ISNUMBER(Inputs!O46),IF(Inputs!O46&lt;0,1,0),1)+IF(ISNUMBER(Inputs!O47),IF(Inputs!O47&lt;0,1,0),1)+IF(ISNUMBER(Inputs!O48),IF(Inputs!O48&lt;0,1,0),1)+IF(ISNUMBER(Inputs!O49),IF(OR(Inputs!O49&lt;0,Inputs!O49&gt;1),1,0),1)+IF(ISNUMBER(Inputs!O50),IF(OR(Inputs!O50&lt;0,Inputs!O50&gt;1),1,0),1)+IF(ISNUMBER(Inputs!O51),IF(Inputs!O51&lt;0,1,0),1)+IF(ISNUMBER(Inputs!O53),IF(Inputs!O53&lt;0,1,0),1)+IF(ISNUMBER(Inputs!O54),IF(OR(Inputs!O54&lt;0,Inputs!O54&gt;1),1,0),1)+IF(ISNUMBER(Inputs!O55),IF(Inputs!O55&lt;0,1,0),1)+IF(ISNUMBER(Inputs!O56),IF(Inputs!O56&lt;0,1,0),1)+IF(ISNUMBER(Inputs!O57),IF(FALSE(),1,0),1)+IF(ISNUMBER(Inputs!O58),IF(Inputs!O58&lt;0,1,0),1)+IF(ISNUMBER(Inputs!O59),IF(Inputs!O59&lt;0,1,0),1)+IF(ISNUMBER(Inputs!O60),IF(Inputs!O60&lt;0,1,0),1)+IF(ISNUMBER(Inputs!O61),IF(FALSE(),1,0),1)+IF(ISNUMBER(Inputs!O62),IF(FALSE(),1,0),1)+IF(ISNUMBER(Inputs!O63),IF(Inputs!O63&lt;0,1,0),1)+IF(ISNUMBER(Inputs!O64),IF(Inputs!O64&lt;0,1,0),1)+IF(ISNUMBER(Inputs!O65),IF(Inputs!O65&lt;0,1,0),1)+IF(ISNUMBER(Inputs!O70),IF(OR(Inputs!O70&lt;0,Inputs!O70&lt;&gt;INT(Inputs!O70)),1,0),1)+IF(ISNUMBER(Inputs!O71),IF(OR(Inputs!O71&lt;0,Inputs!O71&lt;&gt;INT(Inputs!O71)),1,0),1)+IF(ISNUMBER(Inputs!O72),IF(OR(Inputs!O72&lt;0,Inputs!O72&lt;&gt;INT(Inputs!O72)),1,0),1)+IF(ISNUMBER(Inputs!O73),IF(OR(Inputs!O73&lt;0,Inputs!O73&lt;&gt;INT(Inputs!O73)),1,0),1)+IF(ISNUMBER(Inputs!O74),IF(OR(Inputs!O74&lt;0,Inputs!O74&lt;&gt;INT(Inputs!O74)),1,0),1)+IF(ISNUMBER(Inputs!O75),IF(OR(Inputs!O75&lt;0,Inputs!O75&lt;&gt;INT(Inputs!O75)),1,0),1)+IF(ISNUMBER(Inputs!O76),IF(OR(Inputs!O76&lt;0,Inputs!O76&lt;&gt;INT(Inputs!O76)),1,0),1)+IF(ISNUMBER(Inputs!O77),IF(OR(Inputs!O77&lt;0,Inputs!O77&lt;&gt;INT(Inputs!O77)),1,0),1)+IF(ISNUMBER(Inputs!O80),IF(Inputs!O80&lt;0,1,0),1)+IF(ISNUMBER(Inputs!O81),IF(Inputs!O81&lt;0,1,0),1)+IF(ISNUMBER(Inputs!O82),IF(Inputs!O82&lt;0,1,0),1)+IF(ISNUMBER(Inputs!O83),IF(OR(Inputs!O83&lt;0,Inputs!O83&gt;1),1,0),1)+IF(ISNUMBER(Inputs!O90),IF(Inputs!O90&lt;=0,1,0),1)+IF(ISNUMBER(Inputs!O91),IF(Inputs!O91&lt;=0,1,0),1)+IF(ISNUMBER(Inputs!O92),IF(Inputs!O92&lt;=0,1,0),1)+IF(ISNUMBER(Inputs!O93),IF(Inputs!O93&lt;=0,1,0),1)+IF(ISNUMBER(Inputs!O94),IF(Inputs!O94&lt;=0,1,0),1)+IF(ISNUMBER(Inputs!O95),IF(Inputs!O95&lt;=0,1,0),1)+IF(ISNUMBER(Inputs!O96),IF(Inputs!O96&lt;=0,1,0),1)+IF(ISNUMBER(Inputs!O98),IF(OR(Inputs!O98&lt;0,Inputs!O98&gt;1),1,0),1)+IF(ISNUMBER(Inputs!O99),IF(Inputs!O99&lt;0,1,0),1)+IF(ISNUMBER(Inputs!O100),IF(Inputs!O100&lt;0,1,0),1)+IF(ISNUMBER(Inputs!O101),IF(Inputs!O101&lt;-1,1,0),1)+IF(ISNUMBER(Inputs!O102),IF(Inputs!O102&lt;-1,1,0),1)+IF(ISNUMBER(Inputs!O103),IF(Inputs!O103&lt;0,1,0),1)+IF(ISNUMBER(Inputs!O104),IF(Inputs!O104&lt;0,1,0),1)+IF(ISNUMBER(Inputs!O105),IF(Inputs!O105&lt;0,1,0),1)+IF(ISNUMBER(Inputs!O106),IF(Inputs!O106&lt;0,1,0),1)+IF(ISNUMBER(Inputs!O107),IF(Inputs!O107&lt;0,1,0),1)+IF(ISNUMBER(Inputs!O108),IF(Inputs!O108&lt;0,1,0),1)+IF(ISNUMBER(Inputs!O109),IF(Inputs!O109&lt;0,1,0),1)+IF(ISNUMBER(Inputs!O110),IF(Inputs!O110&lt;0,1,0),1)+IF(ISNUMBER(Inputs!O130),IF(Inputs!O130&lt;0,1,0),1)+IF(ISNUMBER(Inputs!O132),IF(Inputs!O132&lt;0,1,0),1)+IF(ISNUMBER(Inputs!O133),IF(Inputs!O133&lt;0,1,0),1)+IF(ISNUMBER(Inputs!O134),IF(Inputs!O134&lt;0,1,0),1)+IF(ISNUMBER(Inputs!O135),IF(Inputs!O135&lt;0,1,0),1)+IF(ISNUMBER(Inputs!O136),IF(Inputs!O136&lt;0,1,0),1)+IF(ISNUMBER(Inputs!O144),IF(Inputs!O144&lt;0,1,0),1)+IF(ISNUMBER(Inputs!O145),IF(Inputs!O145&lt;0,1,0),1)+IF(ISNUMBER(Inputs!O147),IF(Inputs!O147&lt;0,1,0),1)+IF(ISNUMBER(Inputs!O148),IF(Inputs!O148&lt;0,1,0),1)+IF(ISNUMBER(Inputs!O149),IF(Inputs!O149&lt;0,1,0),1)+IF(ISNUMBER(Inputs!O150),IF(Inputs!O150&lt;0,1,0),1)+IF(ISNUMBER(Inputs!O156),IF(Inputs!O156&lt;0,1,0),1)+IF(ISNUMBER(Inputs!O158),IF(Inputs!O158&lt;0,1,0),1)</f>
        <v>0</v>
      </c>
      <c r="P27" s="94" t="n">
        <f aca="false">IF(ISNUMBER(Inputs!P5),IF(Inputs!P5&lt;0,1,0),1)+IF(ISNUMBER(Inputs!P9),IF(Inputs!P9&lt;-1,1,0),1)+IF(ISNUMBER(Inputs!P10),IF(Inputs!P10&lt;-1,1,0),1)+IF(ISNUMBER(Inputs!P25),IF(Inputs!P25&lt;0,1,0),1)+IF(ISNUMBER(Inputs!P13),IF(Inputs!P13&lt;-1,1,0),1)+IF(ISNUMBER(Inputs!P14),IF(Inputs!P14&lt;-1,1,0),1)+IF(ISNUMBER(Inputs!P26),IF(Inputs!P26&lt;0,1,0),1)+IF(ISNUMBER(Inputs!P17),IF(Inputs!P17&lt;-1,1,0),1)+IF(ISNUMBER(Inputs!P18),IF(Inputs!P18&lt;-1,1,0),1)+IF(ISNUMBER(Inputs!P27),IF(Inputs!P27&lt;0,1,0),1)+IF(ISNUMBER(Inputs!P21),IF(Inputs!P21&lt;-1,1,0),1)+IF(ISNUMBER(Inputs!P22),IF(Inputs!P22&lt;-1,1,0),1)+IF(ISNUMBER(Inputs!P23),IF(Inputs!P23&lt;-1,1,0),1)+IF(ISNUMBER(Inputs!P29),IF(Inputs!P29&lt;0,1,0),1)+IF(ISNUMBER(Inputs!P30),IF(Inputs!P30&lt;0,1,0),1)+IF(ISNUMBER(Inputs!P31),IF(OR(Inputs!P31&lt;0,Inputs!P31&gt;1),1,0),1)+IF(ISNUMBER(Inputs!P32),IF(Inputs!P32&lt;0,1,0),1)+IF(ISNUMBER(Inputs!P33),IF(Inputs!P33&lt;0,1,0),1)+IF(ISNUMBER(Inputs!P34),IF(Inputs!P34&lt;0,1,0),1)+IF(ISNUMBER(Inputs!P35),IF(OR(Inputs!P35&lt;0,Inputs!P35&gt;1),1,0),1)+IF(ISNUMBER(Inputs!P36),IF(OR(Inputs!P36&lt;0,Inputs!P36&gt;1),1,0),1)+IF(ISNUMBER(Inputs!P37),IF(OR(Inputs!P37&lt;0,Inputs!P37&gt;1),1,0),1)+IF(ISNUMBER(Inputs!P38),IF(Inputs!P38&lt;0,1,0),1)+IF(ISNUMBER(Inputs!P41),IF(Inputs!P41&lt;0,1,0),1)+IF(ISNUMBER(Inputs!P44),IF(Inputs!P44&lt;0,1,0),1)+IF(ISNUMBER(Inputs!P42),IF(Inputs!P42&lt;0,1,0),1)+IF(ISNUMBER(Inputs!P45),IF(Inputs!P45&lt;0,1,0),1)+IF(ISNUMBER(Inputs!P43),IF(Inputs!P43&lt;0,1,0),1)+IF(ISNUMBER(Inputs!P46),IF(Inputs!P46&lt;0,1,0),1)+IF(ISNUMBER(Inputs!P47),IF(Inputs!P47&lt;0,1,0),1)+IF(ISNUMBER(Inputs!P48),IF(Inputs!P48&lt;0,1,0),1)+IF(ISNUMBER(Inputs!P49),IF(OR(Inputs!P49&lt;0,Inputs!P49&gt;1),1,0),1)+IF(ISNUMBER(Inputs!P50),IF(OR(Inputs!P50&lt;0,Inputs!P50&gt;1),1,0),1)+IF(ISNUMBER(Inputs!P51),IF(Inputs!P51&lt;0,1,0),1)+IF(ISNUMBER(Inputs!P53),IF(Inputs!P53&lt;0,1,0),1)+IF(ISNUMBER(Inputs!P54),IF(OR(Inputs!P54&lt;0,Inputs!P54&gt;1),1,0),1)+IF(ISNUMBER(Inputs!P55),IF(Inputs!P55&lt;0,1,0),1)+IF(ISNUMBER(Inputs!P56),IF(Inputs!P56&lt;0,1,0),1)+IF(ISNUMBER(Inputs!P57),IF(FALSE(),1,0),1)+IF(ISNUMBER(Inputs!P58),IF(Inputs!P58&lt;0,1,0),1)+IF(ISNUMBER(Inputs!P59),IF(Inputs!P59&lt;0,1,0),1)+IF(ISNUMBER(Inputs!P60),IF(Inputs!P60&lt;0,1,0),1)+IF(ISNUMBER(Inputs!P61),IF(FALSE(),1,0),1)+IF(ISNUMBER(Inputs!P62),IF(FALSE(),1,0),1)+IF(ISNUMBER(Inputs!P63),IF(Inputs!P63&lt;0,1,0),1)+IF(ISNUMBER(Inputs!P64),IF(Inputs!P64&lt;0,1,0),1)+IF(ISNUMBER(Inputs!P65),IF(Inputs!P65&lt;0,1,0),1)+IF(ISNUMBER(Inputs!P70),IF(OR(Inputs!P70&lt;0,Inputs!P70&lt;&gt;INT(Inputs!P70)),1,0),1)+IF(ISNUMBER(Inputs!P71),IF(OR(Inputs!P71&lt;0,Inputs!P71&lt;&gt;INT(Inputs!P71)),1,0),1)+IF(ISNUMBER(Inputs!P72),IF(OR(Inputs!P72&lt;0,Inputs!P72&lt;&gt;INT(Inputs!P72)),1,0),1)+IF(ISNUMBER(Inputs!P73),IF(OR(Inputs!P73&lt;0,Inputs!P73&lt;&gt;INT(Inputs!P73)),1,0),1)+IF(ISNUMBER(Inputs!P74),IF(OR(Inputs!P74&lt;0,Inputs!P74&lt;&gt;INT(Inputs!P74)),1,0),1)+IF(ISNUMBER(Inputs!P75),IF(OR(Inputs!P75&lt;0,Inputs!P75&lt;&gt;INT(Inputs!P75)),1,0),1)+IF(ISNUMBER(Inputs!P76),IF(OR(Inputs!P76&lt;0,Inputs!P76&lt;&gt;INT(Inputs!P76)),1,0),1)+IF(ISNUMBER(Inputs!P77),IF(OR(Inputs!P77&lt;0,Inputs!P77&lt;&gt;INT(Inputs!P77)),1,0),1)+IF(ISNUMBER(Inputs!P80),IF(Inputs!P80&lt;0,1,0),1)+IF(ISNUMBER(Inputs!P81),IF(Inputs!P81&lt;0,1,0),1)+IF(ISNUMBER(Inputs!P82),IF(Inputs!P82&lt;0,1,0),1)+IF(ISNUMBER(Inputs!P83),IF(OR(Inputs!P83&lt;0,Inputs!P83&gt;1),1,0),1)+IF(ISNUMBER(Inputs!P90),IF(Inputs!P90&lt;=0,1,0),1)+IF(ISNUMBER(Inputs!P91),IF(Inputs!P91&lt;=0,1,0),1)+IF(ISNUMBER(Inputs!P92),IF(Inputs!P92&lt;=0,1,0),1)+IF(ISNUMBER(Inputs!P93),IF(Inputs!P93&lt;=0,1,0),1)+IF(ISNUMBER(Inputs!P94),IF(Inputs!P94&lt;=0,1,0),1)+IF(ISNUMBER(Inputs!P95),IF(Inputs!P95&lt;=0,1,0),1)+IF(ISNUMBER(Inputs!P96),IF(Inputs!P96&lt;=0,1,0),1)+IF(ISNUMBER(Inputs!P98),IF(OR(Inputs!P98&lt;0,Inputs!P98&gt;1),1,0),1)+IF(ISNUMBER(Inputs!P99),IF(Inputs!P99&lt;0,1,0),1)+IF(ISNUMBER(Inputs!P100),IF(Inputs!P100&lt;0,1,0),1)+IF(ISNUMBER(Inputs!P101),IF(Inputs!P101&lt;-1,1,0),1)+IF(ISNUMBER(Inputs!P102),IF(Inputs!P102&lt;-1,1,0),1)+IF(ISNUMBER(Inputs!P103),IF(Inputs!P103&lt;0,1,0),1)+IF(ISNUMBER(Inputs!P104),IF(Inputs!P104&lt;0,1,0),1)+IF(ISNUMBER(Inputs!P105),IF(Inputs!P105&lt;0,1,0),1)+IF(ISNUMBER(Inputs!P106),IF(Inputs!P106&lt;0,1,0),1)+IF(ISNUMBER(Inputs!P107),IF(Inputs!P107&lt;0,1,0),1)+IF(ISNUMBER(Inputs!P108),IF(Inputs!P108&lt;0,1,0),1)+IF(ISNUMBER(Inputs!P109),IF(Inputs!P109&lt;0,1,0),1)+IF(ISNUMBER(Inputs!P110),IF(Inputs!P110&lt;0,1,0),1)+IF(ISNUMBER(Inputs!P130),IF(Inputs!P130&lt;0,1,0),1)+IF(ISNUMBER(Inputs!P132),IF(Inputs!P132&lt;0,1,0),1)+IF(ISNUMBER(Inputs!P133),IF(Inputs!P133&lt;0,1,0),1)+IF(ISNUMBER(Inputs!P134),IF(Inputs!P134&lt;0,1,0),1)+IF(ISNUMBER(Inputs!P135),IF(Inputs!P135&lt;0,1,0),1)+IF(ISNUMBER(Inputs!P136),IF(Inputs!P136&lt;0,1,0),1)+IF(ISNUMBER(Inputs!P144),IF(Inputs!P144&lt;0,1,0),1)+IF(ISNUMBER(Inputs!P145),IF(Inputs!P145&lt;0,1,0),1)+IF(ISNUMBER(Inputs!P147),IF(Inputs!P147&lt;0,1,0),1)+IF(ISNUMBER(Inputs!P148),IF(Inputs!P148&lt;0,1,0),1)+IF(ISNUMBER(Inputs!P149),IF(Inputs!P149&lt;0,1,0),1)+IF(ISNUMBER(Inputs!P150),IF(Inputs!P150&lt;0,1,0),1)+IF(ISNUMBER(Inputs!P156),IF(Inputs!P156&lt;0,1,0),1)+IF(ISNUMBER(Inputs!P158),IF(Inputs!P158&lt;0,1,0),1)</f>
        <v>0</v>
      </c>
      <c r="Q27" s="94" t="n">
        <f aca="false">IF(ISNUMBER(Inputs!Q5),IF(Inputs!Q5&lt;0,1,0),1)+IF(ISNUMBER(Inputs!Q9),IF(Inputs!Q9&lt;-1,1,0),1)+IF(ISNUMBER(Inputs!Q10),IF(Inputs!Q10&lt;-1,1,0),1)+IF(ISNUMBER(Inputs!Q25),IF(Inputs!Q25&lt;0,1,0),1)+IF(ISNUMBER(Inputs!Q13),IF(Inputs!Q13&lt;-1,1,0),1)+IF(ISNUMBER(Inputs!Q14),IF(Inputs!Q14&lt;-1,1,0),1)+IF(ISNUMBER(Inputs!Q26),IF(Inputs!Q26&lt;0,1,0),1)+IF(ISNUMBER(Inputs!Q17),IF(Inputs!Q17&lt;-1,1,0),1)+IF(ISNUMBER(Inputs!Q18),IF(Inputs!Q18&lt;-1,1,0),1)+IF(ISNUMBER(Inputs!Q27),IF(Inputs!Q27&lt;0,1,0),1)+IF(ISNUMBER(Inputs!Q21),IF(Inputs!Q21&lt;-1,1,0),1)+IF(ISNUMBER(Inputs!Q22),IF(Inputs!Q22&lt;-1,1,0),1)+IF(ISNUMBER(Inputs!Q23),IF(Inputs!Q23&lt;-1,1,0),1)+IF(ISNUMBER(Inputs!Q29),IF(Inputs!Q29&lt;0,1,0),1)+IF(ISNUMBER(Inputs!Q30),IF(Inputs!Q30&lt;0,1,0),1)+IF(ISNUMBER(Inputs!Q31),IF(OR(Inputs!Q31&lt;0,Inputs!Q31&gt;1),1,0),1)+IF(ISNUMBER(Inputs!Q32),IF(Inputs!Q32&lt;0,1,0),1)+IF(ISNUMBER(Inputs!Q33),IF(Inputs!Q33&lt;0,1,0),1)+IF(ISNUMBER(Inputs!Q34),IF(Inputs!Q34&lt;0,1,0),1)+IF(ISNUMBER(Inputs!Q35),IF(OR(Inputs!Q35&lt;0,Inputs!Q35&gt;1),1,0),1)+IF(ISNUMBER(Inputs!Q36),IF(OR(Inputs!Q36&lt;0,Inputs!Q36&gt;1),1,0),1)+IF(ISNUMBER(Inputs!Q37),IF(OR(Inputs!Q37&lt;0,Inputs!Q37&gt;1),1,0),1)+IF(ISNUMBER(Inputs!Q38),IF(Inputs!Q38&lt;0,1,0),1)+IF(ISNUMBER(Inputs!Q41),IF(Inputs!Q41&lt;0,1,0),1)+IF(ISNUMBER(Inputs!Q44),IF(Inputs!Q44&lt;0,1,0),1)+IF(ISNUMBER(Inputs!Q42),IF(Inputs!Q42&lt;0,1,0),1)+IF(ISNUMBER(Inputs!Q45),IF(Inputs!Q45&lt;0,1,0),1)+IF(ISNUMBER(Inputs!Q43),IF(Inputs!Q43&lt;0,1,0),1)+IF(ISNUMBER(Inputs!Q46),IF(Inputs!Q46&lt;0,1,0),1)+IF(ISNUMBER(Inputs!Q47),IF(Inputs!Q47&lt;0,1,0),1)+IF(ISNUMBER(Inputs!Q48),IF(Inputs!Q48&lt;0,1,0),1)+IF(ISNUMBER(Inputs!Q49),IF(OR(Inputs!Q49&lt;0,Inputs!Q49&gt;1),1,0),1)+IF(ISNUMBER(Inputs!Q50),IF(OR(Inputs!Q50&lt;0,Inputs!Q50&gt;1),1,0),1)+IF(ISNUMBER(Inputs!Q51),IF(Inputs!Q51&lt;0,1,0),1)+IF(ISNUMBER(Inputs!Q53),IF(Inputs!Q53&lt;0,1,0),1)+IF(ISNUMBER(Inputs!Q54),IF(OR(Inputs!Q54&lt;0,Inputs!Q54&gt;1),1,0),1)+IF(ISNUMBER(Inputs!Q55),IF(Inputs!Q55&lt;0,1,0),1)+IF(ISNUMBER(Inputs!Q56),IF(Inputs!Q56&lt;0,1,0),1)+IF(ISNUMBER(Inputs!Q57),IF(FALSE(),1,0),1)+IF(ISNUMBER(Inputs!Q58),IF(Inputs!Q58&lt;0,1,0),1)+IF(ISNUMBER(Inputs!Q59),IF(Inputs!Q59&lt;0,1,0),1)+IF(ISNUMBER(Inputs!Q60),IF(Inputs!Q60&lt;0,1,0),1)+IF(ISNUMBER(Inputs!Q61),IF(FALSE(),1,0),1)+IF(ISNUMBER(Inputs!Q62),IF(FALSE(),1,0),1)+IF(ISNUMBER(Inputs!Q63),IF(Inputs!Q63&lt;0,1,0),1)+IF(ISNUMBER(Inputs!Q64),IF(Inputs!Q64&lt;0,1,0),1)+IF(ISNUMBER(Inputs!Q65),IF(Inputs!Q65&lt;0,1,0),1)+IF(ISNUMBER(Inputs!Q70),IF(OR(Inputs!Q70&lt;0,Inputs!Q70&lt;&gt;INT(Inputs!Q70)),1,0),1)+IF(ISNUMBER(Inputs!Q71),IF(OR(Inputs!Q71&lt;0,Inputs!Q71&lt;&gt;INT(Inputs!Q71)),1,0),1)+IF(ISNUMBER(Inputs!Q72),IF(OR(Inputs!Q72&lt;0,Inputs!Q72&lt;&gt;INT(Inputs!Q72)),1,0),1)+IF(ISNUMBER(Inputs!Q73),IF(OR(Inputs!Q73&lt;0,Inputs!Q73&lt;&gt;INT(Inputs!Q73)),1,0),1)+IF(ISNUMBER(Inputs!Q74),IF(OR(Inputs!Q74&lt;0,Inputs!Q74&lt;&gt;INT(Inputs!Q74)),1,0),1)+IF(ISNUMBER(Inputs!Q75),IF(OR(Inputs!Q75&lt;0,Inputs!Q75&lt;&gt;INT(Inputs!Q75)),1,0),1)+IF(ISNUMBER(Inputs!Q76),IF(OR(Inputs!Q76&lt;0,Inputs!Q76&lt;&gt;INT(Inputs!Q76)),1,0),1)+IF(ISNUMBER(Inputs!Q77),IF(OR(Inputs!Q77&lt;0,Inputs!Q77&lt;&gt;INT(Inputs!Q77)),1,0),1)+IF(ISNUMBER(Inputs!Q80),IF(Inputs!Q80&lt;0,1,0),1)+IF(ISNUMBER(Inputs!Q81),IF(Inputs!Q81&lt;0,1,0),1)+IF(ISNUMBER(Inputs!Q82),IF(Inputs!Q82&lt;0,1,0),1)+IF(ISNUMBER(Inputs!Q83),IF(OR(Inputs!Q83&lt;0,Inputs!Q83&gt;1),1,0),1)+IF(ISNUMBER(Inputs!Q90),IF(Inputs!Q90&lt;=0,1,0),1)+IF(ISNUMBER(Inputs!Q91),IF(Inputs!Q91&lt;=0,1,0),1)+IF(ISNUMBER(Inputs!Q92),IF(Inputs!Q92&lt;=0,1,0),1)+IF(ISNUMBER(Inputs!Q93),IF(Inputs!Q93&lt;=0,1,0),1)+IF(ISNUMBER(Inputs!Q94),IF(Inputs!Q94&lt;=0,1,0),1)+IF(ISNUMBER(Inputs!Q95),IF(Inputs!Q95&lt;=0,1,0),1)+IF(ISNUMBER(Inputs!Q96),IF(Inputs!Q96&lt;=0,1,0),1)+IF(ISNUMBER(Inputs!Q98),IF(OR(Inputs!Q98&lt;0,Inputs!Q98&gt;1),1,0),1)+IF(ISNUMBER(Inputs!Q99),IF(Inputs!Q99&lt;0,1,0),1)+IF(ISNUMBER(Inputs!Q100),IF(Inputs!Q100&lt;0,1,0),1)+IF(ISNUMBER(Inputs!Q101),IF(Inputs!Q101&lt;-1,1,0),1)+IF(ISNUMBER(Inputs!Q102),IF(Inputs!Q102&lt;-1,1,0),1)+IF(ISNUMBER(Inputs!Q103),IF(Inputs!Q103&lt;0,1,0),1)+IF(ISNUMBER(Inputs!Q104),IF(Inputs!Q104&lt;0,1,0),1)+IF(ISNUMBER(Inputs!Q105),IF(Inputs!Q105&lt;0,1,0),1)+IF(ISNUMBER(Inputs!Q106),IF(Inputs!Q106&lt;0,1,0),1)+IF(ISNUMBER(Inputs!Q107),IF(Inputs!Q107&lt;0,1,0),1)+IF(ISNUMBER(Inputs!Q108),IF(Inputs!Q108&lt;0,1,0),1)+IF(ISNUMBER(Inputs!Q109),IF(Inputs!Q109&lt;0,1,0),1)+IF(ISNUMBER(Inputs!Q110),IF(Inputs!Q110&lt;0,1,0),1)+IF(ISNUMBER(Inputs!Q130),IF(Inputs!Q130&lt;0,1,0),1)+IF(ISNUMBER(Inputs!Q132),IF(Inputs!Q132&lt;0,1,0),1)+IF(ISNUMBER(Inputs!Q133),IF(Inputs!Q133&lt;0,1,0),1)+IF(ISNUMBER(Inputs!Q134),IF(Inputs!Q134&lt;0,1,0),1)+IF(ISNUMBER(Inputs!Q135),IF(Inputs!Q135&lt;0,1,0),1)+IF(ISNUMBER(Inputs!Q136),IF(Inputs!Q136&lt;0,1,0),1)+IF(ISNUMBER(Inputs!Q144),IF(Inputs!Q144&lt;0,1,0),1)+IF(ISNUMBER(Inputs!Q145),IF(Inputs!Q145&lt;0,1,0),1)+IF(ISNUMBER(Inputs!Q147),IF(Inputs!Q147&lt;0,1,0),1)+IF(ISNUMBER(Inputs!Q148),IF(Inputs!Q148&lt;0,1,0),1)+IF(ISNUMBER(Inputs!Q149),IF(Inputs!Q149&lt;0,1,0),1)+IF(ISNUMBER(Inputs!Q150),IF(Inputs!Q150&lt;0,1,0),1)+IF(ISNUMBER(Inputs!Q156),IF(Inputs!Q156&lt;0,1,0),1)+IF(ISNUMBER(Inputs!Q158),IF(Inputs!Q158&lt;0,1,0),1)</f>
        <v>0</v>
      </c>
      <c r="R27" s="94" t="n">
        <f aca="false">IF(ISNUMBER(Inputs!R5),IF(Inputs!R5&lt;0,1,0),1)+IF(ISNUMBER(Inputs!R9),IF(Inputs!R9&lt;-1,1,0),1)+IF(ISNUMBER(Inputs!R10),IF(Inputs!R10&lt;-1,1,0),1)+IF(ISNUMBER(Inputs!R25),IF(Inputs!R25&lt;0,1,0),1)+IF(ISNUMBER(Inputs!R13),IF(Inputs!R13&lt;-1,1,0),1)+IF(ISNUMBER(Inputs!R14),IF(Inputs!R14&lt;-1,1,0),1)+IF(ISNUMBER(Inputs!R26),IF(Inputs!R26&lt;0,1,0),1)+IF(ISNUMBER(Inputs!R17),IF(Inputs!R17&lt;-1,1,0),1)+IF(ISNUMBER(Inputs!R18),IF(Inputs!R18&lt;-1,1,0),1)+IF(ISNUMBER(Inputs!R27),IF(Inputs!R27&lt;0,1,0),1)+IF(ISNUMBER(Inputs!R21),IF(Inputs!R21&lt;-1,1,0),1)+IF(ISNUMBER(Inputs!R22),IF(Inputs!R22&lt;-1,1,0),1)+IF(ISNUMBER(Inputs!R23),IF(Inputs!R23&lt;-1,1,0),1)+IF(ISNUMBER(Inputs!R29),IF(Inputs!R29&lt;0,1,0),1)+IF(ISNUMBER(Inputs!R30),IF(Inputs!R30&lt;0,1,0),1)+IF(ISNUMBER(Inputs!R31),IF(OR(Inputs!R31&lt;0,Inputs!R31&gt;1),1,0),1)+IF(ISNUMBER(Inputs!R32),IF(Inputs!R32&lt;0,1,0),1)+IF(ISNUMBER(Inputs!R33),IF(Inputs!R33&lt;0,1,0),1)+IF(ISNUMBER(Inputs!R34),IF(Inputs!R34&lt;0,1,0),1)+IF(ISNUMBER(Inputs!R35),IF(OR(Inputs!R35&lt;0,Inputs!R35&gt;1),1,0),1)+IF(ISNUMBER(Inputs!R36),IF(OR(Inputs!R36&lt;0,Inputs!R36&gt;1),1,0),1)+IF(ISNUMBER(Inputs!R37),IF(OR(Inputs!R37&lt;0,Inputs!R37&gt;1),1,0),1)+IF(ISNUMBER(Inputs!R38),IF(Inputs!R38&lt;0,1,0),1)+IF(ISNUMBER(Inputs!R41),IF(Inputs!R41&lt;0,1,0),1)+IF(ISNUMBER(Inputs!R44),IF(Inputs!R44&lt;0,1,0),1)+IF(ISNUMBER(Inputs!R42),IF(Inputs!R42&lt;0,1,0),1)+IF(ISNUMBER(Inputs!R45),IF(Inputs!R45&lt;0,1,0),1)+IF(ISNUMBER(Inputs!R43),IF(Inputs!R43&lt;0,1,0),1)+IF(ISNUMBER(Inputs!R46),IF(Inputs!R46&lt;0,1,0),1)+IF(ISNUMBER(Inputs!R47),IF(Inputs!R47&lt;0,1,0),1)+IF(ISNUMBER(Inputs!R48),IF(Inputs!R48&lt;0,1,0),1)+IF(ISNUMBER(Inputs!R49),IF(OR(Inputs!R49&lt;0,Inputs!R49&gt;1),1,0),1)+IF(ISNUMBER(Inputs!R50),IF(OR(Inputs!R50&lt;0,Inputs!R50&gt;1),1,0),1)+IF(ISNUMBER(Inputs!R51),IF(Inputs!R51&lt;0,1,0),1)+IF(ISNUMBER(Inputs!R53),IF(Inputs!R53&lt;0,1,0),1)+IF(ISNUMBER(Inputs!R54),IF(OR(Inputs!R54&lt;0,Inputs!R54&gt;1),1,0),1)+IF(ISNUMBER(Inputs!R55),IF(Inputs!R55&lt;0,1,0),1)+IF(ISNUMBER(Inputs!R56),IF(Inputs!R56&lt;0,1,0),1)+IF(ISNUMBER(Inputs!R57),IF(FALSE(),1,0),1)+IF(ISNUMBER(Inputs!R58),IF(Inputs!R58&lt;0,1,0),1)+IF(ISNUMBER(Inputs!R59),IF(Inputs!R59&lt;0,1,0),1)+IF(ISNUMBER(Inputs!R60),IF(Inputs!R60&lt;0,1,0),1)+IF(ISNUMBER(Inputs!R61),IF(FALSE(),1,0),1)+IF(ISNUMBER(Inputs!R62),IF(FALSE(),1,0),1)+IF(ISNUMBER(Inputs!R63),IF(Inputs!R63&lt;0,1,0),1)+IF(ISNUMBER(Inputs!R64),IF(Inputs!R64&lt;0,1,0),1)+IF(ISNUMBER(Inputs!R65),IF(Inputs!R65&lt;0,1,0),1)+IF(ISNUMBER(Inputs!R70),IF(OR(Inputs!R70&lt;0,Inputs!R70&lt;&gt;INT(Inputs!R70)),1,0),1)+IF(ISNUMBER(Inputs!R71),IF(OR(Inputs!R71&lt;0,Inputs!R71&lt;&gt;INT(Inputs!R71)),1,0),1)+IF(ISNUMBER(Inputs!R72),IF(OR(Inputs!R72&lt;0,Inputs!R72&lt;&gt;INT(Inputs!R72)),1,0),1)+IF(ISNUMBER(Inputs!R73),IF(OR(Inputs!R73&lt;0,Inputs!R73&lt;&gt;INT(Inputs!R73)),1,0),1)+IF(ISNUMBER(Inputs!R74),IF(OR(Inputs!R74&lt;0,Inputs!R74&lt;&gt;INT(Inputs!R74)),1,0),1)+IF(ISNUMBER(Inputs!R75),IF(OR(Inputs!R75&lt;0,Inputs!R75&lt;&gt;INT(Inputs!R75)),1,0),1)+IF(ISNUMBER(Inputs!R76),IF(OR(Inputs!R76&lt;0,Inputs!R76&lt;&gt;INT(Inputs!R76)),1,0),1)+IF(ISNUMBER(Inputs!R77),IF(OR(Inputs!R77&lt;0,Inputs!R77&lt;&gt;INT(Inputs!R77)),1,0),1)+IF(ISNUMBER(Inputs!R80),IF(Inputs!R80&lt;0,1,0),1)+IF(ISNUMBER(Inputs!R81),IF(Inputs!R81&lt;0,1,0),1)+IF(ISNUMBER(Inputs!R82),IF(Inputs!R82&lt;0,1,0),1)+IF(ISNUMBER(Inputs!R83),IF(OR(Inputs!R83&lt;0,Inputs!R83&gt;1),1,0),1)+IF(ISNUMBER(Inputs!R90),IF(Inputs!R90&lt;=0,1,0),1)+IF(ISNUMBER(Inputs!R91),IF(Inputs!R91&lt;=0,1,0),1)+IF(ISNUMBER(Inputs!R92),IF(Inputs!R92&lt;=0,1,0),1)+IF(ISNUMBER(Inputs!R93),IF(Inputs!R93&lt;=0,1,0),1)+IF(ISNUMBER(Inputs!R94),IF(Inputs!R94&lt;=0,1,0),1)+IF(ISNUMBER(Inputs!R95),IF(Inputs!R95&lt;=0,1,0),1)+IF(ISNUMBER(Inputs!R96),IF(Inputs!R96&lt;=0,1,0),1)+IF(ISNUMBER(Inputs!R98),IF(OR(Inputs!R98&lt;0,Inputs!R98&gt;1),1,0),1)+IF(ISNUMBER(Inputs!R99),IF(Inputs!R99&lt;0,1,0),1)+IF(ISNUMBER(Inputs!R100),IF(Inputs!R100&lt;0,1,0),1)+IF(ISNUMBER(Inputs!R101),IF(Inputs!R101&lt;-1,1,0),1)+IF(ISNUMBER(Inputs!R102),IF(Inputs!R102&lt;-1,1,0),1)+IF(ISNUMBER(Inputs!R103),IF(Inputs!R103&lt;0,1,0),1)+IF(ISNUMBER(Inputs!R104),IF(Inputs!R104&lt;0,1,0),1)+IF(ISNUMBER(Inputs!R105),IF(Inputs!R105&lt;0,1,0),1)+IF(ISNUMBER(Inputs!R106),IF(Inputs!R106&lt;0,1,0),1)+IF(ISNUMBER(Inputs!R107),IF(Inputs!R107&lt;0,1,0),1)+IF(ISNUMBER(Inputs!R108),IF(Inputs!R108&lt;0,1,0),1)+IF(ISNUMBER(Inputs!R109),IF(Inputs!R109&lt;0,1,0),1)+IF(ISNUMBER(Inputs!R110),IF(Inputs!R110&lt;0,1,0),1)+IF(ISNUMBER(Inputs!R130),IF(Inputs!R130&lt;0,1,0),1)+IF(ISNUMBER(Inputs!R132),IF(Inputs!R132&lt;0,1,0),1)+IF(ISNUMBER(Inputs!R133),IF(Inputs!R133&lt;0,1,0),1)+IF(ISNUMBER(Inputs!R134),IF(Inputs!R134&lt;0,1,0),1)+IF(ISNUMBER(Inputs!R135),IF(Inputs!R135&lt;0,1,0),1)+IF(ISNUMBER(Inputs!R136),IF(Inputs!R136&lt;0,1,0),1)+IF(ISNUMBER(Inputs!R144),IF(Inputs!R144&lt;0,1,0),1)+IF(ISNUMBER(Inputs!R145),IF(Inputs!R145&lt;0,1,0),1)+IF(ISNUMBER(Inputs!R147),IF(Inputs!R147&lt;0,1,0),1)+IF(ISNUMBER(Inputs!R148),IF(Inputs!R148&lt;0,1,0),1)+IF(ISNUMBER(Inputs!R149),IF(Inputs!R149&lt;0,1,0),1)+IF(ISNUMBER(Inputs!R150),IF(Inputs!R150&lt;0,1,0),1)+IF(ISNUMBER(Inputs!R156),IF(Inputs!R156&lt;0,1,0),1)+IF(ISNUMBER(Inputs!R158),IF(Inputs!R158&lt;0,1,0),1)</f>
        <v>0</v>
      </c>
      <c r="S27" s="94" t="n">
        <f aca="false">IF(ISNUMBER(Inputs!S5),IF(Inputs!S5&lt;0,1,0),1)+IF(ISNUMBER(Inputs!S9),IF(Inputs!S9&lt;-1,1,0),1)+IF(ISNUMBER(Inputs!S10),IF(Inputs!S10&lt;-1,1,0),1)+IF(ISNUMBER(Inputs!S25),IF(Inputs!S25&lt;0,1,0),1)+IF(ISNUMBER(Inputs!S13),IF(Inputs!S13&lt;-1,1,0),1)+IF(ISNUMBER(Inputs!S14),IF(Inputs!S14&lt;-1,1,0),1)+IF(ISNUMBER(Inputs!S26),IF(Inputs!S26&lt;0,1,0),1)+IF(ISNUMBER(Inputs!S17),IF(Inputs!S17&lt;-1,1,0),1)+IF(ISNUMBER(Inputs!S18),IF(Inputs!S18&lt;-1,1,0),1)+IF(ISNUMBER(Inputs!S27),IF(Inputs!S27&lt;0,1,0),1)+IF(ISNUMBER(Inputs!S21),IF(Inputs!S21&lt;-1,1,0),1)+IF(ISNUMBER(Inputs!S22),IF(Inputs!S22&lt;-1,1,0),1)+IF(ISNUMBER(Inputs!S23),IF(Inputs!S23&lt;-1,1,0),1)+IF(ISNUMBER(Inputs!S29),IF(Inputs!S29&lt;0,1,0),1)+IF(ISNUMBER(Inputs!S30),IF(Inputs!S30&lt;0,1,0),1)+IF(ISNUMBER(Inputs!S31),IF(OR(Inputs!S31&lt;0,Inputs!S31&gt;1),1,0),1)+IF(ISNUMBER(Inputs!S32),IF(Inputs!S32&lt;0,1,0),1)+IF(ISNUMBER(Inputs!S33),IF(Inputs!S33&lt;0,1,0),1)+IF(ISNUMBER(Inputs!S34),IF(Inputs!S34&lt;0,1,0),1)+IF(ISNUMBER(Inputs!S35),IF(OR(Inputs!S35&lt;0,Inputs!S35&gt;1),1,0),1)+IF(ISNUMBER(Inputs!S36),IF(OR(Inputs!S36&lt;0,Inputs!S36&gt;1),1,0),1)+IF(ISNUMBER(Inputs!S37),IF(OR(Inputs!S37&lt;0,Inputs!S37&gt;1),1,0),1)+IF(ISNUMBER(Inputs!S38),IF(Inputs!S38&lt;0,1,0),1)+IF(ISNUMBER(Inputs!S41),IF(Inputs!S41&lt;0,1,0),1)+IF(ISNUMBER(Inputs!S44),IF(Inputs!S44&lt;0,1,0),1)+IF(ISNUMBER(Inputs!S42),IF(Inputs!S42&lt;0,1,0),1)+IF(ISNUMBER(Inputs!S45),IF(Inputs!S45&lt;0,1,0),1)+IF(ISNUMBER(Inputs!S43),IF(Inputs!S43&lt;0,1,0),1)+IF(ISNUMBER(Inputs!S46),IF(Inputs!S46&lt;0,1,0),1)+IF(ISNUMBER(Inputs!S47),IF(Inputs!S47&lt;0,1,0),1)+IF(ISNUMBER(Inputs!S48),IF(Inputs!S48&lt;0,1,0),1)+IF(ISNUMBER(Inputs!S49),IF(OR(Inputs!S49&lt;0,Inputs!S49&gt;1),1,0),1)+IF(ISNUMBER(Inputs!S50),IF(OR(Inputs!S50&lt;0,Inputs!S50&gt;1),1,0),1)+IF(ISNUMBER(Inputs!S51),IF(Inputs!S51&lt;0,1,0),1)+IF(ISNUMBER(Inputs!S53),IF(Inputs!S53&lt;0,1,0),1)+IF(ISNUMBER(Inputs!S54),IF(OR(Inputs!S54&lt;0,Inputs!S54&gt;1),1,0),1)+IF(ISNUMBER(Inputs!S55),IF(Inputs!S55&lt;0,1,0),1)+IF(ISNUMBER(Inputs!S56),IF(Inputs!S56&lt;0,1,0),1)+IF(ISNUMBER(Inputs!S57),IF(FALSE(),1,0),1)+IF(ISNUMBER(Inputs!S58),IF(Inputs!S58&lt;0,1,0),1)+IF(ISNUMBER(Inputs!S59),IF(Inputs!S59&lt;0,1,0),1)+IF(ISNUMBER(Inputs!S60),IF(Inputs!S60&lt;0,1,0),1)+IF(ISNUMBER(Inputs!S61),IF(FALSE(),1,0),1)+IF(ISNUMBER(Inputs!S62),IF(FALSE(),1,0),1)+IF(ISNUMBER(Inputs!S63),IF(Inputs!S63&lt;0,1,0),1)+IF(ISNUMBER(Inputs!S64),IF(Inputs!S64&lt;0,1,0),1)+IF(ISNUMBER(Inputs!S65),IF(Inputs!S65&lt;0,1,0),1)+IF(ISNUMBER(Inputs!S70),IF(OR(Inputs!S70&lt;0,Inputs!S70&lt;&gt;INT(Inputs!S70)),1,0),1)+IF(ISNUMBER(Inputs!S71),IF(OR(Inputs!S71&lt;0,Inputs!S71&lt;&gt;INT(Inputs!S71)),1,0),1)+IF(ISNUMBER(Inputs!S72),IF(OR(Inputs!S72&lt;0,Inputs!S72&lt;&gt;INT(Inputs!S72)),1,0),1)+IF(ISNUMBER(Inputs!S73),IF(OR(Inputs!S73&lt;0,Inputs!S73&lt;&gt;INT(Inputs!S73)),1,0),1)+IF(ISNUMBER(Inputs!S74),IF(OR(Inputs!S74&lt;0,Inputs!S74&lt;&gt;INT(Inputs!S74)),1,0),1)+IF(ISNUMBER(Inputs!S75),IF(OR(Inputs!S75&lt;0,Inputs!S75&lt;&gt;INT(Inputs!S75)),1,0),1)+IF(ISNUMBER(Inputs!S76),IF(OR(Inputs!S76&lt;0,Inputs!S76&lt;&gt;INT(Inputs!S76)),1,0),1)+IF(ISNUMBER(Inputs!S77),IF(OR(Inputs!S77&lt;0,Inputs!S77&lt;&gt;INT(Inputs!S77)),1,0),1)+IF(ISNUMBER(Inputs!S80),IF(Inputs!S80&lt;0,1,0),1)+IF(ISNUMBER(Inputs!S81),IF(Inputs!S81&lt;0,1,0),1)+IF(ISNUMBER(Inputs!S82),IF(Inputs!S82&lt;0,1,0),1)+IF(ISNUMBER(Inputs!S83),IF(OR(Inputs!S83&lt;0,Inputs!S83&gt;1),1,0),1)+IF(ISNUMBER(Inputs!S90),IF(Inputs!S90&lt;=0,1,0),1)+IF(ISNUMBER(Inputs!S91),IF(Inputs!S91&lt;=0,1,0),1)+IF(ISNUMBER(Inputs!S92),IF(Inputs!S92&lt;=0,1,0),1)+IF(ISNUMBER(Inputs!S93),IF(Inputs!S93&lt;=0,1,0),1)+IF(ISNUMBER(Inputs!S94),IF(Inputs!S94&lt;=0,1,0),1)+IF(ISNUMBER(Inputs!S95),IF(Inputs!S95&lt;=0,1,0),1)+IF(ISNUMBER(Inputs!S96),IF(Inputs!S96&lt;=0,1,0),1)+IF(ISNUMBER(Inputs!S98),IF(OR(Inputs!S98&lt;0,Inputs!S98&gt;1),1,0),1)+IF(ISNUMBER(Inputs!S99),IF(Inputs!S99&lt;0,1,0),1)+IF(ISNUMBER(Inputs!S100),IF(Inputs!S100&lt;0,1,0),1)+IF(ISNUMBER(Inputs!S101),IF(Inputs!S101&lt;-1,1,0),1)+IF(ISNUMBER(Inputs!S102),IF(Inputs!S102&lt;-1,1,0),1)+IF(ISNUMBER(Inputs!S103),IF(Inputs!S103&lt;0,1,0),1)+IF(ISNUMBER(Inputs!S104),IF(Inputs!S104&lt;0,1,0),1)+IF(ISNUMBER(Inputs!S105),IF(Inputs!S105&lt;0,1,0),1)+IF(ISNUMBER(Inputs!S106),IF(Inputs!S106&lt;0,1,0),1)+IF(ISNUMBER(Inputs!S107),IF(Inputs!S107&lt;0,1,0),1)+IF(ISNUMBER(Inputs!S108),IF(Inputs!S108&lt;0,1,0),1)+IF(ISNUMBER(Inputs!S109),IF(Inputs!S109&lt;0,1,0),1)+IF(ISNUMBER(Inputs!S110),IF(Inputs!S110&lt;0,1,0),1)+IF(ISNUMBER(Inputs!S130),IF(Inputs!S130&lt;0,1,0),1)+IF(ISNUMBER(Inputs!S132),IF(Inputs!S132&lt;0,1,0),1)+IF(ISNUMBER(Inputs!S133),IF(Inputs!S133&lt;0,1,0),1)+IF(ISNUMBER(Inputs!S134),IF(Inputs!S134&lt;0,1,0),1)+IF(ISNUMBER(Inputs!S135),IF(Inputs!S135&lt;0,1,0),1)+IF(ISNUMBER(Inputs!S136),IF(Inputs!S136&lt;0,1,0),1)+IF(ISNUMBER(Inputs!S144),IF(Inputs!S144&lt;0,1,0),1)+IF(ISNUMBER(Inputs!S145),IF(Inputs!S145&lt;0,1,0),1)+IF(ISNUMBER(Inputs!S147),IF(Inputs!S147&lt;0,1,0),1)+IF(ISNUMBER(Inputs!S148),IF(Inputs!S148&lt;0,1,0),1)+IF(ISNUMBER(Inputs!S149),IF(Inputs!S149&lt;0,1,0),1)+IF(ISNUMBER(Inputs!S150),IF(Inputs!S150&lt;0,1,0),1)+IF(ISNUMBER(Inputs!S156),IF(Inputs!S156&lt;0,1,0),1)+IF(ISNUMBER(Inputs!S158),IF(Inputs!S158&lt;0,1,0),1)</f>
        <v>0</v>
      </c>
      <c r="T27" s="94" t="n">
        <f aca="false">IF(ISNUMBER(Inputs!T5),IF(Inputs!T5&lt;0,1,0),1)+IF(ISNUMBER(Inputs!T9),IF(Inputs!T9&lt;-1,1,0),1)+IF(ISNUMBER(Inputs!T10),IF(Inputs!T10&lt;-1,1,0),1)+IF(ISNUMBER(Inputs!T25),IF(Inputs!T25&lt;0,1,0),1)+IF(ISNUMBER(Inputs!T13),IF(Inputs!T13&lt;-1,1,0),1)+IF(ISNUMBER(Inputs!T14),IF(Inputs!T14&lt;-1,1,0),1)+IF(ISNUMBER(Inputs!T26),IF(Inputs!T26&lt;0,1,0),1)+IF(ISNUMBER(Inputs!T17),IF(Inputs!T17&lt;-1,1,0),1)+IF(ISNUMBER(Inputs!T18),IF(Inputs!T18&lt;-1,1,0),1)+IF(ISNUMBER(Inputs!T27),IF(Inputs!T27&lt;0,1,0),1)+IF(ISNUMBER(Inputs!T21),IF(Inputs!T21&lt;-1,1,0),1)+IF(ISNUMBER(Inputs!T22),IF(Inputs!T22&lt;-1,1,0),1)+IF(ISNUMBER(Inputs!T23),IF(Inputs!T23&lt;-1,1,0),1)+IF(ISNUMBER(Inputs!T29),IF(Inputs!T29&lt;0,1,0),1)+IF(ISNUMBER(Inputs!T30),IF(Inputs!T30&lt;0,1,0),1)+IF(ISNUMBER(Inputs!T31),IF(OR(Inputs!T31&lt;0,Inputs!T31&gt;1),1,0),1)+IF(ISNUMBER(Inputs!T32),IF(Inputs!T32&lt;0,1,0),1)+IF(ISNUMBER(Inputs!T33),IF(Inputs!T33&lt;0,1,0),1)+IF(ISNUMBER(Inputs!T34),IF(Inputs!T34&lt;0,1,0),1)+IF(ISNUMBER(Inputs!T35),IF(OR(Inputs!T35&lt;0,Inputs!T35&gt;1),1,0),1)+IF(ISNUMBER(Inputs!T36),IF(OR(Inputs!T36&lt;0,Inputs!T36&gt;1),1,0),1)+IF(ISNUMBER(Inputs!T37),IF(OR(Inputs!T37&lt;0,Inputs!T37&gt;1),1,0),1)+IF(ISNUMBER(Inputs!T38),IF(Inputs!T38&lt;0,1,0),1)+IF(ISNUMBER(Inputs!T41),IF(Inputs!T41&lt;0,1,0),1)+IF(ISNUMBER(Inputs!T44),IF(Inputs!T44&lt;0,1,0),1)+IF(ISNUMBER(Inputs!T42),IF(Inputs!T42&lt;0,1,0),1)+IF(ISNUMBER(Inputs!T45),IF(Inputs!T45&lt;0,1,0),1)+IF(ISNUMBER(Inputs!T43),IF(Inputs!T43&lt;0,1,0),1)+IF(ISNUMBER(Inputs!T46),IF(Inputs!T46&lt;0,1,0),1)+IF(ISNUMBER(Inputs!T47),IF(Inputs!T47&lt;0,1,0),1)+IF(ISNUMBER(Inputs!T48),IF(Inputs!T48&lt;0,1,0),1)+IF(ISNUMBER(Inputs!T49),IF(OR(Inputs!T49&lt;0,Inputs!T49&gt;1),1,0),1)+IF(ISNUMBER(Inputs!T50),IF(OR(Inputs!T50&lt;0,Inputs!T50&gt;1),1,0),1)+IF(ISNUMBER(Inputs!T51),IF(Inputs!T51&lt;0,1,0),1)+IF(ISNUMBER(Inputs!T53),IF(Inputs!T53&lt;0,1,0),1)+IF(ISNUMBER(Inputs!T54),IF(OR(Inputs!T54&lt;0,Inputs!T54&gt;1),1,0),1)+IF(ISNUMBER(Inputs!T55),IF(Inputs!T55&lt;0,1,0),1)+IF(ISNUMBER(Inputs!T56),IF(Inputs!T56&lt;0,1,0),1)+IF(ISNUMBER(Inputs!T57),IF(FALSE(),1,0),1)+IF(ISNUMBER(Inputs!T58),IF(Inputs!T58&lt;0,1,0),1)+IF(ISNUMBER(Inputs!T59),IF(Inputs!T59&lt;0,1,0),1)+IF(ISNUMBER(Inputs!T60),IF(Inputs!T60&lt;0,1,0),1)+IF(ISNUMBER(Inputs!T61),IF(FALSE(),1,0),1)+IF(ISNUMBER(Inputs!T62),IF(FALSE(),1,0),1)+IF(ISNUMBER(Inputs!T63),IF(Inputs!T63&lt;0,1,0),1)+IF(ISNUMBER(Inputs!T64),IF(Inputs!T64&lt;0,1,0),1)+IF(ISNUMBER(Inputs!T65),IF(Inputs!T65&lt;0,1,0),1)+IF(ISNUMBER(Inputs!T70),IF(OR(Inputs!T70&lt;0,Inputs!T70&lt;&gt;INT(Inputs!T70)),1,0),1)+IF(ISNUMBER(Inputs!T71),IF(OR(Inputs!T71&lt;0,Inputs!T71&lt;&gt;INT(Inputs!T71)),1,0),1)+IF(ISNUMBER(Inputs!T72),IF(OR(Inputs!T72&lt;0,Inputs!T72&lt;&gt;INT(Inputs!T72)),1,0),1)+IF(ISNUMBER(Inputs!T73),IF(OR(Inputs!T73&lt;0,Inputs!T73&lt;&gt;INT(Inputs!T73)),1,0),1)+IF(ISNUMBER(Inputs!T74),IF(OR(Inputs!T74&lt;0,Inputs!T74&lt;&gt;INT(Inputs!T74)),1,0),1)+IF(ISNUMBER(Inputs!T75),IF(OR(Inputs!T75&lt;0,Inputs!T75&lt;&gt;INT(Inputs!T75)),1,0),1)+IF(ISNUMBER(Inputs!T76),IF(OR(Inputs!T76&lt;0,Inputs!T76&lt;&gt;INT(Inputs!T76)),1,0),1)+IF(ISNUMBER(Inputs!T77),IF(OR(Inputs!T77&lt;0,Inputs!T77&lt;&gt;INT(Inputs!T77)),1,0),1)+IF(ISNUMBER(Inputs!T80),IF(Inputs!T80&lt;0,1,0),1)+IF(ISNUMBER(Inputs!T81),IF(Inputs!T81&lt;0,1,0),1)+IF(ISNUMBER(Inputs!T82),IF(Inputs!T82&lt;0,1,0),1)+IF(ISNUMBER(Inputs!T83),IF(OR(Inputs!T83&lt;0,Inputs!T83&gt;1),1,0),1)+IF(ISNUMBER(Inputs!T90),IF(Inputs!T90&lt;=0,1,0),1)+IF(ISNUMBER(Inputs!T91),IF(Inputs!T91&lt;=0,1,0),1)+IF(ISNUMBER(Inputs!T92),IF(Inputs!T92&lt;=0,1,0),1)+IF(ISNUMBER(Inputs!T93),IF(Inputs!T93&lt;=0,1,0),1)+IF(ISNUMBER(Inputs!T94),IF(Inputs!T94&lt;=0,1,0),1)+IF(ISNUMBER(Inputs!T95),IF(Inputs!T95&lt;=0,1,0),1)+IF(ISNUMBER(Inputs!T96),IF(Inputs!T96&lt;=0,1,0),1)+IF(ISNUMBER(Inputs!T98),IF(OR(Inputs!T98&lt;0,Inputs!T98&gt;1),1,0),1)+IF(ISNUMBER(Inputs!T99),IF(Inputs!T99&lt;0,1,0),1)+IF(ISNUMBER(Inputs!T100),IF(Inputs!T100&lt;0,1,0),1)+IF(ISNUMBER(Inputs!T101),IF(Inputs!T101&lt;-1,1,0),1)+IF(ISNUMBER(Inputs!T102),IF(Inputs!T102&lt;-1,1,0),1)+IF(ISNUMBER(Inputs!T103),IF(Inputs!T103&lt;0,1,0),1)+IF(ISNUMBER(Inputs!T104),IF(Inputs!T104&lt;0,1,0),1)+IF(ISNUMBER(Inputs!T105),IF(Inputs!T105&lt;0,1,0),1)+IF(ISNUMBER(Inputs!T106),IF(Inputs!T106&lt;0,1,0),1)+IF(ISNUMBER(Inputs!T107),IF(Inputs!T107&lt;0,1,0),1)+IF(ISNUMBER(Inputs!T108),IF(Inputs!T108&lt;0,1,0),1)+IF(ISNUMBER(Inputs!T109),IF(Inputs!T109&lt;0,1,0),1)+IF(ISNUMBER(Inputs!T110),IF(Inputs!T110&lt;0,1,0),1)+IF(ISNUMBER(Inputs!T130),IF(Inputs!T130&lt;0,1,0),1)+IF(ISNUMBER(Inputs!T132),IF(Inputs!T132&lt;0,1,0),1)+IF(ISNUMBER(Inputs!T133),IF(Inputs!T133&lt;0,1,0),1)+IF(ISNUMBER(Inputs!T134),IF(Inputs!T134&lt;0,1,0),1)+IF(ISNUMBER(Inputs!T135),IF(Inputs!T135&lt;0,1,0),1)+IF(ISNUMBER(Inputs!T136),IF(Inputs!T136&lt;0,1,0),1)+IF(ISNUMBER(Inputs!T144),IF(Inputs!T144&lt;0,1,0),1)+IF(ISNUMBER(Inputs!T145),IF(Inputs!T145&lt;0,1,0),1)+IF(ISNUMBER(Inputs!T147),IF(Inputs!T147&lt;0,1,0),1)+IF(ISNUMBER(Inputs!T148),IF(Inputs!T148&lt;0,1,0),1)+IF(ISNUMBER(Inputs!T149),IF(Inputs!T149&lt;0,1,0),1)+IF(ISNUMBER(Inputs!T150),IF(Inputs!T150&lt;0,1,0),1)+IF(ISNUMBER(Inputs!T156),IF(Inputs!T156&lt;0,1,0),1)+IF(ISNUMBER(Inputs!T158),IF(Inputs!T158&lt;0,1,0),1)</f>
        <v>0</v>
      </c>
      <c r="U27" s="94" t="n">
        <f aca="false">IF(ISNUMBER(Inputs!U5),IF(Inputs!U5&lt;0,1,0),1)+IF(ISNUMBER(Inputs!U9),IF(Inputs!U9&lt;-1,1,0),1)+IF(ISNUMBER(Inputs!U10),IF(Inputs!U10&lt;-1,1,0),1)+IF(ISNUMBER(Inputs!U25),IF(Inputs!U25&lt;0,1,0),1)+IF(ISNUMBER(Inputs!U13),IF(Inputs!U13&lt;-1,1,0),1)+IF(ISNUMBER(Inputs!U14),IF(Inputs!U14&lt;-1,1,0),1)+IF(ISNUMBER(Inputs!U26),IF(Inputs!U26&lt;0,1,0),1)+IF(ISNUMBER(Inputs!U17),IF(Inputs!U17&lt;-1,1,0),1)+IF(ISNUMBER(Inputs!U18),IF(Inputs!U18&lt;-1,1,0),1)+IF(ISNUMBER(Inputs!U27),IF(Inputs!U27&lt;0,1,0),1)+IF(ISNUMBER(Inputs!U21),IF(Inputs!U21&lt;-1,1,0),1)+IF(ISNUMBER(Inputs!U22),IF(Inputs!U22&lt;-1,1,0),1)+IF(ISNUMBER(Inputs!U23),IF(Inputs!U23&lt;-1,1,0),1)+IF(ISNUMBER(Inputs!U29),IF(Inputs!U29&lt;0,1,0),1)+IF(ISNUMBER(Inputs!U30),IF(Inputs!U30&lt;0,1,0),1)+IF(ISNUMBER(Inputs!U31),IF(OR(Inputs!U31&lt;0,Inputs!U31&gt;1),1,0),1)+IF(ISNUMBER(Inputs!U32),IF(Inputs!U32&lt;0,1,0),1)+IF(ISNUMBER(Inputs!U33),IF(Inputs!U33&lt;0,1,0),1)+IF(ISNUMBER(Inputs!U34),IF(Inputs!U34&lt;0,1,0),1)+IF(ISNUMBER(Inputs!U35),IF(OR(Inputs!U35&lt;0,Inputs!U35&gt;1),1,0),1)+IF(ISNUMBER(Inputs!U36),IF(OR(Inputs!U36&lt;0,Inputs!U36&gt;1),1,0),1)+IF(ISNUMBER(Inputs!U37),IF(OR(Inputs!U37&lt;0,Inputs!U37&gt;1),1,0),1)+IF(ISNUMBER(Inputs!U38),IF(Inputs!U38&lt;0,1,0),1)+IF(ISNUMBER(Inputs!U41),IF(Inputs!U41&lt;0,1,0),1)+IF(ISNUMBER(Inputs!U44),IF(Inputs!U44&lt;0,1,0),1)+IF(ISNUMBER(Inputs!U42),IF(Inputs!U42&lt;0,1,0),1)+IF(ISNUMBER(Inputs!U45),IF(Inputs!U45&lt;0,1,0),1)+IF(ISNUMBER(Inputs!U43),IF(Inputs!U43&lt;0,1,0),1)+IF(ISNUMBER(Inputs!U46),IF(Inputs!U46&lt;0,1,0),1)+IF(ISNUMBER(Inputs!U47),IF(Inputs!U47&lt;0,1,0),1)+IF(ISNUMBER(Inputs!U48),IF(Inputs!U48&lt;0,1,0),1)+IF(ISNUMBER(Inputs!U49),IF(OR(Inputs!U49&lt;0,Inputs!U49&gt;1),1,0),1)+IF(ISNUMBER(Inputs!U50),IF(OR(Inputs!U50&lt;0,Inputs!U50&gt;1),1,0),1)+IF(ISNUMBER(Inputs!U51),IF(Inputs!U51&lt;0,1,0),1)+IF(ISNUMBER(Inputs!U53),IF(Inputs!U53&lt;0,1,0),1)+IF(ISNUMBER(Inputs!U54),IF(OR(Inputs!U54&lt;0,Inputs!U54&gt;1),1,0),1)+IF(ISNUMBER(Inputs!U55),IF(Inputs!U55&lt;0,1,0),1)+IF(ISNUMBER(Inputs!U56),IF(Inputs!U56&lt;0,1,0),1)+IF(ISNUMBER(Inputs!U57),IF(FALSE(),1,0),1)+IF(ISNUMBER(Inputs!U58),IF(Inputs!U58&lt;0,1,0),1)+IF(ISNUMBER(Inputs!U59),IF(Inputs!U59&lt;0,1,0),1)+IF(ISNUMBER(Inputs!U60),IF(Inputs!U60&lt;0,1,0),1)+IF(ISNUMBER(Inputs!U61),IF(FALSE(),1,0),1)+IF(ISNUMBER(Inputs!U62),IF(FALSE(),1,0),1)+IF(ISNUMBER(Inputs!U63),IF(Inputs!U63&lt;0,1,0),1)+IF(ISNUMBER(Inputs!U64),IF(Inputs!U64&lt;0,1,0),1)+IF(ISNUMBER(Inputs!U65),IF(Inputs!U65&lt;0,1,0),1)+IF(ISNUMBER(Inputs!U70),IF(OR(Inputs!U70&lt;0,Inputs!U70&lt;&gt;INT(Inputs!U70)),1,0),1)+IF(ISNUMBER(Inputs!U71),IF(OR(Inputs!U71&lt;0,Inputs!U71&lt;&gt;INT(Inputs!U71)),1,0),1)+IF(ISNUMBER(Inputs!U72),IF(OR(Inputs!U72&lt;0,Inputs!U72&lt;&gt;INT(Inputs!U72)),1,0),1)+IF(ISNUMBER(Inputs!U73),IF(OR(Inputs!U73&lt;0,Inputs!U73&lt;&gt;INT(Inputs!U73)),1,0),1)+IF(ISNUMBER(Inputs!U74),IF(OR(Inputs!U74&lt;0,Inputs!U74&lt;&gt;INT(Inputs!U74)),1,0),1)+IF(ISNUMBER(Inputs!U75),IF(OR(Inputs!U75&lt;0,Inputs!U75&lt;&gt;INT(Inputs!U75)),1,0),1)+IF(ISNUMBER(Inputs!U76),IF(OR(Inputs!U76&lt;0,Inputs!U76&lt;&gt;INT(Inputs!U76)),1,0),1)+IF(ISNUMBER(Inputs!U77),IF(OR(Inputs!U77&lt;0,Inputs!U77&lt;&gt;INT(Inputs!U77)),1,0),1)+IF(ISNUMBER(Inputs!U80),IF(Inputs!U80&lt;0,1,0),1)+IF(ISNUMBER(Inputs!U81),IF(Inputs!U81&lt;0,1,0),1)+IF(ISNUMBER(Inputs!U82),IF(Inputs!U82&lt;0,1,0),1)+IF(ISNUMBER(Inputs!U83),IF(OR(Inputs!U83&lt;0,Inputs!U83&gt;1),1,0),1)+IF(ISNUMBER(Inputs!U90),IF(Inputs!U90&lt;=0,1,0),1)+IF(ISNUMBER(Inputs!U91),IF(Inputs!U91&lt;=0,1,0),1)+IF(ISNUMBER(Inputs!U92),IF(Inputs!U92&lt;=0,1,0),1)+IF(ISNUMBER(Inputs!U93),IF(Inputs!U93&lt;=0,1,0),1)+IF(ISNUMBER(Inputs!U94),IF(Inputs!U94&lt;=0,1,0),1)+IF(ISNUMBER(Inputs!U95),IF(Inputs!U95&lt;=0,1,0),1)+IF(ISNUMBER(Inputs!U96),IF(Inputs!U96&lt;=0,1,0),1)+IF(ISNUMBER(Inputs!U98),IF(OR(Inputs!U98&lt;0,Inputs!U98&gt;1),1,0),1)+IF(ISNUMBER(Inputs!U99),IF(Inputs!U99&lt;0,1,0),1)+IF(ISNUMBER(Inputs!U100),IF(Inputs!U100&lt;0,1,0),1)+IF(ISNUMBER(Inputs!U101),IF(Inputs!U101&lt;-1,1,0),1)+IF(ISNUMBER(Inputs!U102),IF(Inputs!U102&lt;-1,1,0),1)+IF(ISNUMBER(Inputs!U103),IF(Inputs!U103&lt;0,1,0),1)+IF(ISNUMBER(Inputs!U104),IF(Inputs!U104&lt;0,1,0),1)+IF(ISNUMBER(Inputs!U105),IF(Inputs!U105&lt;0,1,0),1)+IF(ISNUMBER(Inputs!U106),IF(Inputs!U106&lt;0,1,0),1)+IF(ISNUMBER(Inputs!U107),IF(Inputs!U107&lt;0,1,0),1)+IF(ISNUMBER(Inputs!U108),IF(Inputs!U108&lt;0,1,0),1)+IF(ISNUMBER(Inputs!U109),IF(Inputs!U109&lt;0,1,0),1)+IF(ISNUMBER(Inputs!U110),IF(Inputs!U110&lt;0,1,0),1)+IF(ISNUMBER(Inputs!U130),IF(Inputs!U130&lt;0,1,0),1)+IF(ISNUMBER(Inputs!U132),IF(Inputs!U132&lt;0,1,0),1)+IF(ISNUMBER(Inputs!U133),IF(Inputs!U133&lt;0,1,0),1)+IF(ISNUMBER(Inputs!U134),IF(Inputs!U134&lt;0,1,0),1)+IF(ISNUMBER(Inputs!U135),IF(Inputs!U135&lt;0,1,0),1)+IF(ISNUMBER(Inputs!U136),IF(Inputs!U136&lt;0,1,0),1)+IF(ISNUMBER(Inputs!U144),IF(Inputs!U144&lt;0,1,0),1)+IF(ISNUMBER(Inputs!U145),IF(Inputs!U145&lt;0,1,0),1)+IF(ISNUMBER(Inputs!U147),IF(Inputs!U147&lt;0,1,0),1)+IF(ISNUMBER(Inputs!U148),IF(Inputs!U148&lt;0,1,0),1)+IF(ISNUMBER(Inputs!U149),IF(Inputs!U149&lt;0,1,0),1)+IF(ISNUMBER(Inputs!U150),IF(Inputs!U150&lt;0,1,0),1)+IF(ISNUMBER(Inputs!U156),IF(Inputs!U156&lt;0,1,0),1)+IF(ISNUMBER(Inputs!U158),IF(Inputs!U158&lt;0,1,0),1)</f>
        <v>0</v>
      </c>
      <c r="V27" s="94" t="n">
        <f aca="false">IF(ISNUMBER(Inputs!V5),IF(Inputs!V5&lt;0,1,0),1)+IF(ISNUMBER(Inputs!V9),IF(Inputs!V9&lt;-1,1,0),1)+IF(ISNUMBER(Inputs!V10),IF(Inputs!V10&lt;-1,1,0),1)+IF(ISNUMBER(Inputs!V25),IF(Inputs!V25&lt;0,1,0),1)+IF(ISNUMBER(Inputs!V13),IF(Inputs!V13&lt;-1,1,0),1)+IF(ISNUMBER(Inputs!V14),IF(Inputs!V14&lt;-1,1,0),1)+IF(ISNUMBER(Inputs!V26),IF(Inputs!V26&lt;0,1,0),1)+IF(ISNUMBER(Inputs!V17),IF(Inputs!V17&lt;-1,1,0),1)+IF(ISNUMBER(Inputs!V18),IF(Inputs!V18&lt;-1,1,0),1)+IF(ISNUMBER(Inputs!V27),IF(Inputs!V27&lt;0,1,0),1)+IF(ISNUMBER(Inputs!V21),IF(Inputs!V21&lt;-1,1,0),1)+IF(ISNUMBER(Inputs!V22),IF(Inputs!V22&lt;-1,1,0),1)+IF(ISNUMBER(Inputs!V23),IF(Inputs!V23&lt;-1,1,0),1)+IF(ISNUMBER(Inputs!V29),IF(Inputs!V29&lt;0,1,0),1)+IF(ISNUMBER(Inputs!V30),IF(Inputs!V30&lt;0,1,0),1)+IF(ISNUMBER(Inputs!V31),IF(OR(Inputs!V31&lt;0,Inputs!V31&gt;1),1,0),1)+IF(ISNUMBER(Inputs!V32),IF(Inputs!V32&lt;0,1,0),1)+IF(ISNUMBER(Inputs!V33),IF(Inputs!V33&lt;0,1,0),1)+IF(ISNUMBER(Inputs!V34),IF(Inputs!V34&lt;0,1,0),1)+IF(ISNUMBER(Inputs!V35),IF(OR(Inputs!V35&lt;0,Inputs!V35&gt;1),1,0),1)+IF(ISNUMBER(Inputs!V36),IF(OR(Inputs!V36&lt;0,Inputs!V36&gt;1),1,0),1)+IF(ISNUMBER(Inputs!V37),IF(OR(Inputs!V37&lt;0,Inputs!V37&gt;1),1,0),1)+IF(ISNUMBER(Inputs!V38),IF(Inputs!V38&lt;0,1,0),1)+IF(ISNUMBER(Inputs!V41),IF(Inputs!V41&lt;0,1,0),1)+IF(ISNUMBER(Inputs!V44),IF(Inputs!V44&lt;0,1,0),1)+IF(ISNUMBER(Inputs!V42),IF(Inputs!V42&lt;0,1,0),1)+IF(ISNUMBER(Inputs!V45),IF(Inputs!V45&lt;0,1,0),1)+IF(ISNUMBER(Inputs!V43),IF(Inputs!V43&lt;0,1,0),1)+IF(ISNUMBER(Inputs!V46),IF(Inputs!V46&lt;0,1,0),1)+IF(ISNUMBER(Inputs!V47),IF(Inputs!V47&lt;0,1,0),1)+IF(ISNUMBER(Inputs!V48),IF(Inputs!V48&lt;0,1,0),1)+IF(ISNUMBER(Inputs!V49),IF(OR(Inputs!V49&lt;0,Inputs!V49&gt;1),1,0),1)+IF(ISNUMBER(Inputs!V50),IF(OR(Inputs!V50&lt;0,Inputs!V50&gt;1),1,0),1)+IF(ISNUMBER(Inputs!V51),IF(Inputs!V51&lt;0,1,0),1)+IF(ISNUMBER(Inputs!V53),IF(Inputs!V53&lt;0,1,0),1)+IF(ISNUMBER(Inputs!V54),IF(OR(Inputs!V54&lt;0,Inputs!V54&gt;1),1,0),1)+IF(ISNUMBER(Inputs!V55),IF(Inputs!V55&lt;0,1,0),1)+IF(ISNUMBER(Inputs!V56),IF(Inputs!V56&lt;0,1,0),1)+IF(ISNUMBER(Inputs!V57),IF(FALSE(),1,0),1)+IF(ISNUMBER(Inputs!V58),IF(Inputs!V58&lt;0,1,0),1)+IF(ISNUMBER(Inputs!V59),IF(Inputs!V59&lt;0,1,0),1)+IF(ISNUMBER(Inputs!V60),IF(Inputs!V60&lt;0,1,0),1)+IF(ISNUMBER(Inputs!V61),IF(FALSE(),1,0),1)+IF(ISNUMBER(Inputs!V62),IF(FALSE(),1,0),1)+IF(ISNUMBER(Inputs!V63),IF(Inputs!V63&lt;0,1,0),1)+IF(ISNUMBER(Inputs!V64),IF(Inputs!V64&lt;0,1,0),1)+IF(ISNUMBER(Inputs!V65),IF(Inputs!V65&lt;0,1,0),1)+IF(ISNUMBER(Inputs!V70),IF(OR(Inputs!V70&lt;0,Inputs!V70&lt;&gt;INT(Inputs!V70)),1,0),1)+IF(ISNUMBER(Inputs!V71),IF(OR(Inputs!V71&lt;0,Inputs!V71&lt;&gt;INT(Inputs!V71)),1,0),1)+IF(ISNUMBER(Inputs!V72),IF(OR(Inputs!V72&lt;0,Inputs!V72&lt;&gt;INT(Inputs!V72)),1,0),1)+IF(ISNUMBER(Inputs!V73),IF(OR(Inputs!V73&lt;0,Inputs!V73&lt;&gt;INT(Inputs!V73)),1,0),1)+IF(ISNUMBER(Inputs!V74),IF(OR(Inputs!V74&lt;0,Inputs!V74&lt;&gt;INT(Inputs!V74)),1,0),1)+IF(ISNUMBER(Inputs!V75),IF(OR(Inputs!V75&lt;0,Inputs!V75&lt;&gt;INT(Inputs!V75)),1,0),1)+IF(ISNUMBER(Inputs!V76),IF(OR(Inputs!V76&lt;0,Inputs!V76&lt;&gt;INT(Inputs!V76)),1,0),1)+IF(ISNUMBER(Inputs!V77),IF(OR(Inputs!V77&lt;0,Inputs!V77&lt;&gt;INT(Inputs!V77)),1,0),1)+IF(ISNUMBER(Inputs!V80),IF(Inputs!V80&lt;0,1,0),1)+IF(ISNUMBER(Inputs!V81),IF(Inputs!V81&lt;0,1,0),1)+IF(ISNUMBER(Inputs!V82),IF(Inputs!V82&lt;0,1,0),1)+IF(ISNUMBER(Inputs!V83),IF(OR(Inputs!V83&lt;0,Inputs!V83&gt;1),1,0),1)+IF(ISNUMBER(Inputs!V90),IF(Inputs!V90&lt;=0,1,0),1)+IF(ISNUMBER(Inputs!V91),IF(Inputs!V91&lt;=0,1,0),1)+IF(ISNUMBER(Inputs!V92),IF(Inputs!V92&lt;=0,1,0),1)+IF(ISNUMBER(Inputs!V93),IF(Inputs!V93&lt;=0,1,0),1)+IF(ISNUMBER(Inputs!V94),IF(Inputs!V94&lt;=0,1,0),1)+IF(ISNUMBER(Inputs!V95),IF(Inputs!V95&lt;=0,1,0),1)+IF(ISNUMBER(Inputs!V96),IF(Inputs!V96&lt;=0,1,0),1)+IF(ISNUMBER(Inputs!V98),IF(OR(Inputs!V98&lt;0,Inputs!V98&gt;1),1,0),1)+IF(ISNUMBER(Inputs!V99),IF(Inputs!V99&lt;0,1,0),1)+IF(ISNUMBER(Inputs!V100),IF(Inputs!V100&lt;0,1,0),1)+IF(ISNUMBER(Inputs!V101),IF(Inputs!V101&lt;-1,1,0),1)+IF(ISNUMBER(Inputs!V102),IF(Inputs!V102&lt;-1,1,0),1)+IF(ISNUMBER(Inputs!V103),IF(Inputs!V103&lt;0,1,0),1)+IF(ISNUMBER(Inputs!V104),IF(Inputs!V104&lt;0,1,0),1)+IF(ISNUMBER(Inputs!V105),IF(Inputs!V105&lt;0,1,0),1)+IF(ISNUMBER(Inputs!V106),IF(Inputs!V106&lt;0,1,0),1)+IF(ISNUMBER(Inputs!V107),IF(Inputs!V107&lt;0,1,0),1)+IF(ISNUMBER(Inputs!V108),IF(Inputs!V108&lt;0,1,0),1)+IF(ISNUMBER(Inputs!V109),IF(Inputs!V109&lt;0,1,0),1)+IF(ISNUMBER(Inputs!V110),IF(Inputs!V110&lt;0,1,0),1)+IF(ISNUMBER(Inputs!V130),IF(Inputs!V130&lt;0,1,0),1)+IF(ISNUMBER(Inputs!V132),IF(Inputs!V132&lt;0,1,0),1)+IF(ISNUMBER(Inputs!V133),IF(Inputs!V133&lt;0,1,0),1)+IF(ISNUMBER(Inputs!V134),IF(Inputs!V134&lt;0,1,0),1)+IF(ISNUMBER(Inputs!V135),IF(Inputs!V135&lt;0,1,0),1)+IF(ISNUMBER(Inputs!V136),IF(Inputs!V136&lt;0,1,0),1)+IF(ISNUMBER(Inputs!V144),IF(Inputs!V144&lt;0,1,0),1)+IF(ISNUMBER(Inputs!V145),IF(Inputs!V145&lt;0,1,0),1)+IF(ISNUMBER(Inputs!V147),IF(Inputs!V147&lt;0,1,0),1)+IF(ISNUMBER(Inputs!V148),IF(Inputs!V148&lt;0,1,0),1)+IF(ISNUMBER(Inputs!V149),IF(Inputs!V149&lt;0,1,0),1)+IF(ISNUMBER(Inputs!V150),IF(Inputs!V150&lt;0,1,0),1)+IF(ISNUMBER(Inputs!V156),IF(Inputs!V156&lt;0,1,0),1)+IF(ISNUMBER(Inputs!V158),IF(Inputs!V158&lt;0,1,0),1)</f>
        <v>0</v>
      </c>
      <c r="W27" s="94" t="n">
        <f aca="false">IF(ISNUMBER(Inputs!W5),IF(Inputs!W5&lt;0,1,0),1)+IF(ISNUMBER(Inputs!W9),IF(Inputs!W9&lt;-1,1,0),1)+IF(ISNUMBER(Inputs!W10),IF(Inputs!W10&lt;-1,1,0),1)+IF(ISNUMBER(Inputs!W25),IF(Inputs!W25&lt;0,1,0),1)+IF(ISNUMBER(Inputs!W13),IF(Inputs!W13&lt;-1,1,0),1)+IF(ISNUMBER(Inputs!W14),IF(Inputs!W14&lt;-1,1,0),1)+IF(ISNUMBER(Inputs!W26),IF(Inputs!W26&lt;0,1,0),1)+IF(ISNUMBER(Inputs!W17),IF(Inputs!W17&lt;-1,1,0),1)+IF(ISNUMBER(Inputs!W18),IF(Inputs!W18&lt;-1,1,0),1)+IF(ISNUMBER(Inputs!W27),IF(Inputs!W27&lt;0,1,0),1)+IF(ISNUMBER(Inputs!W21),IF(Inputs!W21&lt;-1,1,0),1)+IF(ISNUMBER(Inputs!W22),IF(Inputs!W22&lt;-1,1,0),1)+IF(ISNUMBER(Inputs!W23),IF(Inputs!W23&lt;-1,1,0),1)+IF(ISNUMBER(Inputs!W29),IF(Inputs!W29&lt;0,1,0),1)+IF(ISNUMBER(Inputs!W30),IF(Inputs!W30&lt;0,1,0),1)+IF(ISNUMBER(Inputs!W31),IF(OR(Inputs!W31&lt;0,Inputs!W31&gt;1),1,0),1)+IF(ISNUMBER(Inputs!W32),IF(Inputs!W32&lt;0,1,0),1)+IF(ISNUMBER(Inputs!W33),IF(Inputs!W33&lt;0,1,0),1)+IF(ISNUMBER(Inputs!W34),IF(Inputs!W34&lt;0,1,0),1)+IF(ISNUMBER(Inputs!W35),IF(OR(Inputs!W35&lt;0,Inputs!W35&gt;1),1,0),1)+IF(ISNUMBER(Inputs!W36),IF(OR(Inputs!W36&lt;0,Inputs!W36&gt;1),1,0),1)+IF(ISNUMBER(Inputs!W37),IF(OR(Inputs!W37&lt;0,Inputs!W37&gt;1),1,0),1)+IF(ISNUMBER(Inputs!W38),IF(Inputs!W38&lt;0,1,0),1)+IF(ISNUMBER(Inputs!W41),IF(Inputs!W41&lt;0,1,0),1)+IF(ISNUMBER(Inputs!W44),IF(Inputs!W44&lt;0,1,0),1)+IF(ISNUMBER(Inputs!W42),IF(Inputs!W42&lt;0,1,0),1)+IF(ISNUMBER(Inputs!W45),IF(Inputs!W45&lt;0,1,0),1)+IF(ISNUMBER(Inputs!W43),IF(Inputs!W43&lt;0,1,0),1)+IF(ISNUMBER(Inputs!W46),IF(Inputs!W46&lt;0,1,0),1)+IF(ISNUMBER(Inputs!W47),IF(Inputs!W47&lt;0,1,0),1)+IF(ISNUMBER(Inputs!W48),IF(Inputs!W48&lt;0,1,0),1)+IF(ISNUMBER(Inputs!W49),IF(OR(Inputs!W49&lt;0,Inputs!W49&gt;1),1,0),1)+IF(ISNUMBER(Inputs!W50),IF(OR(Inputs!W50&lt;0,Inputs!W50&gt;1),1,0),1)+IF(ISNUMBER(Inputs!W51),IF(Inputs!W51&lt;0,1,0),1)+IF(ISNUMBER(Inputs!W53),IF(Inputs!W53&lt;0,1,0),1)+IF(ISNUMBER(Inputs!W54),IF(OR(Inputs!W54&lt;0,Inputs!W54&gt;1),1,0),1)+IF(ISNUMBER(Inputs!W55),IF(Inputs!W55&lt;0,1,0),1)+IF(ISNUMBER(Inputs!W56),IF(Inputs!W56&lt;0,1,0),1)+IF(ISNUMBER(Inputs!W57),IF(FALSE(),1,0),1)+IF(ISNUMBER(Inputs!W58),IF(Inputs!W58&lt;0,1,0),1)+IF(ISNUMBER(Inputs!W59),IF(Inputs!W59&lt;0,1,0),1)+IF(ISNUMBER(Inputs!W60),IF(Inputs!W60&lt;0,1,0),1)+IF(ISNUMBER(Inputs!W61),IF(FALSE(),1,0),1)+IF(ISNUMBER(Inputs!W62),IF(FALSE(),1,0),1)+IF(ISNUMBER(Inputs!W63),IF(Inputs!W63&lt;0,1,0),1)+IF(ISNUMBER(Inputs!W64),IF(Inputs!W64&lt;0,1,0),1)+IF(ISNUMBER(Inputs!W65),IF(Inputs!W65&lt;0,1,0),1)+IF(ISNUMBER(Inputs!W70),IF(OR(Inputs!W70&lt;0,Inputs!W70&lt;&gt;INT(Inputs!W70)),1,0),1)+IF(ISNUMBER(Inputs!W71),IF(OR(Inputs!W71&lt;0,Inputs!W71&lt;&gt;INT(Inputs!W71)),1,0),1)+IF(ISNUMBER(Inputs!W72),IF(OR(Inputs!W72&lt;0,Inputs!W72&lt;&gt;INT(Inputs!W72)),1,0),1)+IF(ISNUMBER(Inputs!W73),IF(OR(Inputs!W73&lt;0,Inputs!W73&lt;&gt;INT(Inputs!W73)),1,0),1)+IF(ISNUMBER(Inputs!W74),IF(OR(Inputs!W74&lt;0,Inputs!W74&lt;&gt;INT(Inputs!W74)),1,0),1)+IF(ISNUMBER(Inputs!W75),IF(OR(Inputs!W75&lt;0,Inputs!W75&lt;&gt;INT(Inputs!W75)),1,0),1)+IF(ISNUMBER(Inputs!W76),IF(OR(Inputs!W76&lt;0,Inputs!W76&lt;&gt;INT(Inputs!W76)),1,0),1)+IF(ISNUMBER(Inputs!W77),IF(OR(Inputs!W77&lt;0,Inputs!W77&lt;&gt;INT(Inputs!W77)),1,0),1)+IF(ISNUMBER(Inputs!W80),IF(Inputs!W80&lt;0,1,0),1)+IF(ISNUMBER(Inputs!W81),IF(Inputs!W81&lt;0,1,0),1)+IF(ISNUMBER(Inputs!W82),IF(Inputs!W82&lt;0,1,0),1)+IF(ISNUMBER(Inputs!W83),IF(OR(Inputs!W83&lt;0,Inputs!W83&gt;1),1,0),1)+IF(ISNUMBER(Inputs!W90),IF(Inputs!W90&lt;=0,1,0),1)+IF(ISNUMBER(Inputs!W91),IF(Inputs!W91&lt;=0,1,0),1)+IF(ISNUMBER(Inputs!W92),IF(Inputs!W92&lt;=0,1,0),1)+IF(ISNUMBER(Inputs!W93),IF(Inputs!W93&lt;=0,1,0),1)+IF(ISNUMBER(Inputs!W94),IF(Inputs!W94&lt;=0,1,0),1)+IF(ISNUMBER(Inputs!W95),IF(Inputs!W95&lt;=0,1,0),1)+IF(ISNUMBER(Inputs!W96),IF(Inputs!W96&lt;=0,1,0),1)+IF(ISNUMBER(Inputs!W98),IF(OR(Inputs!W98&lt;0,Inputs!W98&gt;1),1,0),1)+IF(ISNUMBER(Inputs!W99),IF(Inputs!W99&lt;0,1,0),1)+IF(ISNUMBER(Inputs!W100),IF(Inputs!W100&lt;0,1,0),1)+IF(ISNUMBER(Inputs!W101),IF(Inputs!W101&lt;-1,1,0),1)+IF(ISNUMBER(Inputs!W102),IF(Inputs!W102&lt;-1,1,0),1)+IF(ISNUMBER(Inputs!W103),IF(Inputs!W103&lt;0,1,0),1)+IF(ISNUMBER(Inputs!W104),IF(Inputs!W104&lt;0,1,0),1)+IF(ISNUMBER(Inputs!W105),IF(Inputs!W105&lt;0,1,0),1)+IF(ISNUMBER(Inputs!W106),IF(Inputs!W106&lt;0,1,0),1)+IF(ISNUMBER(Inputs!W107),IF(Inputs!W107&lt;0,1,0),1)+IF(ISNUMBER(Inputs!W108),IF(Inputs!W108&lt;0,1,0),1)+IF(ISNUMBER(Inputs!W109),IF(Inputs!W109&lt;0,1,0),1)+IF(ISNUMBER(Inputs!W110),IF(Inputs!W110&lt;0,1,0),1)+IF(ISNUMBER(Inputs!W130),IF(Inputs!W130&lt;0,1,0),1)+IF(ISNUMBER(Inputs!W132),IF(Inputs!W132&lt;0,1,0),1)+IF(ISNUMBER(Inputs!W133),IF(Inputs!W133&lt;0,1,0),1)+IF(ISNUMBER(Inputs!W134),IF(Inputs!W134&lt;0,1,0),1)+IF(ISNUMBER(Inputs!W135),IF(Inputs!W135&lt;0,1,0),1)+IF(ISNUMBER(Inputs!W136),IF(Inputs!W136&lt;0,1,0),1)+IF(ISNUMBER(Inputs!W144),IF(Inputs!W144&lt;0,1,0),1)+IF(ISNUMBER(Inputs!W145),IF(Inputs!W145&lt;0,1,0),1)+IF(ISNUMBER(Inputs!W147),IF(Inputs!W147&lt;0,1,0),1)+IF(ISNUMBER(Inputs!W148),IF(Inputs!W148&lt;0,1,0),1)+IF(ISNUMBER(Inputs!W149),IF(Inputs!W149&lt;0,1,0),1)+IF(ISNUMBER(Inputs!W150),IF(Inputs!W150&lt;0,1,0),1)+IF(ISNUMBER(Inputs!W156),IF(Inputs!W156&lt;0,1,0),1)+IF(ISNUMBER(Inputs!W158),IF(Inputs!W158&lt;0,1,0),1)</f>
        <v>0</v>
      </c>
      <c r="X27" s="94" t="n">
        <f aca="false">IF(ISNUMBER(Inputs!X5),IF(Inputs!X5&lt;0,1,0),1)+IF(ISNUMBER(Inputs!X9),IF(Inputs!X9&lt;-1,1,0),1)+IF(ISNUMBER(Inputs!X10),IF(Inputs!X10&lt;-1,1,0),1)+IF(ISNUMBER(Inputs!X25),IF(Inputs!X25&lt;0,1,0),1)+IF(ISNUMBER(Inputs!X13),IF(Inputs!X13&lt;-1,1,0),1)+IF(ISNUMBER(Inputs!X14),IF(Inputs!X14&lt;-1,1,0),1)+IF(ISNUMBER(Inputs!X26),IF(Inputs!X26&lt;0,1,0),1)+IF(ISNUMBER(Inputs!X17),IF(Inputs!X17&lt;-1,1,0),1)+IF(ISNUMBER(Inputs!X18),IF(Inputs!X18&lt;-1,1,0),1)+IF(ISNUMBER(Inputs!X27),IF(Inputs!X27&lt;0,1,0),1)+IF(ISNUMBER(Inputs!X21),IF(Inputs!X21&lt;-1,1,0),1)+IF(ISNUMBER(Inputs!X22),IF(Inputs!X22&lt;-1,1,0),1)+IF(ISNUMBER(Inputs!X23),IF(Inputs!X23&lt;-1,1,0),1)+IF(ISNUMBER(Inputs!X29),IF(Inputs!X29&lt;0,1,0),1)+IF(ISNUMBER(Inputs!X30),IF(Inputs!X30&lt;0,1,0),1)+IF(ISNUMBER(Inputs!X31),IF(OR(Inputs!X31&lt;0,Inputs!X31&gt;1),1,0),1)+IF(ISNUMBER(Inputs!X32),IF(Inputs!X32&lt;0,1,0),1)+IF(ISNUMBER(Inputs!X33),IF(Inputs!X33&lt;0,1,0),1)+IF(ISNUMBER(Inputs!X34),IF(Inputs!X34&lt;0,1,0),1)+IF(ISNUMBER(Inputs!X35),IF(OR(Inputs!X35&lt;0,Inputs!X35&gt;1),1,0),1)+IF(ISNUMBER(Inputs!X36),IF(OR(Inputs!X36&lt;0,Inputs!X36&gt;1),1,0),1)+IF(ISNUMBER(Inputs!X37),IF(OR(Inputs!X37&lt;0,Inputs!X37&gt;1),1,0),1)+IF(ISNUMBER(Inputs!X38),IF(Inputs!X38&lt;0,1,0),1)+IF(ISNUMBER(Inputs!X41),IF(Inputs!X41&lt;0,1,0),1)+IF(ISNUMBER(Inputs!X44),IF(Inputs!X44&lt;0,1,0),1)+IF(ISNUMBER(Inputs!X42),IF(Inputs!X42&lt;0,1,0),1)+IF(ISNUMBER(Inputs!X45),IF(Inputs!X45&lt;0,1,0),1)+IF(ISNUMBER(Inputs!X43),IF(Inputs!X43&lt;0,1,0),1)+IF(ISNUMBER(Inputs!X46),IF(Inputs!X46&lt;0,1,0),1)+IF(ISNUMBER(Inputs!X47),IF(Inputs!X47&lt;0,1,0),1)+IF(ISNUMBER(Inputs!X48),IF(Inputs!X48&lt;0,1,0),1)+IF(ISNUMBER(Inputs!X49),IF(OR(Inputs!X49&lt;0,Inputs!X49&gt;1),1,0),1)+IF(ISNUMBER(Inputs!X50),IF(OR(Inputs!X50&lt;0,Inputs!X50&gt;1),1,0),1)+IF(ISNUMBER(Inputs!X51),IF(Inputs!X51&lt;0,1,0),1)+IF(ISNUMBER(Inputs!X53),IF(Inputs!X53&lt;0,1,0),1)+IF(ISNUMBER(Inputs!X54),IF(OR(Inputs!X54&lt;0,Inputs!X54&gt;1),1,0),1)+IF(ISNUMBER(Inputs!X55),IF(Inputs!X55&lt;0,1,0),1)+IF(ISNUMBER(Inputs!X56),IF(Inputs!X56&lt;0,1,0),1)+IF(ISNUMBER(Inputs!X57),IF(FALSE(),1,0),1)+IF(ISNUMBER(Inputs!X58),IF(Inputs!X58&lt;0,1,0),1)+IF(ISNUMBER(Inputs!X59),IF(Inputs!X59&lt;0,1,0),1)+IF(ISNUMBER(Inputs!X60),IF(Inputs!X60&lt;0,1,0),1)+IF(ISNUMBER(Inputs!X61),IF(FALSE(),1,0),1)+IF(ISNUMBER(Inputs!X62),IF(FALSE(),1,0),1)+IF(ISNUMBER(Inputs!X63),IF(Inputs!X63&lt;0,1,0),1)+IF(ISNUMBER(Inputs!X64),IF(Inputs!X64&lt;0,1,0),1)+IF(ISNUMBER(Inputs!X65),IF(Inputs!X65&lt;0,1,0),1)+IF(ISNUMBER(Inputs!X70),IF(OR(Inputs!X70&lt;0,Inputs!X70&lt;&gt;INT(Inputs!X70)),1,0),1)+IF(ISNUMBER(Inputs!X71),IF(OR(Inputs!X71&lt;0,Inputs!X71&lt;&gt;INT(Inputs!X71)),1,0),1)+IF(ISNUMBER(Inputs!X72),IF(OR(Inputs!X72&lt;0,Inputs!X72&lt;&gt;INT(Inputs!X72)),1,0),1)+IF(ISNUMBER(Inputs!X73),IF(OR(Inputs!X73&lt;0,Inputs!X73&lt;&gt;INT(Inputs!X73)),1,0),1)+IF(ISNUMBER(Inputs!X74),IF(OR(Inputs!X74&lt;0,Inputs!X74&lt;&gt;INT(Inputs!X74)),1,0),1)+IF(ISNUMBER(Inputs!X75),IF(OR(Inputs!X75&lt;0,Inputs!X75&lt;&gt;INT(Inputs!X75)),1,0),1)+IF(ISNUMBER(Inputs!X76),IF(OR(Inputs!X76&lt;0,Inputs!X76&lt;&gt;INT(Inputs!X76)),1,0),1)+IF(ISNUMBER(Inputs!X77),IF(OR(Inputs!X77&lt;0,Inputs!X77&lt;&gt;INT(Inputs!X77)),1,0),1)+IF(ISNUMBER(Inputs!X80),IF(Inputs!X80&lt;0,1,0),1)+IF(ISNUMBER(Inputs!X81),IF(Inputs!X81&lt;0,1,0),1)+IF(ISNUMBER(Inputs!X82),IF(Inputs!X82&lt;0,1,0),1)+IF(ISNUMBER(Inputs!X83),IF(OR(Inputs!X83&lt;0,Inputs!X83&gt;1),1,0),1)+IF(ISNUMBER(Inputs!X90),IF(Inputs!X90&lt;=0,1,0),1)+IF(ISNUMBER(Inputs!X91),IF(Inputs!X91&lt;=0,1,0),1)+IF(ISNUMBER(Inputs!X92),IF(Inputs!X92&lt;=0,1,0),1)+IF(ISNUMBER(Inputs!X93),IF(Inputs!X93&lt;=0,1,0),1)+IF(ISNUMBER(Inputs!X94),IF(Inputs!X94&lt;=0,1,0),1)+IF(ISNUMBER(Inputs!X95),IF(Inputs!X95&lt;=0,1,0),1)+IF(ISNUMBER(Inputs!X96),IF(Inputs!X96&lt;=0,1,0),1)+IF(ISNUMBER(Inputs!X98),IF(OR(Inputs!X98&lt;0,Inputs!X98&gt;1),1,0),1)+IF(ISNUMBER(Inputs!X99),IF(Inputs!X99&lt;0,1,0),1)+IF(ISNUMBER(Inputs!X100),IF(Inputs!X100&lt;0,1,0),1)+IF(ISNUMBER(Inputs!X101),IF(Inputs!X101&lt;-1,1,0),1)+IF(ISNUMBER(Inputs!X102),IF(Inputs!X102&lt;-1,1,0),1)+IF(ISNUMBER(Inputs!X103),IF(Inputs!X103&lt;0,1,0),1)+IF(ISNUMBER(Inputs!X104),IF(Inputs!X104&lt;0,1,0),1)+IF(ISNUMBER(Inputs!X105),IF(Inputs!X105&lt;0,1,0),1)+IF(ISNUMBER(Inputs!X106),IF(Inputs!X106&lt;0,1,0),1)+IF(ISNUMBER(Inputs!X107),IF(Inputs!X107&lt;0,1,0),1)+IF(ISNUMBER(Inputs!X108),IF(Inputs!X108&lt;0,1,0),1)+IF(ISNUMBER(Inputs!X109),IF(Inputs!X109&lt;0,1,0),1)+IF(ISNUMBER(Inputs!X110),IF(Inputs!X110&lt;0,1,0),1)+IF(ISNUMBER(Inputs!X130),IF(Inputs!X130&lt;0,1,0),1)+IF(ISNUMBER(Inputs!X132),IF(Inputs!X132&lt;0,1,0),1)+IF(ISNUMBER(Inputs!X133),IF(Inputs!X133&lt;0,1,0),1)+IF(ISNUMBER(Inputs!X134),IF(Inputs!X134&lt;0,1,0),1)+IF(ISNUMBER(Inputs!X135),IF(Inputs!X135&lt;0,1,0),1)+IF(ISNUMBER(Inputs!X136),IF(Inputs!X136&lt;0,1,0),1)+IF(ISNUMBER(Inputs!X144),IF(Inputs!X144&lt;0,1,0),1)+IF(ISNUMBER(Inputs!X145),IF(Inputs!X145&lt;0,1,0),1)+IF(ISNUMBER(Inputs!X147),IF(Inputs!X147&lt;0,1,0),1)+IF(ISNUMBER(Inputs!X148),IF(Inputs!X148&lt;0,1,0),1)+IF(ISNUMBER(Inputs!X149),IF(Inputs!X149&lt;0,1,0),1)+IF(ISNUMBER(Inputs!X150),IF(Inputs!X150&lt;0,1,0),1)+IF(ISNUMBER(Inputs!X156),IF(Inputs!X156&lt;0,1,0),1)+IF(ISNUMBER(Inputs!X158),IF(Inputs!X158&lt;0,1,0),1)</f>
        <v>0</v>
      </c>
      <c r="Y27" s="94" t="n">
        <f aca="false">IF(ISNUMBER(Inputs!Y5),IF(Inputs!Y5&lt;0,1,0),1)+IF(ISNUMBER(Inputs!Y9),IF(Inputs!Y9&lt;-1,1,0),1)+IF(ISNUMBER(Inputs!Y10),IF(Inputs!Y10&lt;-1,1,0),1)+IF(ISNUMBER(Inputs!Y25),IF(Inputs!Y25&lt;0,1,0),1)+IF(ISNUMBER(Inputs!Y13),IF(Inputs!Y13&lt;-1,1,0),1)+IF(ISNUMBER(Inputs!Y14),IF(Inputs!Y14&lt;-1,1,0),1)+IF(ISNUMBER(Inputs!Y26),IF(Inputs!Y26&lt;0,1,0),1)+IF(ISNUMBER(Inputs!Y17),IF(Inputs!Y17&lt;-1,1,0),1)+IF(ISNUMBER(Inputs!Y18),IF(Inputs!Y18&lt;-1,1,0),1)+IF(ISNUMBER(Inputs!Y27),IF(Inputs!Y27&lt;0,1,0),1)+IF(ISNUMBER(Inputs!Y21),IF(Inputs!Y21&lt;-1,1,0),1)+IF(ISNUMBER(Inputs!Y22),IF(Inputs!Y22&lt;-1,1,0),1)+IF(ISNUMBER(Inputs!Y23),IF(Inputs!Y23&lt;-1,1,0),1)+IF(ISNUMBER(Inputs!Y29),IF(Inputs!Y29&lt;0,1,0),1)+IF(ISNUMBER(Inputs!Y30),IF(Inputs!Y30&lt;0,1,0),1)+IF(ISNUMBER(Inputs!Y31),IF(OR(Inputs!Y31&lt;0,Inputs!Y31&gt;1),1,0),1)+IF(ISNUMBER(Inputs!Y32),IF(Inputs!Y32&lt;0,1,0),1)+IF(ISNUMBER(Inputs!Y33),IF(Inputs!Y33&lt;0,1,0),1)+IF(ISNUMBER(Inputs!Y34),IF(Inputs!Y34&lt;0,1,0),1)+IF(ISNUMBER(Inputs!Y35),IF(OR(Inputs!Y35&lt;0,Inputs!Y35&gt;1),1,0),1)+IF(ISNUMBER(Inputs!Y36),IF(OR(Inputs!Y36&lt;0,Inputs!Y36&gt;1),1,0),1)+IF(ISNUMBER(Inputs!Y37),IF(OR(Inputs!Y37&lt;0,Inputs!Y37&gt;1),1,0),1)+IF(ISNUMBER(Inputs!Y38),IF(Inputs!Y38&lt;0,1,0),1)+IF(ISNUMBER(Inputs!Y41),IF(Inputs!Y41&lt;0,1,0),1)+IF(ISNUMBER(Inputs!Y44),IF(Inputs!Y44&lt;0,1,0),1)+IF(ISNUMBER(Inputs!Y42),IF(Inputs!Y42&lt;0,1,0),1)+IF(ISNUMBER(Inputs!Y45),IF(Inputs!Y45&lt;0,1,0),1)+IF(ISNUMBER(Inputs!Y43),IF(Inputs!Y43&lt;0,1,0),1)+IF(ISNUMBER(Inputs!Y46),IF(Inputs!Y46&lt;0,1,0),1)+IF(ISNUMBER(Inputs!Y47),IF(Inputs!Y47&lt;0,1,0),1)+IF(ISNUMBER(Inputs!Y48),IF(Inputs!Y48&lt;0,1,0),1)+IF(ISNUMBER(Inputs!Y49),IF(OR(Inputs!Y49&lt;0,Inputs!Y49&gt;1),1,0),1)+IF(ISNUMBER(Inputs!Y50),IF(OR(Inputs!Y50&lt;0,Inputs!Y50&gt;1),1,0),1)+IF(ISNUMBER(Inputs!Y51),IF(Inputs!Y51&lt;0,1,0),1)+IF(ISNUMBER(Inputs!Y53),IF(Inputs!Y53&lt;0,1,0),1)+IF(ISNUMBER(Inputs!Y54),IF(OR(Inputs!Y54&lt;0,Inputs!Y54&gt;1),1,0),1)+IF(ISNUMBER(Inputs!Y55),IF(Inputs!Y55&lt;0,1,0),1)+IF(ISNUMBER(Inputs!Y56),IF(Inputs!Y56&lt;0,1,0),1)+IF(ISNUMBER(Inputs!Y57),IF(FALSE(),1,0),1)+IF(ISNUMBER(Inputs!Y58),IF(Inputs!Y58&lt;0,1,0),1)+IF(ISNUMBER(Inputs!Y59),IF(Inputs!Y59&lt;0,1,0),1)+IF(ISNUMBER(Inputs!Y60),IF(Inputs!Y60&lt;0,1,0),1)+IF(ISNUMBER(Inputs!Y61),IF(FALSE(),1,0),1)+IF(ISNUMBER(Inputs!Y62),IF(FALSE(),1,0),1)+IF(ISNUMBER(Inputs!Y63),IF(Inputs!Y63&lt;0,1,0),1)+IF(ISNUMBER(Inputs!Y64),IF(Inputs!Y64&lt;0,1,0),1)+IF(ISNUMBER(Inputs!Y65),IF(Inputs!Y65&lt;0,1,0),1)+IF(ISNUMBER(Inputs!Y70),IF(OR(Inputs!Y70&lt;0,Inputs!Y70&lt;&gt;INT(Inputs!Y70)),1,0),1)+IF(ISNUMBER(Inputs!Y71),IF(OR(Inputs!Y71&lt;0,Inputs!Y71&lt;&gt;INT(Inputs!Y71)),1,0),1)+IF(ISNUMBER(Inputs!Y72),IF(OR(Inputs!Y72&lt;0,Inputs!Y72&lt;&gt;INT(Inputs!Y72)),1,0),1)+IF(ISNUMBER(Inputs!Y73),IF(OR(Inputs!Y73&lt;0,Inputs!Y73&lt;&gt;INT(Inputs!Y73)),1,0),1)+IF(ISNUMBER(Inputs!Y74),IF(OR(Inputs!Y74&lt;0,Inputs!Y74&lt;&gt;INT(Inputs!Y74)),1,0),1)+IF(ISNUMBER(Inputs!Y75),IF(OR(Inputs!Y75&lt;0,Inputs!Y75&lt;&gt;INT(Inputs!Y75)),1,0),1)+IF(ISNUMBER(Inputs!Y76),IF(OR(Inputs!Y76&lt;0,Inputs!Y76&lt;&gt;INT(Inputs!Y76)),1,0),1)+IF(ISNUMBER(Inputs!Y77),IF(OR(Inputs!Y77&lt;0,Inputs!Y77&lt;&gt;INT(Inputs!Y77)),1,0),1)+IF(ISNUMBER(Inputs!Y80),IF(Inputs!Y80&lt;0,1,0),1)+IF(ISNUMBER(Inputs!Y81),IF(Inputs!Y81&lt;0,1,0),1)+IF(ISNUMBER(Inputs!Y82),IF(Inputs!Y82&lt;0,1,0),1)+IF(ISNUMBER(Inputs!Y83),IF(OR(Inputs!Y83&lt;0,Inputs!Y83&gt;1),1,0),1)+IF(ISNUMBER(Inputs!Y90),IF(Inputs!Y90&lt;=0,1,0),1)+IF(ISNUMBER(Inputs!Y91),IF(Inputs!Y91&lt;=0,1,0),1)+IF(ISNUMBER(Inputs!Y92),IF(Inputs!Y92&lt;=0,1,0),1)+IF(ISNUMBER(Inputs!Y93),IF(Inputs!Y93&lt;=0,1,0),1)+IF(ISNUMBER(Inputs!Y94),IF(Inputs!Y94&lt;=0,1,0),1)+IF(ISNUMBER(Inputs!Y95),IF(Inputs!Y95&lt;=0,1,0),1)+IF(ISNUMBER(Inputs!Y96),IF(Inputs!Y96&lt;=0,1,0),1)+IF(ISNUMBER(Inputs!Y98),IF(OR(Inputs!Y98&lt;0,Inputs!Y98&gt;1),1,0),1)+IF(ISNUMBER(Inputs!Y99),IF(Inputs!Y99&lt;0,1,0),1)+IF(ISNUMBER(Inputs!Y100),IF(Inputs!Y100&lt;0,1,0),1)+IF(ISNUMBER(Inputs!Y101),IF(Inputs!Y101&lt;-1,1,0),1)+IF(ISNUMBER(Inputs!Y102),IF(Inputs!Y102&lt;-1,1,0),1)+IF(ISNUMBER(Inputs!Y103),IF(Inputs!Y103&lt;0,1,0),1)+IF(ISNUMBER(Inputs!Y104),IF(Inputs!Y104&lt;0,1,0),1)+IF(ISNUMBER(Inputs!Y105),IF(Inputs!Y105&lt;0,1,0),1)+IF(ISNUMBER(Inputs!Y106),IF(Inputs!Y106&lt;0,1,0),1)+IF(ISNUMBER(Inputs!Y107),IF(Inputs!Y107&lt;0,1,0),1)+IF(ISNUMBER(Inputs!Y108),IF(Inputs!Y108&lt;0,1,0),1)+IF(ISNUMBER(Inputs!Y109),IF(Inputs!Y109&lt;0,1,0),1)+IF(ISNUMBER(Inputs!Y110),IF(Inputs!Y110&lt;0,1,0),1)+IF(ISNUMBER(Inputs!Y130),IF(Inputs!Y130&lt;0,1,0),1)+IF(ISNUMBER(Inputs!Y132),IF(Inputs!Y132&lt;0,1,0),1)+IF(ISNUMBER(Inputs!Y133),IF(Inputs!Y133&lt;0,1,0),1)+IF(ISNUMBER(Inputs!Y134),IF(Inputs!Y134&lt;0,1,0),1)+IF(ISNUMBER(Inputs!Y135),IF(Inputs!Y135&lt;0,1,0),1)+IF(ISNUMBER(Inputs!Y136),IF(Inputs!Y136&lt;0,1,0),1)+IF(ISNUMBER(Inputs!Y144),IF(Inputs!Y144&lt;0,1,0),1)+IF(ISNUMBER(Inputs!Y145),IF(Inputs!Y145&lt;0,1,0),1)+IF(ISNUMBER(Inputs!Y147),IF(Inputs!Y147&lt;0,1,0),1)+IF(ISNUMBER(Inputs!Y148),IF(Inputs!Y148&lt;0,1,0),1)+IF(ISNUMBER(Inputs!Y149),IF(Inputs!Y149&lt;0,1,0),1)+IF(ISNUMBER(Inputs!Y150),IF(Inputs!Y150&lt;0,1,0),1)+IF(ISNUMBER(Inputs!Y156),IF(Inputs!Y156&lt;0,1,0),1)+IF(ISNUMBER(Inputs!Y158),IF(Inputs!Y158&lt;0,1,0),1)</f>
        <v>0</v>
      </c>
      <c r="Z27" s="94" t="n">
        <f aca="false">IF(ISNUMBER(Inputs!Z5),IF(Inputs!Z5&lt;0,1,0),1)+IF(ISNUMBER(Inputs!Z9),IF(Inputs!Z9&lt;-1,1,0),1)+IF(ISNUMBER(Inputs!Z10),IF(Inputs!Z10&lt;-1,1,0),1)+IF(ISNUMBER(Inputs!Z25),IF(Inputs!Z25&lt;0,1,0),1)+IF(ISNUMBER(Inputs!Z13),IF(Inputs!Z13&lt;-1,1,0),1)+IF(ISNUMBER(Inputs!Z14),IF(Inputs!Z14&lt;-1,1,0),1)+IF(ISNUMBER(Inputs!Z26),IF(Inputs!Z26&lt;0,1,0),1)+IF(ISNUMBER(Inputs!Z17),IF(Inputs!Z17&lt;-1,1,0),1)+IF(ISNUMBER(Inputs!Z18),IF(Inputs!Z18&lt;-1,1,0),1)+IF(ISNUMBER(Inputs!Z27),IF(Inputs!Z27&lt;0,1,0),1)+IF(ISNUMBER(Inputs!Z21),IF(Inputs!Z21&lt;-1,1,0),1)+IF(ISNUMBER(Inputs!Z22),IF(Inputs!Z22&lt;-1,1,0),1)+IF(ISNUMBER(Inputs!Z23),IF(Inputs!Z23&lt;-1,1,0),1)+IF(ISNUMBER(Inputs!Z29),IF(Inputs!Z29&lt;0,1,0),1)+IF(ISNUMBER(Inputs!Z30),IF(Inputs!Z30&lt;0,1,0),1)+IF(ISNUMBER(Inputs!Z31),IF(OR(Inputs!Z31&lt;0,Inputs!Z31&gt;1),1,0),1)+IF(ISNUMBER(Inputs!Z32),IF(Inputs!Z32&lt;0,1,0),1)+IF(ISNUMBER(Inputs!Z33),IF(Inputs!Z33&lt;0,1,0),1)+IF(ISNUMBER(Inputs!Z34),IF(Inputs!Z34&lt;0,1,0),1)+IF(ISNUMBER(Inputs!Z35),IF(OR(Inputs!Z35&lt;0,Inputs!Z35&gt;1),1,0),1)+IF(ISNUMBER(Inputs!Z36),IF(OR(Inputs!Z36&lt;0,Inputs!Z36&gt;1),1,0),1)+IF(ISNUMBER(Inputs!Z37),IF(OR(Inputs!Z37&lt;0,Inputs!Z37&gt;1),1,0),1)+IF(ISNUMBER(Inputs!Z38),IF(Inputs!Z38&lt;0,1,0),1)+IF(ISNUMBER(Inputs!Z41),IF(Inputs!Z41&lt;0,1,0),1)+IF(ISNUMBER(Inputs!Z44),IF(Inputs!Z44&lt;0,1,0),1)+IF(ISNUMBER(Inputs!Z42),IF(Inputs!Z42&lt;0,1,0),1)+IF(ISNUMBER(Inputs!Z45),IF(Inputs!Z45&lt;0,1,0),1)+IF(ISNUMBER(Inputs!Z43),IF(Inputs!Z43&lt;0,1,0),1)+IF(ISNUMBER(Inputs!Z46),IF(Inputs!Z46&lt;0,1,0),1)+IF(ISNUMBER(Inputs!Z47),IF(Inputs!Z47&lt;0,1,0),1)+IF(ISNUMBER(Inputs!Z48),IF(Inputs!Z48&lt;0,1,0),1)+IF(ISNUMBER(Inputs!Z49),IF(OR(Inputs!Z49&lt;0,Inputs!Z49&gt;1),1,0),1)+IF(ISNUMBER(Inputs!Z50),IF(OR(Inputs!Z50&lt;0,Inputs!Z50&gt;1),1,0),1)+IF(ISNUMBER(Inputs!Z51),IF(Inputs!Z51&lt;0,1,0),1)+IF(ISNUMBER(Inputs!Z53),IF(Inputs!Z53&lt;0,1,0),1)+IF(ISNUMBER(Inputs!Z54),IF(OR(Inputs!Z54&lt;0,Inputs!Z54&gt;1),1,0),1)+IF(ISNUMBER(Inputs!Z55),IF(Inputs!Z55&lt;0,1,0),1)+IF(ISNUMBER(Inputs!Z56),IF(Inputs!Z56&lt;0,1,0),1)+IF(ISNUMBER(Inputs!Z57),IF(FALSE(),1,0),1)+IF(ISNUMBER(Inputs!Z58),IF(Inputs!Z58&lt;0,1,0),1)+IF(ISNUMBER(Inputs!Z59),IF(Inputs!Z59&lt;0,1,0),1)+IF(ISNUMBER(Inputs!Z60),IF(Inputs!Z60&lt;0,1,0),1)+IF(ISNUMBER(Inputs!Z61),IF(FALSE(),1,0),1)+IF(ISNUMBER(Inputs!Z62),IF(FALSE(),1,0),1)+IF(ISNUMBER(Inputs!Z63),IF(Inputs!Z63&lt;0,1,0),1)+IF(ISNUMBER(Inputs!Z64),IF(Inputs!Z64&lt;0,1,0),1)+IF(ISNUMBER(Inputs!Z65),IF(Inputs!Z65&lt;0,1,0),1)+IF(ISNUMBER(Inputs!Z70),IF(OR(Inputs!Z70&lt;0,Inputs!Z70&lt;&gt;INT(Inputs!Z70)),1,0),1)+IF(ISNUMBER(Inputs!Z71),IF(OR(Inputs!Z71&lt;0,Inputs!Z71&lt;&gt;INT(Inputs!Z71)),1,0),1)+IF(ISNUMBER(Inputs!Z72),IF(OR(Inputs!Z72&lt;0,Inputs!Z72&lt;&gt;INT(Inputs!Z72)),1,0),1)+IF(ISNUMBER(Inputs!Z73),IF(OR(Inputs!Z73&lt;0,Inputs!Z73&lt;&gt;INT(Inputs!Z73)),1,0),1)+IF(ISNUMBER(Inputs!Z74),IF(OR(Inputs!Z74&lt;0,Inputs!Z74&lt;&gt;INT(Inputs!Z74)),1,0),1)+IF(ISNUMBER(Inputs!Z75),IF(OR(Inputs!Z75&lt;0,Inputs!Z75&lt;&gt;INT(Inputs!Z75)),1,0),1)+IF(ISNUMBER(Inputs!Z76),IF(OR(Inputs!Z76&lt;0,Inputs!Z76&lt;&gt;INT(Inputs!Z76)),1,0),1)+IF(ISNUMBER(Inputs!Z77),IF(OR(Inputs!Z77&lt;0,Inputs!Z77&lt;&gt;INT(Inputs!Z77)),1,0),1)+IF(ISNUMBER(Inputs!Z80),IF(Inputs!Z80&lt;0,1,0),1)+IF(ISNUMBER(Inputs!Z81),IF(Inputs!Z81&lt;0,1,0),1)+IF(ISNUMBER(Inputs!Z82),IF(Inputs!Z82&lt;0,1,0),1)+IF(ISNUMBER(Inputs!Z83),IF(OR(Inputs!Z83&lt;0,Inputs!Z83&gt;1),1,0),1)+IF(ISNUMBER(Inputs!Z90),IF(Inputs!Z90&lt;=0,1,0),1)+IF(ISNUMBER(Inputs!Z91),IF(Inputs!Z91&lt;=0,1,0),1)+IF(ISNUMBER(Inputs!Z92),IF(Inputs!Z92&lt;=0,1,0),1)+IF(ISNUMBER(Inputs!Z93),IF(Inputs!Z93&lt;=0,1,0),1)+IF(ISNUMBER(Inputs!Z94),IF(Inputs!Z94&lt;=0,1,0),1)+IF(ISNUMBER(Inputs!Z95),IF(Inputs!Z95&lt;=0,1,0),1)+IF(ISNUMBER(Inputs!Z96),IF(Inputs!Z96&lt;=0,1,0),1)+IF(ISNUMBER(Inputs!Z98),IF(OR(Inputs!Z98&lt;0,Inputs!Z98&gt;1),1,0),1)+IF(ISNUMBER(Inputs!Z99),IF(Inputs!Z99&lt;0,1,0),1)+IF(ISNUMBER(Inputs!Z100),IF(Inputs!Z100&lt;0,1,0),1)+IF(ISNUMBER(Inputs!Z101),IF(Inputs!Z101&lt;-1,1,0),1)+IF(ISNUMBER(Inputs!Z102),IF(Inputs!Z102&lt;-1,1,0),1)+IF(ISNUMBER(Inputs!Z103),IF(Inputs!Z103&lt;0,1,0),1)+IF(ISNUMBER(Inputs!Z104),IF(Inputs!Z104&lt;0,1,0),1)+IF(ISNUMBER(Inputs!Z105),IF(Inputs!Z105&lt;0,1,0),1)+IF(ISNUMBER(Inputs!Z106),IF(Inputs!Z106&lt;0,1,0),1)+IF(ISNUMBER(Inputs!Z107),IF(Inputs!Z107&lt;0,1,0),1)+IF(ISNUMBER(Inputs!Z108),IF(Inputs!Z108&lt;0,1,0),1)+IF(ISNUMBER(Inputs!Z109),IF(Inputs!Z109&lt;0,1,0),1)+IF(ISNUMBER(Inputs!Z110),IF(Inputs!Z110&lt;0,1,0),1)+IF(ISNUMBER(Inputs!Z130),IF(Inputs!Z130&lt;0,1,0),1)+IF(ISNUMBER(Inputs!Z132),IF(Inputs!Z132&lt;0,1,0),1)+IF(ISNUMBER(Inputs!Z133),IF(Inputs!Z133&lt;0,1,0),1)+IF(ISNUMBER(Inputs!Z134),IF(Inputs!Z134&lt;0,1,0),1)+IF(ISNUMBER(Inputs!Z135),IF(Inputs!Z135&lt;0,1,0),1)+IF(ISNUMBER(Inputs!Z136),IF(Inputs!Z136&lt;0,1,0),1)+IF(ISNUMBER(Inputs!Z144),IF(Inputs!Z144&lt;0,1,0),1)+IF(ISNUMBER(Inputs!Z145),IF(Inputs!Z145&lt;0,1,0),1)+IF(ISNUMBER(Inputs!Z147),IF(Inputs!Z147&lt;0,1,0),1)+IF(ISNUMBER(Inputs!Z148),IF(Inputs!Z148&lt;0,1,0),1)+IF(ISNUMBER(Inputs!Z149),IF(Inputs!Z149&lt;0,1,0),1)+IF(ISNUMBER(Inputs!Z150),IF(Inputs!Z150&lt;0,1,0),1)+IF(ISNUMBER(Inputs!Z156),IF(Inputs!Z156&lt;0,1,0),1)+IF(ISNUMBER(Inputs!Z158),IF(Inputs!Z158&lt;0,1,0),1)</f>
        <v>0</v>
      </c>
      <c r="AA27" s="94" t="n">
        <f aca="false">IF(ISNUMBER(Inputs!AA5),IF(Inputs!AA5&lt;0,1,0),1)+IF(ISNUMBER(Inputs!AA9),IF(Inputs!AA9&lt;-1,1,0),1)+IF(ISNUMBER(Inputs!AA10),IF(Inputs!AA10&lt;-1,1,0),1)+IF(ISNUMBER(Inputs!AA25),IF(Inputs!AA25&lt;0,1,0),1)+IF(ISNUMBER(Inputs!AA13),IF(Inputs!AA13&lt;-1,1,0),1)+IF(ISNUMBER(Inputs!AA14),IF(Inputs!AA14&lt;-1,1,0),1)+IF(ISNUMBER(Inputs!AA26),IF(Inputs!AA26&lt;0,1,0),1)+IF(ISNUMBER(Inputs!AA17),IF(Inputs!AA17&lt;-1,1,0),1)+IF(ISNUMBER(Inputs!AA18),IF(Inputs!AA18&lt;-1,1,0),1)+IF(ISNUMBER(Inputs!AA27),IF(Inputs!AA27&lt;0,1,0),1)+IF(ISNUMBER(Inputs!AA21),IF(Inputs!AA21&lt;-1,1,0),1)+IF(ISNUMBER(Inputs!AA22),IF(Inputs!AA22&lt;-1,1,0),1)+IF(ISNUMBER(Inputs!AA23),IF(Inputs!AA23&lt;-1,1,0),1)+IF(ISNUMBER(Inputs!AA29),IF(Inputs!AA29&lt;0,1,0),1)+IF(ISNUMBER(Inputs!AA30),IF(Inputs!AA30&lt;0,1,0),1)+IF(ISNUMBER(Inputs!AA31),IF(OR(Inputs!AA31&lt;0,Inputs!AA31&gt;1),1,0),1)+IF(ISNUMBER(Inputs!AA32),IF(Inputs!AA32&lt;0,1,0),1)+IF(ISNUMBER(Inputs!AA33),IF(Inputs!AA33&lt;0,1,0),1)+IF(ISNUMBER(Inputs!AA34),IF(Inputs!AA34&lt;0,1,0),1)+IF(ISNUMBER(Inputs!AA35),IF(OR(Inputs!AA35&lt;0,Inputs!AA35&gt;1),1,0),1)+IF(ISNUMBER(Inputs!AA36),IF(OR(Inputs!AA36&lt;0,Inputs!AA36&gt;1),1,0),1)+IF(ISNUMBER(Inputs!AA37),IF(OR(Inputs!AA37&lt;0,Inputs!AA37&gt;1),1,0),1)+IF(ISNUMBER(Inputs!AA38),IF(Inputs!AA38&lt;0,1,0),1)+IF(ISNUMBER(Inputs!AA41),IF(Inputs!AA41&lt;0,1,0),1)+IF(ISNUMBER(Inputs!AA44),IF(Inputs!AA44&lt;0,1,0),1)+IF(ISNUMBER(Inputs!AA42),IF(Inputs!AA42&lt;0,1,0),1)+IF(ISNUMBER(Inputs!AA45),IF(Inputs!AA45&lt;0,1,0),1)+IF(ISNUMBER(Inputs!AA43),IF(Inputs!AA43&lt;0,1,0),1)+IF(ISNUMBER(Inputs!AA46),IF(Inputs!AA46&lt;0,1,0),1)+IF(ISNUMBER(Inputs!AA47),IF(Inputs!AA47&lt;0,1,0),1)+IF(ISNUMBER(Inputs!AA48),IF(Inputs!AA48&lt;0,1,0),1)+IF(ISNUMBER(Inputs!AA49),IF(OR(Inputs!AA49&lt;0,Inputs!AA49&gt;1),1,0),1)+IF(ISNUMBER(Inputs!AA50),IF(OR(Inputs!AA50&lt;0,Inputs!AA50&gt;1),1,0),1)+IF(ISNUMBER(Inputs!AA51),IF(Inputs!AA51&lt;0,1,0),1)+IF(ISNUMBER(Inputs!AA53),IF(Inputs!AA53&lt;0,1,0),1)+IF(ISNUMBER(Inputs!AA54),IF(OR(Inputs!AA54&lt;0,Inputs!AA54&gt;1),1,0),1)+IF(ISNUMBER(Inputs!AA55),IF(Inputs!AA55&lt;0,1,0),1)+IF(ISNUMBER(Inputs!AA56),IF(Inputs!AA56&lt;0,1,0),1)+IF(ISNUMBER(Inputs!AA57),IF(FALSE(),1,0),1)+IF(ISNUMBER(Inputs!AA58),IF(Inputs!AA58&lt;0,1,0),1)+IF(ISNUMBER(Inputs!AA59),IF(Inputs!AA59&lt;0,1,0),1)+IF(ISNUMBER(Inputs!AA60),IF(Inputs!AA60&lt;0,1,0),1)+IF(ISNUMBER(Inputs!AA61),IF(FALSE(),1,0),1)+IF(ISNUMBER(Inputs!AA62),IF(FALSE(),1,0),1)+IF(ISNUMBER(Inputs!AA63),IF(Inputs!AA63&lt;0,1,0),1)+IF(ISNUMBER(Inputs!AA64),IF(Inputs!AA64&lt;0,1,0),1)+IF(ISNUMBER(Inputs!AA65),IF(Inputs!AA65&lt;0,1,0),1)+IF(ISNUMBER(Inputs!AA70),IF(OR(Inputs!AA70&lt;0,Inputs!AA70&lt;&gt;INT(Inputs!AA70)),1,0),1)+IF(ISNUMBER(Inputs!AA71),IF(OR(Inputs!AA71&lt;0,Inputs!AA71&lt;&gt;INT(Inputs!AA71)),1,0),1)+IF(ISNUMBER(Inputs!AA72),IF(OR(Inputs!AA72&lt;0,Inputs!AA72&lt;&gt;INT(Inputs!AA72)),1,0),1)+IF(ISNUMBER(Inputs!AA73),IF(OR(Inputs!AA73&lt;0,Inputs!AA73&lt;&gt;INT(Inputs!AA73)),1,0),1)+IF(ISNUMBER(Inputs!AA74),IF(OR(Inputs!AA74&lt;0,Inputs!AA74&lt;&gt;INT(Inputs!AA74)),1,0),1)+IF(ISNUMBER(Inputs!AA75),IF(OR(Inputs!AA75&lt;0,Inputs!AA75&lt;&gt;INT(Inputs!AA75)),1,0),1)+IF(ISNUMBER(Inputs!AA76),IF(OR(Inputs!AA76&lt;0,Inputs!AA76&lt;&gt;INT(Inputs!AA76)),1,0),1)+IF(ISNUMBER(Inputs!AA77),IF(OR(Inputs!AA77&lt;0,Inputs!AA77&lt;&gt;INT(Inputs!AA77)),1,0),1)+IF(ISNUMBER(Inputs!AA80),IF(Inputs!AA80&lt;0,1,0),1)+IF(ISNUMBER(Inputs!AA81),IF(Inputs!AA81&lt;0,1,0),1)+IF(ISNUMBER(Inputs!AA82),IF(Inputs!AA82&lt;0,1,0),1)+IF(ISNUMBER(Inputs!AA83),IF(OR(Inputs!AA83&lt;0,Inputs!AA83&gt;1),1,0),1)+IF(ISNUMBER(Inputs!AA90),IF(Inputs!AA90&lt;=0,1,0),1)+IF(ISNUMBER(Inputs!AA91),IF(Inputs!AA91&lt;=0,1,0),1)+IF(ISNUMBER(Inputs!AA92),IF(Inputs!AA92&lt;=0,1,0),1)+IF(ISNUMBER(Inputs!AA93),IF(Inputs!AA93&lt;=0,1,0),1)+IF(ISNUMBER(Inputs!AA94),IF(Inputs!AA94&lt;=0,1,0),1)+IF(ISNUMBER(Inputs!AA95),IF(Inputs!AA95&lt;=0,1,0),1)+IF(ISNUMBER(Inputs!AA96),IF(Inputs!AA96&lt;=0,1,0),1)+IF(ISNUMBER(Inputs!AA98),IF(OR(Inputs!AA98&lt;0,Inputs!AA98&gt;1),1,0),1)+IF(ISNUMBER(Inputs!AA99),IF(Inputs!AA99&lt;0,1,0),1)+IF(ISNUMBER(Inputs!AA100),IF(Inputs!AA100&lt;0,1,0),1)+IF(ISNUMBER(Inputs!AA101),IF(Inputs!AA101&lt;-1,1,0),1)+IF(ISNUMBER(Inputs!AA102),IF(Inputs!AA102&lt;-1,1,0),1)+IF(ISNUMBER(Inputs!AA103),IF(Inputs!AA103&lt;0,1,0),1)+IF(ISNUMBER(Inputs!AA104),IF(Inputs!AA104&lt;0,1,0),1)+IF(ISNUMBER(Inputs!AA105),IF(Inputs!AA105&lt;0,1,0),1)+IF(ISNUMBER(Inputs!AA106),IF(Inputs!AA106&lt;0,1,0),1)+IF(ISNUMBER(Inputs!AA107),IF(Inputs!AA107&lt;0,1,0),1)+IF(ISNUMBER(Inputs!AA108),IF(Inputs!AA108&lt;0,1,0),1)+IF(ISNUMBER(Inputs!AA109),IF(Inputs!AA109&lt;0,1,0),1)+IF(ISNUMBER(Inputs!AA110),IF(Inputs!AA110&lt;0,1,0),1)+IF(ISNUMBER(Inputs!AA130),IF(Inputs!AA130&lt;0,1,0),1)+IF(ISNUMBER(Inputs!AA132),IF(Inputs!AA132&lt;0,1,0),1)+IF(ISNUMBER(Inputs!AA133),IF(Inputs!AA133&lt;0,1,0),1)+IF(ISNUMBER(Inputs!AA134),IF(Inputs!AA134&lt;0,1,0),1)+IF(ISNUMBER(Inputs!AA135),IF(Inputs!AA135&lt;0,1,0),1)+IF(ISNUMBER(Inputs!AA136),IF(Inputs!AA136&lt;0,1,0),1)+IF(ISNUMBER(Inputs!AA144),IF(Inputs!AA144&lt;0,1,0),1)+IF(ISNUMBER(Inputs!AA145),IF(Inputs!AA145&lt;0,1,0),1)+IF(ISNUMBER(Inputs!AA147),IF(Inputs!AA147&lt;0,1,0),1)+IF(ISNUMBER(Inputs!AA148),IF(Inputs!AA148&lt;0,1,0),1)+IF(ISNUMBER(Inputs!AA149),IF(Inputs!AA149&lt;0,1,0),1)+IF(ISNUMBER(Inputs!AA150),IF(Inputs!AA150&lt;0,1,0),1)+IF(ISNUMBER(Inputs!AA156),IF(Inputs!AA156&lt;0,1,0),1)+IF(ISNUMBER(Inputs!AA158),IF(Inputs!AA158&lt;0,1,0),1)</f>
        <v>0</v>
      </c>
      <c r="AB27" s="94" t="n">
        <f aca="false">IF(ISNUMBER(Inputs!AB5),IF(Inputs!AB5&lt;0,1,0),1)+IF(ISNUMBER(Inputs!AB9),IF(Inputs!AB9&lt;-1,1,0),1)+IF(ISNUMBER(Inputs!AB10),IF(Inputs!AB10&lt;-1,1,0),1)+IF(ISNUMBER(Inputs!AB25),IF(Inputs!AB25&lt;0,1,0),1)+IF(ISNUMBER(Inputs!AB13),IF(Inputs!AB13&lt;-1,1,0),1)+IF(ISNUMBER(Inputs!AB14),IF(Inputs!AB14&lt;-1,1,0),1)+IF(ISNUMBER(Inputs!AB26),IF(Inputs!AB26&lt;0,1,0),1)+IF(ISNUMBER(Inputs!AB17),IF(Inputs!AB17&lt;-1,1,0),1)+IF(ISNUMBER(Inputs!AB18),IF(Inputs!AB18&lt;-1,1,0),1)+IF(ISNUMBER(Inputs!AB27),IF(Inputs!AB27&lt;0,1,0),1)+IF(ISNUMBER(Inputs!AB21),IF(Inputs!AB21&lt;-1,1,0),1)+IF(ISNUMBER(Inputs!AB22),IF(Inputs!AB22&lt;-1,1,0),1)+IF(ISNUMBER(Inputs!AB23),IF(Inputs!AB23&lt;-1,1,0),1)+IF(ISNUMBER(Inputs!AB29),IF(Inputs!AB29&lt;0,1,0),1)+IF(ISNUMBER(Inputs!AB30),IF(Inputs!AB30&lt;0,1,0),1)+IF(ISNUMBER(Inputs!AB31),IF(OR(Inputs!AB31&lt;0,Inputs!AB31&gt;1),1,0),1)+IF(ISNUMBER(Inputs!AB32),IF(Inputs!AB32&lt;0,1,0),1)+IF(ISNUMBER(Inputs!AB33),IF(Inputs!AB33&lt;0,1,0),1)+IF(ISNUMBER(Inputs!AB34),IF(Inputs!AB34&lt;0,1,0),1)+IF(ISNUMBER(Inputs!AB35),IF(OR(Inputs!AB35&lt;0,Inputs!AB35&gt;1),1,0),1)+IF(ISNUMBER(Inputs!AB36),IF(OR(Inputs!AB36&lt;0,Inputs!AB36&gt;1),1,0),1)+IF(ISNUMBER(Inputs!AB37),IF(OR(Inputs!AB37&lt;0,Inputs!AB37&gt;1),1,0),1)+IF(ISNUMBER(Inputs!AB38),IF(Inputs!AB38&lt;0,1,0),1)+IF(ISNUMBER(Inputs!AB41),IF(Inputs!AB41&lt;0,1,0),1)+IF(ISNUMBER(Inputs!AB44),IF(Inputs!AB44&lt;0,1,0),1)+IF(ISNUMBER(Inputs!AB42),IF(Inputs!AB42&lt;0,1,0),1)+IF(ISNUMBER(Inputs!AB45),IF(Inputs!AB45&lt;0,1,0),1)+IF(ISNUMBER(Inputs!AB43),IF(Inputs!AB43&lt;0,1,0),1)+IF(ISNUMBER(Inputs!AB46),IF(Inputs!AB46&lt;0,1,0),1)+IF(ISNUMBER(Inputs!AB47),IF(Inputs!AB47&lt;0,1,0),1)+IF(ISNUMBER(Inputs!AB48),IF(Inputs!AB48&lt;0,1,0),1)+IF(ISNUMBER(Inputs!AB49),IF(OR(Inputs!AB49&lt;0,Inputs!AB49&gt;1),1,0),1)+IF(ISNUMBER(Inputs!AB50),IF(OR(Inputs!AB50&lt;0,Inputs!AB50&gt;1),1,0),1)+IF(ISNUMBER(Inputs!AB51),IF(Inputs!AB51&lt;0,1,0),1)+IF(ISNUMBER(Inputs!AB53),IF(Inputs!AB53&lt;0,1,0),1)+IF(ISNUMBER(Inputs!AB54),IF(OR(Inputs!AB54&lt;0,Inputs!AB54&gt;1),1,0),1)+IF(ISNUMBER(Inputs!AB55),IF(Inputs!AB55&lt;0,1,0),1)+IF(ISNUMBER(Inputs!AB56),IF(Inputs!AB56&lt;0,1,0),1)+IF(ISNUMBER(Inputs!AB57),IF(FALSE(),1,0),1)+IF(ISNUMBER(Inputs!AB58),IF(Inputs!AB58&lt;0,1,0),1)+IF(ISNUMBER(Inputs!AB59),IF(Inputs!AB59&lt;0,1,0),1)+IF(ISNUMBER(Inputs!AB60),IF(Inputs!AB60&lt;0,1,0),1)+IF(ISNUMBER(Inputs!AB61),IF(FALSE(),1,0),1)+IF(ISNUMBER(Inputs!AB62),IF(FALSE(),1,0),1)+IF(ISNUMBER(Inputs!AB63),IF(Inputs!AB63&lt;0,1,0),1)+IF(ISNUMBER(Inputs!AB64),IF(Inputs!AB64&lt;0,1,0),1)+IF(ISNUMBER(Inputs!AB65),IF(Inputs!AB65&lt;0,1,0),1)+IF(ISNUMBER(Inputs!AB70),IF(OR(Inputs!AB70&lt;0,Inputs!AB70&lt;&gt;INT(Inputs!AB70)),1,0),1)+IF(ISNUMBER(Inputs!AB71),IF(OR(Inputs!AB71&lt;0,Inputs!AB71&lt;&gt;INT(Inputs!AB71)),1,0),1)+IF(ISNUMBER(Inputs!AB72),IF(OR(Inputs!AB72&lt;0,Inputs!AB72&lt;&gt;INT(Inputs!AB72)),1,0),1)+IF(ISNUMBER(Inputs!AB73),IF(OR(Inputs!AB73&lt;0,Inputs!AB73&lt;&gt;INT(Inputs!AB73)),1,0),1)+IF(ISNUMBER(Inputs!AB74),IF(OR(Inputs!AB74&lt;0,Inputs!AB74&lt;&gt;INT(Inputs!AB74)),1,0),1)+IF(ISNUMBER(Inputs!AB75),IF(OR(Inputs!AB75&lt;0,Inputs!AB75&lt;&gt;INT(Inputs!AB75)),1,0),1)+IF(ISNUMBER(Inputs!AB76),IF(OR(Inputs!AB76&lt;0,Inputs!AB76&lt;&gt;INT(Inputs!AB76)),1,0),1)+IF(ISNUMBER(Inputs!AB77),IF(OR(Inputs!AB77&lt;0,Inputs!AB77&lt;&gt;INT(Inputs!AB77)),1,0),1)+IF(ISNUMBER(Inputs!AB80),IF(Inputs!AB80&lt;0,1,0),1)+IF(ISNUMBER(Inputs!AB81),IF(Inputs!AB81&lt;0,1,0),1)+IF(ISNUMBER(Inputs!AB82),IF(Inputs!AB82&lt;0,1,0),1)+IF(ISNUMBER(Inputs!AB83),IF(OR(Inputs!AB83&lt;0,Inputs!AB83&gt;1),1,0),1)+IF(ISNUMBER(Inputs!AB90),IF(Inputs!AB90&lt;=0,1,0),1)+IF(ISNUMBER(Inputs!AB91),IF(Inputs!AB91&lt;=0,1,0),1)+IF(ISNUMBER(Inputs!AB92),IF(Inputs!AB92&lt;=0,1,0),1)+IF(ISNUMBER(Inputs!AB93),IF(Inputs!AB93&lt;=0,1,0),1)+IF(ISNUMBER(Inputs!AB94),IF(Inputs!AB94&lt;=0,1,0),1)+IF(ISNUMBER(Inputs!AB95),IF(Inputs!AB95&lt;=0,1,0),1)+IF(ISNUMBER(Inputs!AB96),IF(Inputs!AB96&lt;=0,1,0),1)+IF(ISNUMBER(Inputs!AB98),IF(OR(Inputs!AB98&lt;0,Inputs!AB98&gt;1),1,0),1)+IF(ISNUMBER(Inputs!AB99),IF(Inputs!AB99&lt;0,1,0),1)+IF(ISNUMBER(Inputs!AB100),IF(Inputs!AB100&lt;0,1,0),1)+IF(ISNUMBER(Inputs!AB101),IF(Inputs!AB101&lt;-1,1,0),1)+IF(ISNUMBER(Inputs!AB102),IF(Inputs!AB102&lt;-1,1,0),1)+IF(ISNUMBER(Inputs!AB103),IF(Inputs!AB103&lt;0,1,0),1)+IF(ISNUMBER(Inputs!AB104),IF(Inputs!AB104&lt;0,1,0),1)+IF(ISNUMBER(Inputs!AB105),IF(Inputs!AB105&lt;0,1,0),1)+IF(ISNUMBER(Inputs!AB106),IF(Inputs!AB106&lt;0,1,0),1)+IF(ISNUMBER(Inputs!AB107),IF(Inputs!AB107&lt;0,1,0),1)+IF(ISNUMBER(Inputs!AB108),IF(Inputs!AB108&lt;0,1,0),1)+IF(ISNUMBER(Inputs!AB109),IF(Inputs!AB109&lt;0,1,0),1)+IF(ISNUMBER(Inputs!AB110),IF(Inputs!AB110&lt;0,1,0),1)+IF(ISNUMBER(Inputs!AB130),IF(Inputs!AB130&lt;0,1,0),1)+IF(ISNUMBER(Inputs!AB132),IF(Inputs!AB132&lt;0,1,0),1)+IF(ISNUMBER(Inputs!AB133),IF(Inputs!AB133&lt;0,1,0),1)+IF(ISNUMBER(Inputs!AB134),IF(Inputs!AB134&lt;0,1,0),1)+IF(ISNUMBER(Inputs!AB135),IF(Inputs!AB135&lt;0,1,0),1)+IF(ISNUMBER(Inputs!AB136),IF(Inputs!AB136&lt;0,1,0),1)+IF(ISNUMBER(Inputs!AB144),IF(Inputs!AB144&lt;0,1,0),1)+IF(ISNUMBER(Inputs!AB145),IF(Inputs!AB145&lt;0,1,0),1)+IF(ISNUMBER(Inputs!AB147),IF(Inputs!AB147&lt;0,1,0),1)+IF(ISNUMBER(Inputs!AB148),IF(Inputs!AB148&lt;0,1,0),1)+IF(ISNUMBER(Inputs!AB149),IF(Inputs!AB149&lt;0,1,0),1)+IF(ISNUMBER(Inputs!AB150),IF(Inputs!AB150&lt;0,1,0),1)+IF(ISNUMBER(Inputs!AB156),IF(Inputs!AB156&lt;0,1,0),1)+IF(ISNUMBER(Inputs!AB158),IF(Inputs!AB158&lt;0,1,0),1)</f>
        <v>0</v>
      </c>
      <c r="AC27" s="94" t="n">
        <f aca="false">IF(ISNUMBER(Inputs!AC5),IF(Inputs!AC5&lt;0,1,0),1)+IF(ISNUMBER(Inputs!AC9),IF(Inputs!AC9&lt;-1,1,0),1)+IF(ISNUMBER(Inputs!AC10),IF(Inputs!AC10&lt;-1,1,0),1)+IF(ISNUMBER(Inputs!AC25),IF(Inputs!AC25&lt;0,1,0),1)+IF(ISNUMBER(Inputs!AC13),IF(Inputs!AC13&lt;-1,1,0),1)+IF(ISNUMBER(Inputs!AC14),IF(Inputs!AC14&lt;-1,1,0),1)+IF(ISNUMBER(Inputs!AC26),IF(Inputs!AC26&lt;0,1,0),1)+IF(ISNUMBER(Inputs!AC17),IF(Inputs!AC17&lt;-1,1,0),1)+IF(ISNUMBER(Inputs!AC18),IF(Inputs!AC18&lt;-1,1,0),1)+IF(ISNUMBER(Inputs!AC27),IF(Inputs!AC27&lt;0,1,0),1)+IF(ISNUMBER(Inputs!AC21),IF(Inputs!AC21&lt;-1,1,0),1)+IF(ISNUMBER(Inputs!AC22),IF(Inputs!AC22&lt;-1,1,0),1)+IF(ISNUMBER(Inputs!AC23),IF(Inputs!AC23&lt;-1,1,0),1)+IF(ISNUMBER(Inputs!AC29),IF(Inputs!AC29&lt;0,1,0),1)+IF(ISNUMBER(Inputs!AC30),IF(Inputs!AC30&lt;0,1,0),1)+IF(ISNUMBER(Inputs!AC31),IF(OR(Inputs!AC31&lt;0,Inputs!AC31&gt;1),1,0),1)+IF(ISNUMBER(Inputs!AC32),IF(Inputs!AC32&lt;0,1,0),1)+IF(ISNUMBER(Inputs!AC33),IF(Inputs!AC33&lt;0,1,0),1)+IF(ISNUMBER(Inputs!AC34),IF(Inputs!AC34&lt;0,1,0),1)+IF(ISNUMBER(Inputs!AC35),IF(OR(Inputs!AC35&lt;0,Inputs!AC35&gt;1),1,0),1)+IF(ISNUMBER(Inputs!AC36),IF(OR(Inputs!AC36&lt;0,Inputs!AC36&gt;1),1,0),1)+IF(ISNUMBER(Inputs!AC37),IF(OR(Inputs!AC37&lt;0,Inputs!AC37&gt;1),1,0),1)+IF(ISNUMBER(Inputs!AC38),IF(Inputs!AC38&lt;0,1,0),1)+IF(ISNUMBER(Inputs!AC41),IF(Inputs!AC41&lt;0,1,0),1)+IF(ISNUMBER(Inputs!AC44),IF(Inputs!AC44&lt;0,1,0),1)+IF(ISNUMBER(Inputs!AC42),IF(Inputs!AC42&lt;0,1,0),1)+IF(ISNUMBER(Inputs!AC45),IF(Inputs!AC45&lt;0,1,0),1)+IF(ISNUMBER(Inputs!AC43),IF(Inputs!AC43&lt;0,1,0),1)+IF(ISNUMBER(Inputs!AC46),IF(Inputs!AC46&lt;0,1,0),1)+IF(ISNUMBER(Inputs!AC47),IF(Inputs!AC47&lt;0,1,0),1)+IF(ISNUMBER(Inputs!AC48),IF(Inputs!AC48&lt;0,1,0),1)+IF(ISNUMBER(Inputs!AC49),IF(OR(Inputs!AC49&lt;0,Inputs!AC49&gt;1),1,0),1)+IF(ISNUMBER(Inputs!AC50),IF(OR(Inputs!AC50&lt;0,Inputs!AC50&gt;1),1,0),1)+IF(ISNUMBER(Inputs!AC51),IF(Inputs!AC51&lt;0,1,0),1)+IF(ISNUMBER(Inputs!AC53),IF(Inputs!AC53&lt;0,1,0),1)+IF(ISNUMBER(Inputs!AC54),IF(OR(Inputs!AC54&lt;0,Inputs!AC54&gt;1),1,0),1)+IF(ISNUMBER(Inputs!AC55),IF(Inputs!AC55&lt;0,1,0),1)+IF(ISNUMBER(Inputs!AC56),IF(Inputs!AC56&lt;0,1,0),1)+IF(ISNUMBER(Inputs!AC57),IF(FALSE(),1,0),1)+IF(ISNUMBER(Inputs!AC58),IF(Inputs!AC58&lt;0,1,0),1)+IF(ISNUMBER(Inputs!AC59),IF(Inputs!AC59&lt;0,1,0),1)+IF(ISNUMBER(Inputs!AC60),IF(Inputs!AC60&lt;0,1,0),1)+IF(ISNUMBER(Inputs!AC61),IF(FALSE(),1,0),1)+IF(ISNUMBER(Inputs!AC62),IF(FALSE(),1,0),1)+IF(ISNUMBER(Inputs!AC63),IF(Inputs!AC63&lt;0,1,0),1)+IF(ISNUMBER(Inputs!AC64),IF(Inputs!AC64&lt;0,1,0),1)+IF(ISNUMBER(Inputs!AC65),IF(Inputs!AC65&lt;0,1,0),1)+IF(ISNUMBER(Inputs!AC70),IF(OR(Inputs!AC70&lt;0,Inputs!AC70&lt;&gt;INT(Inputs!AC70)),1,0),1)+IF(ISNUMBER(Inputs!AC71),IF(OR(Inputs!AC71&lt;0,Inputs!AC71&lt;&gt;INT(Inputs!AC71)),1,0),1)+IF(ISNUMBER(Inputs!AC72),IF(OR(Inputs!AC72&lt;0,Inputs!AC72&lt;&gt;INT(Inputs!AC72)),1,0),1)+IF(ISNUMBER(Inputs!AC73),IF(OR(Inputs!AC73&lt;0,Inputs!AC73&lt;&gt;INT(Inputs!AC73)),1,0),1)+IF(ISNUMBER(Inputs!AC74),IF(OR(Inputs!AC74&lt;0,Inputs!AC74&lt;&gt;INT(Inputs!AC74)),1,0),1)+IF(ISNUMBER(Inputs!AC75),IF(OR(Inputs!AC75&lt;0,Inputs!AC75&lt;&gt;INT(Inputs!AC75)),1,0),1)+IF(ISNUMBER(Inputs!AC76),IF(OR(Inputs!AC76&lt;0,Inputs!AC76&lt;&gt;INT(Inputs!AC76)),1,0),1)+IF(ISNUMBER(Inputs!AC77),IF(OR(Inputs!AC77&lt;0,Inputs!AC77&lt;&gt;INT(Inputs!AC77)),1,0),1)+IF(ISNUMBER(Inputs!AC80),IF(Inputs!AC80&lt;0,1,0),1)+IF(ISNUMBER(Inputs!AC81),IF(Inputs!AC81&lt;0,1,0),1)+IF(ISNUMBER(Inputs!AC82),IF(Inputs!AC82&lt;0,1,0),1)+IF(ISNUMBER(Inputs!AC83),IF(OR(Inputs!AC83&lt;0,Inputs!AC83&gt;1),1,0),1)+IF(ISNUMBER(Inputs!AC90),IF(Inputs!AC90&lt;=0,1,0),1)+IF(ISNUMBER(Inputs!AC91),IF(Inputs!AC91&lt;=0,1,0),1)+IF(ISNUMBER(Inputs!AC92),IF(Inputs!AC92&lt;=0,1,0),1)+IF(ISNUMBER(Inputs!AC93),IF(Inputs!AC93&lt;=0,1,0),1)+IF(ISNUMBER(Inputs!AC94),IF(Inputs!AC94&lt;=0,1,0),1)+IF(ISNUMBER(Inputs!AC95),IF(Inputs!AC95&lt;=0,1,0),1)+IF(ISNUMBER(Inputs!AC96),IF(Inputs!AC96&lt;=0,1,0),1)+IF(ISNUMBER(Inputs!AC98),IF(OR(Inputs!AC98&lt;0,Inputs!AC98&gt;1),1,0),1)+IF(ISNUMBER(Inputs!AC99),IF(Inputs!AC99&lt;0,1,0),1)+IF(ISNUMBER(Inputs!AC100),IF(Inputs!AC100&lt;0,1,0),1)+IF(ISNUMBER(Inputs!AC101),IF(Inputs!AC101&lt;-1,1,0),1)+IF(ISNUMBER(Inputs!AC102),IF(Inputs!AC102&lt;-1,1,0),1)+IF(ISNUMBER(Inputs!AC103),IF(Inputs!AC103&lt;0,1,0),1)+IF(ISNUMBER(Inputs!AC104),IF(Inputs!AC104&lt;0,1,0),1)+IF(ISNUMBER(Inputs!AC105),IF(Inputs!AC105&lt;0,1,0),1)+IF(ISNUMBER(Inputs!AC106),IF(Inputs!AC106&lt;0,1,0),1)+IF(ISNUMBER(Inputs!AC107),IF(Inputs!AC107&lt;0,1,0),1)+IF(ISNUMBER(Inputs!AC108),IF(Inputs!AC108&lt;0,1,0),1)+IF(ISNUMBER(Inputs!AC109),IF(Inputs!AC109&lt;0,1,0),1)+IF(ISNUMBER(Inputs!AC110),IF(Inputs!AC110&lt;0,1,0),1)+IF(ISNUMBER(Inputs!AC130),IF(Inputs!AC130&lt;0,1,0),1)+IF(ISNUMBER(Inputs!AC132),IF(Inputs!AC132&lt;0,1,0),1)+IF(ISNUMBER(Inputs!AC133),IF(Inputs!AC133&lt;0,1,0),1)+IF(ISNUMBER(Inputs!AC134),IF(Inputs!AC134&lt;0,1,0),1)+IF(ISNUMBER(Inputs!AC135),IF(Inputs!AC135&lt;0,1,0),1)+IF(ISNUMBER(Inputs!AC136),IF(Inputs!AC136&lt;0,1,0),1)+IF(ISNUMBER(Inputs!AC144),IF(Inputs!AC144&lt;0,1,0),1)+IF(ISNUMBER(Inputs!AC145),IF(Inputs!AC145&lt;0,1,0),1)+IF(ISNUMBER(Inputs!AC147),IF(Inputs!AC147&lt;0,1,0),1)+IF(ISNUMBER(Inputs!AC148),IF(Inputs!AC148&lt;0,1,0),1)+IF(ISNUMBER(Inputs!AC149),IF(Inputs!AC149&lt;0,1,0),1)+IF(ISNUMBER(Inputs!AC150),IF(Inputs!AC150&lt;0,1,0),1)+IF(ISNUMBER(Inputs!AC156),IF(Inputs!AC156&lt;0,1,0),1)+IF(ISNUMBER(Inputs!AC158),IF(Inputs!AC158&lt;0,1,0),1)</f>
        <v>0</v>
      </c>
      <c r="AD27" s="94" t="n">
        <f aca="false">IF(ISNUMBER(Inputs!AD5),IF(Inputs!AD5&lt;0,1,0),1)+IF(ISNUMBER(Inputs!AD9),IF(Inputs!AD9&lt;-1,1,0),1)+IF(ISNUMBER(Inputs!AD10),IF(Inputs!AD10&lt;-1,1,0),1)+IF(ISNUMBER(Inputs!AD25),IF(Inputs!AD25&lt;0,1,0),1)+IF(ISNUMBER(Inputs!AD13),IF(Inputs!AD13&lt;-1,1,0),1)+IF(ISNUMBER(Inputs!AD14),IF(Inputs!AD14&lt;-1,1,0),1)+IF(ISNUMBER(Inputs!AD26),IF(Inputs!AD26&lt;0,1,0),1)+IF(ISNUMBER(Inputs!AD17),IF(Inputs!AD17&lt;-1,1,0),1)+IF(ISNUMBER(Inputs!AD18),IF(Inputs!AD18&lt;-1,1,0),1)+IF(ISNUMBER(Inputs!AD27),IF(Inputs!AD27&lt;0,1,0),1)+IF(ISNUMBER(Inputs!AD21),IF(Inputs!AD21&lt;-1,1,0),1)+IF(ISNUMBER(Inputs!AD22),IF(Inputs!AD22&lt;-1,1,0),1)+IF(ISNUMBER(Inputs!AD23),IF(Inputs!AD23&lt;-1,1,0),1)+IF(ISNUMBER(Inputs!AD29),IF(Inputs!AD29&lt;0,1,0),1)+IF(ISNUMBER(Inputs!AD30),IF(Inputs!AD30&lt;0,1,0),1)+IF(ISNUMBER(Inputs!AD31),IF(OR(Inputs!AD31&lt;0,Inputs!AD31&gt;1),1,0),1)+IF(ISNUMBER(Inputs!AD32),IF(Inputs!AD32&lt;0,1,0),1)+IF(ISNUMBER(Inputs!AD33),IF(Inputs!AD33&lt;0,1,0),1)+IF(ISNUMBER(Inputs!AD34),IF(Inputs!AD34&lt;0,1,0),1)+IF(ISNUMBER(Inputs!AD35),IF(OR(Inputs!AD35&lt;0,Inputs!AD35&gt;1),1,0),1)+IF(ISNUMBER(Inputs!AD36),IF(OR(Inputs!AD36&lt;0,Inputs!AD36&gt;1),1,0),1)+IF(ISNUMBER(Inputs!AD37),IF(OR(Inputs!AD37&lt;0,Inputs!AD37&gt;1),1,0),1)+IF(ISNUMBER(Inputs!AD38),IF(Inputs!AD38&lt;0,1,0),1)+IF(ISNUMBER(Inputs!AD41),IF(Inputs!AD41&lt;0,1,0),1)+IF(ISNUMBER(Inputs!AD44),IF(Inputs!AD44&lt;0,1,0),1)+IF(ISNUMBER(Inputs!AD42),IF(Inputs!AD42&lt;0,1,0),1)+IF(ISNUMBER(Inputs!AD45),IF(Inputs!AD45&lt;0,1,0),1)+IF(ISNUMBER(Inputs!AD43),IF(Inputs!AD43&lt;0,1,0),1)+IF(ISNUMBER(Inputs!AD46),IF(Inputs!AD46&lt;0,1,0),1)+IF(ISNUMBER(Inputs!AD47),IF(Inputs!AD47&lt;0,1,0),1)+IF(ISNUMBER(Inputs!AD48),IF(Inputs!AD48&lt;0,1,0),1)+IF(ISNUMBER(Inputs!AD49),IF(OR(Inputs!AD49&lt;0,Inputs!AD49&gt;1),1,0),1)+IF(ISNUMBER(Inputs!AD50),IF(OR(Inputs!AD50&lt;0,Inputs!AD50&gt;1),1,0),1)+IF(ISNUMBER(Inputs!AD51),IF(Inputs!AD51&lt;0,1,0),1)+IF(ISNUMBER(Inputs!AD53),IF(Inputs!AD53&lt;0,1,0),1)+IF(ISNUMBER(Inputs!AD54),IF(OR(Inputs!AD54&lt;0,Inputs!AD54&gt;1),1,0),1)+IF(ISNUMBER(Inputs!AD55),IF(Inputs!AD55&lt;0,1,0),1)+IF(ISNUMBER(Inputs!AD56),IF(Inputs!AD56&lt;0,1,0),1)+IF(ISNUMBER(Inputs!AD57),IF(FALSE(),1,0),1)+IF(ISNUMBER(Inputs!AD58),IF(Inputs!AD58&lt;0,1,0),1)+IF(ISNUMBER(Inputs!AD59),IF(Inputs!AD59&lt;0,1,0),1)+IF(ISNUMBER(Inputs!AD60),IF(Inputs!AD60&lt;0,1,0),1)+IF(ISNUMBER(Inputs!AD61),IF(FALSE(),1,0),1)+IF(ISNUMBER(Inputs!AD62),IF(FALSE(),1,0),1)+IF(ISNUMBER(Inputs!AD63),IF(Inputs!AD63&lt;0,1,0),1)+IF(ISNUMBER(Inputs!AD64),IF(Inputs!AD64&lt;0,1,0),1)+IF(ISNUMBER(Inputs!AD65),IF(Inputs!AD65&lt;0,1,0),1)+IF(ISNUMBER(Inputs!AD70),IF(OR(Inputs!AD70&lt;0,Inputs!AD70&lt;&gt;INT(Inputs!AD70)),1,0),1)+IF(ISNUMBER(Inputs!AD71),IF(OR(Inputs!AD71&lt;0,Inputs!AD71&lt;&gt;INT(Inputs!AD71)),1,0),1)+IF(ISNUMBER(Inputs!AD72),IF(OR(Inputs!AD72&lt;0,Inputs!AD72&lt;&gt;INT(Inputs!AD72)),1,0),1)+IF(ISNUMBER(Inputs!AD73),IF(OR(Inputs!AD73&lt;0,Inputs!AD73&lt;&gt;INT(Inputs!AD73)),1,0),1)+IF(ISNUMBER(Inputs!AD74),IF(OR(Inputs!AD74&lt;0,Inputs!AD74&lt;&gt;INT(Inputs!AD74)),1,0),1)+IF(ISNUMBER(Inputs!AD75),IF(OR(Inputs!AD75&lt;0,Inputs!AD75&lt;&gt;INT(Inputs!AD75)),1,0),1)+IF(ISNUMBER(Inputs!AD76),IF(OR(Inputs!AD76&lt;0,Inputs!AD76&lt;&gt;INT(Inputs!AD76)),1,0),1)+IF(ISNUMBER(Inputs!AD77),IF(OR(Inputs!AD77&lt;0,Inputs!AD77&lt;&gt;INT(Inputs!AD77)),1,0),1)+IF(ISNUMBER(Inputs!AD80),IF(Inputs!AD80&lt;0,1,0),1)+IF(ISNUMBER(Inputs!AD81),IF(Inputs!AD81&lt;0,1,0),1)+IF(ISNUMBER(Inputs!AD82),IF(Inputs!AD82&lt;0,1,0),1)+IF(ISNUMBER(Inputs!AD83),IF(OR(Inputs!AD83&lt;0,Inputs!AD83&gt;1),1,0),1)+IF(ISNUMBER(Inputs!AD90),IF(Inputs!AD90&lt;=0,1,0),1)+IF(ISNUMBER(Inputs!AD91),IF(Inputs!AD91&lt;=0,1,0),1)+IF(ISNUMBER(Inputs!AD92),IF(Inputs!AD92&lt;=0,1,0),1)+IF(ISNUMBER(Inputs!AD93),IF(Inputs!AD93&lt;=0,1,0),1)+IF(ISNUMBER(Inputs!AD94),IF(Inputs!AD94&lt;=0,1,0),1)+IF(ISNUMBER(Inputs!AD95),IF(Inputs!AD95&lt;=0,1,0),1)+IF(ISNUMBER(Inputs!AD96),IF(Inputs!AD96&lt;=0,1,0),1)+IF(ISNUMBER(Inputs!AD98),IF(OR(Inputs!AD98&lt;0,Inputs!AD98&gt;1),1,0),1)+IF(ISNUMBER(Inputs!AD99),IF(Inputs!AD99&lt;0,1,0),1)+IF(ISNUMBER(Inputs!AD100),IF(Inputs!AD100&lt;0,1,0),1)+IF(ISNUMBER(Inputs!AD101),IF(Inputs!AD101&lt;-1,1,0),1)+IF(ISNUMBER(Inputs!AD102),IF(Inputs!AD102&lt;-1,1,0),1)+IF(ISNUMBER(Inputs!AD103),IF(Inputs!AD103&lt;0,1,0),1)+IF(ISNUMBER(Inputs!AD104),IF(Inputs!AD104&lt;0,1,0),1)+IF(ISNUMBER(Inputs!AD105),IF(Inputs!AD105&lt;0,1,0),1)+IF(ISNUMBER(Inputs!AD106),IF(Inputs!AD106&lt;0,1,0),1)+IF(ISNUMBER(Inputs!AD107),IF(Inputs!AD107&lt;0,1,0),1)+IF(ISNUMBER(Inputs!AD108),IF(Inputs!AD108&lt;0,1,0),1)+IF(ISNUMBER(Inputs!AD109),IF(Inputs!AD109&lt;0,1,0),1)+IF(ISNUMBER(Inputs!AD110),IF(Inputs!AD110&lt;0,1,0),1)+IF(ISNUMBER(Inputs!AD130),IF(Inputs!AD130&lt;0,1,0),1)+IF(ISNUMBER(Inputs!AD132),IF(Inputs!AD132&lt;0,1,0),1)+IF(ISNUMBER(Inputs!AD133),IF(Inputs!AD133&lt;0,1,0),1)+IF(ISNUMBER(Inputs!AD134),IF(Inputs!AD134&lt;0,1,0),1)+IF(ISNUMBER(Inputs!AD135),IF(Inputs!AD135&lt;0,1,0),1)+IF(ISNUMBER(Inputs!AD136),IF(Inputs!AD136&lt;0,1,0),1)+IF(ISNUMBER(Inputs!AD144),IF(Inputs!AD144&lt;0,1,0),1)+IF(ISNUMBER(Inputs!AD145),IF(Inputs!AD145&lt;0,1,0),1)+IF(ISNUMBER(Inputs!AD147),IF(Inputs!AD147&lt;0,1,0),1)+IF(ISNUMBER(Inputs!AD148),IF(Inputs!AD148&lt;0,1,0),1)+IF(ISNUMBER(Inputs!AD149),IF(Inputs!AD149&lt;0,1,0),1)+IF(ISNUMBER(Inputs!AD150),IF(Inputs!AD150&lt;0,1,0),1)+IF(ISNUMBER(Inputs!AD156),IF(Inputs!AD156&lt;0,1,0),1)+IF(ISNUMBER(Inputs!AD158),IF(Inputs!AD158&lt;0,1,0),1)</f>
        <v>0</v>
      </c>
      <c r="AE27" s="94" t="n">
        <f aca="false">IF(ISNUMBER(Inputs!AE5),IF(Inputs!AE5&lt;0,1,0),1)+IF(ISNUMBER(Inputs!AE9),IF(Inputs!AE9&lt;-1,1,0),1)+IF(ISNUMBER(Inputs!AE10),IF(Inputs!AE10&lt;-1,1,0),1)+IF(ISNUMBER(Inputs!AE25),IF(Inputs!AE25&lt;0,1,0),1)+IF(ISNUMBER(Inputs!AE13),IF(Inputs!AE13&lt;-1,1,0),1)+IF(ISNUMBER(Inputs!AE14),IF(Inputs!AE14&lt;-1,1,0),1)+IF(ISNUMBER(Inputs!AE26),IF(Inputs!AE26&lt;0,1,0),1)+IF(ISNUMBER(Inputs!AE17),IF(Inputs!AE17&lt;-1,1,0),1)+IF(ISNUMBER(Inputs!AE18),IF(Inputs!AE18&lt;-1,1,0),1)+IF(ISNUMBER(Inputs!AE27),IF(Inputs!AE27&lt;0,1,0),1)+IF(ISNUMBER(Inputs!AE21),IF(Inputs!AE21&lt;-1,1,0),1)+IF(ISNUMBER(Inputs!AE22),IF(Inputs!AE22&lt;-1,1,0),1)+IF(ISNUMBER(Inputs!AE23),IF(Inputs!AE23&lt;-1,1,0),1)+IF(ISNUMBER(Inputs!AE29),IF(Inputs!AE29&lt;0,1,0),1)+IF(ISNUMBER(Inputs!AE30),IF(Inputs!AE30&lt;0,1,0),1)+IF(ISNUMBER(Inputs!AE31),IF(OR(Inputs!AE31&lt;0,Inputs!AE31&gt;1),1,0),1)+IF(ISNUMBER(Inputs!AE32),IF(Inputs!AE32&lt;0,1,0),1)+IF(ISNUMBER(Inputs!AE33),IF(Inputs!AE33&lt;0,1,0),1)+IF(ISNUMBER(Inputs!AE34),IF(Inputs!AE34&lt;0,1,0),1)+IF(ISNUMBER(Inputs!AE35),IF(OR(Inputs!AE35&lt;0,Inputs!AE35&gt;1),1,0),1)+IF(ISNUMBER(Inputs!AE36),IF(OR(Inputs!AE36&lt;0,Inputs!AE36&gt;1),1,0),1)+IF(ISNUMBER(Inputs!AE37),IF(OR(Inputs!AE37&lt;0,Inputs!AE37&gt;1),1,0),1)+IF(ISNUMBER(Inputs!AE38),IF(Inputs!AE38&lt;0,1,0),1)+IF(ISNUMBER(Inputs!AE41),IF(Inputs!AE41&lt;0,1,0),1)+IF(ISNUMBER(Inputs!AE44),IF(Inputs!AE44&lt;0,1,0),1)+IF(ISNUMBER(Inputs!AE42),IF(Inputs!AE42&lt;0,1,0),1)+IF(ISNUMBER(Inputs!AE45),IF(Inputs!AE45&lt;0,1,0),1)+IF(ISNUMBER(Inputs!AE43),IF(Inputs!AE43&lt;0,1,0),1)+IF(ISNUMBER(Inputs!AE46),IF(Inputs!AE46&lt;0,1,0),1)+IF(ISNUMBER(Inputs!AE47),IF(Inputs!AE47&lt;0,1,0),1)+IF(ISNUMBER(Inputs!AE48),IF(Inputs!AE48&lt;0,1,0),1)+IF(ISNUMBER(Inputs!AE49),IF(OR(Inputs!AE49&lt;0,Inputs!AE49&gt;1),1,0),1)+IF(ISNUMBER(Inputs!AE50),IF(OR(Inputs!AE50&lt;0,Inputs!AE50&gt;1),1,0),1)+IF(ISNUMBER(Inputs!AE51),IF(Inputs!AE51&lt;0,1,0),1)+IF(ISNUMBER(Inputs!AE53),IF(Inputs!AE53&lt;0,1,0),1)+IF(ISNUMBER(Inputs!AE54),IF(OR(Inputs!AE54&lt;0,Inputs!AE54&gt;1),1,0),1)+IF(ISNUMBER(Inputs!AE55),IF(Inputs!AE55&lt;0,1,0),1)+IF(ISNUMBER(Inputs!AE56),IF(Inputs!AE56&lt;0,1,0),1)+IF(ISNUMBER(Inputs!AE57),IF(FALSE(),1,0),1)+IF(ISNUMBER(Inputs!AE58),IF(Inputs!AE58&lt;0,1,0),1)+IF(ISNUMBER(Inputs!AE59),IF(Inputs!AE59&lt;0,1,0),1)+IF(ISNUMBER(Inputs!AE60),IF(Inputs!AE60&lt;0,1,0),1)+IF(ISNUMBER(Inputs!AE61),IF(FALSE(),1,0),1)+IF(ISNUMBER(Inputs!AE62),IF(FALSE(),1,0),1)+IF(ISNUMBER(Inputs!AE63),IF(Inputs!AE63&lt;0,1,0),1)+IF(ISNUMBER(Inputs!AE64),IF(Inputs!AE64&lt;0,1,0),1)+IF(ISNUMBER(Inputs!AE65),IF(Inputs!AE65&lt;0,1,0),1)+IF(ISNUMBER(Inputs!AE70),IF(OR(Inputs!AE70&lt;0,Inputs!AE70&lt;&gt;INT(Inputs!AE70)),1,0),1)+IF(ISNUMBER(Inputs!AE71),IF(OR(Inputs!AE71&lt;0,Inputs!AE71&lt;&gt;INT(Inputs!AE71)),1,0),1)+IF(ISNUMBER(Inputs!AE72),IF(OR(Inputs!AE72&lt;0,Inputs!AE72&lt;&gt;INT(Inputs!AE72)),1,0),1)+IF(ISNUMBER(Inputs!AE73),IF(OR(Inputs!AE73&lt;0,Inputs!AE73&lt;&gt;INT(Inputs!AE73)),1,0),1)+IF(ISNUMBER(Inputs!AE74),IF(OR(Inputs!AE74&lt;0,Inputs!AE74&lt;&gt;INT(Inputs!AE74)),1,0),1)+IF(ISNUMBER(Inputs!AE75),IF(OR(Inputs!AE75&lt;0,Inputs!AE75&lt;&gt;INT(Inputs!AE75)),1,0),1)+IF(ISNUMBER(Inputs!AE76),IF(OR(Inputs!AE76&lt;0,Inputs!AE76&lt;&gt;INT(Inputs!AE76)),1,0),1)+IF(ISNUMBER(Inputs!AE77),IF(OR(Inputs!AE77&lt;0,Inputs!AE77&lt;&gt;INT(Inputs!AE77)),1,0),1)+IF(ISNUMBER(Inputs!AE80),IF(Inputs!AE80&lt;0,1,0),1)+IF(ISNUMBER(Inputs!AE81),IF(Inputs!AE81&lt;0,1,0),1)+IF(ISNUMBER(Inputs!AE82),IF(Inputs!AE82&lt;0,1,0),1)+IF(ISNUMBER(Inputs!AE83),IF(OR(Inputs!AE83&lt;0,Inputs!AE83&gt;1),1,0),1)+IF(ISNUMBER(Inputs!AE90),IF(Inputs!AE90&lt;=0,1,0),1)+IF(ISNUMBER(Inputs!AE91),IF(Inputs!AE91&lt;=0,1,0),1)+IF(ISNUMBER(Inputs!AE92),IF(Inputs!AE92&lt;=0,1,0),1)+IF(ISNUMBER(Inputs!AE93),IF(Inputs!AE93&lt;=0,1,0),1)+IF(ISNUMBER(Inputs!AE94),IF(Inputs!AE94&lt;=0,1,0),1)+IF(ISNUMBER(Inputs!AE95),IF(Inputs!AE95&lt;=0,1,0),1)+IF(ISNUMBER(Inputs!AE96),IF(Inputs!AE96&lt;=0,1,0),1)+IF(ISNUMBER(Inputs!AE98),IF(OR(Inputs!AE98&lt;0,Inputs!AE98&gt;1),1,0),1)+IF(ISNUMBER(Inputs!AE99),IF(Inputs!AE99&lt;0,1,0),1)+IF(ISNUMBER(Inputs!AE100),IF(Inputs!AE100&lt;0,1,0),1)+IF(ISNUMBER(Inputs!AE101),IF(Inputs!AE101&lt;-1,1,0),1)+IF(ISNUMBER(Inputs!AE102),IF(Inputs!AE102&lt;-1,1,0),1)+IF(ISNUMBER(Inputs!AE103),IF(Inputs!AE103&lt;0,1,0),1)+IF(ISNUMBER(Inputs!AE104),IF(Inputs!AE104&lt;0,1,0),1)+IF(ISNUMBER(Inputs!AE105),IF(Inputs!AE105&lt;0,1,0),1)+IF(ISNUMBER(Inputs!AE106),IF(Inputs!AE106&lt;0,1,0),1)+IF(ISNUMBER(Inputs!AE107),IF(Inputs!AE107&lt;0,1,0),1)+IF(ISNUMBER(Inputs!AE108),IF(Inputs!AE108&lt;0,1,0),1)+IF(ISNUMBER(Inputs!AE109),IF(Inputs!AE109&lt;0,1,0),1)+IF(ISNUMBER(Inputs!AE110),IF(Inputs!AE110&lt;0,1,0),1)+IF(ISNUMBER(Inputs!AE130),IF(Inputs!AE130&lt;0,1,0),1)+IF(ISNUMBER(Inputs!AE132),IF(Inputs!AE132&lt;0,1,0),1)+IF(ISNUMBER(Inputs!AE133),IF(Inputs!AE133&lt;0,1,0),1)+IF(ISNUMBER(Inputs!AE134),IF(Inputs!AE134&lt;0,1,0),1)+IF(ISNUMBER(Inputs!AE135),IF(Inputs!AE135&lt;0,1,0),1)+IF(ISNUMBER(Inputs!AE136),IF(Inputs!AE136&lt;0,1,0),1)+IF(ISNUMBER(Inputs!AE144),IF(Inputs!AE144&lt;0,1,0),1)+IF(ISNUMBER(Inputs!AE145),IF(Inputs!AE145&lt;0,1,0),1)+IF(ISNUMBER(Inputs!AE147),IF(Inputs!AE147&lt;0,1,0),1)+IF(ISNUMBER(Inputs!AE148),IF(Inputs!AE148&lt;0,1,0),1)+IF(ISNUMBER(Inputs!AE149),IF(Inputs!AE149&lt;0,1,0),1)+IF(ISNUMBER(Inputs!AE150),IF(Inputs!AE150&lt;0,1,0),1)+IF(ISNUMBER(Inputs!AE156),IF(Inputs!AE156&lt;0,1,0),1)+IF(ISNUMBER(Inputs!AE158),IF(Inputs!AE158&lt;0,1,0),1)</f>
        <v>0</v>
      </c>
      <c r="AF27" s="94" t="n">
        <f aca="false">IF(ISNUMBER(Inputs!AF5),IF(Inputs!AF5&lt;0,1,0),1)+IF(ISNUMBER(Inputs!AF9),IF(Inputs!AF9&lt;-1,1,0),1)+IF(ISNUMBER(Inputs!AF10),IF(Inputs!AF10&lt;-1,1,0),1)+IF(ISNUMBER(Inputs!AF25),IF(Inputs!AF25&lt;0,1,0),1)+IF(ISNUMBER(Inputs!AF13),IF(Inputs!AF13&lt;-1,1,0),1)+IF(ISNUMBER(Inputs!AF14),IF(Inputs!AF14&lt;-1,1,0),1)+IF(ISNUMBER(Inputs!AF26),IF(Inputs!AF26&lt;0,1,0),1)+IF(ISNUMBER(Inputs!AF17),IF(Inputs!AF17&lt;-1,1,0),1)+IF(ISNUMBER(Inputs!AF18),IF(Inputs!AF18&lt;-1,1,0),1)+IF(ISNUMBER(Inputs!AF27),IF(Inputs!AF27&lt;0,1,0),1)+IF(ISNUMBER(Inputs!AF21),IF(Inputs!AF21&lt;-1,1,0),1)+IF(ISNUMBER(Inputs!AF22),IF(Inputs!AF22&lt;-1,1,0),1)+IF(ISNUMBER(Inputs!AF23),IF(Inputs!AF23&lt;-1,1,0),1)+IF(ISNUMBER(Inputs!AF29),IF(Inputs!AF29&lt;0,1,0),1)+IF(ISNUMBER(Inputs!AF30),IF(Inputs!AF30&lt;0,1,0),1)+IF(ISNUMBER(Inputs!AF31),IF(OR(Inputs!AF31&lt;0,Inputs!AF31&gt;1),1,0),1)+IF(ISNUMBER(Inputs!AF32),IF(Inputs!AF32&lt;0,1,0),1)+IF(ISNUMBER(Inputs!AF33),IF(Inputs!AF33&lt;0,1,0),1)+IF(ISNUMBER(Inputs!AF34),IF(Inputs!AF34&lt;0,1,0),1)+IF(ISNUMBER(Inputs!AF35),IF(OR(Inputs!AF35&lt;0,Inputs!AF35&gt;1),1,0),1)+IF(ISNUMBER(Inputs!AF36),IF(OR(Inputs!AF36&lt;0,Inputs!AF36&gt;1),1,0),1)+IF(ISNUMBER(Inputs!AF37),IF(OR(Inputs!AF37&lt;0,Inputs!AF37&gt;1),1,0),1)+IF(ISNUMBER(Inputs!AF38),IF(Inputs!AF38&lt;0,1,0),1)+IF(ISNUMBER(Inputs!AF41),IF(Inputs!AF41&lt;0,1,0),1)+IF(ISNUMBER(Inputs!AF44),IF(Inputs!AF44&lt;0,1,0),1)+IF(ISNUMBER(Inputs!AF42),IF(Inputs!AF42&lt;0,1,0),1)+IF(ISNUMBER(Inputs!AF45),IF(Inputs!AF45&lt;0,1,0),1)+IF(ISNUMBER(Inputs!AF43),IF(Inputs!AF43&lt;0,1,0),1)+IF(ISNUMBER(Inputs!AF46),IF(Inputs!AF46&lt;0,1,0),1)+IF(ISNUMBER(Inputs!AF47),IF(Inputs!AF47&lt;0,1,0),1)+IF(ISNUMBER(Inputs!AF48),IF(Inputs!AF48&lt;0,1,0),1)+IF(ISNUMBER(Inputs!AF49),IF(OR(Inputs!AF49&lt;0,Inputs!AF49&gt;1),1,0),1)+IF(ISNUMBER(Inputs!AF50),IF(OR(Inputs!AF50&lt;0,Inputs!AF50&gt;1),1,0),1)+IF(ISNUMBER(Inputs!AF51),IF(Inputs!AF51&lt;0,1,0),1)+IF(ISNUMBER(Inputs!AF53),IF(Inputs!AF53&lt;0,1,0),1)+IF(ISNUMBER(Inputs!AF54),IF(OR(Inputs!AF54&lt;0,Inputs!AF54&gt;1),1,0),1)+IF(ISNUMBER(Inputs!AF55),IF(Inputs!AF55&lt;0,1,0),1)+IF(ISNUMBER(Inputs!AF56),IF(Inputs!AF56&lt;0,1,0),1)+IF(ISNUMBER(Inputs!AF57),IF(FALSE(),1,0),1)+IF(ISNUMBER(Inputs!AF58),IF(Inputs!AF58&lt;0,1,0),1)+IF(ISNUMBER(Inputs!AF59),IF(Inputs!AF59&lt;0,1,0),1)+IF(ISNUMBER(Inputs!AF60),IF(Inputs!AF60&lt;0,1,0),1)+IF(ISNUMBER(Inputs!AF61),IF(FALSE(),1,0),1)+IF(ISNUMBER(Inputs!AF62),IF(FALSE(),1,0),1)+IF(ISNUMBER(Inputs!AF63),IF(Inputs!AF63&lt;0,1,0),1)+IF(ISNUMBER(Inputs!AF64),IF(Inputs!AF64&lt;0,1,0),1)+IF(ISNUMBER(Inputs!AF65),IF(Inputs!AF65&lt;0,1,0),1)+IF(ISNUMBER(Inputs!AF70),IF(OR(Inputs!AF70&lt;0,Inputs!AF70&lt;&gt;INT(Inputs!AF70)),1,0),1)+IF(ISNUMBER(Inputs!AF71),IF(OR(Inputs!AF71&lt;0,Inputs!AF71&lt;&gt;INT(Inputs!AF71)),1,0),1)+IF(ISNUMBER(Inputs!AF72),IF(OR(Inputs!AF72&lt;0,Inputs!AF72&lt;&gt;INT(Inputs!AF72)),1,0),1)+IF(ISNUMBER(Inputs!AF73),IF(OR(Inputs!AF73&lt;0,Inputs!AF73&lt;&gt;INT(Inputs!AF73)),1,0),1)+IF(ISNUMBER(Inputs!AF74),IF(OR(Inputs!AF74&lt;0,Inputs!AF74&lt;&gt;INT(Inputs!AF74)),1,0),1)+IF(ISNUMBER(Inputs!AF75),IF(OR(Inputs!AF75&lt;0,Inputs!AF75&lt;&gt;INT(Inputs!AF75)),1,0),1)+IF(ISNUMBER(Inputs!AF76),IF(OR(Inputs!AF76&lt;0,Inputs!AF76&lt;&gt;INT(Inputs!AF76)),1,0),1)+IF(ISNUMBER(Inputs!AF77),IF(OR(Inputs!AF77&lt;0,Inputs!AF77&lt;&gt;INT(Inputs!AF77)),1,0),1)+IF(ISNUMBER(Inputs!AF80),IF(Inputs!AF80&lt;0,1,0),1)+IF(ISNUMBER(Inputs!AF81),IF(Inputs!AF81&lt;0,1,0),1)+IF(ISNUMBER(Inputs!AF82),IF(Inputs!AF82&lt;0,1,0),1)+IF(ISNUMBER(Inputs!AF83),IF(OR(Inputs!AF83&lt;0,Inputs!AF83&gt;1),1,0),1)+IF(ISNUMBER(Inputs!AF90),IF(Inputs!AF90&lt;=0,1,0),1)+IF(ISNUMBER(Inputs!AF91),IF(Inputs!AF91&lt;=0,1,0),1)+IF(ISNUMBER(Inputs!AF92),IF(Inputs!AF92&lt;=0,1,0),1)+IF(ISNUMBER(Inputs!AF93),IF(Inputs!AF93&lt;=0,1,0),1)+IF(ISNUMBER(Inputs!AF94),IF(Inputs!AF94&lt;=0,1,0),1)+IF(ISNUMBER(Inputs!AF95),IF(Inputs!AF95&lt;=0,1,0),1)+IF(ISNUMBER(Inputs!AF96),IF(Inputs!AF96&lt;=0,1,0),1)+IF(ISNUMBER(Inputs!AF98),IF(OR(Inputs!AF98&lt;0,Inputs!AF98&gt;1),1,0),1)+IF(ISNUMBER(Inputs!AF99),IF(Inputs!AF99&lt;0,1,0),1)+IF(ISNUMBER(Inputs!AF100),IF(Inputs!AF100&lt;0,1,0),1)+IF(ISNUMBER(Inputs!AF101),IF(Inputs!AF101&lt;-1,1,0),1)+IF(ISNUMBER(Inputs!AF102),IF(Inputs!AF102&lt;-1,1,0),1)+IF(ISNUMBER(Inputs!AF103),IF(Inputs!AF103&lt;0,1,0),1)+IF(ISNUMBER(Inputs!AF104),IF(Inputs!AF104&lt;0,1,0),1)+IF(ISNUMBER(Inputs!AF105),IF(Inputs!AF105&lt;0,1,0),1)+IF(ISNUMBER(Inputs!AF106),IF(Inputs!AF106&lt;0,1,0),1)+IF(ISNUMBER(Inputs!AF107),IF(Inputs!AF107&lt;0,1,0),1)+IF(ISNUMBER(Inputs!AF108),IF(Inputs!AF108&lt;0,1,0),1)+IF(ISNUMBER(Inputs!AF109),IF(Inputs!AF109&lt;0,1,0),1)+IF(ISNUMBER(Inputs!AF110),IF(Inputs!AF110&lt;0,1,0),1)+IF(ISNUMBER(Inputs!AF130),IF(Inputs!AF130&lt;0,1,0),1)+IF(ISNUMBER(Inputs!AF132),IF(Inputs!AF132&lt;0,1,0),1)+IF(ISNUMBER(Inputs!AF133),IF(Inputs!AF133&lt;0,1,0),1)+IF(ISNUMBER(Inputs!AF134),IF(Inputs!AF134&lt;0,1,0),1)+IF(ISNUMBER(Inputs!AF135),IF(Inputs!AF135&lt;0,1,0),1)+IF(ISNUMBER(Inputs!AF136),IF(Inputs!AF136&lt;0,1,0),1)+IF(ISNUMBER(Inputs!AF144),IF(Inputs!AF144&lt;0,1,0),1)+IF(ISNUMBER(Inputs!AF145),IF(Inputs!AF145&lt;0,1,0),1)+IF(ISNUMBER(Inputs!AF147),IF(Inputs!AF147&lt;0,1,0),1)+IF(ISNUMBER(Inputs!AF148),IF(Inputs!AF148&lt;0,1,0),1)+IF(ISNUMBER(Inputs!AF149),IF(Inputs!AF149&lt;0,1,0),1)+IF(ISNUMBER(Inputs!AF150),IF(Inputs!AF150&lt;0,1,0),1)+IF(ISNUMBER(Inputs!AF156),IF(Inputs!AF156&lt;0,1,0),1)+IF(ISNUMBER(Inputs!AF158),IF(Inputs!AF158&lt;0,1,0),1)</f>
        <v>0</v>
      </c>
      <c r="AG27" s="94" t="n">
        <f aca="false">IF(ISNUMBER(Inputs!AG5),IF(Inputs!AG5&lt;0,1,0),1)+IF(ISNUMBER(Inputs!AG9),IF(Inputs!AG9&lt;-1,1,0),1)+IF(ISNUMBER(Inputs!AG10),IF(Inputs!AG10&lt;-1,1,0),1)+IF(ISNUMBER(Inputs!AG25),IF(Inputs!AG25&lt;0,1,0),1)+IF(ISNUMBER(Inputs!AG13),IF(Inputs!AG13&lt;-1,1,0),1)+IF(ISNUMBER(Inputs!AG14),IF(Inputs!AG14&lt;-1,1,0),1)+IF(ISNUMBER(Inputs!AG26),IF(Inputs!AG26&lt;0,1,0),1)+IF(ISNUMBER(Inputs!AG17),IF(Inputs!AG17&lt;-1,1,0),1)+IF(ISNUMBER(Inputs!AG18),IF(Inputs!AG18&lt;-1,1,0),1)+IF(ISNUMBER(Inputs!AG27),IF(Inputs!AG27&lt;0,1,0),1)+IF(ISNUMBER(Inputs!AG21),IF(Inputs!AG21&lt;-1,1,0),1)+IF(ISNUMBER(Inputs!AG22),IF(Inputs!AG22&lt;-1,1,0),1)+IF(ISNUMBER(Inputs!AG23),IF(Inputs!AG23&lt;-1,1,0),1)+IF(ISNUMBER(Inputs!AG29),IF(Inputs!AG29&lt;0,1,0),1)+IF(ISNUMBER(Inputs!AG30),IF(Inputs!AG30&lt;0,1,0),1)+IF(ISNUMBER(Inputs!AG31),IF(OR(Inputs!AG31&lt;0,Inputs!AG31&gt;1),1,0),1)+IF(ISNUMBER(Inputs!AG32),IF(Inputs!AG32&lt;0,1,0),1)+IF(ISNUMBER(Inputs!AG33),IF(Inputs!AG33&lt;0,1,0),1)+IF(ISNUMBER(Inputs!AG34),IF(Inputs!AG34&lt;0,1,0),1)+IF(ISNUMBER(Inputs!AG35),IF(OR(Inputs!AG35&lt;0,Inputs!AG35&gt;1),1,0),1)+IF(ISNUMBER(Inputs!AG36),IF(OR(Inputs!AG36&lt;0,Inputs!AG36&gt;1),1,0),1)+IF(ISNUMBER(Inputs!AG37),IF(OR(Inputs!AG37&lt;0,Inputs!AG37&gt;1),1,0),1)+IF(ISNUMBER(Inputs!AG38),IF(Inputs!AG38&lt;0,1,0),1)+IF(ISNUMBER(Inputs!AG41),IF(Inputs!AG41&lt;0,1,0),1)+IF(ISNUMBER(Inputs!AG44),IF(Inputs!AG44&lt;0,1,0),1)+IF(ISNUMBER(Inputs!AG42),IF(Inputs!AG42&lt;0,1,0),1)+IF(ISNUMBER(Inputs!AG45),IF(Inputs!AG45&lt;0,1,0),1)+IF(ISNUMBER(Inputs!AG43),IF(Inputs!AG43&lt;0,1,0),1)+IF(ISNUMBER(Inputs!AG46),IF(Inputs!AG46&lt;0,1,0),1)+IF(ISNUMBER(Inputs!AG47),IF(Inputs!AG47&lt;0,1,0),1)+IF(ISNUMBER(Inputs!AG48),IF(Inputs!AG48&lt;0,1,0),1)+IF(ISNUMBER(Inputs!AG49),IF(OR(Inputs!AG49&lt;0,Inputs!AG49&gt;1),1,0),1)+IF(ISNUMBER(Inputs!AG50),IF(OR(Inputs!AG50&lt;0,Inputs!AG50&gt;1),1,0),1)+IF(ISNUMBER(Inputs!AG51),IF(Inputs!AG51&lt;0,1,0),1)+IF(ISNUMBER(Inputs!AG53),IF(Inputs!AG53&lt;0,1,0),1)+IF(ISNUMBER(Inputs!AG54),IF(OR(Inputs!AG54&lt;0,Inputs!AG54&gt;1),1,0),1)+IF(ISNUMBER(Inputs!AG55),IF(Inputs!AG55&lt;0,1,0),1)+IF(ISNUMBER(Inputs!AG56),IF(Inputs!AG56&lt;0,1,0),1)+IF(ISNUMBER(Inputs!AG57),IF(FALSE(),1,0),1)+IF(ISNUMBER(Inputs!AG58),IF(Inputs!AG58&lt;0,1,0),1)+IF(ISNUMBER(Inputs!AG59),IF(Inputs!AG59&lt;0,1,0),1)+IF(ISNUMBER(Inputs!AG60),IF(Inputs!AG60&lt;0,1,0),1)+IF(ISNUMBER(Inputs!AG61),IF(FALSE(),1,0),1)+IF(ISNUMBER(Inputs!AG62),IF(FALSE(),1,0),1)+IF(ISNUMBER(Inputs!AG63),IF(Inputs!AG63&lt;0,1,0),1)+IF(ISNUMBER(Inputs!AG64),IF(Inputs!AG64&lt;0,1,0),1)+IF(ISNUMBER(Inputs!AG65),IF(Inputs!AG65&lt;0,1,0),1)+IF(ISNUMBER(Inputs!AG70),IF(OR(Inputs!AG70&lt;0,Inputs!AG70&lt;&gt;INT(Inputs!AG70)),1,0),1)+IF(ISNUMBER(Inputs!AG71),IF(OR(Inputs!AG71&lt;0,Inputs!AG71&lt;&gt;INT(Inputs!AG71)),1,0),1)+IF(ISNUMBER(Inputs!AG72),IF(OR(Inputs!AG72&lt;0,Inputs!AG72&lt;&gt;INT(Inputs!AG72)),1,0),1)+IF(ISNUMBER(Inputs!AG73),IF(OR(Inputs!AG73&lt;0,Inputs!AG73&lt;&gt;INT(Inputs!AG73)),1,0),1)+IF(ISNUMBER(Inputs!AG74),IF(OR(Inputs!AG74&lt;0,Inputs!AG74&lt;&gt;INT(Inputs!AG74)),1,0),1)+IF(ISNUMBER(Inputs!AG75),IF(OR(Inputs!AG75&lt;0,Inputs!AG75&lt;&gt;INT(Inputs!AG75)),1,0),1)+IF(ISNUMBER(Inputs!AG76),IF(OR(Inputs!AG76&lt;0,Inputs!AG76&lt;&gt;INT(Inputs!AG76)),1,0),1)+IF(ISNUMBER(Inputs!AG77),IF(OR(Inputs!AG77&lt;0,Inputs!AG77&lt;&gt;INT(Inputs!AG77)),1,0),1)+IF(ISNUMBER(Inputs!AG80),IF(Inputs!AG80&lt;0,1,0),1)+IF(ISNUMBER(Inputs!AG81),IF(Inputs!AG81&lt;0,1,0),1)+IF(ISNUMBER(Inputs!AG82),IF(Inputs!AG82&lt;0,1,0),1)+IF(ISNUMBER(Inputs!AG83),IF(OR(Inputs!AG83&lt;0,Inputs!AG83&gt;1),1,0),1)+IF(ISNUMBER(Inputs!AG90),IF(Inputs!AG90&lt;=0,1,0),1)+IF(ISNUMBER(Inputs!AG91),IF(Inputs!AG91&lt;=0,1,0),1)+IF(ISNUMBER(Inputs!AG92),IF(Inputs!AG92&lt;=0,1,0),1)+IF(ISNUMBER(Inputs!AG93),IF(Inputs!AG93&lt;=0,1,0),1)+IF(ISNUMBER(Inputs!AG94),IF(Inputs!AG94&lt;=0,1,0),1)+IF(ISNUMBER(Inputs!AG95),IF(Inputs!AG95&lt;=0,1,0),1)+IF(ISNUMBER(Inputs!AG96),IF(Inputs!AG96&lt;=0,1,0),1)+IF(ISNUMBER(Inputs!AG98),IF(OR(Inputs!AG98&lt;0,Inputs!AG98&gt;1),1,0),1)+IF(ISNUMBER(Inputs!AG99),IF(Inputs!AG99&lt;0,1,0),1)+IF(ISNUMBER(Inputs!AG100),IF(Inputs!AG100&lt;0,1,0),1)+IF(ISNUMBER(Inputs!AG101),IF(Inputs!AG101&lt;-1,1,0),1)+IF(ISNUMBER(Inputs!AG102),IF(Inputs!AG102&lt;-1,1,0),1)+IF(ISNUMBER(Inputs!AG103),IF(Inputs!AG103&lt;0,1,0),1)+IF(ISNUMBER(Inputs!AG104),IF(Inputs!AG104&lt;0,1,0),1)+IF(ISNUMBER(Inputs!AG105),IF(Inputs!AG105&lt;0,1,0),1)+IF(ISNUMBER(Inputs!AG106),IF(Inputs!AG106&lt;0,1,0),1)+IF(ISNUMBER(Inputs!AG107),IF(Inputs!AG107&lt;0,1,0),1)+IF(ISNUMBER(Inputs!AG108),IF(Inputs!AG108&lt;0,1,0),1)+IF(ISNUMBER(Inputs!AG109),IF(Inputs!AG109&lt;0,1,0),1)+IF(ISNUMBER(Inputs!AG110),IF(Inputs!AG110&lt;0,1,0),1)+IF(ISNUMBER(Inputs!AG130),IF(Inputs!AG130&lt;0,1,0),1)+IF(ISNUMBER(Inputs!AG132),IF(Inputs!AG132&lt;0,1,0),1)+IF(ISNUMBER(Inputs!AG133),IF(Inputs!AG133&lt;0,1,0),1)+IF(ISNUMBER(Inputs!AG134),IF(Inputs!AG134&lt;0,1,0),1)+IF(ISNUMBER(Inputs!AG135),IF(Inputs!AG135&lt;0,1,0),1)+IF(ISNUMBER(Inputs!AG136),IF(Inputs!AG136&lt;0,1,0),1)+IF(ISNUMBER(Inputs!AG144),IF(Inputs!AG144&lt;0,1,0),1)+IF(ISNUMBER(Inputs!AG145),IF(Inputs!AG145&lt;0,1,0),1)+IF(ISNUMBER(Inputs!AG147),IF(Inputs!AG147&lt;0,1,0),1)+IF(ISNUMBER(Inputs!AG148),IF(Inputs!AG148&lt;0,1,0),1)+IF(ISNUMBER(Inputs!AG149),IF(Inputs!AG149&lt;0,1,0),1)+IF(ISNUMBER(Inputs!AG150),IF(Inputs!AG150&lt;0,1,0),1)+IF(ISNUMBER(Inputs!AG156),IF(Inputs!AG156&lt;0,1,0),1)+IF(ISNUMBER(Inputs!AG158),IF(Inputs!AG158&lt;0,1,0),1)</f>
        <v>0</v>
      </c>
      <c r="AH27" s="94" t="n">
        <f aca="false">IF(ISNUMBER(Inputs!AH5),IF(Inputs!AH5&lt;0,1,0),1)+IF(ISNUMBER(Inputs!AH9),IF(Inputs!AH9&lt;-1,1,0),1)+IF(ISNUMBER(Inputs!AH10),IF(Inputs!AH10&lt;-1,1,0),1)+IF(ISNUMBER(Inputs!AH25),IF(Inputs!AH25&lt;0,1,0),1)+IF(ISNUMBER(Inputs!AH13),IF(Inputs!AH13&lt;-1,1,0),1)+IF(ISNUMBER(Inputs!AH14),IF(Inputs!AH14&lt;-1,1,0),1)+IF(ISNUMBER(Inputs!AH26),IF(Inputs!AH26&lt;0,1,0),1)+IF(ISNUMBER(Inputs!AH17),IF(Inputs!AH17&lt;-1,1,0),1)+IF(ISNUMBER(Inputs!AH18),IF(Inputs!AH18&lt;-1,1,0),1)+IF(ISNUMBER(Inputs!AH27),IF(Inputs!AH27&lt;0,1,0),1)+IF(ISNUMBER(Inputs!AH21),IF(Inputs!AH21&lt;-1,1,0),1)+IF(ISNUMBER(Inputs!AH22),IF(Inputs!AH22&lt;-1,1,0),1)+IF(ISNUMBER(Inputs!AH23),IF(Inputs!AH23&lt;-1,1,0),1)+IF(ISNUMBER(Inputs!AH29),IF(Inputs!AH29&lt;0,1,0),1)+IF(ISNUMBER(Inputs!AH30),IF(Inputs!AH30&lt;0,1,0),1)+IF(ISNUMBER(Inputs!AH31),IF(OR(Inputs!AH31&lt;0,Inputs!AH31&gt;1),1,0),1)+IF(ISNUMBER(Inputs!AH32),IF(Inputs!AH32&lt;0,1,0),1)+IF(ISNUMBER(Inputs!AH33),IF(Inputs!AH33&lt;0,1,0),1)+IF(ISNUMBER(Inputs!AH34),IF(Inputs!AH34&lt;0,1,0),1)+IF(ISNUMBER(Inputs!AH35),IF(OR(Inputs!AH35&lt;0,Inputs!AH35&gt;1),1,0),1)+IF(ISNUMBER(Inputs!AH36),IF(OR(Inputs!AH36&lt;0,Inputs!AH36&gt;1),1,0),1)+IF(ISNUMBER(Inputs!AH37),IF(OR(Inputs!AH37&lt;0,Inputs!AH37&gt;1),1,0),1)+IF(ISNUMBER(Inputs!AH38),IF(Inputs!AH38&lt;0,1,0),1)+IF(ISNUMBER(Inputs!AH41),IF(Inputs!AH41&lt;0,1,0),1)+IF(ISNUMBER(Inputs!AH44),IF(Inputs!AH44&lt;0,1,0),1)+IF(ISNUMBER(Inputs!AH42),IF(Inputs!AH42&lt;0,1,0),1)+IF(ISNUMBER(Inputs!AH45),IF(Inputs!AH45&lt;0,1,0),1)+IF(ISNUMBER(Inputs!AH43),IF(Inputs!AH43&lt;0,1,0),1)+IF(ISNUMBER(Inputs!AH46),IF(Inputs!AH46&lt;0,1,0),1)+IF(ISNUMBER(Inputs!AH47),IF(Inputs!AH47&lt;0,1,0),1)+IF(ISNUMBER(Inputs!AH48),IF(Inputs!AH48&lt;0,1,0),1)+IF(ISNUMBER(Inputs!AH49),IF(OR(Inputs!AH49&lt;0,Inputs!AH49&gt;1),1,0),1)+IF(ISNUMBER(Inputs!AH50),IF(OR(Inputs!AH50&lt;0,Inputs!AH50&gt;1),1,0),1)+IF(ISNUMBER(Inputs!AH51),IF(Inputs!AH51&lt;0,1,0),1)+IF(ISNUMBER(Inputs!AH53),IF(Inputs!AH53&lt;0,1,0),1)+IF(ISNUMBER(Inputs!AH54),IF(OR(Inputs!AH54&lt;0,Inputs!AH54&gt;1),1,0),1)+IF(ISNUMBER(Inputs!AH55),IF(Inputs!AH55&lt;0,1,0),1)+IF(ISNUMBER(Inputs!AH56),IF(Inputs!AH56&lt;0,1,0),1)+IF(ISNUMBER(Inputs!AH57),IF(FALSE(),1,0),1)+IF(ISNUMBER(Inputs!AH58),IF(Inputs!AH58&lt;0,1,0),1)+IF(ISNUMBER(Inputs!AH59),IF(Inputs!AH59&lt;0,1,0),1)+IF(ISNUMBER(Inputs!AH60),IF(Inputs!AH60&lt;0,1,0),1)+IF(ISNUMBER(Inputs!AH61),IF(FALSE(),1,0),1)+IF(ISNUMBER(Inputs!AH62),IF(FALSE(),1,0),1)+IF(ISNUMBER(Inputs!AH63),IF(Inputs!AH63&lt;0,1,0),1)+IF(ISNUMBER(Inputs!AH64),IF(Inputs!AH64&lt;0,1,0),1)+IF(ISNUMBER(Inputs!AH65),IF(Inputs!AH65&lt;0,1,0),1)+IF(ISNUMBER(Inputs!AH70),IF(OR(Inputs!AH70&lt;0,Inputs!AH70&lt;&gt;INT(Inputs!AH70)),1,0),1)+IF(ISNUMBER(Inputs!AH71),IF(OR(Inputs!AH71&lt;0,Inputs!AH71&lt;&gt;INT(Inputs!AH71)),1,0),1)+IF(ISNUMBER(Inputs!AH72),IF(OR(Inputs!AH72&lt;0,Inputs!AH72&lt;&gt;INT(Inputs!AH72)),1,0),1)+IF(ISNUMBER(Inputs!AH73),IF(OR(Inputs!AH73&lt;0,Inputs!AH73&lt;&gt;INT(Inputs!AH73)),1,0),1)+IF(ISNUMBER(Inputs!AH74),IF(OR(Inputs!AH74&lt;0,Inputs!AH74&lt;&gt;INT(Inputs!AH74)),1,0),1)+IF(ISNUMBER(Inputs!AH75),IF(OR(Inputs!AH75&lt;0,Inputs!AH75&lt;&gt;INT(Inputs!AH75)),1,0),1)+IF(ISNUMBER(Inputs!AH76),IF(OR(Inputs!AH76&lt;0,Inputs!AH76&lt;&gt;INT(Inputs!AH76)),1,0),1)+IF(ISNUMBER(Inputs!AH77),IF(OR(Inputs!AH77&lt;0,Inputs!AH77&lt;&gt;INT(Inputs!AH77)),1,0),1)+IF(ISNUMBER(Inputs!AH80),IF(Inputs!AH80&lt;0,1,0),1)+IF(ISNUMBER(Inputs!AH81),IF(Inputs!AH81&lt;0,1,0),1)+IF(ISNUMBER(Inputs!AH82),IF(Inputs!AH82&lt;0,1,0),1)+IF(ISNUMBER(Inputs!AH83),IF(OR(Inputs!AH83&lt;0,Inputs!AH83&gt;1),1,0),1)+IF(ISNUMBER(Inputs!AH90),IF(Inputs!AH90&lt;=0,1,0),1)+IF(ISNUMBER(Inputs!AH91),IF(Inputs!AH91&lt;=0,1,0),1)+IF(ISNUMBER(Inputs!AH92),IF(Inputs!AH92&lt;=0,1,0),1)+IF(ISNUMBER(Inputs!AH93),IF(Inputs!AH93&lt;=0,1,0),1)+IF(ISNUMBER(Inputs!AH94),IF(Inputs!AH94&lt;=0,1,0),1)+IF(ISNUMBER(Inputs!AH95),IF(Inputs!AH95&lt;=0,1,0),1)+IF(ISNUMBER(Inputs!AH96),IF(Inputs!AH96&lt;=0,1,0),1)+IF(ISNUMBER(Inputs!AH98),IF(OR(Inputs!AH98&lt;0,Inputs!AH98&gt;1),1,0),1)+IF(ISNUMBER(Inputs!AH99),IF(Inputs!AH99&lt;0,1,0),1)+IF(ISNUMBER(Inputs!AH100),IF(Inputs!AH100&lt;0,1,0),1)+IF(ISNUMBER(Inputs!AH101),IF(Inputs!AH101&lt;-1,1,0),1)+IF(ISNUMBER(Inputs!AH102),IF(Inputs!AH102&lt;-1,1,0),1)+IF(ISNUMBER(Inputs!AH103),IF(Inputs!AH103&lt;0,1,0),1)+IF(ISNUMBER(Inputs!AH104),IF(Inputs!AH104&lt;0,1,0),1)+IF(ISNUMBER(Inputs!AH105),IF(Inputs!AH105&lt;0,1,0),1)+IF(ISNUMBER(Inputs!AH106),IF(Inputs!AH106&lt;0,1,0),1)+IF(ISNUMBER(Inputs!AH107),IF(Inputs!AH107&lt;0,1,0),1)+IF(ISNUMBER(Inputs!AH108),IF(Inputs!AH108&lt;0,1,0),1)+IF(ISNUMBER(Inputs!AH109),IF(Inputs!AH109&lt;0,1,0),1)+IF(ISNUMBER(Inputs!AH110),IF(Inputs!AH110&lt;0,1,0),1)+IF(ISNUMBER(Inputs!AH130),IF(Inputs!AH130&lt;0,1,0),1)+IF(ISNUMBER(Inputs!AH132),IF(Inputs!AH132&lt;0,1,0),1)+IF(ISNUMBER(Inputs!AH133),IF(Inputs!AH133&lt;0,1,0),1)+IF(ISNUMBER(Inputs!AH134),IF(Inputs!AH134&lt;0,1,0),1)+IF(ISNUMBER(Inputs!AH135),IF(Inputs!AH135&lt;0,1,0),1)+IF(ISNUMBER(Inputs!AH136),IF(Inputs!AH136&lt;0,1,0),1)+IF(ISNUMBER(Inputs!AH144),IF(Inputs!AH144&lt;0,1,0),1)+IF(ISNUMBER(Inputs!AH145),IF(Inputs!AH145&lt;0,1,0),1)+IF(ISNUMBER(Inputs!AH147),IF(Inputs!AH147&lt;0,1,0),1)+IF(ISNUMBER(Inputs!AH148),IF(Inputs!AH148&lt;0,1,0),1)+IF(ISNUMBER(Inputs!AH149),IF(Inputs!AH149&lt;0,1,0),1)+IF(ISNUMBER(Inputs!AH150),IF(Inputs!AH150&lt;0,1,0),1)+IF(ISNUMBER(Inputs!AH156),IF(Inputs!AH156&lt;0,1,0),1)+IF(ISNUMBER(Inputs!AH158),IF(Inputs!AH158&lt;0,1,0),1)</f>
        <v>0</v>
      </c>
      <c r="AI27" s="94" t="n">
        <f aca="false">IF(ISNUMBER(Inputs!AI5),IF(Inputs!AI5&lt;0,1,0),1)+IF(ISNUMBER(Inputs!AI9),IF(Inputs!AI9&lt;-1,1,0),1)+IF(ISNUMBER(Inputs!AI10),IF(Inputs!AI10&lt;-1,1,0),1)+IF(ISNUMBER(Inputs!AI25),IF(Inputs!AI25&lt;0,1,0),1)+IF(ISNUMBER(Inputs!AI13),IF(Inputs!AI13&lt;-1,1,0),1)+IF(ISNUMBER(Inputs!AI14),IF(Inputs!AI14&lt;-1,1,0),1)+IF(ISNUMBER(Inputs!AI26),IF(Inputs!AI26&lt;0,1,0),1)+IF(ISNUMBER(Inputs!AI17),IF(Inputs!AI17&lt;-1,1,0),1)+IF(ISNUMBER(Inputs!AI18),IF(Inputs!AI18&lt;-1,1,0),1)+IF(ISNUMBER(Inputs!AI27),IF(Inputs!AI27&lt;0,1,0),1)+IF(ISNUMBER(Inputs!AI21),IF(Inputs!AI21&lt;-1,1,0),1)+IF(ISNUMBER(Inputs!AI22),IF(Inputs!AI22&lt;-1,1,0),1)+IF(ISNUMBER(Inputs!AI23),IF(Inputs!AI23&lt;-1,1,0),1)+IF(ISNUMBER(Inputs!AI29),IF(Inputs!AI29&lt;0,1,0),1)+IF(ISNUMBER(Inputs!AI30),IF(Inputs!AI30&lt;0,1,0),1)+IF(ISNUMBER(Inputs!AI31),IF(OR(Inputs!AI31&lt;0,Inputs!AI31&gt;1),1,0),1)+IF(ISNUMBER(Inputs!AI32),IF(Inputs!AI32&lt;0,1,0),1)+IF(ISNUMBER(Inputs!AI33),IF(Inputs!AI33&lt;0,1,0),1)+IF(ISNUMBER(Inputs!AI34),IF(Inputs!AI34&lt;0,1,0),1)+IF(ISNUMBER(Inputs!AI35),IF(OR(Inputs!AI35&lt;0,Inputs!AI35&gt;1),1,0),1)+IF(ISNUMBER(Inputs!AI36),IF(OR(Inputs!AI36&lt;0,Inputs!AI36&gt;1),1,0),1)+IF(ISNUMBER(Inputs!AI37),IF(OR(Inputs!AI37&lt;0,Inputs!AI37&gt;1),1,0),1)+IF(ISNUMBER(Inputs!AI38),IF(Inputs!AI38&lt;0,1,0),1)+IF(ISNUMBER(Inputs!AI41),IF(Inputs!AI41&lt;0,1,0),1)+IF(ISNUMBER(Inputs!AI44),IF(Inputs!AI44&lt;0,1,0),1)+IF(ISNUMBER(Inputs!AI42),IF(Inputs!AI42&lt;0,1,0),1)+IF(ISNUMBER(Inputs!AI45),IF(Inputs!AI45&lt;0,1,0),1)+IF(ISNUMBER(Inputs!AI43),IF(Inputs!AI43&lt;0,1,0),1)+IF(ISNUMBER(Inputs!AI46),IF(Inputs!AI46&lt;0,1,0),1)+IF(ISNUMBER(Inputs!AI47),IF(Inputs!AI47&lt;0,1,0),1)+IF(ISNUMBER(Inputs!AI48),IF(Inputs!AI48&lt;0,1,0),1)+IF(ISNUMBER(Inputs!AI49),IF(OR(Inputs!AI49&lt;0,Inputs!AI49&gt;1),1,0),1)+IF(ISNUMBER(Inputs!AI50),IF(OR(Inputs!AI50&lt;0,Inputs!AI50&gt;1),1,0),1)+IF(ISNUMBER(Inputs!AI51),IF(Inputs!AI51&lt;0,1,0),1)+IF(ISNUMBER(Inputs!AI53),IF(Inputs!AI53&lt;0,1,0),1)+IF(ISNUMBER(Inputs!AI54),IF(OR(Inputs!AI54&lt;0,Inputs!AI54&gt;1),1,0),1)+IF(ISNUMBER(Inputs!AI55),IF(Inputs!AI55&lt;0,1,0),1)+IF(ISNUMBER(Inputs!AI56),IF(Inputs!AI56&lt;0,1,0),1)+IF(ISNUMBER(Inputs!AI57),IF(FALSE(),1,0),1)+IF(ISNUMBER(Inputs!AI58),IF(Inputs!AI58&lt;0,1,0),1)+IF(ISNUMBER(Inputs!AI59),IF(Inputs!AI59&lt;0,1,0),1)+IF(ISNUMBER(Inputs!AI60),IF(Inputs!AI60&lt;0,1,0),1)+IF(ISNUMBER(Inputs!AI61),IF(FALSE(),1,0),1)+IF(ISNUMBER(Inputs!AI62),IF(FALSE(),1,0),1)+IF(ISNUMBER(Inputs!AI63),IF(Inputs!AI63&lt;0,1,0),1)+IF(ISNUMBER(Inputs!AI64),IF(Inputs!AI64&lt;0,1,0),1)+IF(ISNUMBER(Inputs!AI65),IF(Inputs!AI65&lt;0,1,0),1)+IF(ISNUMBER(Inputs!AI70),IF(OR(Inputs!AI70&lt;0,Inputs!AI70&lt;&gt;INT(Inputs!AI70)),1,0),1)+IF(ISNUMBER(Inputs!AI71),IF(OR(Inputs!AI71&lt;0,Inputs!AI71&lt;&gt;INT(Inputs!AI71)),1,0),1)+IF(ISNUMBER(Inputs!AI72),IF(OR(Inputs!AI72&lt;0,Inputs!AI72&lt;&gt;INT(Inputs!AI72)),1,0),1)+IF(ISNUMBER(Inputs!AI73),IF(OR(Inputs!AI73&lt;0,Inputs!AI73&lt;&gt;INT(Inputs!AI73)),1,0),1)+IF(ISNUMBER(Inputs!AI74),IF(OR(Inputs!AI74&lt;0,Inputs!AI74&lt;&gt;INT(Inputs!AI74)),1,0),1)+IF(ISNUMBER(Inputs!AI75),IF(OR(Inputs!AI75&lt;0,Inputs!AI75&lt;&gt;INT(Inputs!AI75)),1,0),1)+IF(ISNUMBER(Inputs!AI76),IF(OR(Inputs!AI76&lt;0,Inputs!AI76&lt;&gt;INT(Inputs!AI76)),1,0),1)+IF(ISNUMBER(Inputs!AI77),IF(OR(Inputs!AI77&lt;0,Inputs!AI77&lt;&gt;INT(Inputs!AI77)),1,0),1)+IF(ISNUMBER(Inputs!AI80),IF(Inputs!AI80&lt;0,1,0),1)+IF(ISNUMBER(Inputs!AI81),IF(Inputs!AI81&lt;0,1,0),1)+IF(ISNUMBER(Inputs!AI82),IF(Inputs!AI82&lt;0,1,0),1)+IF(ISNUMBER(Inputs!AI83),IF(OR(Inputs!AI83&lt;0,Inputs!AI83&gt;1),1,0),1)+IF(ISNUMBER(Inputs!AI90),IF(Inputs!AI90&lt;=0,1,0),1)+IF(ISNUMBER(Inputs!AI91),IF(Inputs!AI91&lt;=0,1,0),1)+IF(ISNUMBER(Inputs!AI92),IF(Inputs!AI92&lt;=0,1,0),1)+IF(ISNUMBER(Inputs!AI93),IF(Inputs!AI93&lt;=0,1,0),1)+IF(ISNUMBER(Inputs!AI94),IF(Inputs!AI94&lt;=0,1,0),1)+IF(ISNUMBER(Inputs!AI95),IF(Inputs!AI95&lt;=0,1,0),1)+IF(ISNUMBER(Inputs!AI96),IF(Inputs!AI96&lt;=0,1,0),1)+IF(ISNUMBER(Inputs!AI98),IF(OR(Inputs!AI98&lt;0,Inputs!AI98&gt;1),1,0),1)+IF(ISNUMBER(Inputs!AI99),IF(Inputs!AI99&lt;0,1,0),1)+IF(ISNUMBER(Inputs!AI100),IF(Inputs!AI100&lt;0,1,0),1)+IF(ISNUMBER(Inputs!AI101),IF(Inputs!AI101&lt;-1,1,0),1)+IF(ISNUMBER(Inputs!AI102),IF(Inputs!AI102&lt;-1,1,0),1)+IF(ISNUMBER(Inputs!AI103),IF(Inputs!AI103&lt;0,1,0),1)+IF(ISNUMBER(Inputs!AI104),IF(Inputs!AI104&lt;0,1,0),1)+IF(ISNUMBER(Inputs!AI105),IF(Inputs!AI105&lt;0,1,0),1)+IF(ISNUMBER(Inputs!AI106),IF(Inputs!AI106&lt;0,1,0),1)+IF(ISNUMBER(Inputs!AI107),IF(Inputs!AI107&lt;0,1,0),1)+IF(ISNUMBER(Inputs!AI108),IF(Inputs!AI108&lt;0,1,0),1)+IF(ISNUMBER(Inputs!AI109),IF(Inputs!AI109&lt;0,1,0),1)+IF(ISNUMBER(Inputs!AI110),IF(Inputs!AI110&lt;0,1,0),1)+IF(ISNUMBER(Inputs!AI130),IF(Inputs!AI130&lt;0,1,0),1)+IF(ISNUMBER(Inputs!AI132),IF(Inputs!AI132&lt;0,1,0),1)+IF(ISNUMBER(Inputs!AI133),IF(Inputs!AI133&lt;0,1,0),1)+IF(ISNUMBER(Inputs!AI134),IF(Inputs!AI134&lt;0,1,0),1)+IF(ISNUMBER(Inputs!AI135),IF(Inputs!AI135&lt;0,1,0),1)+IF(ISNUMBER(Inputs!AI136),IF(Inputs!AI136&lt;0,1,0),1)+IF(ISNUMBER(Inputs!AI144),IF(Inputs!AI144&lt;0,1,0),1)+IF(ISNUMBER(Inputs!AI145),IF(Inputs!AI145&lt;0,1,0),1)+IF(ISNUMBER(Inputs!AI147),IF(Inputs!AI147&lt;0,1,0),1)+IF(ISNUMBER(Inputs!AI148),IF(Inputs!AI148&lt;0,1,0),1)+IF(ISNUMBER(Inputs!AI149),IF(Inputs!AI149&lt;0,1,0),1)+IF(ISNUMBER(Inputs!AI150),IF(Inputs!AI150&lt;0,1,0),1)+IF(ISNUMBER(Inputs!AI156),IF(Inputs!AI156&lt;0,1,0),1)+IF(ISNUMBER(Inputs!AI158),IF(Inputs!AI158&lt;0,1,0),1)</f>
        <v>0</v>
      </c>
      <c r="AJ27" s="94" t="n">
        <f aca="false">IF(ISNUMBER(Inputs!AJ5),IF(Inputs!AJ5&lt;0,1,0),1)+IF(ISNUMBER(Inputs!AJ9),IF(Inputs!AJ9&lt;-1,1,0),1)+IF(ISNUMBER(Inputs!AJ10),IF(Inputs!AJ10&lt;-1,1,0),1)+IF(ISNUMBER(Inputs!AJ25),IF(Inputs!AJ25&lt;0,1,0),1)+IF(ISNUMBER(Inputs!AJ13),IF(Inputs!AJ13&lt;-1,1,0),1)+IF(ISNUMBER(Inputs!AJ14),IF(Inputs!AJ14&lt;-1,1,0),1)+IF(ISNUMBER(Inputs!AJ26),IF(Inputs!AJ26&lt;0,1,0),1)+IF(ISNUMBER(Inputs!AJ17),IF(Inputs!AJ17&lt;-1,1,0),1)+IF(ISNUMBER(Inputs!AJ18),IF(Inputs!AJ18&lt;-1,1,0),1)+IF(ISNUMBER(Inputs!AJ27),IF(Inputs!AJ27&lt;0,1,0),1)+IF(ISNUMBER(Inputs!AJ21),IF(Inputs!AJ21&lt;-1,1,0),1)+IF(ISNUMBER(Inputs!AJ22),IF(Inputs!AJ22&lt;-1,1,0),1)+IF(ISNUMBER(Inputs!AJ23),IF(Inputs!AJ23&lt;-1,1,0),1)+IF(ISNUMBER(Inputs!AJ29),IF(Inputs!AJ29&lt;0,1,0),1)+IF(ISNUMBER(Inputs!AJ30),IF(Inputs!AJ30&lt;0,1,0),1)+IF(ISNUMBER(Inputs!AJ31),IF(OR(Inputs!AJ31&lt;0,Inputs!AJ31&gt;1),1,0),1)+IF(ISNUMBER(Inputs!AJ32),IF(Inputs!AJ32&lt;0,1,0),1)+IF(ISNUMBER(Inputs!AJ33),IF(Inputs!AJ33&lt;0,1,0),1)+IF(ISNUMBER(Inputs!AJ34),IF(Inputs!AJ34&lt;0,1,0),1)+IF(ISNUMBER(Inputs!AJ35),IF(OR(Inputs!AJ35&lt;0,Inputs!AJ35&gt;1),1,0),1)+IF(ISNUMBER(Inputs!AJ36),IF(OR(Inputs!AJ36&lt;0,Inputs!AJ36&gt;1),1,0),1)+IF(ISNUMBER(Inputs!AJ37),IF(OR(Inputs!AJ37&lt;0,Inputs!AJ37&gt;1),1,0),1)+IF(ISNUMBER(Inputs!AJ38),IF(Inputs!AJ38&lt;0,1,0),1)+IF(ISNUMBER(Inputs!AJ41),IF(Inputs!AJ41&lt;0,1,0),1)+IF(ISNUMBER(Inputs!AJ44),IF(Inputs!AJ44&lt;0,1,0),1)+IF(ISNUMBER(Inputs!AJ42),IF(Inputs!AJ42&lt;0,1,0),1)+IF(ISNUMBER(Inputs!AJ45),IF(Inputs!AJ45&lt;0,1,0),1)+IF(ISNUMBER(Inputs!AJ43),IF(Inputs!AJ43&lt;0,1,0),1)+IF(ISNUMBER(Inputs!AJ46),IF(Inputs!AJ46&lt;0,1,0),1)+IF(ISNUMBER(Inputs!AJ47),IF(Inputs!AJ47&lt;0,1,0),1)+IF(ISNUMBER(Inputs!AJ48),IF(Inputs!AJ48&lt;0,1,0),1)+IF(ISNUMBER(Inputs!AJ49),IF(OR(Inputs!AJ49&lt;0,Inputs!AJ49&gt;1),1,0),1)+IF(ISNUMBER(Inputs!AJ50),IF(OR(Inputs!AJ50&lt;0,Inputs!AJ50&gt;1),1,0),1)+IF(ISNUMBER(Inputs!AJ51),IF(Inputs!AJ51&lt;0,1,0),1)+IF(ISNUMBER(Inputs!AJ53),IF(Inputs!AJ53&lt;0,1,0),1)+IF(ISNUMBER(Inputs!AJ54),IF(OR(Inputs!AJ54&lt;0,Inputs!AJ54&gt;1),1,0),1)+IF(ISNUMBER(Inputs!AJ55),IF(Inputs!AJ55&lt;0,1,0),1)+IF(ISNUMBER(Inputs!AJ56),IF(Inputs!AJ56&lt;0,1,0),1)+IF(ISNUMBER(Inputs!AJ57),IF(FALSE(),1,0),1)+IF(ISNUMBER(Inputs!AJ58),IF(Inputs!AJ58&lt;0,1,0),1)+IF(ISNUMBER(Inputs!AJ59),IF(Inputs!AJ59&lt;0,1,0),1)+IF(ISNUMBER(Inputs!AJ60),IF(Inputs!AJ60&lt;0,1,0),1)+IF(ISNUMBER(Inputs!AJ61),IF(FALSE(),1,0),1)+IF(ISNUMBER(Inputs!AJ62),IF(FALSE(),1,0),1)+IF(ISNUMBER(Inputs!AJ63),IF(Inputs!AJ63&lt;0,1,0),1)+IF(ISNUMBER(Inputs!AJ64),IF(Inputs!AJ64&lt;0,1,0),1)+IF(ISNUMBER(Inputs!AJ65),IF(Inputs!AJ65&lt;0,1,0),1)+IF(ISNUMBER(Inputs!AJ70),IF(OR(Inputs!AJ70&lt;0,Inputs!AJ70&lt;&gt;INT(Inputs!AJ70)),1,0),1)+IF(ISNUMBER(Inputs!AJ71),IF(OR(Inputs!AJ71&lt;0,Inputs!AJ71&lt;&gt;INT(Inputs!AJ71)),1,0),1)+IF(ISNUMBER(Inputs!AJ72),IF(OR(Inputs!AJ72&lt;0,Inputs!AJ72&lt;&gt;INT(Inputs!AJ72)),1,0),1)+IF(ISNUMBER(Inputs!AJ73),IF(OR(Inputs!AJ73&lt;0,Inputs!AJ73&lt;&gt;INT(Inputs!AJ73)),1,0),1)+IF(ISNUMBER(Inputs!AJ74),IF(OR(Inputs!AJ74&lt;0,Inputs!AJ74&lt;&gt;INT(Inputs!AJ74)),1,0),1)+IF(ISNUMBER(Inputs!AJ75),IF(OR(Inputs!AJ75&lt;0,Inputs!AJ75&lt;&gt;INT(Inputs!AJ75)),1,0),1)+IF(ISNUMBER(Inputs!AJ76),IF(OR(Inputs!AJ76&lt;0,Inputs!AJ76&lt;&gt;INT(Inputs!AJ76)),1,0),1)+IF(ISNUMBER(Inputs!AJ77),IF(OR(Inputs!AJ77&lt;0,Inputs!AJ77&lt;&gt;INT(Inputs!AJ77)),1,0),1)+IF(ISNUMBER(Inputs!AJ80),IF(Inputs!AJ80&lt;0,1,0),1)+IF(ISNUMBER(Inputs!AJ81),IF(Inputs!AJ81&lt;0,1,0),1)+IF(ISNUMBER(Inputs!AJ82),IF(Inputs!AJ82&lt;0,1,0),1)+IF(ISNUMBER(Inputs!AJ83),IF(OR(Inputs!AJ83&lt;0,Inputs!AJ83&gt;1),1,0),1)+IF(ISNUMBER(Inputs!AJ90),IF(Inputs!AJ90&lt;=0,1,0),1)+IF(ISNUMBER(Inputs!AJ91),IF(Inputs!AJ91&lt;=0,1,0),1)+IF(ISNUMBER(Inputs!AJ92),IF(Inputs!AJ92&lt;=0,1,0),1)+IF(ISNUMBER(Inputs!AJ93),IF(Inputs!AJ93&lt;=0,1,0),1)+IF(ISNUMBER(Inputs!AJ94),IF(Inputs!AJ94&lt;=0,1,0),1)+IF(ISNUMBER(Inputs!AJ95),IF(Inputs!AJ95&lt;=0,1,0),1)+IF(ISNUMBER(Inputs!AJ96),IF(Inputs!AJ96&lt;=0,1,0),1)+IF(ISNUMBER(Inputs!AJ98),IF(OR(Inputs!AJ98&lt;0,Inputs!AJ98&gt;1),1,0),1)+IF(ISNUMBER(Inputs!AJ99),IF(Inputs!AJ99&lt;0,1,0),1)+IF(ISNUMBER(Inputs!AJ100),IF(Inputs!AJ100&lt;0,1,0),1)+IF(ISNUMBER(Inputs!AJ101),IF(Inputs!AJ101&lt;-1,1,0),1)+IF(ISNUMBER(Inputs!AJ102),IF(Inputs!AJ102&lt;-1,1,0),1)+IF(ISNUMBER(Inputs!AJ103),IF(Inputs!AJ103&lt;0,1,0),1)+IF(ISNUMBER(Inputs!AJ104),IF(Inputs!AJ104&lt;0,1,0),1)+IF(ISNUMBER(Inputs!AJ105),IF(Inputs!AJ105&lt;0,1,0),1)+IF(ISNUMBER(Inputs!AJ106),IF(Inputs!AJ106&lt;0,1,0),1)+IF(ISNUMBER(Inputs!AJ107),IF(Inputs!AJ107&lt;0,1,0),1)+IF(ISNUMBER(Inputs!AJ108),IF(Inputs!AJ108&lt;0,1,0),1)+IF(ISNUMBER(Inputs!AJ109),IF(Inputs!AJ109&lt;0,1,0),1)+IF(ISNUMBER(Inputs!AJ110),IF(Inputs!AJ110&lt;0,1,0),1)+IF(ISNUMBER(Inputs!AJ130),IF(Inputs!AJ130&lt;0,1,0),1)+IF(ISNUMBER(Inputs!AJ132),IF(Inputs!AJ132&lt;0,1,0),1)+IF(ISNUMBER(Inputs!AJ133),IF(Inputs!AJ133&lt;0,1,0),1)+IF(ISNUMBER(Inputs!AJ134),IF(Inputs!AJ134&lt;0,1,0),1)+IF(ISNUMBER(Inputs!AJ135),IF(Inputs!AJ135&lt;0,1,0),1)+IF(ISNUMBER(Inputs!AJ136),IF(Inputs!AJ136&lt;0,1,0),1)+IF(ISNUMBER(Inputs!AJ144),IF(Inputs!AJ144&lt;0,1,0),1)+IF(ISNUMBER(Inputs!AJ145),IF(Inputs!AJ145&lt;0,1,0),1)+IF(ISNUMBER(Inputs!AJ147),IF(Inputs!AJ147&lt;0,1,0),1)+IF(ISNUMBER(Inputs!AJ148),IF(Inputs!AJ148&lt;0,1,0),1)+IF(ISNUMBER(Inputs!AJ149),IF(Inputs!AJ149&lt;0,1,0),1)+IF(ISNUMBER(Inputs!AJ150),IF(Inputs!AJ150&lt;0,1,0),1)+IF(ISNUMBER(Inputs!AJ156),IF(Inputs!AJ156&lt;0,1,0),1)+IF(ISNUMBER(Inputs!AJ158),IF(Inputs!AJ158&lt;0,1,0),1)</f>
        <v>0</v>
      </c>
      <c r="AK27" s="94" t="n">
        <f aca="false">IF(ISNUMBER(Inputs!AK5),IF(Inputs!AK5&lt;0,1,0),1)+IF(ISNUMBER(Inputs!AK9),IF(Inputs!AK9&lt;-1,1,0),1)+IF(ISNUMBER(Inputs!AK10),IF(Inputs!AK10&lt;-1,1,0),1)+IF(ISNUMBER(Inputs!AK25),IF(Inputs!AK25&lt;0,1,0),1)+IF(ISNUMBER(Inputs!AK13),IF(Inputs!AK13&lt;-1,1,0),1)+IF(ISNUMBER(Inputs!AK14),IF(Inputs!AK14&lt;-1,1,0),1)+IF(ISNUMBER(Inputs!AK26),IF(Inputs!AK26&lt;0,1,0),1)+IF(ISNUMBER(Inputs!AK17),IF(Inputs!AK17&lt;-1,1,0),1)+IF(ISNUMBER(Inputs!AK18),IF(Inputs!AK18&lt;-1,1,0),1)+IF(ISNUMBER(Inputs!AK27),IF(Inputs!AK27&lt;0,1,0),1)+IF(ISNUMBER(Inputs!AK21),IF(Inputs!AK21&lt;-1,1,0),1)+IF(ISNUMBER(Inputs!AK22),IF(Inputs!AK22&lt;-1,1,0),1)+IF(ISNUMBER(Inputs!AK23),IF(Inputs!AK23&lt;-1,1,0),1)+IF(ISNUMBER(Inputs!AK29),IF(Inputs!AK29&lt;0,1,0),1)+IF(ISNUMBER(Inputs!AK30),IF(Inputs!AK30&lt;0,1,0),1)+IF(ISNUMBER(Inputs!AK31),IF(OR(Inputs!AK31&lt;0,Inputs!AK31&gt;1),1,0),1)+IF(ISNUMBER(Inputs!AK32),IF(Inputs!AK32&lt;0,1,0),1)+IF(ISNUMBER(Inputs!AK33),IF(Inputs!AK33&lt;0,1,0),1)+IF(ISNUMBER(Inputs!AK34),IF(Inputs!AK34&lt;0,1,0),1)+IF(ISNUMBER(Inputs!AK35),IF(OR(Inputs!AK35&lt;0,Inputs!AK35&gt;1),1,0),1)+IF(ISNUMBER(Inputs!AK36),IF(OR(Inputs!AK36&lt;0,Inputs!AK36&gt;1),1,0),1)+IF(ISNUMBER(Inputs!AK37),IF(OR(Inputs!AK37&lt;0,Inputs!AK37&gt;1),1,0),1)+IF(ISNUMBER(Inputs!AK38),IF(Inputs!AK38&lt;0,1,0),1)+IF(ISNUMBER(Inputs!AK41),IF(Inputs!AK41&lt;0,1,0),1)+IF(ISNUMBER(Inputs!AK44),IF(Inputs!AK44&lt;0,1,0),1)+IF(ISNUMBER(Inputs!AK42),IF(Inputs!AK42&lt;0,1,0),1)+IF(ISNUMBER(Inputs!AK45),IF(Inputs!AK45&lt;0,1,0),1)+IF(ISNUMBER(Inputs!AK43),IF(Inputs!AK43&lt;0,1,0),1)+IF(ISNUMBER(Inputs!AK46),IF(Inputs!AK46&lt;0,1,0),1)+IF(ISNUMBER(Inputs!AK47),IF(Inputs!AK47&lt;0,1,0),1)+IF(ISNUMBER(Inputs!AK48),IF(Inputs!AK48&lt;0,1,0),1)+IF(ISNUMBER(Inputs!AK49),IF(OR(Inputs!AK49&lt;0,Inputs!AK49&gt;1),1,0),1)+IF(ISNUMBER(Inputs!AK50),IF(OR(Inputs!AK50&lt;0,Inputs!AK50&gt;1),1,0),1)+IF(ISNUMBER(Inputs!AK51),IF(Inputs!AK51&lt;0,1,0),1)+IF(ISNUMBER(Inputs!AK53),IF(Inputs!AK53&lt;0,1,0),1)+IF(ISNUMBER(Inputs!AK54),IF(OR(Inputs!AK54&lt;0,Inputs!AK54&gt;1),1,0),1)+IF(ISNUMBER(Inputs!AK55),IF(Inputs!AK55&lt;0,1,0),1)+IF(ISNUMBER(Inputs!AK56),IF(Inputs!AK56&lt;0,1,0),1)+IF(ISNUMBER(Inputs!AK57),IF(FALSE(),1,0),1)+IF(ISNUMBER(Inputs!AK58),IF(Inputs!AK58&lt;0,1,0),1)+IF(ISNUMBER(Inputs!AK59),IF(Inputs!AK59&lt;0,1,0),1)+IF(ISNUMBER(Inputs!AK60),IF(Inputs!AK60&lt;0,1,0),1)+IF(ISNUMBER(Inputs!AK61),IF(FALSE(),1,0),1)+IF(ISNUMBER(Inputs!AK62),IF(FALSE(),1,0),1)+IF(ISNUMBER(Inputs!AK63),IF(Inputs!AK63&lt;0,1,0),1)+IF(ISNUMBER(Inputs!AK64),IF(Inputs!AK64&lt;0,1,0),1)+IF(ISNUMBER(Inputs!AK65),IF(Inputs!AK65&lt;0,1,0),1)+IF(ISNUMBER(Inputs!AK70),IF(OR(Inputs!AK70&lt;0,Inputs!AK70&lt;&gt;INT(Inputs!AK70)),1,0),1)+IF(ISNUMBER(Inputs!AK71),IF(OR(Inputs!AK71&lt;0,Inputs!AK71&lt;&gt;INT(Inputs!AK71)),1,0),1)+IF(ISNUMBER(Inputs!AK72),IF(OR(Inputs!AK72&lt;0,Inputs!AK72&lt;&gt;INT(Inputs!AK72)),1,0),1)+IF(ISNUMBER(Inputs!AK73),IF(OR(Inputs!AK73&lt;0,Inputs!AK73&lt;&gt;INT(Inputs!AK73)),1,0),1)+IF(ISNUMBER(Inputs!AK74),IF(OR(Inputs!AK74&lt;0,Inputs!AK74&lt;&gt;INT(Inputs!AK74)),1,0),1)+IF(ISNUMBER(Inputs!AK75),IF(OR(Inputs!AK75&lt;0,Inputs!AK75&lt;&gt;INT(Inputs!AK75)),1,0),1)+IF(ISNUMBER(Inputs!AK76),IF(OR(Inputs!AK76&lt;0,Inputs!AK76&lt;&gt;INT(Inputs!AK76)),1,0),1)+IF(ISNUMBER(Inputs!AK77),IF(OR(Inputs!AK77&lt;0,Inputs!AK77&lt;&gt;INT(Inputs!AK77)),1,0),1)+IF(ISNUMBER(Inputs!AK80),IF(Inputs!AK80&lt;0,1,0),1)+IF(ISNUMBER(Inputs!AK81),IF(Inputs!AK81&lt;0,1,0),1)+IF(ISNUMBER(Inputs!AK82),IF(Inputs!AK82&lt;0,1,0),1)+IF(ISNUMBER(Inputs!AK83),IF(OR(Inputs!AK83&lt;0,Inputs!AK83&gt;1),1,0),1)+IF(ISNUMBER(Inputs!AK90),IF(Inputs!AK90&lt;=0,1,0),1)+IF(ISNUMBER(Inputs!AK91),IF(Inputs!AK91&lt;=0,1,0),1)+IF(ISNUMBER(Inputs!AK92),IF(Inputs!AK92&lt;=0,1,0),1)+IF(ISNUMBER(Inputs!AK93),IF(Inputs!AK93&lt;=0,1,0),1)+IF(ISNUMBER(Inputs!AK94),IF(Inputs!AK94&lt;=0,1,0),1)+IF(ISNUMBER(Inputs!AK95),IF(Inputs!AK95&lt;=0,1,0),1)+IF(ISNUMBER(Inputs!AK96),IF(Inputs!AK96&lt;=0,1,0),1)+IF(ISNUMBER(Inputs!AK98),IF(OR(Inputs!AK98&lt;0,Inputs!AK98&gt;1),1,0),1)+IF(ISNUMBER(Inputs!AK99),IF(Inputs!AK99&lt;0,1,0),1)+IF(ISNUMBER(Inputs!AK100),IF(Inputs!AK100&lt;0,1,0),1)+IF(ISNUMBER(Inputs!AK101),IF(Inputs!AK101&lt;-1,1,0),1)+IF(ISNUMBER(Inputs!AK102),IF(Inputs!AK102&lt;-1,1,0),1)+IF(ISNUMBER(Inputs!AK103),IF(Inputs!AK103&lt;0,1,0),1)+IF(ISNUMBER(Inputs!AK104),IF(Inputs!AK104&lt;0,1,0),1)+IF(ISNUMBER(Inputs!AK105),IF(Inputs!AK105&lt;0,1,0),1)+IF(ISNUMBER(Inputs!AK106),IF(Inputs!AK106&lt;0,1,0),1)+IF(ISNUMBER(Inputs!AK107),IF(Inputs!AK107&lt;0,1,0),1)+IF(ISNUMBER(Inputs!AK108),IF(Inputs!AK108&lt;0,1,0),1)+IF(ISNUMBER(Inputs!AK109),IF(Inputs!AK109&lt;0,1,0),1)+IF(ISNUMBER(Inputs!AK110),IF(Inputs!AK110&lt;0,1,0),1)+IF(ISNUMBER(Inputs!AK130),IF(Inputs!AK130&lt;0,1,0),1)+IF(ISNUMBER(Inputs!AK132),IF(Inputs!AK132&lt;0,1,0),1)+IF(ISNUMBER(Inputs!AK133),IF(Inputs!AK133&lt;0,1,0),1)+IF(ISNUMBER(Inputs!AK134),IF(Inputs!AK134&lt;0,1,0),1)+IF(ISNUMBER(Inputs!AK135),IF(Inputs!AK135&lt;0,1,0),1)+IF(ISNUMBER(Inputs!AK136),IF(Inputs!AK136&lt;0,1,0),1)+IF(ISNUMBER(Inputs!AK144),IF(Inputs!AK144&lt;0,1,0),1)+IF(ISNUMBER(Inputs!AK145),IF(Inputs!AK145&lt;0,1,0),1)+IF(ISNUMBER(Inputs!AK147),IF(Inputs!AK147&lt;0,1,0),1)+IF(ISNUMBER(Inputs!AK148),IF(Inputs!AK148&lt;0,1,0),1)+IF(ISNUMBER(Inputs!AK149),IF(Inputs!AK149&lt;0,1,0),1)+IF(ISNUMBER(Inputs!AK150),IF(Inputs!AK150&lt;0,1,0),1)+IF(ISNUMBER(Inputs!AK156),IF(Inputs!AK156&lt;0,1,0),1)+IF(ISNUMBER(Inputs!AK158),IF(Inputs!AK158&lt;0,1,0),1)</f>
        <v>0</v>
      </c>
      <c r="AL27" s="94" t="n">
        <f aca="false">IF(ISNUMBER(Inputs!AL5),IF(Inputs!AL5&lt;0,1,0),1)+IF(ISNUMBER(Inputs!AL9),IF(Inputs!AL9&lt;-1,1,0),1)+IF(ISNUMBER(Inputs!AL10),IF(Inputs!AL10&lt;-1,1,0),1)+IF(ISNUMBER(Inputs!AL25),IF(Inputs!AL25&lt;0,1,0),1)+IF(ISNUMBER(Inputs!AL13),IF(Inputs!AL13&lt;-1,1,0),1)+IF(ISNUMBER(Inputs!AL14),IF(Inputs!AL14&lt;-1,1,0),1)+IF(ISNUMBER(Inputs!AL26),IF(Inputs!AL26&lt;0,1,0),1)+IF(ISNUMBER(Inputs!AL17),IF(Inputs!AL17&lt;-1,1,0),1)+IF(ISNUMBER(Inputs!AL18),IF(Inputs!AL18&lt;-1,1,0),1)+IF(ISNUMBER(Inputs!AL27),IF(Inputs!AL27&lt;0,1,0),1)+IF(ISNUMBER(Inputs!AL21),IF(Inputs!AL21&lt;-1,1,0),1)+IF(ISNUMBER(Inputs!AL22),IF(Inputs!AL22&lt;-1,1,0),1)+IF(ISNUMBER(Inputs!AL23),IF(Inputs!AL23&lt;-1,1,0),1)+IF(ISNUMBER(Inputs!AL29),IF(Inputs!AL29&lt;0,1,0),1)+IF(ISNUMBER(Inputs!AL30),IF(Inputs!AL30&lt;0,1,0),1)+IF(ISNUMBER(Inputs!AL31),IF(OR(Inputs!AL31&lt;0,Inputs!AL31&gt;1),1,0),1)+IF(ISNUMBER(Inputs!AL32),IF(Inputs!AL32&lt;0,1,0),1)+IF(ISNUMBER(Inputs!AL33),IF(Inputs!AL33&lt;0,1,0),1)+IF(ISNUMBER(Inputs!AL34),IF(Inputs!AL34&lt;0,1,0),1)+IF(ISNUMBER(Inputs!AL35),IF(OR(Inputs!AL35&lt;0,Inputs!AL35&gt;1),1,0),1)+IF(ISNUMBER(Inputs!AL36),IF(OR(Inputs!AL36&lt;0,Inputs!AL36&gt;1),1,0),1)+IF(ISNUMBER(Inputs!AL37),IF(OR(Inputs!AL37&lt;0,Inputs!AL37&gt;1),1,0),1)+IF(ISNUMBER(Inputs!AL38),IF(Inputs!AL38&lt;0,1,0),1)+IF(ISNUMBER(Inputs!AL41),IF(Inputs!AL41&lt;0,1,0),1)+IF(ISNUMBER(Inputs!AL44),IF(Inputs!AL44&lt;0,1,0),1)+IF(ISNUMBER(Inputs!AL42),IF(Inputs!AL42&lt;0,1,0),1)+IF(ISNUMBER(Inputs!AL45),IF(Inputs!AL45&lt;0,1,0),1)+IF(ISNUMBER(Inputs!AL43),IF(Inputs!AL43&lt;0,1,0),1)+IF(ISNUMBER(Inputs!AL46),IF(Inputs!AL46&lt;0,1,0),1)+IF(ISNUMBER(Inputs!AL47),IF(Inputs!AL47&lt;0,1,0),1)+IF(ISNUMBER(Inputs!AL48),IF(Inputs!AL48&lt;0,1,0),1)+IF(ISNUMBER(Inputs!AL49),IF(OR(Inputs!AL49&lt;0,Inputs!AL49&gt;1),1,0),1)+IF(ISNUMBER(Inputs!AL50),IF(OR(Inputs!AL50&lt;0,Inputs!AL50&gt;1),1,0),1)+IF(ISNUMBER(Inputs!AL51),IF(Inputs!AL51&lt;0,1,0),1)+IF(ISNUMBER(Inputs!AL53),IF(Inputs!AL53&lt;0,1,0),1)+IF(ISNUMBER(Inputs!AL54),IF(OR(Inputs!AL54&lt;0,Inputs!AL54&gt;1),1,0),1)+IF(ISNUMBER(Inputs!AL55),IF(Inputs!AL55&lt;0,1,0),1)+IF(ISNUMBER(Inputs!AL56),IF(Inputs!AL56&lt;0,1,0),1)+IF(ISNUMBER(Inputs!AL57),IF(FALSE(),1,0),1)+IF(ISNUMBER(Inputs!AL58),IF(Inputs!AL58&lt;0,1,0),1)+IF(ISNUMBER(Inputs!AL59),IF(Inputs!AL59&lt;0,1,0),1)+IF(ISNUMBER(Inputs!AL60),IF(Inputs!AL60&lt;0,1,0),1)+IF(ISNUMBER(Inputs!AL61),IF(FALSE(),1,0),1)+IF(ISNUMBER(Inputs!AL62),IF(FALSE(),1,0),1)+IF(ISNUMBER(Inputs!AL63),IF(Inputs!AL63&lt;0,1,0),1)+IF(ISNUMBER(Inputs!AL64),IF(Inputs!AL64&lt;0,1,0),1)+IF(ISNUMBER(Inputs!AL65),IF(Inputs!AL65&lt;0,1,0),1)+IF(ISNUMBER(Inputs!AL70),IF(OR(Inputs!AL70&lt;0,Inputs!AL70&lt;&gt;INT(Inputs!AL70)),1,0),1)+IF(ISNUMBER(Inputs!AL71),IF(OR(Inputs!AL71&lt;0,Inputs!AL71&lt;&gt;INT(Inputs!AL71)),1,0),1)+IF(ISNUMBER(Inputs!AL72),IF(OR(Inputs!AL72&lt;0,Inputs!AL72&lt;&gt;INT(Inputs!AL72)),1,0),1)+IF(ISNUMBER(Inputs!AL73),IF(OR(Inputs!AL73&lt;0,Inputs!AL73&lt;&gt;INT(Inputs!AL73)),1,0),1)+IF(ISNUMBER(Inputs!AL74),IF(OR(Inputs!AL74&lt;0,Inputs!AL74&lt;&gt;INT(Inputs!AL74)),1,0),1)+IF(ISNUMBER(Inputs!AL75),IF(OR(Inputs!AL75&lt;0,Inputs!AL75&lt;&gt;INT(Inputs!AL75)),1,0),1)+IF(ISNUMBER(Inputs!AL76),IF(OR(Inputs!AL76&lt;0,Inputs!AL76&lt;&gt;INT(Inputs!AL76)),1,0),1)+IF(ISNUMBER(Inputs!AL77),IF(OR(Inputs!AL77&lt;0,Inputs!AL77&lt;&gt;INT(Inputs!AL77)),1,0),1)+IF(ISNUMBER(Inputs!AL80),IF(Inputs!AL80&lt;0,1,0),1)+IF(ISNUMBER(Inputs!AL81),IF(Inputs!AL81&lt;0,1,0),1)+IF(ISNUMBER(Inputs!AL82),IF(Inputs!AL82&lt;0,1,0),1)+IF(ISNUMBER(Inputs!AL83),IF(OR(Inputs!AL83&lt;0,Inputs!AL83&gt;1),1,0),1)+IF(ISNUMBER(Inputs!AL90),IF(Inputs!AL90&lt;=0,1,0),1)+IF(ISNUMBER(Inputs!AL91),IF(Inputs!AL91&lt;=0,1,0),1)+IF(ISNUMBER(Inputs!AL92),IF(Inputs!AL92&lt;=0,1,0),1)+IF(ISNUMBER(Inputs!AL93),IF(Inputs!AL93&lt;=0,1,0),1)+IF(ISNUMBER(Inputs!AL94),IF(Inputs!AL94&lt;=0,1,0),1)+IF(ISNUMBER(Inputs!AL95),IF(Inputs!AL95&lt;=0,1,0),1)+IF(ISNUMBER(Inputs!AL96),IF(Inputs!AL96&lt;=0,1,0),1)+IF(ISNUMBER(Inputs!AL98),IF(OR(Inputs!AL98&lt;0,Inputs!AL98&gt;1),1,0),1)+IF(ISNUMBER(Inputs!AL99),IF(Inputs!AL99&lt;0,1,0),1)+IF(ISNUMBER(Inputs!AL100),IF(Inputs!AL100&lt;0,1,0),1)+IF(ISNUMBER(Inputs!AL101),IF(Inputs!AL101&lt;-1,1,0),1)+IF(ISNUMBER(Inputs!AL102),IF(Inputs!AL102&lt;-1,1,0),1)+IF(ISNUMBER(Inputs!AL103),IF(Inputs!AL103&lt;0,1,0),1)+IF(ISNUMBER(Inputs!AL104),IF(Inputs!AL104&lt;0,1,0),1)+IF(ISNUMBER(Inputs!AL105),IF(Inputs!AL105&lt;0,1,0),1)+IF(ISNUMBER(Inputs!AL106),IF(Inputs!AL106&lt;0,1,0),1)+IF(ISNUMBER(Inputs!AL107),IF(Inputs!AL107&lt;0,1,0),1)+IF(ISNUMBER(Inputs!AL108),IF(Inputs!AL108&lt;0,1,0),1)+IF(ISNUMBER(Inputs!AL109),IF(Inputs!AL109&lt;0,1,0),1)+IF(ISNUMBER(Inputs!AL110),IF(Inputs!AL110&lt;0,1,0),1)+IF(ISNUMBER(Inputs!AL130),IF(Inputs!AL130&lt;0,1,0),1)+IF(ISNUMBER(Inputs!AL132),IF(Inputs!AL132&lt;0,1,0),1)+IF(ISNUMBER(Inputs!AL133),IF(Inputs!AL133&lt;0,1,0),1)+IF(ISNUMBER(Inputs!AL134),IF(Inputs!AL134&lt;0,1,0),1)+IF(ISNUMBER(Inputs!AL135),IF(Inputs!AL135&lt;0,1,0),1)+IF(ISNUMBER(Inputs!AL136),IF(Inputs!AL136&lt;0,1,0),1)+IF(ISNUMBER(Inputs!AL144),IF(Inputs!AL144&lt;0,1,0),1)+IF(ISNUMBER(Inputs!AL145),IF(Inputs!AL145&lt;0,1,0),1)+IF(ISNUMBER(Inputs!AL147),IF(Inputs!AL147&lt;0,1,0),1)+IF(ISNUMBER(Inputs!AL148),IF(Inputs!AL148&lt;0,1,0),1)+IF(ISNUMBER(Inputs!AL149),IF(Inputs!AL149&lt;0,1,0),1)+IF(ISNUMBER(Inputs!AL150),IF(Inputs!AL150&lt;0,1,0),1)+IF(ISNUMBER(Inputs!AL156),IF(Inputs!AL156&lt;0,1,0),1)+IF(ISNUMBER(Inputs!AL158),IF(Inputs!AL158&lt;0,1,0),1)</f>
        <v>0</v>
      </c>
      <c r="AM27" s="94" t="n">
        <f aca="false">IF(ISNUMBER(Inputs!AM5),IF(Inputs!AM5&lt;0,1,0),1)+IF(ISNUMBER(Inputs!AM9),IF(Inputs!AM9&lt;-1,1,0),1)+IF(ISNUMBER(Inputs!AM10),IF(Inputs!AM10&lt;-1,1,0),1)+IF(ISNUMBER(Inputs!AM25),IF(Inputs!AM25&lt;0,1,0),1)+IF(ISNUMBER(Inputs!AM13),IF(Inputs!AM13&lt;-1,1,0),1)+IF(ISNUMBER(Inputs!AM14),IF(Inputs!AM14&lt;-1,1,0),1)+IF(ISNUMBER(Inputs!AM26),IF(Inputs!AM26&lt;0,1,0),1)+IF(ISNUMBER(Inputs!AM17),IF(Inputs!AM17&lt;-1,1,0),1)+IF(ISNUMBER(Inputs!AM18),IF(Inputs!AM18&lt;-1,1,0),1)+IF(ISNUMBER(Inputs!AM27),IF(Inputs!AM27&lt;0,1,0),1)+IF(ISNUMBER(Inputs!AM21),IF(Inputs!AM21&lt;-1,1,0),1)+IF(ISNUMBER(Inputs!AM22),IF(Inputs!AM22&lt;-1,1,0),1)+IF(ISNUMBER(Inputs!AM23),IF(Inputs!AM23&lt;-1,1,0),1)+IF(ISNUMBER(Inputs!AM29),IF(Inputs!AM29&lt;0,1,0),1)+IF(ISNUMBER(Inputs!AM30),IF(Inputs!AM30&lt;0,1,0),1)+IF(ISNUMBER(Inputs!AM31),IF(OR(Inputs!AM31&lt;0,Inputs!AM31&gt;1),1,0),1)+IF(ISNUMBER(Inputs!AM32),IF(Inputs!AM32&lt;0,1,0),1)+IF(ISNUMBER(Inputs!AM33),IF(Inputs!AM33&lt;0,1,0),1)+IF(ISNUMBER(Inputs!AM34),IF(Inputs!AM34&lt;0,1,0),1)+IF(ISNUMBER(Inputs!AM35),IF(OR(Inputs!AM35&lt;0,Inputs!AM35&gt;1),1,0),1)+IF(ISNUMBER(Inputs!AM36),IF(OR(Inputs!AM36&lt;0,Inputs!AM36&gt;1),1,0),1)+IF(ISNUMBER(Inputs!AM37),IF(OR(Inputs!AM37&lt;0,Inputs!AM37&gt;1),1,0),1)+IF(ISNUMBER(Inputs!AM38),IF(Inputs!AM38&lt;0,1,0),1)+IF(ISNUMBER(Inputs!AM41),IF(Inputs!AM41&lt;0,1,0),1)+IF(ISNUMBER(Inputs!AM44),IF(Inputs!AM44&lt;0,1,0),1)+IF(ISNUMBER(Inputs!AM42),IF(Inputs!AM42&lt;0,1,0),1)+IF(ISNUMBER(Inputs!AM45),IF(Inputs!AM45&lt;0,1,0),1)+IF(ISNUMBER(Inputs!AM43),IF(Inputs!AM43&lt;0,1,0),1)+IF(ISNUMBER(Inputs!AM46),IF(Inputs!AM46&lt;0,1,0),1)+IF(ISNUMBER(Inputs!AM47),IF(Inputs!AM47&lt;0,1,0),1)+IF(ISNUMBER(Inputs!AM48),IF(Inputs!AM48&lt;0,1,0),1)+IF(ISNUMBER(Inputs!AM49),IF(OR(Inputs!AM49&lt;0,Inputs!AM49&gt;1),1,0),1)+IF(ISNUMBER(Inputs!AM50),IF(OR(Inputs!AM50&lt;0,Inputs!AM50&gt;1),1,0),1)+IF(ISNUMBER(Inputs!AM51),IF(Inputs!AM51&lt;0,1,0),1)+IF(ISNUMBER(Inputs!AM53),IF(Inputs!AM53&lt;0,1,0),1)+IF(ISNUMBER(Inputs!AM54),IF(OR(Inputs!AM54&lt;0,Inputs!AM54&gt;1),1,0),1)+IF(ISNUMBER(Inputs!AM55),IF(Inputs!AM55&lt;0,1,0),1)+IF(ISNUMBER(Inputs!AM56),IF(Inputs!AM56&lt;0,1,0),1)+IF(ISNUMBER(Inputs!AM57),IF(FALSE(),1,0),1)+IF(ISNUMBER(Inputs!AM58),IF(Inputs!AM58&lt;0,1,0),1)+IF(ISNUMBER(Inputs!AM59),IF(Inputs!AM59&lt;0,1,0),1)+IF(ISNUMBER(Inputs!AM60),IF(Inputs!AM60&lt;0,1,0),1)+IF(ISNUMBER(Inputs!AM61),IF(FALSE(),1,0),1)+IF(ISNUMBER(Inputs!AM62),IF(FALSE(),1,0),1)+IF(ISNUMBER(Inputs!AM63),IF(Inputs!AM63&lt;0,1,0),1)+IF(ISNUMBER(Inputs!AM64),IF(Inputs!AM64&lt;0,1,0),1)+IF(ISNUMBER(Inputs!AM65),IF(Inputs!AM65&lt;0,1,0),1)+IF(ISNUMBER(Inputs!AM70),IF(OR(Inputs!AM70&lt;0,Inputs!AM70&lt;&gt;INT(Inputs!AM70)),1,0),1)+IF(ISNUMBER(Inputs!AM71),IF(OR(Inputs!AM71&lt;0,Inputs!AM71&lt;&gt;INT(Inputs!AM71)),1,0),1)+IF(ISNUMBER(Inputs!AM72),IF(OR(Inputs!AM72&lt;0,Inputs!AM72&lt;&gt;INT(Inputs!AM72)),1,0),1)+IF(ISNUMBER(Inputs!AM73),IF(OR(Inputs!AM73&lt;0,Inputs!AM73&lt;&gt;INT(Inputs!AM73)),1,0),1)+IF(ISNUMBER(Inputs!AM74),IF(OR(Inputs!AM74&lt;0,Inputs!AM74&lt;&gt;INT(Inputs!AM74)),1,0),1)+IF(ISNUMBER(Inputs!AM75),IF(OR(Inputs!AM75&lt;0,Inputs!AM75&lt;&gt;INT(Inputs!AM75)),1,0),1)+IF(ISNUMBER(Inputs!AM76),IF(OR(Inputs!AM76&lt;0,Inputs!AM76&lt;&gt;INT(Inputs!AM76)),1,0),1)+IF(ISNUMBER(Inputs!AM77),IF(OR(Inputs!AM77&lt;0,Inputs!AM77&lt;&gt;INT(Inputs!AM77)),1,0),1)+IF(ISNUMBER(Inputs!AM80),IF(Inputs!AM80&lt;0,1,0),1)+IF(ISNUMBER(Inputs!AM81),IF(Inputs!AM81&lt;0,1,0),1)+IF(ISNUMBER(Inputs!AM82),IF(Inputs!AM82&lt;0,1,0),1)+IF(ISNUMBER(Inputs!AM83),IF(OR(Inputs!AM83&lt;0,Inputs!AM83&gt;1),1,0),1)+IF(ISNUMBER(Inputs!AM90),IF(Inputs!AM90&lt;=0,1,0),1)+IF(ISNUMBER(Inputs!AM91),IF(Inputs!AM91&lt;=0,1,0),1)+IF(ISNUMBER(Inputs!AM92),IF(Inputs!AM92&lt;=0,1,0),1)+IF(ISNUMBER(Inputs!AM93),IF(Inputs!AM93&lt;=0,1,0),1)+IF(ISNUMBER(Inputs!AM94),IF(Inputs!AM94&lt;=0,1,0),1)+IF(ISNUMBER(Inputs!AM95),IF(Inputs!AM95&lt;=0,1,0),1)+IF(ISNUMBER(Inputs!AM96),IF(Inputs!AM96&lt;=0,1,0),1)+IF(ISNUMBER(Inputs!AM98),IF(OR(Inputs!AM98&lt;0,Inputs!AM98&gt;1),1,0),1)+IF(ISNUMBER(Inputs!AM99),IF(Inputs!AM99&lt;0,1,0),1)+IF(ISNUMBER(Inputs!AM100),IF(Inputs!AM100&lt;0,1,0),1)+IF(ISNUMBER(Inputs!AM101),IF(Inputs!AM101&lt;-1,1,0),1)+IF(ISNUMBER(Inputs!AM102),IF(Inputs!AM102&lt;-1,1,0),1)+IF(ISNUMBER(Inputs!AM103),IF(Inputs!AM103&lt;0,1,0),1)+IF(ISNUMBER(Inputs!AM104),IF(Inputs!AM104&lt;0,1,0),1)+IF(ISNUMBER(Inputs!AM105),IF(Inputs!AM105&lt;0,1,0),1)+IF(ISNUMBER(Inputs!AM106),IF(Inputs!AM106&lt;0,1,0),1)+IF(ISNUMBER(Inputs!AM107),IF(Inputs!AM107&lt;0,1,0),1)+IF(ISNUMBER(Inputs!AM108),IF(Inputs!AM108&lt;0,1,0),1)+IF(ISNUMBER(Inputs!AM109),IF(Inputs!AM109&lt;0,1,0),1)+IF(ISNUMBER(Inputs!AM110),IF(Inputs!AM110&lt;0,1,0),1)+IF(ISNUMBER(Inputs!AM130),IF(Inputs!AM130&lt;0,1,0),1)+IF(ISNUMBER(Inputs!AM132),IF(Inputs!AM132&lt;0,1,0),1)+IF(ISNUMBER(Inputs!AM133),IF(Inputs!AM133&lt;0,1,0),1)+IF(ISNUMBER(Inputs!AM134),IF(Inputs!AM134&lt;0,1,0),1)+IF(ISNUMBER(Inputs!AM135),IF(Inputs!AM135&lt;0,1,0),1)+IF(ISNUMBER(Inputs!AM136),IF(Inputs!AM136&lt;0,1,0),1)+IF(ISNUMBER(Inputs!AM144),IF(Inputs!AM144&lt;0,1,0),1)+IF(ISNUMBER(Inputs!AM145),IF(Inputs!AM145&lt;0,1,0),1)+IF(ISNUMBER(Inputs!AM147),IF(Inputs!AM147&lt;0,1,0),1)+IF(ISNUMBER(Inputs!AM148),IF(Inputs!AM148&lt;0,1,0),1)+IF(ISNUMBER(Inputs!AM149),IF(Inputs!AM149&lt;0,1,0),1)+IF(ISNUMBER(Inputs!AM150),IF(Inputs!AM150&lt;0,1,0),1)+IF(ISNUMBER(Inputs!AM156),IF(Inputs!AM156&lt;0,1,0),1)+IF(ISNUMBER(Inputs!AM158),IF(Inputs!AM158&lt;0,1,0),1)</f>
        <v>0</v>
      </c>
    </row>
    <row r="28" customFormat="false" ht="21" hidden="false" customHeight="true" outlineLevel="0" collapsed="false">
      <c r="C28" s="56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</row>
    <row r="29" customFormat="false" ht="21" hidden="false" customHeight="true" outlineLevel="0" collapsed="false">
      <c r="C29" s="56" t="s">
        <v>581</v>
      </c>
      <c r="D29" s="71"/>
      <c r="E29" s="71"/>
      <c r="F29" s="71"/>
      <c r="G29" s="71"/>
      <c r="H29" s="71"/>
      <c r="I29" s="71"/>
      <c r="J29" s="71" t="n">
        <f aca="false">DAY(J$7)</f>
        <v>31</v>
      </c>
      <c r="K29" s="71" t="n">
        <f aca="false">DAY(K$7)</f>
        <v>31</v>
      </c>
      <c r="L29" s="71" t="n">
        <f aca="false">DAY(L$7)</f>
        <v>30</v>
      </c>
      <c r="M29" s="71" t="n">
        <f aca="false">DAY(M$7)</f>
        <v>31</v>
      </c>
      <c r="N29" s="71" t="n">
        <f aca="false">DAY(N$7)</f>
        <v>30</v>
      </c>
      <c r="O29" s="71" t="n">
        <f aca="false">DAY(O$7)</f>
        <v>31</v>
      </c>
      <c r="P29" s="71" t="n">
        <f aca="false">DAY(P$7)</f>
        <v>31</v>
      </c>
      <c r="Q29" s="71" t="n">
        <f aca="false">DAY(Q$7)</f>
        <v>28</v>
      </c>
      <c r="R29" s="71" t="n">
        <f aca="false">DAY(R$7)</f>
        <v>31</v>
      </c>
      <c r="S29" s="71" t="n">
        <f aca="false">DAY(S$7)</f>
        <v>30</v>
      </c>
      <c r="T29" s="71" t="n">
        <f aca="false">DAY(T$7)</f>
        <v>31</v>
      </c>
      <c r="U29" s="71" t="n">
        <f aca="false">DAY(U$7)</f>
        <v>30</v>
      </c>
      <c r="V29" s="71" t="n">
        <f aca="false">DAY(V$7)</f>
        <v>31</v>
      </c>
      <c r="W29" s="71" t="n">
        <f aca="false">DAY(W$7)</f>
        <v>31</v>
      </c>
      <c r="X29" s="71" t="n">
        <f aca="false">DAY(X$7)</f>
        <v>30</v>
      </c>
      <c r="Y29" s="71" t="n">
        <f aca="false">DAY(Y$7)</f>
        <v>31</v>
      </c>
      <c r="Z29" s="71" t="n">
        <f aca="false">DAY(Z$7)</f>
        <v>30</v>
      </c>
      <c r="AA29" s="71" t="n">
        <f aca="false">DAY(AA$7)</f>
        <v>31</v>
      </c>
      <c r="AB29" s="71" t="n">
        <f aca="false">DAY(AB$7)</f>
        <v>31</v>
      </c>
      <c r="AC29" s="71" t="n">
        <f aca="false">DAY(AC$7)</f>
        <v>29</v>
      </c>
      <c r="AD29" s="71" t="n">
        <f aca="false">DAY(AD$7)</f>
        <v>31</v>
      </c>
      <c r="AE29" s="71" t="n">
        <f aca="false">DAY(AE$7)</f>
        <v>30</v>
      </c>
      <c r="AF29" s="71" t="n">
        <f aca="false">DAY(AF$7)</f>
        <v>31</v>
      </c>
      <c r="AG29" s="71" t="n">
        <f aca="false">DAY(AG$7)</f>
        <v>30</v>
      </c>
      <c r="AH29" s="71" t="n">
        <f aca="false">DAY(AH$7)</f>
        <v>31</v>
      </c>
      <c r="AI29" s="71" t="n">
        <f aca="false">DAY(AI$7)</f>
        <v>31</v>
      </c>
      <c r="AJ29" s="71" t="n">
        <f aca="false">DAY(AJ$7)</f>
        <v>30</v>
      </c>
      <c r="AK29" s="71" t="n">
        <f aca="false">DAY(AK$7)</f>
        <v>31</v>
      </c>
      <c r="AL29" s="71" t="n">
        <f aca="false">DAY(AL$7)</f>
        <v>30</v>
      </c>
      <c r="AM29" s="71" t="n">
        <f aca="false">DAY(AM$7)</f>
        <v>31</v>
      </c>
    </row>
    <row r="30" customFormat="false" ht="21" hidden="false" customHeight="true" outlineLevel="0" collapsed="false">
      <c r="C30" s="56" t="s">
        <v>582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69" t="n">
        <f aca="false">Annual!G53</f>
        <v>0</v>
      </c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69" t="n">
        <f aca="false">Annual!H53</f>
        <v>0</v>
      </c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69" t="n">
        <f aca="false">Annual!I53</f>
        <v>0</v>
      </c>
    </row>
    <row r="31" customFormat="false" ht="21" hidden="false" customHeight="true" outlineLevel="0" collapsed="false">
      <c r="C31" s="56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</row>
    <row r="32" customFormat="false" ht="21" hidden="false" customHeight="true" outlineLevel="0" collapsed="false">
      <c r="C32" s="56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</row>
    <row r="33" customFormat="false" ht="21" hidden="false" customHeight="true" outlineLevel="0" collapsed="false">
      <c r="C33" s="56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</row>
    <row r="34" customFormat="false" ht="21" hidden="false" customHeight="true" outlineLevel="0" collapsed="false">
      <c r="C34" s="56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</row>
    <row r="35" customFormat="false" ht="25" hidden="false" customHeight="true" outlineLevel="0" collapsed="false">
      <c r="C35" s="63" t="s">
        <v>583</v>
      </c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</row>
    <row r="36" customFormat="false" ht="21" hidden="false" customHeight="true" outlineLevel="0" collapsed="false">
      <c r="C36" s="56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</row>
    <row r="37" customFormat="false" ht="21" hidden="false" customHeight="true" outlineLevel="0" collapsed="false">
      <c r="C37" s="56" t="s">
        <v>584</v>
      </c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</row>
    <row r="38" customFormat="false" ht="21" hidden="false" customHeight="true" outlineLevel="0" collapsed="false">
      <c r="C38" s="56" t="s">
        <v>585</v>
      </c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</row>
    <row r="39" customFormat="false" ht="21" hidden="false" customHeight="true" outlineLevel="0" collapsed="false">
      <c r="C39" s="56" t="s">
        <v>586</v>
      </c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</row>
    <row r="40" customFormat="false" ht="21" hidden="false" customHeight="true" outlineLevel="0" collapsed="false">
      <c r="C40" s="56" t="s">
        <v>587</v>
      </c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</row>
    <row r="41" customFormat="false" ht="21" hidden="false" customHeight="true" outlineLevel="0" collapsed="false">
      <c r="C41" s="56" t="s">
        <v>588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</row>
    <row r="42" customFormat="false" ht="21" hidden="false" customHeight="true" outlineLevel="0" collapsed="false">
      <c r="C42" s="56" t="s">
        <v>589</v>
      </c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</row>
    <row r="43" customFormat="false" ht="21" hidden="false" customHeight="true" outlineLevel="0" collapsed="false">
      <c r="C43" s="56" t="s">
        <v>590</v>
      </c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</row>
    <row r="44" customFormat="false" ht="21" hidden="false" customHeight="true" outlineLevel="0" collapsed="false">
      <c r="C44" s="56" t="s">
        <v>591</v>
      </c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</row>
    <row r="45" customFormat="false" ht="21" hidden="false" customHeight="true" outlineLevel="0" collapsed="false">
      <c r="C45" s="56" t="s">
        <v>592</v>
      </c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</row>
    <row r="46" customFormat="false" ht="21" hidden="false" customHeight="true" outlineLevel="0" collapsed="false">
      <c r="C46" s="56" t="s">
        <v>593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</row>
    <row r="47" customFormat="false" ht="21" hidden="false" customHeight="true" outlineLevel="0" collapsed="false">
      <c r="C47" s="56" t="s">
        <v>594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</row>
    <row r="48" customFormat="false" ht="21" hidden="false" customHeight="true" outlineLevel="0" collapsed="false">
      <c r="C48" s="56" t="s">
        <v>595</v>
      </c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</row>
    <row r="49" customFormat="false" ht="21" hidden="false" customHeight="true" outlineLevel="0" collapsed="false">
      <c r="C49" s="56" t="s">
        <v>596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</row>
    <row r="50" customFormat="false" ht="21" hidden="false" customHeight="true" outlineLevel="0" collapsed="false">
      <c r="C50" s="56" t="s">
        <v>597</v>
      </c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</row>
    <row r="51" customFormat="false" ht="21" hidden="false" customHeight="true" outlineLevel="0" collapsed="false">
      <c r="C51" s="56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</row>
    <row r="52" customFormat="false" ht="21" hidden="false" customHeight="true" outlineLevel="0" collapsed="false">
      <c r="C52" s="56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</row>
    <row r="53" customFormat="false" ht="21" hidden="false" customHeight="true" outlineLevel="0" collapsed="false">
      <c r="C53" s="56" t="s">
        <v>598</v>
      </c>
      <c r="D53" s="59"/>
      <c r="E53" s="59"/>
      <c r="F53" s="59"/>
      <c r="G53" s="59"/>
      <c r="H53" s="59"/>
      <c r="I53" s="59"/>
      <c r="J53" s="59" t="n">
        <f aca="false">ABS(Revenue!J13)+ABS(Revenue!J22)+ABS(Revenue!J31)+ABS(Revenue!J12+Revenue!J21+Revenue!J30+Revenue!J39-Revenue!J40)</f>
        <v>0</v>
      </c>
      <c r="K53" s="59" t="n">
        <f aca="false">ABS(Revenue!K13)+ABS(Revenue!K22)+ABS(Revenue!K31)+ABS(Revenue!K12+Revenue!K21+Revenue!K30+Revenue!K39-Revenue!K40)</f>
        <v>0</v>
      </c>
      <c r="L53" s="59" t="n">
        <f aca="false">ABS(Revenue!L13)+ABS(Revenue!L22)+ABS(Revenue!L31)+ABS(Revenue!L12+Revenue!L21+Revenue!L30+Revenue!L39-Revenue!L40)</f>
        <v>0</v>
      </c>
      <c r="M53" s="59" t="n">
        <f aca="false">ABS(Revenue!M13)+ABS(Revenue!M22)+ABS(Revenue!M31)+ABS(Revenue!M12+Revenue!M21+Revenue!M30+Revenue!M39-Revenue!M40)</f>
        <v>0</v>
      </c>
      <c r="N53" s="59" t="n">
        <f aca="false">ABS(Revenue!N13)+ABS(Revenue!N22)+ABS(Revenue!N31)+ABS(Revenue!N12+Revenue!N21+Revenue!N30+Revenue!N39-Revenue!N40)</f>
        <v>0</v>
      </c>
      <c r="O53" s="59" t="n">
        <f aca="false">ABS(Revenue!O13)+ABS(Revenue!O22)+ABS(Revenue!O31)+ABS(Revenue!O12+Revenue!O21+Revenue!O30+Revenue!O39-Revenue!O40)</f>
        <v>0</v>
      </c>
      <c r="P53" s="59" t="n">
        <f aca="false">ABS(Revenue!P13)+ABS(Revenue!P22)+ABS(Revenue!P31)+ABS(Revenue!P12+Revenue!P21+Revenue!P30+Revenue!P39-Revenue!P40)</f>
        <v>0</v>
      </c>
      <c r="Q53" s="59" t="n">
        <f aca="false">ABS(Revenue!Q13)+ABS(Revenue!Q22)+ABS(Revenue!Q31)+ABS(Revenue!Q12+Revenue!Q21+Revenue!Q30+Revenue!Q39-Revenue!Q40)</f>
        <v>0</v>
      </c>
      <c r="R53" s="59" t="n">
        <f aca="false">ABS(Revenue!R13)+ABS(Revenue!R22)+ABS(Revenue!R31)+ABS(Revenue!R12+Revenue!R21+Revenue!R30+Revenue!R39-Revenue!R40)</f>
        <v>0</v>
      </c>
      <c r="S53" s="59" t="n">
        <f aca="false">ABS(Revenue!S13)+ABS(Revenue!S22)+ABS(Revenue!S31)+ABS(Revenue!S12+Revenue!S21+Revenue!S30+Revenue!S39-Revenue!S40)</f>
        <v>0</v>
      </c>
      <c r="T53" s="59" t="n">
        <f aca="false">ABS(Revenue!T13)+ABS(Revenue!T22)+ABS(Revenue!T31)+ABS(Revenue!T12+Revenue!T21+Revenue!T30+Revenue!T39-Revenue!T40)</f>
        <v>0</v>
      </c>
      <c r="U53" s="59" t="n">
        <f aca="false">ABS(Revenue!U13)+ABS(Revenue!U22)+ABS(Revenue!U31)+ABS(Revenue!U12+Revenue!U21+Revenue!U30+Revenue!U39-Revenue!U40)</f>
        <v>0</v>
      </c>
      <c r="V53" s="59" t="n">
        <f aca="false">ABS(Revenue!V13)+ABS(Revenue!V22)+ABS(Revenue!V31)+ABS(Revenue!V12+Revenue!V21+Revenue!V30+Revenue!V39-Revenue!V40)</f>
        <v>0</v>
      </c>
      <c r="W53" s="59" t="n">
        <f aca="false">ABS(Revenue!W13)+ABS(Revenue!W22)+ABS(Revenue!W31)+ABS(Revenue!W12+Revenue!W21+Revenue!W30+Revenue!W39-Revenue!W40)</f>
        <v>0</v>
      </c>
      <c r="X53" s="59" t="n">
        <f aca="false">ABS(Revenue!X13)+ABS(Revenue!X22)+ABS(Revenue!X31)+ABS(Revenue!X12+Revenue!X21+Revenue!X30+Revenue!X39-Revenue!X40)</f>
        <v>0</v>
      </c>
      <c r="Y53" s="59" t="n">
        <f aca="false">ABS(Revenue!Y13)+ABS(Revenue!Y22)+ABS(Revenue!Y31)+ABS(Revenue!Y12+Revenue!Y21+Revenue!Y30+Revenue!Y39-Revenue!Y40)</f>
        <v>0</v>
      </c>
      <c r="Z53" s="59" t="n">
        <f aca="false">ABS(Revenue!Z13)+ABS(Revenue!Z22)+ABS(Revenue!Z31)+ABS(Revenue!Z12+Revenue!Z21+Revenue!Z30+Revenue!Z39-Revenue!Z40)</f>
        <v>0</v>
      </c>
      <c r="AA53" s="59" t="n">
        <f aca="false">ABS(Revenue!AA13)+ABS(Revenue!AA22)+ABS(Revenue!AA31)+ABS(Revenue!AA12+Revenue!AA21+Revenue!AA30+Revenue!AA39-Revenue!AA40)</f>
        <v>0</v>
      </c>
      <c r="AB53" s="59" t="n">
        <f aca="false">ABS(Revenue!AB13)+ABS(Revenue!AB22)+ABS(Revenue!AB31)+ABS(Revenue!AB12+Revenue!AB21+Revenue!AB30+Revenue!AB39-Revenue!AB40)</f>
        <v>0</v>
      </c>
      <c r="AC53" s="59" t="n">
        <f aca="false">ABS(Revenue!AC13)+ABS(Revenue!AC22)+ABS(Revenue!AC31)+ABS(Revenue!AC12+Revenue!AC21+Revenue!AC30+Revenue!AC39-Revenue!AC40)</f>
        <v>0</v>
      </c>
      <c r="AD53" s="59" t="n">
        <f aca="false">ABS(Revenue!AD13)+ABS(Revenue!AD22)+ABS(Revenue!AD31)+ABS(Revenue!AD12+Revenue!AD21+Revenue!AD30+Revenue!AD39-Revenue!AD40)</f>
        <v>0</v>
      </c>
      <c r="AE53" s="59" t="n">
        <f aca="false">ABS(Revenue!AE13)+ABS(Revenue!AE22)+ABS(Revenue!AE31)+ABS(Revenue!AE12+Revenue!AE21+Revenue!AE30+Revenue!AE39-Revenue!AE40)</f>
        <v>0</v>
      </c>
      <c r="AF53" s="59" t="n">
        <f aca="false">ABS(Revenue!AF13)+ABS(Revenue!AF22)+ABS(Revenue!AF31)+ABS(Revenue!AF12+Revenue!AF21+Revenue!AF30+Revenue!AF39-Revenue!AF40)</f>
        <v>0</v>
      </c>
      <c r="AG53" s="59" t="n">
        <f aca="false">ABS(Revenue!AG13)+ABS(Revenue!AG22)+ABS(Revenue!AG31)+ABS(Revenue!AG12+Revenue!AG21+Revenue!AG30+Revenue!AG39-Revenue!AG40)</f>
        <v>0</v>
      </c>
      <c r="AH53" s="59" t="n">
        <f aca="false">ABS(Revenue!AH13)+ABS(Revenue!AH22)+ABS(Revenue!AH31)+ABS(Revenue!AH12+Revenue!AH21+Revenue!AH30+Revenue!AH39-Revenue!AH40)</f>
        <v>0</v>
      </c>
      <c r="AI53" s="59" t="n">
        <f aca="false">ABS(Revenue!AI13)+ABS(Revenue!AI22)+ABS(Revenue!AI31)+ABS(Revenue!AI12+Revenue!AI21+Revenue!AI30+Revenue!AI39-Revenue!AI40)</f>
        <v>0</v>
      </c>
      <c r="AJ53" s="59" t="n">
        <f aca="false">ABS(Revenue!AJ13)+ABS(Revenue!AJ22)+ABS(Revenue!AJ31)+ABS(Revenue!AJ12+Revenue!AJ21+Revenue!AJ30+Revenue!AJ39-Revenue!AJ40)</f>
        <v>0</v>
      </c>
      <c r="AK53" s="59" t="n">
        <f aca="false">ABS(Revenue!AK13)+ABS(Revenue!AK22)+ABS(Revenue!AK31)+ABS(Revenue!AK12+Revenue!AK21+Revenue!AK30+Revenue!AK39-Revenue!AK40)</f>
        <v>0</v>
      </c>
      <c r="AL53" s="59" t="n">
        <f aca="false">ABS(Revenue!AL13)+ABS(Revenue!AL22)+ABS(Revenue!AL31)+ABS(Revenue!AL12+Revenue!AL21+Revenue!AL30+Revenue!AL39-Revenue!AL40)</f>
        <v>0</v>
      </c>
      <c r="AM53" s="59" t="n">
        <f aca="false">ABS(Revenue!AM13)+ABS(Revenue!AM22)+ABS(Revenue!AM31)+ABS(Revenue!AM12+Revenue!AM21+Revenue!AM30+Revenue!AM39-Revenue!AM40)</f>
        <v>0</v>
      </c>
    </row>
    <row r="54" customFormat="false" ht="21" hidden="false" customHeight="true" outlineLevel="0" collapsed="false">
      <c r="C54" s="56" t="s">
        <v>599</v>
      </c>
      <c r="D54" s="59"/>
      <c r="E54" s="59"/>
      <c r="F54" s="59"/>
      <c r="G54" s="59"/>
      <c r="H54" s="59"/>
      <c r="I54" s="59"/>
      <c r="J54" s="59" t="n">
        <f aca="false">ABS(Payroll!J17)+ABS(Payroll!J29)+ABS(Payroll!J41)+ABS(Payroll!J53)</f>
        <v>0</v>
      </c>
      <c r="K54" s="59" t="n">
        <f aca="false">ABS(Payroll!K17)+ABS(Payroll!K29)+ABS(Payroll!K41)+ABS(Payroll!K53)</f>
        <v>0</v>
      </c>
      <c r="L54" s="59" t="n">
        <f aca="false">ABS(Payroll!L17)+ABS(Payroll!L29)+ABS(Payroll!L41)+ABS(Payroll!L53)</f>
        <v>0</v>
      </c>
      <c r="M54" s="59" t="n">
        <f aca="false">ABS(Payroll!M17)+ABS(Payroll!M29)+ABS(Payroll!M41)+ABS(Payroll!M53)</f>
        <v>0</v>
      </c>
      <c r="N54" s="59" t="n">
        <f aca="false">ABS(Payroll!N17)+ABS(Payroll!N29)+ABS(Payroll!N41)+ABS(Payroll!N53)</f>
        <v>0</v>
      </c>
      <c r="O54" s="59" t="n">
        <f aca="false">ABS(Payroll!O17)+ABS(Payroll!O29)+ABS(Payroll!O41)+ABS(Payroll!O53)</f>
        <v>0</v>
      </c>
      <c r="P54" s="59" t="n">
        <f aca="false">ABS(Payroll!P17)+ABS(Payroll!P29)+ABS(Payroll!P41)+ABS(Payroll!P53)</f>
        <v>0</v>
      </c>
      <c r="Q54" s="59" t="n">
        <f aca="false">ABS(Payroll!Q17)+ABS(Payroll!Q29)+ABS(Payroll!Q41)+ABS(Payroll!Q53)</f>
        <v>0</v>
      </c>
      <c r="R54" s="59" t="n">
        <f aca="false">ABS(Payroll!R17)+ABS(Payroll!R29)+ABS(Payroll!R41)+ABS(Payroll!R53)</f>
        <v>0</v>
      </c>
      <c r="S54" s="59" t="n">
        <f aca="false">ABS(Payroll!S17)+ABS(Payroll!S29)+ABS(Payroll!S41)+ABS(Payroll!S53)</f>
        <v>0</v>
      </c>
      <c r="T54" s="59" t="n">
        <f aca="false">ABS(Payroll!T17)+ABS(Payroll!T29)+ABS(Payroll!T41)+ABS(Payroll!T53)</f>
        <v>0</v>
      </c>
      <c r="U54" s="59" t="n">
        <f aca="false">ABS(Payroll!U17)+ABS(Payroll!U29)+ABS(Payroll!U41)+ABS(Payroll!U53)</f>
        <v>0</v>
      </c>
      <c r="V54" s="59" t="n">
        <f aca="false">ABS(Payroll!V17)+ABS(Payroll!V29)+ABS(Payroll!V41)+ABS(Payroll!V53)</f>
        <v>0</v>
      </c>
      <c r="W54" s="59" t="n">
        <f aca="false">ABS(Payroll!W17)+ABS(Payroll!W29)+ABS(Payroll!W41)+ABS(Payroll!W53)</f>
        <v>0</v>
      </c>
      <c r="X54" s="59" t="n">
        <f aca="false">ABS(Payroll!X17)+ABS(Payroll!X29)+ABS(Payroll!X41)+ABS(Payroll!X53)</f>
        <v>0</v>
      </c>
      <c r="Y54" s="59" t="n">
        <f aca="false">ABS(Payroll!Y17)+ABS(Payroll!Y29)+ABS(Payroll!Y41)+ABS(Payroll!Y53)</f>
        <v>0</v>
      </c>
      <c r="Z54" s="59" t="n">
        <f aca="false">ABS(Payroll!Z17)+ABS(Payroll!Z29)+ABS(Payroll!Z41)+ABS(Payroll!Z53)</f>
        <v>0</v>
      </c>
      <c r="AA54" s="59" t="n">
        <f aca="false">ABS(Payroll!AA17)+ABS(Payroll!AA29)+ABS(Payroll!AA41)+ABS(Payroll!AA53)</f>
        <v>0</v>
      </c>
      <c r="AB54" s="59" t="n">
        <f aca="false">ABS(Payroll!AB17)+ABS(Payroll!AB29)+ABS(Payroll!AB41)+ABS(Payroll!AB53)</f>
        <v>0</v>
      </c>
      <c r="AC54" s="59" t="n">
        <f aca="false">ABS(Payroll!AC17)+ABS(Payroll!AC29)+ABS(Payroll!AC41)+ABS(Payroll!AC53)</f>
        <v>0</v>
      </c>
      <c r="AD54" s="59" t="n">
        <f aca="false">ABS(Payroll!AD17)+ABS(Payroll!AD29)+ABS(Payroll!AD41)+ABS(Payroll!AD53)</f>
        <v>0</v>
      </c>
      <c r="AE54" s="59" t="n">
        <f aca="false">ABS(Payroll!AE17)+ABS(Payroll!AE29)+ABS(Payroll!AE41)+ABS(Payroll!AE53)</f>
        <v>0</v>
      </c>
      <c r="AF54" s="59" t="n">
        <f aca="false">ABS(Payroll!AF17)+ABS(Payroll!AF29)+ABS(Payroll!AF41)+ABS(Payroll!AF53)</f>
        <v>0</v>
      </c>
      <c r="AG54" s="59" t="n">
        <f aca="false">ABS(Payroll!AG17)+ABS(Payroll!AG29)+ABS(Payroll!AG41)+ABS(Payroll!AG53)</f>
        <v>0</v>
      </c>
      <c r="AH54" s="59" t="n">
        <f aca="false">ABS(Payroll!AH17)+ABS(Payroll!AH29)+ABS(Payroll!AH41)+ABS(Payroll!AH53)</f>
        <v>0</v>
      </c>
      <c r="AI54" s="59" t="n">
        <f aca="false">ABS(Payroll!AI17)+ABS(Payroll!AI29)+ABS(Payroll!AI41)+ABS(Payroll!AI53)</f>
        <v>0</v>
      </c>
      <c r="AJ54" s="59" t="n">
        <f aca="false">ABS(Payroll!AJ17)+ABS(Payroll!AJ29)+ABS(Payroll!AJ41)+ABS(Payroll!AJ53)</f>
        <v>0</v>
      </c>
      <c r="AK54" s="59" t="n">
        <f aca="false">ABS(Payroll!AK17)+ABS(Payroll!AK29)+ABS(Payroll!AK41)+ABS(Payroll!AK53)</f>
        <v>0</v>
      </c>
      <c r="AL54" s="59" t="n">
        <f aca="false">ABS(Payroll!AL17)+ABS(Payroll!AL29)+ABS(Payroll!AL41)+ABS(Payroll!AL53)</f>
        <v>0</v>
      </c>
      <c r="AM54" s="59" t="n">
        <f aca="false">ABS(Payroll!AM17)+ABS(Payroll!AM29)+ABS(Payroll!AM41)+ABS(Payroll!AM53)</f>
        <v>0</v>
      </c>
    </row>
    <row r="55" customFormat="false" ht="21" hidden="false" customHeight="true" outlineLevel="0" collapsed="false">
      <c r="C55" s="56" t="s">
        <v>600</v>
      </c>
      <c r="D55" s="59"/>
      <c r="E55" s="59"/>
      <c r="F55" s="59"/>
      <c r="G55" s="59"/>
      <c r="H55" s="59"/>
      <c r="I55" s="59"/>
      <c r="J55" s="59" t="n">
        <f aca="false">IF(Monthly_PL!J15&lt;0,1,0)</f>
        <v>0</v>
      </c>
      <c r="K55" s="59" t="n">
        <f aca="false">IF(Monthly_PL!K15&lt;0,1,0)</f>
        <v>0</v>
      </c>
      <c r="L55" s="59" t="n">
        <f aca="false">IF(Monthly_PL!L15&lt;0,1,0)</f>
        <v>0</v>
      </c>
      <c r="M55" s="59" t="n">
        <f aca="false">IF(Monthly_PL!M15&lt;0,1,0)</f>
        <v>0</v>
      </c>
      <c r="N55" s="59" t="n">
        <f aca="false">IF(Monthly_PL!N15&lt;0,1,0)</f>
        <v>0</v>
      </c>
      <c r="O55" s="59" t="n">
        <f aca="false">IF(Monthly_PL!O15&lt;0,1,0)</f>
        <v>0</v>
      </c>
      <c r="P55" s="59" t="n">
        <f aca="false">IF(Monthly_PL!P15&lt;0,1,0)</f>
        <v>0</v>
      </c>
      <c r="Q55" s="59" t="n">
        <f aca="false">IF(Monthly_PL!Q15&lt;0,1,0)</f>
        <v>0</v>
      </c>
      <c r="R55" s="59" t="n">
        <f aca="false">IF(Monthly_PL!R15&lt;0,1,0)</f>
        <v>0</v>
      </c>
      <c r="S55" s="59" t="n">
        <f aca="false">IF(Monthly_PL!S15&lt;0,1,0)</f>
        <v>0</v>
      </c>
      <c r="T55" s="59" t="n">
        <f aca="false">IF(Monthly_PL!T15&lt;0,1,0)</f>
        <v>0</v>
      </c>
      <c r="U55" s="59" t="n">
        <f aca="false">IF(Monthly_PL!U15&lt;0,1,0)</f>
        <v>0</v>
      </c>
      <c r="V55" s="59" t="n">
        <f aca="false">IF(Monthly_PL!V15&lt;0,1,0)</f>
        <v>0</v>
      </c>
      <c r="W55" s="59" t="n">
        <f aca="false">IF(Monthly_PL!W15&lt;0,1,0)</f>
        <v>0</v>
      </c>
      <c r="X55" s="59" t="n">
        <f aca="false">IF(Monthly_PL!X15&lt;0,1,0)</f>
        <v>0</v>
      </c>
      <c r="Y55" s="59" t="n">
        <f aca="false">IF(Monthly_PL!Y15&lt;0,1,0)</f>
        <v>0</v>
      </c>
      <c r="Z55" s="59" t="n">
        <f aca="false">IF(Monthly_PL!Z15&lt;0,1,0)</f>
        <v>0</v>
      </c>
      <c r="AA55" s="59" t="n">
        <f aca="false">IF(Monthly_PL!AA15&lt;0,1,0)</f>
        <v>0</v>
      </c>
      <c r="AB55" s="59" t="n">
        <f aca="false">IF(Monthly_PL!AB15&lt;0,1,0)</f>
        <v>0</v>
      </c>
      <c r="AC55" s="59" t="n">
        <f aca="false">IF(Monthly_PL!AC15&lt;0,1,0)</f>
        <v>0</v>
      </c>
      <c r="AD55" s="59" t="n">
        <f aca="false">IF(Monthly_PL!AD15&lt;0,1,0)</f>
        <v>0</v>
      </c>
      <c r="AE55" s="59" t="n">
        <f aca="false">IF(Monthly_PL!AE15&lt;0,1,0)</f>
        <v>0</v>
      </c>
      <c r="AF55" s="59" t="n">
        <f aca="false">IF(Monthly_PL!AF15&lt;0,1,0)</f>
        <v>0</v>
      </c>
      <c r="AG55" s="59" t="n">
        <f aca="false">IF(Monthly_PL!AG15&lt;0,1,0)</f>
        <v>0</v>
      </c>
      <c r="AH55" s="59" t="n">
        <f aca="false">IF(Monthly_PL!AH15&lt;0,1,0)</f>
        <v>0</v>
      </c>
      <c r="AI55" s="59" t="n">
        <f aca="false">IF(Monthly_PL!AI15&lt;0,1,0)</f>
        <v>0</v>
      </c>
      <c r="AJ55" s="59" t="n">
        <f aca="false">IF(Monthly_PL!AJ15&lt;0,1,0)</f>
        <v>0</v>
      </c>
      <c r="AK55" s="59" t="n">
        <f aca="false">IF(Monthly_PL!AK15&lt;0,1,0)</f>
        <v>0</v>
      </c>
      <c r="AL55" s="59" t="n">
        <f aca="false">IF(Monthly_PL!AL15&lt;0,1,0)</f>
        <v>0</v>
      </c>
      <c r="AM55" s="59" t="n">
        <f aca="false">IF(Monthly_PL!AM15&lt;0,1,0)</f>
        <v>0</v>
      </c>
    </row>
    <row r="56" customFormat="false" ht="21" hidden="false" customHeight="true" outlineLevel="0" collapsed="false">
      <c r="C56" s="56" t="s">
        <v>601</v>
      </c>
      <c r="D56" s="59"/>
      <c r="E56" s="59"/>
      <c r="F56" s="59"/>
      <c r="G56" s="59"/>
      <c r="H56" s="59"/>
      <c r="I56" s="59"/>
      <c r="J56" s="59" t="n">
        <f aca="false">IF(MIN(Inventory!J13,Inventory!J19,Inventory!J23,Assets!J99,Assets!J76,Assets!J88)&lt;-0.0000001,1,0)</f>
        <v>0</v>
      </c>
      <c r="K56" s="59" t="n">
        <f aca="false">IF(MIN(Inventory!K13,Inventory!K19,Inventory!K23,Assets!K99,Assets!K76,Assets!K88)&lt;-0.0000001,1,0)</f>
        <v>0</v>
      </c>
      <c r="L56" s="59" t="n">
        <f aca="false">IF(MIN(Inventory!L13,Inventory!L19,Inventory!L23,Assets!L99,Assets!L76,Assets!L88)&lt;-0.0000001,1,0)</f>
        <v>0</v>
      </c>
      <c r="M56" s="59" t="n">
        <f aca="false">IF(MIN(Inventory!M13,Inventory!M19,Inventory!M23,Assets!M99,Assets!M76,Assets!M88)&lt;-0.0000001,1,0)</f>
        <v>0</v>
      </c>
      <c r="N56" s="59" t="n">
        <f aca="false">IF(MIN(Inventory!N13,Inventory!N19,Inventory!N23,Assets!N99,Assets!N76,Assets!N88)&lt;-0.0000001,1,0)</f>
        <v>0</v>
      </c>
      <c r="O56" s="59" t="n">
        <f aca="false">IF(MIN(Inventory!O13,Inventory!O19,Inventory!O23,Assets!O99,Assets!O76,Assets!O88)&lt;-0.0000001,1,0)</f>
        <v>0</v>
      </c>
      <c r="P56" s="59" t="n">
        <f aca="false">IF(MIN(Inventory!P13,Inventory!P19,Inventory!P23,Assets!P99,Assets!P76,Assets!P88)&lt;-0.0000001,1,0)</f>
        <v>0</v>
      </c>
      <c r="Q56" s="59" t="n">
        <f aca="false">IF(MIN(Inventory!Q13,Inventory!Q19,Inventory!Q23,Assets!Q99,Assets!Q76,Assets!Q88)&lt;-0.0000001,1,0)</f>
        <v>0</v>
      </c>
      <c r="R56" s="59" t="n">
        <f aca="false">IF(MIN(Inventory!R13,Inventory!R19,Inventory!R23,Assets!R99,Assets!R76,Assets!R88)&lt;-0.0000001,1,0)</f>
        <v>0</v>
      </c>
      <c r="S56" s="59" t="n">
        <f aca="false">IF(MIN(Inventory!S13,Inventory!S19,Inventory!S23,Assets!S99,Assets!S76,Assets!S88)&lt;-0.0000001,1,0)</f>
        <v>0</v>
      </c>
      <c r="T56" s="59" t="n">
        <f aca="false">IF(MIN(Inventory!T13,Inventory!T19,Inventory!T23,Assets!T99,Assets!T76,Assets!T88)&lt;-0.0000001,1,0)</f>
        <v>0</v>
      </c>
      <c r="U56" s="59" t="n">
        <f aca="false">IF(MIN(Inventory!U13,Inventory!U19,Inventory!U23,Assets!U99,Assets!U76,Assets!U88)&lt;-0.0000001,1,0)</f>
        <v>0</v>
      </c>
      <c r="V56" s="59" t="n">
        <f aca="false">IF(MIN(Inventory!V13,Inventory!V19,Inventory!V23,Assets!V99,Assets!V76,Assets!V88)&lt;-0.0000001,1,0)</f>
        <v>0</v>
      </c>
      <c r="W56" s="59" t="n">
        <f aca="false">IF(MIN(Inventory!W13,Inventory!W19,Inventory!W23,Assets!W99,Assets!W76,Assets!W88)&lt;-0.0000001,1,0)</f>
        <v>0</v>
      </c>
      <c r="X56" s="59" t="n">
        <f aca="false">IF(MIN(Inventory!X13,Inventory!X19,Inventory!X23,Assets!X99,Assets!X76,Assets!X88)&lt;-0.0000001,1,0)</f>
        <v>0</v>
      </c>
      <c r="Y56" s="59" t="n">
        <f aca="false">IF(MIN(Inventory!Y13,Inventory!Y19,Inventory!Y23,Assets!Y99,Assets!Y76,Assets!Y88)&lt;-0.0000001,1,0)</f>
        <v>0</v>
      </c>
      <c r="Z56" s="59" t="n">
        <f aca="false">IF(MIN(Inventory!Z13,Inventory!Z19,Inventory!Z23,Assets!Z99,Assets!Z76,Assets!Z88)&lt;-0.0000001,1,0)</f>
        <v>0</v>
      </c>
      <c r="AA56" s="59" t="n">
        <f aca="false">IF(MIN(Inventory!AA13,Inventory!AA19,Inventory!AA23,Assets!AA99,Assets!AA76,Assets!AA88)&lt;-0.0000001,1,0)</f>
        <v>0</v>
      </c>
      <c r="AB56" s="59" t="n">
        <f aca="false">IF(MIN(Inventory!AB13,Inventory!AB19,Inventory!AB23,Assets!AB99,Assets!AB76,Assets!AB88)&lt;-0.0000001,1,0)</f>
        <v>0</v>
      </c>
      <c r="AC56" s="59" t="n">
        <f aca="false">IF(MIN(Inventory!AC13,Inventory!AC19,Inventory!AC23,Assets!AC99,Assets!AC76,Assets!AC88)&lt;-0.0000001,1,0)</f>
        <v>0</v>
      </c>
      <c r="AD56" s="59" t="n">
        <f aca="false">IF(MIN(Inventory!AD13,Inventory!AD19,Inventory!AD23,Assets!AD99,Assets!AD76,Assets!AD88)&lt;-0.0000001,1,0)</f>
        <v>0</v>
      </c>
      <c r="AE56" s="59" t="n">
        <f aca="false">IF(MIN(Inventory!AE13,Inventory!AE19,Inventory!AE23,Assets!AE99,Assets!AE76,Assets!AE88)&lt;-0.0000001,1,0)</f>
        <v>0</v>
      </c>
      <c r="AF56" s="59" t="n">
        <f aca="false">IF(MIN(Inventory!AF13,Inventory!AF19,Inventory!AF23,Assets!AF99,Assets!AF76,Assets!AF88)&lt;-0.0000001,1,0)</f>
        <v>0</v>
      </c>
      <c r="AG56" s="59" t="n">
        <f aca="false">IF(MIN(Inventory!AG13,Inventory!AG19,Inventory!AG23,Assets!AG99,Assets!AG76,Assets!AG88)&lt;-0.0000001,1,0)</f>
        <v>0</v>
      </c>
      <c r="AH56" s="59" t="n">
        <f aca="false">IF(MIN(Inventory!AH13,Inventory!AH19,Inventory!AH23,Assets!AH99,Assets!AH76,Assets!AH88)&lt;-0.0000001,1,0)</f>
        <v>0</v>
      </c>
      <c r="AI56" s="59" t="n">
        <f aca="false">IF(MIN(Inventory!AI13,Inventory!AI19,Inventory!AI23,Assets!AI99,Assets!AI76,Assets!AI88)&lt;-0.0000001,1,0)</f>
        <v>0</v>
      </c>
      <c r="AJ56" s="59" t="n">
        <f aca="false">IF(MIN(Inventory!AJ13,Inventory!AJ19,Inventory!AJ23,Assets!AJ99,Assets!AJ76,Assets!AJ88)&lt;-0.0000001,1,0)</f>
        <v>0</v>
      </c>
      <c r="AK56" s="59" t="n">
        <f aca="false">IF(MIN(Inventory!AK13,Inventory!AK19,Inventory!AK23,Assets!AK99,Assets!AK76,Assets!AK88)&lt;-0.0000001,1,0)</f>
        <v>0</v>
      </c>
      <c r="AL56" s="59" t="n">
        <f aca="false">IF(MIN(Inventory!AL13,Inventory!AL19,Inventory!AL23,Assets!AL99,Assets!AL76,Assets!AL88)&lt;-0.0000001,1,0)</f>
        <v>0</v>
      </c>
      <c r="AM56" s="59" t="n">
        <f aca="false">IF(MIN(Inventory!AM13,Inventory!AM19,Inventory!AM23,Assets!AM99,Assets!AM76,Assets!AM88)&lt;-0.0000001,1,0)</f>
        <v>0</v>
      </c>
    </row>
    <row r="57" customFormat="false" ht="21" hidden="false" customHeight="true" outlineLevel="0" collapsed="false">
      <c r="C57" s="56" t="s">
        <v>602</v>
      </c>
      <c r="D57" s="59"/>
      <c r="E57" s="59"/>
      <c r="F57" s="59"/>
      <c r="G57" s="59"/>
      <c r="H57" s="59"/>
      <c r="I57" s="59"/>
      <c r="J57" s="59" t="n">
        <f aca="false">MAX(0,Funding!J46-Funding!J47)</f>
        <v>0</v>
      </c>
      <c r="K57" s="59" t="n">
        <f aca="false">MAX(0,Funding!K46-Funding!K47)</f>
        <v>0</v>
      </c>
      <c r="L57" s="59" t="n">
        <f aca="false">MAX(0,Funding!L46-Funding!L47)</f>
        <v>0</v>
      </c>
      <c r="M57" s="59" t="n">
        <f aca="false">MAX(0,Funding!M46-Funding!M47)</f>
        <v>0</v>
      </c>
      <c r="N57" s="59" t="n">
        <f aca="false">MAX(0,Funding!N46-Funding!N47)</f>
        <v>0</v>
      </c>
      <c r="O57" s="59" t="n">
        <f aca="false">MAX(0,Funding!O46-Funding!O47)</f>
        <v>0</v>
      </c>
      <c r="P57" s="59" t="n">
        <f aca="false">MAX(0,Funding!P46-Funding!P47)</f>
        <v>0</v>
      </c>
      <c r="Q57" s="59" t="n">
        <f aca="false">MAX(0,Funding!Q46-Funding!Q47)</f>
        <v>0</v>
      </c>
      <c r="R57" s="59" t="n">
        <f aca="false">MAX(0,Funding!R46-Funding!R47)</f>
        <v>0</v>
      </c>
      <c r="S57" s="59" t="n">
        <f aca="false">MAX(0,Funding!S46-Funding!S47)</f>
        <v>0</v>
      </c>
      <c r="T57" s="59" t="n">
        <f aca="false">MAX(0,Funding!T46-Funding!T47)</f>
        <v>0</v>
      </c>
      <c r="U57" s="59" t="n">
        <f aca="false">MAX(0,Funding!U46-Funding!U47)</f>
        <v>0</v>
      </c>
      <c r="V57" s="59" t="n">
        <f aca="false">MAX(0,Funding!V46-Funding!V47)</f>
        <v>0</v>
      </c>
      <c r="W57" s="59" t="n">
        <f aca="false">MAX(0,Funding!W46-Funding!W47)</f>
        <v>0</v>
      </c>
      <c r="X57" s="59" t="n">
        <f aca="false">MAX(0,Funding!X46-Funding!X47)</f>
        <v>0</v>
      </c>
      <c r="Y57" s="59" t="n">
        <f aca="false">MAX(0,Funding!Y46-Funding!Y47)</f>
        <v>0</v>
      </c>
      <c r="Z57" s="59" t="n">
        <f aca="false">MAX(0,Funding!Z46-Funding!Z47)</f>
        <v>1.02588428416661</v>
      </c>
      <c r="AA57" s="59" t="n">
        <f aca="false">MAX(0,Funding!AA46-Funding!AA47)</f>
        <v>1.11674455083333</v>
      </c>
      <c r="AB57" s="59" t="n">
        <f aca="false">MAX(0,Funding!AB46-Funding!AB47)</f>
        <v>1.11674455083333</v>
      </c>
      <c r="AC57" s="59" t="n">
        <f aca="false">MAX(0,Funding!AC46-Funding!AC47)</f>
        <v>1.11674455083333</v>
      </c>
      <c r="AD57" s="59" t="n">
        <f aca="false">MAX(0,Funding!AD46-Funding!AD47)</f>
        <v>1.11674455083333</v>
      </c>
      <c r="AE57" s="59" t="n">
        <f aca="false">MAX(0,Funding!AE46-Funding!AE47)</f>
        <v>1.11674455083333</v>
      </c>
      <c r="AF57" s="59" t="n">
        <f aca="false">MAX(0,Funding!AF46-Funding!AF47)</f>
        <v>1.11674455083333</v>
      </c>
      <c r="AG57" s="59" t="n">
        <f aca="false">MAX(0,Funding!AG46-Funding!AG47)</f>
        <v>1.11674455083333</v>
      </c>
      <c r="AH57" s="59" t="n">
        <f aca="false">MAX(0,Funding!AH46-Funding!AH47)</f>
        <v>1.11674455083333</v>
      </c>
      <c r="AI57" s="59" t="n">
        <f aca="false">MAX(0,Funding!AI46-Funding!AI47)</f>
        <v>1.11674455083333</v>
      </c>
      <c r="AJ57" s="59" t="n">
        <f aca="false">MAX(0,Funding!AJ46-Funding!AJ47)</f>
        <v>1.11674455083333</v>
      </c>
      <c r="AK57" s="59" t="n">
        <f aca="false">MAX(0,Funding!AK46-Funding!AK47)</f>
        <v>1.11674455083333</v>
      </c>
      <c r="AL57" s="59" t="n">
        <f aca="false">MAX(0,Funding!AL46-Funding!AL47)</f>
        <v>1.11674455083333</v>
      </c>
      <c r="AM57" s="59" t="n">
        <f aca="false">MAX(0,Funding!AM46-Funding!AM47)</f>
        <v>1.11674455083333</v>
      </c>
    </row>
    <row r="58" customFormat="false" ht="21" hidden="false" customHeight="true" outlineLevel="0" collapsed="false">
      <c r="C58" s="56" t="s">
        <v>603</v>
      </c>
      <c r="D58" s="59"/>
      <c r="E58" s="59"/>
      <c r="F58" s="59"/>
      <c r="G58" s="59"/>
      <c r="H58" s="59"/>
      <c r="I58" s="59"/>
      <c r="J58" s="59" t="n">
        <f aca="false">ABS(SourceAnalysis!D30)+ABS(SourceAnalysis!D31)+ABS(SourceAnalysis!D32)+ABS(SourceAnalysis!D36)+ABS(SourceAnalysis!D37)+ABS(SourceAnalysis!D38)</f>
        <v>0</v>
      </c>
      <c r="K58" s="59" t="n">
        <f aca="false">ABS(SourceAnalysis!D30)+ABS(SourceAnalysis!D31)+ABS(SourceAnalysis!D32)+ABS(SourceAnalysis!D36)+ABS(SourceAnalysis!D37)+ABS(SourceAnalysis!D38)</f>
        <v>0</v>
      </c>
      <c r="L58" s="59" t="n">
        <f aca="false">ABS(SourceAnalysis!D30)+ABS(SourceAnalysis!D31)+ABS(SourceAnalysis!D32)+ABS(SourceAnalysis!D36)+ABS(SourceAnalysis!D37)+ABS(SourceAnalysis!D38)</f>
        <v>0</v>
      </c>
      <c r="M58" s="59" t="n">
        <f aca="false">ABS(SourceAnalysis!D30)+ABS(SourceAnalysis!D31)+ABS(SourceAnalysis!D32)+ABS(SourceAnalysis!D36)+ABS(SourceAnalysis!D37)+ABS(SourceAnalysis!D38)</f>
        <v>0</v>
      </c>
      <c r="N58" s="59" t="n">
        <f aca="false">ABS(SourceAnalysis!D30)+ABS(SourceAnalysis!D31)+ABS(SourceAnalysis!D32)+ABS(SourceAnalysis!D36)+ABS(SourceAnalysis!D37)+ABS(SourceAnalysis!D38)</f>
        <v>0</v>
      </c>
      <c r="O58" s="59" t="n">
        <f aca="false">ABS(SourceAnalysis!D30)+ABS(SourceAnalysis!D31)+ABS(SourceAnalysis!D32)+ABS(SourceAnalysis!D36)+ABS(SourceAnalysis!D37)+ABS(SourceAnalysis!D38)</f>
        <v>0</v>
      </c>
      <c r="P58" s="59" t="n">
        <f aca="false">ABS(SourceAnalysis!D30)+ABS(SourceAnalysis!D31)+ABS(SourceAnalysis!D32)+ABS(SourceAnalysis!D36)+ABS(SourceAnalysis!D37)+ABS(SourceAnalysis!D38)</f>
        <v>0</v>
      </c>
      <c r="Q58" s="59" t="n">
        <f aca="false">ABS(SourceAnalysis!D30)+ABS(SourceAnalysis!D31)+ABS(SourceAnalysis!D32)+ABS(SourceAnalysis!D36)+ABS(SourceAnalysis!D37)+ABS(SourceAnalysis!D38)</f>
        <v>0</v>
      </c>
      <c r="R58" s="59" t="n">
        <f aca="false">ABS(SourceAnalysis!D30)+ABS(SourceAnalysis!D31)+ABS(SourceAnalysis!D32)+ABS(SourceAnalysis!D36)+ABS(SourceAnalysis!D37)+ABS(SourceAnalysis!D38)</f>
        <v>0</v>
      </c>
      <c r="S58" s="59" t="n">
        <f aca="false">ABS(SourceAnalysis!D30)+ABS(SourceAnalysis!D31)+ABS(SourceAnalysis!D32)+ABS(SourceAnalysis!D36)+ABS(SourceAnalysis!D37)+ABS(SourceAnalysis!D38)</f>
        <v>0</v>
      </c>
      <c r="T58" s="59" t="n">
        <f aca="false">ABS(SourceAnalysis!D30)+ABS(SourceAnalysis!D31)+ABS(SourceAnalysis!D32)+ABS(SourceAnalysis!D36)+ABS(SourceAnalysis!D37)+ABS(SourceAnalysis!D38)</f>
        <v>0</v>
      </c>
      <c r="U58" s="59" t="n">
        <f aca="false">ABS(SourceAnalysis!D30)+ABS(SourceAnalysis!D31)+ABS(SourceAnalysis!D32)+ABS(SourceAnalysis!D36)+ABS(SourceAnalysis!D37)+ABS(SourceAnalysis!D38)</f>
        <v>0</v>
      </c>
      <c r="V58" s="59" t="n">
        <f aca="false">ABS(SourceAnalysis!D30)+ABS(SourceAnalysis!D31)+ABS(SourceAnalysis!D32)+ABS(SourceAnalysis!D36)+ABS(SourceAnalysis!D37)+ABS(SourceAnalysis!D38)</f>
        <v>0</v>
      </c>
      <c r="W58" s="59" t="n">
        <f aca="false">ABS(SourceAnalysis!D30)+ABS(SourceAnalysis!D31)+ABS(SourceAnalysis!D32)+ABS(SourceAnalysis!D36)+ABS(SourceAnalysis!D37)+ABS(SourceAnalysis!D38)</f>
        <v>0</v>
      </c>
      <c r="X58" s="59" t="n">
        <f aca="false">ABS(SourceAnalysis!D30)+ABS(SourceAnalysis!D31)+ABS(SourceAnalysis!D32)+ABS(SourceAnalysis!D36)+ABS(SourceAnalysis!D37)+ABS(SourceAnalysis!D38)</f>
        <v>0</v>
      </c>
      <c r="Y58" s="59" t="n">
        <f aca="false">ABS(SourceAnalysis!D30)+ABS(SourceAnalysis!D31)+ABS(SourceAnalysis!D32)+ABS(SourceAnalysis!D36)+ABS(SourceAnalysis!D37)+ABS(SourceAnalysis!D38)</f>
        <v>0</v>
      </c>
      <c r="Z58" s="59" t="n">
        <f aca="false">ABS(SourceAnalysis!D30)+ABS(SourceAnalysis!D31)+ABS(SourceAnalysis!D32)+ABS(SourceAnalysis!D36)+ABS(SourceAnalysis!D37)+ABS(SourceAnalysis!D38)</f>
        <v>0</v>
      </c>
      <c r="AA58" s="59" t="n">
        <f aca="false">ABS(SourceAnalysis!D30)+ABS(SourceAnalysis!D31)+ABS(SourceAnalysis!D32)+ABS(SourceAnalysis!D36)+ABS(SourceAnalysis!D37)+ABS(SourceAnalysis!D38)</f>
        <v>0</v>
      </c>
      <c r="AB58" s="59" t="n">
        <f aca="false">ABS(SourceAnalysis!D30)+ABS(SourceAnalysis!D31)+ABS(SourceAnalysis!D32)+ABS(SourceAnalysis!D36)+ABS(SourceAnalysis!D37)+ABS(SourceAnalysis!D38)</f>
        <v>0</v>
      </c>
      <c r="AC58" s="59" t="n">
        <f aca="false">ABS(SourceAnalysis!D30)+ABS(SourceAnalysis!D31)+ABS(SourceAnalysis!D32)+ABS(SourceAnalysis!D36)+ABS(SourceAnalysis!D37)+ABS(SourceAnalysis!D38)</f>
        <v>0</v>
      </c>
      <c r="AD58" s="59" t="n">
        <f aca="false">ABS(SourceAnalysis!D30)+ABS(SourceAnalysis!D31)+ABS(SourceAnalysis!D32)+ABS(SourceAnalysis!D36)+ABS(SourceAnalysis!D37)+ABS(SourceAnalysis!D38)</f>
        <v>0</v>
      </c>
      <c r="AE58" s="59" t="n">
        <f aca="false">ABS(SourceAnalysis!D30)+ABS(SourceAnalysis!D31)+ABS(SourceAnalysis!D32)+ABS(SourceAnalysis!D36)+ABS(SourceAnalysis!D37)+ABS(SourceAnalysis!D38)</f>
        <v>0</v>
      </c>
      <c r="AF58" s="59" t="n">
        <f aca="false">ABS(SourceAnalysis!D30)+ABS(SourceAnalysis!D31)+ABS(SourceAnalysis!D32)+ABS(SourceAnalysis!D36)+ABS(SourceAnalysis!D37)+ABS(SourceAnalysis!D38)</f>
        <v>0</v>
      </c>
      <c r="AG58" s="59" t="n">
        <f aca="false">ABS(SourceAnalysis!D30)+ABS(SourceAnalysis!D31)+ABS(SourceAnalysis!D32)+ABS(SourceAnalysis!D36)+ABS(SourceAnalysis!D37)+ABS(SourceAnalysis!D38)</f>
        <v>0</v>
      </c>
      <c r="AH58" s="59" t="n">
        <f aca="false">ABS(SourceAnalysis!D30)+ABS(SourceAnalysis!D31)+ABS(SourceAnalysis!D32)+ABS(SourceAnalysis!D36)+ABS(SourceAnalysis!D37)+ABS(SourceAnalysis!D38)</f>
        <v>0</v>
      </c>
      <c r="AI58" s="59" t="n">
        <f aca="false">ABS(SourceAnalysis!D30)+ABS(SourceAnalysis!D31)+ABS(SourceAnalysis!D32)+ABS(SourceAnalysis!D36)+ABS(SourceAnalysis!D37)+ABS(SourceAnalysis!D38)</f>
        <v>0</v>
      </c>
      <c r="AJ58" s="59" t="n">
        <f aca="false">ABS(SourceAnalysis!D30)+ABS(SourceAnalysis!D31)+ABS(SourceAnalysis!D32)+ABS(SourceAnalysis!D36)+ABS(SourceAnalysis!D37)+ABS(SourceAnalysis!D38)</f>
        <v>0</v>
      </c>
      <c r="AK58" s="59" t="n">
        <f aca="false">ABS(SourceAnalysis!D30)+ABS(SourceAnalysis!D31)+ABS(SourceAnalysis!D32)+ABS(SourceAnalysis!D36)+ABS(SourceAnalysis!D37)+ABS(SourceAnalysis!D38)</f>
        <v>0</v>
      </c>
      <c r="AL58" s="59" t="n">
        <f aca="false">ABS(SourceAnalysis!D30)+ABS(SourceAnalysis!D31)+ABS(SourceAnalysis!D32)+ABS(SourceAnalysis!D36)+ABS(SourceAnalysis!D37)+ABS(SourceAnalysis!D38)</f>
        <v>0</v>
      </c>
      <c r="AM58" s="59" t="n">
        <f aca="false">ABS(SourceAnalysis!D30)+ABS(SourceAnalysis!D31)+ABS(SourceAnalysis!D32)+ABS(SourceAnalysis!D36)+ABS(SourceAnalysis!D37)+ABS(SourceAnalysis!D38)</f>
        <v>0</v>
      </c>
    </row>
    <row r="59" customFormat="false" ht="21" hidden="false" customHeight="true" outlineLevel="0" collapsed="false">
      <c r="C59" s="56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</row>
    <row r="60" customFormat="false" ht="21" hidden="false" customHeight="true" outlineLevel="0" collapsed="false">
      <c r="C60" s="56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</row>
    <row r="61" customFormat="false" ht="21" hidden="false" customHeight="true" outlineLevel="0" collapsed="false">
      <c r="C61" s="56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</row>
    <row r="62" customFormat="false" ht="25" hidden="false" customHeight="true" outlineLevel="0" collapsed="false">
      <c r="C62" s="58" t="s">
        <v>604</v>
      </c>
      <c r="D62" s="58"/>
      <c r="E62" s="58"/>
      <c r="F62" s="58"/>
      <c r="G62" s="58"/>
      <c r="H62" s="58"/>
      <c r="I62" s="58"/>
      <c r="J62" s="58"/>
      <c r="K62" s="58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</row>
    <row r="63" customFormat="false" ht="25" hidden="false" customHeight="true" outlineLevel="0" collapsed="false">
      <c r="C63" s="58"/>
      <c r="D63" s="58"/>
      <c r="E63" s="58"/>
      <c r="F63" s="58"/>
      <c r="G63" s="58"/>
      <c r="H63" s="58"/>
      <c r="I63" s="58"/>
      <c r="J63" s="58"/>
      <c r="K63" s="58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</row>
    <row r="64" customFormat="false" ht="21" hidden="false" customHeight="true" outlineLevel="0" collapsed="false">
      <c r="C64" s="56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</row>
    <row r="65" customFormat="false" ht="21" hidden="false" customHeight="true" outlineLevel="0" collapsed="false">
      <c r="C65" s="56" t="s">
        <v>605</v>
      </c>
      <c r="D65" s="59"/>
      <c r="E65" s="59"/>
      <c r="F65" s="59"/>
      <c r="G65" s="59"/>
      <c r="H65" s="59"/>
      <c r="I65" s="59"/>
      <c r="J65" s="59" t="n">
        <f aca="false">Liquidity!J52</f>
        <v>0</v>
      </c>
      <c r="K65" s="59" t="n">
        <f aca="false">Liquidity!K52</f>
        <v>0</v>
      </c>
      <c r="L65" s="59" t="n">
        <f aca="false">Liquidity!L52</f>
        <v>0</v>
      </c>
      <c r="M65" s="59" t="n">
        <f aca="false">Liquidity!M52</f>
        <v>0</v>
      </c>
      <c r="N65" s="59" t="n">
        <f aca="false">Liquidity!N52</f>
        <v>0</v>
      </c>
      <c r="O65" s="59" t="n">
        <f aca="false">Liquidity!O52</f>
        <v>0</v>
      </c>
      <c r="P65" s="59" t="n">
        <f aca="false">Liquidity!P52</f>
        <v>0</v>
      </c>
      <c r="Q65" s="59" t="n">
        <f aca="false">Liquidity!Q52</f>
        <v>0</v>
      </c>
      <c r="R65" s="59" t="n">
        <f aca="false">Liquidity!R52</f>
        <v>0</v>
      </c>
      <c r="S65" s="59" t="n">
        <f aca="false">Liquidity!S52</f>
        <v>0</v>
      </c>
      <c r="T65" s="59" t="n">
        <f aca="false">Liquidity!T52</f>
        <v>0</v>
      </c>
      <c r="U65" s="59" t="n">
        <f aca="false">Liquidity!U52</f>
        <v>0</v>
      </c>
      <c r="V65" s="59" t="n">
        <f aca="false">Liquidity!V52</f>
        <v>0</v>
      </c>
      <c r="W65" s="59" t="n">
        <f aca="false">Liquidity!W52</f>
        <v>0</v>
      </c>
      <c r="X65" s="59" t="n">
        <f aca="false">Liquidity!X52</f>
        <v>0</v>
      </c>
      <c r="Y65" s="59" t="n">
        <f aca="false">Liquidity!Y52</f>
        <v>0</v>
      </c>
      <c r="Z65" s="59" t="n">
        <f aca="false">Liquidity!Z52</f>
        <v>0</v>
      </c>
      <c r="AA65" s="59" t="n">
        <f aca="false">Liquidity!AA52</f>
        <v>0</v>
      </c>
      <c r="AB65" s="59" t="n">
        <f aca="false">Liquidity!AB52</f>
        <v>0</v>
      </c>
      <c r="AC65" s="59" t="n">
        <f aca="false">Liquidity!AC52</f>
        <v>0</v>
      </c>
      <c r="AD65" s="59" t="n">
        <f aca="false">Liquidity!AD52</f>
        <v>0</v>
      </c>
      <c r="AE65" s="59" t="n">
        <f aca="false">Liquidity!AE52</f>
        <v>0</v>
      </c>
      <c r="AF65" s="59" t="n">
        <f aca="false">Liquidity!AF52</f>
        <v>0</v>
      </c>
      <c r="AG65" s="59" t="n">
        <f aca="false">Liquidity!AG52</f>
        <v>0</v>
      </c>
      <c r="AH65" s="59" t="n">
        <f aca="false">Liquidity!AH52</f>
        <v>0</v>
      </c>
      <c r="AI65" s="59" t="n">
        <f aca="false">Liquidity!AI52</f>
        <v>0</v>
      </c>
      <c r="AJ65" s="59" t="n">
        <f aca="false">Liquidity!AJ52</f>
        <v>0</v>
      </c>
      <c r="AK65" s="59" t="n">
        <f aca="false">Liquidity!AK52</f>
        <v>0</v>
      </c>
      <c r="AL65" s="59" t="n">
        <f aca="false">Liquidity!AL52</f>
        <v>0</v>
      </c>
      <c r="AM65" s="59" t="n">
        <f aca="false">Liquidity!AM52</f>
        <v>0</v>
      </c>
    </row>
    <row r="66" customFormat="false" ht="21" hidden="false" customHeight="true" outlineLevel="0" collapsed="false">
      <c r="C66" s="56" t="s">
        <v>606</v>
      </c>
      <c r="D66" s="59"/>
      <c r="E66" s="59"/>
      <c r="F66" s="59"/>
      <c r="G66" s="59"/>
      <c r="H66" s="59"/>
      <c r="I66" s="59"/>
      <c r="J66" s="59" t="n">
        <f aca="false">Liquidity!J53</f>
        <v>0</v>
      </c>
      <c r="K66" s="59" t="n">
        <f aca="false">Liquidity!K53</f>
        <v>0</v>
      </c>
      <c r="L66" s="59" t="n">
        <f aca="false">Liquidity!L53</f>
        <v>0</v>
      </c>
      <c r="M66" s="59" t="n">
        <f aca="false">Liquidity!M53</f>
        <v>0</v>
      </c>
      <c r="N66" s="59" t="n">
        <f aca="false">Liquidity!N53</f>
        <v>0</v>
      </c>
      <c r="O66" s="59" t="n">
        <f aca="false">Liquidity!O53</f>
        <v>0</v>
      </c>
      <c r="P66" s="59" t="n">
        <f aca="false">Liquidity!P53</f>
        <v>0</v>
      </c>
      <c r="Q66" s="59" t="n">
        <f aca="false">Liquidity!Q53</f>
        <v>0</v>
      </c>
      <c r="R66" s="59" t="n">
        <f aca="false">Liquidity!R53</f>
        <v>0</v>
      </c>
      <c r="S66" s="59" t="n">
        <f aca="false">Liquidity!S53</f>
        <v>0</v>
      </c>
      <c r="T66" s="59" t="n">
        <f aca="false">Liquidity!T53</f>
        <v>0</v>
      </c>
      <c r="U66" s="59" t="n">
        <f aca="false">Liquidity!U53</f>
        <v>0</v>
      </c>
      <c r="V66" s="59" t="n">
        <f aca="false">Liquidity!V53</f>
        <v>0</v>
      </c>
      <c r="W66" s="59" t="n">
        <f aca="false">Liquidity!W53</f>
        <v>0</v>
      </c>
      <c r="X66" s="59" t="n">
        <f aca="false">Liquidity!X53</f>
        <v>0</v>
      </c>
      <c r="Y66" s="59" t="n">
        <f aca="false">Liquidity!Y53</f>
        <v>0</v>
      </c>
      <c r="Z66" s="59" t="n">
        <f aca="false">Liquidity!Z53</f>
        <v>0</v>
      </c>
      <c r="AA66" s="59" t="n">
        <f aca="false">Liquidity!AA53</f>
        <v>0</v>
      </c>
      <c r="AB66" s="59" t="n">
        <f aca="false">Liquidity!AB53</f>
        <v>0</v>
      </c>
      <c r="AC66" s="59" t="n">
        <f aca="false">Liquidity!AC53</f>
        <v>0</v>
      </c>
      <c r="AD66" s="59" t="n">
        <f aca="false">Liquidity!AD53</f>
        <v>0</v>
      </c>
      <c r="AE66" s="59" t="n">
        <f aca="false">Liquidity!AE53</f>
        <v>0</v>
      </c>
      <c r="AF66" s="59" t="n">
        <f aca="false">Liquidity!AF53</f>
        <v>0</v>
      </c>
      <c r="AG66" s="59" t="n">
        <f aca="false">Liquidity!AG53</f>
        <v>0</v>
      </c>
      <c r="AH66" s="59" t="n">
        <f aca="false">Liquidity!AH53</f>
        <v>0</v>
      </c>
      <c r="AI66" s="59" t="n">
        <f aca="false">Liquidity!AI53</f>
        <v>0</v>
      </c>
      <c r="AJ66" s="59" t="n">
        <f aca="false">Liquidity!AJ53</f>
        <v>0</v>
      </c>
      <c r="AK66" s="59" t="n">
        <f aca="false">Liquidity!AK53</f>
        <v>0</v>
      </c>
      <c r="AL66" s="59" t="n">
        <f aca="false">Liquidity!AL53</f>
        <v>0</v>
      </c>
      <c r="AM66" s="59" t="n">
        <f aca="false">Liquidity!AM53</f>
        <v>0</v>
      </c>
    </row>
    <row r="67" customFormat="false" ht="21" hidden="false" customHeight="true" outlineLevel="0" collapsed="false">
      <c r="C67" s="56" t="s">
        <v>607</v>
      </c>
      <c r="D67" s="59"/>
      <c r="E67" s="59"/>
      <c r="F67" s="59"/>
      <c r="G67" s="59"/>
      <c r="H67" s="59"/>
      <c r="I67" s="59"/>
      <c r="J67" s="59" t="n">
        <f aca="false">Liquidity!J50</f>
        <v>0</v>
      </c>
      <c r="K67" s="59" t="n">
        <f aca="false">Liquidity!K50</f>
        <v>0</v>
      </c>
      <c r="L67" s="59" t="n">
        <f aca="false">Liquidity!L50</f>
        <v>0</v>
      </c>
      <c r="M67" s="59" t="n">
        <f aca="false">Liquidity!M50</f>
        <v>0</v>
      </c>
      <c r="N67" s="59" t="n">
        <f aca="false">Liquidity!N50</f>
        <v>0</v>
      </c>
      <c r="O67" s="59" t="n">
        <f aca="false">Liquidity!O50</f>
        <v>0</v>
      </c>
      <c r="P67" s="59" t="n">
        <f aca="false">Liquidity!P50</f>
        <v>0</v>
      </c>
      <c r="Q67" s="59" t="n">
        <f aca="false">Liquidity!Q50</f>
        <v>0</v>
      </c>
      <c r="R67" s="59" t="n">
        <f aca="false">Liquidity!R50</f>
        <v>0</v>
      </c>
      <c r="S67" s="59" t="n">
        <f aca="false">Liquidity!S50</f>
        <v>0</v>
      </c>
      <c r="T67" s="59" t="n">
        <f aca="false">Liquidity!T50</f>
        <v>0</v>
      </c>
      <c r="U67" s="59" t="n">
        <f aca="false">Liquidity!U50</f>
        <v>0</v>
      </c>
      <c r="V67" s="59" t="n">
        <f aca="false">Liquidity!V50</f>
        <v>0</v>
      </c>
      <c r="W67" s="59" t="n">
        <f aca="false">Liquidity!W50</f>
        <v>0</v>
      </c>
      <c r="X67" s="59" t="n">
        <f aca="false">Liquidity!X50</f>
        <v>0</v>
      </c>
      <c r="Y67" s="59" t="n">
        <f aca="false">Liquidity!Y50</f>
        <v>0</v>
      </c>
      <c r="Z67" s="59" t="n">
        <f aca="false">Liquidity!Z50</f>
        <v>0</v>
      </c>
      <c r="AA67" s="59" t="n">
        <f aca="false">Liquidity!AA50</f>
        <v>0</v>
      </c>
      <c r="AB67" s="59" t="n">
        <f aca="false">Liquidity!AB50</f>
        <v>0</v>
      </c>
      <c r="AC67" s="59" t="n">
        <f aca="false">Liquidity!AC50</f>
        <v>0</v>
      </c>
      <c r="AD67" s="59" t="n">
        <f aca="false">Liquidity!AD50</f>
        <v>0</v>
      </c>
      <c r="AE67" s="59" t="n">
        <f aca="false">Liquidity!AE50</f>
        <v>0</v>
      </c>
      <c r="AF67" s="59" t="n">
        <f aca="false">Liquidity!AF50</f>
        <v>0</v>
      </c>
      <c r="AG67" s="59" t="n">
        <f aca="false">Liquidity!AG50</f>
        <v>0</v>
      </c>
      <c r="AH67" s="59" t="n">
        <f aca="false">Liquidity!AH50</f>
        <v>0</v>
      </c>
      <c r="AI67" s="59" t="n">
        <f aca="false">Liquidity!AI50</f>
        <v>0</v>
      </c>
      <c r="AJ67" s="59" t="n">
        <f aca="false">Liquidity!AJ50</f>
        <v>0</v>
      </c>
      <c r="AK67" s="59" t="n">
        <f aca="false">Liquidity!AK50</f>
        <v>0</v>
      </c>
      <c r="AL67" s="59" t="n">
        <f aca="false">Liquidity!AL50</f>
        <v>0</v>
      </c>
      <c r="AM67" s="59" t="n">
        <f aca="false">Liquidity!AM50</f>
        <v>0</v>
      </c>
    </row>
    <row r="68" customFormat="false" ht="21" hidden="false" customHeight="true" outlineLevel="0" collapsed="false">
      <c r="C68" s="56" t="s">
        <v>608</v>
      </c>
      <c r="D68" s="59"/>
      <c r="E68" s="59"/>
      <c r="F68" s="59"/>
      <c r="G68" s="59"/>
      <c r="H68" s="59"/>
      <c r="I68" s="59"/>
      <c r="J68" s="59" t="n">
        <f aca="false">Liquidity!J54</f>
        <v>0</v>
      </c>
      <c r="K68" s="59" t="n">
        <f aca="false">Liquidity!K54</f>
        <v>0</v>
      </c>
      <c r="L68" s="59" t="n">
        <f aca="false">Liquidity!L54</f>
        <v>0</v>
      </c>
      <c r="M68" s="59" t="n">
        <f aca="false">Liquidity!M54</f>
        <v>0</v>
      </c>
      <c r="N68" s="59" t="n">
        <f aca="false">Liquidity!N54</f>
        <v>0</v>
      </c>
      <c r="O68" s="59" t="n">
        <f aca="false">Liquidity!O54</f>
        <v>0</v>
      </c>
      <c r="P68" s="59" t="n">
        <f aca="false">Liquidity!P54</f>
        <v>0</v>
      </c>
      <c r="Q68" s="59" t="n">
        <f aca="false">Liquidity!Q54</f>
        <v>0</v>
      </c>
      <c r="R68" s="59" t="n">
        <f aca="false">Liquidity!R54</f>
        <v>0</v>
      </c>
      <c r="S68" s="59" t="n">
        <f aca="false">Liquidity!S54</f>
        <v>0</v>
      </c>
      <c r="T68" s="59" t="n">
        <f aca="false">Liquidity!T54</f>
        <v>0</v>
      </c>
      <c r="U68" s="59" t="n">
        <f aca="false">Liquidity!U54</f>
        <v>0</v>
      </c>
      <c r="V68" s="59" t="n">
        <f aca="false">Liquidity!V54</f>
        <v>0</v>
      </c>
      <c r="W68" s="59" t="n">
        <f aca="false">Liquidity!W54</f>
        <v>0</v>
      </c>
      <c r="X68" s="59" t="n">
        <f aca="false">Liquidity!X54</f>
        <v>0</v>
      </c>
      <c r="Y68" s="59" t="n">
        <f aca="false">Liquidity!Y54</f>
        <v>0</v>
      </c>
      <c r="Z68" s="59" t="n">
        <f aca="false">Liquidity!Z54</f>
        <v>0</v>
      </c>
      <c r="AA68" s="59" t="n">
        <f aca="false">Liquidity!AA54</f>
        <v>0</v>
      </c>
      <c r="AB68" s="59" t="n">
        <f aca="false">Liquidity!AB54</f>
        <v>0</v>
      </c>
      <c r="AC68" s="59" t="n">
        <f aca="false">Liquidity!AC54</f>
        <v>0</v>
      </c>
      <c r="AD68" s="59" t="n">
        <f aca="false">Liquidity!AD54</f>
        <v>0</v>
      </c>
      <c r="AE68" s="59" t="n">
        <f aca="false">Liquidity!AE54</f>
        <v>0</v>
      </c>
      <c r="AF68" s="59" t="n">
        <f aca="false">Liquidity!AF54</f>
        <v>0</v>
      </c>
      <c r="AG68" s="59" t="n">
        <f aca="false">Liquidity!AG54</f>
        <v>0</v>
      </c>
      <c r="AH68" s="59" t="n">
        <f aca="false">Liquidity!AH54</f>
        <v>0</v>
      </c>
      <c r="AI68" s="59" t="n">
        <f aca="false">Liquidity!AI54</f>
        <v>0</v>
      </c>
      <c r="AJ68" s="59" t="n">
        <f aca="false">Liquidity!AJ54</f>
        <v>0</v>
      </c>
      <c r="AK68" s="59" t="n">
        <f aca="false">Liquidity!AK54</f>
        <v>0</v>
      </c>
      <c r="AL68" s="59" t="n">
        <f aca="false">Liquidity!AL54</f>
        <v>0</v>
      </c>
      <c r="AM68" s="59" t="n">
        <f aca="false">Liquidity!AM54</f>
        <v>0</v>
      </c>
    </row>
    <row r="69" customFormat="false" ht="21" hidden="false" customHeight="true" outlineLevel="0" collapsed="false">
      <c r="C69" s="56" t="s">
        <v>609</v>
      </c>
      <c r="D69" s="59"/>
      <c r="E69" s="59"/>
      <c r="F69" s="59"/>
      <c r="G69" s="59"/>
      <c r="H69" s="59"/>
      <c r="I69" s="59"/>
      <c r="J69" s="59" t="n">
        <f aca="false">Liquidity!J57</f>
        <v>0</v>
      </c>
      <c r="K69" s="59" t="n">
        <f aca="false">Liquidity!K57</f>
        <v>0</v>
      </c>
      <c r="L69" s="59" t="n">
        <f aca="false">Liquidity!L57</f>
        <v>0</v>
      </c>
      <c r="M69" s="59" t="n">
        <f aca="false">Liquidity!M57</f>
        <v>0</v>
      </c>
      <c r="N69" s="59" t="n">
        <f aca="false">Liquidity!N57</f>
        <v>0</v>
      </c>
      <c r="O69" s="59" t="n">
        <f aca="false">Liquidity!O57</f>
        <v>0</v>
      </c>
      <c r="P69" s="59" t="n">
        <f aca="false">Liquidity!P57</f>
        <v>0</v>
      </c>
      <c r="Q69" s="59" t="n">
        <f aca="false">Liquidity!Q57</f>
        <v>0</v>
      </c>
      <c r="R69" s="59" t="n">
        <f aca="false">Liquidity!R57</f>
        <v>0</v>
      </c>
      <c r="S69" s="59" t="n">
        <f aca="false">Liquidity!S57</f>
        <v>0</v>
      </c>
      <c r="T69" s="59" t="n">
        <f aca="false">Liquidity!T57</f>
        <v>0</v>
      </c>
      <c r="U69" s="59" t="n">
        <f aca="false">Liquidity!U57</f>
        <v>0</v>
      </c>
      <c r="V69" s="59" t="n">
        <f aca="false">Liquidity!V57</f>
        <v>0</v>
      </c>
      <c r="W69" s="59" t="n">
        <f aca="false">Liquidity!W57</f>
        <v>0</v>
      </c>
      <c r="X69" s="59" t="n">
        <f aca="false">Liquidity!X57</f>
        <v>0</v>
      </c>
      <c r="Y69" s="59" t="n">
        <f aca="false">Liquidity!Y57</f>
        <v>0</v>
      </c>
      <c r="Z69" s="59" t="n">
        <f aca="false">Liquidity!Z57</f>
        <v>0</v>
      </c>
      <c r="AA69" s="59" t="n">
        <f aca="false">Liquidity!AA57</f>
        <v>0</v>
      </c>
      <c r="AB69" s="59" t="n">
        <f aca="false">Liquidity!AB57</f>
        <v>0</v>
      </c>
      <c r="AC69" s="59" t="n">
        <f aca="false">Liquidity!AC57</f>
        <v>0</v>
      </c>
      <c r="AD69" s="59" t="n">
        <f aca="false">Liquidity!AD57</f>
        <v>0</v>
      </c>
      <c r="AE69" s="59" t="n">
        <f aca="false">Liquidity!AE57</f>
        <v>0</v>
      </c>
      <c r="AF69" s="59" t="n">
        <f aca="false">Liquidity!AF57</f>
        <v>0</v>
      </c>
      <c r="AG69" s="59" t="n">
        <f aca="false">Liquidity!AG57</f>
        <v>0</v>
      </c>
      <c r="AH69" s="59" t="n">
        <f aca="false">Liquidity!AH57</f>
        <v>0</v>
      </c>
      <c r="AI69" s="59" t="n">
        <f aca="false">Liquidity!AI57</f>
        <v>0</v>
      </c>
      <c r="AJ69" s="59" t="n">
        <f aca="false">Liquidity!AJ57</f>
        <v>0</v>
      </c>
      <c r="AK69" s="59" t="n">
        <f aca="false">Liquidity!AK57</f>
        <v>0</v>
      </c>
      <c r="AL69" s="59" t="n">
        <f aca="false">Liquidity!AL57</f>
        <v>0</v>
      </c>
      <c r="AM69" s="59" t="n">
        <f aca="false">Liquidity!AM57</f>
        <v>0</v>
      </c>
    </row>
    <row r="70" customFormat="false" ht="21" hidden="false" customHeight="true" outlineLevel="0" collapsed="false">
      <c r="C70" s="56" t="s">
        <v>610</v>
      </c>
      <c r="D70" s="59"/>
      <c r="E70" s="59"/>
      <c r="F70" s="59"/>
      <c r="G70" s="59"/>
      <c r="H70" s="59"/>
      <c r="I70" s="59"/>
      <c r="J70" s="59" t="n">
        <f aca="false">Liquidity!J59</f>
        <v>0</v>
      </c>
      <c r="K70" s="59" t="n">
        <f aca="false">Liquidity!K59</f>
        <v>0</v>
      </c>
      <c r="L70" s="59" t="n">
        <f aca="false">Liquidity!L59</f>
        <v>0</v>
      </c>
      <c r="M70" s="59" t="n">
        <f aca="false">Liquidity!M59</f>
        <v>0</v>
      </c>
      <c r="N70" s="59" t="n">
        <f aca="false">Liquidity!N59</f>
        <v>0</v>
      </c>
      <c r="O70" s="59" t="n">
        <f aca="false">Liquidity!O59</f>
        <v>0</v>
      </c>
      <c r="P70" s="59" t="n">
        <f aca="false">Liquidity!P59</f>
        <v>0</v>
      </c>
      <c r="Q70" s="59" t="n">
        <f aca="false">Liquidity!Q59</f>
        <v>0</v>
      </c>
      <c r="R70" s="59" t="n">
        <f aca="false">Liquidity!R59</f>
        <v>0</v>
      </c>
      <c r="S70" s="59" t="n">
        <f aca="false">Liquidity!S59</f>
        <v>0</v>
      </c>
      <c r="T70" s="59" t="n">
        <f aca="false">Liquidity!T59</f>
        <v>0</v>
      </c>
      <c r="U70" s="59" t="n">
        <f aca="false">Liquidity!U59</f>
        <v>0</v>
      </c>
      <c r="V70" s="59" t="n">
        <f aca="false">Liquidity!V59</f>
        <v>0</v>
      </c>
      <c r="W70" s="59" t="n">
        <f aca="false">Liquidity!W59</f>
        <v>0</v>
      </c>
      <c r="X70" s="59" t="n">
        <f aca="false">Liquidity!X59</f>
        <v>0</v>
      </c>
      <c r="Y70" s="59" t="n">
        <f aca="false">Liquidity!Y59</f>
        <v>0</v>
      </c>
      <c r="Z70" s="59" t="n">
        <f aca="false">Liquidity!Z59</f>
        <v>0</v>
      </c>
      <c r="AA70" s="59" t="n">
        <f aca="false">Liquidity!AA59</f>
        <v>0</v>
      </c>
      <c r="AB70" s="59" t="n">
        <f aca="false">Liquidity!AB59</f>
        <v>0</v>
      </c>
      <c r="AC70" s="59" t="n">
        <f aca="false">Liquidity!AC59</f>
        <v>0</v>
      </c>
      <c r="AD70" s="59" t="n">
        <f aca="false">Liquidity!AD59</f>
        <v>0</v>
      </c>
      <c r="AE70" s="59" t="n">
        <f aca="false">Liquidity!AE59</f>
        <v>0</v>
      </c>
      <c r="AF70" s="59" t="n">
        <f aca="false">Liquidity!AF59</f>
        <v>0</v>
      </c>
      <c r="AG70" s="59" t="n">
        <f aca="false">Liquidity!AG59</f>
        <v>0</v>
      </c>
      <c r="AH70" s="59" t="n">
        <f aca="false">Liquidity!AH59</f>
        <v>0</v>
      </c>
      <c r="AI70" s="59" t="n">
        <f aca="false">Liquidity!AI59</f>
        <v>0</v>
      </c>
      <c r="AJ70" s="59" t="n">
        <f aca="false">Liquidity!AJ59</f>
        <v>0</v>
      </c>
      <c r="AK70" s="59" t="n">
        <f aca="false">Liquidity!AK59</f>
        <v>0</v>
      </c>
      <c r="AL70" s="59" t="n">
        <f aca="false">Liquidity!AL59</f>
        <v>0</v>
      </c>
      <c r="AM70" s="59" t="n">
        <f aca="false">Liquidity!AM59</f>
        <v>0</v>
      </c>
    </row>
    <row r="71" customFormat="false" ht="21" hidden="false" customHeight="true" outlineLevel="0" collapsed="false">
      <c r="C71" s="56" t="s">
        <v>611</v>
      </c>
      <c r="D71" s="59"/>
      <c r="E71" s="59"/>
      <c r="F71" s="59"/>
      <c r="G71" s="59"/>
      <c r="H71" s="59"/>
      <c r="I71" s="59"/>
      <c r="J71" s="59" t="n">
        <f aca="false">J27+Liquidity!J57</f>
        <v>0</v>
      </c>
      <c r="K71" s="59" t="n">
        <f aca="false">K27+Liquidity!K57</f>
        <v>0</v>
      </c>
      <c r="L71" s="59" t="n">
        <f aca="false">L27+Liquidity!L57</f>
        <v>0</v>
      </c>
      <c r="M71" s="59" t="n">
        <f aca="false">M27+Liquidity!M57</f>
        <v>0</v>
      </c>
      <c r="N71" s="59" t="n">
        <f aca="false">N27+Liquidity!N57</f>
        <v>0</v>
      </c>
      <c r="O71" s="59" t="n">
        <f aca="false">O27+Liquidity!O57</f>
        <v>0</v>
      </c>
      <c r="P71" s="59" t="n">
        <f aca="false">P27+Liquidity!P57</f>
        <v>0</v>
      </c>
      <c r="Q71" s="59" t="n">
        <f aca="false">Q27+Liquidity!Q57</f>
        <v>0</v>
      </c>
      <c r="R71" s="59" t="n">
        <f aca="false">R27+Liquidity!R57</f>
        <v>0</v>
      </c>
      <c r="S71" s="59" t="n">
        <f aca="false">S27+Liquidity!S57</f>
        <v>0</v>
      </c>
      <c r="T71" s="59" t="n">
        <f aca="false">T27+Liquidity!T57</f>
        <v>0</v>
      </c>
      <c r="U71" s="59" t="n">
        <f aca="false">U27+Liquidity!U57</f>
        <v>0</v>
      </c>
      <c r="V71" s="59" t="n">
        <f aca="false">V27+Liquidity!V57</f>
        <v>0</v>
      </c>
      <c r="W71" s="59" t="n">
        <f aca="false">W27+Liquidity!W57</f>
        <v>0</v>
      </c>
      <c r="X71" s="59" t="n">
        <f aca="false">X27+Liquidity!X57</f>
        <v>0</v>
      </c>
      <c r="Y71" s="59" t="n">
        <f aca="false">Y27+Liquidity!Y57</f>
        <v>0</v>
      </c>
      <c r="Z71" s="59" t="n">
        <f aca="false">Z27+Liquidity!Z57</f>
        <v>0</v>
      </c>
      <c r="AA71" s="59" t="n">
        <f aca="false">AA27+Liquidity!AA57</f>
        <v>0</v>
      </c>
      <c r="AB71" s="59" t="n">
        <f aca="false">AB27+Liquidity!AB57</f>
        <v>0</v>
      </c>
      <c r="AC71" s="59" t="n">
        <f aca="false">AC27+Liquidity!AC57</f>
        <v>0</v>
      </c>
      <c r="AD71" s="59" t="n">
        <f aca="false">AD27+Liquidity!AD57</f>
        <v>0</v>
      </c>
      <c r="AE71" s="59" t="n">
        <f aca="false">AE27+Liquidity!AE57</f>
        <v>0</v>
      </c>
      <c r="AF71" s="59" t="n">
        <f aca="false">AF27+Liquidity!AF57</f>
        <v>0</v>
      </c>
      <c r="AG71" s="59" t="n">
        <f aca="false">AG27+Liquidity!AG57</f>
        <v>0</v>
      </c>
      <c r="AH71" s="59" t="n">
        <f aca="false">AH27+Liquidity!AH57</f>
        <v>0</v>
      </c>
      <c r="AI71" s="59" t="n">
        <f aca="false">AI27+Liquidity!AI57</f>
        <v>0</v>
      </c>
      <c r="AJ71" s="59" t="n">
        <f aca="false">AJ27+Liquidity!AJ57</f>
        <v>0</v>
      </c>
      <c r="AK71" s="59" t="n">
        <f aca="false">AK27+Liquidity!AK57</f>
        <v>0</v>
      </c>
      <c r="AL71" s="59" t="n">
        <f aca="false">AL27+Liquidity!AL57</f>
        <v>0</v>
      </c>
      <c r="AM71" s="59" t="n">
        <f aca="false">AM27+Liquidity!AM57</f>
        <v>0</v>
      </c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</row>
  </sheetData>
  <sheetProtection sheet="1" objects="1" scenarios="1" selectLockedCells="0" selectUnlockedCells="0"/>
  <mergeCells count="3">
    <mergeCell ref="C2:K2"/>
    <mergeCell ref="C3:K4"/>
    <mergeCell ref="C62:K63"/>
  </mergeCells>
  <conditionalFormatting sqref="D27:AM27">
    <cfRule type="cellIs" priority="2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>
  <sheetPr filterMode="false">
    <pageSetUpPr fitToPage="false"/>
  </sheetPr>
  <dimension ref="C1:K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11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</row>
    <row r="2" customFormat="false" ht="33" hidden="false" customHeight="true" outlineLevel="0" collapsed="false">
      <c r="C2" s="95" t="s">
        <v>612</v>
      </c>
      <c r="D2" s="95"/>
      <c r="E2" s="95"/>
      <c r="F2" s="95"/>
      <c r="G2" s="95"/>
      <c r="H2" s="95"/>
      <c r="I2" s="95"/>
      <c r="J2" s="95"/>
      <c r="K2" s="95"/>
    </row>
    <row r="3" customFormat="false" ht="21" hidden="false" customHeight="true" outlineLevel="0" collapsed="false">
      <c r="C3" s="58" t="s">
        <v>613</v>
      </c>
      <c r="D3" s="58"/>
      <c r="E3" s="58"/>
      <c r="F3" s="58"/>
      <c r="G3" s="58"/>
      <c r="H3" s="58"/>
      <c r="I3" s="58"/>
      <c r="J3" s="58"/>
      <c r="K3" s="58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</row>
    <row r="6" customFormat="false" ht="21" hidden="false" customHeight="true" outlineLevel="0" collapsed="false">
      <c r="C6" s="56"/>
      <c r="D6" s="56"/>
      <c r="E6" s="56"/>
      <c r="F6" s="56"/>
      <c r="G6" s="56"/>
      <c r="H6" s="56"/>
      <c r="I6" s="56"/>
      <c r="J6" s="56"/>
      <c r="K6" s="56"/>
    </row>
    <row r="7" customFormat="false" ht="21" hidden="false" customHeight="true" outlineLevel="0" collapsed="false">
      <c r="C7" s="56"/>
      <c r="D7" s="56" t="n">
        <v>45291</v>
      </c>
      <c r="E7" s="56" t="n">
        <v>45657</v>
      </c>
      <c r="F7" s="56" t="n">
        <v>46022</v>
      </c>
      <c r="G7" s="56"/>
      <c r="H7" s="56"/>
      <c r="I7" s="56"/>
      <c r="J7" s="56"/>
      <c r="K7" s="56"/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</row>
    <row r="9" customFormat="false" ht="21" hidden="false" customHeight="true" outlineLevel="0" collapsed="false">
      <c r="C9" s="56" t="s">
        <v>31</v>
      </c>
      <c r="D9" s="59" t="n">
        <v>15694.75560624</v>
      </c>
      <c r="E9" s="59" t="n">
        <v>16830.54108613</v>
      </c>
      <c r="F9" s="59" t="n">
        <v>16026.31255645</v>
      </c>
      <c r="G9" s="59"/>
      <c r="H9" s="59"/>
      <c r="I9" s="59"/>
      <c r="J9" s="59"/>
      <c r="K9" s="59"/>
    </row>
    <row r="10" customFormat="false" ht="21" hidden="false" customHeight="true" outlineLevel="0" collapsed="false">
      <c r="C10" s="56" t="s">
        <v>614</v>
      </c>
      <c r="D10" s="59" t="n">
        <v>8914.18453227</v>
      </c>
      <c r="E10" s="59" t="n">
        <v>9551.80910131</v>
      </c>
      <c r="F10" s="59" t="n">
        <v>9113.18664636</v>
      </c>
      <c r="G10" s="59"/>
      <c r="H10" s="59"/>
      <c r="I10" s="59" t="s">
        <v>615</v>
      </c>
      <c r="J10" s="59" t="n">
        <v>72.05582067</v>
      </c>
      <c r="K10" s="59"/>
    </row>
    <row r="11" customFormat="false" ht="21" hidden="false" customHeight="true" outlineLevel="0" collapsed="false">
      <c r="C11" s="56" t="s">
        <v>85</v>
      </c>
      <c r="D11" s="59" t="n">
        <v>1070.4381606</v>
      </c>
      <c r="E11" s="59" t="n">
        <v>1369.41493293</v>
      </c>
      <c r="F11" s="59" t="n">
        <v>1183.4786136</v>
      </c>
      <c r="G11" s="59"/>
      <c r="H11" s="59"/>
      <c r="I11" s="59" t="s">
        <v>616</v>
      </c>
      <c r="J11" s="59" t="n">
        <v>10.79634634</v>
      </c>
      <c r="K11" s="59"/>
    </row>
    <row r="12" customFormat="false" ht="21" hidden="false" customHeight="true" outlineLevel="0" collapsed="false">
      <c r="C12" s="56" t="s">
        <v>617</v>
      </c>
      <c r="D12" s="59" t="n">
        <v>626.19855251</v>
      </c>
      <c r="E12" s="59" t="n">
        <v>732.0458425</v>
      </c>
      <c r="F12" s="59" t="n">
        <v>712.37517918</v>
      </c>
      <c r="G12" s="59"/>
      <c r="H12" s="59"/>
      <c r="I12" s="59" t="s">
        <v>618</v>
      </c>
      <c r="J12" s="59" t="n">
        <v>44.35699092</v>
      </c>
      <c r="K12" s="59"/>
    </row>
    <row r="13" customFormat="false" ht="21" hidden="false" customHeight="true" outlineLevel="0" collapsed="false">
      <c r="C13" s="56" t="s">
        <v>619</v>
      </c>
      <c r="D13" s="59" t="n">
        <v>673.42738661</v>
      </c>
      <c r="E13" s="59" t="n">
        <v>745.51021517</v>
      </c>
      <c r="F13" s="59" t="n">
        <v>643.9637836</v>
      </c>
      <c r="G13" s="59"/>
      <c r="H13" s="59"/>
      <c r="I13" s="59" t="s">
        <v>620</v>
      </c>
      <c r="J13" s="59" t="n">
        <v>26.50361444</v>
      </c>
      <c r="K13" s="59"/>
    </row>
    <row r="14" customFormat="false" ht="21" hidden="false" customHeight="true" outlineLevel="0" collapsed="false">
      <c r="C14" s="56" t="s">
        <v>140</v>
      </c>
      <c r="D14" s="59" t="n">
        <v>132.79616829</v>
      </c>
      <c r="E14" s="59" t="n">
        <v>133.17807707</v>
      </c>
      <c r="F14" s="59" t="n">
        <v>153.52870449</v>
      </c>
      <c r="G14" s="59"/>
      <c r="H14" s="59"/>
      <c r="I14" s="59"/>
      <c r="J14" s="59"/>
      <c r="K14" s="59"/>
    </row>
    <row r="15" customFormat="false" ht="21" hidden="false" customHeight="true" outlineLevel="0" collapsed="false">
      <c r="C15" s="56" t="s">
        <v>92</v>
      </c>
      <c r="D15" s="59" t="n">
        <v>-108.51034564</v>
      </c>
      <c r="E15" s="59" t="n">
        <v>-118.16771943</v>
      </c>
      <c r="F15" s="59" t="n">
        <v>-96.68620909</v>
      </c>
      <c r="G15" s="59"/>
      <c r="H15" s="59"/>
      <c r="I15" s="59"/>
      <c r="J15" s="59"/>
      <c r="K15" s="59"/>
    </row>
    <row r="16" customFormat="false" ht="21" hidden="false" customHeight="true" outlineLevel="0" collapsed="false">
      <c r="C16" s="56" t="s">
        <v>621</v>
      </c>
      <c r="D16" s="59" t="n">
        <v>28.28257899</v>
      </c>
      <c r="E16" s="59" t="n">
        <v>17.64291979</v>
      </c>
      <c r="F16" s="59" t="n">
        <v>16.21650005</v>
      </c>
      <c r="G16" s="59"/>
      <c r="H16" s="59"/>
      <c r="I16" s="59"/>
      <c r="J16" s="59"/>
      <c r="K16" s="59"/>
    </row>
    <row r="17" customFormat="false" ht="21" hidden="false" customHeight="true" outlineLevel="0" collapsed="false">
      <c r="C17" s="56" t="s">
        <v>622</v>
      </c>
      <c r="D17" s="59" t="n">
        <v>150.113800760001</v>
      </c>
      <c r="E17" s="59" t="n">
        <v>663.705284119999</v>
      </c>
      <c r="F17" s="59" t="n">
        <v>588.91612677</v>
      </c>
      <c r="G17" s="59"/>
      <c r="H17" s="59"/>
      <c r="I17" s="59"/>
      <c r="J17" s="59"/>
      <c r="K17" s="59"/>
    </row>
    <row r="18" customFormat="false" ht="21" hidden="false" customHeight="true" outlineLevel="0" collapsed="false">
      <c r="C18" s="56" t="s">
        <v>93</v>
      </c>
      <c r="D18" s="59" t="n">
        <v>4536.33495236</v>
      </c>
      <c r="E18" s="59" t="n">
        <v>5080.4559207</v>
      </c>
      <c r="F18" s="59" t="n">
        <v>4905.38196508</v>
      </c>
      <c r="G18" s="59"/>
      <c r="H18" s="59"/>
      <c r="I18" s="59"/>
      <c r="J18" s="59"/>
      <c r="K18" s="59"/>
    </row>
    <row r="19" customFormat="false" ht="21" hidden="false" customHeight="true" outlineLevel="0" collapsed="false">
      <c r="C19" s="56" t="s">
        <v>623</v>
      </c>
      <c r="D19" s="59" t="n">
        <v>672.00846095</v>
      </c>
      <c r="E19" s="59" t="n">
        <v>811.2800095</v>
      </c>
      <c r="F19" s="59" t="n">
        <v>829.07993366</v>
      </c>
      <c r="G19" s="59"/>
      <c r="H19" s="59"/>
      <c r="I19" s="59"/>
      <c r="J19" s="59"/>
      <c r="K19" s="59"/>
    </row>
    <row r="20" customFormat="false" ht="21" hidden="false" customHeight="true" outlineLevel="0" collapsed="false">
      <c r="C20" s="56" t="s">
        <v>95</v>
      </c>
      <c r="D20" s="59" t="n">
        <v>3864.32649141</v>
      </c>
      <c r="E20" s="59" t="n">
        <v>4269.1759112</v>
      </c>
      <c r="F20" s="59" t="n">
        <v>4076.30203142</v>
      </c>
      <c r="G20" s="59"/>
      <c r="H20" s="59"/>
      <c r="I20" s="59"/>
      <c r="J20" s="59"/>
      <c r="K20" s="59"/>
    </row>
    <row r="21" customFormat="false" ht="21" hidden="false" customHeight="true" outlineLevel="0" collapsed="false">
      <c r="C21" s="56" t="s">
        <v>624</v>
      </c>
      <c r="D21" s="59" t="n">
        <v>3870.13537647</v>
      </c>
      <c r="E21" s="59" t="n">
        <v>4272.20456503</v>
      </c>
      <c r="F21" s="59" t="n">
        <v>4070.63274777</v>
      </c>
      <c r="G21" s="59"/>
      <c r="H21" s="59"/>
      <c r="I21" s="59"/>
      <c r="J21" s="59"/>
      <c r="K21" s="59"/>
    </row>
    <row r="22" customFormat="false" ht="21" hidden="false" customHeight="true" outlineLevel="0" collapsed="false">
      <c r="C22" s="56" t="s">
        <v>625</v>
      </c>
      <c r="D22" s="59" t="n">
        <v>-5.80888506</v>
      </c>
      <c r="E22" s="59" t="n">
        <v>-3.02865383</v>
      </c>
      <c r="F22" s="59" t="n">
        <v>5.66928365</v>
      </c>
      <c r="G22" s="59"/>
      <c r="H22" s="59"/>
      <c r="I22" s="59"/>
      <c r="J22" s="59"/>
      <c r="K22" s="59"/>
    </row>
    <row r="23" customFormat="false" ht="21" hidden="false" customHeight="true" outlineLevel="0" collapsed="false">
      <c r="C23" s="56" t="s">
        <v>626</v>
      </c>
      <c r="D23" s="59" t="n">
        <v>282.88985655</v>
      </c>
      <c r="E23" s="59" t="n">
        <v>277.5123014</v>
      </c>
      <c r="F23" s="59" t="n">
        <v>331.33900028</v>
      </c>
      <c r="G23" s="59"/>
      <c r="H23" s="59"/>
      <c r="I23" s="59"/>
      <c r="J23" s="59"/>
      <c r="K23" s="59"/>
    </row>
    <row r="24" customFormat="false" ht="21" hidden="false" customHeight="true" outlineLevel="0" collapsed="false">
      <c r="C24" s="56" t="s">
        <v>120</v>
      </c>
      <c r="D24" s="59" t="n">
        <v>4827.28209855</v>
      </c>
      <c r="E24" s="59" t="n">
        <v>3730.34689627</v>
      </c>
      <c r="F24" s="59" t="n">
        <v>4743.69235184</v>
      </c>
      <c r="G24" s="59"/>
      <c r="H24" s="59"/>
      <c r="I24" s="59"/>
      <c r="J24" s="59"/>
      <c r="K24" s="59"/>
    </row>
    <row r="25" customFormat="false" ht="21" hidden="false" customHeight="true" outlineLevel="0" collapsed="false">
      <c r="C25" s="56" t="s">
        <v>121</v>
      </c>
      <c r="D25" s="59" t="n">
        <v>-3434.3835219</v>
      </c>
      <c r="E25" s="59" t="n">
        <v>-706.30976089</v>
      </c>
      <c r="F25" s="59" t="n">
        <v>-2062.25262229</v>
      </c>
      <c r="G25" s="59"/>
      <c r="H25" s="59"/>
      <c r="I25" s="59"/>
      <c r="J25" s="59"/>
      <c r="K25" s="59"/>
    </row>
    <row r="26" customFormat="false" ht="21" hidden="false" customHeight="true" outlineLevel="0" collapsed="false">
      <c r="C26" s="56" t="s">
        <v>122</v>
      </c>
      <c r="D26" s="59" t="n">
        <v>-1987.04618027</v>
      </c>
      <c r="E26" s="59" t="n">
        <v>-3522.3050348</v>
      </c>
      <c r="F26" s="59" t="n">
        <v>-2798.88448025</v>
      </c>
      <c r="G26" s="59"/>
      <c r="H26" s="59"/>
      <c r="I26" s="59"/>
      <c r="J26" s="59"/>
      <c r="K26" s="59"/>
    </row>
    <row r="27" customFormat="false" ht="21" hidden="false" customHeight="true" outlineLevel="0" collapsed="false">
      <c r="C27" s="56" t="s">
        <v>627</v>
      </c>
      <c r="D27" s="59" t="n">
        <v>0.99063394</v>
      </c>
      <c r="E27" s="59" t="n">
        <v>2.39609903</v>
      </c>
      <c r="F27" s="59" t="n">
        <v>2.17493125</v>
      </c>
      <c r="G27" s="59"/>
      <c r="H27" s="59"/>
      <c r="I27" s="59"/>
      <c r="J27" s="59"/>
      <c r="K27" s="59"/>
    </row>
    <row r="28" customFormat="false" ht="21" hidden="false" customHeight="true" outlineLevel="0" collapsed="false">
      <c r="C28" s="56" t="s">
        <v>628</v>
      </c>
      <c r="D28" s="59" t="n">
        <v>1925.34317498</v>
      </c>
      <c r="E28" s="59" t="n">
        <v>1332.1862053</v>
      </c>
      <c r="F28" s="59" t="n">
        <v>836.31440491</v>
      </c>
      <c r="G28" s="59"/>
      <c r="H28" s="59"/>
      <c r="I28" s="59"/>
      <c r="J28" s="59"/>
      <c r="K28" s="59"/>
    </row>
    <row r="29" customFormat="false" ht="21" hidden="false" customHeight="true" outlineLevel="0" collapsed="false">
      <c r="C29" s="56" t="s">
        <v>154</v>
      </c>
      <c r="D29" s="59" t="n">
        <v>1332.1862053</v>
      </c>
      <c r="E29" s="59" t="n">
        <v>836.31440491</v>
      </c>
      <c r="F29" s="59" t="n">
        <v>721.04458546</v>
      </c>
      <c r="G29" s="59"/>
      <c r="H29" s="59"/>
      <c r="I29" s="59"/>
      <c r="J29" s="59"/>
      <c r="K29" s="59"/>
    </row>
    <row r="30" customFormat="false" ht="21" hidden="false" customHeight="true" outlineLevel="0" collapsed="false">
      <c r="C30" s="56" t="s">
        <v>629</v>
      </c>
      <c r="D30" s="59" t="n">
        <v>655.20199612</v>
      </c>
      <c r="E30" s="59" t="n">
        <v>938.51961843</v>
      </c>
      <c r="F30" s="59" t="n">
        <v>500.13911024</v>
      </c>
      <c r="G30" s="59"/>
      <c r="H30" s="59"/>
      <c r="I30" s="59" t="s">
        <v>630</v>
      </c>
      <c r="J30" s="59" t="n">
        <v>361.74436167</v>
      </c>
      <c r="K30" s="59"/>
    </row>
    <row r="31" customFormat="false" ht="21" hidden="false" customHeight="true" outlineLevel="0" collapsed="false">
      <c r="C31" s="56" t="s">
        <v>631</v>
      </c>
      <c r="D31" s="59" t="n">
        <v>4743.71442566</v>
      </c>
      <c r="E31" s="59" t="n">
        <v>5020.38035296</v>
      </c>
      <c r="F31" s="59" t="n">
        <v>4167.31915436</v>
      </c>
      <c r="G31" s="59"/>
      <c r="H31" s="59"/>
      <c r="I31" s="59" t="s">
        <v>632</v>
      </c>
      <c r="J31" s="59" t="n">
        <v>828.84684177</v>
      </c>
      <c r="K31" s="59"/>
    </row>
    <row r="32" customFormat="false" ht="21" hidden="false" customHeight="true" outlineLevel="0" collapsed="false">
      <c r="C32" s="56" t="s">
        <v>633</v>
      </c>
      <c r="D32" s="59" t="n">
        <v>3411.52822036</v>
      </c>
      <c r="E32" s="59" t="n">
        <v>4184.06594805</v>
      </c>
      <c r="F32" s="59" t="n">
        <v>3446.2745689</v>
      </c>
      <c r="G32" s="59"/>
      <c r="H32" s="59"/>
      <c r="I32" s="59" t="s">
        <v>634</v>
      </c>
      <c r="J32" s="59" t="n">
        <v>40.72960321</v>
      </c>
      <c r="K32" s="59"/>
    </row>
    <row r="33" customFormat="false" ht="21" hidden="false" customHeight="true" outlineLevel="0" collapsed="false">
      <c r="C33" s="56" t="s">
        <v>635</v>
      </c>
      <c r="D33" s="59" t="n">
        <v>270.11344871</v>
      </c>
      <c r="E33" s="59" t="n">
        <v>308.26794626</v>
      </c>
      <c r="F33" s="59" t="n">
        <v>327.36020444</v>
      </c>
      <c r="G33" s="59"/>
      <c r="H33" s="59"/>
      <c r="I33" s="59" t="s">
        <v>636</v>
      </c>
      <c r="J33" s="59" t="n">
        <v>55.96096238</v>
      </c>
      <c r="K33" s="59"/>
    </row>
    <row r="34" customFormat="false" ht="21" hidden="false" customHeight="true" outlineLevel="0" collapsed="false">
      <c r="C34" s="56" t="s">
        <v>101</v>
      </c>
      <c r="D34" s="59" t="n">
        <v>1421.07805944</v>
      </c>
      <c r="E34" s="59" t="n">
        <v>1573.67281932</v>
      </c>
      <c r="F34" s="59" t="n">
        <v>1630.82616795</v>
      </c>
      <c r="G34" s="59"/>
      <c r="H34" s="59"/>
      <c r="I34" s="59" t="s">
        <v>637</v>
      </c>
      <c r="J34" s="59" t="n">
        <v>83.61095476</v>
      </c>
      <c r="K34" s="59"/>
    </row>
    <row r="35" customFormat="false" ht="21" hidden="false" customHeight="true" outlineLevel="0" collapsed="false">
      <c r="C35" s="56" t="s">
        <v>638</v>
      </c>
      <c r="D35" s="59" t="n">
        <v>2792.75440359</v>
      </c>
      <c r="E35" s="59" t="n">
        <v>3541.03942447</v>
      </c>
      <c r="F35" s="59" t="n">
        <v>3593.77113723</v>
      </c>
      <c r="G35" s="59"/>
      <c r="H35" s="59"/>
      <c r="I35" s="59"/>
      <c r="J35" s="59"/>
      <c r="K35" s="59"/>
    </row>
    <row r="36" customFormat="false" ht="21" hidden="false" customHeight="true" outlineLevel="0" collapsed="false">
      <c r="C36" s="56" t="s">
        <v>639</v>
      </c>
      <c r="D36" s="59" t="n">
        <v>357.58366495</v>
      </c>
      <c r="E36" s="59" t="n">
        <v>368.71447716</v>
      </c>
      <c r="F36" s="59" t="n">
        <v>359.98872307</v>
      </c>
      <c r="G36" s="59"/>
      <c r="H36" s="59"/>
      <c r="I36" s="59"/>
      <c r="J36" s="59"/>
      <c r="K36" s="59"/>
    </row>
    <row r="37" customFormat="false" ht="21" hidden="false" customHeight="true" outlineLevel="0" collapsed="false">
      <c r="C37" s="56" t="s">
        <v>640</v>
      </c>
      <c r="D37" s="59" t="n">
        <v>18.80245189</v>
      </c>
      <c r="E37" s="59" t="n">
        <v>31.30923519</v>
      </c>
      <c r="F37" s="59" t="n">
        <v>25.21957363</v>
      </c>
      <c r="G37" s="59"/>
      <c r="H37" s="59"/>
      <c r="I37" s="59"/>
      <c r="J37" s="59"/>
      <c r="K37" s="59"/>
    </row>
    <row r="38" customFormat="false" ht="21" hidden="false" customHeight="true" outlineLevel="0" collapsed="false">
      <c r="C38" s="56" t="s">
        <v>641</v>
      </c>
      <c r="D38" s="59" t="n">
        <v>9735.263755</v>
      </c>
      <c r="E38" s="59" t="n">
        <v>9225.010725</v>
      </c>
      <c r="F38" s="59" t="n">
        <v>12068.47337387</v>
      </c>
      <c r="G38" s="59"/>
      <c r="H38" s="59"/>
      <c r="I38" s="59"/>
      <c r="J38" s="59"/>
      <c r="K38" s="59"/>
    </row>
    <row r="39" customFormat="false" ht="21" hidden="false" customHeight="true" outlineLevel="0" collapsed="false">
      <c r="C39" s="56" t="s">
        <v>642</v>
      </c>
      <c r="D39" s="59" t="n">
        <v>422.89551569</v>
      </c>
      <c r="E39" s="59" t="n">
        <v>425.63951032</v>
      </c>
      <c r="F39" s="59" t="n">
        <v>383.28420808</v>
      </c>
      <c r="G39" s="59"/>
      <c r="H39" s="59"/>
      <c r="I39" s="59"/>
      <c r="J39" s="59"/>
      <c r="K39" s="59"/>
    </row>
    <row r="40" customFormat="false" ht="21" hidden="false" customHeight="true" outlineLevel="0" collapsed="false">
      <c r="C40" s="56" t="s">
        <v>107</v>
      </c>
      <c r="D40" s="59" t="n">
        <v>19762.20572493</v>
      </c>
      <c r="E40" s="59" t="n">
        <v>20494.03449068</v>
      </c>
      <c r="F40" s="59" t="n">
        <v>22556.24254263</v>
      </c>
      <c r="G40" s="59"/>
      <c r="H40" s="59"/>
      <c r="I40" s="59"/>
      <c r="J40" s="59"/>
      <c r="K40" s="59"/>
    </row>
    <row r="41" customFormat="false" ht="21" hidden="false" customHeight="true" outlineLevel="0" collapsed="false">
      <c r="C41" s="56" t="s">
        <v>643</v>
      </c>
      <c r="D41" s="59" t="n">
        <v>2056.6578054</v>
      </c>
      <c r="E41" s="59" t="n">
        <v>2392.04685463</v>
      </c>
      <c r="F41" s="59" t="n">
        <v>2455.39594837</v>
      </c>
      <c r="G41" s="59"/>
      <c r="H41" s="59"/>
      <c r="I41" s="59"/>
      <c r="J41" s="59"/>
      <c r="K41" s="59"/>
    </row>
    <row r="42" customFormat="false" ht="21" hidden="false" customHeight="true" outlineLevel="0" collapsed="false">
      <c r="C42" s="56" t="s">
        <v>644</v>
      </c>
      <c r="D42" s="59" t="n">
        <v>528.49323161</v>
      </c>
      <c r="E42" s="59" t="n">
        <v>254.24994623</v>
      </c>
      <c r="F42" s="59" t="n">
        <v>592.67224331</v>
      </c>
      <c r="G42" s="59"/>
      <c r="H42" s="59"/>
      <c r="I42" s="59"/>
      <c r="J42" s="59"/>
      <c r="K42" s="59"/>
    </row>
    <row r="43" customFormat="false" ht="21" hidden="false" customHeight="true" outlineLevel="0" collapsed="false">
      <c r="C43" s="56" t="s">
        <v>645</v>
      </c>
      <c r="D43" s="59" t="n">
        <v>1000.04674317</v>
      </c>
      <c r="E43" s="59" t="n">
        <v>314.62100588</v>
      </c>
      <c r="F43" s="59" t="n">
        <v>800.77562122</v>
      </c>
      <c r="G43" s="59"/>
      <c r="H43" s="59"/>
      <c r="I43" s="59"/>
      <c r="J43" s="59"/>
      <c r="K43" s="59"/>
    </row>
    <row r="44" customFormat="false" ht="21" hidden="false" customHeight="true" outlineLevel="0" collapsed="false">
      <c r="C44" s="56" t="s">
        <v>646</v>
      </c>
      <c r="D44" s="59" t="n">
        <v>311.19084543</v>
      </c>
      <c r="E44" s="59" t="n">
        <v>393.46763529</v>
      </c>
      <c r="F44" s="59" t="n">
        <v>444.24880775</v>
      </c>
      <c r="G44" s="59"/>
      <c r="H44" s="59"/>
      <c r="I44" s="59"/>
      <c r="J44" s="59"/>
      <c r="K44" s="59"/>
    </row>
    <row r="45" customFormat="false" ht="21" hidden="false" customHeight="true" outlineLevel="0" collapsed="false">
      <c r="C45" s="56" t="s">
        <v>647</v>
      </c>
      <c r="D45" s="59" t="n">
        <v>0</v>
      </c>
      <c r="E45" s="59" t="n">
        <v>0</v>
      </c>
      <c r="F45" s="59" t="n">
        <v>0</v>
      </c>
      <c r="G45" s="59"/>
      <c r="H45" s="59"/>
      <c r="I45" s="59"/>
      <c r="J45" s="59"/>
      <c r="K45" s="59"/>
    </row>
    <row r="46" customFormat="false" ht="21" hidden="false" customHeight="true" outlineLevel="0" collapsed="false">
      <c r="C46" s="56" t="s">
        <v>648</v>
      </c>
      <c r="D46" s="59" t="n">
        <v>1405.40555359</v>
      </c>
      <c r="E46" s="59" t="n">
        <v>1264.66867789</v>
      </c>
      <c r="F46" s="59" t="n">
        <v>1454.57990465</v>
      </c>
      <c r="G46" s="59"/>
      <c r="H46" s="59"/>
      <c r="I46" s="59"/>
      <c r="J46" s="59"/>
      <c r="K46" s="59"/>
    </row>
    <row r="47" customFormat="false" ht="21" hidden="false" customHeight="true" outlineLevel="0" collapsed="false">
      <c r="C47" s="56" t="s">
        <v>114</v>
      </c>
      <c r="D47" s="59" t="n">
        <v>5301.7941792</v>
      </c>
      <c r="E47" s="59" t="n">
        <v>4619.05411992</v>
      </c>
      <c r="F47" s="59" t="n">
        <v>5747.6725253</v>
      </c>
      <c r="G47" s="59"/>
      <c r="H47" s="59"/>
      <c r="I47" s="59"/>
      <c r="J47" s="59"/>
      <c r="K47" s="59"/>
    </row>
    <row r="48" customFormat="false" ht="21" hidden="false" customHeight="true" outlineLevel="0" collapsed="false">
      <c r="C48" s="56" t="s">
        <v>649</v>
      </c>
      <c r="D48" s="59" t="n">
        <v>9383.73487402</v>
      </c>
      <c r="E48" s="59" t="n">
        <v>10808.30131508</v>
      </c>
      <c r="F48" s="59" t="n">
        <v>11553.52044257</v>
      </c>
      <c r="G48" s="59"/>
      <c r="H48" s="59"/>
      <c r="I48" s="59"/>
      <c r="J48" s="59"/>
      <c r="K48" s="59"/>
    </row>
    <row r="49" customFormat="false" ht="21" hidden="false" customHeight="true" outlineLevel="0" collapsed="false">
      <c r="C49" s="56" t="s">
        <v>650</v>
      </c>
      <c r="D49" s="59" t="n">
        <v>14.48958189</v>
      </c>
      <c r="E49" s="59" t="n">
        <v>8.86467968</v>
      </c>
      <c r="F49" s="59" t="n">
        <v>10.95481658</v>
      </c>
      <c r="G49" s="59"/>
      <c r="H49" s="59"/>
      <c r="I49" s="59"/>
      <c r="J49" s="59"/>
      <c r="K49" s="59"/>
    </row>
    <row r="50" customFormat="false" ht="21" hidden="false" customHeight="true" outlineLevel="0" collapsed="false">
      <c r="C50" s="56" t="s">
        <v>118</v>
      </c>
      <c r="D50" s="59" t="n">
        <v>14460.41154573</v>
      </c>
      <c r="E50" s="59" t="n">
        <v>15874.98037076</v>
      </c>
      <c r="F50" s="59" t="n">
        <v>16808.57001733</v>
      </c>
      <c r="G50" s="59"/>
      <c r="H50" s="59"/>
      <c r="I50" s="59"/>
      <c r="J50" s="59"/>
      <c r="K50" s="59"/>
    </row>
    <row r="51" customFormat="false" ht="21" hidden="false" customHeight="true" outlineLevel="0" collapsed="false">
      <c r="C51" s="56" t="s">
        <v>651</v>
      </c>
      <c r="D51" s="59" t="n">
        <v>-3.63797880709171E-012</v>
      </c>
      <c r="E51" s="59" t="n">
        <v>0</v>
      </c>
      <c r="F51" s="59" t="n">
        <v>0</v>
      </c>
      <c r="G51" s="59"/>
      <c r="H51" s="59"/>
      <c r="I51" s="59"/>
      <c r="J51" s="59"/>
      <c r="K51" s="59"/>
    </row>
    <row r="52" customFormat="false" ht="21" hidden="false" customHeight="true" outlineLevel="0" collapsed="false">
      <c r="C52" s="56" t="s">
        <v>652</v>
      </c>
      <c r="D52" s="59" t="n">
        <v>0</v>
      </c>
      <c r="E52" s="59" t="n">
        <v>0</v>
      </c>
      <c r="F52" s="59" t="n">
        <v>-9.09494701772928E-013</v>
      </c>
      <c r="G52" s="59"/>
      <c r="H52" s="59"/>
      <c r="I52" s="59"/>
      <c r="J52" s="59"/>
      <c r="K52" s="59"/>
    </row>
    <row r="53" customFormat="false" ht="21" hidden="false" customHeight="true" outlineLevel="0" collapsed="false">
      <c r="C53" s="56"/>
      <c r="D53" s="59"/>
      <c r="E53" s="59"/>
      <c r="F53" s="59"/>
      <c r="G53" s="59"/>
      <c r="H53" s="59"/>
      <c r="I53" s="59"/>
      <c r="J53" s="59"/>
      <c r="K53" s="59"/>
    </row>
    <row r="54" customFormat="false" ht="21" hidden="false" customHeight="true" outlineLevel="0" collapsed="false">
      <c r="C54" s="56"/>
      <c r="D54" s="59"/>
      <c r="E54" s="59"/>
      <c r="F54" s="59"/>
      <c r="G54" s="59"/>
      <c r="H54" s="59"/>
      <c r="I54" s="59"/>
      <c r="J54" s="59"/>
      <c r="K54" s="59"/>
    </row>
    <row r="55" customFormat="false" ht="21" hidden="false" customHeight="true" outlineLevel="0" collapsed="false">
      <c r="C55" s="56"/>
      <c r="D55" s="59"/>
      <c r="E55" s="59"/>
      <c r="F55" s="59"/>
      <c r="G55" s="59"/>
      <c r="H55" s="59"/>
      <c r="I55" s="59"/>
      <c r="J55" s="59"/>
      <c r="K55" s="59"/>
    </row>
    <row r="56" customFormat="false" ht="21" hidden="false" customHeight="true" outlineLevel="0" collapsed="false">
      <c r="C56" s="56" t="s">
        <v>653</v>
      </c>
      <c r="D56" s="59"/>
      <c r="E56" s="59"/>
      <c r="F56" s="59"/>
      <c r="G56" s="59"/>
      <c r="H56" s="59"/>
      <c r="I56" s="59"/>
      <c r="J56" s="59"/>
      <c r="K56" s="59"/>
    </row>
    <row r="57" customFormat="false" ht="21" hidden="false" customHeight="true" outlineLevel="0" collapsed="false">
      <c r="C57" s="56" t="s">
        <v>654</v>
      </c>
      <c r="D57" s="59"/>
      <c r="E57" s="59"/>
      <c r="F57" s="59"/>
      <c r="G57" s="59"/>
      <c r="H57" s="59"/>
      <c r="I57" s="59"/>
      <c r="J57" s="59"/>
      <c r="K57" s="59"/>
    </row>
    <row r="58" customFormat="false" ht="21" hidden="false" customHeight="true" outlineLevel="0" collapsed="false">
      <c r="C58" s="56"/>
      <c r="D58" s="59"/>
      <c r="E58" s="59"/>
      <c r="F58" s="59"/>
      <c r="G58" s="59"/>
      <c r="H58" s="59"/>
      <c r="I58" s="59"/>
      <c r="J58" s="59"/>
      <c r="K58" s="59"/>
    </row>
    <row r="59" customFormat="false" ht="21" hidden="false" customHeight="true" outlineLevel="0" collapsed="false">
      <c r="C59" s="56"/>
      <c r="D59" s="59"/>
      <c r="E59" s="59"/>
      <c r="F59" s="59"/>
      <c r="G59" s="59"/>
      <c r="H59" s="59"/>
      <c r="I59" s="59"/>
      <c r="J59" s="59"/>
      <c r="K59" s="59"/>
    </row>
    <row r="60" customFormat="false" ht="21" hidden="false" customHeight="true" outlineLevel="0" collapsed="false">
      <c r="C60" s="56" t="s">
        <v>655</v>
      </c>
      <c r="D60" s="59"/>
      <c r="E60" s="59"/>
      <c r="F60" s="59" t="n">
        <v>286.94085717</v>
      </c>
      <c r="G60" s="59"/>
      <c r="H60" s="59"/>
      <c r="I60" s="59"/>
      <c r="J60" s="59"/>
      <c r="K60" s="59"/>
    </row>
    <row r="61" customFormat="false" ht="21" hidden="false" customHeight="true" outlineLevel="0" collapsed="false">
      <c r="C61" s="56" t="s">
        <v>656</v>
      </c>
      <c r="D61" s="59"/>
      <c r="E61" s="59"/>
      <c r="F61" s="59" t="n">
        <v>229.57143571</v>
      </c>
      <c r="G61" s="59"/>
      <c r="H61" s="59"/>
      <c r="I61" s="59"/>
      <c r="J61" s="59"/>
      <c r="K61" s="59"/>
    </row>
    <row r="62" customFormat="false" ht="21" hidden="false" customHeight="true" outlineLevel="0" collapsed="false">
      <c r="C62" s="56" t="s">
        <v>657</v>
      </c>
      <c r="D62" s="59"/>
      <c r="E62" s="59"/>
      <c r="F62" s="59" t="n">
        <v>83.68718086</v>
      </c>
      <c r="G62" s="59"/>
      <c r="H62" s="59"/>
      <c r="I62" s="59"/>
      <c r="J62" s="59"/>
      <c r="K62" s="59"/>
    </row>
    <row r="63" customFormat="false" ht="21" hidden="false" customHeight="true" outlineLevel="0" collapsed="false">
      <c r="C63" s="56" t="s">
        <v>658</v>
      </c>
      <c r="D63" s="59"/>
      <c r="E63" s="59"/>
      <c r="F63" s="59" t="n">
        <v>391.05765668</v>
      </c>
      <c r="G63" s="59"/>
      <c r="H63" s="59"/>
      <c r="I63" s="59"/>
      <c r="J63" s="59"/>
      <c r="K63" s="59"/>
    </row>
    <row r="64" customFormat="false" ht="21" hidden="false" customHeight="true" outlineLevel="0" collapsed="false">
      <c r="C64" s="56" t="s">
        <v>659</v>
      </c>
      <c r="D64" s="59"/>
      <c r="E64" s="59"/>
      <c r="F64" s="59" t="n">
        <v>8167.92734891</v>
      </c>
      <c r="G64" s="59"/>
      <c r="H64" s="59"/>
      <c r="I64" s="59"/>
      <c r="J64" s="59"/>
      <c r="K64" s="59"/>
    </row>
    <row r="65" customFormat="false" ht="21" hidden="false" customHeight="true" outlineLevel="0" collapsed="false">
      <c r="C65" s="56" t="s">
        <v>660</v>
      </c>
      <c r="D65" s="59"/>
      <c r="E65" s="59"/>
      <c r="F65" s="59" t="n">
        <v>8393.79111374</v>
      </c>
      <c r="G65" s="59"/>
      <c r="H65" s="59"/>
      <c r="I65" s="59"/>
      <c r="J65" s="59"/>
      <c r="K65" s="59"/>
    </row>
    <row r="66" customFormat="false" ht="21" hidden="false" customHeight="true" outlineLevel="0" collapsed="false">
      <c r="C66" s="56" t="s">
        <v>661</v>
      </c>
      <c r="D66" s="59"/>
      <c r="E66" s="59"/>
      <c r="F66" s="59" t="n">
        <v>25.58287094</v>
      </c>
      <c r="G66" s="59"/>
      <c r="H66" s="59"/>
      <c r="I66" s="59"/>
      <c r="J66" s="59"/>
      <c r="K66" s="59"/>
    </row>
    <row r="67" customFormat="false" ht="21" hidden="false" customHeight="true" outlineLevel="0" collapsed="false">
      <c r="C67" s="56" t="s">
        <v>662</v>
      </c>
      <c r="D67" s="59"/>
      <c r="E67" s="59"/>
      <c r="F67" s="59" t="n">
        <v>28.56261514</v>
      </c>
      <c r="G67" s="59"/>
      <c r="H67" s="59"/>
      <c r="I67" s="59"/>
      <c r="J67" s="59"/>
      <c r="K67" s="59"/>
    </row>
    <row r="68" customFormat="false" ht="21" hidden="false" customHeight="true" outlineLevel="0" collapsed="false">
      <c r="C68" s="56" t="s">
        <v>663</v>
      </c>
      <c r="D68" s="59"/>
      <c r="E68" s="59"/>
      <c r="F68" s="59" t="n">
        <v>8.01245042</v>
      </c>
      <c r="G68" s="59"/>
      <c r="H68" s="59"/>
      <c r="I68" s="59"/>
      <c r="J68" s="59"/>
      <c r="K68" s="59"/>
    </row>
    <row r="69" customFormat="false" ht="21" hidden="false" customHeight="true" outlineLevel="0" collapsed="false">
      <c r="C69" s="56" t="s">
        <v>664</v>
      </c>
      <c r="D69" s="59"/>
      <c r="E69" s="59"/>
      <c r="F69" s="59" t="n">
        <v>112.15081486</v>
      </c>
      <c r="G69" s="59"/>
      <c r="H69" s="59"/>
      <c r="I69" s="59"/>
      <c r="J69" s="59"/>
      <c r="K69" s="59"/>
    </row>
    <row r="70" customFormat="false" ht="21" hidden="false" customHeight="true" outlineLevel="0" collapsed="false">
      <c r="C70" s="56" t="s">
        <v>665</v>
      </c>
      <c r="D70" s="59"/>
      <c r="E70" s="59"/>
      <c r="F70" s="59" t="n">
        <v>861.5879473</v>
      </c>
      <c r="G70" s="59"/>
      <c r="H70" s="59"/>
      <c r="I70" s="59"/>
      <c r="J70" s="59"/>
      <c r="K70" s="59"/>
    </row>
    <row r="71" customFormat="false" ht="21" hidden="false" customHeight="true" outlineLevel="0" collapsed="false">
      <c r="C71" s="56"/>
      <c r="D71" s="59"/>
      <c r="E71" s="59"/>
      <c r="F71" s="59"/>
      <c r="G71" s="59"/>
      <c r="H71" s="59"/>
      <c r="I71" s="59"/>
      <c r="J71" s="59"/>
      <c r="K71" s="59"/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</row>
  </sheetData>
  <sheetProtection sheet="1" objects="1" scenarios="1" selectLockedCells="0" selectUnlockedCells="0"/>
  <mergeCells count="2">
    <mergeCell ref="C2:K2"/>
    <mergeCell ref="C3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>
  <sheetPr filterMode="false">
    <pageSetUpPr fitToPage="false"/>
  </sheetPr>
  <dimension ref="C1:K223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7"/>
    <col collapsed="false" customWidth="true" hidden="false" outlineLevel="0" max="8" min="4" style="0" width="13"/>
    <col collapsed="false" customWidth="true" hidden="false" outlineLevel="0" max="11" min="9" style="0" width="45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</row>
    <row r="2" customFormat="false" ht="33" hidden="false" customHeight="true" outlineLevel="0" collapsed="false">
      <c r="C2" s="57" t="s">
        <v>666</v>
      </c>
      <c r="D2" s="57"/>
      <c r="E2" s="57"/>
      <c r="F2" s="57"/>
      <c r="G2" s="57"/>
      <c r="H2" s="57"/>
      <c r="I2" s="57"/>
      <c r="J2" s="57"/>
      <c r="K2" s="57"/>
    </row>
    <row r="3" customFormat="false" ht="21" hidden="false" customHeight="true" outlineLevel="0" collapsed="false">
      <c r="C3" s="58" t="s">
        <v>82</v>
      </c>
      <c r="D3" s="58"/>
      <c r="E3" s="58"/>
      <c r="F3" s="58"/>
      <c r="G3" s="58"/>
      <c r="H3" s="58"/>
      <c r="I3" s="58"/>
      <c r="J3" s="58"/>
      <c r="K3" s="58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</row>
    <row r="6" customFormat="false" ht="21" hidden="false" customHeight="true" outlineLevel="0" collapsed="false">
      <c r="C6" s="56"/>
      <c r="D6" s="56"/>
      <c r="E6" s="56"/>
      <c r="F6" s="56"/>
      <c r="G6" s="56"/>
      <c r="H6" s="56"/>
      <c r="I6" s="56"/>
      <c r="J6" s="56"/>
      <c r="K6" s="56"/>
    </row>
    <row r="7" customFormat="false" ht="21" hidden="false" customHeight="true" outlineLevel="0" collapsed="false">
      <c r="C7" s="56" t="s">
        <v>667</v>
      </c>
      <c r="D7" s="56" t="s">
        <v>668</v>
      </c>
      <c r="E7" s="56" t="s">
        <v>669</v>
      </c>
      <c r="F7" s="56" t="s">
        <v>670</v>
      </c>
      <c r="G7" s="56" t="s">
        <v>671</v>
      </c>
      <c r="H7" s="56" t="s">
        <v>672</v>
      </c>
      <c r="I7" s="56" t="s">
        <v>673</v>
      </c>
      <c r="J7" s="56" t="s">
        <v>674</v>
      </c>
      <c r="K7" s="56" t="s">
        <v>675</v>
      </c>
    </row>
    <row r="8" customFormat="false" ht="54" hidden="false" customHeight="true" outlineLevel="0" collapsed="false">
      <c r="C8" s="96" t="s">
        <v>276</v>
      </c>
      <c r="D8" s="97" t="s">
        <v>676</v>
      </c>
      <c r="E8" s="97" t="n">
        <v>547229128.76</v>
      </c>
      <c r="F8" s="97" t="s">
        <v>677</v>
      </c>
      <c r="G8" s="97" t="n">
        <v>160</v>
      </c>
      <c r="H8" s="97" t="s">
        <v>678</v>
      </c>
      <c r="I8" s="97" t="s">
        <v>679</v>
      </c>
      <c r="J8" s="97" t="s">
        <v>680</v>
      </c>
      <c r="K8" s="97" t="s">
        <v>681</v>
      </c>
    </row>
    <row r="9" customFormat="false" ht="54" hidden="false" customHeight="true" outlineLevel="0" collapsed="false">
      <c r="C9" s="96" t="s">
        <v>276</v>
      </c>
      <c r="D9" s="97" t="s">
        <v>682</v>
      </c>
      <c r="E9" s="97" t="n">
        <v>593987443.21</v>
      </c>
      <c r="F9" s="97" t="s">
        <v>677</v>
      </c>
      <c r="G9" s="97" t="n">
        <v>160</v>
      </c>
      <c r="H9" s="97" t="s">
        <v>678</v>
      </c>
      <c r="I9" s="97" t="s">
        <v>679</v>
      </c>
      <c r="J9" s="97" t="s">
        <v>680</v>
      </c>
      <c r="K9" s="97" t="s">
        <v>681</v>
      </c>
    </row>
    <row r="10" customFormat="false" ht="54" hidden="false" customHeight="true" outlineLevel="0" collapsed="false">
      <c r="C10" s="96" t="s">
        <v>277</v>
      </c>
      <c r="D10" s="97" t="s">
        <v>676</v>
      </c>
      <c r="E10" s="97" t="n">
        <v>434575762.57</v>
      </c>
      <c r="F10" s="97" t="s">
        <v>677</v>
      </c>
      <c r="G10" s="97" t="n">
        <v>160</v>
      </c>
      <c r="H10" s="97" t="s">
        <v>678</v>
      </c>
      <c r="I10" s="97" t="s">
        <v>679</v>
      </c>
      <c r="J10" s="97" t="s">
        <v>680</v>
      </c>
      <c r="K10" s="97" t="s">
        <v>681</v>
      </c>
    </row>
    <row r="11" customFormat="false" ht="54" hidden="false" customHeight="true" outlineLevel="0" collapsed="false">
      <c r="C11" s="96" t="s">
        <v>277</v>
      </c>
      <c r="D11" s="97" t="s">
        <v>682</v>
      </c>
      <c r="E11" s="97" t="n">
        <v>432451737.67</v>
      </c>
      <c r="F11" s="97" t="s">
        <v>677</v>
      </c>
      <c r="G11" s="97" t="n">
        <v>160</v>
      </c>
      <c r="H11" s="97" t="s">
        <v>678</v>
      </c>
      <c r="I11" s="97" t="s">
        <v>679</v>
      </c>
      <c r="J11" s="97" t="s">
        <v>680</v>
      </c>
      <c r="K11" s="97" t="s">
        <v>681</v>
      </c>
    </row>
    <row r="12" customFormat="false" ht="54" hidden="false" customHeight="true" outlineLevel="0" collapsed="false">
      <c r="C12" s="96" t="s">
        <v>278</v>
      </c>
      <c r="D12" s="97" t="s">
        <v>676</v>
      </c>
      <c r="E12" s="97" t="n">
        <v>77118028.87</v>
      </c>
      <c r="F12" s="97" t="s">
        <v>677</v>
      </c>
      <c r="G12" s="97" t="n">
        <v>161</v>
      </c>
      <c r="H12" s="97" t="s">
        <v>678</v>
      </c>
      <c r="I12" s="97" t="s">
        <v>679</v>
      </c>
      <c r="J12" s="97" t="s">
        <v>680</v>
      </c>
      <c r="K12" s="97" t="s">
        <v>681</v>
      </c>
    </row>
    <row r="13" customFormat="false" ht="54" hidden="false" customHeight="true" outlineLevel="0" collapsed="false">
      <c r="C13" s="96" t="s">
        <v>278</v>
      </c>
      <c r="D13" s="97" t="s">
        <v>682</v>
      </c>
      <c r="E13" s="97" t="n">
        <v>161385339.95</v>
      </c>
      <c r="F13" s="97" t="s">
        <v>677</v>
      </c>
      <c r="G13" s="97" t="n">
        <v>161</v>
      </c>
      <c r="H13" s="97" t="s">
        <v>678</v>
      </c>
      <c r="I13" s="97" t="s">
        <v>679</v>
      </c>
      <c r="J13" s="97" t="s">
        <v>680</v>
      </c>
      <c r="K13" s="97" t="s">
        <v>681</v>
      </c>
    </row>
    <row r="14" customFormat="false" ht="54" hidden="false" customHeight="true" outlineLevel="0" collapsed="false">
      <c r="C14" s="96" t="s">
        <v>279</v>
      </c>
      <c r="D14" s="97" t="s">
        <v>676</v>
      </c>
      <c r="E14" s="97" t="n">
        <v>56797264.78</v>
      </c>
      <c r="F14" s="97" t="s">
        <v>677</v>
      </c>
      <c r="G14" s="97" t="n">
        <v>161</v>
      </c>
      <c r="H14" s="97" t="s">
        <v>678</v>
      </c>
      <c r="I14" s="97" t="s">
        <v>679</v>
      </c>
      <c r="J14" s="97" t="s">
        <v>680</v>
      </c>
      <c r="K14" s="97" t="s">
        <v>681</v>
      </c>
    </row>
    <row r="15" customFormat="false" ht="54" hidden="false" customHeight="true" outlineLevel="0" collapsed="false">
      <c r="C15" s="96" t="s">
        <v>279</v>
      </c>
      <c r="D15" s="97" t="s">
        <v>682</v>
      </c>
      <c r="E15" s="97" t="n">
        <v>98276438.72</v>
      </c>
      <c r="F15" s="97" t="s">
        <v>677</v>
      </c>
      <c r="G15" s="97" t="n">
        <v>161</v>
      </c>
      <c r="H15" s="97" t="s">
        <v>678</v>
      </c>
      <c r="I15" s="97" t="s">
        <v>679</v>
      </c>
      <c r="J15" s="97" t="s">
        <v>680</v>
      </c>
      <c r="K15" s="97" t="s">
        <v>681</v>
      </c>
    </row>
    <row r="16" customFormat="false" ht="54" hidden="false" customHeight="true" outlineLevel="0" collapsed="false">
      <c r="C16" s="96" t="s">
        <v>280</v>
      </c>
      <c r="D16" s="97" t="s">
        <v>676</v>
      </c>
      <c r="E16" s="97" t="n">
        <v>60690405.4</v>
      </c>
      <c r="F16" s="97" t="s">
        <v>677</v>
      </c>
      <c r="G16" s="97" t="n">
        <v>161</v>
      </c>
      <c r="H16" s="97" t="s">
        <v>678</v>
      </c>
      <c r="I16" s="97" t="s">
        <v>679</v>
      </c>
      <c r="J16" s="97" t="s">
        <v>680</v>
      </c>
      <c r="K16" s="97" t="s">
        <v>681</v>
      </c>
    </row>
    <row r="17" customFormat="false" ht="54" hidden="false" customHeight="true" outlineLevel="0" collapsed="false">
      <c r="C17" s="96" t="s">
        <v>280</v>
      </c>
      <c r="D17" s="97" t="s">
        <v>682</v>
      </c>
      <c r="E17" s="97" t="n">
        <v>73883454.97</v>
      </c>
      <c r="F17" s="97" t="s">
        <v>677</v>
      </c>
      <c r="G17" s="97" t="n">
        <v>161</v>
      </c>
      <c r="H17" s="97" t="s">
        <v>678</v>
      </c>
      <c r="I17" s="97" t="s">
        <v>679</v>
      </c>
      <c r="J17" s="97" t="s">
        <v>680</v>
      </c>
      <c r="K17" s="97" t="s">
        <v>681</v>
      </c>
    </row>
    <row r="18" customFormat="false" ht="54" hidden="false" customHeight="true" outlineLevel="0" collapsed="false">
      <c r="C18" s="96" t="s">
        <v>281</v>
      </c>
      <c r="D18" s="97" t="s">
        <v>676</v>
      </c>
      <c r="E18" s="97" t="n">
        <v>1933088.13</v>
      </c>
      <c r="F18" s="97" t="s">
        <v>677</v>
      </c>
      <c r="G18" s="97" t="n">
        <v>161</v>
      </c>
      <c r="H18" s="97" t="s">
        <v>678</v>
      </c>
      <c r="I18" s="97" t="s">
        <v>679</v>
      </c>
      <c r="J18" s="97" t="s">
        <v>680</v>
      </c>
      <c r="K18" s="97" t="s">
        <v>681</v>
      </c>
    </row>
    <row r="19" customFormat="false" ht="54" hidden="false" customHeight="true" outlineLevel="0" collapsed="false">
      <c r="C19" s="96" t="s">
        <v>281</v>
      </c>
      <c r="D19" s="97" t="s">
        <v>682</v>
      </c>
      <c r="E19" s="97" t="n">
        <v>2297837.11</v>
      </c>
      <c r="F19" s="97" t="s">
        <v>677</v>
      </c>
      <c r="G19" s="97" t="n">
        <v>161</v>
      </c>
      <c r="H19" s="97" t="s">
        <v>678</v>
      </c>
      <c r="I19" s="97" t="s">
        <v>679</v>
      </c>
      <c r="J19" s="97" t="s">
        <v>680</v>
      </c>
      <c r="K19" s="97" t="s">
        <v>681</v>
      </c>
    </row>
    <row r="20" customFormat="false" ht="54" hidden="false" customHeight="true" outlineLevel="0" collapsed="false">
      <c r="C20" s="96" t="s">
        <v>282</v>
      </c>
      <c r="D20" s="97" t="s">
        <v>676</v>
      </c>
      <c r="E20" s="97" t="n">
        <v>5134935.09</v>
      </c>
      <c r="F20" s="97" t="s">
        <v>677</v>
      </c>
      <c r="G20" s="97" t="n">
        <v>161</v>
      </c>
      <c r="H20" s="97" t="s">
        <v>678</v>
      </c>
      <c r="I20" s="97" t="s">
        <v>679</v>
      </c>
      <c r="J20" s="97" t="s">
        <v>680</v>
      </c>
      <c r="K20" s="97" t="s">
        <v>681</v>
      </c>
    </row>
    <row r="21" customFormat="false" ht="54" hidden="false" customHeight="true" outlineLevel="0" collapsed="false">
      <c r="C21" s="96" t="s">
        <v>282</v>
      </c>
      <c r="D21" s="97" t="s">
        <v>682</v>
      </c>
      <c r="E21" s="97" t="n">
        <v>7132681.3</v>
      </c>
      <c r="F21" s="97" t="s">
        <v>677</v>
      </c>
      <c r="G21" s="97" t="n">
        <v>161</v>
      </c>
      <c r="H21" s="97" t="s">
        <v>678</v>
      </c>
      <c r="I21" s="97" t="s">
        <v>679</v>
      </c>
      <c r="J21" s="97" t="s">
        <v>680</v>
      </c>
      <c r="K21" s="97" t="s">
        <v>681</v>
      </c>
    </row>
    <row r="22" customFormat="false" ht="54" hidden="false" customHeight="true" outlineLevel="0" collapsed="false">
      <c r="C22" s="96" t="s">
        <v>683</v>
      </c>
      <c r="D22" s="97" t="s">
        <v>676</v>
      </c>
      <c r="E22" s="97" t="n">
        <v>1183478613.6</v>
      </c>
      <c r="F22" s="97" t="s">
        <v>677</v>
      </c>
      <c r="G22" s="97" t="n">
        <v>161</v>
      </c>
      <c r="H22" s="97" t="s">
        <v>678</v>
      </c>
      <c r="I22" s="97" t="s">
        <v>679</v>
      </c>
      <c r="J22" s="97" t="s">
        <v>680</v>
      </c>
      <c r="K22" s="97" t="s">
        <v>681</v>
      </c>
    </row>
    <row r="23" customFormat="false" ht="54" hidden="false" customHeight="true" outlineLevel="0" collapsed="false">
      <c r="C23" s="96" t="s">
        <v>683</v>
      </c>
      <c r="D23" s="97" t="s">
        <v>682</v>
      </c>
      <c r="E23" s="97" t="n">
        <v>1369414932.93</v>
      </c>
      <c r="F23" s="97" t="s">
        <v>677</v>
      </c>
      <c r="G23" s="97" t="n">
        <v>161</v>
      </c>
      <c r="H23" s="97" t="s">
        <v>678</v>
      </c>
      <c r="I23" s="97" t="s">
        <v>679</v>
      </c>
      <c r="J23" s="97" t="s">
        <v>680</v>
      </c>
      <c r="K23" s="97" t="s">
        <v>681</v>
      </c>
    </row>
    <row r="24" customFormat="false" ht="54" hidden="false" customHeight="true" outlineLevel="0" collapsed="false">
      <c r="C24" s="96" t="s">
        <v>285</v>
      </c>
      <c r="D24" s="97" t="s">
        <v>676</v>
      </c>
      <c r="E24" s="97" t="n">
        <v>428846390.73</v>
      </c>
      <c r="F24" s="97" t="s">
        <v>677</v>
      </c>
      <c r="G24" s="97" t="n">
        <v>161</v>
      </c>
      <c r="H24" s="97" t="s">
        <v>678</v>
      </c>
      <c r="I24" s="97" t="s">
        <v>679</v>
      </c>
      <c r="J24" s="97" t="s">
        <v>680</v>
      </c>
      <c r="K24" s="97" t="s">
        <v>681</v>
      </c>
    </row>
    <row r="25" customFormat="false" ht="54" hidden="false" customHeight="true" outlineLevel="0" collapsed="false">
      <c r="C25" s="96" t="s">
        <v>285</v>
      </c>
      <c r="D25" s="97" t="s">
        <v>682</v>
      </c>
      <c r="E25" s="97" t="n">
        <v>381888040.85</v>
      </c>
      <c r="F25" s="97" t="s">
        <v>677</v>
      </c>
      <c r="G25" s="97" t="n">
        <v>161</v>
      </c>
      <c r="H25" s="97" t="s">
        <v>678</v>
      </c>
      <c r="I25" s="97" t="s">
        <v>679</v>
      </c>
      <c r="J25" s="97" t="s">
        <v>680</v>
      </c>
      <c r="K25" s="97" t="s">
        <v>681</v>
      </c>
    </row>
    <row r="26" customFormat="false" ht="54" hidden="false" customHeight="true" outlineLevel="0" collapsed="false">
      <c r="C26" s="96" t="s">
        <v>286</v>
      </c>
      <c r="D26" s="97" t="s">
        <v>676</v>
      </c>
      <c r="E26" s="97" t="n">
        <v>45204557.27</v>
      </c>
      <c r="F26" s="97" t="s">
        <v>677</v>
      </c>
      <c r="G26" s="97" t="n">
        <v>161</v>
      </c>
      <c r="H26" s="97" t="s">
        <v>678</v>
      </c>
      <c r="I26" s="97" t="s">
        <v>679</v>
      </c>
      <c r="J26" s="97" t="s">
        <v>680</v>
      </c>
      <c r="K26" s="97" t="s">
        <v>681</v>
      </c>
    </row>
    <row r="27" customFormat="false" ht="54" hidden="false" customHeight="true" outlineLevel="0" collapsed="false">
      <c r="C27" s="96" t="s">
        <v>286</v>
      </c>
      <c r="D27" s="97" t="s">
        <v>682</v>
      </c>
      <c r="E27" s="97" t="n">
        <v>122973177.9</v>
      </c>
      <c r="F27" s="97" t="s">
        <v>677</v>
      </c>
      <c r="G27" s="97" t="n">
        <v>161</v>
      </c>
      <c r="H27" s="97" t="s">
        <v>678</v>
      </c>
      <c r="I27" s="97" t="s">
        <v>679</v>
      </c>
      <c r="J27" s="97" t="s">
        <v>680</v>
      </c>
      <c r="K27" s="97" t="s">
        <v>681</v>
      </c>
    </row>
    <row r="28" customFormat="false" ht="54" hidden="false" customHeight="true" outlineLevel="0" collapsed="false">
      <c r="C28" s="96" t="s">
        <v>287</v>
      </c>
      <c r="D28" s="97" t="s">
        <v>676</v>
      </c>
      <c r="E28" s="97" t="n">
        <v>109312698.87</v>
      </c>
      <c r="F28" s="97" t="s">
        <v>677</v>
      </c>
      <c r="G28" s="97" t="n">
        <v>161</v>
      </c>
      <c r="H28" s="97" t="s">
        <v>678</v>
      </c>
      <c r="I28" s="97" t="s">
        <v>679</v>
      </c>
      <c r="J28" s="97" t="s">
        <v>680</v>
      </c>
      <c r="K28" s="97" t="s">
        <v>681</v>
      </c>
    </row>
    <row r="29" customFormat="false" ht="54" hidden="false" customHeight="true" outlineLevel="0" collapsed="false">
      <c r="C29" s="96" t="s">
        <v>287</v>
      </c>
      <c r="D29" s="97" t="s">
        <v>682</v>
      </c>
      <c r="E29" s="97" t="n">
        <v>67049662.72</v>
      </c>
      <c r="F29" s="97" t="s">
        <v>677</v>
      </c>
      <c r="G29" s="97" t="n">
        <v>161</v>
      </c>
      <c r="H29" s="97" t="s">
        <v>678</v>
      </c>
      <c r="I29" s="97" t="s">
        <v>679</v>
      </c>
      <c r="J29" s="97" t="s">
        <v>680</v>
      </c>
      <c r="K29" s="97" t="s">
        <v>681</v>
      </c>
    </row>
    <row r="30" customFormat="false" ht="54" hidden="false" customHeight="true" outlineLevel="0" collapsed="false">
      <c r="C30" s="96" t="s">
        <v>288</v>
      </c>
      <c r="D30" s="97" t="s">
        <v>676</v>
      </c>
      <c r="E30" s="97" t="n">
        <v>65252341</v>
      </c>
      <c r="F30" s="97" t="s">
        <v>677</v>
      </c>
      <c r="G30" s="97" t="n">
        <v>161</v>
      </c>
      <c r="H30" s="97" t="s">
        <v>678</v>
      </c>
      <c r="I30" s="97" t="s">
        <v>679</v>
      </c>
      <c r="J30" s="97" t="s">
        <v>680</v>
      </c>
      <c r="K30" s="97" t="s">
        <v>681</v>
      </c>
    </row>
    <row r="31" customFormat="false" ht="54" hidden="false" customHeight="true" outlineLevel="0" collapsed="false">
      <c r="C31" s="96" t="s">
        <v>288</v>
      </c>
      <c r="D31" s="97" t="s">
        <v>682</v>
      </c>
      <c r="E31" s="97" t="n">
        <v>70472914.15</v>
      </c>
      <c r="F31" s="97" t="s">
        <v>677</v>
      </c>
      <c r="G31" s="97" t="n">
        <v>161</v>
      </c>
      <c r="H31" s="97" t="s">
        <v>678</v>
      </c>
      <c r="I31" s="97" t="s">
        <v>679</v>
      </c>
      <c r="J31" s="97" t="s">
        <v>680</v>
      </c>
      <c r="K31" s="97" t="s">
        <v>681</v>
      </c>
    </row>
    <row r="32" customFormat="false" ht="54" hidden="false" customHeight="true" outlineLevel="0" collapsed="false">
      <c r="C32" s="96" t="s">
        <v>289</v>
      </c>
      <c r="D32" s="97" t="s">
        <v>676</v>
      </c>
      <c r="E32" s="97" t="n">
        <v>20312139.4</v>
      </c>
      <c r="F32" s="97" t="s">
        <v>677</v>
      </c>
      <c r="G32" s="97" t="n">
        <v>161</v>
      </c>
      <c r="H32" s="97" t="s">
        <v>678</v>
      </c>
      <c r="I32" s="97" t="s">
        <v>679</v>
      </c>
      <c r="J32" s="97" t="s">
        <v>680</v>
      </c>
      <c r="K32" s="97" t="s">
        <v>681</v>
      </c>
    </row>
    <row r="33" customFormat="false" ht="54" hidden="false" customHeight="true" outlineLevel="0" collapsed="false">
      <c r="C33" s="96" t="s">
        <v>289</v>
      </c>
      <c r="D33" s="97" t="s">
        <v>682</v>
      </c>
      <c r="E33" s="97" t="n">
        <v>19527000.47</v>
      </c>
      <c r="F33" s="97" t="s">
        <v>677</v>
      </c>
      <c r="G33" s="97" t="n">
        <v>161</v>
      </c>
      <c r="H33" s="97" t="s">
        <v>678</v>
      </c>
      <c r="I33" s="97" t="s">
        <v>679</v>
      </c>
      <c r="J33" s="97" t="s">
        <v>680</v>
      </c>
      <c r="K33" s="97" t="s">
        <v>681</v>
      </c>
    </row>
    <row r="34" customFormat="false" ht="54" hidden="false" customHeight="true" outlineLevel="0" collapsed="false">
      <c r="C34" s="96" t="s">
        <v>290</v>
      </c>
      <c r="D34" s="97" t="s">
        <v>676</v>
      </c>
      <c r="E34" s="97"/>
      <c r="F34" s="97" t="s">
        <v>677</v>
      </c>
      <c r="G34" s="97" t="n">
        <v>161</v>
      </c>
      <c r="H34" s="97" t="s">
        <v>684</v>
      </c>
      <c r="I34" s="97" t="s">
        <v>679</v>
      </c>
      <c r="J34" s="97" t="s">
        <v>680</v>
      </c>
      <c r="K34" s="97" t="s">
        <v>681</v>
      </c>
    </row>
    <row r="35" customFormat="false" ht="54" hidden="false" customHeight="true" outlineLevel="0" collapsed="false">
      <c r="C35" s="96" t="s">
        <v>290</v>
      </c>
      <c r="D35" s="97" t="s">
        <v>682</v>
      </c>
      <c r="E35" s="97" t="n">
        <v>10812355.19</v>
      </c>
      <c r="F35" s="97" t="s">
        <v>677</v>
      </c>
      <c r="G35" s="97" t="n">
        <v>161</v>
      </c>
      <c r="H35" s="97" t="s">
        <v>678</v>
      </c>
      <c r="I35" s="97" t="s">
        <v>679</v>
      </c>
      <c r="J35" s="97" t="s">
        <v>680</v>
      </c>
      <c r="K35" s="97" t="s">
        <v>681</v>
      </c>
    </row>
    <row r="36" customFormat="false" ht="54" hidden="false" customHeight="true" outlineLevel="0" collapsed="false">
      <c r="C36" s="96" t="s">
        <v>291</v>
      </c>
      <c r="D36" s="97" t="s">
        <v>676</v>
      </c>
      <c r="E36" s="97" t="n">
        <v>26747956.73</v>
      </c>
      <c r="F36" s="97" t="s">
        <v>677</v>
      </c>
      <c r="G36" s="97" t="n">
        <v>161</v>
      </c>
      <c r="H36" s="97" t="s">
        <v>678</v>
      </c>
      <c r="I36" s="97" t="s">
        <v>679</v>
      </c>
      <c r="J36" s="97" t="s">
        <v>680</v>
      </c>
      <c r="K36" s="97" t="s">
        <v>681</v>
      </c>
    </row>
    <row r="37" customFormat="false" ht="54" hidden="false" customHeight="true" outlineLevel="0" collapsed="false">
      <c r="C37" s="96" t="s">
        <v>291</v>
      </c>
      <c r="D37" s="97" t="s">
        <v>682</v>
      </c>
      <c r="E37" s="97" t="n">
        <v>35106294.23</v>
      </c>
      <c r="F37" s="97" t="s">
        <v>677</v>
      </c>
      <c r="G37" s="97" t="n">
        <v>161</v>
      </c>
      <c r="H37" s="97" t="s">
        <v>678</v>
      </c>
      <c r="I37" s="97" t="s">
        <v>679</v>
      </c>
      <c r="J37" s="97" t="s">
        <v>680</v>
      </c>
      <c r="K37" s="97" t="s">
        <v>681</v>
      </c>
    </row>
    <row r="38" customFormat="false" ht="54" hidden="false" customHeight="true" outlineLevel="0" collapsed="false">
      <c r="C38" s="96" t="s">
        <v>292</v>
      </c>
      <c r="D38" s="97" t="s">
        <v>676</v>
      </c>
      <c r="E38" s="97" t="n">
        <v>4106820.76</v>
      </c>
      <c r="F38" s="97" t="s">
        <v>677</v>
      </c>
      <c r="G38" s="97" t="n">
        <v>161</v>
      </c>
      <c r="H38" s="97" t="s">
        <v>678</v>
      </c>
      <c r="I38" s="97" t="s">
        <v>679</v>
      </c>
      <c r="J38" s="97" t="s">
        <v>680</v>
      </c>
      <c r="K38" s="97" t="s">
        <v>681</v>
      </c>
    </row>
    <row r="39" customFormat="false" ht="54" hidden="false" customHeight="true" outlineLevel="0" collapsed="false">
      <c r="C39" s="96" t="s">
        <v>292</v>
      </c>
      <c r="D39" s="97" t="s">
        <v>682</v>
      </c>
      <c r="E39" s="97" t="n">
        <v>9328891.66</v>
      </c>
      <c r="F39" s="97" t="s">
        <v>677</v>
      </c>
      <c r="G39" s="97" t="n">
        <v>161</v>
      </c>
      <c r="H39" s="97" t="s">
        <v>678</v>
      </c>
      <c r="I39" s="97" t="s">
        <v>679</v>
      </c>
      <c r="J39" s="97" t="s">
        <v>680</v>
      </c>
      <c r="K39" s="97" t="s">
        <v>681</v>
      </c>
    </row>
    <row r="40" customFormat="false" ht="54" hidden="false" customHeight="true" outlineLevel="0" collapsed="false">
      <c r="C40" s="96" t="s">
        <v>293</v>
      </c>
      <c r="D40" s="97" t="s">
        <v>676</v>
      </c>
      <c r="E40" s="97" t="n">
        <v>8155734.52</v>
      </c>
      <c r="F40" s="97" t="s">
        <v>677</v>
      </c>
      <c r="G40" s="97" t="n">
        <v>161</v>
      </c>
      <c r="H40" s="97" t="s">
        <v>678</v>
      </c>
      <c r="I40" s="97" t="s">
        <v>679</v>
      </c>
      <c r="J40" s="97" t="s">
        <v>680</v>
      </c>
      <c r="K40" s="97" t="s">
        <v>681</v>
      </c>
    </row>
    <row r="41" customFormat="false" ht="54" hidden="false" customHeight="true" outlineLevel="0" collapsed="false">
      <c r="C41" s="96" t="s">
        <v>293</v>
      </c>
      <c r="D41" s="97" t="s">
        <v>682</v>
      </c>
      <c r="E41" s="97" t="n">
        <v>6637806.75</v>
      </c>
      <c r="F41" s="97" t="s">
        <v>677</v>
      </c>
      <c r="G41" s="97" t="n">
        <v>161</v>
      </c>
      <c r="H41" s="97" t="s">
        <v>678</v>
      </c>
      <c r="I41" s="97" t="s">
        <v>679</v>
      </c>
      <c r="J41" s="97" t="s">
        <v>680</v>
      </c>
      <c r="K41" s="97" t="s">
        <v>681</v>
      </c>
    </row>
    <row r="42" customFormat="false" ht="54" hidden="false" customHeight="true" outlineLevel="0" collapsed="false">
      <c r="C42" s="96" t="s">
        <v>294</v>
      </c>
      <c r="D42" s="97" t="s">
        <v>676</v>
      </c>
      <c r="E42" s="97" t="n">
        <v>4436539.9</v>
      </c>
      <c r="F42" s="97" t="s">
        <v>677</v>
      </c>
      <c r="G42" s="97" t="n">
        <v>161</v>
      </c>
      <c r="H42" s="97" t="s">
        <v>678</v>
      </c>
      <c r="I42" s="97" t="s">
        <v>679</v>
      </c>
      <c r="J42" s="97" t="s">
        <v>680</v>
      </c>
      <c r="K42" s="97" t="s">
        <v>681</v>
      </c>
    </row>
    <row r="43" customFormat="false" ht="54" hidden="false" customHeight="true" outlineLevel="0" collapsed="false">
      <c r="C43" s="96" t="s">
        <v>294</v>
      </c>
      <c r="D43" s="97" t="s">
        <v>682</v>
      </c>
      <c r="E43" s="97" t="n">
        <v>8249698.58</v>
      </c>
      <c r="F43" s="97" t="s">
        <v>677</v>
      </c>
      <c r="G43" s="97" t="n">
        <v>161</v>
      </c>
      <c r="H43" s="97" t="s">
        <v>678</v>
      </c>
      <c r="I43" s="97" t="s">
        <v>679</v>
      </c>
      <c r="J43" s="97" t="s">
        <v>680</v>
      </c>
      <c r="K43" s="97" t="s">
        <v>681</v>
      </c>
    </row>
    <row r="44" customFormat="false" ht="54" hidden="false" customHeight="true" outlineLevel="0" collapsed="false">
      <c r="C44" s="96" t="s">
        <v>685</v>
      </c>
      <c r="D44" s="97" t="s">
        <v>676</v>
      </c>
      <c r="E44" s="97" t="n">
        <v>712375179.18</v>
      </c>
      <c r="F44" s="97" t="s">
        <v>677</v>
      </c>
      <c r="G44" s="97" t="n">
        <v>161</v>
      </c>
      <c r="H44" s="97" t="s">
        <v>678</v>
      </c>
      <c r="I44" s="97" t="s">
        <v>679</v>
      </c>
      <c r="J44" s="97" t="s">
        <v>680</v>
      </c>
      <c r="K44" s="97" t="s">
        <v>681</v>
      </c>
    </row>
    <row r="45" customFormat="false" ht="54" hidden="false" customHeight="true" outlineLevel="0" collapsed="false">
      <c r="C45" s="96" t="s">
        <v>685</v>
      </c>
      <c r="D45" s="97" t="s">
        <v>682</v>
      </c>
      <c r="E45" s="97" t="n">
        <v>732045842.5</v>
      </c>
      <c r="F45" s="97" t="s">
        <v>677</v>
      </c>
      <c r="G45" s="97" t="n">
        <v>161</v>
      </c>
      <c r="H45" s="97" t="s">
        <v>678</v>
      </c>
      <c r="I45" s="97" t="s">
        <v>679</v>
      </c>
      <c r="J45" s="97" t="s">
        <v>680</v>
      </c>
      <c r="K45" s="97" t="s">
        <v>681</v>
      </c>
    </row>
    <row r="46" customFormat="false" ht="54" hidden="false" customHeight="true" outlineLevel="0" collapsed="false">
      <c r="C46" s="96" t="s">
        <v>297</v>
      </c>
      <c r="D46" s="97" t="s">
        <v>676</v>
      </c>
      <c r="E46" s="97" t="n">
        <v>385630669.64</v>
      </c>
      <c r="F46" s="97" t="s">
        <v>677</v>
      </c>
      <c r="G46" s="97" t="n">
        <v>171</v>
      </c>
      <c r="H46" s="97" t="s">
        <v>678</v>
      </c>
      <c r="I46" s="97" t="s">
        <v>679</v>
      </c>
      <c r="J46" s="97" t="s">
        <v>680</v>
      </c>
      <c r="K46" s="97" t="s">
        <v>681</v>
      </c>
    </row>
    <row r="47" customFormat="false" ht="54" hidden="false" customHeight="true" outlineLevel="0" collapsed="false">
      <c r="C47" s="96" t="s">
        <v>297</v>
      </c>
      <c r="D47" s="97" t="s">
        <v>682</v>
      </c>
      <c r="E47" s="97" t="n">
        <v>465156814.44</v>
      </c>
      <c r="F47" s="97" t="s">
        <v>677</v>
      </c>
      <c r="G47" s="97" t="n">
        <v>171</v>
      </c>
      <c r="H47" s="97" t="s">
        <v>678</v>
      </c>
      <c r="I47" s="97" t="s">
        <v>679</v>
      </c>
      <c r="J47" s="97" t="s">
        <v>680</v>
      </c>
      <c r="K47" s="97" t="s">
        <v>681</v>
      </c>
    </row>
    <row r="48" customFormat="false" ht="54" hidden="false" customHeight="true" outlineLevel="0" collapsed="false">
      <c r="C48" s="96" t="s">
        <v>298</v>
      </c>
      <c r="D48" s="97" t="s">
        <v>676</v>
      </c>
      <c r="E48" s="97" t="n">
        <v>184718535.54</v>
      </c>
      <c r="F48" s="97" t="s">
        <v>677</v>
      </c>
      <c r="G48" s="97" t="n">
        <v>171</v>
      </c>
      <c r="H48" s="97" t="s">
        <v>678</v>
      </c>
      <c r="I48" s="97" t="s">
        <v>679</v>
      </c>
      <c r="J48" s="97" t="s">
        <v>680</v>
      </c>
      <c r="K48" s="97" t="s">
        <v>681</v>
      </c>
    </row>
    <row r="49" customFormat="false" ht="54" hidden="false" customHeight="true" outlineLevel="0" collapsed="false">
      <c r="C49" s="96" t="s">
        <v>298</v>
      </c>
      <c r="D49" s="97" t="s">
        <v>682</v>
      </c>
      <c r="E49" s="97" t="n">
        <v>196711152.61</v>
      </c>
      <c r="F49" s="97" t="s">
        <v>677</v>
      </c>
      <c r="G49" s="97" t="n">
        <v>171</v>
      </c>
      <c r="H49" s="97" t="s">
        <v>678</v>
      </c>
      <c r="I49" s="97" t="s">
        <v>679</v>
      </c>
      <c r="J49" s="97" t="s">
        <v>680</v>
      </c>
      <c r="K49" s="97" t="s">
        <v>681</v>
      </c>
    </row>
    <row r="50" customFormat="false" ht="54" hidden="false" customHeight="true" outlineLevel="0" collapsed="false">
      <c r="C50" s="96" t="s">
        <v>299</v>
      </c>
      <c r="D50" s="97" t="s">
        <v>676</v>
      </c>
      <c r="E50" s="97" t="n">
        <v>15145096.8</v>
      </c>
      <c r="F50" s="97" t="s">
        <v>677</v>
      </c>
      <c r="G50" s="97" t="n">
        <v>171</v>
      </c>
      <c r="H50" s="97" t="s">
        <v>678</v>
      </c>
      <c r="I50" s="97" t="s">
        <v>679</v>
      </c>
      <c r="J50" s="97" t="s">
        <v>680</v>
      </c>
      <c r="K50" s="97" t="s">
        <v>681</v>
      </c>
    </row>
    <row r="51" customFormat="false" ht="54" hidden="false" customHeight="true" outlineLevel="0" collapsed="false">
      <c r="C51" s="96" t="s">
        <v>299</v>
      </c>
      <c r="D51" s="97" t="s">
        <v>682</v>
      </c>
      <c r="E51" s="97" t="n">
        <v>15486108.16</v>
      </c>
      <c r="F51" s="97" t="s">
        <v>677</v>
      </c>
      <c r="G51" s="97" t="n">
        <v>171</v>
      </c>
      <c r="H51" s="97" t="s">
        <v>678</v>
      </c>
      <c r="I51" s="97" t="s">
        <v>679</v>
      </c>
      <c r="J51" s="97" t="s">
        <v>680</v>
      </c>
      <c r="K51" s="97" t="s">
        <v>681</v>
      </c>
    </row>
    <row r="52" customFormat="false" ht="54" hidden="false" customHeight="true" outlineLevel="0" collapsed="false">
      <c r="C52" s="96" t="s">
        <v>300</v>
      </c>
      <c r="D52" s="97" t="s">
        <v>676</v>
      </c>
      <c r="E52" s="97" t="n">
        <v>58469481.62</v>
      </c>
      <c r="F52" s="97" t="s">
        <v>677</v>
      </c>
      <c r="G52" s="97" t="n">
        <v>171</v>
      </c>
      <c r="H52" s="97" t="s">
        <v>678</v>
      </c>
      <c r="I52" s="97" t="s">
        <v>679</v>
      </c>
      <c r="J52" s="97" t="s">
        <v>680</v>
      </c>
      <c r="K52" s="97" t="s">
        <v>681</v>
      </c>
    </row>
    <row r="53" customFormat="false" ht="54" hidden="false" customHeight="true" outlineLevel="0" collapsed="false">
      <c r="C53" s="96" t="s">
        <v>300</v>
      </c>
      <c r="D53" s="97" t="s">
        <v>682</v>
      </c>
      <c r="E53" s="97" t="n">
        <v>68156139.96</v>
      </c>
      <c r="F53" s="97" t="s">
        <v>677</v>
      </c>
      <c r="G53" s="97" t="n">
        <v>171</v>
      </c>
      <c r="H53" s="97" t="s">
        <v>678</v>
      </c>
      <c r="I53" s="97" t="s">
        <v>679</v>
      </c>
      <c r="J53" s="97" t="s">
        <v>680</v>
      </c>
      <c r="K53" s="97" t="s">
        <v>681</v>
      </c>
    </row>
    <row r="54" customFormat="false" ht="54" hidden="false" customHeight="true" outlineLevel="0" collapsed="false">
      <c r="C54" s="96" t="s">
        <v>686</v>
      </c>
      <c r="D54" s="97" t="s">
        <v>676</v>
      </c>
      <c r="E54" s="97" t="n">
        <v>643963783.6</v>
      </c>
      <c r="F54" s="97" t="s">
        <v>677</v>
      </c>
      <c r="G54" s="97" t="n">
        <v>171</v>
      </c>
      <c r="H54" s="97" t="s">
        <v>678</v>
      </c>
      <c r="I54" s="97" t="s">
        <v>679</v>
      </c>
      <c r="J54" s="97" t="s">
        <v>680</v>
      </c>
      <c r="K54" s="97" t="s">
        <v>681</v>
      </c>
    </row>
    <row r="55" customFormat="false" ht="54" hidden="false" customHeight="true" outlineLevel="0" collapsed="false">
      <c r="C55" s="96" t="s">
        <v>686</v>
      </c>
      <c r="D55" s="97" t="s">
        <v>682</v>
      </c>
      <c r="E55" s="97" t="n">
        <v>745510215.17</v>
      </c>
      <c r="F55" s="97" t="s">
        <v>677</v>
      </c>
      <c r="G55" s="97" t="n">
        <v>171</v>
      </c>
      <c r="H55" s="97" t="s">
        <v>678</v>
      </c>
      <c r="I55" s="97" t="s">
        <v>679</v>
      </c>
      <c r="J55" s="97" t="s">
        <v>680</v>
      </c>
      <c r="K55" s="97" t="s">
        <v>681</v>
      </c>
    </row>
    <row r="56" customFormat="false" ht="54" hidden="false" customHeight="true" outlineLevel="0" collapsed="false">
      <c r="C56" s="96" t="s">
        <v>687</v>
      </c>
      <c r="D56" s="97" t="s">
        <v>676</v>
      </c>
      <c r="E56" s="97" t="n">
        <v>285937646.56</v>
      </c>
      <c r="F56" s="97" t="s">
        <v>677</v>
      </c>
      <c r="G56" s="97" t="n">
        <v>161</v>
      </c>
      <c r="H56" s="97" t="s">
        <v>678</v>
      </c>
      <c r="I56" s="97" t="s">
        <v>679</v>
      </c>
      <c r="J56" s="97" t="s">
        <v>680</v>
      </c>
      <c r="K56" s="97" t="s">
        <v>681</v>
      </c>
    </row>
    <row r="57" customFormat="false" ht="54" hidden="false" customHeight="true" outlineLevel="0" collapsed="false">
      <c r="C57" s="96" t="s">
        <v>687</v>
      </c>
      <c r="D57" s="97" t="s">
        <v>682</v>
      </c>
      <c r="E57" s="97" t="n">
        <v>344152810.63</v>
      </c>
      <c r="F57" s="97" t="s">
        <v>677</v>
      </c>
      <c r="G57" s="97" t="n">
        <v>161</v>
      </c>
      <c r="H57" s="97" t="s">
        <v>678</v>
      </c>
      <c r="I57" s="97" t="s">
        <v>679</v>
      </c>
      <c r="J57" s="97" t="s">
        <v>680</v>
      </c>
      <c r="K57" s="97" t="s">
        <v>681</v>
      </c>
    </row>
    <row r="58" customFormat="false" ht="54" hidden="false" customHeight="true" outlineLevel="0" collapsed="false">
      <c r="C58" s="96" t="s">
        <v>688</v>
      </c>
      <c r="D58" s="97" t="s">
        <v>676</v>
      </c>
      <c r="E58" s="97" t="n">
        <v>163365223.62</v>
      </c>
      <c r="F58" s="97" t="s">
        <v>677</v>
      </c>
      <c r="G58" s="97" t="n">
        <v>161</v>
      </c>
      <c r="H58" s="97" t="s">
        <v>678</v>
      </c>
      <c r="I58" s="97" t="s">
        <v>679</v>
      </c>
      <c r="J58" s="97" t="s">
        <v>680</v>
      </c>
      <c r="K58" s="97" t="s">
        <v>681</v>
      </c>
    </row>
    <row r="59" customFormat="false" ht="54" hidden="false" customHeight="true" outlineLevel="0" collapsed="false">
      <c r="C59" s="96" t="s">
        <v>688</v>
      </c>
      <c r="D59" s="97" t="s">
        <v>682</v>
      </c>
      <c r="E59" s="97" t="n">
        <v>172454432.36</v>
      </c>
      <c r="F59" s="97" t="s">
        <v>677</v>
      </c>
      <c r="G59" s="97" t="n">
        <v>161</v>
      </c>
      <c r="H59" s="97" t="s">
        <v>678</v>
      </c>
      <c r="I59" s="97" t="s">
        <v>679</v>
      </c>
      <c r="J59" s="97" t="s">
        <v>680</v>
      </c>
      <c r="K59" s="97" t="s">
        <v>681</v>
      </c>
    </row>
    <row r="60" customFormat="false" ht="54" hidden="false" customHeight="true" outlineLevel="0" collapsed="false">
      <c r="C60" s="96" t="s">
        <v>689</v>
      </c>
      <c r="D60" s="97" t="s">
        <v>676</v>
      </c>
      <c r="E60" s="97" t="n">
        <v>82235030.47</v>
      </c>
      <c r="F60" s="97" t="s">
        <v>677</v>
      </c>
      <c r="G60" s="97" t="n">
        <v>161</v>
      </c>
      <c r="H60" s="97" t="s">
        <v>678</v>
      </c>
      <c r="I60" s="97" t="s">
        <v>679</v>
      </c>
      <c r="J60" s="97" t="s">
        <v>680</v>
      </c>
      <c r="K60" s="97" t="s">
        <v>681</v>
      </c>
    </row>
    <row r="61" customFormat="false" ht="54" hidden="false" customHeight="true" outlineLevel="0" collapsed="false">
      <c r="C61" s="96" t="s">
        <v>689</v>
      </c>
      <c r="D61" s="97" t="s">
        <v>682</v>
      </c>
      <c r="E61" s="97" t="n">
        <v>86804015.7</v>
      </c>
      <c r="F61" s="97" t="s">
        <v>677</v>
      </c>
      <c r="G61" s="97" t="n">
        <v>161</v>
      </c>
      <c r="H61" s="97" t="s">
        <v>678</v>
      </c>
      <c r="I61" s="97" t="s">
        <v>679</v>
      </c>
      <c r="J61" s="97" t="s">
        <v>680</v>
      </c>
      <c r="K61" s="97" t="s">
        <v>681</v>
      </c>
    </row>
    <row r="62" customFormat="false" ht="54" hidden="false" customHeight="true" outlineLevel="0" collapsed="false">
      <c r="C62" s="96" t="s">
        <v>690</v>
      </c>
      <c r="D62" s="97" t="s">
        <v>676</v>
      </c>
      <c r="E62" s="97" t="n">
        <v>32629181.99</v>
      </c>
      <c r="F62" s="97" t="s">
        <v>677</v>
      </c>
      <c r="G62" s="97" t="n">
        <v>161</v>
      </c>
      <c r="H62" s="97" t="s">
        <v>678</v>
      </c>
      <c r="I62" s="97" t="s">
        <v>679</v>
      </c>
      <c r="J62" s="97" t="s">
        <v>680</v>
      </c>
      <c r="K62" s="97" t="s">
        <v>681</v>
      </c>
    </row>
    <row r="63" customFormat="false" ht="54" hidden="false" customHeight="true" outlineLevel="0" collapsed="false">
      <c r="C63" s="96" t="s">
        <v>690</v>
      </c>
      <c r="D63" s="97" t="s">
        <v>682</v>
      </c>
      <c r="E63" s="97" t="n">
        <v>42650804.84</v>
      </c>
      <c r="F63" s="97" t="s">
        <v>677</v>
      </c>
      <c r="G63" s="97" t="n">
        <v>161</v>
      </c>
      <c r="H63" s="97" t="s">
        <v>678</v>
      </c>
      <c r="I63" s="97" t="s">
        <v>679</v>
      </c>
      <c r="J63" s="97" t="s">
        <v>680</v>
      </c>
      <c r="K63" s="97" t="s">
        <v>681</v>
      </c>
    </row>
    <row r="64" customFormat="false" ht="54" hidden="false" customHeight="true" outlineLevel="0" collapsed="false">
      <c r="C64" s="96" t="s">
        <v>691</v>
      </c>
      <c r="D64" s="97" t="s">
        <v>676</v>
      </c>
      <c r="E64" s="97" t="n">
        <v>15722029.31</v>
      </c>
      <c r="F64" s="97" t="s">
        <v>677</v>
      </c>
      <c r="G64" s="97" t="n">
        <v>161</v>
      </c>
      <c r="H64" s="97" t="s">
        <v>678</v>
      </c>
      <c r="I64" s="97" t="s">
        <v>679</v>
      </c>
      <c r="J64" s="97" t="s">
        <v>680</v>
      </c>
      <c r="K64" s="97" t="s">
        <v>681</v>
      </c>
    </row>
    <row r="65" customFormat="false" ht="54" hidden="false" customHeight="true" outlineLevel="0" collapsed="false">
      <c r="C65" s="96" t="s">
        <v>691</v>
      </c>
      <c r="D65" s="97" t="s">
        <v>682</v>
      </c>
      <c r="E65" s="97" t="n">
        <v>43354070.3</v>
      </c>
      <c r="F65" s="97" t="s">
        <v>677</v>
      </c>
      <c r="G65" s="97" t="n">
        <v>161</v>
      </c>
      <c r="H65" s="97" t="s">
        <v>678</v>
      </c>
      <c r="I65" s="97" t="s">
        <v>679</v>
      </c>
      <c r="J65" s="97" t="s">
        <v>680</v>
      </c>
      <c r="K65" s="97" t="s">
        <v>681</v>
      </c>
    </row>
    <row r="66" customFormat="false" ht="54" hidden="false" customHeight="true" outlineLevel="0" collapsed="false">
      <c r="C66" s="96" t="s">
        <v>692</v>
      </c>
      <c r="D66" s="97" t="s">
        <v>676</v>
      </c>
      <c r="E66" s="97" t="n">
        <v>21955614.78</v>
      </c>
      <c r="F66" s="97" t="s">
        <v>677</v>
      </c>
      <c r="G66" s="97" t="n">
        <v>161</v>
      </c>
      <c r="H66" s="97" t="s">
        <v>678</v>
      </c>
      <c r="I66" s="97" t="s">
        <v>679</v>
      </c>
      <c r="J66" s="97" t="s">
        <v>680</v>
      </c>
      <c r="K66" s="97" t="s">
        <v>681</v>
      </c>
    </row>
    <row r="67" customFormat="false" ht="54" hidden="false" customHeight="true" outlineLevel="0" collapsed="false">
      <c r="C67" s="96" t="s">
        <v>692</v>
      </c>
      <c r="D67" s="97" t="s">
        <v>682</v>
      </c>
      <c r="E67" s="97" t="n">
        <v>24503039.77</v>
      </c>
      <c r="F67" s="97" t="s">
        <v>677</v>
      </c>
      <c r="G67" s="97" t="n">
        <v>161</v>
      </c>
      <c r="H67" s="97" t="s">
        <v>678</v>
      </c>
      <c r="I67" s="97" t="s">
        <v>679</v>
      </c>
      <c r="J67" s="97" t="s">
        <v>680</v>
      </c>
      <c r="K67" s="97" t="s">
        <v>681</v>
      </c>
    </row>
    <row r="68" customFormat="false" ht="54" hidden="false" customHeight="true" outlineLevel="0" collapsed="false">
      <c r="C68" s="96" t="s">
        <v>693</v>
      </c>
      <c r="D68" s="97" t="s">
        <v>676</v>
      </c>
      <c r="E68" s="97" t="n">
        <v>4139300.24</v>
      </c>
      <c r="F68" s="97" t="s">
        <v>677</v>
      </c>
      <c r="G68" s="97" t="n">
        <v>161</v>
      </c>
      <c r="H68" s="97" t="s">
        <v>678</v>
      </c>
      <c r="I68" s="97" t="s">
        <v>679</v>
      </c>
      <c r="J68" s="97" t="s">
        <v>680</v>
      </c>
      <c r="K68" s="97" t="s">
        <v>681</v>
      </c>
    </row>
    <row r="69" customFormat="false" ht="54" hidden="false" customHeight="true" outlineLevel="0" collapsed="false">
      <c r="C69" s="96" t="s">
        <v>693</v>
      </c>
      <c r="D69" s="97" t="s">
        <v>682</v>
      </c>
      <c r="E69" s="97" t="n">
        <v>13024172.14</v>
      </c>
      <c r="F69" s="97" t="s">
        <v>677</v>
      </c>
      <c r="G69" s="97" t="n">
        <v>161</v>
      </c>
      <c r="H69" s="97" t="s">
        <v>678</v>
      </c>
      <c r="I69" s="97" t="s">
        <v>679</v>
      </c>
      <c r="J69" s="97" t="s">
        <v>680</v>
      </c>
      <c r="K69" s="97" t="s">
        <v>681</v>
      </c>
    </row>
    <row r="70" customFormat="false" ht="54" hidden="false" customHeight="true" outlineLevel="0" collapsed="false">
      <c r="C70" s="96" t="s">
        <v>694</v>
      </c>
      <c r="D70" s="97" t="s">
        <v>676</v>
      </c>
      <c r="E70" s="97" t="n">
        <v>7741056.44</v>
      </c>
      <c r="F70" s="97" t="s">
        <v>677</v>
      </c>
      <c r="G70" s="97" t="n">
        <v>161</v>
      </c>
      <c r="H70" s="97" t="s">
        <v>678</v>
      </c>
      <c r="I70" s="97" t="s">
        <v>679</v>
      </c>
      <c r="J70" s="97" t="s">
        <v>680</v>
      </c>
      <c r="K70" s="97" t="s">
        <v>681</v>
      </c>
    </row>
    <row r="71" customFormat="false" ht="54" hidden="false" customHeight="true" outlineLevel="0" collapsed="false">
      <c r="C71" s="96" t="s">
        <v>694</v>
      </c>
      <c r="D71" s="97" t="s">
        <v>682</v>
      </c>
      <c r="E71" s="97" t="n">
        <v>8831095.12</v>
      </c>
      <c r="F71" s="97" t="s">
        <v>677</v>
      </c>
      <c r="G71" s="97" t="n">
        <v>161</v>
      </c>
      <c r="H71" s="97" t="s">
        <v>678</v>
      </c>
      <c r="I71" s="97" t="s">
        <v>679</v>
      </c>
      <c r="J71" s="97" t="s">
        <v>680</v>
      </c>
      <c r="K71" s="97" t="s">
        <v>681</v>
      </c>
    </row>
    <row r="72" customFormat="false" ht="54" hidden="false" customHeight="true" outlineLevel="0" collapsed="false">
      <c r="C72" s="96" t="s">
        <v>695</v>
      </c>
      <c r="D72" s="97" t="s">
        <v>676</v>
      </c>
      <c r="E72" s="97" t="n">
        <v>30238700.19</v>
      </c>
      <c r="F72" s="97" t="s">
        <v>677</v>
      </c>
      <c r="G72" s="97" t="n">
        <v>161</v>
      </c>
      <c r="H72" s="97" t="s">
        <v>678</v>
      </c>
      <c r="I72" s="97" t="s">
        <v>679</v>
      </c>
      <c r="J72" s="97" t="s">
        <v>680</v>
      </c>
      <c r="K72" s="97" t="s">
        <v>681</v>
      </c>
    </row>
    <row r="73" customFormat="false" ht="54" hidden="false" customHeight="true" outlineLevel="0" collapsed="false">
      <c r="C73" s="96" t="s">
        <v>695</v>
      </c>
      <c r="D73" s="97" t="s">
        <v>682</v>
      </c>
      <c r="E73" s="97" t="n">
        <v>9735774.31</v>
      </c>
      <c r="F73" s="97" t="s">
        <v>677</v>
      </c>
      <c r="G73" s="97" t="n">
        <v>161</v>
      </c>
      <c r="H73" s="97" t="s">
        <v>678</v>
      </c>
      <c r="I73" s="97" t="s">
        <v>679</v>
      </c>
      <c r="J73" s="97" t="s">
        <v>680</v>
      </c>
      <c r="K73" s="97" t="s">
        <v>681</v>
      </c>
    </row>
    <row r="74" customFormat="false" ht="54" hidden="false" customHeight="true" outlineLevel="0" collapsed="false">
      <c r="C74" s="96" t="s">
        <v>696</v>
      </c>
      <c r="D74" s="97" t="s">
        <v>676</v>
      </c>
      <c r="E74" s="97" t="n">
        <v>7535100862.96</v>
      </c>
      <c r="F74" s="97" t="s">
        <v>677</v>
      </c>
      <c r="G74" s="97" t="n">
        <v>25</v>
      </c>
      <c r="H74" s="97" t="s">
        <v>678</v>
      </c>
      <c r="I74" s="97" t="s">
        <v>679</v>
      </c>
      <c r="J74" s="97" t="s">
        <v>680</v>
      </c>
      <c r="K74" s="97" t="s">
        <v>681</v>
      </c>
    </row>
    <row r="75" customFormat="false" ht="54" hidden="false" customHeight="true" outlineLevel="0" collapsed="false">
      <c r="C75" s="96" t="s">
        <v>696</v>
      </c>
      <c r="D75" s="97" t="s">
        <v>682</v>
      </c>
      <c r="E75" s="97" t="n">
        <v>7740932060.24</v>
      </c>
      <c r="F75" s="97" t="s">
        <v>677</v>
      </c>
      <c r="G75" s="97" t="n">
        <v>25</v>
      </c>
      <c r="H75" s="97" t="s">
        <v>678</v>
      </c>
      <c r="I75" s="97" t="s">
        <v>679</v>
      </c>
      <c r="J75" s="97" t="s">
        <v>680</v>
      </c>
      <c r="K75" s="97" t="s">
        <v>681</v>
      </c>
    </row>
    <row r="76" customFormat="false" ht="54" hidden="false" customHeight="true" outlineLevel="0" collapsed="false">
      <c r="C76" s="96" t="s">
        <v>697</v>
      </c>
      <c r="D76" s="97" t="s">
        <v>676</v>
      </c>
      <c r="E76" s="97" t="n">
        <v>547724103.57</v>
      </c>
      <c r="F76" s="97" t="s">
        <v>677</v>
      </c>
      <c r="G76" s="97" t="n">
        <v>25</v>
      </c>
      <c r="H76" s="97" t="s">
        <v>678</v>
      </c>
      <c r="I76" s="97" t="s">
        <v>679</v>
      </c>
      <c r="J76" s="97" t="s">
        <v>680</v>
      </c>
      <c r="K76" s="97" t="s">
        <v>681</v>
      </c>
    </row>
    <row r="77" customFormat="false" ht="54" hidden="false" customHeight="true" outlineLevel="0" collapsed="false">
      <c r="C77" s="96" t="s">
        <v>697</v>
      </c>
      <c r="D77" s="97" t="s">
        <v>682</v>
      </c>
      <c r="E77" s="97" t="n">
        <v>617003242.91</v>
      </c>
      <c r="F77" s="97" t="s">
        <v>677</v>
      </c>
      <c r="G77" s="97" t="n">
        <v>25</v>
      </c>
      <c r="H77" s="97" t="s">
        <v>678</v>
      </c>
      <c r="I77" s="97" t="s">
        <v>679</v>
      </c>
      <c r="J77" s="97" t="s">
        <v>680</v>
      </c>
      <c r="K77" s="97" t="s">
        <v>681</v>
      </c>
    </row>
    <row r="78" customFormat="false" ht="54" hidden="false" customHeight="true" outlineLevel="0" collapsed="false">
      <c r="C78" s="96" t="s">
        <v>698</v>
      </c>
      <c r="D78" s="97" t="s">
        <v>676</v>
      </c>
      <c r="E78" s="97" t="n">
        <v>1012216521.09</v>
      </c>
      <c r="F78" s="97" t="s">
        <v>677</v>
      </c>
      <c r="G78" s="97" t="n">
        <v>25</v>
      </c>
      <c r="H78" s="97" t="s">
        <v>678</v>
      </c>
      <c r="I78" s="97" t="s">
        <v>679</v>
      </c>
      <c r="J78" s="97" t="s">
        <v>680</v>
      </c>
      <c r="K78" s="97" t="s">
        <v>681</v>
      </c>
    </row>
    <row r="79" customFormat="false" ht="54" hidden="false" customHeight="true" outlineLevel="0" collapsed="false">
      <c r="C79" s="96" t="s">
        <v>698</v>
      </c>
      <c r="D79" s="97" t="s">
        <v>682</v>
      </c>
      <c r="E79" s="97" t="n">
        <v>1168372598.11</v>
      </c>
      <c r="F79" s="97" t="s">
        <v>677</v>
      </c>
      <c r="G79" s="97" t="n">
        <v>25</v>
      </c>
      <c r="H79" s="97" t="s">
        <v>678</v>
      </c>
      <c r="I79" s="97" t="s">
        <v>679</v>
      </c>
      <c r="J79" s="97" t="s">
        <v>680</v>
      </c>
      <c r="K79" s="97" t="s">
        <v>681</v>
      </c>
    </row>
    <row r="80" customFormat="false" ht="54" hidden="false" customHeight="true" outlineLevel="0" collapsed="false">
      <c r="C80" s="96" t="s">
        <v>699</v>
      </c>
      <c r="D80" s="97" t="s">
        <v>676</v>
      </c>
      <c r="E80" s="97" t="n">
        <v>9095041487.62</v>
      </c>
      <c r="F80" s="97" t="s">
        <v>677</v>
      </c>
      <c r="G80" s="97" t="n">
        <v>160</v>
      </c>
      <c r="H80" s="97" t="s">
        <v>678</v>
      </c>
      <c r="I80" s="97" t="s">
        <v>679</v>
      </c>
      <c r="J80" s="97" t="s">
        <v>680</v>
      </c>
      <c r="K80" s="97" t="s">
        <v>681</v>
      </c>
    </row>
    <row r="81" customFormat="false" ht="54" hidden="false" customHeight="true" outlineLevel="0" collapsed="false">
      <c r="C81" s="96" t="s">
        <v>699</v>
      </c>
      <c r="D81" s="97" t="s">
        <v>682</v>
      </c>
      <c r="E81" s="97" t="n">
        <v>9526307901.26</v>
      </c>
      <c r="F81" s="97" t="s">
        <v>677</v>
      </c>
      <c r="G81" s="97" t="n">
        <v>160</v>
      </c>
      <c r="H81" s="97" t="s">
        <v>678</v>
      </c>
      <c r="I81" s="97" t="s">
        <v>679</v>
      </c>
      <c r="J81" s="97" t="s">
        <v>680</v>
      </c>
      <c r="K81" s="97" t="s">
        <v>681</v>
      </c>
    </row>
    <row r="82" customFormat="false" ht="54" hidden="false" customHeight="true" outlineLevel="0" collapsed="false">
      <c r="C82" s="96" t="s">
        <v>700</v>
      </c>
      <c r="D82" s="97" t="s">
        <v>676</v>
      </c>
      <c r="E82" s="97" t="n">
        <v>18145158.74</v>
      </c>
      <c r="F82" s="97" t="s">
        <v>677</v>
      </c>
      <c r="G82" s="97" t="n">
        <v>160</v>
      </c>
      <c r="H82" s="97" t="s">
        <v>678</v>
      </c>
      <c r="I82" s="97" t="s">
        <v>679</v>
      </c>
      <c r="J82" s="97" t="s">
        <v>680</v>
      </c>
      <c r="K82" s="97" t="s">
        <v>681</v>
      </c>
    </row>
    <row r="83" customFormat="false" ht="54" hidden="false" customHeight="true" outlineLevel="0" collapsed="false">
      <c r="C83" s="96" t="s">
        <v>700</v>
      </c>
      <c r="D83" s="97" t="s">
        <v>682</v>
      </c>
      <c r="E83" s="97" t="n">
        <v>25501200.05</v>
      </c>
      <c r="F83" s="97" t="s">
        <v>677</v>
      </c>
      <c r="G83" s="97" t="n">
        <v>160</v>
      </c>
      <c r="H83" s="97" t="s">
        <v>678</v>
      </c>
      <c r="I83" s="97" t="s">
        <v>679</v>
      </c>
      <c r="J83" s="97" t="s">
        <v>680</v>
      </c>
      <c r="K83" s="97" t="s">
        <v>681</v>
      </c>
    </row>
    <row r="84" customFormat="false" ht="54" hidden="false" customHeight="true" outlineLevel="0" collapsed="false">
      <c r="C84" s="96" t="s">
        <v>701</v>
      </c>
      <c r="D84" s="97" t="s">
        <v>676</v>
      </c>
      <c r="E84" s="97" t="n">
        <v>9113186646.36</v>
      </c>
      <c r="F84" s="97" t="s">
        <v>677</v>
      </c>
      <c r="G84" s="97" t="n">
        <v>160</v>
      </c>
      <c r="H84" s="97" t="s">
        <v>678</v>
      </c>
      <c r="I84" s="97" t="s">
        <v>679</v>
      </c>
      <c r="J84" s="97" t="s">
        <v>680</v>
      </c>
      <c r="K84" s="97" t="s">
        <v>681</v>
      </c>
    </row>
    <row r="85" customFormat="false" ht="54" hidden="false" customHeight="true" outlineLevel="0" collapsed="false">
      <c r="C85" s="96" t="s">
        <v>701</v>
      </c>
      <c r="D85" s="97" t="s">
        <v>682</v>
      </c>
      <c r="E85" s="97" t="n">
        <v>9551809101.31</v>
      </c>
      <c r="F85" s="97" t="s">
        <v>677</v>
      </c>
      <c r="G85" s="97" t="n">
        <v>160</v>
      </c>
      <c r="H85" s="97" t="s">
        <v>678</v>
      </c>
      <c r="I85" s="97" t="s">
        <v>679</v>
      </c>
      <c r="J85" s="97" t="s">
        <v>680</v>
      </c>
      <c r="K85" s="97" t="s">
        <v>681</v>
      </c>
    </row>
    <row r="86" customFormat="false" ht="54" hidden="false" customHeight="true" outlineLevel="0" collapsed="false">
      <c r="C86" s="96" t="s">
        <v>702</v>
      </c>
      <c r="D86" s="97" t="s">
        <v>703</v>
      </c>
      <c r="E86" s="97" t="n">
        <v>103175997.64</v>
      </c>
      <c r="F86" s="97" t="s">
        <v>677</v>
      </c>
      <c r="G86" s="97" t="n">
        <v>133</v>
      </c>
      <c r="H86" s="97" t="s">
        <v>678</v>
      </c>
      <c r="I86" s="97" t="s">
        <v>679</v>
      </c>
      <c r="J86" s="97" t="s">
        <v>680</v>
      </c>
      <c r="K86" s="97" t="s">
        <v>681</v>
      </c>
    </row>
    <row r="87" customFormat="false" ht="54" hidden="false" customHeight="true" outlineLevel="0" collapsed="false">
      <c r="C87" s="96" t="s">
        <v>702</v>
      </c>
      <c r="D87" s="97" t="s">
        <v>704</v>
      </c>
      <c r="E87" s="97" t="n">
        <v>104391299.17</v>
      </c>
      <c r="F87" s="97" t="s">
        <v>677</v>
      </c>
      <c r="G87" s="97" t="n">
        <v>133</v>
      </c>
      <c r="H87" s="97" t="s">
        <v>678</v>
      </c>
      <c r="I87" s="97" t="s">
        <v>679</v>
      </c>
      <c r="J87" s="97" t="s">
        <v>680</v>
      </c>
      <c r="K87" s="97" t="s">
        <v>681</v>
      </c>
    </row>
    <row r="88" customFormat="false" ht="54" hidden="false" customHeight="true" outlineLevel="0" collapsed="false">
      <c r="C88" s="96" t="s">
        <v>705</v>
      </c>
      <c r="D88" s="97" t="s">
        <v>703</v>
      </c>
      <c r="E88" s="97" t="n">
        <v>5128432.2</v>
      </c>
      <c r="F88" s="97" t="s">
        <v>677</v>
      </c>
      <c r="G88" s="97" t="n">
        <v>133</v>
      </c>
      <c r="H88" s="97" t="s">
        <v>678</v>
      </c>
      <c r="I88" s="97" t="s">
        <v>679</v>
      </c>
      <c r="J88" s="97" t="s">
        <v>680</v>
      </c>
      <c r="K88" s="97" t="s">
        <v>681</v>
      </c>
    </row>
    <row r="89" customFormat="false" ht="54" hidden="false" customHeight="true" outlineLevel="0" collapsed="false">
      <c r="C89" s="96" t="s">
        <v>705</v>
      </c>
      <c r="D89" s="97" t="s">
        <v>704</v>
      </c>
      <c r="E89" s="97" t="n">
        <v>4559448.93</v>
      </c>
      <c r="F89" s="97" t="s">
        <v>677</v>
      </c>
      <c r="G89" s="97" t="n">
        <v>133</v>
      </c>
      <c r="H89" s="97" t="s">
        <v>678</v>
      </c>
      <c r="I89" s="97" t="s">
        <v>679</v>
      </c>
      <c r="J89" s="97" t="s">
        <v>680</v>
      </c>
      <c r="K89" s="97" t="s">
        <v>681</v>
      </c>
    </row>
    <row r="90" customFormat="false" ht="54" hidden="false" customHeight="true" outlineLevel="0" collapsed="false">
      <c r="C90" s="96" t="s">
        <v>706</v>
      </c>
      <c r="D90" s="97" t="s">
        <v>703</v>
      </c>
      <c r="E90" s="97" t="n">
        <v>98047565.44</v>
      </c>
      <c r="F90" s="97" t="s">
        <v>677</v>
      </c>
      <c r="G90" s="97" t="n">
        <v>133</v>
      </c>
      <c r="H90" s="97" t="s">
        <v>678</v>
      </c>
      <c r="I90" s="97" t="s">
        <v>679</v>
      </c>
      <c r="J90" s="97" t="s">
        <v>680</v>
      </c>
      <c r="K90" s="97" t="s">
        <v>681</v>
      </c>
    </row>
    <row r="91" customFormat="false" ht="54" hidden="false" customHeight="true" outlineLevel="0" collapsed="false">
      <c r="C91" s="96" t="s">
        <v>706</v>
      </c>
      <c r="D91" s="97" t="s">
        <v>704</v>
      </c>
      <c r="E91" s="97" t="n">
        <v>99831850.24</v>
      </c>
      <c r="F91" s="97" t="s">
        <v>677</v>
      </c>
      <c r="G91" s="97" t="n">
        <v>133</v>
      </c>
      <c r="H91" s="97" t="s">
        <v>678</v>
      </c>
      <c r="I91" s="97" t="s">
        <v>679</v>
      </c>
      <c r="J91" s="97" t="s">
        <v>680</v>
      </c>
      <c r="K91" s="97" t="s">
        <v>681</v>
      </c>
    </row>
    <row r="92" customFormat="false" ht="54" hidden="false" customHeight="true" outlineLevel="0" collapsed="false">
      <c r="C92" s="96" t="s">
        <v>707</v>
      </c>
      <c r="D92" s="97" t="s">
        <v>703</v>
      </c>
      <c r="E92" s="97" t="n">
        <v>234385964.49</v>
      </c>
      <c r="F92" s="97" t="s">
        <v>677</v>
      </c>
      <c r="G92" s="97" t="n">
        <v>133</v>
      </c>
      <c r="H92" s="97" t="s">
        <v>678</v>
      </c>
      <c r="I92" s="97" t="s">
        <v>679</v>
      </c>
      <c r="J92" s="97" t="s">
        <v>680</v>
      </c>
      <c r="K92" s="97" t="s">
        <v>681</v>
      </c>
    </row>
    <row r="93" customFormat="false" ht="54" hidden="false" customHeight="true" outlineLevel="0" collapsed="false">
      <c r="C93" s="96" t="s">
        <v>707</v>
      </c>
      <c r="D93" s="97" t="s">
        <v>704</v>
      </c>
      <c r="E93" s="97" t="n">
        <v>188248879.24</v>
      </c>
      <c r="F93" s="97" t="s">
        <v>677</v>
      </c>
      <c r="G93" s="97" t="n">
        <v>133</v>
      </c>
      <c r="H93" s="97" t="s">
        <v>678</v>
      </c>
      <c r="I93" s="97" t="s">
        <v>679</v>
      </c>
      <c r="J93" s="97" t="s">
        <v>680</v>
      </c>
      <c r="K93" s="97" t="s">
        <v>681</v>
      </c>
    </row>
    <row r="94" customFormat="false" ht="54" hidden="false" customHeight="true" outlineLevel="0" collapsed="false">
      <c r="C94" s="96" t="s">
        <v>708</v>
      </c>
      <c r="D94" s="97" t="s">
        <v>703</v>
      </c>
      <c r="E94" s="97" t="n">
        <v>885924974.77</v>
      </c>
      <c r="F94" s="97" t="s">
        <v>677</v>
      </c>
      <c r="G94" s="97" t="n">
        <v>133</v>
      </c>
      <c r="H94" s="97" t="s">
        <v>678</v>
      </c>
      <c r="I94" s="97" t="s">
        <v>679</v>
      </c>
      <c r="J94" s="97" t="s">
        <v>680</v>
      </c>
      <c r="K94" s="97" t="s">
        <v>681</v>
      </c>
    </row>
    <row r="95" customFormat="false" ht="54" hidden="false" customHeight="true" outlineLevel="0" collapsed="false">
      <c r="C95" s="96" t="s">
        <v>708</v>
      </c>
      <c r="D95" s="97" t="s">
        <v>704</v>
      </c>
      <c r="E95" s="97" t="n">
        <v>995330895.42</v>
      </c>
      <c r="F95" s="97" t="s">
        <v>677</v>
      </c>
      <c r="G95" s="97" t="n">
        <v>133</v>
      </c>
      <c r="H95" s="97" t="s">
        <v>678</v>
      </c>
      <c r="I95" s="97" t="s">
        <v>679</v>
      </c>
      <c r="J95" s="97" t="s">
        <v>680</v>
      </c>
      <c r="K95" s="97" t="s">
        <v>681</v>
      </c>
    </row>
    <row r="96" customFormat="false" ht="54" hidden="false" customHeight="true" outlineLevel="0" collapsed="false">
      <c r="C96" s="96" t="s">
        <v>709</v>
      </c>
      <c r="D96" s="97" t="s">
        <v>703</v>
      </c>
      <c r="E96" s="97" t="n">
        <v>21483520.76</v>
      </c>
      <c r="F96" s="97" t="s">
        <v>677</v>
      </c>
      <c r="G96" s="97" t="n">
        <v>133</v>
      </c>
      <c r="H96" s="97" t="s">
        <v>678</v>
      </c>
      <c r="I96" s="97" t="s">
        <v>679</v>
      </c>
      <c r="J96" s="97" t="s">
        <v>680</v>
      </c>
      <c r="K96" s="97" t="s">
        <v>681</v>
      </c>
    </row>
    <row r="97" customFormat="false" ht="54" hidden="false" customHeight="true" outlineLevel="0" collapsed="false">
      <c r="C97" s="96" t="s">
        <v>709</v>
      </c>
      <c r="D97" s="97" t="s">
        <v>704</v>
      </c>
      <c r="E97" s="97" t="n">
        <v>23159780.29</v>
      </c>
      <c r="F97" s="97" t="s">
        <v>677</v>
      </c>
      <c r="G97" s="97" t="n">
        <v>133</v>
      </c>
      <c r="H97" s="97" t="s">
        <v>678</v>
      </c>
      <c r="I97" s="97" t="s">
        <v>679</v>
      </c>
      <c r="J97" s="97" t="s">
        <v>680</v>
      </c>
      <c r="K97" s="97" t="s">
        <v>681</v>
      </c>
    </row>
    <row r="98" customFormat="false" ht="54" hidden="false" customHeight="true" outlineLevel="0" collapsed="false">
      <c r="C98" s="96" t="s">
        <v>710</v>
      </c>
      <c r="D98" s="97" t="s">
        <v>703</v>
      </c>
      <c r="E98" s="97" t="n">
        <v>864441454.01</v>
      </c>
      <c r="F98" s="97" t="s">
        <v>677</v>
      </c>
      <c r="G98" s="97" t="n">
        <v>133</v>
      </c>
      <c r="H98" s="97" t="s">
        <v>678</v>
      </c>
      <c r="I98" s="97" t="s">
        <v>679</v>
      </c>
      <c r="J98" s="97" t="s">
        <v>680</v>
      </c>
      <c r="K98" s="97" t="s">
        <v>681</v>
      </c>
    </row>
    <row r="99" customFormat="false" ht="54" hidden="false" customHeight="true" outlineLevel="0" collapsed="false">
      <c r="C99" s="96" t="s">
        <v>710</v>
      </c>
      <c r="D99" s="97" t="s">
        <v>704</v>
      </c>
      <c r="E99" s="97" t="n">
        <v>972171115.13</v>
      </c>
      <c r="F99" s="97" t="s">
        <v>677</v>
      </c>
      <c r="G99" s="97" t="n">
        <v>133</v>
      </c>
      <c r="H99" s="97" t="s">
        <v>678</v>
      </c>
      <c r="I99" s="97" t="s">
        <v>679</v>
      </c>
      <c r="J99" s="97" t="s">
        <v>680</v>
      </c>
      <c r="K99" s="97" t="s">
        <v>681</v>
      </c>
    </row>
    <row r="100" customFormat="false" ht="54" hidden="false" customHeight="true" outlineLevel="0" collapsed="false">
      <c r="C100" s="96" t="s">
        <v>711</v>
      </c>
      <c r="D100" s="97" t="s">
        <v>703</v>
      </c>
      <c r="E100" s="97" t="n">
        <v>343028388.99</v>
      </c>
      <c r="F100" s="97" t="s">
        <v>677</v>
      </c>
      <c r="G100" s="97" t="n">
        <v>133</v>
      </c>
      <c r="H100" s="97" t="s">
        <v>678</v>
      </c>
      <c r="I100" s="97" t="s">
        <v>679</v>
      </c>
      <c r="J100" s="97" t="s">
        <v>680</v>
      </c>
      <c r="K100" s="97" t="s">
        <v>681</v>
      </c>
    </row>
    <row r="101" customFormat="false" ht="54" hidden="false" customHeight="true" outlineLevel="0" collapsed="false">
      <c r="C101" s="96" t="s">
        <v>711</v>
      </c>
      <c r="D101" s="97" t="s">
        <v>704</v>
      </c>
      <c r="E101" s="97" t="n">
        <v>232759929.45</v>
      </c>
      <c r="F101" s="97" t="s">
        <v>677</v>
      </c>
      <c r="G101" s="97" t="n">
        <v>133</v>
      </c>
      <c r="H101" s="97" t="s">
        <v>678</v>
      </c>
      <c r="I101" s="97" t="s">
        <v>679</v>
      </c>
      <c r="J101" s="97" t="s">
        <v>680</v>
      </c>
      <c r="K101" s="97" t="s">
        <v>681</v>
      </c>
    </row>
    <row r="102" customFormat="false" ht="54" hidden="false" customHeight="true" outlineLevel="0" collapsed="false">
      <c r="C102" s="96" t="s">
        <v>712</v>
      </c>
      <c r="D102" s="97" t="s">
        <v>703</v>
      </c>
      <c r="E102" s="97" t="n">
        <v>73500348.86</v>
      </c>
      <c r="F102" s="97" t="s">
        <v>677</v>
      </c>
      <c r="G102" s="97" t="n">
        <v>133</v>
      </c>
      <c r="H102" s="97" t="s">
        <v>678</v>
      </c>
      <c r="I102" s="97" t="s">
        <v>679</v>
      </c>
      <c r="J102" s="97" t="s">
        <v>680</v>
      </c>
      <c r="K102" s="97" t="s">
        <v>681</v>
      </c>
    </row>
    <row r="103" customFormat="false" ht="54" hidden="false" customHeight="true" outlineLevel="0" collapsed="false">
      <c r="C103" s="96" t="s">
        <v>712</v>
      </c>
      <c r="D103" s="97" t="s">
        <v>704</v>
      </c>
      <c r="E103" s="97" t="n">
        <v>62905711.09</v>
      </c>
      <c r="F103" s="97" t="s">
        <v>677</v>
      </c>
      <c r="G103" s="97" t="n">
        <v>133</v>
      </c>
      <c r="H103" s="97" t="s">
        <v>678</v>
      </c>
      <c r="I103" s="97" t="s">
        <v>679</v>
      </c>
      <c r="J103" s="97" t="s">
        <v>680</v>
      </c>
      <c r="K103" s="97" t="s">
        <v>681</v>
      </c>
    </row>
    <row r="104" customFormat="false" ht="54" hidden="false" customHeight="true" outlineLevel="0" collapsed="false">
      <c r="C104" s="96" t="s">
        <v>713</v>
      </c>
      <c r="D104" s="97" t="s">
        <v>703</v>
      </c>
      <c r="E104" s="97" t="n">
        <v>7746864.24</v>
      </c>
      <c r="F104" s="97" t="s">
        <v>677</v>
      </c>
      <c r="G104" s="97" t="n">
        <v>133</v>
      </c>
      <c r="H104" s="97" t="s">
        <v>678</v>
      </c>
      <c r="I104" s="97" t="s">
        <v>679</v>
      </c>
      <c r="J104" s="97" t="s">
        <v>680</v>
      </c>
      <c r="K104" s="97" t="s">
        <v>681</v>
      </c>
    </row>
    <row r="105" customFormat="false" ht="54" hidden="false" customHeight="true" outlineLevel="0" collapsed="false">
      <c r="C105" s="96" t="s">
        <v>713</v>
      </c>
      <c r="D105" s="97" t="s">
        <v>704</v>
      </c>
      <c r="E105" s="97" t="n">
        <v>8944025.91</v>
      </c>
      <c r="F105" s="97" t="s">
        <v>677</v>
      </c>
      <c r="G105" s="97" t="n">
        <v>133</v>
      </c>
      <c r="H105" s="97" t="s">
        <v>678</v>
      </c>
      <c r="I105" s="97" t="s">
        <v>679</v>
      </c>
      <c r="J105" s="97" t="s">
        <v>680</v>
      </c>
      <c r="K105" s="97" t="s">
        <v>681</v>
      </c>
    </row>
    <row r="106" customFormat="false" ht="54" hidden="false" customHeight="true" outlineLevel="0" collapsed="false">
      <c r="C106" s="96" t="s">
        <v>714</v>
      </c>
      <c r="D106" s="97" t="s">
        <v>703</v>
      </c>
      <c r="E106" s="97" t="n">
        <v>9675581.92</v>
      </c>
      <c r="F106" s="97" t="s">
        <v>677</v>
      </c>
      <c r="G106" s="97" t="n">
        <v>133</v>
      </c>
      <c r="H106" s="97" t="s">
        <v>678</v>
      </c>
      <c r="I106" s="97" t="s">
        <v>679</v>
      </c>
      <c r="J106" s="97" t="s">
        <v>680</v>
      </c>
      <c r="K106" s="97" t="s">
        <v>681</v>
      </c>
    </row>
    <row r="107" customFormat="false" ht="54" hidden="false" customHeight="true" outlineLevel="0" collapsed="false">
      <c r="C107" s="96" t="s">
        <v>714</v>
      </c>
      <c r="D107" s="97" t="s">
        <v>704</v>
      </c>
      <c r="E107" s="97" t="n">
        <v>8811308.26</v>
      </c>
      <c r="F107" s="97" t="s">
        <v>677</v>
      </c>
      <c r="G107" s="97" t="n">
        <v>133</v>
      </c>
      <c r="H107" s="97" t="s">
        <v>678</v>
      </c>
      <c r="I107" s="97" t="s">
        <v>679</v>
      </c>
      <c r="J107" s="97" t="s">
        <v>680</v>
      </c>
      <c r="K107" s="97" t="s">
        <v>681</v>
      </c>
    </row>
    <row r="108" customFormat="false" ht="54" hidden="false" customHeight="true" outlineLevel="0" collapsed="false">
      <c r="C108" s="96" t="s">
        <v>715</v>
      </c>
      <c r="D108" s="97" t="s">
        <v>703</v>
      </c>
      <c r="E108" s="97" t="n">
        <v>334532121.07</v>
      </c>
      <c r="F108" s="97" t="s">
        <v>677</v>
      </c>
      <c r="G108" s="97" t="n">
        <v>124</v>
      </c>
      <c r="H108" s="97" t="s">
        <v>678</v>
      </c>
      <c r="I108" s="97" t="s">
        <v>679</v>
      </c>
      <c r="J108" s="97" t="s">
        <v>680</v>
      </c>
      <c r="K108" s="97" t="s">
        <v>681</v>
      </c>
    </row>
    <row r="109" customFormat="false" ht="54" hidden="false" customHeight="true" outlineLevel="0" collapsed="false">
      <c r="C109" s="96" t="s">
        <v>715</v>
      </c>
      <c r="D109" s="97" t="s">
        <v>704</v>
      </c>
      <c r="E109" s="97" t="n">
        <v>329004450.12</v>
      </c>
      <c r="F109" s="97" t="s">
        <v>677</v>
      </c>
      <c r="G109" s="97" t="n">
        <v>124</v>
      </c>
      <c r="H109" s="97" t="s">
        <v>678</v>
      </c>
      <c r="I109" s="97" t="s">
        <v>679</v>
      </c>
      <c r="J109" s="97" t="s">
        <v>680</v>
      </c>
      <c r="K109" s="97" t="s">
        <v>681</v>
      </c>
    </row>
    <row r="110" customFormat="false" ht="54" hidden="false" customHeight="true" outlineLevel="0" collapsed="false">
      <c r="C110" s="96" t="s">
        <v>716</v>
      </c>
      <c r="D110" s="97" t="s">
        <v>703</v>
      </c>
      <c r="E110" s="97" t="n">
        <v>27221682.47</v>
      </c>
      <c r="F110" s="97" t="s">
        <v>677</v>
      </c>
      <c r="G110" s="97" t="n">
        <v>124</v>
      </c>
      <c r="H110" s="97" t="s">
        <v>678</v>
      </c>
      <c r="I110" s="97" t="s">
        <v>679</v>
      </c>
      <c r="J110" s="97" t="s">
        <v>680</v>
      </c>
      <c r="K110" s="97" t="s">
        <v>681</v>
      </c>
    </row>
    <row r="111" customFormat="false" ht="54" hidden="false" customHeight="true" outlineLevel="0" collapsed="false">
      <c r="C111" s="96" t="s">
        <v>716</v>
      </c>
      <c r="D111" s="97" t="s">
        <v>704</v>
      </c>
      <c r="E111" s="97" t="n">
        <v>28875320.73</v>
      </c>
      <c r="F111" s="97" t="s">
        <v>677</v>
      </c>
      <c r="G111" s="97" t="n">
        <v>124</v>
      </c>
      <c r="H111" s="97" t="s">
        <v>678</v>
      </c>
      <c r="I111" s="97" t="s">
        <v>679</v>
      </c>
      <c r="J111" s="97" t="s">
        <v>680</v>
      </c>
      <c r="K111" s="97" t="s">
        <v>681</v>
      </c>
    </row>
    <row r="112" customFormat="false" ht="54" hidden="false" customHeight="true" outlineLevel="0" collapsed="false">
      <c r="C112" s="96" t="s">
        <v>717</v>
      </c>
      <c r="D112" s="97" t="s">
        <v>703</v>
      </c>
      <c r="E112" s="97" t="n">
        <v>307310438.6</v>
      </c>
      <c r="F112" s="97" t="s">
        <v>677</v>
      </c>
      <c r="G112" s="97" t="n">
        <v>124</v>
      </c>
      <c r="H112" s="97" t="s">
        <v>678</v>
      </c>
      <c r="I112" s="97" t="s">
        <v>679</v>
      </c>
      <c r="J112" s="97" t="s">
        <v>680</v>
      </c>
      <c r="K112" s="97" t="s">
        <v>681</v>
      </c>
    </row>
    <row r="113" customFormat="false" ht="54" hidden="false" customHeight="true" outlineLevel="0" collapsed="false">
      <c r="C113" s="96" t="s">
        <v>717</v>
      </c>
      <c r="D113" s="97" t="s">
        <v>704</v>
      </c>
      <c r="E113" s="97" t="n">
        <v>300129129.39</v>
      </c>
      <c r="F113" s="97" t="s">
        <v>677</v>
      </c>
      <c r="G113" s="97" t="n">
        <v>124</v>
      </c>
      <c r="H113" s="97" t="s">
        <v>678</v>
      </c>
      <c r="I113" s="97" t="s">
        <v>679</v>
      </c>
      <c r="J113" s="97" t="s">
        <v>680</v>
      </c>
      <c r="K113" s="97" t="s">
        <v>681</v>
      </c>
    </row>
    <row r="114" customFormat="false" ht="54" hidden="false" customHeight="true" outlineLevel="0" collapsed="false">
      <c r="C114" s="96" t="s">
        <v>718</v>
      </c>
      <c r="D114" s="97" t="s">
        <v>703</v>
      </c>
      <c r="E114" s="97" t="n">
        <v>2234474423.08</v>
      </c>
      <c r="F114" s="97" t="s">
        <v>677</v>
      </c>
      <c r="G114" s="97" t="n">
        <v>150</v>
      </c>
      <c r="H114" s="97" t="s">
        <v>678</v>
      </c>
      <c r="I114" s="97" t="s">
        <v>679</v>
      </c>
      <c r="J114" s="97" t="s">
        <v>680</v>
      </c>
      <c r="K114" s="97" t="s">
        <v>681</v>
      </c>
    </row>
    <row r="115" customFormat="false" ht="54" hidden="false" customHeight="true" outlineLevel="0" collapsed="false">
      <c r="C115" s="96" t="s">
        <v>718</v>
      </c>
      <c r="D115" s="97" t="s">
        <v>704</v>
      </c>
      <c r="E115" s="97" t="n">
        <v>2064677344.9</v>
      </c>
      <c r="F115" s="97" t="s">
        <v>677</v>
      </c>
      <c r="G115" s="97" t="n">
        <v>150</v>
      </c>
      <c r="H115" s="97" t="s">
        <v>678</v>
      </c>
      <c r="I115" s="97" t="s">
        <v>679</v>
      </c>
      <c r="J115" s="97" t="s">
        <v>680</v>
      </c>
      <c r="K115" s="97" t="s">
        <v>681</v>
      </c>
    </row>
    <row r="116" customFormat="false" ht="54" hidden="false" customHeight="true" outlineLevel="0" collapsed="false">
      <c r="C116" s="96" t="s">
        <v>719</v>
      </c>
      <c r="D116" s="97" t="s">
        <v>703</v>
      </c>
      <c r="E116" s="97" t="n">
        <v>199581929.76</v>
      </c>
      <c r="F116" s="97" t="s">
        <v>677</v>
      </c>
      <c r="G116" s="97" t="n">
        <v>150</v>
      </c>
      <c r="H116" s="97" t="s">
        <v>678</v>
      </c>
      <c r="I116" s="97" t="s">
        <v>679</v>
      </c>
      <c r="J116" s="97" t="s">
        <v>680</v>
      </c>
      <c r="K116" s="97" t="s">
        <v>681</v>
      </c>
    </row>
    <row r="117" customFormat="false" ht="54" hidden="false" customHeight="true" outlineLevel="0" collapsed="false">
      <c r="C117" s="96" t="s">
        <v>719</v>
      </c>
      <c r="D117" s="97" t="s">
        <v>704</v>
      </c>
      <c r="E117" s="97" t="n">
        <v>272023559.39</v>
      </c>
      <c r="F117" s="97" t="s">
        <v>677</v>
      </c>
      <c r="G117" s="97" t="n">
        <v>150</v>
      </c>
      <c r="H117" s="97" t="s">
        <v>678</v>
      </c>
      <c r="I117" s="97" t="s">
        <v>679</v>
      </c>
      <c r="J117" s="97" t="s">
        <v>680</v>
      </c>
      <c r="K117" s="97" t="s">
        <v>681</v>
      </c>
    </row>
    <row r="118" customFormat="false" ht="54" hidden="false" customHeight="true" outlineLevel="0" collapsed="false">
      <c r="C118" s="96" t="s">
        <v>720</v>
      </c>
      <c r="D118" s="97" t="s">
        <v>703</v>
      </c>
      <c r="E118" s="97" t="n">
        <v>21339595.53</v>
      </c>
      <c r="F118" s="97" t="s">
        <v>677</v>
      </c>
      <c r="G118" s="97" t="n">
        <v>150</v>
      </c>
      <c r="H118" s="97" t="s">
        <v>678</v>
      </c>
      <c r="I118" s="97" t="s">
        <v>679</v>
      </c>
      <c r="J118" s="97" t="s">
        <v>680</v>
      </c>
      <c r="K118" s="97" t="s">
        <v>681</v>
      </c>
    </row>
    <row r="119" customFormat="false" ht="54" hidden="false" customHeight="true" outlineLevel="0" collapsed="false">
      <c r="C119" s="96" t="s">
        <v>720</v>
      </c>
      <c r="D119" s="97" t="s">
        <v>704</v>
      </c>
      <c r="E119" s="97" t="n">
        <v>55345950.34</v>
      </c>
      <c r="F119" s="97" t="s">
        <v>677</v>
      </c>
      <c r="G119" s="97" t="n">
        <v>150</v>
      </c>
      <c r="H119" s="97" t="s">
        <v>678</v>
      </c>
      <c r="I119" s="97" t="s">
        <v>679</v>
      </c>
      <c r="J119" s="97" t="s">
        <v>680</v>
      </c>
      <c r="K119" s="97" t="s">
        <v>681</v>
      </c>
    </row>
    <row r="120" customFormat="false" ht="54" hidden="false" customHeight="true" outlineLevel="0" collapsed="false">
      <c r="C120" s="96" t="s">
        <v>721</v>
      </c>
      <c r="D120" s="97" t="s">
        <v>703</v>
      </c>
      <c r="E120" s="97" t="n">
        <v>2455395948.37</v>
      </c>
      <c r="F120" s="97" t="s">
        <v>677</v>
      </c>
      <c r="G120" s="97" t="n">
        <v>150</v>
      </c>
      <c r="H120" s="97" t="s">
        <v>678</v>
      </c>
      <c r="I120" s="97" t="s">
        <v>679</v>
      </c>
      <c r="J120" s="97" t="s">
        <v>680</v>
      </c>
      <c r="K120" s="97" t="s">
        <v>681</v>
      </c>
    </row>
    <row r="121" customFormat="false" ht="54" hidden="false" customHeight="true" outlineLevel="0" collapsed="false">
      <c r="C121" s="96" t="s">
        <v>721</v>
      </c>
      <c r="D121" s="97" t="s">
        <v>704</v>
      </c>
      <c r="E121" s="97" t="n">
        <v>2392046854.63</v>
      </c>
      <c r="F121" s="97" t="s">
        <v>677</v>
      </c>
      <c r="G121" s="97" t="n">
        <v>150</v>
      </c>
      <c r="H121" s="97" t="s">
        <v>678</v>
      </c>
      <c r="I121" s="97" t="s">
        <v>679</v>
      </c>
      <c r="J121" s="97" t="s">
        <v>680</v>
      </c>
      <c r="K121" s="97" t="s">
        <v>681</v>
      </c>
    </row>
    <row r="122" customFormat="false" ht="54" hidden="false" customHeight="true" outlineLevel="0" collapsed="false">
      <c r="C122" s="96" t="s">
        <v>722</v>
      </c>
      <c r="D122" s="97" t="s">
        <v>703</v>
      </c>
      <c r="E122" s="97" t="n">
        <v>250000000</v>
      </c>
      <c r="F122" s="97" t="s">
        <v>677</v>
      </c>
      <c r="G122" s="97" t="n">
        <v>149</v>
      </c>
      <c r="H122" s="97" t="s">
        <v>678</v>
      </c>
      <c r="I122" s="97" t="s">
        <v>679</v>
      </c>
      <c r="J122" s="97" t="s">
        <v>680</v>
      </c>
      <c r="K122" s="97" t="s">
        <v>681</v>
      </c>
    </row>
    <row r="123" customFormat="false" ht="54" hidden="false" customHeight="true" outlineLevel="0" collapsed="false">
      <c r="C123" s="96" t="s">
        <v>722</v>
      </c>
      <c r="D123" s="97" t="s">
        <v>704</v>
      </c>
      <c r="E123" s="97"/>
      <c r="F123" s="97" t="s">
        <v>677</v>
      </c>
      <c r="G123" s="97" t="n">
        <v>149</v>
      </c>
      <c r="H123" s="97" t="s">
        <v>684</v>
      </c>
      <c r="I123" s="97" t="s">
        <v>679</v>
      </c>
      <c r="J123" s="97" t="s">
        <v>680</v>
      </c>
      <c r="K123" s="97" t="s">
        <v>681</v>
      </c>
    </row>
    <row r="124" customFormat="false" ht="54" hidden="false" customHeight="true" outlineLevel="0" collapsed="false">
      <c r="C124" s="96" t="s">
        <v>723</v>
      </c>
      <c r="D124" s="97" t="s">
        <v>703</v>
      </c>
      <c r="E124" s="97" t="n">
        <v>299950000</v>
      </c>
      <c r="F124" s="97" t="s">
        <v>677</v>
      </c>
      <c r="G124" s="97" t="n">
        <v>149</v>
      </c>
      <c r="H124" s="97" t="s">
        <v>678</v>
      </c>
      <c r="I124" s="97" t="s">
        <v>679</v>
      </c>
      <c r="J124" s="97" t="s">
        <v>680</v>
      </c>
      <c r="K124" s="97" t="s">
        <v>681</v>
      </c>
    </row>
    <row r="125" customFormat="false" ht="54" hidden="false" customHeight="true" outlineLevel="0" collapsed="false">
      <c r="C125" s="96" t="s">
        <v>723</v>
      </c>
      <c r="D125" s="97" t="s">
        <v>704</v>
      </c>
      <c r="E125" s="97" t="n">
        <v>282651482.79</v>
      </c>
      <c r="F125" s="97" t="s">
        <v>677</v>
      </c>
      <c r="G125" s="97" t="n">
        <v>149</v>
      </c>
      <c r="H125" s="97" t="s">
        <v>678</v>
      </c>
      <c r="I125" s="97" t="s">
        <v>679</v>
      </c>
      <c r="J125" s="97" t="s">
        <v>680</v>
      </c>
      <c r="K125" s="97" t="s">
        <v>681</v>
      </c>
    </row>
    <row r="126" customFormat="false" ht="54" hidden="false" customHeight="true" outlineLevel="0" collapsed="false">
      <c r="C126" s="96" t="s">
        <v>724</v>
      </c>
      <c r="D126" s="97" t="s">
        <v>703</v>
      </c>
      <c r="E126" s="97" t="n">
        <v>67188.62</v>
      </c>
      <c r="F126" s="97" t="s">
        <v>677</v>
      </c>
      <c r="G126" s="97" t="n">
        <v>149</v>
      </c>
      <c r="H126" s="97" t="s">
        <v>678</v>
      </c>
      <c r="I126" s="97" t="s">
        <v>679</v>
      </c>
      <c r="J126" s="97" t="s">
        <v>680</v>
      </c>
      <c r="K126" s="97" t="s">
        <v>681</v>
      </c>
    </row>
    <row r="127" customFormat="false" ht="54" hidden="false" customHeight="true" outlineLevel="0" collapsed="false">
      <c r="C127" s="96" t="s">
        <v>724</v>
      </c>
      <c r="D127" s="97" t="s">
        <v>704</v>
      </c>
      <c r="E127" s="97" t="n">
        <v>12271.96</v>
      </c>
      <c r="F127" s="97" t="s">
        <v>677</v>
      </c>
      <c r="G127" s="97" t="n">
        <v>149</v>
      </c>
      <c r="H127" s="97" t="s">
        <v>678</v>
      </c>
      <c r="I127" s="97" t="s">
        <v>679</v>
      </c>
      <c r="J127" s="97" t="s">
        <v>680</v>
      </c>
      <c r="K127" s="97" t="s">
        <v>681</v>
      </c>
    </row>
    <row r="128" customFormat="false" ht="54" hidden="false" customHeight="true" outlineLevel="0" collapsed="false">
      <c r="C128" s="96" t="s">
        <v>725</v>
      </c>
      <c r="D128" s="97" t="s">
        <v>703</v>
      </c>
      <c r="E128" s="97" t="n">
        <v>550017188.62</v>
      </c>
      <c r="F128" s="97" t="s">
        <v>677</v>
      </c>
      <c r="G128" s="97" t="n">
        <v>149</v>
      </c>
      <c r="H128" s="97" t="s">
        <v>678</v>
      </c>
      <c r="I128" s="97" t="s">
        <v>679</v>
      </c>
      <c r="J128" s="97" t="s">
        <v>680</v>
      </c>
      <c r="K128" s="97" t="s">
        <v>681</v>
      </c>
    </row>
    <row r="129" customFormat="false" ht="54" hidden="false" customHeight="true" outlineLevel="0" collapsed="false">
      <c r="C129" s="96" t="s">
        <v>725</v>
      </c>
      <c r="D129" s="97" t="s">
        <v>704</v>
      </c>
      <c r="E129" s="97" t="n">
        <v>282663754.75</v>
      </c>
      <c r="F129" s="97" t="s">
        <v>677</v>
      </c>
      <c r="G129" s="97" t="n">
        <v>149</v>
      </c>
      <c r="H129" s="97" t="s">
        <v>678</v>
      </c>
      <c r="I129" s="97" t="s">
        <v>679</v>
      </c>
      <c r="J129" s="97" t="s">
        <v>680</v>
      </c>
      <c r="K129" s="97" t="s">
        <v>681</v>
      </c>
    </row>
    <row r="130" customFormat="false" ht="54" hidden="false" customHeight="true" outlineLevel="0" collapsed="false">
      <c r="C130" s="96" t="s">
        <v>726</v>
      </c>
      <c r="D130" s="97" t="s">
        <v>703</v>
      </c>
      <c r="E130" s="97" t="n">
        <v>225126000</v>
      </c>
      <c r="F130" s="97" t="s">
        <v>677</v>
      </c>
      <c r="G130" s="97" t="n">
        <v>154</v>
      </c>
      <c r="H130" s="97" t="s">
        <v>678</v>
      </c>
      <c r="I130" s="97" t="s">
        <v>679</v>
      </c>
      <c r="J130" s="97" t="s">
        <v>680</v>
      </c>
      <c r="K130" s="97" t="s">
        <v>681</v>
      </c>
    </row>
    <row r="131" customFormat="false" ht="54" hidden="false" customHeight="true" outlineLevel="0" collapsed="false">
      <c r="C131" s="96" t="s">
        <v>726</v>
      </c>
      <c r="D131" s="97" t="s">
        <v>704</v>
      </c>
      <c r="E131" s="97"/>
      <c r="F131" s="97" t="s">
        <v>677</v>
      </c>
      <c r="G131" s="97" t="n">
        <v>154</v>
      </c>
      <c r="H131" s="97" t="s">
        <v>684</v>
      </c>
      <c r="I131" s="97" t="s">
        <v>679</v>
      </c>
      <c r="J131" s="97" t="s">
        <v>680</v>
      </c>
      <c r="K131" s="97" t="s">
        <v>681</v>
      </c>
    </row>
    <row r="132" customFormat="false" ht="54" hidden="false" customHeight="true" outlineLevel="0" collapsed="false">
      <c r="C132" s="96" t="s">
        <v>727</v>
      </c>
      <c r="D132" s="97" t="s">
        <v>703</v>
      </c>
      <c r="E132" s="97" t="n">
        <v>13400934.61</v>
      </c>
      <c r="F132" s="97" t="s">
        <v>677</v>
      </c>
      <c r="G132" s="97" t="n">
        <v>153</v>
      </c>
      <c r="H132" s="97" t="s">
        <v>678</v>
      </c>
      <c r="I132" s="97" t="s">
        <v>679</v>
      </c>
      <c r="J132" s="97" t="s">
        <v>680</v>
      </c>
      <c r="K132" s="97" t="s">
        <v>681</v>
      </c>
    </row>
    <row r="133" customFormat="false" ht="54" hidden="false" customHeight="true" outlineLevel="0" collapsed="false">
      <c r="C133" s="96" t="s">
        <v>727</v>
      </c>
      <c r="D133" s="97" t="s">
        <v>704</v>
      </c>
      <c r="E133" s="97" t="n">
        <v>13165325.36</v>
      </c>
      <c r="F133" s="97" t="s">
        <v>677</v>
      </c>
      <c r="G133" s="97" t="n">
        <v>153</v>
      </c>
      <c r="H133" s="97" t="s">
        <v>678</v>
      </c>
      <c r="I133" s="97" t="s">
        <v>679</v>
      </c>
      <c r="J133" s="97" t="s">
        <v>680</v>
      </c>
      <c r="K133" s="97" t="s">
        <v>681</v>
      </c>
    </row>
    <row r="134" customFormat="false" ht="54" hidden="false" customHeight="true" outlineLevel="0" collapsed="false">
      <c r="C134" s="96" t="s">
        <v>728</v>
      </c>
      <c r="D134" s="97" t="s">
        <v>703</v>
      </c>
      <c r="E134" s="97" t="n">
        <v>12666997.45</v>
      </c>
      <c r="F134" s="97" t="s">
        <v>677</v>
      </c>
      <c r="G134" s="97" t="n">
        <v>155</v>
      </c>
      <c r="H134" s="97" t="s">
        <v>678</v>
      </c>
      <c r="I134" s="97" t="s">
        <v>679</v>
      </c>
      <c r="J134" s="97" t="s">
        <v>680</v>
      </c>
      <c r="K134" s="97" t="s">
        <v>681</v>
      </c>
    </row>
    <row r="135" customFormat="false" ht="54" hidden="false" customHeight="true" outlineLevel="0" collapsed="false">
      <c r="C135" s="96" t="s">
        <v>728</v>
      </c>
      <c r="D135" s="97" t="s">
        <v>704</v>
      </c>
      <c r="E135" s="97" t="n">
        <v>19856730.32</v>
      </c>
      <c r="F135" s="97" t="s">
        <v>677</v>
      </c>
      <c r="G135" s="97" t="n">
        <v>155</v>
      </c>
      <c r="H135" s="97" t="s">
        <v>678</v>
      </c>
      <c r="I135" s="97" t="s">
        <v>679</v>
      </c>
      <c r="J135" s="97" t="s">
        <v>680</v>
      </c>
      <c r="K135" s="97" t="s">
        <v>681</v>
      </c>
    </row>
    <row r="136" customFormat="false" ht="54" hidden="false" customHeight="true" outlineLevel="0" collapsed="false">
      <c r="C136" s="96" t="s">
        <v>729</v>
      </c>
      <c r="D136" s="97" t="s">
        <v>703</v>
      </c>
      <c r="E136" s="97" t="n">
        <v>435499.46</v>
      </c>
      <c r="F136" s="97" t="s">
        <v>677</v>
      </c>
      <c r="G136" s="97" t="n">
        <v>155</v>
      </c>
      <c r="H136" s="97" t="s">
        <v>678</v>
      </c>
      <c r="I136" s="97" t="s">
        <v>679</v>
      </c>
      <c r="J136" s="97" t="s">
        <v>680</v>
      </c>
      <c r="K136" s="97" t="s">
        <v>681</v>
      </c>
    </row>
    <row r="137" customFormat="false" ht="54" hidden="false" customHeight="true" outlineLevel="0" collapsed="false">
      <c r="C137" s="96" t="s">
        <v>729</v>
      </c>
      <c r="D137" s="97" t="s">
        <v>704</v>
      </c>
      <c r="E137" s="97" t="n">
        <v>1064804.55</v>
      </c>
      <c r="F137" s="97" t="s">
        <v>677</v>
      </c>
      <c r="G137" s="97" t="n">
        <v>155</v>
      </c>
      <c r="H137" s="97" t="s">
        <v>678</v>
      </c>
      <c r="I137" s="97" t="s">
        <v>679</v>
      </c>
      <c r="J137" s="97" t="s">
        <v>680</v>
      </c>
      <c r="K137" s="97" t="s">
        <v>681</v>
      </c>
    </row>
    <row r="138" customFormat="false" ht="54" hidden="false" customHeight="true" outlineLevel="0" collapsed="false">
      <c r="C138" s="96" t="s">
        <v>730</v>
      </c>
      <c r="D138" s="97" t="s">
        <v>703</v>
      </c>
      <c r="E138" s="97" t="n">
        <v>12231497.99</v>
      </c>
      <c r="F138" s="97" t="s">
        <v>677</v>
      </c>
      <c r="G138" s="97" t="n">
        <v>155</v>
      </c>
      <c r="H138" s="97" t="s">
        <v>678</v>
      </c>
      <c r="I138" s="97" t="s">
        <v>679</v>
      </c>
      <c r="J138" s="97" t="s">
        <v>680</v>
      </c>
      <c r="K138" s="97" t="s">
        <v>681</v>
      </c>
    </row>
    <row r="139" customFormat="false" ht="54" hidden="false" customHeight="true" outlineLevel="0" collapsed="false">
      <c r="C139" s="96" t="s">
        <v>730</v>
      </c>
      <c r="D139" s="97" t="s">
        <v>704</v>
      </c>
      <c r="E139" s="97" t="n">
        <v>18791925.77</v>
      </c>
      <c r="F139" s="97" t="s">
        <v>677</v>
      </c>
      <c r="G139" s="97" t="n">
        <v>155</v>
      </c>
      <c r="H139" s="97" t="s">
        <v>678</v>
      </c>
      <c r="I139" s="97" t="s">
        <v>679</v>
      </c>
      <c r="J139" s="97" t="s">
        <v>680</v>
      </c>
      <c r="K139" s="97" t="s">
        <v>681</v>
      </c>
    </row>
    <row r="140" customFormat="false" ht="54" hidden="false" customHeight="true" outlineLevel="0" collapsed="false">
      <c r="C140" s="96" t="s">
        <v>731</v>
      </c>
      <c r="D140" s="97" t="s">
        <v>703</v>
      </c>
      <c r="E140" s="97" t="n">
        <v>41448054.06</v>
      </c>
      <c r="F140" s="97" t="s">
        <v>677</v>
      </c>
      <c r="G140" s="97" t="n">
        <v>143</v>
      </c>
      <c r="H140" s="97" t="s">
        <v>678</v>
      </c>
      <c r="I140" s="97" t="s">
        <v>679</v>
      </c>
      <c r="J140" s="97" t="s">
        <v>680</v>
      </c>
      <c r="K140" s="97" t="s">
        <v>681</v>
      </c>
    </row>
    <row r="141" customFormat="false" ht="54" hidden="false" customHeight="true" outlineLevel="0" collapsed="false">
      <c r="C141" s="96" t="s">
        <v>731</v>
      </c>
      <c r="D141" s="97" t="s">
        <v>704</v>
      </c>
      <c r="E141" s="97" t="n">
        <v>59268522.58</v>
      </c>
      <c r="F141" s="97" t="s">
        <v>677</v>
      </c>
      <c r="G141" s="97" t="n">
        <v>143</v>
      </c>
      <c r="H141" s="97" t="s">
        <v>678</v>
      </c>
      <c r="I141" s="97" t="s">
        <v>679</v>
      </c>
      <c r="J141" s="97" t="s">
        <v>680</v>
      </c>
      <c r="K141" s="97" t="s">
        <v>681</v>
      </c>
    </row>
    <row r="142" customFormat="false" ht="54" hidden="false" customHeight="true" outlineLevel="0" collapsed="false">
      <c r="C142" s="96" t="s">
        <v>732</v>
      </c>
      <c r="D142" s="97" t="s">
        <v>703</v>
      </c>
      <c r="E142" s="97" t="n">
        <v>16228480.43</v>
      </c>
      <c r="F142" s="97" t="s">
        <v>677</v>
      </c>
      <c r="G142" s="97" t="n">
        <v>143</v>
      </c>
      <c r="H142" s="97" t="s">
        <v>678</v>
      </c>
      <c r="I142" s="97" t="s">
        <v>679</v>
      </c>
      <c r="J142" s="97" t="s">
        <v>680</v>
      </c>
      <c r="K142" s="97" t="s">
        <v>681</v>
      </c>
    </row>
    <row r="143" customFormat="false" ht="54" hidden="false" customHeight="true" outlineLevel="0" collapsed="false">
      <c r="C143" s="96" t="s">
        <v>732</v>
      </c>
      <c r="D143" s="97" t="s">
        <v>704</v>
      </c>
      <c r="E143" s="97" t="n">
        <v>27959287.39</v>
      </c>
      <c r="F143" s="97" t="s">
        <v>677</v>
      </c>
      <c r="G143" s="97" t="n">
        <v>143</v>
      </c>
      <c r="H143" s="97" t="s">
        <v>678</v>
      </c>
      <c r="I143" s="97" t="s">
        <v>679</v>
      </c>
      <c r="J143" s="97" t="s">
        <v>680</v>
      </c>
      <c r="K143" s="97" t="s">
        <v>681</v>
      </c>
    </row>
    <row r="144" customFormat="false" ht="54" hidden="false" customHeight="true" outlineLevel="0" collapsed="false">
      <c r="C144" s="96" t="s">
        <v>733</v>
      </c>
      <c r="D144" s="97" t="s">
        <v>703</v>
      </c>
      <c r="E144" s="97" t="n">
        <v>25219573.63</v>
      </c>
      <c r="F144" s="97" t="s">
        <v>677</v>
      </c>
      <c r="G144" s="97" t="n">
        <v>143</v>
      </c>
      <c r="H144" s="97" t="s">
        <v>678</v>
      </c>
      <c r="I144" s="97" t="s">
        <v>679</v>
      </c>
      <c r="J144" s="97" t="s">
        <v>680</v>
      </c>
      <c r="K144" s="97" t="s">
        <v>681</v>
      </c>
    </row>
    <row r="145" customFormat="false" ht="54" hidden="false" customHeight="true" outlineLevel="0" collapsed="false">
      <c r="C145" s="96" t="s">
        <v>733</v>
      </c>
      <c r="D145" s="97" t="s">
        <v>704</v>
      </c>
      <c r="E145" s="97" t="n">
        <v>31309235.19</v>
      </c>
      <c r="F145" s="97" t="s">
        <v>677</v>
      </c>
      <c r="G145" s="97" t="n">
        <v>143</v>
      </c>
      <c r="H145" s="97" t="s">
        <v>678</v>
      </c>
      <c r="I145" s="97" t="s">
        <v>679</v>
      </c>
      <c r="J145" s="97" t="s">
        <v>680</v>
      </c>
      <c r="K145" s="97" t="s">
        <v>681</v>
      </c>
    </row>
    <row r="146" customFormat="false" ht="54" hidden="false" customHeight="true" outlineLevel="0" collapsed="false">
      <c r="C146" s="96" t="s">
        <v>734</v>
      </c>
      <c r="D146" s="97" t="s">
        <v>676</v>
      </c>
      <c r="E146" s="97" t="n">
        <v>31865001.55</v>
      </c>
      <c r="F146" s="97" t="s">
        <v>677</v>
      </c>
      <c r="G146" s="97" t="n">
        <v>143</v>
      </c>
      <c r="H146" s="97" t="s">
        <v>678</v>
      </c>
      <c r="I146" s="97" t="s">
        <v>679</v>
      </c>
      <c r="J146" s="97" t="s">
        <v>680</v>
      </c>
      <c r="K146" s="97" t="s">
        <v>681</v>
      </c>
    </row>
    <row r="147" customFormat="false" ht="54" hidden="false" customHeight="true" outlineLevel="0" collapsed="false">
      <c r="C147" s="96" t="s">
        <v>735</v>
      </c>
      <c r="D147" s="97" t="s">
        <v>676</v>
      </c>
      <c r="E147" s="97" t="n">
        <v>49685470.07</v>
      </c>
      <c r="F147" s="97" t="s">
        <v>677</v>
      </c>
      <c r="G147" s="97" t="n">
        <v>143</v>
      </c>
      <c r="H147" s="97" t="s">
        <v>678</v>
      </c>
      <c r="I147" s="97" t="s">
        <v>679</v>
      </c>
      <c r="J147" s="97" t="s">
        <v>680</v>
      </c>
      <c r="K147" s="97" t="s">
        <v>681</v>
      </c>
    </row>
    <row r="148" customFormat="false" ht="54" hidden="false" customHeight="true" outlineLevel="0" collapsed="false">
      <c r="C148" s="96" t="s">
        <v>736</v>
      </c>
      <c r="D148" s="97" t="s">
        <v>676</v>
      </c>
      <c r="E148" s="97" t="n">
        <v>17743951.02</v>
      </c>
      <c r="F148" s="97" t="s">
        <v>677</v>
      </c>
      <c r="G148" s="97" t="n">
        <v>143</v>
      </c>
      <c r="H148" s="97" t="s">
        <v>678</v>
      </c>
      <c r="I148" s="97" t="s">
        <v>679</v>
      </c>
      <c r="J148" s="97" t="s">
        <v>680</v>
      </c>
      <c r="K148" s="97" t="s">
        <v>681</v>
      </c>
    </row>
    <row r="149" customFormat="false" ht="54" hidden="false" customHeight="true" outlineLevel="0" collapsed="false">
      <c r="C149" s="96" t="s">
        <v>737</v>
      </c>
      <c r="D149" s="97" t="s">
        <v>676</v>
      </c>
      <c r="E149" s="97" t="n">
        <v>29474757.98</v>
      </c>
      <c r="F149" s="97" t="s">
        <v>677</v>
      </c>
      <c r="G149" s="97" t="n">
        <v>143</v>
      </c>
      <c r="H149" s="97" t="s">
        <v>678</v>
      </c>
      <c r="I149" s="97" t="s">
        <v>679</v>
      </c>
      <c r="J149" s="97" t="s">
        <v>680</v>
      </c>
      <c r="K149" s="97" t="s">
        <v>681</v>
      </c>
    </row>
    <row r="150" customFormat="false" ht="54" hidden="false" customHeight="true" outlineLevel="0" collapsed="false">
      <c r="C150" s="96" t="s">
        <v>738</v>
      </c>
      <c r="D150" s="97" t="s">
        <v>703</v>
      </c>
      <c r="E150" s="97" t="n">
        <v>2603895089.98</v>
      </c>
      <c r="F150" s="97" t="s">
        <v>677</v>
      </c>
      <c r="G150" s="97" t="n">
        <v>139</v>
      </c>
      <c r="H150" s="97" t="s">
        <v>678</v>
      </c>
      <c r="I150" s="97" t="s">
        <v>679</v>
      </c>
      <c r="J150" s="97" t="s">
        <v>680</v>
      </c>
      <c r="K150" s="97" t="s">
        <v>681</v>
      </c>
    </row>
    <row r="151" customFormat="false" ht="54" hidden="false" customHeight="true" outlineLevel="0" collapsed="false">
      <c r="C151" s="96" t="s">
        <v>738</v>
      </c>
      <c r="D151" s="97" t="s">
        <v>704</v>
      </c>
      <c r="E151" s="97" t="n">
        <v>2481105825.29</v>
      </c>
      <c r="F151" s="97" t="s">
        <v>677</v>
      </c>
      <c r="G151" s="97" t="n">
        <v>139</v>
      </c>
      <c r="H151" s="97" t="s">
        <v>678</v>
      </c>
      <c r="I151" s="97" t="s">
        <v>679</v>
      </c>
      <c r="J151" s="97" t="s">
        <v>680</v>
      </c>
      <c r="K151" s="97" t="s">
        <v>681</v>
      </c>
    </row>
    <row r="152" customFormat="false" ht="54" hidden="false" customHeight="true" outlineLevel="0" collapsed="false">
      <c r="C152" s="96" t="s">
        <v>739</v>
      </c>
      <c r="D152" s="97" t="s">
        <v>703</v>
      </c>
      <c r="E152" s="97" t="n">
        <v>666736011.53</v>
      </c>
      <c r="F152" s="97" t="s">
        <v>677</v>
      </c>
      <c r="G152" s="97" t="n">
        <v>139</v>
      </c>
      <c r="H152" s="97" t="s">
        <v>678</v>
      </c>
      <c r="I152" s="97" t="s">
        <v>679</v>
      </c>
      <c r="J152" s="97" t="s">
        <v>680</v>
      </c>
      <c r="K152" s="97" t="s">
        <v>681</v>
      </c>
    </row>
    <row r="153" customFormat="false" ht="54" hidden="false" customHeight="true" outlineLevel="0" collapsed="false">
      <c r="C153" s="96" t="s">
        <v>739</v>
      </c>
      <c r="D153" s="97" t="s">
        <v>704</v>
      </c>
      <c r="E153" s="97" t="n">
        <v>692105032.37</v>
      </c>
      <c r="F153" s="97" t="s">
        <v>677</v>
      </c>
      <c r="G153" s="97" t="n">
        <v>139</v>
      </c>
      <c r="H153" s="97" t="s">
        <v>678</v>
      </c>
      <c r="I153" s="97" t="s">
        <v>679</v>
      </c>
      <c r="J153" s="97" t="s">
        <v>680</v>
      </c>
      <c r="K153" s="97" t="s">
        <v>681</v>
      </c>
    </row>
    <row r="154" customFormat="false" ht="54" hidden="false" customHeight="true" outlineLevel="0" collapsed="false">
      <c r="C154" s="96" t="s">
        <v>740</v>
      </c>
      <c r="D154" s="97" t="s">
        <v>703</v>
      </c>
      <c r="E154" s="97" t="n">
        <v>5119382.03</v>
      </c>
      <c r="F154" s="97" t="s">
        <v>677</v>
      </c>
      <c r="G154" s="97" t="n">
        <v>139</v>
      </c>
      <c r="H154" s="97" t="s">
        <v>678</v>
      </c>
      <c r="I154" s="97" t="s">
        <v>679</v>
      </c>
      <c r="J154" s="97" t="s">
        <v>680</v>
      </c>
      <c r="K154" s="97" t="s">
        <v>681</v>
      </c>
    </row>
    <row r="155" customFormat="false" ht="54" hidden="false" customHeight="true" outlineLevel="0" collapsed="false">
      <c r="C155" s="96" t="s">
        <v>740</v>
      </c>
      <c r="D155" s="97" t="s">
        <v>704</v>
      </c>
      <c r="E155" s="97" t="n">
        <v>1723345.85</v>
      </c>
      <c r="F155" s="97" t="s">
        <v>677</v>
      </c>
      <c r="G155" s="97" t="n">
        <v>139</v>
      </c>
      <c r="H155" s="97" t="s">
        <v>678</v>
      </c>
      <c r="I155" s="97" t="s">
        <v>679</v>
      </c>
      <c r="J155" s="97" t="s">
        <v>680</v>
      </c>
      <c r="K155" s="97" t="s">
        <v>681</v>
      </c>
    </row>
    <row r="156" customFormat="false" ht="54" hidden="false" customHeight="true" outlineLevel="0" collapsed="false">
      <c r="C156" s="96" t="s">
        <v>741</v>
      </c>
      <c r="D156" s="97" t="s">
        <v>703</v>
      </c>
      <c r="E156" s="97" t="n">
        <v>65934888.78</v>
      </c>
      <c r="F156" s="97" t="s">
        <v>677</v>
      </c>
      <c r="G156" s="97" t="n">
        <v>139</v>
      </c>
      <c r="H156" s="97" t="s">
        <v>678</v>
      </c>
      <c r="I156" s="97" t="s">
        <v>679</v>
      </c>
      <c r="J156" s="97" t="s">
        <v>680</v>
      </c>
      <c r="K156" s="97" t="s">
        <v>681</v>
      </c>
    </row>
    <row r="157" customFormat="false" ht="54" hidden="false" customHeight="true" outlineLevel="0" collapsed="false">
      <c r="C157" s="96" t="s">
        <v>741</v>
      </c>
      <c r="D157" s="97" t="s">
        <v>704</v>
      </c>
      <c r="E157" s="97" t="n">
        <v>35464994.89</v>
      </c>
      <c r="F157" s="97" t="s">
        <v>677</v>
      </c>
      <c r="G157" s="97" t="n">
        <v>139</v>
      </c>
      <c r="H157" s="97" t="s">
        <v>678</v>
      </c>
      <c r="I157" s="97" t="s">
        <v>679</v>
      </c>
      <c r="J157" s="97" t="s">
        <v>680</v>
      </c>
      <c r="K157" s="97" t="s">
        <v>681</v>
      </c>
    </row>
    <row r="158" customFormat="false" ht="54" hidden="false" customHeight="true" outlineLevel="0" collapsed="false">
      <c r="C158" s="96" t="s">
        <v>742</v>
      </c>
      <c r="D158" s="97" t="s">
        <v>703</v>
      </c>
      <c r="E158" s="97" t="n">
        <v>69384795.39</v>
      </c>
      <c r="F158" s="97" t="s">
        <v>677</v>
      </c>
      <c r="G158" s="97" t="n">
        <v>139</v>
      </c>
      <c r="H158" s="97" t="s">
        <v>678</v>
      </c>
      <c r="I158" s="97" t="s">
        <v>679</v>
      </c>
      <c r="J158" s="97" t="s">
        <v>680</v>
      </c>
      <c r="K158" s="97" t="s">
        <v>681</v>
      </c>
    </row>
    <row r="159" customFormat="false" ht="54" hidden="false" customHeight="true" outlineLevel="0" collapsed="false">
      <c r="C159" s="96" t="s">
        <v>742</v>
      </c>
      <c r="D159" s="97" t="s">
        <v>704</v>
      </c>
      <c r="E159" s="97" t="n">
        <v>11432179.25</v>
      </c>
      <c r="F159" s="97" t="s">
        <v>677</v>
      </c>
      <c r="G159" s="97" t="n">
        <v>139</v>
      </c>
      <c r="H159" s="97" t="s">
        <v>678</v>
      </c>
      <c r="I159" s="97" t="s">
        <v>679</v>
      </c>
      <c r="J159" s="97" t="s">
        <v>680</v>
      </c>
      <c r="K159" s="97" t="s">
        <v>681</v>
      </c>
    </row>
    <row r="160" customFormat="false" ht="54" hidden="false" customHeight="true" outlineLevel="0" collapsed="false">
      <c r="C160" s="96" t="s">
        <v>743</v>
      </c>
      <c r="D160" s="97" t="s">
        <v>703</v>
      </c>
      <c r="E160" s="97" t="n">
        <v>3411070167.71</v>
      </c>
      <c r="F160" s="97" t="s">
        <v>677</v>
      </c>
      <c r="G160" s="97" t="n">
        <v>139</v>
      </c>
      <c r="H160" s="97" t="s">
        <v>678</v>
      </c>
      <c r="I160" s="97" t="s">
        <v>679</v>
      </c>
      <c r="J160" s="97" t="s">
        <v>680</v>
      </c>
      <c r="K160" s="97" t="s">
        <v>681</v>
      </c>
    </row>
    <row r="161" customFormat="false" ht="54" hidden="false" customHeight="true" outlineLevel="0" collapsed="false">
      <c r="C161" s="96" t="s">
        <v>743</v>
      </c>
      <c r="D161" s="97" t="s">
        <v>704</v>
      </c>
      <c r="E161" s="97" t="n">
        <v>3221831377.65</v>
      </c>
      <c r="F161" s="97" t="s">
        <v>677</v>
      </c>
      <c r="G161" s="97" t="n">
        <v>139</v>
      </c>
      <c r="H161" s="97" t="s">
        <v>678</v>
      </c>
      <c r="I161" s="97" t="s">
        <v>679</v>
      </c>
      <c r="J161" s="97" t="s">
        <v>680</v>
      </c>
      <c r="K161" s="97" t="s">
        <v>681</v>
      </c>
    </row>
    <row r="162" customFormat="false" ht="54" hidden="false" customHeight="true" outlineLevel="0" collapsed="false">
      <c r="C162" s="96" t="s">
        <v>744</v>
      </c>
      <c r="D162" s="97" t="s">
        <v>703</v>
      </c>
      <c r="E162" s="97" t="n">
        <v>3189912558.32</v>
      </c>
      <c r="F162" s="97" t="s">
        <v>677</v>
      </c>
      <c r="G162" s="97" t="n">
        <v>139</v>
      </c>
      <c r="H162" s="97" t="s">
        <v>678</v>
      </c>
      <c r="I162" s="97" t="s">
        <v>679</v>
      </c>
      <c r="J162" s="97" t="s">
        <v>680</v>
      </c>
      <c r="K162" s="97" t="s">
        <v>681</v>
      </c>
    </row>
    <row r="163" customFormat="false" ht="54" hidden="false" customHeight="true" outlineLevel="0" collapsed="false">
      <c r="C163" s="96" t="s">
        <v>744</v>
      </c>
      <c r="D163" s="97" t="s">
        <v>704</v>
      </c>
      <c r="E163" s="97" t="n">
        <v>2934025732.05</v>
      </c>
      <c r="F163" s="97" t="s">
        <v>677</v>
      </c>
      <c r="G163" s="97" t="n">
        <v>138</v>
      </c>
      <c r="H163" s="97" t="s">
        <v>678</v>
      </c>
      <c r="I163" s="97" t="s">
        <v>679</v>
      </c>
      <c r="J163" s="97" t="s">
        <v>680</v>
      </c>
      <c r="K163" s="97" t="s">
        <v>681</v>
      </c>
    </row>
    <row r="164" customFormat="false" ht="54" hidden="false" customHeight="true" outlineLevel="0" collapsed="false">
      <c r="C164" s="96" t="s">
        <v>745</v>
      </c>
      <c r="D164" s="97" t="s">
        <v>703</v>
      </c>
      <c r="E164" s="97" t="n">
        <v>1436501887.99</v>
      </c>
      <c r="F164" s="97" t="s">
        <v>677</v>
      </c>
      <c r="G164" s="97" t="n">
        <v>139</v>
      </c>
      <c r="H164" s="97" t="s">
        <v>678</v>
      </c>
      <c r="I164" s="97" t="s">
        <v>679</v>
      </c>
      <c r="J164" s="97" t="s">
        <v>680</v>
      </c>
      <c r="K164" s="97" t="s">
        <v>681</v>
      </c>
    </row>
    <row r="165" customFormat="false" ht="54" hidden="false" customHeight="true" outlineLevel="0" collapsed="false">
      <c r="C165" s="96" t="s">
        <v>745</v>
      </c>
      <c r="D165" s="97" t="s">
        <v>704</v>
      </c>
      <c r="E165" s="97" t="n">
        <v>1389337256.24</v>
      </c>
      <c r="F165" s="97" t="s">
        <v>677</v>
      </c>
      <c r="G165" s="97" t="n">
        <v>138</v>
      </c>
      <c r="H165" s="97" t="s">
        <v>678</v>
      </c>
      <c r="I165" s="97" t="s">
        <v>679</v>
      </c>
      <c r="J165" s="97" t="s">
        <v>680</v>
      </c>
      <c r="K165" s="97" t="s">
        <v>681</v>
      </c>
    </row>
    <row r="166" customFormat="false" ht="54" hidden="false" customHeight="true" outlineLevel="0" collapsed="false">
      <c r="C166" s="96" t="s">
        <v>746</v>
      </c>
      <c r="D166" s="97" t="s">
        <v>703</v>
      </c>
      <c r="E166" s="97" t="n">
        <v>37103525.15</v>
      </c>
      <c r="F166" s="97" t="s">
        <v>677</v>
      </c>
      <c r="G166" s="97" t="n">
        <v>139</v>
      </c>
      <c r="H166" s="97" t="s">
        <v>678</v>
      </c>
      <c r="I166" s="97" t="s">
        <v>679</v>
      </c>
      <c r="J166" s="97" t="s">
        <v>680</v>
      </c>
      <c r="K166" s="97" t="s">
        <v>681</v>
      </c>
    </row>
    <row r="167" customFormat="false" ht="54" hidden="false" customHeight="true" outlineLevel="0" collapsed="false">
      <c r="C167" s="96" t="s">
        <v>746</v>
      </c>
      <c r="D167" s="97" t="s">
        <v>704</v>
      </c>
      <c r="E167" s="97" t="n">
        <v>34441995.25</v>
      </c>
      <c r="F167" s="97" t="s">
        <v>677</v>
      </c>
      <c r="G167" s="97" t="n">
        <v>138</v>
      </c>
      <c r="H167" s="97" t="s">
        <v>678</v>
      </c>
      <c r="I167" s="97" t="s">
        <v>679</v>
      </c>
      <c r="J167" s="97" t="s">
        <v>680</v>
      </c>
      <c r="K167" s="97" t="s">
        <v>681</v>
      </c>
    </row>
    <row r="168" customFormat="false" ht="54" hidden="false" customHeight="true" outlineLevel="0" collapsed="false">
      <c r="C168" s="96" t="s">
        <v>747</v>
      </c>
      <c r="D168" s="97" t="s">
        <v>703</v>
      </c>
      <c r="E168" s="97" t="n">
        <v>219502683.16</v>
      </c>
      <c r="F168" s="97" t="s">
        <v>677</v>
      </c>
      <c r="G168" s="97" t="n">
        <v>139</v>
      </c>
      <c r="H168" s="97" t="s">
        <v>678</v>
      </c>
      <c r="I168" s="97" t="s">
        <v>679</v>
      </c>
      <c r="J168" s="97" t="s">
        <v>680</v>
      </c>
      <c r="K168" s="97" t="s">
        <v>681</v>
      </c>
    </row>
    <row r="169" customFormat="false" ht="54" hidden="false" customHeight="true" outlineLevel="0" collapsed="false">
      <c r="C169" s="96" t="s">
        <v>747</v>
      </c>
      <c r="D169" s="97" t="s">
        <v>704</v>
      </c>
      <c r="E169" s="97" t="n">
        <v>186946326.2</v>
      </c>
      <c r="F169" s="97" t="s">
        <v>677</v>
      </c>
      <c r="G169" s="97" t="n">
        <v>138</v>
      </c>
      <c r="H169" s="97" t="s">
        <v>678</v>
      </c>
      <c r="I169" s="97" t="s">
        <v>679</v>
      </c>
      <c r="J169" s="97" t="s">
        <v>680</v>
      </c>
      <c r="K169" s="97" t="s">
        <v>681</v>
      </c>
    </row>
    <row r="170" customFormat="false" ht="54" hidden="false" customHeight="true" outlineLevel="0" collapsed="false">
      <c r="C170" s="96" t="s">
        <v>748</v>
      </c>
      <c r="D170" s="97" t="s">
        <v>703</v>
      </c>
      <c r="E170" s="97" t="n">
        <v>144429271.22</v>
      </c>
      <c r="F170" s="97" t="s">
        <v>677</v>
      </c>
      <c r="G170" s="97" t="n">
        <v>139</v>
      </c>
      <c r="H170" s="97" t="s">
        <v>678</v>
      </c>
      <c r="I170" s="97" t="s">
        <v>679</v>
      </c>
      <c r="J170" s="97" t="s">
        <v>680</v>
      </c>
      <c r="K170" s="97" t="s">
        <v>681</v>
      </c>
    </row>
    <row r="171" customFormat="false" ht="54" hidden="false" customHeight="true" outlineLevel="0" collapsed="false">
      <c r="C171" s="96" t="s">
        <v>748</v>
      </c>
      <c r="D171" s="97" t="s">
        <v>704</v>
      </c>
      <c r="E171" s="97" t="n">
        <v>73525274.39</v>
      </c>
      <c r="F171" s="97" t="s">
        <v>677</v>
      </c>
      <c r="G171" s="97" t="n">
        <v>138</v>
      </c>
      <c r="H171" s="97" t="s">
        <v>678</v>
      </c>
      <c r="I171" s="97" t="s">
        <v>679</v>
      </c>
      <c r="J171" s="97" t="s">
        <v>680</v>
      </c>
      <c r="K171" s="97" t="s">
        <v>681</v>
      </c>
    </row>
    <row r="172" customFormat="false" ht="54" hidden="false" customHeight="true" outlineLevel="0" collapsed="false">
      <c r="C172" s="96" t="s">
        <v>749</v>
      </c>
      <c r="D172" s="97" t="s">
        <v>703</v>
      </c>
      <c r="E172" s="97" t="n">
        <v>5027449925.84</v>
      </c>
      <c r="F172" s="97" t="s">
        <v>677</v>
      </c>
      <c r="G172" s="97" t="n">
        <v>139</v>
      </c>
      <c r="H172" s="97" t="s">
        <v>678</v>
      </c>
      <c r="I172" s="97" t="s">
        <v>679</v>
      </c>
      <c r="J172" s="97" t="s">
        <v>680</v>
      </c>
      <c r="K172" s="97" t="s">
        <v>681</v>
      </c>
    </row>
    <row r="173" customFormat="false" ht="54" hidden="false" customHeight="true" outlineLevel="0" collapsed="false">
      <c r="C173" s="96" t="s">
        <v>749</v>
      </c>
      <c r="D173" s="97" t="s">
        <v>704</v>
      </c>
      <c r="E173" s="97" t="n">
        <v>4618276584.13</v>
      </c>
      <c r="F173" s="97" t="s">
        <v>677</v>
      </c>
      <c r="G173" s="97" t="n">
        <v>138</v>
      </c>
      <c r="H173" s="97" t="s">
        <v>678</v>
      </c>
      <c r="I173" s="97" t="s">
        <v>679</v>
      </c>
      <c r="J173" s="97" t="s">
        <v>680</v>
      </c>
      <c r="K173" s="97" t="s">
        <v>681</v>
      </c>
    </row>
    <row r="174" customFormat="false" ht="54" hidden="false" customHeight="true" outlineLevel="0" collapsed="false">
      <c r="C174" s="96" t="s">
        <v>750</v>
      </c>
      <c r="D174" s="97" t="s">
        <v>676</v>
      </c>
      <c r="E174" s="97" t="n">
        <v>133097561.58</v>
      </c>
      <c r="F174" s="97" t="s">
        <v>677</v>
      </c>
      <c r="G174" s="97" t="n">
        <v>139</v>
      </c>
      <c r="H174" s="97" t="s">
        <v>678</v>
      </c>
      <c r="I174" s="97" t="s">
        <v>679</v>
      </c>
      <c r="J174" s="97" t="s">
        <v>680</v>
      </c>
      <c r="K174" s="97" t="s">
        <v>681</v>
      </c>
    </row>
    <row r="175" customFormat="false" ht="54" hidden="false" customHeight="true" outlineLevel="0" collapsed="false">
      <c r="C175" s="96" t="s">
        <v>751</v>
      </c>
      <c r="D175" s="97" t="s">
        <v>676</v>
      </c>
      <c r="E175" s="97" t="n">
        <v>116814398.48</v>
      </c>
      <c r="F175" s="97" t="s">
        <v>677</v>
      </c>
      <c r="G175" s="97" t="n">
        <v>139</v>
      </c>
      <c r="H175" s="97" t="s">
        <v>678</v>
      </c>
      <c r="I175" s="97" t="s">
        <v>679</v>
      </c>
      <c r="J175" s="97" t="s">
        <v>680</v>
      </c>
      <c r="K175" s="97" t="s">
        <v>681</v>
      </c>
    </row>
    <row r="176" customFormat="false" ht="54" hidden="false" customHeight="true" outlineLevel="0" collapsed="false">
      <c r="C176" s="96" t="s">
        <v>752</v>
      </c>
      <c r="D176" s="97" t="s">
        <v>676</v>
      </c>
      <c r="E176" s="97" t="n">
        <v>1926110.3</v>
      </c>
      <c r="F176" s="97" t="s">
        <v>677</v>
      </c>
      <c r="G176" s="97" t="n">
        <v>139</v>
      </c>
      <c r="H176" s="97" t="s">
        <v>678</v>
      </c>
      <c r="I176" s="97" t="s">
        <v>679</v>
      </c>
      <c r="J176" s="97" t="s">
        <v>680</v>
      </c>
      <c r="K176" s="97" t="s">
        <v>681</v>
      </c>
    </row>
    <row r="177" customFormat="false" ht="54" hidden="false" customHeight="true" outlineLevel="0" collapsed="false">
      <c r="C177" s="96" t="s">
        <v>753</v>
      </c>
      <c r="D177" s="97" t="s">
        <v>676</v>
      </c>
      <c r="E177" s="97" t="n">
        <v>19421347.61</v>
      </c>
      <c r="F177" s="97" t="s">
        <v>677</v>
      </c>
      <c r="G177" s="97" t="n">
        <v>139</v>
      </c>
      <c r="H177" s="97" t="s">
        <v>678</v>
      </c>
      <c r="I177" s="97" t="s">
        <v>679</v>
      </c>
      <c r="J177" s="97" t="s">
        <v>680</v>
      </c>
      <c r="K177" s="97" t="s">
        <v>681</v>
      </c>
    </row>
    <row r="178" customFormat="false" ht="54" hidden="false" customHeight="true" outlineLevel="0" collapsed="false">
      <c r="C178" s="96" t="s">
        <v>754</v>
      </c>
      <c r="D178" s="97" t="s">
        <v>676</v>
      </c>
      <c r="E178" s="97" t="n">
        <v>13628451.76</v>
      </c>
      <c r="F178" s="97" t="s">
        <v>677</v>
      </c>
      <c r="G178" s="97" t="n">
        <v>139</v>
      </c>
      <c r="H178" s="97" t="s">
        <v>678</v>
      </c>
      <c r="I178" s="97" t="s">
        <v>679</v>
      </c>
      <c r="J178" s="97" t="s">
        <v>680</v>
      </c>
      <c r="K178" s="97" t="s">
        <v>681</v>
      </c>
    </row>
    <row r="179" customFormat="false" ht="54" hidden="false" customHeight="true" outlineLevel="0" collapsed="false">
      <c r="C179" s="96" t="s">
        <v>755</v>
      </c>
      <c r="D179" s="97" t="s">
        <v>676</v>
      </c>
      <c r="E179" s="97" t="n">
        <v>284887869.73</v>
      </c>
      <c r="F179" s="97" t="s">
        <v>677</v>
      </c>
      <c r="G179" s="97" t="n">
        <v>139</v>
      </c>
      <c r="H179" s="97" t="s">
        <v>678</v>
      </c>
      <c r="I179" s="97" t="s">
        <v>679</v>
      </c>
      <c r="J179" s="97" t="s">
        <v>680</v>
      </c>
      <c r="K179" s="97" t="s">
        <v>681</v>
      </c>
    </row>
    <row r="180" customFormat="false" ht="54" hidden="false" customHeight="true" outlineLevel="0" collapsed="false">
      <c r="C180" s="96" t="s">
        <v>756</v>
      </c>
      <c r="D180" s="97" t="s">
        <v>676</v>
      </c>
      <c r="E180" s="97" t="n">
        <v>483834371.65</v>
      </c>
      <c r="F180" s="97" t="s">
        <v>677</v>
      </c>
      <c r="G180" s="97" t="n">
        <v>138</v>
      </c>
      <c r="H180" s="97" t="s">
        <v>678</v>
      </c>
      <c r="I180" s="97" t="s">
        <v>679</v>
      </c>
      <c r="J180" s="97" t="s">
        <v>680</v>
      </c>
      <c r="K180" s="97" t="s">
        <v>681</v>
      </c>
    </row>
    <row r="181" customFormat="false" ht="54" hidden="false" customHeight="true" outlineLevel="0" collapsed="false">
      <c r="C181" s="98" t="s">
        <v>757</v>
      </c>
      <c r="D181" s="98" t="s">
        <v>676</v>
      </c>
      <c r="E181" s="98" t="n">
        <v>55388311.18</v>
      </c>
      <c r="F181" s="98" t="s">
        <v>677</v>
      </c>
      <c r="G181" s="98" t="n">
        <v>138</v>
      </c>
      <c r="H181" s="98" t="s">
        <v>678</v>
      </c>
      <c r="I181" s="98" t="s">
        <v>679</v>
      </c>
      <c r="J181" s="98" t="s">
        <v>680</v>
      </c>
      <c r="K181" s="98" t="s">
        <v>681</v>
      </c>
    </row>
    <row r="182" customFormat="false" ht="54" hidden="false" customHeight="true" outlineLevel="0" collapsed="false">
      <c r="C182" s="98" t="s">
        <v>758</v>
      </c>
      <c r="D182" s="98" t="s">
        <v>676</v>
      </c>
      <c r="E182" s="98" t="n">
        <v>428446060.47</v>
      </c>
      <c r="F182" s="98" t="s">
        <v>677</v>
      </c>
      <c r="G182" s="98" t="n">
        <v>138</v>
      </c>
      <c r="H182" s="98" t="s">
        <v>678</v>
      </c>
      <c r="I182" s="98" t="s">
        <v>679</v>
      </c>
      <c r="J182" s="98" t="s">
        <v>680</v>
      </c>
      <c r="K182" s="98" t="s">
        <v>681</v>
      </c>
    </row>
    <row r="183" customFormat="false" ht="54" hidden="false" customHeight="true" outlineLevel="0" collapsed="false">
      <c r="C183" s="98" t="s">
        <v>759</v>
      </c>
      <c r="D183" s="98" t="s">
        <v>676</v>
      </c>
      <c r="E183" s="98" t="n">
        <v>74661029.94</v>
      </c>
      <c r="F183" s="98" t="s">
        <v>677</v>
      </c>
      <c r="G183" s="98" t="n">
        <v>138</v>
      </c>
      <c r="H183" s="98" t="s">
        <v>678</v>
      </c>
      <c r="I183" s="98" t="s">
        <v>679</v>
      </c>
      <c r="J183" s="98" t="s">
        <v>680</v>
      </c>
      <c r="K183" s="98" t="s">
        <v>681</v>
      </c>
    </row>
    <row r="184" customFormat="false" ht="54" hidden="false" customHeight="true" outlineLevel="0" collapsed="false">
      <c r="C184" s="98" t="s">
        <v>760</v>
      </c>
      <c r="D184" s="98" t="s">
        <v>676</v>
      </c>
      <c r="E184" s="98" t="n">
        <v>64608710.71</v>
      </c>
      <c r="F184" s="98" t="s">
        <v>677</v>
      </c>
      <c r="G184" s="98" t="n">
        <v>139</v>
      </c>
      <c r="H184" s="98" t="s">
        <v>678</v>
      </c>
      <c r="I184" s="98" t="s">
        <v>679</v>
      </c>
      <c r="J184" s="98" t="s">
        <v>680</v>
      </c>
      <c r="K184" s="98" t="s">
        <v>681</v>
      </c>
    </row>
    <row r="185" customFormat="false" ht="54" hidden="false" customHeight="true" outlineLevel="0" collapsed="false">
      <c r="C185" s="98" t="s">
        <v>761</v>
      </c>
      <c r="D185" s="98" t="s">
        <v>676</v>
      </c>
      <c r="E185" s="98" t="n">
        <v>4197628.36</v>
      </c>
      <c r="F185" s="98" t="s">
        <v>677</v>
      </c>
      <c r="G185" s="98" t="n">
        <v>139</v>
      </c>
      <c r="H185" s="98" t="s">
        <v>678</v>
      </c>
      <c r="I185" s="98" t="s">
        <v>679</v>
      </c>
      <c r="J185" s="98" t="s">
        <v>680</v>
      </c>
      <c r="K185" s="98" t="s">
        <v>681</v>
      </c>
    </row>
    <row r="186" customFormat="false" ht="54" hidden="false" customHeight="true" outlineLevel="0" collapsed="false">
      <c r="C186" s="98" t="s">
        <v>762</v>
      </c>
      <c r="D186" s="98" t="s">
        <v>676</v>
      </c>
      <c r="E186" s="98" t="n">
        <v>3853020.99</v>
      </c>
      <c r="F186" s="98" t="s">
        <v>677</v>
      </c>
      <c r="G186" s="98" t="n">
        <v>139</v>
      </c>
      <c r="H186" s="98" t="s">
        <v>678</v>
      </c>
      <c r="I186" s="98" t="s">
        <v>679</v>
      </c>
      <c r="J186" s="98" t="s">
        <v>680</v>
      </c>
      <c r="K186" s="98" t="s">
        <v>681</v>
      </c>
    </row>
    <row r="187" customFormat="false" ht="54" hidden="false" customHeight="true" outlineLevel="0" collapsed="false">
      <c r="C187" s="98" t="s">
        <v>763</v>
      </c>
      <c r="D187" s="98" t="s">
        <v>676</v>
      </c>
      <c r="E187" s="98" t="n">
        <v>344607.37</v>
      </c>
      <c r="F187" s="98" t="s">
        <v>677</v>
      </c>
      <c r="G187" s="98" t="n">
        <v>139</v>
      </c>
      <c r="H187" s="98" t="s">
        <v>678</v>
      </c>
      <c r="I187" s="98" t="s">
        <v>679</v>
      </c>
      <c r="J187" s="98" t="s">
        <v>680</v>
      </c>
      <c r="K187" s="98" t="s">
        <v>681</v>
      </c>
    </row>
    <row r="188" customFormat="false" ht="54" hidden="false" customHeight="true" outlineLevel="0" collapsed="false">
      <c r="C188" s="98" t="s">
        <v>764</v>
      </c>
      <c r="D188" s="98" t="s">
        <v>676</v>
      </c>
      <c r="E188" s="98" t="n">
        <v>58082.4</v>
      </c>
      <c r="F188" s="98" t="s">
        <v>765</v>
      </c>
      <c r="G188" s="98" t="n">
        <v>24</v>
      </c>
      <c r="H188" s="98" t="s">
        <v>678</v>
      </c>
      <c r="I188" s="98" t="s">
        <v>679</v>
      </c>
      <c r="J188" s="98" t="s">
        <v>680</v>
      </c>
      <c r="K188" s="98" t="s">
        <v>681</v>
      </c>
    </row>
    <row r="189" customFormat="false" ht="54" hidden="false" customHeight="true" outlineLevel="0" collapsed="false">
      <c r="C189" s="98" t="s">
        <v>766</v>
      </c>
      <c r="D189" s="98" t="s">
        <v>676</v>
      </c>
      <c r="E189" s="98" t="n">
        <v>57918.15</v>
      </c>
      <c r="F189" s="98" t="s">
        <v>765</v>
      </c>
      <c r="G189" s="98" t="n">
        <v>24</v>
      </c>
      <c r="H189" s="98" t="s">
        <v>678</v>
      </c>
      <c r="I189" s="98" t="s">
        <v>679</v>
      </c>
      <c r="J189" s="98" t="s">
        <v>680</v>
      </c>
      <c r="K189" s="98" t="s">
        <v>681</v>
      </c>
    </row>
    <row r="190" customFormat="false" ht="54" hidden="false" customHeight="true" outlineLevel="0" collapsed="false">
      <c r="C190" s="98" t="s">
        <v>767</v>
      </c>
      <c r="D190" s="98" t="s">
        <v>676</v>
      </c>
      <c r="E190" s="98" t="n">
        <v>3426.29</v>
      </c>
      <c r="F190" s="98" t="s">
        <v>765</v>
      </c>
      <c r="G190" s="98" t="n">
        <v>24</v>
      </c>
      <c r="H190" s="98" t="s">
        <v>678</v>
      </c>
      <c r="I190" s="98" t="s">
        <v>679</v>
      </c>
      <c r="J190" s="98" t="s">
        <v>680</v>
      </c>
      <c r="K190" s="98" t="s">
        <v>681</v>
      </c>
    </row>
    <row r="191" customFormat="false" ht="54" hidden="false" customHeight="true" outlineLevel="0" collapsed="false">
      <c r="C191" s="98" t="s">
        <v>768</v>
      </c>
      <c r="D191" s="98" t="s">
        <v>676</v>
      </c>
      <c r="E191" s="98" t="n">
        <v>108821.19</v>
      </c>
      <c r="F191" s="98" t="s">
        <v>765</v>
      </c>
      <c r="G191" s="98" t="n">
        <v>24</v>
      </c>
      <c r="H191" s="98" t="s">
        <v>678</v>
      </c>
      <c r="I191" s="98" t="s">
        <v>679</v>
      </c>
      <c r="J191" s="98" t="s">
        <v>680</v>
      </c>
      <c r="K191" s="98" t="s">
        <v>681</v>
      </c>
    </row>
    <row r="192" customFormat="false" ht="54" hidden="false" customHeight="true" outlineLevel="0" collapsed="false">
      <c r="C192" s="98" t="s">
        <v>769</v>
      </c>
      <c r="D192" s="98" t="s">
        <v>676</v>
      </c>
      <c r="E192" s="98" t="n">
        <v>105115.84</v>
      </c>
      <c r="F192" s="98" t="s">
        <v>765</v>
      </c>
      <c r="G192" s="98" t="n">
        <v>24</v>
      </c>
      <c r="H192" s="98" t="s">
        <v>678</v>
      </c>
      <c r="I192" s="98" t="s">
        <v>679</v>
      </c>
      <c r="J192" s="98" t="s">
        <v>680</v>
      </c>
      <c r="K192" s="98" t="s">
        <v>681</v>
      </c>
    </row>
    <row r="193" customFormat="false" ht="54" hidden="false" customHeight="true" outlineLevel="0" collapsed="false">
      <c r="C193" s="98" t="s">
        <v>770</v>
      </c>
      <c r="D193" s="98" t="s">
        <v>676</v>
      </c>
      <c r="E193" s="98" t="n">
        <v>6989.68</v>
      </c>
      <c r="F193" s="98" t="s">
        <v>765</v>
      </c>
      <c r="G193" s="98" t="n">
        <v>24</v>
      </c>
      <c r="H193" s="98" t="s">
        <v>678</v>
      </c>
      <c r="I193" s="98" t="s">
        <v>679</v>
      </c>
      <c r="J193" s="98" t="s">
        <v>680</v>
      </c>
      <c r="K193" s="98" t="s">
        <v>681</v>
      </c>
    </row>
    <row r="194" customFormat="false" ht="54" hidden="false" customHeight="true" outlineLevel="0" collapsed="false">
      <c r="C194" s="98" t="s">
        <v>771</v>
      </c>
      <c r="D194" s="98" t="s">
        <v>676</v>
      </c>
      <c r="E194" s="98" t="n">
        <v>133.38</v>
      </c>
      <c r="F194" s="98" t="s">
        <v>765</v>
      </c>
      <c r="G194" s="98" t="n">
        <v>24</v>
      </c>
      <c r="H194" s="98" t="s">
        <v>678</v>
      </c>
      <c r="I194" s="98" t="s">
        <v>679</v>
      </c>
      <c r="J194" s="98" t="s">
        <v>680</v>
      </c>
      <c r="K194" s="98" t="s">
        <v>681</v>
      </c>
    </row>
    <row r="195" customFormat="false" ht="54" hidden="false" customHeight="true" outlineLevel="0" collapsed="false">
      <c r="C195" s="98" t="s">
        <v>772</v>
      </c>
      <c r="D195" s="98" t="s">
        <v>676</v>
      </c>
      <c r="E195" s="98" t="n">
        <v>129.69</v>
      </c>
      <c r="F195" s="98" t="s">
        <v>765</v>
      </c>
      <c r="G195" s="98" t="n">
        <v>24</v>
      </c>
      <c r="H195" s="98" t="s">
        <v>678</v>
      </c>
      <c r="I195" s="98" t="s">
        <v>679</v>
      </c>
      <c r="J195" s="98" t="s">
        <v>680</v>
      </c>
      <c r="K195" s="98" t="s">
        <v>681</v>
      </c>
    </row>
    <row r="196" customFormat="false" ht="54" hidden="false" customHeight="true" outlineLevel="0" collapsed="false">
      <c r="C196" s="98" t="s">
        <v>773</v>
      </c>
      <c r="D196" s="98" t="s">
        <v>676</v>
      </c>
      <c r="E196" s="98" t="n">
        <v>16</v>
      </c>
      <c r="F196" s="98" t="s">
        <v>765</v>
      </c>
      <c r="G196" s="98" t="n">
        <v>24</v>
      </c>
      <c r="H196" s="98" t="s">
        <v>678</v>
      </c>
      <c r="I196" s="98" t="s">
        <v>679</v>
      </c>
      <c r="J196" s="98" t="s">
        <v>680</v>
      </c>
      <c r="K196" s="98" t="s">
        <v>681</v>
      </c>
    </row>
    <row r="197" customFormat="false" ht="54" hidden="false" customHeight="true" outlineLevel="0" collapsed="false">
      <c r="C197" s="98" t="s">
        <v>774</v>
      </c>
      <c r="D197" s="98" t="s">
        <v>703</v>
      </c>
      <c r="E197" s="98" t="n">
        <v>4077</v>
      </c>
      <c r="F197" s="98" t="s">
        <v>775</v>
      </c>
      <c r="G197" s="98" t="n">
        <v>45</v>
      </c>
      <c r="H197" s="98" t="s">
        <v>678</v>
      </c>
      <c r="I197" s="98" t="s">
        <v>679</v>
      </c>
      <c r="J197" s="98" t="s">
        <v>680</v>
      </c>
      <c r="K197" s="98" t="s">
        <v>681</v>
      </c>
    </row>
    <row r="198" customFormat="false" ht="54" hidden="false" customHeight="true" outlineLevel="0" collapsed="false">
      <c r="C198" s="98" t="s">
        <v>776</v>
      </c>
      <c r="D198" s="98" t="s">
        <v>703</v>
      </c>
      <c r="E198" s="98" t="n">
        <v>8435</v>
      </c>
      <c r="F198" s="98" t="s">
        <v>775</v>
      </c>
      <c r="G198" s="98" t="n">
        <v>45</v>
      </c>
      <c r="H198" s="98" t="s">
        <v>678</v>
      </c>
      <c r="I198" s="98" t="s">
        <v>679</v>
      </c>
      <c r="J198" s="98" t="s">
        <v>680</v>
      </c>
      <c r="K198" s="98" t="s">
        <v>681</v>
      </c>
    </row>
    <row r="199" customFormat="false" ht="54" hidden="false" customHeight="true" outlineLevel="0" collapsed="false">
      <c r="C199" s="98" t="s">
        <v>777</v>
      </c>
      <c r="D199" s="98" t="s">
        <v>703</v>
      </c>
      <c r="E199" s="98" t="n">
        <v>12512</v>
      </c>
      <c r="F199" s="98" t="s">
        <v>775</v>
      </c>
      <c r="G199" s="98" t="n">
        <v>45</v>
      </c>
      <c r="H199" s="98" t="s">
        <v>678</v>
      </c>
      <c r="I199" s="98" t="s">
        <v>679</v>
      </c>
      <c r="J199" s="98" t="s">
        <v>680</v>
      </c>
      <c r="K199" s="98" t="s">
        <v>681</v>
      </c>
    </row>
    <row r="200" customFormat="false" ht="54" hidden="false" customHeight="true" outlineLevel="0" collapsed="false">
      <c r="C200" s="98" t="s">
        <v>778</v>
      </c>
      <c r="D200" s="98" t="s">
        <v>703</v>
      </c>
      <c r="E200" s="98" t="n">
        <v>7734</v>
      </c>
      <c r="F200" s="98" t="s">
        <v>775</v>
      </c>
      <c r="G200" s="98" t="n">
        <v>45</v>
      </c>
      <c r="H200" s="98" t="s">
        <v>678</v>
      </c>
      <c r="I200" s="98" t="s">
        <v>679</v>
      </c>
      <c r="J200" s="98" t="s">
        <v>680</v>
      </c>
      <c r="K200" s="98" t="s">
        <v>681</v>
      </c>
    </row>
    <row r="201" customFormat="false" ht="54" hidden="false" customHeight="true" outlineLevel="0" collapsed="false">
      <c r="C201" s="98" t="s">
        <v>779</v>
      </c>
      <c r="D201" s="98" t="s">
        <v>703</v>
      </c>
      <c r="E201" s="98" t="n">
        <v>1066</v>
      </c>
      <c r="F201" s="98" t="s">
        <v>775</v>
      </c>
      <c r="G201" s="98" t="n">
        <v>45</v>
      </c>
      <c r="H201" s="98" t="s">
        <v>678</v>
      </c>
      <c r="I201" s="98" t="s">
        <v>679</v>
      </c>
      <c r="J201" s="98" t="s">
        <v>680</v>
      </c>
      <c r="K201" s="98" t="s">
        <v>681</v>
      </c>
    </row>
    <row r="202" customFormat="false" ht="54" hidden="false" customHeight="true" outlineLevel="0" collapsed="false">
      <c r="C202" s="98" t="s">
        <v>780</v>
      </c>
      <c r="D202" s="98" t="s">
        <v>703</v>
      </c>
      <c r="E202" s="98" t="n">
        <v>2010</v>
      </c>
      <c r="F202" s="98" t="s">
        <v>775</v>
      </c>
      <c r="G202" s="98" t="n">
        <v>46</v>
      </c>
      <c r="H202" s="98" t="s">
        <v>678</v>
      </c>
      <c r="I202" s="98" t="s">
        <v>679</v>
      </c>
      <c r="J202" s="98" t="s">
        <v>680</v>
      </c>
      <c r="K202" s="98" t="s">
        <v>681</v>
      </c>
    </row>
    <row r="203" customFormat="false" ht="54" hidden="false" customHeight="true" outlineLevel="0" collapsed="false">
      <c r="C203" s="98" t="s">
        <v>781</v>
      </c>
      <c r="D203" s="98" t="s">
        <v>703</v>
      </c>
      <c r="E203" s="98" t="n">
        <v>134</v>
      </c>
      <c r="F203" s="98" t="s">
        <v>775</v>
      </c>
      <c r="G203" s="98" t="n">
        <v>46</v>
      </c>
      <c r="H203" s="98" t="s">
        <v>678</v>
      </c>
      <c r="I203" s="98" t="s">
        <v>679</v>
      </c>
      <c r="J203" s="98" t="s">
        <v>680</v>
      </c>
      <c r="K203" s="98" t="s">
        <v>681</v>
      </c>
    </row>
    <row r="204" customFormat="false" ht="54" hidden="false" customHeight="true" outlineLevel="0" collapsed="false">
      <c r="C204" s="98" t="s">
        <v>782</v>
      </c>
      <c r="D204" s="98" t="s">
        <v>703</v>
      </c>
      <c r="E204" s="98" t="n">
        <v>1568</v>
      </c>
      <c r="F204" s="98" t="s">
        <v>775</v>
      </c>
      <c r="G204" s="98" t="n">
        <v>46</v>
      </c>
      <c r="H204" s="98" t="s">
        <v>678</v>
      </c>
      <c r="I204" s="98" t="s">
        <v>679</v>
      </c>
      <c r="J204" s="98" t="s">
        <v>680</v>
      </c>
      <c r="K204" s="98" t="s">
        <v>681</v>
      </c>
    </row>
    <row r="205" customFormat="false" ht="54" hidden="false" customHeight="true" outlineLevel="0" collapsed="false">
      <c r="C205" s="98" t="s">
        <v>783</v>
      </c>
      <c r="D205" s="98" t="s">
        <v>676</v>
      </c>
      <c r="E205" s="98" t="n">
        <v>7076551275.31</v>
      </c>
      <c r="F205" s="98" t="s">
        <v>677</v>
      </c>
      <c r="G205" s="98" t="n">
        <v>24</v>
      </c>
      <c r="H205" s="98" t="s">
        <v>678</v>
      </c>
      <c r="I205" s="98" t="s">
        <v>679</v>
      </c>
      <c r="J205" s="98" t="s">
        <v>680</v>
      </c>
      <c r="K205" s="98" t="s">
        <v>681</v>
      </c>
    </row>
    <row r="206" customFormat="false" ht="54" hidden="false" customHeight="true" outlineLevel="0" collapsed="false">
      <c r="C206" s="98" t="s">
        <v>784</v>
      </c>
      <c r="D206" s="98" t="s">
        <v>676</v>
      </c>
      <c r="E206" s="98" t="n">
        <v>4166704001.71</v>
      </c>
      <c r="F206" s="98" t="s">
        <v>677</v>
      </c>
      <c r="G206" s="98" t="n">
        <v>24</v>
      </c>
      <c r="H206" s="98" t="s">
        <v>678</v>
      </c>
      <c r="I206" s="98" t="s">
        <v>679</v>
      </c>
      <c r="J206" s="98" t="s">
        <v>680</v>
      </c>
      <c r="K206" s="98" t="s">
        <v>681</v>
      </c>
    </row>
    <row r="207" customFormat="false" ht="54" hidden="false" customHeight="true" outlineLevel="0" collapsed="false">
      <c r="C207" s="98" t="s">
        <v>785</v>
      </c>
      <c r="D207" s="98" t="s">
        <v>676</v>
      </c>
      <c r="E207" s="98" t="n">
        <v>8097778712.42</v>
      </c>
      <c r="F207" s="98" t="s">
        <v>677</v>
      </c>
      <c r="G207" s="98" t="n">
        <v>24</v>
      </c>
      <c r="H207" s="98" t="s">
        <v>678</v>
      </c>
      <c r="I207" s="98" t="s">
        <v>679</v>
      </c>
      <c r="J207" s="98" t="s">
        <v>680</v>
      </c>
      <c r="K207" s="98" t="s">
        <v>681</v>
      </c>
    </row>
    <row r="208" customFormat="false" ht="54" hidden="false" customHeight="true" outlineLevel="0" collapsed="false">
      <c r="C208" s="98" t="s">
        <v>786</v>
      </c>
      <c r="D208" s="98" t="s">
        <v>676</v>
      </c>
      <c r="E208" s="98" t="n">
        <v>4349329105.14</v>
      </c>
      <c r="F208" s="98" t="s">
        <v>677</v>
      </c>
      <c r="G208" s="98" t="n">
        <v>24</v>
      </c>
      <c r="H208" s="98" t="s">
        <v>678</v>
      </c>
      <c r="I208" s="98" t="s">
        <v>679</v>
      </c>
      <c r="J208" s="98" t="s">
        <v>680</v>
      </c>
      <c r="K208" s="98" t="s">
        <v>681</v>
      </c>
    </row>
    <row r="209" customFormat="false" ht="54" hidden="false" customHeight="true" outlineLevel="0" collapsed="false">
      <c r="C209" s="98" t="s">
        <v>787</v>
      </c>
      <c r="D209" s="98" t="s">
        <v>676</v>
      </c>
      <c r="E209" s="98" t="n">
        <v>821824954.31</v>
      </c>
      <c r="F209" s="98" t="s">
        <v>677</v>
      </c>
      <c r="G209" s="98" t="n">
        <v>24</v>
      </c>
      <c r="H209" s="98" t="s">
        <v>678</v>
      </c>
      <c r="I209" s="98" t="s">
        <v>679</v>
      </c>
      <c r="J209" s="98" t="s">
        <v>680</v>
      </c>
      <c r="K209" s="98" t="s">
        <v>681</v>
      </c>
    </row>
    <row r="210" customFormat="false" ht="54" hidden="false" customHeight="true" outlineLevel="0" collapsed="false">
      <c r="C210" s="98" t="s">
        <v>788</v>
      </c>
      <c r="D210" s="98" t="s">
        <v>676</v>
      </c>
      <c r="E210" s="98" t="n">
        <v>579008380.77</v>
      </c>
      <c r="F210" s="98" t="s">
        <v>677</v>
      </c>
      <c r="G210" s="98" t="n">
        <v>24</v>
      </c>
      <c r="H210" s="98" t="s">
        <v>678</v>
      </c>
      <c r="I210" s="98" t="s">
        <v>679</v>
      </c>
      <c r="J210" s="98" t="s">
        <v>680</v>
      </c>
      <c r="K210" s="98" t="s">
        <v>681</v>
      </c>
    </row>
    <row r="211" customFormat="false" ht="54" hidden="false" customHeight="true" outlineLevel="0" collapsed="false">
      <c r="C211" s="98" t="s">
        <v>789</v>
      </c>
      <c r="D211" s="98" t="s">
        <v>676</v>
      </c>
      <c r="E211" s="98" t="n">
        <v>15726306463.94</v>
      </c>
      <c r="F211" s="98" t="s">
        <v>677</v>
      </c>
      <c r="G211" s="98" t="n">
        <v>24</v>
      </c>
      <c r="H211" s="98" t="s">
        <v>678</v>
      </c>
      <c r="I211" s="98" t="s">
        <v>679</v>
      </c>
      <c r="J211" s="98" t="s">
        <v>680</v>
      </c>
      <c r="K211" s="98" t="s">
        <v>681</v>
      </c>
    </row>
    <row r="212" customFormat="false" ht="54" hidden="false" customHeight="true" outlineLevel="0" collapsed="false">
      <c r="C212" s="98" t="s">
        <v>790</v>
      </c>
      <c r="D212" s="98" t="s">
        <v>676</v>
      </c>
      <c r="E212" s="98" t="n">
        <v>8885401865.75</v>
      </c>
      <c r="F212" s="98" t="s">
        <v>677</v>
      </c>
      <c r="G212" s="98" t="n">
        <v>24</v>
      </c>
      <c r="H212" s="98" t="s">
        <v>678</v>
      </c>
      <c r="I212" s="98" t="s">
        <v>679</v>
      </c>
      <c r="J212" s="98" t="s">
        <v>680</v>
      </c>
      <c r="K212" s="98" t="s">
        <v>681</v>
      </c>
    </row>
    <row r="213" customFormat="false" ht="54" hidden="false" customHeight="true" outlineLevel="0" collapsed="false">
      <c r="C213" s="98" t="s">
        <v>791</v>
      </c>
      <c r="D213" s="98" t="s">
        <v>676</v>
      </c>
      <c r="E213" s="98" t="n">
        <v>269848478.1</v>
      </c>
      <c r="F213" s="98" t="s">
        <v>677</v>
      </c>
      <c r="G213" s="98" t="n">
        <v>24</v>
      </c>
      <c r="H213" s="98" t="s">
        <v>678</v>
      </c>
      <c r="I213" s="98" t="s">
        <v>679</v>
      </c>
      <c r="J213" s="98" t="s">
        <v>680</v>
      </c>
      <c r="K213" s="98" t="s">
        <v>681</v>
      </c>
    </row>
    <row r="214" customFormat="false" ht="54" hidden="false" customHeight="true" outlineLevel="0" collapsed="false">
      <c r="C214" s="98" t="s">
        <v>792</v>
      </c>
      <c r="D214" s="98" t="s">
        <v>676</v>
      </c>
      <c r="E214" s="98" t="n">
        <v>209639621.87</v>
      </c>
      <c r="F214" s="98" t="s">
        <v>677</v>
      </c>
      <c r="G214" s="98" t="n">
        <v>24</v>
      </c>
      <c r="H214" s="98" t="s">
        <v>678</v>
      </c>
      <c r="I214" s="98" t="s">
        <v>679</v>
      </c>
      <c r="J214" s="98" t="s">
        <v>680</v>
      </c>
      <c r="K214" s="98" t="s">
        <v>681</v>
      </c>
    </row>
    <row r="215" customFormat="false" ht="54" hidden="false" customHeight="true" outlineLevel="0" collapsed="false">
      <c r="C215" s="98" t="s">
        <v>793</v>
      </c>
      <c r="D215" s="98" t="s">
        <v>676</v>
      </c>
      <c r="E215" s="98" t="n">
        <v>-2.61</v>
      </c>
      <c r="F215" s="98" t="s">
        <v>794</v>
      </c>
      <c r="G215" s="98" t="n">
        <v>24</v>
      </c>
      <c r="H215" s="98" t="s">
        <v>678</v>
      </c>
      <c r="I215" s="98" t="s">
        <v>679</v>
      </c>
      <c r="J215" s="98" t="s">
        <v>680</v>
      </c>
      <c r="K215" s="98" t="s">
        <v>681</v>
      </c>
    </row>
    <row r="216" customFormat="false" ht="54" hidden="false" customHeight="true" outlineLevel="0" collapsed="false">
      <c r="C216" s="98" t="s">
        <v>795</v>
      </c>
      <c r="D216" s="98" t="s">
        <v>676</v>
      </c>
      <c r="E216" s="98" t="n">
        <v>-1.08</v>
      </c>
      <c r="F216" s="98" t="s">
        <v>794</v>
      </c>
      <c r="G216" s="98" t="n">
        <v>24</v>
      </c>
      <c r="H216" s="98" t="s">
        <v>678</v>
      </c>
      <c r="I216" s="98" t="s">
        <v>679</v>
      </c>
      <c r="J216" s="98" t="s">
        <v>680</v>
      </c>
      <c r="K216" s="98" t="s">
        <v>681</v>
      </c>
    </row>
    <row r="217" customFormat="false" ht="54" hidden="false" customHeight="true" outlineLevel="0" collapsed="false">
      <c r="C217" s="98" t="s">
        <v>796</v>
      </c>
      <c r="D217" s="98" t="s">
        <v>676</v>
      </c>
      <c r="E217" s="98" t="n">
        <v>-23.12</v>
      </c>
      <c r="F217" s="98" t="s">
        <v>794</v>
      </c>
      <c r="G217" s="98" t="n">
        <v>24</v>
      </c>
      <c r="H217" s="98" t="s">
        <v>678</v>
      </c>
      <c r="I217" s="98" t="s">
        <v>679</v>
      </c>
      <c r="J217" s="98" t="s">
        <v>680</v>
      </c>
      <c r="K217" s="98" t="s">
        <v>681</v>
      </c>
    </row>
    <row r="218" customFormat="false" ht="54" hidden="false" customHeight="true" outlineLevel="0" collapsed="false">
      <c r="C218" s="98" t="s">
        <v>797</v>
      </c>
      <c r="D218" s="98" t="s">
        <v>676</v>
      </c>
      <c r="E218" s="98" t="n">
        <v>-14.12</v>
      </c>
      <c r="F218" s="98" t="s">
        <v>794</v>
      </c>
      <c r="G218" s="98" t="n">
        <v>24</v>
      </c>
      <c r="H218" s="98" t="s">
        <v>678</v>
      </c>
      <c r="I218" s="98" t="s">
        <v>679</v>
      </c>
      <c r="J218" s="98" t="s">
        <v>680</v>
      </c>
      <c r="K218" s="98" t="s">
        <v>681</v>
      </c>
    </row>
    <row r="219" customFormat="false" ht="54" hidden="false" customHeight="true" outlineLevel="0" collapsed="false">
      <c r="C219" s="98" t="s">
        <v>798</v>
      </c>
      <c r="D219" s="98" t="s">
        <v>676</v>
      </c>
      <c r="E219" s="98" t="n">
        <v>8.13</v>
      </c>
      <c r="F219" s="98" t="s">
        <v>794</v>
      </c>
      <c r="G219" s="98" t="n">
        <v>24</v>
      </c>
      <c r="H219" s="98" t="s">
        <v>678</v>
      </c>
      <c r="I219" s="98" t="s">
        <v>679</v>
      </c>
      <c r="J219" s="98" t="s">
        <v>680</v>
      </c>
      <c r="K219" s="98" t="s">
        <v>681</v>
      </c>
    </row>
    <row r="220" customFormat="false" ht="54" hidden="false" customHeight="true" outlineLevel="0" collapsed="false">
      <c r="C220" s="98" t="s">
        <v>799</v>
      </c>
      <c r="D220" s="98" t="s">
        <v>676</v>
      </c>
      <c r="E220" s="98" t="n">
        <v>-18.32</v>
      </c>
      <c r="F220" s="98" t="s">
        <v>794</v>
      </c>
      <c r="G220" s="98" t="n">
        <v>24</v>
      </c>
      <c r="H220" s="98" t="s">
        <v>678</v>
      </c>
      <c r="I220" s="98" t="s">
        <v>679</v>
      </c>
      <c r="J220" s="98" t="s">
        <v>680</v>
      </c>
      <c r="K220" s="98" t="s">
        <v>681</v>
      </c>
    </row>
    <row r="221" customFormat="false" ht="54" hidden="false" customHeight="true" outlineLevel="0" collapsed="false">
      <c r="C221" s="98" t="s">
        <v>800</v>
      </c>
      <c r="D221" s="98" t="s">
        <v>676</v>
      </c>
      <c r="E221" s="98" t="n">
        <v>-1.13</v>
      </c>
      <c r="F221" s="98" t="s">
        <v>794</v>
      </c>
      <c r="G221" s="98" t="n">
        <v>24</v>
      </c>
      <c r="H221" s="98" t="s">
        <v>678</v>
      </c>
      <c r="I221" s="98" t="s">
        <v>679</v>
      </c>
      <c r="J221" s="98" t="s">
        <v>680</v>
      </c>
      <c r="K221" s="98" t="s">
        <v>681</v>
      </c>
    </row>
    <row r="222" customFormat="false" ht="54" hidden="false" customHeight="true" outlineLevel="0" collapsed="false">
      <c r="C222" s="98" t="s">
        <v>801</v>
      </c>
      <c r="D222" s="98" t="s">
        <v>676</v>
      </c>
      <c r="E222" s="98" t="n">
        <v>2.9</v>
      </c>
      <c r="F222" s="98" t="s">
        <v>794</v>
      </c>
      <c r="G222" s="98" t="n">
        <v>24</v>
      </c>
      <c r="H222" s="98" t="s">
        <v>678</v>
      </c>
      <c r="I222" s="98" t="s">
        <v>679</v>
      </c>
      <c r="J222" s="98" t="s">
        <v>680</v>
      </c>
      <c r="K222" s="98" t="s">
        <v>681</v>
      </c>
    </row>
    <row r="223" customFormat="false" ht="54" hidden="false" customHeight="true" outlineLevel="0" collapsed="false">
      <c r="C223" s="98" t="s">
        <v>802</v>
      </c>
      <c r="D223" s="98" t="s">
        <v>676</v>
      </c>
      <c r="E223" s="98" t="n">
        <v>8.77</v>
      </c>
      <c r="F223" s="98" t="s">
        <v>794</v>
      </c>
      <c r="G223" s="98" t="n">
        <v>24</v>
      </c>
      <c r="H223" s="98" t="s">
        <v>678</v>
      </c>
      <c r="I223" s="98" t="s">
        <v>679</v>
      </c>
      <c r="J223" s="98" t="s">
        <v>680</v>
      </c>
      <c r="K223" s="98" t="s">
        <v>681</v>
      </c>
    </row>
  </sheetData>
  <sheetProtection sheet="1" objects="1" scenarios="1" selectLockedCells="0" selectUnlockedCells="0"/>
  <mergeCells count="2">
    <mergeCell ref="C2:K2"/>
    <mergeCell ref="C3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>
  <sheetPr filterMode="false">
    <pageSetUpPr fitToPage="false"/>
  </sheetPr>
  <dimension ref="C1:K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11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</row>
    <row r="2" customFormat="false" ht="33" hidden="false" customHeight="true" outlineLevel="0" collapsed="false">
      <c r="C2" s="57" t="s">
        <v>803</v>
      </c>
      <c r="D2" s="57"/>
      <c r="E2" s="57"/>
      <c r="F2" s="57"/>
      <c r="G2" s="57"/>
      <c r="H2" s="57"/>
      <c r="I2" s="57"/>
      <c r="J2" s="57"/>
      <c r="K2" s="57"/>
    </row>
    <row r="3" customFormat="false" ht="21" hidden="false" customHeight="true" outlineLevel="0" collapsed="false">
      <c r="C3" s="58" t="s">
        <v>82</v>
      </c>
      <c r="D3" s="58"/>
      <c r="E3" s="58"/>
      <c r="F3" s="58"/>
      <c r="G3" s="58"/>
      <c r="H3" s="58"/>
      <c r="I3" s="58"/>
      <c r="J3" s="58"/>
      <c r="K3" s="58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</row>
    <row r="6" customFormat="false" ht="21" hidden="false" customHeight="true" outlineLevel="0" collapsed="false">
      <c r="C6" s="56"/>
      <c r="D6" s="56"/>
      <c r="E6" s="56"/>
      <c r="F6" s="56"/>
      <c r="G6" s="56"/>
      <c r="H6" s="56"/>
      <c r="I6" s="56"/>
      <c r="J6" s="56"/>
      <c r="K6" s="56"/>
    </row>
    <row r="7" customFormat="false" ht="21" hidden="false" customHeight="true" outlineLevel="0" collapsed="false">
      <c r="C7" s="56" t="s">
        <v>804</v>
      </c>
      <c r="D7" s="56" t="s">
        <v>805</v>
      </c>
      <c r="E7" s="56" t="s">
        <v>806</v>
      </c>
      <c r="F7" s="56" t="s">
        <v>807</v>
      </c>
      <c r="G7" s="56" t="s">
        <v>808</v>
      </c>
      <c r="H7" s="56" t="s">
        <v>809</v>
      </c>
      <c r="I7" s="56"/>
      <c r="J7" s="56"/>
      <c r="K7" s="56"/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</row>
    <row r="9" customFormat="false" ht="21" hidden="false" customHeight="true" outlineLevel="0" collapsed="false">
      <c r="C9" s="56" t="s">
        <v>810</v>
      </c>
      <c r="D9" s="59" t="n">
        <f aca="false">(SourceDetail!E205/1000000)</f>
        <v>7076.55127531</v>
      </c>
      <c r="E9" s="59"/>
      <c r="F9" s="59" t="s">
        <v>811</v>
      </c>
      <c r="G9" s="59" t="s">
        <v>812</v>
      </c>
      <c r="H9" s="59"/>
      <c r="I9" s="59"/>
      <c r="J9" s="59"/>
      <c r="K9" s="59"/>
    </row>
    <row r="10" customFormat="false" ht="21" hidden="false" customHeight="true" outlineLevel="0" collapsed="false">
      <c r="C10" s="56" t="s">
        <v>813</v>
      </c>
      <c r="D10" s="59" t="n">
        <f aca="false">(SourceDetail!E206/1000000)</f>
        <v>4166.70400171</v>
      </c>
      <c r="E10" s="59"/>
      <c r="F10" s="59" t="s">
        <v>811</v>
      </c>
      <c r="G10" s="59" t="s">
        <v>812</v>
      </c>
      <c r="H10" s="59"/>
      <c r="I10" s="59"/>
      <c r="J10" s="59"/>
      <c r="K10" s="59"/>
    </row>
    <row r="11" customFormat="false" ht="21" hidden="false" customHeight="true" outlineLevel="0" collapsed="false">
      <c r="C11" s="56" t="s">
        <v>814</v>
      </c>
      <c r="D11" s="59" t="n">
        <f aca="false">(SourceDetail!E189/0.0001)</f>
        <v>579181500</v>
      </c>
      <c r="E11" s="59"/>
      <c r="F11" s="59" t="s">
        <v>815</v>
      </c>
      <c r="G11" s="59" t="s">
        <v>816</v>
      </c>
      <c r="H11" s="59"/>
      <c r="I11" s="59"/>
      <c r="J11" s="59"/>
      <c r="K11" s="59"/>
    </row>
    <row r="12" customFormat="false" ht="21" hidden="false" customHeight="true" outlineLevel="0" collapsed="false">
      <c r="C12" s="56" t="s">
        <v>817</v>
      </c>
      <c r="D12" s="59" t="n">
        <f aca="false">(SourceDetail!E190/0.0001)</f>
        <v>34262900</v>
      </c>
      <c r="E12" s="59"/>
      <c r="F12" s="59" t="s">
        <v>815</v>
      </c>
      <c r="G12" s="59" t="s">
        <v>818</v>
      </c>
      <c r="H12" s="59"/>
      <c r="I12" s="59"/>
      <c r="J12" s="59"/>
      <c r="K12" s="59"/>
    </row>
    <row r="13" customFormat="false" ht="21" hidden="false" customHeight="true" outlineLevel="0" collapsed="false">
      <c r="C13" s="56" t="s">
        <v>819</v>
      </c>
      <c r="D13" s="59" t="n">
        <f aca="false">SourceAnalysis!D9*1000000/SourceAnalysis!D11</f>
        <v>12.2181928727178</v>
      </c>
      <c r="E13" s="59"/>
      <c r="F13" s="59" t="s">
        <v>820</v>
      </c>
      <c r="G13" s="59" t="s">
        <v>821</v>
      </c>
      <c r="H13" s="59"/>
      <c r="I13" s="59"/>
      <c r="J13" s="59"/>
      <c r="K13" s="59"/>
    </row>
    <row r="14" customFormat="false" ht="21" hidden="false" customHeight="true" outlineLevel="0" collapsed="false">
      <c r="C14" s="56" t="s">
        <v>822</v>
      </c>
      <c r="D14" s="59" t="n">
        <f aca="false">(SourceDetail!E207/1000000)</f>
        <v>8097.77871242</v>
      </c>
      <c r="E14" s="59"/>
      <c r="F14" s="59" t="s">
        <v>811</v>
      </c>
      <c r="G14" s="59" t="s">
        <v>812</v>
      </c>
      <c r="H14" s="59"/>
      <c r="I14" s="59"/>
      <c r="J14" s="59"/>
      <c r="K14" s="59"/>
    </row>
    <row r="15" customFormat="false" ht="21" hidden="false" customHeight="true" outlineLevel="0" collapsed="false">
      <c r="C15" s="56" t="s">
        <v>823</v>
      </c>
      <c r="D15" s="59" t="n">
        <f aca="false">(SourceDetail!E208/1000000)</f>
        <v>4349.32910514</v>
      </c>
      <c r="E15" s="59"/>
      <c r="F15" s="59" t="s">
        <v>811</v>
      </c>
      <c r="G15" s="59" t="s">
        <v>812</v>
      </c>
      <c r="H15" s="59"/>
      <c r="I15" s="59"/>
      <c r="J15" s="59"/>
      <c r="K15" s="59"/>
    </row>
    <row r="16" customFormat="false" ht="21" hidden="false" customHeight="true" outlineLevel="0" collapsed="false">
      <c r="C16" s="56" t="s">
        <v>824</v>
      </c>
      <c r="D16" s="59" t="n">
        <f aca="false">(SourceDetail!E192/0.0001)</f>
        <v>1051158400</v>
      </c>
      <c r="E16" s="59"/>
      <c r="F16" s="59" t="s">
        <v>815</v>
      </c>
      <c r="G16" s="59" t="s">
        <v>816</v>
      </c>
      <c r="H16" s="59"/>
      <c r="I16" s="59"/>
      <c r="J16" s="59"/>
      <c r="K16" s="59"/>
    </row>
    <row r="17" customFormat="false" ht="21" hidden="false" customHeight="true" outlineLevel="0" collapsed="false">
      <c r="C17" s="56" t="s">
        <v>825</v>
      </c>
      <c r="D17" s="59" t="n">
        <f aca="false">(SourceDetail!E193/0.0001)</f>
        <v>69896800</v>
      </c>
      <c r="E17" s="59"/>
      <c r="F17" s="59" t="s">
        <v>815</v>
      </c>
      <c r="G17" s="59" t="s">
        <v>818</v>
      </c>
      <c r="H17" s="59"/>
      <c r="I17" s="59"/>
      <c r="J17" s="59"/>
      <c r="K17" s="59"/>
    </row>
    <row r="18" customFormat="false" ht="21" hidden="false" customHeight="true" outlineLevel="0" collapsed="false">
      <c r="C18" s="56" t="s">
        <v>826</v>
      </c>
      <c r="D18" s="59" t="n">
        <f aca="false">SourceAnalysis!D14*1000000/SourceAnalysis!D16</f>
        <v>7.70367121874306</v>
      </c>
      <c r="E18" s="59"/>
      <c r="F18" s="59" t="s">
        <v>820</v>
      </c>
      <c r="G18" s="59" t="s">
        <v>821</v>
      </c>
      <c r="H18" s="59"/>
      <c r="I18" s="59"/>
      <c r="J18" s="59"/>
      <c r="K18" s="59"/>
    </row>
    <row r="19" customFormat="false" ht="21" hidden="false" customHeight="true" outlineLevel="0" collapsed="false">
      <c r="C19" s="56" t="s">
        <v>827</v>
      </c>
      <c r="D19" s="59" t="n">
        <f aca="false">(SourceDetail!E209/1000000)</f>
        <v>821.82495431</v>
      </c>
      <c r="E19" s="59"/>
      <c r="F19" s="59" t="s">
        <v>811</v>
      </c>
      <c r="G19" s="59" t="s">
        <v>812</v>
      </c>
      <c r="H19" s="59"/>
      <c r="I19" s="59"/>
      <c r="J19" s="59"/>
      <c r="K19" s="59"/>
    </row>
    <row r="20" customFormat="false" ht="21" hidden="false" customHeight="true" outlineLevel="0" collapsed="false">
      <c r="C20" s="56" t="s">
        <v>828</v>
      </c>
      <c r="D20" s="59" t="n">
        <f aca="false">(SourceDetail!E210/1000000)</f>
        <v>579.00838077</v>
      </c>
      <c r="E20" s="59"/>
      <c r="F20" s="59" t="s">
        <v>811</v>
      </c>
      <c r="G20" s="59" t="s">
        <v>812</v>
      </c>
      <c r="H20" s="59"/>
      <c r="I20" s="59"/>
      <c r="J20" s="59"/>
      <c r="K20" s="59"/>
    </row>
    <row r="21" customFormat="false" ht="21" hidden="false" customHeight="true" outlineLevel="0" collapsed="false">
      <c r="C21" s="56" t="s">
        <v>829</v>
      </c>
      <c r="D21" s="59" t="n">
        <f aca="false">(SourceDetail!E195/0.0001)</f>
        <v>1296900</v>
      </c>
      <c r="E21" s="59"/>
      <c r="F21" s="59" t="s">
        <v>815</v>
      </c>
      <c r="G21" s="59" t="s">
        <v>816</v>
      </c>
      <c r="H21" s="59"/>
      <c r="I21" s="59"/>
      <c r="J21" s="59"/>
      <c r="K21" s="59"/>
    </row>
    <row r="22" customFormat="false" ht="21" hidden="false" customHeight="true" outlineLevel="0" collapsed="false">
      <c r="C22" s="56" t="s">
        <v>830</v>
      </c>
      <c r="D22" s="59" t="n">
        <f aca="false">(SourceDetail!E196/0.0001)</f>
        <v>160000</v>
      </c>
      <c r="E22" s="59"/>
      <c r="F22" s="59" t="s">
        <v>815</v>
      </c>
      <c r="G22" s="59" t="s">
        <v>818</v>
      </c>
      <c r="H22" s="59"/>
      <c r="I22" s="59"/>
      <c r="J22" s="59"/>
      <c r="K22" s="59"/>
    </row>
    <row r="23" customFormat="false" ht="21" hidden="false" customHeight="true" outlineLevel="0" collapsed="false">
      <c r="C23" s="56" t="s">
        <v>831</v>
      </c>
      <c r="D23" s="59" t="n">
        <f aca="false">SourceAnalysis!D19*1000000/SourceAnalysis!D21</f>
        <v>633.684134713548</v>
      </c>
      <c r="E23" s="59"/>
      <c r="F23" s="59" t="s">
        <v>820</v>
      </c>
      <c r="G23" s="59" t="s">
        <v>821</v>
      </c>
      <c r="H23" s="59"/>
      <c r="I23" s="59"/>
      <c r="J23" s="59"/>
      <c r="K23" s="59"/>
    </row>
    <row r="24" customFormat="false" ht="21" hidden="false" customHeight="true" outlineLevel="0" collapsed="false">
      <c r="C24" s="56" t="s">
        <v>832</v>
      </c>
      <c r="D24" s="59" t="n">
        <f aca="false">SourceAnalysis!D9+SourceAnalysis!D14+SourceAnalysis!D19</f>
        <v>15996.15494204</v>
      </c>
      <c r="E24" s="59"/>
      <c r="F24" s="59" t="s">
        <v>811</v>
      </c>
      <c r="G24" s="59" t="s">
        <v>833</v>
      </c>
      <c r="H24" s="59"/>
      <c r="I24" s="59"/>
      <c r="J24" s="59"/>
      <c r="K24" s="59"/>
    </row>
    <row r="25" customFormat="false" ht="21" hidden="false" customHeight="true" outlineLevel="0" collapsed="false">
      <c r="C25" s="56" t="s">
        <v>834</v>
      </c>
      <c r="D25" s="59" t="n">
        <f aca="false">(SourceDetail!E74/1000000)/(SourceDetail!E80/1000000)</f>
        <v>0.828484495998906</v>
      </c>
      <c r="E25" s="59"/>
      <c r="F25" s="59" t="s">
        <v>835</v>
      </c>
      <c r="G25" s="59" t="s">
        <v>836</v>
      </c>
      <c r="H25" s="59"/>
      <c r="I25" s="59"/>
      <c r="J25" s="59"/>
      <c r="K25" s="59"/>
    </row>
    <row r="26" customFormat="false" ht="21" hidden="false" customHeight="true" outlineLevel="0" collapsed="false">
      <c r="C26" s="56" t="s">
        <v>837</v>
      </c>
      <c r="D26" s="59" t="n">
        <f aca="false">(SourceDetail!E28/1000000)/SourceHistory!F23</f>
        <v>0.329911959587084</v>
      </c>
      <c r="E26" s="59"/>
      <c r="F26" s="59" t="s">
        <v>835</v>
      </c>
      <c r="G26" s="59" t="s">
        <v>838</v>
      </c>
      <c r="H26" s="59"/>
      <c r="I26" s="59"/>
      <c r="J26" s="59"/>
      <c r="K26" s="59"/>
    </row>
    <row r="27" customFormat="false" ht="21" hidden="false" customHeight="true" outlineLevel="0" collapsed="false">
      <c r="C27" s="56" t="s">
        <v>839</v>
      </c>
      <c r="D27" s="59" t="n">
        <f aca="false">(SourceDetail!E50/1000000)/SourceHistory!F23</f>
        <v>0.0457087659080324</v>
      </c>
      <c r="E27" s="59"/>
      <c r="F27" s="59" t="s">
        <v>835</v>
      </c>
      <c r="G27" s="59" t="s">
        <v>840</v>
      </c>
      <c r="H27" s="59"/>
      <c r="I27" s="59"/>
      <c r="J27" s="59"/>
      <c r="K27" s="59"/>
    </row>
    <row r="28" customFormat="false" ht="21" hidden="false" customHeight="true" outlineLevel="0" collapsed="false">
      <c r="C28" s="56" t="s">
        <v>841</v>
      </c>
      <c r="D28" s="59" t="n">
        <f aca="false">1-SourceAnalysis!D26-SourceAnalysis!D27</f>
        <v>0.624379274504884</v>
      </c>
      <c r="E28" s="59"/>
      <c r="F28" s="59" t="s">
        <v>835</v>
      </c>
      <c r="G28" s="59" t="s">
        <v>842</v>
      </c>
      <c r="H28" s="59"/>
      <c r="I28" s="59"/>
      <c r="J28" s="59"/>
      <c r="K28" s="59"/>
    </row>
    <row r="29" customFormat="false" ht="21" hidden="false" customHeight="true" outlineLevel="0" collapsed="false">
      <c r="C29" s="56" t="s">
        <v>843</v>
      </c>
      <c r="D29" s="59" t="n">
        <f aca="false">(SourceDetail!E78/1000000)-SourceHistory!F23*SourceAnalysis!D28</f>
        <v>805.33531648</v>
      </c>
      <c r="E29" s="59"/>
      <c r="F29" s="59" t="s">
        <v>811</v>
      </c>
      <c r="G29" s="59" t="s">
        <v>844</v>
      </c>
      <c r="H29" s="59"/>
      <c r="I29" s="59"/>
      <c r="J29" s="59"/>
      <c r="K29" s="59"/>
    </row>
    <row r="30" customFormat="false" ht="21" hidden="false" customHeight="true" outlineLevel="0" collapsed="false">
      <c r="C30" s="56" t="s">
        <v>845</v>
      </c>
      <c r="D30" s="59" t="n">
        <f aca="false">(SourceDetail!E90/1000000)+(SourceDetail!E92/1000000)+(SourceDetail!E98/1000000)+(SourceDetail!E100/1000000)+(SourceDetail!E102/1000000)+(SourceDetail!E104/1000000)+(SourceDetail!E106/1000000)-SourceHistory!F34</f>
        <v>0</v>
      </c>
      <c r="E30" s="59"/>
      <c r="F30" s="59" t="s">
        <v>846</v>
      </c>
      <c r="G30" s="59" t="s">
        <v>847</v>
      </c>
      <c r="H30" s="59"/>
      <c r="I30" s="59"/>
      <c r="J30" s="59"/>
      <c r="K30" s="59"/>
    </row>
    <row r="31" customFormat="false" ht="21" hidden="false" customHeight="true" outlineLevel="0" collapsed="false">
      <c r="C31" s="56" t="s">
        <v>848</v>
      </c>
      <c r="D31" s="59" t="n">
        <f aca="false">(SourceDetail!E211/1000000)+(SourceDetail!E213/1000000)-SourceAnalysis!D24</f>
        <v>0</v>
      </c>
      <c r="E31" s="59"/>
      <c r="F31" s="59" t="s">
        <v>846</v>
      </c>
      <c r="G31" s="59" t="s">
        <v>849</v>
      </c>
      <c r="H31" s="59"/>
      <c r="I31" s="59"/>
      <c r="J31" s="59"/>
      <c r="K31" s="59"/>
    </row>
    <row r="32" customFormat="false" ht="21" hidden="false" customHeight="true" outlineLevel="0" collapsed="false">
      <c r="C32" s="56" t="s">
        <v>850</v>
      </c>
      <c r="D32" s="59" t="n">
        <f aca="false">(SourceDetail!E74/1000000)+(SourceDetail!E76/1000000)+(SourceDetail!E78/1000000)-(SourceDetail!E80/1000000)</f>
        <v>0</v>
      </c>
      <c r="E32" s="59"/>
      <c r="F32" s="59" t="s">
        <v>846</v>
      </c>
      <c r="G32" s="59" t="s">
        <v>851</v>
      </c>
      <c r="H32" s="59"/>
      <c r="I32" s="59"/>
      <c r="J32" s="59"/>
      <c r="K32" s="59"/>
    </row>
    <row r="33" customFormat="false" ht="21" hidden="false" customHeight="true" outlineLevel="0" collapsed="false">
      <c r="C33" s="56"/>
      <c r="D33" s="59"/>
      <c r="E33" s="59"/>
      <c r="F33" s="59"/>
      <c r="G33" s="59"/>
      <c r="H33" s="59"/>
      <c r="I33" s="59"/>
      <c r="J33" s="59"/>
      <c r="K33" s="59"/>
    </row>
    <row r="34" customFormat="false" ht="21" hidden="false" customHeight="true" outlineLevel="0" collapsed="false">
      <c r="C34" s="56"/>
      <c r="D34" s="59"/>
      <c r="E34" s="59"/>
      <c r="F34" s="59"/>
      <c r="G34" s="59"/>
      <c r="H34" s="59"/>
      <c r="I34" s="59"/>
      <c r="J34" s="59"/>
      <c r="K34" s="59"/>
    </row>
    <row r="35" customFormat="false" ht="21" hidden="false" customHeight="true" outlineLevel="0" collapsed="false">
      <c r="C35" s="56"/>
      <c r="D35" s="59"/>
      <c r="E35" s="59"/>
      <c r="F35" s="59"/>
      <c r="G35" s="59"/>
      <c r="H35" s="59"/>
      <c r="I35" s="59"/>
      <c r="J35" s="59"/>
      <c r="K35" s="59"/>
    </row>
    <row r="36" customFormat="false" ht="21" hidden="false" customHeight="true" outlineLevel="0" collapsed="false">
      <c r="C36" s="56" t="s">
        <v>852</v>
      </c>
      <c r="D36" s="59" t="n">
        <f aca="false">IF(AND(SourceAnalysis!D25&gt;=0,SourceAnalysis!D25&lt;=1),0,1)</f>
        <v>0</v>
      </c>
      <c r="E36" s="59"/>
      <c r="F36" s="59"/>
      <c r="G36" s="59"/>
      <c r="H36" s="59"/>
      <c r="I36" s="59"/>
      <c r="J36" s="59"/>
      <c r="K36" s="59"/>
    </row>
    <row r="37" customFormat="false" ht="21" hidden="false" customHeight="true" outlineLevel="0" collapsed="false">
      <c r="C37" s="56" t="s">
        <v>853</v>
      </c>
      <c r="D37" s="59" t="n">
        <f aca="false">(SourceDetail!E74/1000000)+(SourceDetail!E76/1000000)+SourceAnalysis!D29+SourceHistory!F23*SourceAnalysis!D28-(SourceDetail!E80/1000000)</f>
        <v>0</v>
      </c>
      <c r="E37" s="59"/>
      <c r="F37" s="59"/>
      <c r="G37" s="59"/>
      <c r="H37" s="59"/>
      <c r="I37" s="59"/>
      <c r="J37" s="59"/>
      <c r="K37" s="59"/>
    </row>
    <row r="38" customFormat="false" ht="21" hidden="false" customHeight="true" outlineLevel="0" collapsed="false">
      <c r="C38" s="56" t="s">
        <v>854</v>
      </c>
      <c r="D38" s="59" t="n">
        <f aca="false">SUM(Revenue!D40:I40)-SourceHistory!F65</f>
        <v>0</v>
      </c>
      <c r="E38" s="59"/>
      <c r="F38" s="59"/>
      <c r="G38" s="59"/>
      <c r="H38" s="59"/>
      <c r="I38" s="59"/>
      <c r="J38" s="59"/>
      <c r="K38" s="59"/>
    </row>
    <row r="39" customFormat="false" ht="21" hidden="false" customHeight="true" outlineLevel="0" collapsed="false">
      <c r="C39" s="56"/>
      <c r="D39" s="59"/>
      <c r="E39" s="59"/>
      <c r="F39" s="59"/>
      <c r="G39" s="59"/>
      <c r="H39" s="59"/>
      <c r="I39" s="59"/>
      <c r="J39" s="59"/>
      <c r="K39" s="59"/>
    </row>
    <row r="40" customFormat="false" ht="21" hidden="false" customHeight="true" outlineLevel="0" collapsed="false">
      <c r="C40" s="56"/>
      <c r="D40" s="59"/>
      <c r="E40" s="59"/>
      <c r="F40" s="59"/>
      <c r="G40" s="59"/>
      <c r="H40" s="59"/>
      <c r="I40" s="59"/>
      <c r="J40" s="59"/>
      <c r="K40" s="59"/>
    </row>
    <row r="41" customFormat="false" ht="21" hidden="false" customHeight="true" outlineLevel="0" collapsed="false">
      <c r="C41" s="56"/>
      <c r="D41" s="59"/>
      <c r="E41" s="59"/>
      <c r="F41" s="59"/>
      <c r="G41" s="59"/>
      <c r="H41" s="59"/>
      <c r="I41" s="59"/>
      <c r="J41" s="59"/>
      <c r="K41" s="59"/>
    </row>
    <row r="42" customFormat="false" ht="25" hidden="false" customHeight="true" outlineLevel="0" collapsed="false">
      <c r="C42" s="63" t="s">
        <v>855</v>
      </c>
      <c r="D42" s="64"/>
      <c r="E42" s="64"/>
      <c r="F42" s="64"/>
      <c r="G42" s="64"/>
      <c r="H42" s="64"/>
      <c r="I42" s="64"/>
      <c r="J42" s="59"/>
      <c r="K42" s="59"/>
    </row>
    <row r="43" customFormat="false" ht="21" hidden="false" customHeight="true" outlineLevel="0" collapsed="false">
      <c r="C43" s="56" t="s">
        <v>856</v>
      </c>
      <c r="D43" s="59" t="s">
        <v>857</v>
      </c>
      <c r="E43" s="59" t="s">
        <v>805</v>
      </c>
      <c r="F43" s="59" t="s">
        <v>2</v>
      </c>
      <c r="G43" s="59" t="s">
        <v>3</v>
      </c>
      <c r="H43" s="59" t="s">
        <v>4</v>
      </c>
      <c r="I43" s="59"/>
      <c r="J43" s="59"/>
      <c r="K43" s="59"/>
    </row>
    <row r="44" customFormat="false" ht="21" hidden="false" customHeight="true" outlineLevel="0" collapsed="false">
      <c r="C44" s="56" t="s">
        <v>276</v>
      </c>
      <c r="D44" s="59" t="n">
        <v>593.98744321</v>
      </c>
      <c r="E44" s="59" t="n">
        <v>547.22912876</v>
      </c>
      <c r="F44" s="59" t="n">
        <f aca="false">SUM(ExpenseDetail!D10:O10)</f>
        <v>277.923392020715</v>
      </c>
      <c r="G44" s="59" t="n">
        <f aca="false">SUM(ExpenseDetail!P10:AA10)</f>
        <v>584.837033029142</v>
      </c>
      <c r="H44" s="59" t="n">
        <f aca="false">SUM(ExpenseDetail!AB10:AM10)</f>
        <v>606.189375536415</v>
      </c>
      <c r="I44" s="59"/>
      <c r="J44" s="59"/>
      <c r="K44" s="59"/>
    </row>
    <row r="45" customFormat="false" ht="21" hidden="false" customHeight="true" outlineLevel="0" collapsed="false">
      <c r="C45" s="56" t="s">
        <v>277</v>
      </c>
      <c r="D45" s="59" t="n">
        <v>432.45173767</v>
      </c>
      <c r="E45" s="59" t="n">
        <v>434.57576257</v>
      </c>
      <c r="F45" s="59" t="n">
        <f aca="false">SUM(ExpenseDetail!D11:O11)</f>
        <v>223.80651772355</v>
      </c>
      <c r="G45" s="59" t="n">
        <f aca="false">SUM(ExpenseDetail!P11:AA11)</f>
        <v>461.041426510513</v>
      </c>
      <c r="H45" s="59" t="n">
        <f aca="false">SUM(ExpenseDetail!AB11:AM11)</f>
        <v>474.872669305829</v>
      </c>
      <c r="I45" s="59"/>
      <c r="J45" s="59"/>
      <c r="K45" s="59"/>
    </row>
    <row r="46" customFormat="false" ht="21" hidden="false" customHeight="true" outlineLevel="0" collapsed="false">
      <c r="C46" s="56" t="s">
        <v>278</v>
      </c>
      <c r="D46" s="59" t="n">
        <v>161.38533995</v>
      </c>
      <c r="E46" s="59" t="n">
        <v>77.11802887</v>
      </c>
      <c r="F46" s="59" t="n">
        <f aca="false">SUM(ExpenseDetail!D12:O12)</f>
        <v>39.3301947237</v>
      </c>
      <c r="G46" s="59" t="n">
        <f aca="false">SUM(ExpenseDetail!P12:AA12)</f>
        <v>80.233597236348</v>
      </c>
      <c r="H46" s="59" t="n">
        <f aca="false">SUM(ExpenseDetail!AB12:AM12)</f>
        <v>81.838269181075</v>
      </c>
      <c r="I46" s="59"/>
      <c r="J46" s="59"/>
      <c r="K46" s="59"/>
    </row>
    <row r="47" customFormat="false" ht="21" hidden="false" customHeight="true" outlineLevel="0" collapsed="false">
      <c r="C47" s="56" t="s">
        <v>279</v>
      </c>
      <c r="D47" s="59" t="n">
        <v>98.27643872</v>
      </c>
      <c r="E47" s="59" t="n">
        <v>56.79726478</v>
      </c>
      <c r="F47" s="59" t="n">
        <f aca="false">SUM(ExpenseDetail!D13:O13)</f>
        <v>28.39863239</v>
      </c>
      <c r="G47" s="59" t="n">
        <f aca="false">SUM(ExpenseDetail!P13:AA13)</f>
        <v>56.79726478</v>
      </c>
      <c r="H47" s="59" t="n">
        <f aca="false">SUM(ExpenseDetail!AB13:AM13)</f>
        <v>56.79726478</v>
      </c>
      <c r="I47" s="59"/>
      <c r="J47" s="59"/>
      <c r="K47" s="59"/>
    </row>
    <row r="48" customFormat="false" ht="21" hidden="false" customHeight="true" outlineLevel="0" collapsed="false">
      <c r="C48" s="56" t="s">
        <v>280</v>
      </c>
      <c r="D48" s="59" t="n">
        <v>73.88345497</v>
      </c>
      <c r="E48" s="59" t="n">
        <v>60.6904054</v>
      </c>
      <c r="F48" s="59" t="n">
        <f aca="false">SUM(ExpenseDetail!D14:O14)</f>
        <v>30.3452027</v>
      </c>
      <c r="G48" s="59" t="n">
        <f aca="false">SUM(ExpenseDetail!P14:AA14)</f>
        <v>60.6904054</v>
      </c>
      <c r="H48" s="59" t="n">
        <f aca="false">SUM(ExpenseDetail!AB14:AM14)</f>
        <v>60.6904054</v>
      </c>
      <c r="I48" s="59"/>
      <c r="J48" s="59"/>
      <c r="K48" s="59"/>
    </row>
    <row r="49" customFormat="false" ht="21" hidden="false" customHeight="true" outlineLevel="0" collapsed="false">
      <c r="C49" s="56" t="s">
        <v>281</v>
      </c>
      <c r="D49" s="59" t="n">
        <v>2.29783711</v>
      </c>
      <c r="E49" s="59" t="n">
        <v>1.93308813</v>
      </c>
      <c r="F49" s="59" t="n">
        <f aca="false">SUM(ExpenseDetail!D15:O15)</f>
        <v>0.9858749463</v>
      </c>
      <c r="G49" s="59" t="n">
        <f aca="false">SUM(ExpenseDetail!P15:AA15)</f>
        <v>2.011184890452</v>
      </c>
      <c r="H49" s="59" t="n">
        <f aca="false">SUM(ExpenseDetail!AB15:AM15)</f>
        <v>2.05140858826104</v>
      </c>
      <c r="I49" s="59"/>
      <c r="J49" s="59"/>
      <c r="K49" s="59"/>
    </row>
    <row r="50" customFormat="false" ht="21" hidden="false" customHeight="true" outlineLevel="0" collapsed="false">
      <c r="C50" s="56" t="s">
        <v>282</v>
      </c>
      <c r="D50" s="59" t="n">
        <v>7.1326813</v>
      </c>
      <c r="E50" s="59" t="n">
        <v>5.13493509</v>
      </c>
      <c r="F50" s="59" t="n">
        <f aca="false">SUM(ExpenseDetail!D16:O16)</f>
        <v>2.6188168959</v>
      </c>
      <c r="G50" s="59" t="n">
        <f aca="false">SUM(ExpenseDetail!P16:AA16)</f>
        <v>5.342386467636</v>
      </c>
      <c r="H50" s="59" t="n">
        <f aca="false">SUM(ExpenseDetail!AB16:AM16)</f>
        <v>5.44923419698872</v>
      </c>
      <c r="I50" s="59"/>
      <c r="J50" s="59"/>
      <c r="K50" s="59"/>
    </row>
    <row r="51" customFormat="false" ht="21" hidden="false" customHeight="true" outlineLevel="0" collapsed="false">
      <c r="C51" s="56" t="s">
        <v>285</v>
      </c>
      <c r="D51" s="59" t="n">
        <v>381.88804085</v>
      </c>
      <c r="E51" s="59" t="n">
        <v>428.84639073</v>
      </c>
      <c r="F51" s="59" t="n">
        <f aca="false">SUM(ExpenseDetail!D21:O21)</f>
        <v>220.85589122595</v>
      </c>
      <c r="G51" s="59" t="n">
        <f aca="false">SUM(ExpenseDetail!P21:AA21)</f>
        <v>454.963135925457</v>
      </c>
      <c r="H51" s="59" t="n">
        <f aca="false">SUM(ExpenseDetail!AB21:AM21)</f>
        <v>468.612030003221</v>
      </c>
      <c r="I51" s="59"/>
      <c r="J51" s="59"/>
      <c r="K51" s="59"/>
    </row>
    <row r="52" customFormat="false" ht="21" hidden="false" customHeight="true" outlineLevel="0" collapsed="false">
      <c r="C52" s="56" t="s">
        <v>286</v>
      </c>
      <c r="D52" s="59" t="n">
        <v>122.9731779</v>
      </c>
      <c r="E52" s="59" t="n">
        <v>45.20455727</v>
      </c>
      <c r="F52" s="59" t="n">
        <f aca="false">SUM(ExpenseDetail!D22:O22)</f>
        <v>22.602278635</v>
      </c>
      <c r="G52" s="59" t="n">
        <f aca="false">SUM(ExpenseDetail!P22:AA22)</f>
        <v>45.20455727</v>
      </c>
      <c r="H52" s="59" t="n">
        <f aca="false">SUM(ExpenseDetail!AB22:AM22)</f>
        <v>45.20455727</v>
      </c>
      <c r="I52" s="59"/>
      <c r="J52" s="59"/>
      <c r="K52" s="59"/>
    </row>
    <row r="53" customFormat="false" ht="21" hidden="false" customHeight="true" outlineLevel="0" collapsed="false">
      <c r="C53" s="56" t="s">
        <v>287</v>
      </c>
      <c r="D53" s="59" t="n">
        <v>67.04966272</v>
      </c>
      <c r="E53" s="59" t="n">
        <v>109.31269887</v>
      </c>
      <c r="F53" s="59" t="n">
        <f aca="false">SUM(ExpenseDetail!D23:O23)</f>
        <v>53.2643955083212</v>
      </c>
      <c r="G53" s="59" t="n">
        <f aca="false">SUM(ExpenseDetail!P23:AA23)</f>
        <v>112.625296722052</v>
      </c>
      <c r="H53" s="59" t="n">
        <f aca="false">SUM(ExpenseDetail!AB23:AM23)</f>
        <v>120.069429866245</v>
      </c>
      <c r="I53" s="59"/>
      <c r="J53" s="59"/>
      <c r="K53" s="59"/>
    </row>
    <row r="54" customFormat="false" ht="21" hidden="false" customHeight="true" outlineLevel="0" collapsed="false">
      <c r="C54" s="56" t="s">
        <v>288</v>
      </c>
      <c r="D54" s="59" t="n">
        <v>70.47291415</v>
      </c>
      <c r="E54" s="59" t="n">
        <v>65.252341</v>
      </c>
      <c r="F54" s="59" t="n">
        <f aca="false">SUM(ExpenseDetail!D24:O24)</f>
        <v>32.6261705</v>
      </c>
      <c r="G54" s="59" t="n">
        <f aca="false">SUM(ExpenseDetail!P24:AA24)</f>
        <v>65.252341</v>
      </c>
      <c r="H54" s="59" t="n">
        <f aca="false">SUM(ExpenseDetail!AB24:AM24)</f>
        <v>65.252341</v>
      </c>
      <c r="I54" s="59"/>
      <c r="J54" s="59"/>
      <c r="K54" s="59"/>
    </row>
    <row r="55" customFormat="false" ht="21" hidden="false" customHeight="true" outlineLevel="0" collapsed="false">
      <c r="C55" s="56" t="s">
        <v>289</v>
      </c>
      <c r="D55" s="59" t="n">
        <v>19.52700047</v>
      </c>
      <c r="E55" s="59" t="n">
        <v>20.3121394</v>
      </c>
      <c r="F55" s="59" t="n">
        <f aca="false">SUM(ExpenseDetail!D25:O25)</f>
        <v>10.359191094</v>
      </c>
      <c r="G55" s="59" t="n">
        <f aca="false">SUM(ExpenseDetail!P25:AA25)</f>
        <v>21.13274983176</v>
      </c>
      <c r="H55" s="59" t="n">
        <f aca="false">SUM(ExpenseDetail!AB25:AM25)</f>
        <v>21.5554048283952</v>
      </c>
      <c r="I55" s="59"/>
      <c r="J55" s="59"/>
      <c r="K55" s="59"/>
    </row>
    <row r="56" customFormat="false" ht="21" hidden="false" customHeight="true" outlineLevel="0" collapsed="false">
      <c r="C56" s="56" t="s">
        <v>290</v>
      </c>
      <c r="D56" s="59" t="n">
        <v>10.81235519</v>
      </c>
      <c r="E56" s="59" t="s">
        <v>858</v>
      </c>
      <c r="F56" s="59" t="n">
        <f aca="false">SUM(ExpenseDetail!D26:O26)</f>
        <v>0</v>
      </c>
      <c r="G56" s="59" t="n">
        <f aca="false">SUM(ExpenseDetail!P26:AA26)</f>
        <v>0</v>
      </c>
      <c r="H56" s="59" t="n">
        <f aca="false">SUM(ExpenseDetail!AB26:AM26)</f>
        <v>0</v>
      </c>
      <c r="I56" s="59"/>
      <c r="J56" s="59"/>
      <c r="K56" s="59"/>
    </row>
    <row r="57" customFormat="false" ht="21" hidden="false" customHeight="true" outlineLevel="0" collapsed="false">
      <c r="C57" s="56" t="s">
        <v>291</v>
      </c>
      <c r="D57" s="59" t="n">
        <v>35.10629423</v>
      </c>
      <c r="E57" s="59" t="n">
        <v>26.74795673</v>
      </c>
      <c r="F57" s="59" t="n">
        <f aca="false">SUM(ExpenseDetail!D27:O27)</f>
        <v>13.6414579323</v>
      </c>
      <c r="G57" s="59" t="n">
        <f aca="false">SUM(ExpenseDetail!P27:AA27)</f>
        <v>27.828574181892</v>
      </c>
      <c r="H57" s="59" t="n">
        <f aca="false">SUM(ExpenseDetail!AB27:AM27)</f>
        <v>28.3851456655298</v>
      </c>
      <c r="I57" s="59"/>
      <c r="J57" s="59"/>
      <c r="K57" s="59"/>
    </row>
    <row r="58" customFormat="false" ht="21" hidden="false" customHeight="true" outlineLevel="0" collapsed="false">
      <c r="C58" s="56" t="s">
        <v>292</v>
      </c>
      <c r="D58" s="59" t="n">
        <v>9.32889166</v>
      </c>
      <c r="E58" s="59" t="n">
        <v>4.10682076</v>
      </c>
      <c r="F58" s="59" t="n">
        <f aca="false">SUM(ExpenseDetail!D28:O28)</f>
        <v>2.0944785876</v>
      </c>
      <c r="G58" s="59" t="n">
        <f aca="false">SUM(ExpenseDetail!P28:AA28)</f>
        <v>4.272736318704</v>
      </c>
      <c r="H58" s="59" t="n">
        <f aca="false">SUM(ExpenseDetail!AB28:AM28)</f>
        <v>4.35819104507808</v>
      </c>
      <c r="I58" s="59"/>
      <c r="J58" s="59"/>
      <c r="K58" s="59"/>
    </row>
    <row r="59" customFormat="false" ht="21" hidden="false" customHeight="true" outlineLevel="0" collapsed="false">
      <c r="C59" s="56" t="s">
        <v>293</v>
      </c>
      <c r="D59" s="59" t="n">
        <v>6.63780675</v>
      </c>
      <c r="E59" s="59" t="n">
        <v>8.15573452</v>
      </c>
      <c r="F59" s="59" t="n">
        <f aca="false">SUM(ExpenseDetail!D29:O29)</f>
        <v>4.1594246052</v>
      </c>
      <c r="G59" s="59" t="n">
        <f aca="false">SUM(ExpenseDetail!P29:AA29)</f>
        <v>8.485226194608</v>
      </c>
      <c r="H59" s="59" t="n">
        <f aca="false">SUM(ExpenseDetail!AB29:AM29)</f>
        <v>8.65493071850016</v>
      </c>
      <c r="I59" s="59"/>
      <c r="J59" s="59"/>
      <c r="K59" s="59"/>
    </row>
    <row r="60" customFormat="false" ht="21" hidden="false" customHeight="true" outlineLevel="0" collapsed="false">
      <c r="C60" s="56" t="s">
        <v>294</v>
      </c>
      <c r="D60" s="59" t="n">
        <v>8.24969858</v>
      </c>
      <c r="E60" s="59" t="n">
        <v>4.4365399</v>
      </c>
      <c r="F60" s="59" t="n">
        <f aca="false">SUM(ExpenseDetail!D30:O30)</f>
        <v>2.262635349</v>
      </c>
      <c r="G60" s="59" t="n">
        <f aca="false">SUM(ExpenseDetail!P30:AA30)</f>
        <v>4.61577611196</v>
      </c>
      <c r="H60" s="59" t="n">
        <f aca="false">SUM(ExpenseDetail!AB30:AM30)</f>
        <v>4.7080916341992</v>
      </c>
      <c r="I60" s="59"/>
      <c r="J60" s="59"/>
      <c r="K60" s="59"/>
    </row>
    <row r="61" customFormat="false" ht="21" hidden="false" customHeight="true" outlineLevel="0" collapsed="false">
      <c r="C61" s="56" t="s">
        <v>297</v>
      </c>
      <c r="D61" s="59" t="n">
        <v>465.15681444</v>
      </c>
      <c r="E61" s="59" t="n">
        <v>385.63066964</v>
      </c>
      <c r="F61" s="59" t="n">
        <f aca="false">SUM(ExpenseDetail!D35:O35)</f>
        <v>198.5997948646</v>
      </c>
      <c r="G61" s="59" t="n">
        <f aca="false">SUM(ExpenseDetail!P35:AA35)</f>
        <v>409.115577421076</v>
      </c>
      <c r="H61" s="59" t="n">
        <f aca="false">SUM(ExpenseDetail!AB35:AM35)</f>
        <v>421.389044743708</v>
      </c>
      <c r="I61" s="59"/>
      <c r="J61" s="59"/>
      <c r="K61" s="59"/>
    </row>
    <row r="62" customFormat="false" ht="21" hidden="false" customHeight="true" outlineLevel="0" collapsed="false">
      <c r="C62" s="56" t="s">
        <v>298</v>
      </c>
      <c r="D62" s="59" t="n">
        <v>196.71115261</v>
      </c>
      <c r="E62" s="59" t="n">
        <v>184.71853554</v>
      </c>
      <c r="F62" s="59" t="n">
        <f aca="false">SUM(ExpenseDetail!D36:O36)</f>
        <v>93.8137231157719</v>
      </c>
      <c r="G62" s="59" t="n">
        <f aca="false">SUM(ExpenseDetail!P36:AA36)</f>
        <v>197.413175931431</v>
      </c>
      <c r="H62" s="59" t="n">
        <f aca="false">SUM(ExpenseDetail!AB36:AM36)</f>
        <v>204.620711552258</v>
      </c>
      <c r="I62" s="59"/>
      <c r="J62" s="59"/>
      <c r="K62" s="59"/>
    </row>
    <row r="63" customFormat="false" ht="21" hidden="false" customHeight="true" outlineLevel="0" collapsed="false">
      <c r="C63" s="56" t="s">
        <v>299</v>
      </c>
      <c r="D63" s="59" t="n">
        <v>15.48610816</v>
      </c>
      <c r="E63" s="59" t="n">
        <v>15.1450968</v>
      </c>
      <c r="F63" s="59" t="n">
        <f aca="false">SUM(ExpenseDetail!D37:O37)</f>
        <v>7.37969544532396</v>
      </c>
      <c r="G63" s="59" t="n">
        <f aca="false">SUM(ExpenseDetail!P37:AA37)</f>
        <v>15.6040518495726</v>
      </c>
      <c r="H63" s="59" t="n">
        <f aca="false">SUM(ExpenseDetail!AB37:AM37)</f>
        <v>16.6354244003041</v>
      </c>
      <c r="I63" s="59"/>
      <c r="J63" s="59"/>
      <c r="K63" s="59"/>
    </row>
    <row r="64" customFormat="false" ht="21" hidden="false" customHeight="true" outlineLevel="0" collapsed="false">
      <c r="C64" s="56" t="s">
        <v>300</v>
      </c>
      <c r="D64" s="59" t="n">
        <v>68.15613996</v>
      </c>
      <c r="E64" s="59" t="n">
        <v>58.46948162</v>
      </c>
      <c r="F64" s="59" t="n">
        <f aca="false">SUM(ExpenseDetail!D38:O38)</f>
        <v>29.8194356262</v>
      </c>
      <c r="G64" s="59" t="n">
        <f aca="false">SUM(ExpenseDetail!P38:AA38)</f>
        <v>60.831648677448</v>
      </c>
      <c r="H64" s="59" t="n">
        <f aca="false">SUM(ExpenseDetail!AB38:AM38)</f>
        <v>62.048281650997</v>
      </c>
      <c r="I64" s="59"/>
      <c r="J64" s="59"/>
      <c r="K64" s="59"/>
    </row>
    <row r="65" customFormat="false" ht="21" hidden="false" customHeight="true" outlineLevel="0" collapsed="false">
      <c r="C65" s="56"/>
      <c r="D65" s="59"/>
      <c r="E65" s="59"/>
      <c r="F65" s="59"/>
      <c r="G65" s="59"/>
      <c r="H65" s="59"/>
      <c r="I65" s="59"/>
      <c r="J65" s="59"/>
      <c r="K65" s="59"/>
    </row>
    <row r="66" customFormat="false" ht="21" hidden="false" customHeight="true" outlineLevel="0" collapsed="false">
      <c r="C66" s="56"/>
      <c r="D66" s="59"/>
      <c r="E66" s="59"/>
      <c r="F66" s="59"/>
      <c r="G66" s="59"/>
      <c r="H66" s="59"/>
      <c r="I66" s="59"/>
      <c r="J66" s="59"/>
      <c r="K66" s="59"/>
    </row>
    <row r="67" customFormat="false" ht="21" hidden="false" customHeight="true" outlineLevel="0" collapsed="false">
      <c r="C67" s="56"/>
      <c r="D67" s="59"/>
      <c r="E67" s="59"/>
      <c r="F67" s="59"/>
      <c r="G67" s="59"/>
      <c r="H67" s="59"/>
      <c r="I67" s="59"/>
      <c r="J67" s="59"/>
      <c r="K67" s="59"/>
    </row>
    <row r="68" customFormat="false" ht="21" hidden="false" customHeight="true" outlineLevel="0" collapsed="false">
      <c r="C68" s="56"/>
      <c r="D68" s="59"/>
      <c r="E68" s="59"/>
      <c r="F68" s="59"/>
      <c r="G68" s="59"/>
      <c r="H68" s="59"/>
      <c r="I68" s="59"/>
      <c r="J68" s="59"/>
      <c r="K68" s="59"/>
    </row>
    <row r="69" customFormat="false" ht="21" hidden="false" customHeight="true" outlineLevel="0" collapsed="false">
      <c r="C69" s="56"/>
      <c r="D69" s="59"/>
      <c r="E69" s="59"/>
      <c r="F69" s="59"/>
      <c r="G69" s="59"/>
      <c r="H69" s="59"/>
      <c r="I69" s="59"/>
      <c r="J69" s="59"/>
      <c r="K69" s="59"/>
    </row>
    <row r="70" customFormat="false" ht="21" hidden="false" customHeight="true" outlineLevel="0" collapsed="false">
      <c r="C70" s="56"/>
      <c r="D70" s="59"/>
      <c r="E70" s="59"/>
      <c r="F70" s="59"/>
      <c r="G70" s="59"/>
      <c r="H70" s="59"/>
      <c r="I70" s="59"/>
      <c r="J70" s="59"/>
      <c r="K70" s="59"/>
    </row>
    <row r="71" customFormat="false" ht="21" hidden="false" customHeight="true" outlineLevel="0" collapsed="false">
      <c r="C71" s="56"/>
      <c r="D71" s="59"/>
      <c r="E71" s="59"/>
      <c r="F71" s="59"/>
      <c r="G71" s="59"/>
      <c r="H71" s="59"/>
      <c r="I71" s="59"/>
      <c r="J71" s="59"/>
      <c r="K71" s="59"/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</row>
  </sheetData>
  <sheetProtection sheet="1" objects="1" scenarios="1" selectLockedCells="0" selectUnlockedCells="0"/>
  <mergeCells count="2">
    <mergeCell ref="C2:K2"/>
    <mergeCell ref="C3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>
  <sheetPr filterMode="false">
    <pageSetUpPr fitToPage="false"/>
  </sheetPr>
  <dimension ref="C1:K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11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</row>
    <row r="2" customFormat="false" ht="33" hidden="false" customHeight="true" outlineLevel="0" collapsed="false">
      <c r="C2" s="57" t="s">
        <v>859</v>
      </c>
      <c r="D2" s="57"/>
      <c r="E2" s="57"/>
      <c r="F2" s="57"/>
      <c r="G2" s="57"/>
      <c r="H2" s="57"/>
      <c r="I2" s="57"/>
      <c r="J2" s="57"/>
      <c r="K2" s="57"/>
    </row>
    <row r="3" customFormat="false" ht="21" hidden="false" customHeight="true" outlineLevel="0" collapsed="false">
      <c r="C3" s="58" t="s">
        <v>860</v>
      </c>
      <c r="D3" s="58"/>
      <c r="E3" s="58"/>
      <c r="F3" s="58"/>
      <c r="G3" s="58"/>
      <c r="H3" s="58"/>
      <c r="I3" s="58"/>
      <c r="J3" s="58"/>
      <c r="K3" s="58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</row>
    <row r="6" customFormat="false" ht="21" hidden="false" customHeight="true" outlineLevel="0" collapsed="false">
      <c r="C6" s="56"/>
      <c r="D6" s="56"/>
      <c r="E6" s="56"/>
      <c r="F6" s="56"/>
      <c r="G6" s="56"/>
      <c r="H6" s="56"/>
      <c r="I6" s="56"/>
      <c r="J6" s="56"/>
      <c r="K6" s="56"/>
    </row>
    <row r="7" customFormat="false" ht="21" hidden="false" customHeight="true" outlineLevel="0" collapsed="false">
      <c r="C7" s="56" t="s">
        <v>861</v>
      </c>
      <c r="D7" s="56" t="s">
        <v>862</v>
      </c>
      <c r="E7" s="56" t="s">
        <v>34</v>
      </c>
      <c r="F7" s="56" t="s">
        <v>36</v>
      </c>
      <c r="G7" s="56" t="s">
        <v>38</v>
      </c>
      <c r="H7" s="56" t="s">
        <v>863</v>
      </c>
      <c r="I7" s="56"/>
      <c r="J7" s="56"/>
      <c r="K7" s="56"/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</row>
    <row r="9" customFormat="false" ht="21" hidden="false" customHeight="true" outlineLevel="0" collapsed="false">
      <c r="C9" s="81" t="s">
        <v>864</v>
      </c>
      <c r="D9" s="59" t="s">
        <v>865</v>
      </c>
      <c r="E9" s="59" t="n">
        <v>4743.71442566</v>
      </c>
      <c r="F9" s="59" t="n">
        <v>5020.38035296</v>
      </c>
      <c r="G9" s="59" t="n">
        <v>4167.31915436</v>
      </c>
      <c r="H9" s="59" t="s">
        <v>866</v>
      </c>
      <c r="I9" s="59"/>
      <c r="J9" s="59"/>
      <c r="K9" s="59"/>
    </row>
    <row r="10" customFormat="false" ht="21" hidden="false" customHeight="true" outlineLevel="0" collapsed="false">
      <c r="C10" s="81" t="s">
        <v>867</v>
      </c>
      <c r="D10" s="59" t="s">
        <v>868</v>
      </c>
      <c r="E10" s="59" t="n">
        <v>9727</v>
      </c>
      <c r="F10" s="59" t="n">
        <v>9215</v>
      </c>
      <c r="G10" s="59" t="n">
        <v>12056.42857143</v>
      </c>
      <c r="H10" s="59" t="s">
        <v>869</v>
      </c>
      <c r="I10" s="59"/>
      <c r="J10" s="59"/>
      <c r="K10" s="59"/>
    </row>
    <row r="11" customFormat="false" ht="21" hidden="false" customHeight="true" outlineLevel="0" collapsed="false">
      <c r="C11" s="81" t="s">
        <v>870</v>
      </c>
      <c r="D11" s="59" t="s">
        <v>868</v>
      </c>
      <c r="E11" s="59" t="n">
        <v>8.263755</v>
      </c>
      <c r="F11" s="59" t="n">
        <v>10.010725</v>
      </c>
      <c r="G11" s="59" t="n">
        <v>12.04480244</v>
      </c>
      <c r="H11" s="59" t="s">
        <v>871</v>
      </c>
      <c r="I11" s="59"/>
      <c r="J11" s="59"/>
      <c r="K11" s="59"/>
    </row>
    <row r="12" customFormat="false" ht="21" hidden="false" customHeight="true" outlineLevel="0" collapsed="false">
      <c r="C12" s="81" t="s">
        <v>872</v>
      </c>
      <c r="D12" s="59" t="s">
        <v>873</v>
      </c>
      <c r="E12" s="59" t="n">
        <v>0</v>
      </c>
      <c r="F12" s="59" t="n">
        <v>0.02071639</v>
      </c>
      <c r="G12" s="59" t="n">
        <v>0.22960728</v>
      </c>
      <c r="H12" s="59" t="s">
        <v>874</v>
      </c>
      <c r="I12" s="59"/>
      <c r="J12" s="59"/>
      <c r="K12" s="59"/>
    </row>
    <row r="13" customFormat="false" ht="21" hidden="false" customHeight="true" outlineLevel="0" collapsed="false">
      <c r="C13" s="81" t="s">
        <v>875</v>
      </c>
      <c r="D13" s="59" t="s">
        <v>873</v>
      </c>
      <c r="E13" s="59" t="n">
        <v>264.75443375</v>
      </c>
      <c r="F13" s="59" t="n">
        <v>300.12912939</v>
      </c>
      <c r="G13" s="59" t="n">
        <v>307.3104386</v>
      </c>
      <c r="H13" s="59" t="s">
        <v>876</v>
      </c>
      <c r="I13" s="59"/>
      <c r="J13" s="59"/>
      <c r="K13" s="59"/>
    </row>
    <row r="14" customFormat="false" ht="21" hidden="false" customHeight="true" outlineLevel="0" collapsed="false">
      <c r="C14" s="81" t="s">
        <v>877</v>
      </c>
      <c r="D14" s="59" t="s">
        <v>873</v>
      </c>
      <c r="E14" s="59" t="n">
        <v>5.35901496</v>
      </c>
      <c r="F14" s="59" t="n">
        <v>8.11810048</v>
      </c>
      <c r="G14" s="59" t="n">
        <v>19.82015856</v>
      </c>
      <c r="H14" s="59" t="s">
        <v>878</v>
      </c>
      <c r="I14" s="59"/>
      <c r="J14" s="59"/>
      <c r="K14" s="59"/>
    </row>
    <row r="15" customFormat="false" ht="21" hidden="false" customHeight="true" outlineLevel="0" collapsed="false">
      <c r="C15" s="81" t="s">
        <v>453</v>
      </c>
      <c r="D15" s="59" t="s">
        <v>879</v>
      </c>
      <c r="E15" s="59" t="n">
        <v>56.22993395</v>
      </c>
      <c r="F15" s="59" t="n">
        <v>71.041713</v>
      </c>
      <c r="G15" s="59" t="n">
        <v>72.05582067</v>
      </c>
      <c r="H15" s="59" t="s">
        <v>880</v>
      </c>
      <c r="I15" s="59"/>
      <c r="J15" s="59"/>
      <c r="K15" s="59"/>
    </row>
    <row r="16" customFormat="false" ht="21" hidden="false" customHeight="true" outlineLevel="0" collapsed="false">
      <c r="C16" s="81" t="s">
        <v>454</v>
      </c>
      <c r="D16" s="59" t="s">
        <v>879</v>
      </c>
      <c r="E16" s="59" t="n">
        <v>11.43317913</v>
      </c>
      <c r="F16" s="59" t="n">
        <v>14.24738242</v>
      </c>
      <c r="G16" s="59" t="n">
        <v>10.79634634</v>
      </c>
      <c r="H16" s="59" t="s">
        <v>881</v>
      </c>
      <c r="I16" s="59"/>
      <c r="J16" s="59"/>
      <c r="K16" s="59"/>
    </row>
    <row r="17" customFormat="false" ht="21" hidden="false" customHeight="true" outlineLevel="0" collapsed="false">
      <c r="C17" s="81" t="s">
        <v>882</v>
      </c>
      <c r="D17" s="59" t="s">
        <v>883</v>
      </c>
      <c r="E17" s="59" t="n">
        <v>1421.07805944</v>
      </c>
      <c r="F17" s="59" t="n">
        <v>1573.67281932</v>
      </c>
      <c r="G17" s="59" t="n">
        <v>1630.82616795</v>
      </c>
      <c r="H17" s="59" t="s">
        <v>884</v>
      </c>
      <c r="I17" s="59"/>
      <c r="J17" s="59"/>
      <c r="K17" s="59"/>
    </row>
    <row r="18" customFormat="false" ht="21" hidden="false" customHeight="true" outlineLevel="0" collapsed="false">
      <c r="C18" s="81" t="s">
        <v>455</v>
      </c>
      <c r="D18" s="59" t="s">
        <v>879</v>
      </c>
      <c r="E18" s="59" t="n">
        <v>109.98238506</v>
      </c>
      <c r="F18" s="59" t="n">
        <v>124.77310867</v>
      </c>
      <c r="G18" s="59" t="n">
        <v>44.35699092</v>
      </c>
      <c r="H18" s="59" t="s">
        <v>885</v>
      </c>
      <c r="I18" s="59"/>
      <c r="J18" s="59"/>
      <c r="K18" s="59"/>
    </row>
    <row r="19" customFormat="false" ht="21" hidden="false" customHeight="true" outlineLevel="0" collapsed="false">
      <c r="C19" s="81" t="s">
        <v>886</v>
      </c>
      <c r="D19" s="59" t="s">
        <v>887</v>
      </c>
      <c r="E19" s="59" t="n">
        <v>1986.16894503</v>
      </c>
      <c r="F19" s="59" t="n">
        <v>3224.30480067</v>
      </c>
      <c r="G19" s="59" t="n">
        <v>3419.72224668</v>
      </c>
      <c r="H19" s="59" t="s">
        <v>888</v>
      </c>
      <c r="I19" s="59"/>
      <c r="J19" s="59"/>
      <c r="K19" s="59"/>
    </row>
    <row r="20" customFormat="false" ht="21" hidden="false" customHeight="true" outlineLevel="0" collapsed="false">
      <c r="C20" s="81" t="s">
        <v>889</v>
      </c>
      <c r="D20" s="59" t="s">
        <v>887</v>
      </c>
      <c r="E20" s="59" t="n">
        <v>806.58545856</v>
      </c>
      <c r="F20" s="59" t="n">
        <v>316.7346238</v>
      </c>
      <c r="G20" s="59" t="n">
        <v>174.04889055</v>
      </c>
      <c r="H20" s="59" t="s">
        <v>890</v>
      </c>
      <c r="I20" s="59"/>
      <c r="J20" s="59"/>
      <c r="K20" s="59"/>
    </row>
    <row r="21" customFormat="false" ht="21" hidden="false" customHeight="true" outlineLevel="0" collapsed="false">
      <c r="C21" s="81" t="s">
        <v>891</v>
      </c>
      <c r="D21" s="59" t="s">
        <v>370</v>
      </c>
      <c r="E21" s="59" t="n">
        <v>18.80245189</v>
      </c>
      <c r="F21" s="59" t="n">
        <v>31.30923519</v>
      </c>
      <c r="G21" s="59" t="n">
        <v>25.21957363</v>
      </c>
      <c r="H21" s="59" t="s">
        <v>892</v>
      </c>
      <c r="I21" s="59"/>
      <c r="J21" s="59"/>
      <c r="K21" s="59"/>
    </row>
    <row r="22" customFormat="false" ht="21" hidden="false" customHeight="true" outlineLevel="0" collapsed="false">
      <c r="C22" s="81" t="s">
        <v>893</v>
      </c>
      <c r="D22" s="59" t="s">
        <v>894</v>
      </c>
      <c r="E22" s="59" t="n">
        <v>334.81797271</v>
      </c>
      <c r="F22" s="59" t="n">
        <v>332.78450401</v>
      </c>
      <c r="G22" s="59" t="n">
        <v>321.85207434</v>
      </c>
      <c r="H22" s="59" t="s">
        <v>895</v>
      </c>
      <c r="I22" s="59"/>
      <c r="J22" s="59"/>
      <c r="K22" s="59"/>
    </row>
    <row r="23" customFormat="false" ht="21" hidden="false" customHeight="true" outlineLevel="0" collapsed="false">
      <c r="C23" s="81" t="s">
        <v>896</v>
      </c>
      <c r="D23" s="59" t="s">
        <v>894</v>
      </c>
      <c r="E23" s="59" t="n">
        <v>22.76569224</v>
      </c>
      <c r="F23" s="59" t="n">
        <v>35.92997315</v>
      </c>
      <c r="G23" s="59" t="n">
        <v>38.13664873</v>
      </c>
      <c r="H23" s="59" t="s">
        <v>897</v>
      </c>
      <c r="I23" s="59"/>
      <c r="J23" s="59"/>
      <c r="K23" s="59"/>
    </row>
    <row r="24" customFormat="false" ht="21" hidden="false" customHeight="true" outlineLevel="0" collapsed="false">
      <c r="C24" s="81" t="s">
        <v>898</v>
      </c>
      <c r="D24" s="59" t="s">
        <v>879</v>
      </c>
      <c r="E24" s="59" t="n">
        <v>185.49364553</v>
      </c>
      <c r="F24" s="59" t="n">
        <v>166.54434516</v>
      </c>
      <c r="G24" s="59" t="n">
        <v>229.57143571</v>
      </c>
      <c r="H24" s="59" t="s">
        <v>899</v>
      </c>
      <c r="I24" s="59"/>
      <c r="J24" s="59"/>
      <c r="K24" s="59"/>
    </row>
    <row r="25" customFormat="false" ht="21" hidden="false" customHeight="true" outlineLevel="0" collapsed="false">
      <c r="C25" s="81" t="s">
        <v>456</v>
      </c>
      <c r="D25" s="59" t="s">
        <v>879</v>
      </c>
      <c r="E25" s="59" t="n">
        <v>59.75637202</v>
      </c>
      <c r="F25" s="59" t="n">
        <v>49.03296107</v>
      </c>
      <c r="G25" s="59" t="n">
        <v>26.50361444</v>
      </c>
      <c r="H25" s="59" t="s">
        <v>900</v>
      </c>
      <c r="I25" s="59"/>
      <c r="J25" s="59"/>
      <c r="K25" s="59"/>
    </row>
    <row r="26" customFormat="false" ht="21" hidden="false" customHeight="true" outlineLevel="0" collapsed="false">
      <c r="C26" s="81" t="s">
        <v>901</v>
      </c>
      <c r="D26" s="59" t="s">
        <v>902</v>
      </c>
      <c r="E26" s="59" t="n">
        <v>588.34417601</v>
      </c>
      <c r="F26" s="59" t="n">
        <v>282.66375475</v>
      </c>
      <c r="G26" s="59" t="n">
        <v>550.01718862</v>
      </c>
      <c r="H26" s="59" t="s">
        <v>903</v>
      </c>
      <c r="I26" s="59"/>
      <c r="J26" s="59"/>
      <c r="K26" s="59"/>
    </row>
    <row r="27" customFormat="false" ht="21" hidden="false" customHeight="true" outlineLevel="0" collapsed="false">
      <c r="C27" s="81" t="s">
        <v>904</v>
      </c>
      <c r="D27" s="59" t="s">
        <v>905</v>
      </c>
      <c r="E27" s="59" t="n">
        <v>2056.6578054</v>
      </c>
      <c r="F27" s="59" t="n">
        <v>2392.04685463</v>
      </c>
      <c r="G27" s="59" t="n">
        <v>2455.39594837</v>
      </c>
      <c r="H27" s="59" t="s">
        <v>906</v>
      </c>
      <c r="I27" s="59"/>
      <c r="J27" s="59"/>
      <c r="K27" s="59"/>
    </row>
    <row r="28" customFormat="false" ht="21" hidden="false" customHeight="true" outlineLevel="0" collapsed="false">
      <c r="C28" s="81" t="s">
        <v>907</v>
      </c>
      <c r="D28" s="59" t="s">
        <v>908</v>
      </c>
      <c r="E28" s="59" t="n">
        <v>528.49323161</v>
      </c>
      <c r="F28" s="59" t="n">
        <v>254.24994623</v>
      </c>
      <c r="G28" s="59" t="n">
        <v>592.67224331</v>
      </c>
      <c r="H28" s="59" t="s">
        <v>909</v>
      </c>
      <c r="I28" s="59"/>
      <c r="J28" s="59"/>
      <c r="K28" s="59"/>
    </row>
    <row r="29" customFormat="false" ht="21" hidden="false" customHeight="true" outlineLevel="0" collapsed="false">
      <c r="C29" s="81" t="s">
        <v>459</v>
      </c>
      <c r="D29" s="59" t="s">
        <v>910</v>
      </c>
      <c r="E29" s="59" t="n">
        <v>404.81628763</v>
      </c>
      <c r="F29" s="59" t="n">
        <v>380.30185071</v>
      </c>
      <c r="G29" s="59" t="n">
        <v>361.74436167</v>
      </c>
      <c r="H29" s="59" t="s">
        <v>911</v>
      </c>
      <c r="I29" s="59"/>
      <c r="J29" s="59"/>
      <c r="K29" s="59"/>
    </row>
    <row r="30" customFormat="false" ht="21" hidden="false" customHeight="true" outlineLevel="0" collapsed="false">
      <c r="C30" s="81" t="s">
        <v>912</v>
      </c>
      <c r="D30" s="59" t="s">
        <v>913</v>
      </c>
      <c r="E30" s="59" t="n">
        <v>311.19084543</v>
      </c>
      <c r="F30" s="59" t="n">
        <v>393.46763529</v>
      </c>
      <c r="G30" s="59" t="n">
        <v>444.24880775</v>
      </c>
      <c r="H30" s="59" t="s">
        <v>914</v>
      </c>
      <c r="I30" s="59"/>
      <c r="J30" s="59"/>
      <c r="K30" s="59"/>
    </row>
    <row r="31" customFormat="false" ht="21" hidden="false" customHeight="true" outlineLevel="0" collapsed="false">
      <c r="C31" s="81" t="s">
        <v>460</v>
      </c>
      <c r="D31" s="59" t="s">
        <v>910</v>
      </c>
      <c r="E31" s="59" t="n">
        <v>705.06090664</v>
      </c>
      <c r="F31" s="59" t="n">
        <v>639.24626415</v>
      </c>
      <c r="G31" s="59" t="n">
        <v>828.84684177</v>
      </c>
      <c r="H31" s="59" t="s">
        <v>915</v>
      </c>
      <c r="I31" s="59"/>
      <c r="J31" s="59"/>
      <c r="K31" s="59"/>
    </row>
    <row r="32" customFormat="false" ht="21" hidden="false" customHeight="true" outlineLevel="0" collapsed="false">
      <c r="C32" s="81" t="s">
        <v>916</v>
      </c>
      <c r="D32" s="59" t="s">
        <v>902</v>
      </c>
      <c r="E32" s="59" t="n">
        <v>406.95933977</v>
      </c>
      <c r="F32" s="59" t="n">
        <v>13.16532536</v>
      </c>
      <c r="G32" s="59" t="n">
        <v>13.40093461</v>
      </c>
      <c r="H32" s="59" t="s">
        <v>917</v>
      </c>
      <c r="I32" s="59"/>
      <c r="J32" s="59"/>
      <c r="K32" s="59"/>
    </row>
    <row r="33" customFormat="false" ht="21" hidden="false" customHeight="true" outlineLevel="0" collapsed="false">
      <c r="C33" s="81" t="s">
        <v>461</v>
      </c>
      <c r="D33" s="59" t="s">
        <v>910</v>
      </c>
      <c r="E33" s="59" t="n">
        <v>68.53279691</v>
      </c>
      <c r="F33" s="59" t="n">
        <v>33.04489249</v>
      </c>
      <c r="G33" s="59" t="n">
        <v>40.72960321</v>
      </c>
      <c r="H33" s="59" t="s">
        <v>918</v>
      </c>
      <c r="I33" s="59"/>
      <c r="J33" s="59"/>
      <c r="K33" s="59"/>
    </row>
    <row r="34" customFormat="false" ht="21" hidden="false" customHeight="true" outlineLevel="0" collapsed="false">
      <c r="C34" s="81" t="s">
        <v>919</v>
      </c>
      <c r="D34" s="59" t="s">
        <v>902</v>
      </c>
      <c r="E34" s="59" t="n">
        <v>4.74322739</v>
      </c>
      <c r="F34" s="59" t="n">
        <v>18.79192577</v>
      </c>
      <c r="G34" s="59" t="n">
        <v>12.23149799</v>
      </c>
      <c r="H34" s="59" t="s">
        <v>920</v>
      </c>
      <c r="I34" s="59"/>
      <c r="J34" s="59"/>
      <c r="K34" s="59"/>
    </row>
    <row r="35" customFormat="false" ht="21" hidden="false" customHeight="true" outlineLevel="0" collapsed="false">
      <c r="C35" s="81" t="s">
        <v>462</v>
      </c>
      <c r="D35" s="59" t="s">
        <v>910</v>
      </c>
      <c r="E35" s="59" t="n">
        <v>68.41747086</v>
      </c>
      <c r="F35" s="59" t="n">
        <v>63.55175657</v>
      </c>
      <c r="G35" s="59" t="n">
        <v>55.96096238</v>
      </c>
      <c r="H35" s="59" t="s">
        <v>921</v>
      </c>
      <c r="I35" s="59"/>
      <c r="J35" s="59"/>
      <c r="K35" s="59"/>
    </row>
    <row r="36" customFormat="false" ht="21" hidden="false" customHeight="true" outlineLevel="0" collapsed="false">
      <c r="C36" s="81" t="s">
        <v>922</v>
      </c>
      <c r="D36" s="59" t="s">
        <v>910</v>
      </c>
      <c r="E36" s="59" t="n">
        <v>72.16635039</v>
      </c>
      <c r="F36" s="59" t="n">
        <v>53.16810395</v>
      </c>
      <c r="G36" s="59" t="n">
        <v>83.68718086</v>
      </c>
      <c r="H36" s="59" t="s">
        <v>923</v>
      </c>
      <c r="I36" s="59"/>
      <c r="J36" s="59"/>
      <c r="K36" s="59"/>
    </row>
    <row r="37" customFormat="false" ht="21" hidden="false" customHeight="true" outlineLevel="0" collapsed="false">
      <c r="C37" s="81" t="s">
        <v>463</v>
      </c>
      <c r="D37" s="59" t="s">
        <v>910</v>
      </c>
      <c r="E37" s="59" t="n">
        <v>86.41174116</v>
      </c>
      <c r="F37" s="59" t="n">
        <v>95.35581002</v>
      </c>
      <c r="G37" s="59" t="n">
        <v>83.61095476</v>
      </c>
      <c r="H37" s="59" t="s">
        <v>924</v>
      </c>
      <c r="I37" s="59"/>
      <c r="J37" s="59"/>
      <c r="K37" s="59"/>
    </row>
    <row r="38" customFormat="false" ht="21" hidden="false" customHeight="true" outlineLevel="0" collapsed="false">
      <c r="C38" s="81" t="s">
        <v>925</v>
      </c>
      <c r="D38" s="59" t="s">
        <v>902</v>
      </c>
      <c r="E38" s="59" t="n">
        <v>0</v>
      </c>
      <c r="F38" s="59" t="n">
        <v>0</v>
      </c>
      <c r="G38" s="59" t="n">
        <v>225.126</v>
      </c>
      <c r="H38" s="59" t="s">
        <v>926</v>
      </c>
      <c r="I38" s="59"/>
      <c r="J38" s="59"/>
      <c r="K38" s="59"/>
    </row>
    <row r="39" customFormat="false" ht="21" hidden="false" customHeight="true" outlineLevel="0" collapsed="false">
      <c r="C39" s="56"/>
      <c r="D39" s="59"/>
      <c r="E39" s="59"/>
      <c r="F39" s="59"/>
      <c r="G39" s="59"/>
      <c r="H39" s="59"/>
      <c r="I39" s="59"/>
      <c r="J39" s="59"/>
      <c r="K39" s="59"/>
    </row>
    <row r="40" customFormat="false" ht="21" hidden="false" customHeight="true" outlineLevel="0" collapsed="false">
      <c r="C40" s="56"/>
      <c r="D40" s="59"/>
      <c r="E40" s="59"/>
      <c r="F40" s="59"/>
      <c r="G40" s="59"/>
      <c r="H40" s="59"/>
      <c r="I40" s="59"/>
      <c r="J40" s="59"/>
      <c r="K40" s="59"/>
    </row>
    <row r="41" customFormat="false" ht="21" hidden="false" customHeight="true" outlineLevel="0" collapsed="false">
      <c r="C41" s="56"/>
      <c r="D41" s="59"/>
      <c r="E41" s="59"/>
      <c r="F41" s="59"/>
      <c r="G41" s="59"/>
      <c r="H41" s="59"/>
      <c r="I41" s="59"/>
      <c r="J41" s="59"/>
      <c r="K41" s="59"/>
    </row>
    <row r="42" customFormat="false" ht="21" hidden="false" customHeight="true" outlineLevel="0" collapsed="false">
      <c r="C42" s="56"/>
      <c r="D42" s="59"/>
      <c r="E42" s="59"/>
      <c r="F42" s="59"/>
      <c r="G42" s="59"/>
      <c r="H42" s="59"/>
      <c r="I42" s="59"/>
      <c r="J42" s="59"/>
      <c r="K42" s="59"/>
    </row>
    <row r="43" customFormat="false" ht="21" hidden="false" customHeight="true" outlineLevel="0" collapsed="false">
      <c r="C43" s="56"/>
      <c r="D43" s="59"/>
      <c r="E43" s="59"/>
      <c r="F43" s="59"/>
      <c r="G43" s="59"/>
      <c r="H43" s="59"/>
      <c r="I43" s="59"/>
      <c r="J43" s="59"/>
      <c r="K43" s="59"/>
    </row>
    <row r="44" customFormat="false" ht="21" hidden="false" customHeight="true" outlineLevel="0" collapsed="false">
      <c r="C44" s="56"/>
      <c r="D44" s="59"/>
      <c r="E44" s="59"/>
      <c r="F44" s="59"/>
      <c r="G44" s="59"/>
      <c r="H44" s="59"/>
      <c r="I44" s="59"/>
      <c r="J44" s="59"/>
      <c r="K44" s="59"/>
    </row>
    <row r="45" customFormat="false" ht="21" hidden="false" customHeight="true" outlineLevel="0" collapsed="false">
      <c r="C45" s="56"/>
      <c r="D45" s="59"/>
      <c r="E45" s="59"/>
      <c r="F45" s="59"/>
      <c r="G45" s="59"/>
      <c r="H45" s="59"/>
      <c r="I45" s="59"/>
      <c r="J45" s="59"/>
      <c r="K45" s="59"/>
    </row>
    <row r="46" customFormat="false" ht="21" hidden="false" customHeight="true" outlineLevel="0" collapsed="false">
      <c r="C46" s="56"/>
      <c r="D46" s="59"/>
      <c r="E46" s="59"/>
      <c r="F46" s="59"/>
      <c r="G46" s="59"/>
      <c r="H46" s="59"/>
      <c r="I46" s="59"/>
      <c r="J46" s="59"/>
      <c r="K46" s="59"/>
    </row>
    <row r="47" customFormat="false" ht="21" hidden="false" customHeight="true" outlineLevel="0" collapsed="false">
      <c r="C47" s="56"/>
      <c r="D47" s="59"/>
      <c r="E47" s="59"/>
      <c r="F47" s="59"/>
      <c r="G47" s="59"/>
      <c r="H47" s="59"/>
      <c r="I47" s="59"/>
      <c r="J47" s="59"/>
      <c r="K47" s="59"/>
    </row>
    <row r="48" customFormat="false" ht="21" hidden="false" customHeight="true" outlineLevel="0" collapsed="false">
      <c r="C48" s="56"/>
      <c r="D48" s="59"/>
      <c r="E48" s="59"/>
      <c r="F48" s="59"/>
      <c r="G48" s="59"/>
      <c r="H48" s="59"/>
      <c r="I48" s="59"/>
      <c r="J48" s="59"/>
      <c r="K48" s="59"/>
    </row>
    <row r="49" customFormat="false" ht="21" hidden="false" customHeight="true" outlineLevel="0" collapsed="false">
      <c r="C49" s="56"/>
      <c r="D49" s="59"/>
      <c r="E49" s="59"/>
      <c r="F49" s="59"/>
      <c r="G49" s="59"/>
      <c r="H49" s="59"/>
      <c r="I49" s="59"/>
      <c r="J49" s="59"/>
      <c r="K49" s="59"/>
    </row>
    <row r="50" customFormat="false" ht="21" hidden="false" customHeight="true" outlineLevel="0" collapsed="false">
      <c r="C50" s="56"/>
      <c r="D50" s="59"/>
      <c r="E50" s="59"/>
      <c r="F50" s="59"/>
      <c r="G50" s="59"/>
      <c r="H50" s="59"/>
      <c r="I50" s="59"/>
      <c r="J50" s="59"/>
      <c r="K50" s="59"/>
    </row>
    <row r="51" customFormat="false" ht="21" hidden="false" customHeight="true" outlineLevel="0" collapsed="false">
      <c r="C51" s="56"/>
      <c r="D51" s="59"/>
      <c r="E51" s="59"/>
      <c r="F51" s="59"/>
      <c r="G51" s="59"/>
      <c r="H51" s="59"/>
      <c r="I51" s="59"/>
      <c r="J51" s="59"/>
      <c r="K51" s="59"/>
    </row>
    <row r="52" customFormat="false" ht="21" hidden="false" customHeight="true" outlineLevel="0" collapsed="false">
      <c r="C52" s="56"/>
      <c r="D52" s="59"/>
      <c r="E52" s="59"/>
      <c r="F52" s="59"/>
      <c r="G52" s="59"/>
      <c r="H52" s="59"/>
      <c r="I52" s="59"/>
      <c r="J52" s="59"/>
      <c r="K52" s="59"/>
    </row>
    <row r="53" customFormat="false" ht="21" hidden="false" customHeight="true" outlineLevel="0" collapsed="false">
      <c r="C53" s="56"/>
      <c r="D53" s="59"/>
      <c r="E53" s="59"/>
      <c r="F53" s="59"/>
      <c r="G53" s="59"/>
      <c r="H53" s="59"/>
      <c r="I53" s="59"/>
      <c r="J53" s="59"/>
      <c r="K53" s="59"/>
    </row>
    <row r="54" customFormat="false" ht="21" hidden="false" customHeight="true" outlineLevel="0" collapsed="false">
      <c r="C54" s="56"/>
      <c r="D54" s="59"/>
      <c r="E54" s="59"/>
      <c r="F54" s="59"/>
      <c r="G54" s="59"/>
      <c r="H54" s="59"/>
      <c r="I54" s="59"/>
      <c r="J54" s="59"/>
      <c r="K54" s="59"/>
    </row>
    <row r="55" customFormat="false" ht="21" hidden="false" customHeight="true" outlineLevel="0" collapsed="false">
      <c r="C55" s="56"/>
      <c r="D55" s="59"/>
      <c r="E55" s="59"/>
      <c r="F55" s="59"/>
      <c r="G55" s="59"/>
      <c r="H55" s="59"/>
      <c r="I55" s="59"/>
      <c r="J55" s="59"/>
      <c r="K55" s="59"/>
    </row>
    <row r="56" customFormat="false" ht="21" hidden="false" customHeight="true" outlineLevel="0" collapsed="false">
      <c r="C56" s="56"/>
      <c r="D56" s="59"/>
      <c r="E56" s="59"/>
      <c r="F56" s="59"/>
      <c r="G56" s="59"/>
      <c r="H56" s="59"/>
      <c r="I56" s="59"/>
      <c r="J56" s="59"/>
      <c r="K56" s="59"/>
    </row>
    <row r="57" customFormat="false" ht="21" hidden="false" customHeight="true" outlineLevel="0" collapsed="false">
      <c r="C57" s="56"/>
      <c r="D57" s="59"/>
      <c r="E57" s="59"/>
      <c r="F57" s="59"/>
      <c r="G57" s="59"/>
      <c r="H57" s="59"/>
      <c r="I57" s="59"/>
      <c r="J57" s="59"/>
      <c r="K57" s="59"/>
    </row>
    <row r="58" customFormat="false" ht="21" hidden="false" customHeight="true" outlineLevel="0" collapsed="false">
      <c r="C58" s="56"/>
      <c r="D58" s="59"/>
      <c r="E58" s="59"/>
      <c r="F58" s="59"/>
      <c r="G58" s="59"/>
      <c r="H58" s="59"/>
      <c r="I58" s="59"/>
      <c r="J58" s="59"/>
      <c r="K58" s="59"/>
    </row>
    <row r="59" customFormat="false" ht="21" hidden="false" customHeight="true" outlineLevel="0" collapsed="false">
      <c r="C59" s="56"/>
      <c r="D59" s="59"/>
      <c r="E59" s="59"/>
      <c r="F59" s="59"/>
      <c r="G59" s="59"/>
      <c r="H59" s="59"/>
      <c r="I59" s="59"/>
      <c r="J59" s="59"/>
      <c r="K59" s="59"/>
    </row>
    <row r="60" customFormat="false" ht="21" hidden="false" customHeight="true" outlineLevel="0" collapsed="false">
      <c r="C60" s="56"/>
      <c r="D60" s="59"/>
      <c r="E60" s="59"/>
      <c r="F60" s="59"/>
      <c r="G60" s="59"/>
      <c r="H60" s="59"/>
      <c r="I60" s="59"/>
      <c r="J60" s="59"/>
      <c r="K60" s="59"/>
    </row>
    <row r="61" customFormat="false" ht="21" hidden="false" customHeight="true" outlineLevel="0" collapsed="false">
      <c r="C61" s="56"/>
      <c r="D61" s="59"/>
      <c r="E61" s="59"/>
      <c r="F61" s="59"/>
      <c r="G61" s="59"/>
      <c r="H61" s="59"/>
      <c r="I61" s="59"/>
      <c r="J61" s="59"/>
      <c r="K61" s="59"/>
    </row>
    <row r="62" customFormat="false" ht="21" hidden="false" customHeight="true" outlineLevel="0" collapsed="false">
      <c r="C62" s="56"/>
      <c r="D62" s="59"/>
      <c r="E62" s="59"/>
      <c r="F62" s="59"/>
      <c r="G62" s="59"/>
      <c r="H62" s="59"/>
      <c r="I62" s="59"/>
      <c r="J62" s="59"/>
      <c r="K62" s="59"/>
    </row>
    <row r="63" customFormat="false" ht="21" hidden="false" customHeight="true" outlineLevel="0" collapsed="false">
      <c r="C63" s="56"/>
      <c r="D63" s="59"/>
      <c r="E63" s="59"/>
      <c r="F63" s="59"/>
      <c r="G63" s="59"/>
      <c r="H63" s="59"/>
      <c r="I63" s="59"/>
      <c r="J63" s="59"/>
      <c r="K63" s="59"/>
    </row>
    <row r="64" customFormat="false" ht="21" hidden="false" customHeight="true" outlineLevel="0" collapsed="false">
      <c r="C64" s="56"/>
      <c r="D64" s="59"/>
      <c r="E64" s="59"/>
      <c r="F64" s="59"/>
      <c r="G64" s="59"/>
      <c r="H64" s="59"/>
      <c r="I64" s="59"/>
      <c r="J64" s="59"/>
      <c r="K64" s="59"/>
    </row>
    <row r="65" customFormat="false" ht="21" hidden="false" customHeight="true" outlineLevel="0" collapsed="false">
      <c r="C65" s="56"/>
      <c r="D65" s="59"/>
      <c r="E65" s="59"/>
      <c r="F65" s="59"/>
      <c r="G65" s="59"/>
      <c r="H65" s="59"/>
      <c r="I65" s="59"/>
      <c r="J65" s="59"/>
      <c r="K65" s="59"/>
    </row>
    <row r="66" customFormat="false" ht="21" hidden="false" customHeight="true" outlineLevel="0" collapsed="false">
      <c r="C66" s="56"/>
      <c r="D66" s="59"/>
      <c r="E66" s="59"/>
      <c r="F66" s="59"/>
      <c r="G66" s="59"/>
      <c r="H66" s="59"/>
      <c r="I66" s="59"/>
      <c r="J66" s="59"/>
      <c r="K66" s="59"/>
    </row>
    <row r="67" customFormat="false" ht="21" hidden="false" customHeight="true" outlineLevel="0" collapsed="false">
      <c r="C67" s="56"/>
      <c r="D67" s="59"/>
      <c r="E67" s="59"/>
      <c r="F67" s="59"/>
      <c r="G67" s="59"/>
      <c r="H67" s="59"/>
      <c r="I67" s="59"/>
      <c r="J67" s="59"/>
      <c r="K67" s="59"/>
    </row>
    <row r="68" customFormat="false" ht="21" hidden="false" customHeight="true" outlineLevel="0" collapsed="false">
      <c r="C68" s="56"/>
      <c r="D68" s="59"/>
      <c r="E68" s="59"/>
      <c r="F68" s="59"/>
      <c r="G68" s="59"/>
      <c r="H68" s="59"/>
      <c r="I68" s="59"/>
      <c r="J68" s="59"/>
      <c r="K68" s="59"/>
    </row>
    <row r="69" customFormat="false" ht="21" hidden="false" customHeight="true" outlineLevel="0" collapsed="false">
      <c r="C69" s="56"/>
      <c r="D69" s="59"/>
      <c r="E69" s="59"/>
      <c r="F69" s="59"/>
      <c r="G69" s="59"/>
      <c r="H69" s="59"/>
      <c r="I69" s="59"/>
      <c r="J69" s="59"/>
      <c r="K69" s="59"/>
    </row>
    <row r="70" customFormat="false" ht="21" hidden="false" customHeight="true" outlineLevel="0" collapsed="false">
      <c r="C70" s="56"/>
      <c r="D70" s="59"/>
      <c r="E70" s="59"/>
      <c r="F70" s="59"/>
      <c r="G70" s="59"/>
      <c r="H70" s="59"/>
      <c r="I70" s="59"/>
      <c r="J70" s="59"/>
      <c r="K70" s="59"/>
    </row>
    <row r="71" customFormat="false" ht="21" hidden="false" customHeight="true" outlineLevel="0" collapsed="false">
      <c r="C71" s="56"/>
      <c r="D71" s="59"/>
      <c r="E71" s="59"/>
      <c r="F71" s="59"/>
      <c r="G71" s="59"/>
      <c r="H71" s="59"/>
      <c r="I71" s="59"/>
      <c r="J71" s="59"/>
      <c r="K71" s="59"/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</row>
  </sheetData>
  <sheetProtection sheet="1" objects="1" scenarios="1" selectLockedCells="0" selectUnlockedCells="0"/>
  <mergeCells count="2">
    <mergeCell ref="C2:K2"/>
    <mergeCell ref="C3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>
  <sheetPr filterMode="false">
    <pageSetUpPr fitToPage="false"/>
  </sheetPr>
  <dimension ref="C1:K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11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</row>
    <row r="2" customFormat="false" ht="33" hidden="false" customHeight="true" outlineLevel="0" collapsed="false">
      <c r="C2" s="57" t="s">
        <v>927</v>
      </c>
      <c r="D2" s="57"/>
      <c r="E2" s="57"/>
      <c r="F2" s="57"/>
      <c r="G2" s="57"/>
      <c r="H2" s="57"/>
      <c r="I2" s="57"/>
      <c r="J2" s="57"/>
      <c r="K2" s="57"/>
    </row>
    <row r="3" customFormat="false" ht="21" hidden="false" customHeight="true" outlineLevel="0" collapsed="false">
      <c r="C3" s="58" t="s">
        <v>928</v>
      </c>
      <c r="D3" s="58"/>
      <c r="E3" s="58"/>
      <c r="F3" s="58"/>
      <c r="G3" s="58"/>
      <c r="H3" s="58"/>
      <c r="I3" s="58"/>
      <c r="J3" s="58"/>
      <c r="K3" s="58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</row>
    <row r="6" customFormat="false" ht="21" hidden="false" customHeight="true" outlineLevel="0" collapsed="false">
      <c r="C6" s="56"/>
      <c r="D6" s="56"/>
      <c r="E6" s="56"/>
      <c r="F6" s="56"/>
      <c r="G6" s="56"/>
      <c r="H6" s="56"/>
      <c r="I6" s="56"/>
      <c r="J6" s="56"/>
      <c r="K6" s="56"/>
    </row>
    <row r="7" customFormat="false" ht="21" hidden="false" customHeight="true" outlineLevel="0" collapsed="false">
      <c r="C7" s="56" t="s">
        <v>929</v>
      </c>
      <c r="D7" s="56" t="s">
        <v>34</v>
      </c>
      <c r="E7" s="56" t="s">
        <v>36</v>
      </c>
      <c r="F7" s="56" t="s">
        <v>38</v>
      </c>
      <c r="G7" s="56" t="s">
        <v>930</v>
      </c>
      <c r="H7" s="56" t="s">
        <v>931</v>
      </c>
      <c r="I7" s="56" t="s">
        <v>932</v>
      </c>
      <c r="J7" s="56"/>
      <c r="K7" s="56"/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</row>
    <row r="9" customFormat="false" ht="21" hidden="false" customHeight="true" outlineLevel="0" collapsed="false">
      <c r="C9" s="81" t="s">
        <v>933</v>
      </c>
      <c r="D9" s="59"/>
      <c r="E9" s="59"/>
      <c r="F9" s="59"/>
      <c r="G9" s="59"/>
      <c r="H9" s="59"/>
      <c r="I9" s="59" t="s">
        <v>934</v>
      </c>
      <c r="J9" s="59"/>
      <c r="K9" s="59"/>
    </row>
    <row r="10" customFormat="false" ht="21" hidden="false" customHeight="true" outlineLevel="0" collapsed="false">
      <c r="C10" s="81" t="s">
        <v>935</v>
      </c>
      <c r="D10" s="59" t="n">
        <v>17836.04022721</v>
      </c>
      <c r="E10" s="59" t="n">
        <v>18601.14279667</v>
      </c>
      <c r="F10" s="59" t="n">
        <v>18633.5262054</v>
      </c>
      <c r="G10" s="59" t="n">
        <v>9548.40182759</v>
      </c>
      <c r="H10" s="59" t="n">
        <v>9831.2277778</v>
      </c>
      <c r="I10" s="59" t="s">
        <v>934</v>
      </c>
      <c r="J10" s="59"/>
      <c r="K10" s="59"/>
    </row>
    <row r="11" customFormat="false" ht="21" hidden="false" customHeight="true" outlineLevel="0" collapsed="false">
      <c r="C11" s="81" t="s">
        <v>936</v>
      </c>
      <c r="D11" s="59"/>
      <c r="E11" s="59"/>
      <c r="F11" s="59"/>
      <c r="G11" s="59"/>
      <c r="H11" s="59"/>
      <c r="I11" s="59" t="s">
        <v>934</v>
      </c>
      <c r="J11" s="59"/>
      <c r="K11" s="59"/>
    </row>
    <row r="12" customFormat="false" ht="21" hidden="false" customHeight="true" outlineLevel="0" collapsed="false">
      <c r="C12" s="81" t="s">
        <v>937</v>
      </c>
      <c r="D12" s="59"/>
      <c r="E12" s="59"/>
      <c r="F12" s="59"/>
      <c r="G12" s="59"/>
      <c r="H12" s="59"/>
      <c r="I12" s="59" t="s">
        <v>934</v>
      </c>
      <c r="J12" s="59"/>
      <c r="K12" s="59"/>
    </row>
    <row r="13" customFormat="false" ht="21" hidden="false" customHeight="true" outlineLevel="0" collapsed="false">
      <c r="C13" s="81" t="s">
        <v>938</v>
      </c>
      <c r="D13" s="59"/>
      <c r="E13" s="59"/>
      <c r="F13" s="59"/>
      <c r="G13" s="59"/>
      <c r="H13" s="59"/>
      <c r="I13" s="59" t="s">
        <v>934</v>
      </c>
      <c r="J13" s="59"/>
      <c r="K13" s="59"/>
    </row>
    <row r="14" customFormat="false" ht="21" hidden="false" customHeight="true" outlineLevel="0" collapsed="false">
      <c r="C14" s="81" t="s">
        <v>939</v>
      </c>
      <c r="D14" s="59"/>
      <c r="E14" s="59"/>
      <c r="F14" s="59"/>
      <c r="G14" s="59"/>
      <c r="H14" s="59"/>
      <c r="I14" s="59" t="s">
        <v>934</v>
      </c>
      <c r="J14" s="59"/>
      <c r="K14" s="59"/>
    </row>
    <row r="15" customFormat="false" ht="21" hidden="false" customHeight="true" outlineLevel="0" collapsed="false">
      <c r="C15" s="81" t="s">
        <v>940</v>
      </c>
      <c r="D15" s="59"/>
      <c r="E15" s="59"/>
      <c r="F15" s="59"/>
      <c r="G15" s="59"/>
      <c r="H15" s="59"/>
      <c r="I15" s="59" t="s">
        <v>934</v>
      </c>
      <c r="J15" s="59"/>
      <c r="K15" s="59"/>
    </row>
    <row r="16" customFormat="false" ht="21" hidden="false" customHeight="true" outlineLevel="0" collapsed="false">
      <c r="C16" s="81" t="s">
        <v>941</v>
      </c>
      <c r="D16" s="59"/>
      <c r="E16" s="59"/>
      <c r="F16" s="59"/>
      <c r="G16" s="59"/>
      <c r="H16" s="59"/>
      <c r="I16" s="59" t="s">
        <v>934</v>
      </c>
      <c r="J16" s="59"/>
      <c r="K16" s="59"/>
    </row>
    <row r="17" customFormat="false" ht="21" hidden="false" customHeight="true" outlineLevel="0" collapsed="false">
      <c r="C17" s="81" t="s">
        <v>942</v>
      </c>
      <c r="D17" s="59"/>
      <c r="E17" s="59"/>
      <c r="F17" s="59"/>
      <c r="G17" s="59"/>
      <c r="H17" s="59"/>
      <c r="I17" s="59" t="s">
        <v>934</v>
      </c>
      <c r="J17" s="59"/>
      <c r="K17" s="59"/>
    </row>
    <row r="18" customFormat="false" ht="21" hidden="false" customHeight="true" outlineLevel="0" collapsed="false">
      <c r="C18" s="81" t="s">
        <v>943</v>
      </c>
      <c r="D18" s="59"/>
      <c r="E18" s="59"/>
      <c r="F18" s="59"/>
      <c r="G18" s="59"/>
      <c r="H18" s="59"/>
      <c r="I18" s="59" t="s">
        <v>934</v>
      </c>
      <c r="J18" s="59"/>
      <c r="K18" s="59"/>
    </row>
    <row r="19" customFormat="false" ht="21" hidden="false" customHeight="true" outlineLevel="0" collapsed="false">
      <c r="C19" s="81" t="s">
        <v>944</v>
      </c>
      <c r="D19" s="59"/>
      <c r="E19" s="59"/>
      <c r="F19" s="59"/>
      <c r="G19" s="59"/>
      <c r="H19" s="59"/>
      <c r="I19" s="59" t="s">
        <v>934</v>
      </c>
      <c r="J19" s="59"/>
      <c r="K19" s="59"/>
    </row>
    <row r="20" customFormat="false" ht="21" hidden="false" customHeight="true" outlineLevel="0" collapsed="false">
      <c r="C20" s="81" t="s">
        <v>945</v>
      </c>
      <c r="D20" s="59"/>
      <c r="E20" s="59"/>
      <c r="F20" s="59"/>
      <c r="G20" s="59"/>
      <c r="H20" s="59"/>
      <c r="I20" s="59" t="s">
        <v>934</v>
      </c>
      <c r="J20" s="59"/>
      <c r="K20" s="59"/>
    </row>
    <row r="21" customFormat="false" ht="21" hidden="false" customHeight="true" outlineLevel="0" collapsed="false">
      <c r="C21" s="81" t="s">
        <v>946</v>
      </c>
      <c r="D21" s="59" t="n">
        <v>15.37594744</v>
      </c>
      <c r="E21" s="59" t="n">
        <v>15.78645902</v>
      </c>
      <c r="F21" s="59" t="n">
        <v>11.39392578</v>
      </c>
      <c r="G21" s="59" t="n">
        <v>9.21523295</v>
      </c>
      <c r="H21" s="59" t="n">
        <v>14.43303511</v>
      </c>
      <c r="I21" s="59" t="s">
        <v>934</v>
      </c>
      <c r="J21" s="59"/>
      <c r="K21" s="59"/>
    </row>
    <row r="22" customFormat="false" ht="21" hidden="false" customHeight="true" outlineLevel="0" collapsed="false">
      <c r="C22" s="81" t="s">
        <v>947</v>
      </c>
      <c r="D22" s="59" t="n">
        <v>484.4707921</v>
      </c>
      <c r="E22" s="59" t="n">
        <v>355.1454431</v>
      </c>
      <c r="F22" s="59" t="n">
        <v>400.86491196</v>
      </c>
      <c r="G22" s="59" t="n">
        <v>193.30242087</v>
      </c>
      <c r="H22" s="59" t="n">
        <v>127.6290961</v>
      </c>
      <c r="I22" s="59" t="s">
        <v>934</v>
      </c>
      <c r="J22" s="59"/>
      <c r="K22" s="59"/>
    </row>
    <row r="23" customFormat="false" ht="21" hidden="false" customHeight="true" outlineLevel="0" collapsed="false">
      <c r="C23" s="81" t="s">
        <v>948</v>
      </c>
      <c r="D23" s="59" t="n">
        <v>18335.88696675</v>
      </c>
      <c r="E23" s="59" t="n">
        <v>18972.07469879</v>
      </c>
      <c r="F23" s="59" t="n">
        <v>19045.78504314</v>
      </c>
      <c r="G23" s="59" t="n">
        <v>9750.91948141</v>
      </c>
      <c r="H23" s="59" t="n">
        <v>9973.28990901</v>
      </c>
      <c r="I23" s="59" t="s">
        <v>949</v>
      </c>
      <c r="J23" s="59"/>
      <c r="K23" s="59"/>
    </row>
    <row r="24" customFormat="false" ht="21" hidden="false" customHeight="true" outlineLevel="0" collapsed="false">
      <c r="C24" s="81" t="s">
        <v>950</v>
      </c>
      <c r="D24" s="59" t="n">
        <v>8552.85807592</v>
      </c>
      <c r="E24" s="59" t="n">
        <v>9726.71192775</v>
      </c>
      <c r="F24" s="59" t="n">
        <v>9097.36306672</v>
      </c>
      <c r="G24" s="59" t="n">
        <v>4459.17758836</v>
      </c>
      <c r="H24" s="59" t="n">
        <v>4776.18660539</v>
      </c>
      <c r="I24" s="59" t="s">
        <v>949</v>
      </c>
      <c r="J24" s="59"/>
      <c r="K24" s="59"/>
    </row>
    <row r="25" customFormat="false" ht="21" hidden="false" customHeight="true" outlineLevel="0" collapsed="false">
      <c r="C25" s="81" t="s">
        <v>951</v>
      </c>
      <c r="D25" s="59"/>
      <c r="E25" s="59"/>
      <c r="F25" s="59"/>
      <c r="G25" s="59"/>
      <c r="H25" s="59"/>
      <c r="I25" s="59" t="s">
        <v>949</v>
      </c>
      <c r="J25" s="59"/>
      <c r="K25" s="59"/>
    </row>
    <row r="26" customFormat="false" ht="21" hidden="false" customHeight="true" outlineLevel="0" collapsed="false">
      <c r="C26" s="81" t="s">
        <v>952</v>
      </c>
      <c r="D26" s="59"/>
      <c r="E26" s="59"/>
      <c r="F26" s="59"/>
      <c r="G26" s="59"/>
      <c r="H26" s="59"/>
      <c r="I26" s="59" t="s">
        <v>949</v>
      </c>
      <c r="J26" s="59"/>
      <c r="K26" s="59"/>
    </row>
    <row r="27" customFormat="false" ht="21" hidden="false" customHeight="true" outlineLevel="0" collapsed="false">
      <c r="C27" s="81" t="s">
        <v>953</v>
      </c>
      <c r="D27" s="59"/>
      <c r="E27" s="59"/>
      <c r="F27" s="59"/>
      <c r="G27" s="59"/>
      <c r="H27" s="59"/>
      <c r="I27" s="59" t="s">
        <v>949</v>
      </c>
      <c r="J27" s="59"/>
      <c r="K27" s="59"/>
    </row>
    <row r="28" customFormat="false" ht="21" hidden="false" customHeight="true" outlineLevel="0" collapsed="false">
      <c r="C28" s="81" t="s">
        <v>954</v>
      </c>
      <c r="D28" s="59"/>
      <c r="E28" s="59"/>
      <c r="F28" s="59"/>
      <c r="G28" s="59"/>
      <c r="H28" s="59"/>
      <c r="I28" s="59" t="s">
        <v>949</v>
      </c>
      <c r="J28" s="59"/>
      <c r="K28" s="59"/>
    </row>
    <row r="29" customFormat="false" ht="21" hidden="false" customHeight="true" outlineLevel="0" collapsed="false">
      <c r="C29" s="81" t="s">
        <v>955</v>
      </c>
      <c r="D29" s="59"/>
      <c r="E29" s="59"/>
      <c r="F29" s="59"/>
      <c r="G29" s="59"/>
      <c r="H29" s="59"/>
      <c r="I29" s="59" t="s">
        <v>949</v>
      </c>
      <c r="J29" s="59"/>
      <c r="K29" s="59"/>
    </row>
    <row r="30" customFormat="false" ht="21" hidden="false" customHeight="true" outlineLevel="0" collapsed="false">
      <c r="C30" s="81" t="s">
        <v>956</v>
      </c>
      <c r="D30" s="59"/>
      <c r="E30" s="59"/>
      <c r="F30" s="59"/>
      <c r="G30" s="59"/>
      <c r="H30" s="59"/>
      <c r="I30" s="59" t="s">
        <v>949</v>
      </c>
      <c r="J30" s="59"/>
      <c r="K30" s="59"/>
    </row>
    <row r="31" customFormat="false" ht="21" hidden="false" customHeight="true" outlineLevel="0" collapsed="false">
      <c r="C31" s="81" t="s">
        <v>957</v>
      </c>
      <c r="D31" s="59" t="n">
        <v>2078.2093904</v>
      </c>
      <c r="E31" s="59" t="n">
        <v>2423.9586766</v>
      </c>
      <c r="F31" s="59" t="n">
        <v>2323.46928541</v>
      </c>
      <c r="G31" s="59" t="n">
        <v>1271.04281378</v>
      </c>
      <c r="H31" s="59" t="n">
        <v>1242.9262921</v>
      </c>
      <c r="I31" s="59" t="s">
        <v>949</v>
      </c>
      <c r="J31" s="59"/>
      <c r="K31" s="59"/>
    </row>
    <row r="32" customFormat="false" ht="21" hidden="false" customHeight="true" outlineLevel="0" collapsed="false">
      <c r="C32" s="81" t="s">
        <v>958</v>
      </c>
      <c r="D32" s="59" t="n">
        <v>1674.79002826</v>
      </c>
      <c r="E32" s="59" t="n">
        <v>1855.10275185</v>
      </c>
      <c r="F32" s="59" t="n">
        <v>1820.01652781</v>
      </c>
      <c r="G32" s="59" t="n">
        <v>963.6887609</v>
      </c>
      <c r="H32" s="59" t="n">
        <v>1050.57629648</v>
      </c>
      <c r="I32" s="59" t="s">
        <v>949</v>
      </c>
      <c r="J32" s="59"/>
      <c r="K32" s="59"/>
    </row>
    <row r="33" customFormat="false" ht="21" hidden="false" customHeight="true" outlineLevel="0" collapsed="false">
      <c r="C33" s="81" t="s">
        <v>959</v>
      </c>
      <c r="D33" s="59" t="n">
        <v>1202.74737362</v>
      </c>
      <c r="E33" s="59" t="n">
        <v>1235.95444632</v>
      </c>
      <c r="F33" s="59" t="n">
        <v>1061.24381136</v>
      </c>
      <c r="G33" s="59" t="n">
        <v>679.20746864</v>
      </c>
      <c r="H33" s="59" t="n">
        <v>667.71830991</v>
      </c>
      <c r="I33" s="59" t="s">
        <v>949</v>
      </c>
      <c r="J33" s="59"/>
      <c r="K33" s="59"/>
    </row>
    <row r="34" customFormat="false" ht="21" hidden="false" customHeight="true" outlineLevel="0" collapsed="false">
      <c r="C34" s="81" t="s">
        <v>960</v>
      </c>
      <c r="D34" s="59" t="n">
        <v>13508.6048682</v>
      </c>
      <c r="E34" s="59" t="n">
        <v>15241.72780252</v>
      </c>
      <c r="F34" s="59" t="n">
        <v>14302.0926913</v>
      </c>
      <c r="G34" s="59" t="n">
        <v>7373.11663168</v>
      </c>
      <c r="H34" s="59" t="n">
        <v>7737.40750388</v>
      </c>
      <c r="I34" s="59" t="s">
        <v>949</v>
      </c>
      <c r="J34" s="59"/>
      <c r="K34" s="59"/>
    </row>
    <row r="35" customFormat="false" ht="21" hidden="false" customHeight="true" outlineLevel="0" collapsed="false">
      <c r="C35" s="81" t="s">
        <v>961</v>
      </c>
      <c r="D35" s="59" t="n">
        <v>4827.28209855</v>
      </c>
      <c r="E35" s="59" t="n">
        <v>3730.34689627</v>
      </c>
      <c r="F35" s="59" t="n">
        <v>4743.69235184</v>
      </c>
      <c r="G35" s="59" t="n">
        <v>2377.80284973</v>
      </c>
      <c r="H35" s="59" t="n">
        <v>2235.88240513</v>
      </c>
      <c r="I35" s="59" t="s">
        <v>949</v>
      </c>
      <c r="J35" s="59"/>
      <c r="K35" s="59"/>
    </row>
    <row r="36" customFormat="false" ht="21" hidden="false" customHeight="true" outlineLevel="0" collapsed="false">
      <c r="C36" s="81" t="s">
        <v>962</v>
      </c>
      <c r="D36" s="59"/>
      <c r="E36" s="59"/>
      <c r="F36" s="59"/>
      <c r="G36" s="59"/>
      <c r="H36" s="59"/>
      <c r="I36" s="59" t="s">
        <v>949</v>
      </c>
      <c r="J36" s="59"/>
      <c r="K36" s="59"/>
    </row>
    <row r="37" customFormat="false" ht="21" hidden="false" customHeight="true" outlineLevel="0" collapsed="false">
      <c r="C37" s="81" t="s">
        <v>963</v>
      </c>
      <c r="D37" s="59"/>
      <c r="E37" s="59"/>
      <c r="F37" s="59"/>
      <c r="G37" s="59"/>
      <c r="H37" s="59"/>
      <c r="I37" s="59" t="s">
        <v>949</v>
      </c>
      <c r="J37" s="59"/>
      <c r="K37" s="59"/>
    </row>
    <row r="38" customFormat="false" ht="21" hidden="false" customHeight="true" outlineLevel="0" collapsed="false">
      <c r="C38" s="81" t="s">
        <v>964</v>
      </c>
      <c r="D38" s="59" t="n">
        <v>194.1537465</v>
      </c>
      <c r="E38" s="59" t="n">
        <v>541.09943151</v>
      </c>
      <c r="F38" s="59" t="n">
        <v>391.05765668</v>
      </c>
      <c r="G38" s="59" t="n">
        <v>185.13081432</v>
      </c>
      <c r="H38" s="59" t="n">
        <v>257.05763704</v>
      </c>
      <c r="I38" s="59" t="s">
        <v>965</v>
      </c>
      <c r="J38" s="59"/>
      <c r="K38" s="59"/>
    </row>
    <row r="39" customFormat="false" ht="21" hidden="false" customHeight="true" outlineLevel="0" collapsed="false">
      <c r="C39" s="81" t="s">
        <v>966</v>
      </c>
      <c r="D39" s="59" t="n">
        <v>2.64892184</v>
      </c>
      <c r="E39" s="59" t="n">
        <v>8.2973304</v>
      </c>
      <c r="F39" s="59" t="n">
        <v>6.81436133</v>
      </c>
      <c r="G39" s="59" t="n">
        <v>0.124955</v>
      </c>
      <c r="H39" s="59" t="n">
        <v>0.1746</v>
      </c>
      <c r="I39" s="59" t="s">
        <v>965</v>
      </c>
      <c r="J39" s="59"/>
      <c r="K39" s="59"/>
    </row>
    <row r="40" customFormat="false" ht="21" hidden="false" customHeight="true" outlineLevel="0" collapsed="false">
      <c r="C40" s="81" t="s">
        <v>967</v>
      </c>
      <c r="D40" s="59"/>
      <c r="E40" s="59"/>
      <c r="F40" s="59"/>
      <c r="G40" s="59"/>
      <c r="H40" s="59"/>
      <c r="I40" s="59" t="s">
        <v>968</v>
      </c>
      <c r="J40" s="59"/>
      <c r="K40" s="59"/>
    </row>
    <row r="41" customFormat="false" ht="21" hidden="false" customHeight="true" outlineLevel="0" collapsed="false">
      <c r="C41" s="81" t="s">
        <v>969</v>
      </c>
      <c r="D41" s="59" t="n">
        <v>9076.56883088</v>
      </c>
      <c r="E41" s="59" t="n">
        <v>18922.93497607</v>
      </c>
      <c r="F41" s="59" t="n">
        <v>18215.86795625</v>
      </c>
      <c r="G41" s="59" t="n">
        <v>9448.98085536</v>
      </c>
      <c r="H41" s="59" t="n">
        <v>12023.43936898</v>
      </c>
      <c r="I41" s="59" t="s">
        <v>968</v>
      </c>
      <c r="J41" s="59"/>
      <c r="K41" s="59"/>
    </row>
    <row r="42" customFormat="false" ht="21" hidden="false" customHeight="true" outlineLevel="0" collapsed="false">
      <c r="C42" s="81" t="s">
        <v>970</v>
      </c>
      <c r="D42" s="59" t="n">
        <v>9273.37149922</v>
      </c>
      <c r="E42" s="59" t="n">
        <v>19472.33173798</v>
      </c>
      <c r="F42" s="59" t="n">
        <v>18613.73997426</v>
      </c>
      <c r="G42" s="59" t="n">
        <v>9634.23662468</v>
      </c>
      <c r="H42" s="59" t="n">
        <v>12280.67160602</v>
      </c>
      <c r="I42" s="59" t="s">
        <v>968</v>
      </c>
      <c r="J42" s="59"/>
      <c r="K42" s="59"/>
    </row>
    <row r="43" customFormat="false" ht="21" hidden="false" customHeight="true" outlineLevel="0" collapsed="false">
      <c r="C43" s="81" t="s">
        <v>971</v>
      </c>
      <c r="D43" s="59" t="n">
        <v>655.20199612</v>
      </c>
      <c r="E43" s="59" t="n">
        <v>938.51961843</v>
      </c>
      <c r="F43" s="59" t="n">
        <v>500.13911024</v>
      </c>
      <c r="G43" s="59" t="n">
        <v>335.24327227</v>
      </c>
      <c r="H43" s="59" t="n">
        <v>164.97009367</v>
      </c>
      <c r="I43" s="59" t="s">
        <v>968</v>
      </c>
      <c r="J43" s="59"/>
      <c r="K43" s="59"/>
    </row>
    <row r="44" customFormat="false" ht="21" hidden="false" customHeight="true" outlineLevel="0" collapsed="false">
      <c r="C44" s="81" t="s">
        <v>972</v>
      </c>
      <c r="D44" s="59"/>
      <c r="E44" s="59"/>
      <c r="F44" s="59"/>
      <c r="G44" s="59"/>
      <c r="H44" s="59"/>
      <c r="I44" s="59" t="s">
        <v>968</v>
      </c>
      <c r="J44" s="59"/>
      <c r="K44" s="59"/>
    </row>
    <row r="45" customFormat="false" ht="21" hidden="false" customHeight="true" outlineLevel="0" collapsed="false">
      <c r="C45" s="81" t="s">
        <v>973</v>
      </c>
      <c r="D45" s="59"/>
      <c r="E45" s="59"/>
      <c r="F45" s="59"/>
      <c r="G45" s="59"/>
      <c r="H45" s="59"/>
      <c r="I45" s="59" t="s">
        <v>968</v>
      </c>
      <c r="J45" s="59"/>
      <c r="K45" s="59"/>
    </row>
    <row r="46" customFormat="false" ht="21" hidden="false" customHeight="true" outlineLevel="0" collapsed="false">
      <c r="C46" s="81" t="s">
        <v>974</v>
      </c>
      <c r="D46" s="59"/>
      <c r="E46" s="59" t="n">
        <v>31.30862823</v>
      </c>
      <c r="F46" s="59"/>
      <c r="G46" s="59"/>
      <c r="H46" s="59"/>
      <c r="I46" s="59" t="s">
        <v>968</v>
      </c>
      <c r="J46" s="59"/>
      <c r="K46" s="59"/>
    </row>
    <row r="47" customFormat="false" ht="21" hidden="false" customHeight="true" outlineLevel="0" collapsed="false">
      <c r="C47" s="81" t="s">
        <v>975</v>
      </c>
      <c r="D47" s="59" t="n">
        <v>12052.553025</v>
      </c>
      <c r="E47" s="59" t="n">
        <v>19208.81325221</v>
      </c>
      <c r="F47" s="59" t="n">
        <v>20175.85348631</v>
      </c>
      <c r="G47" s="59" t="n">
        <v>9040.26829221</v>
      </c>
      <c r="H47" s="59" t="n">
        <v>10503.67222525</v>
      </c>
      <c r="I47" s="59" t="s">
        <v>968</v>
      </c>
      <c r="J47" s="59"/>
      <c r="K47" s="59"/>
    </row>
    <row r="48" customFormat="false" ht="21" hidden="false" customHeight="true" outlineLevel="0" collapsed="false">
      <c r="C48" s="81" t="s">
        <v>976</v>
      </c>
      <c r="D48" s="59" t="n">
        <v>12707.75502112</v>
      </c>
      <c r="E48" s="59" t="n">
        <v>20178.64149887</v>
      </c>
      <c r="F48" s="59" t="n">
        <v>20675.99259655</v>
      </c>
      <c r="G48" s="59" t="n">
        <v>9375.51156448</v>
      </c>
      <c r="H48" s="59" t="n">
        <v>10668.64231892</v>
      </c>
      <c r="I48" s="59" t="s">
        <v>968</v>
      </c>
      <c r="J48" s="59"/>
      <c r="K48" s="59"/>
    </row>
    <row r="49" customFormat="false" ht="21" hidden="false" customHeight="true" outlineLevel="0" collapsed="false">
      <c r="C49" s="81" t="s">
        <v>977</v>
      </c>
      <c r="D49" s="59" t="n">
        <v>-3434.3835219</v>
      </c>
      <c r="E49" s="59" t="n">
        <v>-706.30976089</v>
      </c>
      <c r="F49" s="59" t="n">
        <v>-2062.25262229</v>
      </c>
      <c r="G49" s="59" t="n">
        <v>258.7250602</v>
      </c>
      <c r="H49" s="59" t="n">
        <v>1612.0292871</v>
      </c>
      <c r="I49" s="59" t="s">
        <v>968</v>
      </c>
      <c r="J49" s="59"/>
      <c r="K49" s="59"/>
    </row>
    <row r="50" customFormat="false" ht="21" hidden="false" customHeight="true" outlineLevel="0" collapsed="false">
      <c r="C50" s="81" t="s">
        <v>978</v>
      </c>
      <c r="D50" s="59"/>
      <c r="E50" s="59"/>
      <c r="F50" s="59"/>
      <c r="G50" s="59"/>
      <c r="H50" s="59"/>
      <c r="I50" s="59" t="s">
        <v>968</v>
      </c>
      <c r="J50" s="59"/>
      <c r="K50" s="59"/>
    </row>
    <row r="51" customFormat="false" ht="21" hidden="false" customHeight="true" outlineLevel="0" collapsed="false">
      <c r="C51" s="81" t="s">
        <v>979</v>
      </c>
      <c r="D51" s="59" t="n">
        <v>110.9930596</v>
      </c>
      <c r="E51" s="59" t="n">
        <v>120.0937212</v>
      </c>
      <c r="F51" s="59" t="n">
        <v>121.87765437</v>
      </c>
      <c r="G51" s="59" t="n">
        <v>116.61465595</v>
      </c>
      <c r="H51" s="59" t="n">
        <v>116.8857711</v>
      </c>
      <c r="I51" s="59" t="s">
        <v>968</v>
      </c>
      <c r="J51" s="59"/>
      <c r="K51" s="59"/>
    </row>
    <row r="52" customFormat="false" ht="21" hidden="false" customHeight="true" outlineLevel="0" collapsed="false">
      <c r="C52" s="56"/>
      <c r="D52" s="59" t="n">
        <v>3.8</v>
      </c>
      <c r="E52" s="59"/>
      <c r="F52" s="59"/>
      <c r="G52" s="59"/>
      <c r="H52" s="59"/>
      <c r="I52" s="59" t="s">
        <v>980</v>
      </c>
      <c r="J52" s="59"/>
      <c r="K52" s="59"/>
    </row>
    <row r="53" customFormat="false" ht="21" hidden="false" customHeight="true" outlineLevel="0" collapsed="false">
      <c r="C53" s="81" t="s">
        <v>981</v>
      </c>
      <c r="D53" s="59" t="n">
        <v>1448.97210234</v>
      </c>
      <c r="E53" s="59" t="n">
        <v>384.24491537</v>
      </c>
      <c r="F53" s="59" t="n">
        <v>1712.62408126</v>
      </c>
      <c r="G53" s="59" t="n">
        <v>1270</v>
      </c>
      <c r="H53" s="59" t="n">
        <v>1975.84316669</v>
      </c>
      <c r="I53" s="59" t="s">
        <v>968</v>
      </c>
      <c r="J53" s="59"/>
      <c r="K53" s="59"/>
    </row>
    <row r="54" customFormat="false" ht="21" hidden="false" customHeight="true" outlineLevel="0" collapsed="false">
      <c r="C54" s="81" t="s">
        <v>982</v>
      </c>
      <c r="D54" s="59"/>
      <c r="E54" s="59" t="n">
        <v>200.66246575</v>
      </c>
      <c r="F54" s="59"/>
      <c r="G54" s="59"/>
      <c r="H54" s="59"/>
      <c r="I54" s="59" t="s">
        <v>968</v>
      </c>
      <c r="J54" s="59"/>
      <c r="K54" s="59"/>
    </row>
    <row r="55" customFormat="false" ht="21" hidden="false" customHeight="true" outlineLevel="0" collapsed="false">
      <c r="C55" s="81" t="s">
        <v>983</v>
      </c>
      <c r="D55" s="59" t="n">
        <v>1559.96516194</v>
      </c>
      <c r="E55" s="59" t="n">
        <v>705.00110232</v>
      </c>
      <c r="F55" s="59" t="n">
        <v>1834.50173563</v>
      </c>
      <c r="G55" s="59" t="n">
        <v>1386.61465595</v>
      </c>
      <c r="H55" s="59" t="n">
        <v>2092.72893779</v>
      </c>
      <c r="I55" s="59" t="s">
        <v>984</v>
      </c>
      <c r="J55" s="59"/>
      <c r="K55" s="59"/>
    </row>
    <row r="56" customFormat="false" ht="21" hidden="false" customHeight="true" outlineLevel="0" collapsed="false">
      <c r="C56" s="81" t="s">
        <v>985</v>
      </c>
      <c r="D56" s="59" t="n">
        <v>1312</v>
      </c>
      <c r="E56" s="59" t="n">
        <v>1084.82464603</v>
      </c>
      <c r="F56" s="59" t="n">
        <v>1227.70148279</v>
      </c>
      <c r="G56" s="59" t="n">
        <v>248.65148279</v>
      </c>
      <c r="H56" s="59" t="n">
        <v>1829.95</v>
      </c>
      <c r="I56" s="59" t="s">
        <v>984</v>
      </c>
      <c r="J56" s="59"/>
      <c r="K56" s="59"/>
    </row>
    <row r="57" customFormat="false" ht="21" hidden="false" customHeight="true" outlineLevel="0" collapsed="false">
      <c r="C57" s="81" t="s">
        <v>986</v>
      </c>
      <c r="D57" s="59" t="n">
        <v>2011.97434506</v>
      </c>
      <c r="E57" s="59" t="n">
        <v>2778.93771108</v>
      </c>
      <c r="F57" s="59" t="n">
        <v>3108.8321134</v>
      </c>
      <c r="G57" s="59" t="n">
        <v>3103.95181063</v>
      </c>
      <c r="H57" s="59" t="n">
        <v>3440.57754023</v>
      </c>
      <c r="I57" s="59" t="s">
        <v>984</v>
      </c>
      <c r="J57" s="59"/>
      <c r="K57" s="59"/>
    </row>
    <row r="58" customFormat="false" ht="21" hidden="false" customHeight="true" outlineLevel="0" collapsed="false">
      <c r="C58" s="81" t="s">
        <v>987</v>
      </c>
      <c r="D58" s="59" t="n">
        <v>223.03699715</v>
      </c>
      <c r="E58" s="59" t="n">
        <v>363.54378001</v>
      </c>
      <c r="F58" s="59" t="n">
        <v>296.85261969</v>
      </c>
      <c r="G58" s="59" t="n">
        <v>261.01671599</v>
      </c>
      <c r="H58" s="59" t="n">
        <v>325.56018663</v>
      </c>
      <c r="I58" s="59" t="s">
        <v>984</v>
      </c>
      <c r="J58" s="59"/>
      <c r="K58" s="59"/>
    </row>
    <row r="59" customFormat="false" ht="21" hidden="false" customHeight="true" outlineLevel="0" collapsed="false">
      <c r="C59" s="81" t="s">
        <v>988</v>
      </c>
      <c r="D59" s="59" t="n">
        <v>3547.01134221</v>
      </c>
      <c r="E59" s="59" t="n">
        <v>4227.30613712</v>
      </c>
      <c r="F59" s="59" t="n">
        <v>4633.38621588</v>
      </c>
      <c r="G59" s="59" t="n">
        <v>3613.62000941</v>
      </c>
      <c r="H59" s="59" t="n">
        <v>5596.08772686</v>
      </c>
      <c r="I59" s="59" t="s">
        <v>984</v>
      </c>
      <c r="J59" s="59"/>
      <c r="K59" s="59"/>
    </row>
    <row r="60" customFormat="false" ht="21" hidden="false" customHeight="true" outlineLevel="0" collapsed="false">
      <c r="C60" s="81" t="s">
        <v>989</v>
      </c>
      <c r="D60" s="59" t="n">
        <v>-1987.04618027</v>
      </c>
      <c r="E60" s="59" t="n">
        <v>-3522.3050348</v>
      </c>
      <c r="F60" s="59" t="n">
        <v>-2798.88448025</v>
      </c>
      <c r="G60" s="59" t="n">
        <v>-2227.00535346</v>
      </c>
      <c r="H60" s="59" t="n">
        <v>-3503.35878907</v>
      </c>
      <c r="I60" s="59" t="s">
        <v>984</v>
      </c>
      <c r="J60" s="59"/>
      <c r="K60" s="59"/>
    </row>
    <row r="61" customFormat="false" ht="21" hidden="false" customHeight="true" outlineLevel="0" collapsed="false">
      <c r="C61" s="81" t="s">
        <v>990</v>
      </c>
      <c r="D61" s="59" t="n">
        <v>0.99063394</v>
      </c>
      <c r="E61" s="59" t="n">
        <v>2.39609903</v>
      </c>
      <c r="F61" s="59" t="n">
        <v>2.17493125</v>
      </c>
      <c r="G61" s="59" t="n">
        <v>2.34290972</v>
      </c>
      <c r="H61" s="59" t="n">
        <v>-7.09880488</v>
      </c>
      <c r="I61" s="59" t="s">
        <v>984</v>
      </c>
      <c r="J61" s="59"/>
      <c r="K61" s="59"/>
    </row>
    <row r="62" customFormat="false" ht="21" hidden="false" customHeight="true" outlineLevel="0" collapsed="false">
      <c r="C62" s="81" t="s">
        <v>991</v>
      </c>
      <c r="D62" s="59" t="n">
        <v>-593.15696968</v>
      </c>
      <c r="E62" s="59" t="n">
        <v>-495.87180039</v>
      </c>
      <c r="F62" s="59" t="n">
        <v>-115.26981945</v>
      </c>
      <c r="G62" s="59" t="n">
        <v>411.86546619</v>
      </c>
      <c r="H62" s="59" t="n">
        <v>337.45409828</v>
      </c>
      <c r="I62" s="59" t="s">
        <v>984</v>
      </c>
      <c r="J62" s="59"/>
      <c r="K62" s="59"/>
    </row>
    <row r="63" customFormat="false" ht="21" hidden="false" customHeight="true" outlineLevel="0" collapsed="false">
      <c r="C63" s="81" t="s">
        <v>992</v>
      </c>
      <c r="D63" s="59" t="n">
        <v>1925.34317498</v>
      </c>
      <c r="E63" s="59" t="n">
        <v>1332.1862053</v>
      </c>
      <c r="F63" s="59" t="n">
        <v>836.31440491</v>
      </c>
      <c r="G63" s="59" t="n">
        <v>836.31440491</v>
      </c>
      <c r="H63" s="59" t="n">
        <v>721.04458546</v>
      </c>
      <c r="I63" s="59" t="s">
        <v>984</v>
      </c>
      <c r="J63" s="59"/>
      <c r="K63" s="59"/>
    </row>
    <row r="64" customFormat="false" ht="21" hidden="false" customHeight="true" outlineLevel="0" collapsed="false">
      <c r="C64" s="81" t="s">
        <v>993</v>
      </c>
      <c r="D64" s="59" t="n">
        <v>1332.1862053</v>
      </c>
      <c r="E64" s="59" t="n">
        <v>836.31440491</v>
      </c>
      <c r="F64" s="59" t="n">
        <v>721.04458546</v>
      </c>
      <c r="G64" s="59" t="n">
        <v>1248.1798711</v>
      </c>
      <c r="H64" s="59" t="n">
        <v>1058.49868374</v>
      </c>
      <c r="I64" s="59" t="s">
        <v>984</v>
      </c>
      <c r="J64" s="59"/>
      <c r="K64" s="59"/>
    </row>
    <row r="65" customFormat="false" ht="21" hidden="false" customHeight="true" outlineLevel="0" collapsed="false">
      <c r="C65" s="81" t="s">
        <v>994</v>
      </c>
      <c r="D65" s="59"/>
      <c r="E65" s="59"/>
      <c r="F65" s="59"/>
      <c r="G65" s="59"/>
      <c r="H65" s="59"/>
      <c r="I65" s="59" t="s">
        <v>995</v>
      </c>
      <c r="J65" s="59"/>
      <c r="K65" s="59"/>
    </row>
    <row r="66" customFormat="false" ht="21" hidden="false" customHeight="true" outlineLevel="0" collapsed="false">
      <c r="C66" s="81" t="s">
        <v>996</v>
      </c>
      <c r="D66" s="59"/>
      <c r="E66" s="59"/>
      <c r="F66" s="59"/>
      <c r="G66" s="59"/>
      <c r="H66" s="59"/>
      <c r="I66" s="59" t="s">
        <v>997</v>
      </c>
      <c r="J66" s="59"/>
      <c r="K66" s="59"/>
    </row>
    <row r="67" customFormat="false" ht="21" hidden="false" customHeight="true" outlineLevel="0" collapsed="false">
      <c r="C67" s="56"/>
      <c r="D67" s="59"/>
      <c r="E67" s="59"/>
      <c r="F67" s="59"/>
      <c r="G67" s="59"/>
      <c r="H67" s="59"/>
      <c r="I67" s="59"/>
      <c r="J67" s="59"/>
      <c r="K67" s="59"/>
    </row>
    <row r="68" customFormat="false" ht="21" hidden="false" customHeight="true" outlineLevel="0" collapsed="false">
      <c r="C68" s="56"/>
      <c r="D68" s="59"/>
      <c r="E68" s="59"/>
      <c r="F68" s="59"/>
      <c r="G68" s="59"/>
      <c r="H68" s="59"/>
      <c r="I68" s="59"/>
      <c r="J68" s="59"/>
      <c r="K68" s="59"/>
    </row>
    <row r="69" customFormat="false" ht="21" hidden="false" customHeight="true" outlineLevel="0" collapsed="false">
      <c r="C69" s="56"/>
      <c r="D69" s="59"/>
      <c r="E69" s="59"/>
      <c r="F69" s="59"/>
      <c r="G69" s="59"/>
      <c r="H69" s="59"/>
      <c r="I69" s="59"/>
      <c r="J69" s="59"/>
      <c r="K69" s="59"/>
    </row>
    <row r="70" customFormat="false" ht="21" hidden="false" customHeight="true" outlineLevel="0" collapsed="false">
      <c r="C70" s="56" t="s">
        <v>998</v>
      </c>
      <c r="D70" s="59"/>
      <c r="E70" s="59"/>
      <c r="F70" s="59"/>
      <c r="G70" s="59"/>
      <c r="H70" s="59"/>
      <c r="I70" s="59"/>
      <c r="J70" s="59"/>
      <c r="K70" s="59"/>
    </row>
    <row r="71" customFormat="false" ht="21" hidden="false" customHeight="true" outlineLevel="0" collapsed="false">
      <c r="C71" s="56" t="s">
        <v>999</v>
      </c>
      <c r="D71" s="59"/>
      <c r="E71" s="59"/>
      <c r="F71" s="59"/>
      <c r="G71" s="59"/>
      <c r="H71" s="59"/>
      <c r="I71" s="59"/>
      <c r="J71" s="59"/>
      <c r="K71" s="59"/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</row>
  </sheetData>
  <sheetProtection sheet="1" objects="1" scenarios="1" selectLockedCells="0" selectUnlockedCells="0"/>
  <mergeCells count="2">
    <mergeCell ref="C2:K2"/>
    <mergeCell ref="C3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>
  <sheetPr filterMode="false">
    <pageSetUpPr fitToPage="false"/>
  </sheetPr>
  <dimension ref="C1:K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11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</row>
    <row r="2" customFormat="false" ht="33" hidden="false" customHeight="true" outlineLevel="0" collapsed="false">
      <c r="C2" s="57" t="s">
        <v>859</v>
      </c>
      <c r="D2" s="57"/>
      <c r="E2" s="57"/>
      <c r="F2" s="57"/>
      <c r="G2" s="57"/>
      <c r="H2" s="57"/>
      <c r="I2" s="57"/>
      <c r="J2" s="57"/>
      <c r="K2" s="57"/>
    </row>
    <row r="3" customFormat="false" ht="21" hidden="false" customHeight="true" outlineLevel="0" collapsed="false">
      <c r="C3" s="58" t="s">
        <v>1000</v>
      </c>
      <c r="D3" s="58"/>
      <c r="E3" s="58"/>
      <c r="F3" s="58"/>
      <c r="G3" s="58"/>
      <c r="H3" s="58"/>
      <c r="I3" s="58"/>
      <c r="J3" s="58"/>
      <c r="K3" s="58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</row>
    <row r="6" customFormat="false" ht="21" hidden="false" customHeight="true" outlineLevel="0" collapsed="false">
      <c r="C6" s="56"/>
      <c r="D6" s="56"/>
      <c r="E6" s="56"/>
      <c r="F6" s="56"/>
      <c r="G6" s="56"/>
      <c r="H6" s="56"/>
      <c r="I6" s="56"/>
      <c r="J6" s="56"/>
      <c r="K6" s="56"/>
    </row>
    <row r="7" customFormat="false" ht="21" hidden="false" customHeight="true" outlineLevel="0" collapsed="false">
      <c r="C7" s="56"/>
      <c r="D7" s="56" t="s">
        <v>1001</v>
      </c>
      <c r="E7" s="56" t="s">
        <v>1002</v>
      </c>
      <c r="F7" s="56"/>
      <c r="G7" s="56"/>
      <c r="H7" s="56"/>
      <c r="I7" s="56"/>
      <c r="J7" s="56"/>
      <c r="K7" s="56"/>
    </row>
    <row r="8" customFormat="false" ht="21" hidden="false" customHeight="true" outlineLevel="0" collapsed="false">
      <c r="C8" s="56"/>
      <c r="D8" s="59"/>
      <c r="E8" s="59"/>
      <c r="F8" s="59"/>
      <c r="G8" s="59"/>
      <c r="H8" s="59"/>
      <c r="I8" s="59"/>
      <c r="J8" s="59"/>
      <c r="K8" s="59"/>
    </row>
    <row r="9" customFormat="false" ht="21" hidden="false" customHeight="true" outlineLevel="0" collapsed="false">
      <c r="C9" s="56" t="s">
        <v>31</v>
      </c>
      <c r="D9" s="59" t="n">
        <v>8167.92734891</v>
      </c>
      <c r="E9" s="59" t="n">
        <v>8393.79111374</v>
      </c>
      <c r="F9" s="59"/>
      <c r="G9" s="59"/>
      <c r="H9" s="59"/>
      <c r="I9" s="59"/>
      <c r="J9" s="59"/>
      <c r="K9" s="59"/>
    </row>
    <row r="10" customFormat="false" ht="21" hidden="false" customHeight="true" outlineLevel="0" collapsed="false">
      <c r="C10" s="56" t="s">
        <v>93</v>
      </c>
      <c r="D10" s="59" t="n">
        <v>2489.25682619</v>
      </c>
      <c r="E10" s="59" t="n">
        <v>2595.96917586</v>
      </c>
      <c r="F10" s="59"/>
      <c r="G10" s="59"/>
      <c r="H10" s="59"/>
      <c r="I10" s="59"/>
      <c r="J10" s="59"/>
      <c r="K10" s="59"/>
    </row>
    <row r="11" customFormat="false" ht="21" hidden="false" customHeight="true" outlineLevel="0" collapsed="false">
      <c r="C11" s="56" t="s">
        <v>95</v>
      </c>
      <c r="D11" s="59" t="n">
        <v>2063.14951488</v>
      </c>
      <c r="E11" s="59" t="n">
        <v>2154.99942657</v>
      </c>
      <c r="F11" s="59"/>
      <c r="G11" s="59"/>
      <c r="H11" s="59"/>
      <c r="I11" s="59"/>
      <c r="J11" s="59"/>
      <c r="K11" s="59"/>
    </row>
    <row r="12" customFormat="false" ht="21" hidden="false" customHeight="true" outlineLevel="0" collapsed="false">
      <c r="C12" s="56"/>
      <c r="D12" s="59"/>
      <c r="E12" s="59"/>
      <c r="F12" s="59"/>
      <c r="G12" s="59"/>
      <c r="H12" s="59"/>
      <c r="I12" s="59"/>
      <c r="J12" s="59"/>
      <c r="K12" s="59"/>
    </row>
    <row r="13" customFormat="false" ht="21" hidden="false" customHeight="true" outlineLevel="0" collapsed="false">
      <c r="C13" s="56"/>
      <c r="D13" s="59"/>
      <c r="E13" s="59"/>
      <c r="F13" s="59"/>
      <c r="G13" s="59"/>
      <c r="H13" s="59"/>
      <c r="I13" s="59"/>
      <c r="J13" s="59"/>
      <c r="K13" s="59"/>
    </row>
    <row r="14" customFormat="false" ht="21" hidden="false" customHeight="true" outlineLevel="0" collapsed="false">
      <c r="C14" s="56"/>
      <c r="D14" s="59"/>
      <c r="E14" s="59"/>
      <c r="F14" s="59"/>
      <c r="G14" s="59"/>
      <c r="H14" s="59"/>
      <c r="I14" s="59"/>
      <c r="J14" s="59"/>
      <c r="K14" s="59"/>
    </row>
    <row r="15" customFormat="false" ht="25" hidden="false" customHeight="true" outlineLevel="0" collapsed="false">
      <c r="C15" s="58" t="s">
        <v>1003</v>
      </c>
      <c r="D15" s="58"/>
      <c r="E15" s="58"/>
      <c r="F15" s="58"/>
      <c r="G15" s="58"/>
      <c r="H15" s="58"/>
      <c r="I15" s="58"/>
      <c r="J15" s="58"/>
      <c r="K15" s="58"/>
    </row>
    <row r="16" customFormat="false" ht="25" hidden="false" customHeight="true" outlineLevel="0" collapsed="false">
      <c r="C16" s="58"/>
      <c r="D16" s="58"/>
      <c r="E16" s="58"/>
      <c r="F16" s="58"/>
      <c r="G16" s="58"/>
      <c r="H16" s="58"/>
      <c r="I16" s="58"/>
      <c r="J16" s="58"/>
      <c r="K16" s="58"/>
    </row>
    <row r="17" customFormat="false" ht="21" hidden="false" customHeight="true" outlineLevel="0" collapsed="false">
      <c r="C17" s="56"/>
      <c r="D17" s="59"/>
      <c r="E17" s="59"/>
      <c r="F17" s="59"/>
      <c r="G17" s="59"/>
      <c r="H17" s="59"/>
      <c r="I17" s="59"/>
      <c r="J17" s="59"/>
      <c r="K17" s="59"/>
    </row>
    <row r="18" customFormat="false" ht="21" hidden="false" customHeight="true" outlineLevel="0" collapsed="false">
      <c r="C18" s="56"/>
      <c r="D18" s="59"/>
      <c r="E18" s="59"/>
      <c r="F18" s="59"/>
      <c r="G18" s="59"/>
      <c r="H18" s="59"/>
      <c r="I18" s="59"/>
      <c r="J18" s="59"/>
      <c r="K18" s="59"/>
    </row>
    <row r="19" customFormat="false" ht="21" hidden="false" customHeight="true" outlineLevel="0" collapsed="false">
      <c r="C19" s="56"/>
      <c r="D19" s="59"/>
      <c r="E19" s="59"/>
      <c r="F19" s="59"/>
      <c r="G19" s="59"/>
      <c r="H19" s="59"/>
      <c r="I19" s="59"/>
      <c r="J19" s="59"/>
      <c r="K19" s="59"/>
    </row>
    <row r="20" customFormat="false" ht="21" hidden="false" customHeight="true" outlineLevel="0" collapsed="false">
      <c r="C20" s="56"/>
      <c r="D20" s="59"/>
      <c r="E20" s="59"/>
      <c r="F20" s="59"/>
      <c r="G20" s="59"/>
      <c r="H20" s="59"/>
      <c r="I20" s="59"/>
      <c r="J20" s="59"/>
      <c r="K20" s="59"/>
    </row>
    <row r="21" customFormat="false" ht="21" hidden="false" customHeight="true" outlineLevel="0" collapsed="false">
      <c r="C21" s="56"/>
      <c r="D21" s="59"/>
      <c r="E21" s="59"/>
      <c r="F21" s="59"/>
      <c r="G21" s="59"/>
      <c r="H21" s="59"/>
      <c r="I21" s="59"/>
      <c r="J21" s="59"/>
      <c r="K21" s="59"/>
    </row>
    <row r="22" customFormat="false" ht="21" hidden="false" customHeight="true" outlineLevel="0" collapsed="false">
      <c r="C22" s="56"/>
      <c r="D22" s="59"/>
      <c r="E22" s="59"/>
      <c r="F22" s="59"/>
      <c r="G22" s="59"/>
      <c r="H22" s="59"/>
      <c r="I22" s="59"/>
      <c r="J22" s="59"/>
      <c r="K22" s="59"/>
    </row>
    <row r="23" customFormat="false" ht="21" hidden="false" customHeight="true" outlineLevel="0" collapsed="false">
      <c r="C23" s="56"/>
      <c r="D23" s="59"/>
      <c r="E23" s="59"/>
      <c r="F23" s="59"/>
      <c r="G23" s="59"/>
      <c r="H23" s="59"/>
      <c r="I23" s="59"/>
      <c r="J23" s="59"/>
      <c r="K23" s="59"/>
    </row>
    <row r="24" customFormat="false" ht="21" hidden="false" customHeight="true" outlineLevel="0" collapsed="false">
      <c r="C24" s="56"/>
      <c r="D24" s="59"/>
      <c r="E24" s="59"/>
      <c r="F24" s="59"/>
      <c r="G24" s="59"/>
      <c r="H24" s="59"/>
      <c r="I24" s="59"/>
      <c r="J24" s="59"/>
      <c r="K24" s="59"/>
    </row>
    <row r="25" customFormat="false" ht="21" hidden="false" customHeight="true" outlineLevel="0" collapsed="false">
      <c r="C25" s="56"/>
      <c r="D25" s="59"/>
      <c r="E25" s="59"/>
      <c r="F25" s="59"/>
      <c r="G25" s="59"/>
      <c r="H25" s="59"/>
      <c r="I25" s="59"/>
      <c r="J25" s="59"/>
      <c r="K25" s="59"/>
    </row>
    <row r="26" customFormat="false" ht="21" hidden="false" customHeight="true" outlineLevel="0" collapsed="false">
      <c r="C26" s="56"/>
      <c r="D26" s="59"/>
      <c r="E26" s="59"/>
      <c r="F26" s="59"/>
      <c r="G26" s="59"/>
      <c r="H26" s="59"/>
      <c r="I26" s="59"/>
      <c r="J26" s="59"/>
      <c r="K26" s="59"/>
    </row>
    <row r="27" customFormat="false" ht="21" hidden="false" customHeight="true" outlineLevel="0" collapsed="false">
      <c r="C27" s="56"/>
      <c r="D27" s="59"/>
      <c r="E27" s="59"/>
      <c r="F27" s="59"/>
      <c r="G27" s="59"/>
      <c r="H27" s="59"/>
      <c r="I27" s="59"/>
      <c r="J27" s="59"/>
      <c r="K27" s="59"/>
    </row>
    <row r="28" customFormat="false" ht="21" hidden="false" customHeight="true" outlineLevel="0" collapsed="false">
      <c r="C28" s="56"/>
      <c r="D28" s="59"/>
      <c r="E28" s="59"/>
      <c r="F28" s="59"/>
      <c r="G28" s="59"/>
      <c r="H28" s="59"/>
      <c r="I28" s="59"/>
      <c r="J28" s="59"/>
      <c r="K28" s="59"/>
    </row>
    <row r="29" customFormat="false" ht="21" hidden="false" customHeight="true" outlineLevel="0" collapsed="false">
      <c r="C29" s="56"/>
      <c r="D29" s="59"/>
      <c r="E29" s="59"/>
      <c r="F29" s="59"/>
      <c r="G29" s="59"/>
      <c r="H29" s="59"/>
      <c r="I29" s="59"/>
      <c r="J29" s="59"/>
      <c r="K29" s="59"/>
    </row>
    <row r="30" customFormat="false" ht="21" hidden="false" customHeight="true" outlineLevel="0" collapsed="false">
      <c r="C30" s="56"/>
      <c r="D30" s="59"/>
      <c r="E30" s="59"/>
      <c r="F30" s="59"/>
      <c r="G30" s="59"/>
      <c r="H30" s="59"/>
      <c r="I30" s="59"/>
      <c r="J30" s="59"/>
      <c r="K30" s="59"/>
    </row>
    <row r="31" customFormat="false" ht="21" hidden="false" customHeight="true" outlineLevel="0" collapsed="false">
      <c r="C31" s="56"/>
      <c r="D31" s="59"/>
      <c r="E31" s="59"/>
      <c r="F31" s="59"/>
      <c r="G31" s="59"/>
      <c r="H31" s="59"/>
      <c r="I31" s="59"/>
      <c r="J31" s="59"/>
      <c r="K31" s="59"/>
    </row>
    <row r="32" customFormat="false" ht="21" hidden="false" customHeight="true" outlineLevel="0" collapsed="false">
      <c r="C32" s="56"/>
      <c r="D32" s="59"/>
      <c r="E32" s="59"/>
      <c r="F32" s="59"/>
      <c r="G32" s="59"/>
      <c r="H32" s="59"/>
      <c r="I32" s="59"/>
      <c r="J32" s="59"/>
      <c r="K32" s="59"/>
    </row>
    <row r="33" customFormat="false" ht="21" hidden="false" customHeight="true" outlineLevel="0" collapsed="false">
      <c r="C33" s="56"/>
      <c r="D33" s="59"/>
      <c r="E33" s="59"/>
      <c r="F33" s="59"/>
      <c r="G33" s="59"/>
      <c r="H33" s="59"/>
      <c r="I33" s="59"/>
      <c r="J33" s="59"/>
      <c r="K33" s="59"/>
    </row>
    <row r="34" customFormat="false" ht="21" hidden="false" customHeight="true" outlineLevel="0" collapsed="false">
      <c r="C34" s="56"/>
      <c r="D34" s="59"/>
      <c r="E34" s="59"/>
      <c r="F34" s="59"/>
      <c r="G34" s="59"/>
      <c r="H34" s="59"/>
      <c r="I34" s="59"/>
      <c r="J34" s="59"/>
      <c r="K34" s="59"/>
    </row>
    <row r="35" customFormat="false" ht="21" hidden="false" customHeight="true" outlineLevel="0" collapsed="false">
      <c r="C35" s="56"/>
      <c r="D35" s="59"/>
      <c r="E35" s="59"/>
      <c r="F35" s="59"/>
      <c r="G35" s="59"/>
      <c r="H35" s="59"/>
      <c r="I35" s="59"/>
      <c r="J35" s="59"/>
      <c r="K35" s="59"/>
    </row>
    <row r="36" customFormat="false" ht="21" hidden="false" customHeight="true" outlineLevel="0" collapsed="false">
      <c r="C36" s="56"/>
      <c r="D36" s="59"/>
      <c r="E36" s="59"/>
      <c r="F36" s="59"/>
      <c r="G36" s="59"/>
      <c r="H36" s="59"/>
      <c r="I36" s="59"/>
      <c r="J36" s="59"/>
      <c r="K36" s="59"/>
    </row>
    <row r="37" customFormat="false" ht="21" hidden="false" customHeight="true" outlineLevel="0" collapsed="false">
      <c r="C37" s="56"/>
      <c r="D37" s="59"/>
      <c r="E37" s="59"/>
      <c r="F37" s="59"/>
      <c r="G37" s="59"/>
      <c r="H37" s="59"/>
      <c r="I37" s="59"/>
      <c r="J37" s="59"/>
      <c r="K37" s="59"/>
    </row>
    <row r="38" customFormat="false" ht="21" hidden="false" customHeight="true" outlineLevel="0" collapsed="false">
      <c r="C38" s="56"/>
      <c r="D38" s="59"/>
      <c r="E38" s="59"/>
      <c r="F38" s="59"/>
      <c r="G38" s="59"/>
      <c r="H38" s="59"/>
      <c r="I38" s="59"/>
      <c r="J38" s="59"/>
      <c r="K38" s="59"/>
    </row>
    <row r="39" customFormat="false" ht="21" hidden="false" customHeight="true" outlineLevel="0" collapsed="false">
      <c r="C39" s="56"/>
      <c r="D39" s="59"/>
      <c r="E39" s="59"/>
      <c r="F39" s="59"/>
      <c r="G39" s="59"/>
      <c r="H39" s="59"/>
      <c r="I39" s="59"/>
      <c r="J39" s="59"/>
      <c r="K39" s="59"/>
    </row>
    <row r="40" customFormat="false" ht="21" hidden="false" customHeight="true" outlineLevel="0" collapsed="false">
      <c r="C40" s="56"/>
      <c r="D40" s="59"/>
      <c r="E40" s="59"/>
      <c r="F40" s="59"/>
      <c r="G40" s="59"/>
      <c r="H40" s="59"/>
      <c r="I40" s="59"/>
      <c r="J40" s="59"/>
      <c r="K40" s="59"/>
    </row>
    <row r="41" customFormat="false" ht="21" hidden="false" customHeight="true" outlineLevel="0" collapsed="false">
      <c r="C41" s="56"/>
      <c r="D41" s="59"/>
      <c r="E41" s="59"/>
      <c r="F41" s="59"/>
      <c r="G41" s="59"/>
      <c r="H41" s="59"/>
      <c r="I41" s="59"/>
      <c r="J41" s="59"/>
      <c r="K41" s="59"/>
    </row>
    <row r="42" customFormat="false" ht="21" hidden="false" customHeight="true" outlineLevel="0" collapsed="false">
      <c r="C42" s="56"/>
      <c r="D42" s="59"/>
      <c r="E42" s="59"/>
      <c r="F42" s="59"/>
      <c r="G42" s="59"/>
      <c r="H42" s="59"/>
      <c r="I42" s="59"/>
      <c r="J42" s="59"/>
      <c r="K42" s="59"/>
    </row>
    <row r="43" customFormat="false" ht="21" hidden="false" customHeight="true" outlineLevel="0" collapsed="false">
      <c r="C43" s="56"/>
      <c r="D43" s="59"/>
      <c r="E43" s="59"/>
      <c r="F43" s="59"/>
      <c r="G43" s="59"/>
      <c r="H43" s="59"/>
      <c r="I43" s="59"/>
      <c r="J43" s="59"/>
      <c r="K43" s="59"/>
    </row>
    <row r="44" customFormat="false" ht="21" hidden="false" customHeight="true" outlineLevel="0" collapsed="false">
      <c r="C44" s="56"/>
      <c r="D44" s="59"/>
      <c r="E44" s="59"/>
      <c r="F44" s="59"/>
      <c r="G44" s="59"/>
      <c r="H44" s="59"/>
      <c r="I44" s="59"/>
      <c r="J44" s="59"/>
      <c r="K44" s="59"/>
    </row>
    <row r="45" customFormat="false" ht="21" hidden="false" customHeight="true" outlineLevel="0" collapsed="false">
      <c r="C45" s="56"/>
      <c r="D45" s="59"/>
      <c r="E45" s="59"/>
      <c r="F45" s="59"/>
      <c r="G45" s="59"/>
      <c r="H45" s="59"/>
      <c r="I45" s="59"/>
      <c r="J45" s="59"/>
      <c r="K45" s="59"/>
    </row>
    <row r="46" customFormat="false" ht="21" hidden="false" customHeight="true" outlineLevel="0" collapsed="false">
      <c r="C46" s="56"/>
      <c r="D46" s="59"/>
      <c r="E46" s="59"/>
      <c r="F46" s="59"/>
      <c r="G46" s="59"/>
      <c r="H46" s="59"/>
      <c r="I46" s="59"/>
      <c r="J46" s="59"/>
      <c r="K46" s="59"/>
    </row>
    <row r="47" customFormat="false" ht="21" hidden="false" customHeight="true" outlineLevel="0" collapsed="false">
      <c r="C47" s="56"/>
      <c r="D47" s="59"/>
      <c r="E47" s="59"/>
      <c r="F47" s="59"/>
      <c r="G47" s="59"/>
      <c r="H47" s="59"/>
      <c r="I47" s="59"/>
      <c r="J47" s="59"/>
      <c r="K47" s="59"/>
    </row>
    <row r="48" customFormat="false" ht="21" hidden="false" customHeight="true" outlineLevel="0" collapsed="false">
      <c r="C48" s="56"/>
      <c r="D48" s="59"/>
      <c r="E48" s="59"/>
      <c r="F48" s="59"/>
      <c r="G48" s="59"/>
      <c r="H48" s="59"/>
      <c r="I48" s="59"/>
      <c r="J48" s="59"/>
      <c r="K48" s="59"/>
    </row>
    <row r="49" customFormat="false" ht="21" hidden="false" customHeight="true" outlineLevel="0" collapsed="false">
      <c r="C49" s="56"/>
      <c r="D49" s="59"/>
      <c r="E49" s="59"/>
      <c r="F49" s="59"/>
      <c r="G49" s="59"/>
      <c r="H49" s="59"/>
      <c r="I49" s="59"/>
      <c r="J49" s="59"/>
      <c r="K49" s="59"/>
    </row>
    <row r="50" customFormat="false" ht="21" hidden="false" customHeight="true" outlineLevel="0" collapsed="false">
      <c r="C50" s="56"/>
      <c r="D50" s="59"/>
      <c r="E50" s="59"/>
      <c r="F50" s="59"/>
      <c r="G50" s="59"/>
      <c r="H50" s="59"/>
      <c r="I50" s="59"/>
      <c r="J50" s="59"/>
      <c r="K50" s="59"/>
    </row>
    <row r="51" customFormat="false" ht="21" hidden="false" customHeight="true" outlineLevel="0" collapsed="false">
      <c r="C51" s="56"/>
      <c r="D51" s="59"/>
      <c r="E51" s="59"/>
      <c r="F51" s="59"/>
      <c r="G51" s="59"/>
      <c r="H51" s="59"/>
      <c r="I51" s="59"/>
      <c r="J51" s="59"/>
      <c r="K51" s="59"/>
    </row>
    <row r="52" customFormat="false" ht="21" hidden="false" customHeight="true" outlineLevel="0" collapsed="false">
      <c r="C52" s="56"/>
      <c r="D52" s="59"/>
      <c r="E52" s="59"/>
      <c r="F52" s="59"/>
      <c r="G52" s="59"/>
      <c r="H52" s="59"/>
      <c r="I52" s="59"/>
      <c r="J52" s="59"/>
      <c r="K52" s="59"/>
    </row>
    <row r="53" customFormat="false" ht="21" hidden="false" customHeight="true" outlineLevel="0" collapsed="false">
      <c r="C53" s="56"/>
      <c r="D53" s="59"/>
      <c r="E53" s="59"/>
      <c r="F53" s="59"/>
      <c r="G53" s="59"/>
      <c r="H53" s="59"/>
      <c r="I53" s="59"/>
      <c r="J53" s="59"/>
      <c r="K53" s="59"/>
    </row>
    <row r="54" customFormat="false" ht="21" hidden="false" customHeight="true" outlineLevel="0" collapsed="false">
      <c r="C54" s="56"/>
      <c r="D54" s="59"/>
      <c r="E54" s="59"/>
      <c r="F54" s="59"/>
      <c r="G54" s="59"/>
      <c r="H54" s="59"/>
      <c r="I54" s="59"/>
      <c r="J54" s="59"/>
      <c r="K54" s="59"/>
    </row>
    <row r="55" customFormat="false" ht="21" hidden="false" customHeight="true" outlineLevel="0" collapsed="false">
      <c r="C55" s="56"/>
      <c r="D55" s="59"/>
      <c r="E55" s="59"/>
      <c r="F55" s="59"/>
      <c r="G55" s="59"/>
      <c r="H55" s="59"/>
      <c r="I55" s="59"/>
      <c r="J55" s="59"/>
      <c r="K55" s="59"/>
    </row>
    <row r="56" customFormat="false" ht="21" hidden="false" customHeight="true" outlineLevel="0" collapsed="false">
      <c r="C56" s="56"/>
      <c r="D56" s="59"/>
      <c r="E56" s="59"/>
      <c r="F56" s="59"/>
      <c r="G56" s="59"/>
      <c r="H56" s="59"/>
      <c r="I56" s="59"/>
      <c r="J56" s="59"/>
      <c r="K56" s="59"/>
    </row>
    <row r="57" customFormat="false" ht="21" hidden="false" customHeight="true" outlineLevel="0" collapsed="false">
      <c r="C57" s="56"/>
      <c r="D57" s="59"/>
      <c r="E57" s="59"/>
      <c r="F57" s="59"/>
      <c r="G57" s="59"/>
      <c r="H57" s="59"/>
      <c r="I57" s="59"/>
      <c r="J57" s="59"/>
      <c r="K57" s="59"/>
    </row>
    <row r="58" customFormat="false" ht="21" hidden="false" customHeight="true" outlineLevel="0" collapsed="false">
      <c r="C58" s="56"/>
      <c r="D58" s="59"/>
      <c r="E58" s="59"/>
      <c r="F58" s="59"/>
      <c r="G58" s="59"/>
      <c r="H58" s="59"/>
      <c r="I58" s="59"/>
      <c r="J58" s="59"/>
      <c r="K58" s="59"/>
    </row>
    <row r="59" customFormat="false" ht="21" hidden="false" customHeight="true" outlineLevel="0" collapsed="false">
      <c r="C59" s="56"/>
      <c r="D59" s="59"/>
      <c r="E59" s="59"/>
      <c r="F59" s="59"/>
      <c r="G59" s="59"/>
      <c r="H59" s="59"/>
      <c r="I59" s="59"/>
      <c r="J59" s="59"/>
      <c r="K59" s="59"/>
    </row>
    <row r="60" customFormat="false" ht="21" hidden="false" customHeight="true" outlineLevel="0" collapsed="false">
      <c r="C60" s="56"/>
      <c r="D60" s="59"/>
      <c r="E60" s="59"/>
      <c r="F60" s="59"/>
      <c r="G60" s="59"/>
      <c r="H60" s="59"/>
      <c r="I60" s="59"/>
      <c r="J60" s="59"/>
      <c r="K60" s="59"/>
    </row>
    <row r="61" customFormat="false" ht="21" hidden="false" customHeight="true" outlineLevel="0" collapsed="false">
      <c r="C61" s="56"/>
      <c r="D61" s="59"/>
      <c r="E61" s="59"/>
      <c r="F61" s="59"/>
      <c r="G61" s="59"/>
      <c r="H61" s="59"/>
      <c r="I61" s="59"/>
      <c r="J61" s="59"/>
      <c r="K61" s="59"/>
    </row>
    <row r="62" customFormat="false" ht="21" hidden="false" customHeight="true" outlineLevel="0" collapsed="false">
      <c r="C62" s="56"/>
      <c r="D62" s="59"/>
      <c r="E62" s="59"/>
      <c r="F62" s="59"/>
      <c r="G62" s="59"/>
      <c r="H62" s="59"/>
      <c r="I62" s="59"/>
      <c r="J62" s="59"/>
      <c r="K62" s="59"/>
    </row>
    <row r="63" customFormat="false" ht="21" hidden="false" customHeight="true" outlineLevel="0" collapsed="false">
      <c r="C63" s="56"/>
      <c r="D63" s="59"/>
      <c r="E63" s="59"/>
      <c r="F63" s="59"/>
      <c r="G63" s="59"/>
      <c r="H63" s="59"/>
      <c r="I63" s="59"/>
      <c r="J63" s="59"/>
      <c r="K63" s="59"/>
    </row>
    <row r="64" customFormat="false" ht="21" hidden="false" customHeight="true" outlineLevel="0" collapsed="false">
      <c r="C64" s="56"/>
      <c r="D64" s="59"/>
      <c r="E64" s="59"/>
      <c r="F64" s="59"/>
      <c r="G64" s="59"/>
      <c r="H64" s="59"/>
      <c r="I64" s="59"/>
      <c r="J64" s="59"/>
      <c r="K64" s="59"/>
    </row>
    <row r="65" customFormat="false" ht="21" hidden="false" customHeight="true" outlineLevel="0" collapsed="false">
      <c r="C65" s="56"/>
      <c r="D65" s="59"/>
      <c r="E65" s="59"/>
      <c r="F65" s="59"/>
      <c r="G65" s="59"/>
      <c r="H65" s="59"/>
      <c r="I65" s="59"/>
      <c r="J65" s="59"/>
      <c r="K65" s="59"/>
    </row>
    <row r="66" customFormat="false" ht="21" hidden="false" customHeight="true" outlineLevel="0" collapsed="false">
      <c r="C66" s="56"/>
      <c r="D66" s="59"/>
      <c r="E66" s="59"/>
      <c r="F66" s="59"/>
      <c r="G66" s="59"/>
      <c r="H66" s="59"/>
      <c r="I66" s="59"/>
      <c r="J66" s="59"/>
      <c r="K66" s="59"/>
    </row>
    <row r="67" customFormat="false" ht="21" hidden="false" customHeight="true" outlineLevel="0" collapsed="false">
      <c r="C67" s="56"/>
      <c r="D67" s="59"/>
      <c r="E67" s="59"/>
      <c r="F67" s="59"/>
      <c r="G67" s="59"/>
      <c r="H67" s="59"/>
      <c r="I67" s="59"/>
      <c r="J67" s="59"/>
      <c r="K67" s="59"/>
    </row>
    <row r="68" customFormat="false" ht="21" hidden="false" customHeight="true" outlineLevel="0" collapsed="false">
      <c r="C68" s="56"/>
      <c r="D68" s="59"/>
      <c r="E68" s="59"/>
      <c r="F68" s="59"/>
      <c r="G68" s="59"/>
      <c r="H68" s="59"/>
      <c r="I68" s="59"/>
      <c r="J68" s="59"/>
      <c r="K68" s="59"/>
    </row>
    <row r="69" customFormat="false" ht="21" hidden="false" customHeight="true" outlineLevel="0" collapsed="false">
      <c r="C69" s="56"/>
      <c r="D69" s="59"/>
      <c r="E69" s="59"/>
      <c r="F69" s="59"/>
      <c r="G69" s="59"/>
      <c r="H69" s="59"/>
      <c r="I69" s="59"/>
      <c r="J69" s="59"/>
      <c r="K69" s="59"/>
    </row>
    <row r="70" customFormat="false" ht="21" hidden="false" customHeight="true" outlineLevel="0" collapsed="false">
      <c r="C70" s="56"/>
      <c r="D70" s="59"/>
      <c r="E70" s="59"/>
      <c r="F70" s="59"/>
      <c r="G70" s="59"/>
      <c r="H70" s="59"/>
      <c r="I70" s="59"/>
      <c r="J70" s="59"/>
      <c r="K70" s="59"/>
    </row>
    <row r="71" customFormat="false" ht="21" hidden="false" customHeight="true" outlineLevel="0" collapsed="false">
      <c r="C71" s="56"/>
      <c r="D71" s="59"/>
      <c r="E71" s="59"/>
      <c r="F71" s="59"/>
      <c r="G71" s="59"/>
      <c r="H71" s="59"/>
      <c r="I71" s="59"/>
      <c r="J71" s="59"/>
      <c r="K71" s="59"/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</row>
  </sheetData>
  <sheetProtection sheet="1" objects="1" scenarios="1" selectLockedCells="0" selectUnlockedCells="0"/>
  <mergeCells count="3">
    <mergeCell ref="C2:K2"/>
    <mergeCell ref="C3:K4"/>
    <mergeCell ref="C15:K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>
  <sheetPr filterMode="false">
    <pageSetUpPr fitToPage="false"/>
  </sheetPr>
  <dimension ref="C1:S545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11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</row>
    <row r="2" customFormat="false" ht="33" hidden="false" customHeight="true" outlineLevel="0" collapsed="false">
      <c r="C2" s="57" t="s">
        <v>1004</v>
      </c>
      <c r="D2" s="57"/>
      <c r="E2" s="57"/>
      <c r="F2" s="57"/>
      <c r="G2" s="57"/>
      <c r="H2" s="57"/>
      <c r="I2" s="57"/>
      <c r="J2" s="57"/>
      <c r="K2" s="57"/>
    </row>
    <row r="3" customFormat="false" ht="21" hidden="false" customHeight="true" outlineLevel="0" collapsed="false">
      <c r="C3" s="58" t="s">
        <v>82</v>
      </c>
      <c r="D3" s="58"/>
      <c r="E3" s="58"/>
      <c r="F3" s="58"/>
      <c r="G3" s="58"/>
      <c r="H3" s="58"/>
      <c r="I3" s="58"/>
      <c r="J3" s="58"/>
      <c r="K3" s="58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</row>
    <row r="6" customFormat="false" ht="21" hidden="false" customHeight="true" outlineLevel="0" collapsed="false">
      <c r="C6" s="56"/>
      <c r="D6" s="56"/>
      <c r="E6" s="56"/>
      <c r="F6" s="56"/>
      <c r="G6" s="56"/>
      <c r="H6" s="56"/>
      <c r="I6" s="56"/>
      <c r="J6" s="56"/>
      <c r="K6" s="56"/>
    </row>
    <row r="7" customFormat="false" ht="55" hidden="false" customHeight="true" outlineLevel="0" collapsed="false">
      <c r="C7" s="96" t="s">
        <v>1005</v>
      </c>
      <c r="D7" s="96" t="s">
        <v>1006</v>
      </c>
      <c r="E7" s="96" t="s">
        <v>1007</v>
      </c>
      <c r="F7" s="96" t="s">
        <v>1008</v>
      </c>
      <c r="G7" s="96" t="s">
        <v>1009</v>
      </c>
      <c r="H7" s="96" t="s">
        <v>1010</v>
      </c>
      <c r="I7" s="96" t="s">
        <v>1011</v>
      </c>
      <c r="J7" s="96" t="s">
        <v>1012</v>
      </c>
      <c r="K7" s="96" t="s">
        <v>1013</v>
      </c>
      <c r="L7" s="98" t="s">
        <v>1014</v>
      </c>
      <c r="M7" s="98" t="s">
        <v>1015</v>
      </c>
      <c r="N7" s="98" t="s">
        <v>1016</v>
      </c>
      <c r="O7" s="98" t="s">
        <v>1017</v>
      </c>
      <c r="P7" s="98" t="s">
        <v>1018</v>
      </c>
      <c r="Q7" s="98" t="s">
        <v>1019</v>
      </c>
      <c r="R7" s="98" t="s">
        <v>1020</v>
      </c>
      <c r="S7" s="98" t="s">
        <v>1021</v>
      </c>
    </row>
    <row r="8" customFormat="false" ht="55" hidden="false" customHeight="true" outlineLevel="0" collapsed="false">
      <c r="C8" s="96" t="s">
        <v>1022</v>
      </c>
      <c r="D8" s="97" t="s">
        <v>1023</v>
      </c>
      <c r="E8" s="97" t="s">
        <v>1024</v>
      </c>
      <c r="F8" s="97" t="n">
        <v>46270.7484260648</v>
      </c>
      <c r="G8" s="97" t="s">
        <v>1025</v>
      </c>
      <c r="H8" s="97" t="s">
        <v>1026</v>
      </c>
      <c r="I8" s="97" t="s">
        <v>1027</v>
      </c>
      <c r="J8" s="99" t="s">
        <v>1028</v>
      </c>
      <c r="K8" s="99" t="s">
        <v>1029</v>
      </c>
      <c r="L8" s="98" t="s">
        <v>1030</v>
      </c>
      <c r="M8" s="98" t="s">
        <v>1030</v>
      </c>
      <c r="N8" s="98" t="s">
        <v>1031</v>
      </c>
      <c r="O8" s="98" t="s">
        <v>677</v>
      </c>
      <c r="P8" s="98" t="s">
        <v>1032</v>
      </c>
      <c r="Q8" s="98" t="s">
        <v>811</v>
      </c>
      <c r="R8" s="98" t="s">
        <v>1033</v>
      </c>
      <c r="S8" s="98" t="s">
        <v>1034</v>
      </c>
    </row>
    <row r="9" customFormat="false" ht="55" hidden="false" customHeight="true" outlineLevel="0" collapsed="false">
      <c r="C9" s="96" t="s">
        <v>1022</v>
      </c>
      <c r="D9" s="97" t="s">
        <v>1023</v>
      </c>
      <c r="E9" s="97" t="s">
        <v>1024</v>
      </c>
      <c r="F9" s="97" t="n">
        <v>46270.7484260648</v>
      </c>
      <c r="G9" s="97" t="s">
        <v>1025</v>
      </c>
      <c r="H9" s="97" t="s">
        <v>1026</v>
      </c>
      <c r="I9" s="97" t="s">
        <v>1027</v>
      </c>
      <c r="J9" s="99" t="s">
        <v>1028</v>
      </c>
      <c r="K9" s="99" t="s">
        <v>1029</v>
      </c>
      <c r="L9" s="98" t="s">
        <v>1035</v>
      </c>
      <c r="M9" s="98" t="s">
        <v>1035</v>
      </c>
      <c r="N9" s="98" t="s">
        <v>1031</v>
      </c>
      <c r="O9" s="98" t="s">
        <v>677</v>
      </c>
      <c r="P9" s="98" t="s">
        <v>1036</v>
      </c>
      <c r="Q9" s="98" t="s">
        <v>811</v>
      </c>
      <c r="R9" s="98" t="s">
        <v>1037</v>
      </c>
      <c r="S9" s="98" t="s">
        <v>1034</v>
      </c>
    </row>
    <row r="10" customFormat="false" ht="55" hidden="false" customHeight="true" outlineLevel="0" collapsed="false">
      <c r="C10" s="96" t="s">
        <v>1022</v>
      </c>
      <c r="D10" s="97" t="s">
        <v>1023</v>
      </c>
      <c r="E10" s="97" t="s">
        <v>1024</v>
      </c>
      <c r="F10" s="97" t="n">
        <v>46270.7484260648</v>
      </c>
      <c r="G10" s="97" t="s">
        <v>1025</v>
      </c>
      <c r="H10" s="97" t="s">
        <v>1026</v>
      </c>
      <c r="I10" s="97" t="s">
        <v>1027</v>
      </c>
      <c r="J10" s="99" t="s">
        <v>1028</v>
      </c>
      <c r="K10" s="99" t="s">
        <v>1038</v>
      </c>
      <c r="L10" s="98" t="s">
        <v>1030</v>
      </c>
      <c r="M10" s="98" t="s">
        <v>1030</v>
      </c>
      <c r="N10" s="98" t="s">
        <v>1031</v>
      </c>
      <c r="O10" s="98" t="s">
        <v>677</v>
      </c>
      <c r="P10" s="98" t="s">
        <v>1039</v>
      </c>
      <c r="Q10" s="98" t="s">
        <v>811</v>
      </c>
      <c r="R10" s="98" t="s">
        <v>1040</v>
      </c>
      <c r="S10" s="98" t="s">
        <v>1034</v>
      </c>
    </row>
    <row r="11" customFormat="false" ht="55" hidden="false" customHeight="true" outlineLevel="0" collapsed="false">
      <c r="C11" s="96" t="s">
        <v>1022</v>
      </c>
      <c r="D11" s="97" t="s">
        <v>1023</v>
      </c>
      <c r="E11" s="97" t="s">
        <v>1024</v>
      </c>
      <c r="F11" s="97" t="n">
        <v>46270.7484260648</v>
      </c>
      <c r="G11" s="97" t="s">
        <v>1025</v>
      </c>
      <c r="H11" s="97" t="s">
        <v>1026</v>
      </c>
      <c r="I11" s="97" t="s">
        <v>1027</v>
      </c>
      <c r="J11" s="99" t="s">
        <v>1028</v>
      </c>
      <c r="K11" s="99" t="s">
        <v>1038</v>
      </c>
      <c r="L11" s="98" t="s">
        <v>1035</v>
      </c>
      <c r="M11" s="98" t="s">
        <v>1035</v>
      </c>
      <c r="N11" s="98" t="s">
        <v>1031</v>
      </c>
      <c r="O11" s="98" t="s">
        <v>677</v>
      </c>
      <c r="P11" s="98" t="s">
        <v>1041</v>
      </c>
      <c r="Q11" s="98" t="s">
        <v>811</v>
      </c>
      <c r="R11" s="98" t="s">
        <v>1042</v>
      </c>
      <c r="S11" s="98" t="s">
        <v>1034</v>
      </c>
    </row>
    <row r="12" customFormat="false" ht="55" hidden="false" customHeight="true" outlineLevel="0" collapsed="false">
      <c r="C12" s="96" t="s">
        <v>1043</v>
      </c>
      <c r="D12" s="97" t="s">
        <v>679</v>
      </c>
      <c r="E12" s="97" t="s">
        <v>1044</v>
      </c>
      <c r="F12" s="97" t="n">
        <v>46270.748424375</v>
      </c>
      <c r="G12" s="97" t="n">
        <v>46271.5168071875</v>
      </c>
      <c r="H12" s="97" t="s">
        <v>680</v>
      </c>
      <c r="I12" s="97" t="s">
        <v>1045</v>
      </c>
      <c r="J12" s="99" t="s">
        <v>1028</v>
      </c>
      <c r="K12" s="99" t="s">
        <v>1029</v>
      </c>
      <c r="L12" s="98" t="s">
        <v>1046</v>
      </c>
      <c r="M12" s="98" t="s">
        <v>1046</v>
      </c>
      <c r="N12" s="98" t="s">
        <v>1031</v>
      </c>
      <c r="O12" s="98" t="s">
        <v>677</v>
      </c>
      <c r="P12" s="98" t="s">
        <v>1047</v>
      </c>
      <c r="Q12" s="98" t="s">
        <v>811</v>
      </c>
      <c r="R12" s="98" t="s">
        <v>1048</v>
      </c>
      <c r="S12" s="98" t="s">
        <v>681</v>
      </c>
    </row>
    <row r="13" customFormat="false" ht="55" hidden="false" customHeight="true" outlineLevel="0" collapsed="false">
      <c r="C13" s="96" t="s">
        <v>1043</v>
      </c>
      <c r="D13" s="97" t="s">
        <v>679</v>
      </c>
      <c r="E13" s="97" t="s">
        <v>1044</v>
      </c>
      <c r="F13" s="97" t="n">
        <v>46270.748424375</v>
      </c>
      <c r="G13" s="97" t="n">
        <v>46271.5168071875</v>
      </c>
      <c r="H13" s="97" t="s">
        <v>680</v>
      </c>
      <c r="I13" s="97" t="s">
        <v>1045</v>
      </c>
      <c r="J13" s="99" t="s">
        <v>1028</v>
      </c>
      <c r="K13" s="99" t="s">
        <v>1029</v>
      </c>
      <c r="L13" s="98" t="s">
        <v>1030</v>
      </c>
      <c r="M13" s="98" t="s">
        <v>1030</v>
      </c>
      <c r="N13" s="98" t="s">
        <v>1031</v>
      </c>
      <c r="O13" s="98" t="s">
        <v>677</v>
      </c>
      <c r="P13" s="98" t="s">
        <v>1032</v>
      </c>
      <c r="Q13" s="98" t="s">
        <v>811</v>
      </c>
      <c r="R13" s="98" t="s">
        <v>1033</v>
      </c>
      <c r="S13" s="98" t="s">
        <v>681</v>
      </c>
    </row>
    <row r="14" customFormat="false" ht="55" hidden="false" customHeight="true" outlineLevel="0" collapsed="false">
      <c r="C14" s="96" t="s">
        <v>1043</v>
      </c>
      <c r="D14" s="97" t="s">
        <v>679</v>
      </c>
      <c r="E14" s="97" t="s">
        <v>1044</v>
      </c>
      <c r="F14" s="97" t="n">
        <v>46270.748424375</v>
      </c>
      <c r="G14" s="97" t="n">
        <v>46271.5168071875</v>
      </c>
      <c r="H14" s="97" t="s">
        <v>680</v>
      </c>
      <c r="I14" s="97" t="s">
        <v>1045</v>
      </c>
      <c r="J14" s="99" t="s">
        <v>1028</v>
      </c>
      <c r="K14" s="99" t="s">
        <v>1038</v>
      </c>
      <c r="L14" s="98" t="s">
        <v>1046</v>
      </c>
      <c r="M14" s="98" t="s">
        <v>1046</v>
      </c>
      <c r="N14" s="98" t="s">
        <v>1031</v>
      </c>
      <c r="O14" s="98" t="s">
        <v>677</v>
      </c>
      <c r="P14" s="98" t="s">
        <v>1049</v>
      </c>
      <c r="Q14" s="98" t="s">
        <v>811</v>
      </c>
      <c r="R14" s="98" t="s">
        <v>1050</v>
      </c>
      <c r="S14" s="98" t="s">
        <v>681</v>
      </c>
    </row>
    <row r="15" customFormat="false" ht="55" hidden="false" customHeight="true" outlineLevel="0" collapsed="false">
      <c r="C15" s="96" t="s">
        <v>1043</v>
      </c>
      <c r="D15" s="97" t="s">
        <v>679</v>
      </c>
      <c r="E15" s="97" t="s">
        <v>1044</v>
      </c>
      <c r="F15" s="97" t="n">
        <v>46270.748424375</v>
      </c>
      <c r="G15" s="97" t="n">
        <v>46271.5168071875</v>
      </c>
      <c r="H15" s="97" t="s">
        <v>680</v>
      </c>
      <c r="I15" s="97" t="s">
        <v>1045</v>
      </c>
      <c r="J15" s="99" t="s">
        <v>1028</v>
      </c>
      <c r="K15" s="99" t="s">
        <v>1038</v>
      </c>
      <c r="L15" s="98" t="s">
        <v>1030</v>
      </c>
      <c r="M15" s="98" t="s">
        <v>1030</v>
      </c>
      <c r="N15" s="98" t="s">
        <v>1031</v>
      </c>
      <c r="O15" s="98" t="s">
        <v>677</v>
      </c>
      <c r="P15" s="98" t="s">
        <v>1039</v>
      </c>
      <c r="Q15" s="98" t="s">
        <v>811</v>
      </c>
      <c r="R15" s="98" t="s">
        <v>1040</v>
      </c>
      <c r="S15" s="98" t="s">
        <v>681</v>
      </c>
    </row>
    <row r="16" customFormat="false" ht="55" hidden="false" customHeight="true" outlineLevel="0" collapsed="false">
      <c r="C16" s="96" t="s">
        <v>1051</v>
      </c>
      <c r="D16" s="97" t="s">
        <v>1052</v>
      </c>
      <c r="E16" s="97" t="s">
        <v>1053</v>
      </c>
      <c r="F16" s="97" t="n">
        <v>46270.7484272454</v>
      </c>
      <c r="G16" s="97" t="n">
        <v>46271.5167540857</v>
      </c>
      <c r="H16" s="97" t="s">
        <v>1054</v>
      </c>
      <c r="I16" s="97" t="s">
        <v>1055</v>
      </c>
      <c r="J16" s="99" t="s">
        <v>1028</v>
      </c>
      <c r="K16" s="99" t="s">
        <v>1029</v>
      </c>
      <c r="L16" s="98" t="s">
        <v>1056</v>
      </c>
      <c r="M16" s="98" t="s">
        <v>1056</v>
      </c>
      <c r="N16" s="98" t="s">
        <v>1031</v>
      </c>
      <c r="O16" s="98" t="s">
        <v>677</v>
      </c>
      <c r="P16" s="98" t="s">
        <v>1057</v>
      </c>
      <c r="Q16" s="98" t="s">
        <v>811</v>
      </c>
      <c r="R16" s="98" t="s">
        <v>1058</v>
      </c>
      <c r="S16" s="98" t="s">
        <v>1059</v>
      </c>
    </row>
    <row r="17" customFormat="false" ht="55" hidden="false" customHeight="true" outlineLevel="0" collapsed="false">
      <c r="C17" s="96" t="s">
        <v>1051</v>
      </c>
      <c r="D17" s="97" t="s">
        <v>1052</v>
      </c>
      <c r="E17" s="97" t="s">
        <v>1053</v>
      </c>
      <c r="F17" s="97" t="n">
        <v>46270.7484272454</v>
      </c>
      <c r="G17" s="97" t="n">
        <v>46271.5167540857</v>
      </c>
      <c r="H17" s="97" t="s">
        <v>1054</v>
      </c>
      <c r="I17" s="97" t="s">
        <v>1055</v>
      </c>
      <c r="J17" s="99" t="s">
        <v>1028</v>
      </c>
      <c r="K17" s="99" t="s">
        <v>1029</v>
      </c>
      <c r="L17" s="98" t="s">
        <v>1060</v>
      </c>
      <c r="M17" s="98" t="s">
        <v>1060</v>
      </c>
      <c r="N17" s="98" t="s">
        <v>1031</v>
      </c>
      <c r="O17" s="98" t="s">
        <v>677</v>
      </c>
      <c r="P17" s="98" t="s">
        <v>1061</v>
      </c>
      <c r="Q17" s="98" t="s">
        <v>811</v>
      </c>
      <c r="R17" s="98" t="s">
        <v>1062</v>
      </c>
      <c r="S17" s="98" t="s">
        <v>1059</v>
      </c>
    </row>
    <row r="18" customFormat="false" ht="55" hidden="false" customHeight="true" outlineLevel="0" collapsed="false">
      <c r="C18" s="96" t="s">
        <v>1051</v>
      </c>
      <c r="D18" s="97" t="s">
        <v>1052</v>
      </c>
      <c r="E18" s="97" t="s">
        <v>1053</v>
      </c>
      <c r="F18" s="97" t="n">
        <v>46270.7484272454</v>
      </c>
      <c r="G18" s="97" t="n">
        <v>46271.5167540857</v>
      </c>
      <c r="H18" s="97" t="s">
        <v>1054</v>
      </c>
      <c r="I18" s="97" t="s">
        <v>1055</v>
      </c>
      <c r="J18" s="99" t="s">
        <v>1028</v>
      </c>
      <c r="K18" s="99" t="s">
        <v>1038</v>
      </c>
      <c r="L18" s="98" t="s">
        <v>1056</v>
      </c>
      <c r="M18" s="98" t="s">
        <v>1056</v>
      </c>
      <c r="N18" s="98" t="s">
        <v>1031</v>
      </c>
      <c r="O18" s="98" t="s">
        <v>677</v>
      </c>
      <c r="P18" s="98" t="s">
        <v>1063</v>
      </c>
      <c r="Q18" s="98" t="s">
        <v>811</v>
      </c>
      <c r="R18" s="98" t="s">
        <v>1064</v>
      </c>
      <c r="S18" s="98" t="s">
        <v>1059</v>
      </c>
    </row>
    <row r="19" customFormat="false" ht="55" hidden="false" customHeight="true" outlineLevel="0" collapsed="false">
      <c r="C19" s="96" t="s">
        <v>1051</v>
      </c>
      <c r="D19" s="97" t="s">
        <v>1052</v>
      </c>
      <c r="E19" s="97" t="s">
        <v>1053</v>
      </c>
      <c r="F19" s="97" t="n">
        <v>46270.7484272454</v>
      </c>
      <c r="G19" s="97" t="n">
        <v>46271.5167540857</v>
      </c>
      <c r="H19" s="97" t="s">
        <v>1054</v>
      </c>
      <c r="I19" s="97" t="s">
        <v>1055</v>
      </c>
      <c r="J19" s="99" t="s">
        <v>1028</v>
      </c>
      <c r="K19" s="99" t="s">
        <v>1038</v>
      </c>
      <c r="L19" s="98" t="s">
        <v>1060</v>
      </c>
      <c r="M19" s="98" t="s">
        <v>1060</v>
      </c>
      <c r="N19" s="98" t="s">
        <v>1031</v>
      </c>
      <c r="O19" s="98" t="s">
        <v>677</v>
      </c>
      <c r="P19" s="98" t="s">
        <v>1065</v>
      </c>
      <c r="Q19" s="98" t="s">
        <v>811</v>
      </c>
      <c r="R19" s="98" t="s">
        <v>1066</v>
      </c>
      <c r="S19" s="98" t="s">
        <v>1059</v>
      </c>
    </row>
    <row r="20" customFormat="false" ht="55" hidden="false" customHeight="true" outlineLevel="0" collapsed="false">
      <c r="C20" s="96" t="s">
        <v>1022</v>
      </c>
      <c r="D20" s="97" t="s">
        <v>1023</v>
      </c>
      <c r="E20" s="97" t="s">
        <v>1024</v>
      </c>
      <c r="F20" s="97" t="n">
        <v>46270.7484260648</v>
      </c>
      <c r="G20" s="97" t="s">
        <v>1025</v>
      </c>
      <c r="H20" s="97" t="s">
        <v>1026</v>
      </c>
      <c r="I20" s="97" t="s">
        <v>1067</v>
      </c>
      <c r="J20" s="99" t="s">
        <v>912</v>
      </c>
      <c r="K20" s="99" t="s">
        <v>1068</v>
      </c>
      <c r="L20" s="98" t="s">
        <v>1030</v>
      </c>
      <c r="M20" s="98" t="s">
        <v>1030</v>
      </c>
      <c r="N20" s="98" t="s">
        <v>1031</v>
      </c>
      <c r="O20" s="98" t="s">
        <v>677</v>
      </c>
      <c r="P20" s="98" t="s">
        <v>1069</v>
      </c>
      <c r="Q20" s="98" t="s">
        <v>811</v>
      </c>
      <c r="R20" s="98" t="s">
        <v>1070</v>
      </c>
      <c r="S20" s="98" t="s">
        <v>1034</v>
      </c>
    </row>
    <row r="21" customFormat="false" ht="55" hidden="false" customHeight="true" outlineLevel="0" collapsed="false">
      <c r="C21" s="96" t="s">
        <v>1022</v>
      </c>
      <c r="D21" s="97" t="s">
        <v>1023</v>
      </c>
      <c r="E21" s="97" t="s">
        <v>1024</v>
      </c>
      <c r="F21" s="97" t="n">
        <v>46270.7484260648</v>
      </c>
      <c r="G21" s="97" t="s">
        <v>1025</v>
      </c>
      <c r="H21" s="97" t="s">
        <v>1026</v>
      </c>
      <c r="I21" s="97" t="s">
        <v>1067</v>
      </c>
      <c r="J21" s="99" t="s">
        <v>912</v>
      </c>
      <c r="K21" s="99" t="s">
        <v>1068</v>
      </c>
      <c r="L21" s="98" t="s">
        <v>1035</v>
      </c>
      <c r="M21" s="98" t="s">
        <v>1035</v>
      </c>
      <c r="N21" s="98" t="s">
        <v>1031</v>
      </c>
      <c r="O21" s="98" t="s">
        <v>677</v>
      </c>
      <c r="P21" s="98" t="s">
        <v>1071</v>
      </c>
      <c r="Q21" s="98" t="s">
        <v>811</v>
      </c>
      <c r="R21" s="98" t="s">
        <v>1072</v>
      </c>
      <c r="S21" s="98" t="s">
        <v>1034</v>
      </c>
    </row>
    <row r="22" customFormat="false" ht="55" hidden="false" customHeight="true" outlineLevel="0" collapsed="false">
      <c r="C22" s="96" t="s">
        <v>1043</v>
      </c>
      <c r="D22" s="97" t="s">
        <v>679</v>
      </c>
      <c r="E22" s="97" t="s">
        <v>1044</v>
      </c>
      <c r="F22" s="97" t="n">
        <v>46270.748424375</v>
      </c>
      <c r="G22" s="97" t="n">
        <v>46271.5168071875</v>
      </c>
      <c r="H22" s="97" t="s">
        <v>680</v>
      </c>
      <c r="I22" s="97" t="s">
        <v>1073</v>
      </c>
      <c r="J22" s="99" t="s">
        <v>912</v>
      </c>
      <c r="K22" s="99" t="s">
        <v>1068</v>
      </c>
      <c r="L22" s="98" t="s">
        <v>1046</v>
      </c>
      <c r="M22" s="98" t="s">
        <v>1046</v>
      </c>
      <c r="N22" s="98" t="s">
        <v>1031</v>
      </c>
      <c r="O22" s="98" t="s">
        <v>677</v>
      </c>
      <c r="P22" s="98" t="s">
        <v>1074</v>
      </c>
      <c r="Q22" s="98" t="s">
        <v>811</v>
      </c>
      <c r="R22" s="98" t="s">
        <v>1075</v>
      </c>
      <c r="S22" s="98" t="s">
        <v>681</v>
      </c>
    </row>
    <row r="23" customFormat="false" ht="55" hidden="false" customHeight="true" outlineLevel="0" collapsed="false">
      <c r="C23" s="96" t="s">
        <v>1043</v>
      </c>
      <c r="D23" s="97" t="s">
        <v>679</v>
      </c>
      <c r="E23" s="97" t="s">
        <v>1044</v>
      </c>
      <c r="F23" s="97" t="n">
        <v>46270.748424375</v>
      </c>
      <c r="G23" s="97" t="n">
        <v>46271.5168071875</v>
      </c>
      <c r="H23" s="97" t="s">
        <v>680</v>
      </c>
      <c r="I23" s="97" t="s">
        <v>1073</v>
      </c>
      <c r="J23" s="99" t="s">
        <v>912</v>
      </c>
      <c r="K23" s="99" t="s">
        <v>1068</v>
      </c>
      <c r="L23" s="98" t="s">
        <v>1030</v>
      </c>
      <c r="M23" s="98" t="s">
        <v>1030</v>
      </c>
      <c r="N23" s="98" t="s">
        <v>1031</v>
      </c>
      <c r="O23" s="98" t="s">
        <v>677</v>
      </c>
      <c r="P23" s="98" t="s">
        <v>1069</v>
      </c>
      <c r="Q23" s="98" t="s">
        <v>811</v>
      </c>
      <c r="R23" s="98" t="s">
        <v>1070</v>
      </c>
      <c r="S23" s="98" t="s">
        <v>681</v>
      </c>
    </row>
    <row r="24" customFormat="false" ht="55" hidden="false" customHeight="true" outlineLevel="0" collapsed="false">
      <c r="C24" s="96" t="s">
        <v>1051</v>
      </c>
      <c r="D24" s="97" t="s">
        <v>1052</v>
      </c>
      <c r="E24" s="97" t="s">
        <v>1053</v>
      </c>
      <c r="F24" s="97" t="n">
        <v>46270.7484272454</v>
      </c>
      <c r="G24" s="97" t="n">
        <v>46271.5167540857</v>
      </c>
      <c r="H24" s="97" t="s">
        <v>1054</v>
      </c>
      <c r="I24" s="97" t="s">
        <v>1076</v>
      </c>
      <c r="J24" s="99" t="s">
        <v>912</v>
      </c>
      <c r="K24" s="99" t="s">
        <v>1068</v>
      </c>
      <c r="L24" s="98" t="s">
        <v>1056</v>
      </c>
      <c r="M24" s="98" t="s">
        <v>1056</v>
      </c>
      <c r="N24" s="98" t="s">
        <v>1031</v>
      </c>
      <c r="O24" s="98" t="s">
        <v>677</v>
      </c>
      <c r="P24" s="98" t="s">
        <v>1077</v>
      </c>
      <c r="Q24" s="98" t="s">
        <v>811</v>
      </c>
      <c r="R24" s="98" t="s">
        <v>1078</v>
      </c>
      <c r="S24" s="98" t="s">
        <v>1059</v>
      </c>
    </row>
    <row r="25" customFormat="false" ht="55" hidden="false" customHeight="true" outlineLevel="0" collapsed="false">
      <c r="C25" s="96" t="s">
        <v>1051</v>
      </c>
      <c r="D25" s="97" t="s">
        <v>1052</v>
      </c>
      <c r="E25" s="97" t="s">
        <v>1053</v>
      </c>
      <c r="F25" s="97" t="n">
        <v>46270.7484272454</v>
      </c>
      <c r="G25" s="97" t="n">
        <v>46271.5167540857</v>
      </c>
      <c r="H25" s="97" t="s">
        <v>1054</v>
      </c>
      <c r="I25" s="97" t="s">
        <v>1076</v>
      </c>
      <c r="J25" s="99" t="s">
        <v>912</v>
      </c>
      <c r="K25" s="99" t="s">
        <v>1068</v>
      </c>
      <c r="L25" s="98" t="s">
        <v>1046</v>
      </c>
      <c r="M25" s="98" t="s">
        <v>1046</v>
      </c>
      <c r="N25" s="98" t="s">
        <v>1031</v>
      </c>
      <c r="O25" s="98" t="s">
        <v>677</v>
      </c>
      <c r="P25" s="98" t="s">
        <v>1074</v>
      </c>
      <c r="Q25" s="98" t="s">
        <v>811</v>
      </c>
      <c r="R25" s="98" t="s">
        <v>1075</v>
      </c>
      <c r="S25" s="98" t="s">
        <v>1059</v>
      </c>
    </row>
    <row r="26" customFormat="false" ht="55" hidden="false" customHeight="true" outlineLevel="0" collapsed="false">
      <c r="C26" s="96" t="s">
        <v>1022</v>
      </c>
      <c r="D26" s="97" t="s">
        <v>1023</v>
      </c>
      <c r="E26" s="97" t="s">
        <v>1024</v>
      </c>
      <c r="F26" s="97" t="n">
        <v>46270.7484260648</v>
      </c>
      <c r="G26" s="97" t="s">
        <v>1025</v>
      </c>
      <c r="H26" s="97" t="s">
        <v>1026</v>
      </c>
      <c r="I26" s="97" t="s">
        <v>1079</v>
      </c>
      <c r="J26" s="99" t="s">
        <v>1080</v>
      </c>
      <c r="K26" s="99" t="s">
        <v>1081</v>
      </c>
      <c r="L26" s="98" t="s">
        <v>1030</v>
      </c>
      <c r="M26" s="98" t="s">
        <v>1030</v>
      </c>
      <c r="N26" s="98" t="s">
        <v>1031</v>
      </c>
      <c r="O26" s="98" t="s">
        <v>677</v>
      </c>
      <c r="P26" s="98" t="s">
        <v>1082</v>
      </c>
      <c r="Q26" s="98" t="s">
        <v>811</v>
      </c>
      <c r="R26" s="98" t="s">
        <v>1083</v>
      </c>
      <c r="S26" s="98" t="s">
        <v>1034</v>
      </c>
    </row>
    <row r="27" customFormat="false" ht="55" hidden="false" customHeight="true" outlineLevel="0" collapsed="false">
      <c r="C27" s="96" t="s">
        <v>1022</v>
      </c>
      <c r="D27" s="97" t="s">
        <v>1023</v>
      </c>
      <c r="E27" s="97" t="s">
        <v>1024</v>
      </c>
      <c r="F27" s="97" t="n">
        <v>46270.7484260648</v>
      </c>
      <c r="G27" s="97" t="s">
        <v>1025</v>
      </c>
      <c r="H27" s="97" t="s">
        <v>1026</v>
      </c>
      <c r="I27" s="97" t="s">
        <v>1079</v>
      </c>
      <c r="J27" s="99" t="s">
        <v>1080</v>
      </c>
      <c r="K27" s="99" t="s">
        <v>1081</v>
      </c>
      <c r="L27" s="98" t="s">
        <v>1035</v>
      </c>
      <c r="M27" s="98" t="s">
        <v>1035</v>
      </c>
      <c r="N27" s="98" t="s">
        <v>1031</v>
      </c>
      <c r="O27" s="98" t="s">
        <v>677</v>
      </c>
      <c r="P27" s="98" t="s">
        <v>1084</v>
      </c>
      <c r="Q27" s="98" t="s">
        <v>811</v>
      </c>
      <c r="R27" s="98" t="s">
        <v>1085</v>
      </c>
      <c r="S27" s="98" t="s">
        <v>1034</v>
      </c>
    </row>
    <row r="28" customFormat="false" ht="55" hidden="false" customHeight="true" outlineLevel="0" collapsed="false">
      <c r="C28" s="96" t="s">
        <v>1022</v>
      </c>
      <c r="D28" s="97" t="s">
        <v>1023</v>
      </c>
      <c r="E28" s="97" t="s">
        <v>1024</v>
      </c>
      <c r="F28" s="97" t="n">
        <v>46270.7484260648</v>
      </c>
      <c r="G28" s="97" t="s">
        <v>1025</v>
      </c>
      <c r="H28" s="97" t="s">
        <v>1026</v>
      </c>
      <c r="I28" s="97" t="s">
        <v>1079</v>
      </c>
      <c r="J28" s="99" t="s">
        <v>1080</v>
      </c>
      <c r="K28" s="99" t="s">
        <v>1086</v>
      </c>
      <c r="L28" s="98" t="s">
        <v>1030</v>
      </c>
      <c r="M28" s="98" t="s">
        <v>1030</v>
      </c>
      <c r="N28" s="98" t="s">
        <v>1031</v>
      </c>
      <c r="O28" s="98" t="s">
        <v>677</v>
      </c>
      <c r="P28" s="98" t="s">
        <v>1087</v>
      </c>
      <c r="Q28" s="98" t="s">
        <v>811</v>
      </c>
      <c r="R28" s="98" t="s">
        <v>1088</v>
      </c>
      <c r="S28" s="98" t="s">
        <v>1034</v>
      </c>
    </row>
    <row r="29" customFormat="false" ht="55" hidden="false" customHeight="true" outlineLevel="0" collapsed="false">
      <c r="C29" s="96" t="s">
        <v>1022</v>
      </c>
      <c r="D29" s="97" t="s">
        <v>1023</v>
      </c>
      <c r="E29" s="97" t="s">
        <v>1024</v>
      </c>
      <c r="F29" s="97" t="n">
        <v>46270.7484260648</v>
      </c>
      <c r="G29" s="97" t="s">
        <v>1025</v>
      </c>
      <c r="H29" s="97" t="s">
        <v>1026</v>
      </c>
      <c r="I29" s="97" t="s">
        <v>1079</v>
      </c>
      <c r="J29" s="99" t="s">
        <v>1080</v>
      </c>
      <c r="K29" s="99" t="s">
        <v>1086</v>
      </c>
      <c r="L29" s="98" t="s">
        <v>1035</v>
      </c>
      <c r="M29" s="98" t="s">
        <v>1035</v>
      </c>
      <c r="N29" s="98" t="s">
        <v>1031</v>
      </c>
      <c r="O29" s="98" t="s">
        <v>677</v>
      </c>
      <c r="P29" s="98" t="s">
        <v>1089</v>
      </c>
      <c r="Q29" s="98" t="s">
        <v>811</v>
      </c>
      <c r="R29" s="98" t="s">
        <v>1090</v>
      </c>
      <c r="S29" s="98" t="s">
        <v>1034</v>
      </c>
    </row>
    <row r="30" customFormat="false" ht="55" hidden="false" customHeight="true" outlineLevel="0" collapsed="false">
      <c r="C30" s="96" t="s">
        <v>1022</v>
      </c>
      <c r="D30" s="97" t="s">
        <v>1023</v>
      </c>
      <c r="E30" s="97" t="s">
        <v>1024</v>
      </c>
      <c r="F30" s="97" t="n">
        <v>46270.7484260648</v>
      </c>
      <c r="G30" s="97" t="s">
        <v>1025</v>
      </c>
      <c r="H30" s="97" t="s">
        <v>1026</v>
      </c>
      <c r="I30" s="97" t="s">
        <v>1079</v>
      </c>
      <c r="J30" s="99" t="s">
        <v>1080</v>
      </c>
      <c r="K30" s="99" t="s">
        <v>1091</v>
      </c>
      <c r="L30" s="98" t="s">
        <v>1030</v>
      </c>
      <c r="M30" s="98" t="s">
        <v>1030</v>
      </c>
      <c r="N30" s="98" t="s">
        <v>1031</v>
      </c>
      <c r="O30" s="98" t="s">
        <v>677</v>
      </c>
      <c r="P30" s="98" t="s">
        <v>1092</v>
      </c>
      <c r="Q30" s="98" t="s">
        <v>811</v>
      </c>
      <c r="R30" s="98" t="s">
        <v>1093</v>
      </c>
      <c r="S30" s="98" t="s">
        <v>1034</v>
      </c>
    </row>
    <row r="31" customFormat="false" ht="55" hidden="false" customHeight="true" outlineLevel="0" collapsed="false">
      <c r="C31" s="96" t="s">
        <v>1022</v>
      </c>
      <c r="D31" s="97" t="s">
        <v>1023</v>
      </c>
      <c r="E31" s="97" t="s">
        <v>1024</v>
      </c>
      <c r="F31" s="97" t="n">
        <v>46270.7484260648</v>
      </c>
      <c r="G31" s="97" t="s">
        <v>1025</v>
      </c>
      <c r="H31" s="97" t="s">
        <v>1026</v>
      </c>
      <c r="I31" s="97" t="s">
        <v>1079</v>
      </c>
      <c r="J31" s="99" t="s">
        <v>1080</v>
      </c>
      <c r="K31" s="99" t="s">
        <v>1091</v>
      </c>
      <c r="L31" s="98" t="s">
        <v>1035</v>
      </c>
      <c r="M31" s="98" t="s">
        <v>1035</v>
      </c>
      <c r="N31" s="98" t="s">
        <v>1031</v>
      </c>
      <c r="O31" s="98" t="s">
        <v>677</v>
      </c>
      <c r="P31" s="98" t="s">
        <v>1094</v>
      </c>
      <c r="Q31" s="98" t="s">
        <v>811</v>
      </c>
      <c r="R31" s="98" t="s">
        <v>1095</v>
      </c>
      <c r="S31" s="98" t="s">
        <v>1034</v>
      </c>
    </row>
    <row r="32" customFormat="false" ht="55" hidden="false" customHeight="true" outlineLevel="0" collapsed="false">
      <c r="C32" s="96" t="s">
        <v>1022</v>
      </c>
      <c r="D32" s="97" t="s">
        <v>1023</v>
      </c>
      <c r="E32" s="97" t="s">
        <v>1024</v>
      </c>
      <c r="F32" s="97" t="n">
        <v>46270.7484260648</v>
      </c>
      <c r="G32" s="97" t="s">
        <v>1025</v>
      </c>
      <c r="H32" s="97" t="s">
        <v>1026</v>
      </c>
      <c r="I32" s="97" t="s">
        <v>1079</v>
      </c>
      <c r="J32" s="99" t="s">
        <v>1080</v>
      </c>
      <c r="K32" s="99" t="s">
        <v>1096</v>
      </c>
      <c r="L32" s="98" t="s">
        <v>1030</v>
      </c>
      <c r="M32" s="98" t="s">
        <v>1030</v>
      </c>
      <c r="N32" s="98" t="s">
        <v>1031</v>
      </c>
      <c r="O32" s="98" t="s">
        <v>677</v>
      </c>
      <c r="P32" s="98" t="s">
        <v>1097</v>
      </c>
      <c r="Q32" s="98" t="s">
        <v>811</v>
      </c>
      <c r="R32" s="98" t="s">
        <v>1098</v>
      </c>
      <c r="S32" s="98" t="s">
        <v>1034</v>
      </c>
    </row>
    <row r="33" customFormat="false" ht="55" hidden="false" customHeight="true" outlineLevel="0" collapsed="false">
      <c r="C33" s="96" t="s">
        <v>1022</v>
      </c>
      <c r="D33" s="97" t="s">
        <v>1023</v>
      </c>
      <c r="E33" s="97" t="s">
        <v>1024</v>
      </c>
      <c r="F33" s="97" t="n">
        <v>46270.7484260648</v>
      </c>
      <c r="G33" s="97" t="s">
        <v>1025</v>
      </c>
      <c r="H33" s="97" t="s">
        <v>1026</v>
      </c>
      <c r="I33" s="97" t="s">
        <v>1079</v>
      </c>
      <c r="J33" s="99" t="s">
        <v>1080</v>
      </c>
      <c r="K33" s="99" t="s">
        <v>1096</v>
      </c>
      <c r="L33" s="98" t="s">
        <v>1035</v>
      </c>
      <c r="M33" s="98" t="s">
        <v>1035</v>
      </c>
      <c r="N33" s="98" t="s">
        <v>1031</v>
      </c>
      <c r="O33" s="98" t="s">
        <v>677</v>
      </c>
      <c r="P33" s="98" t="s">
        <v>1099</v>
      </c>
      <c r="Q33" s="98" t="s">
        <v>811</v>
      </c>
      <c r="R33" s="98" t="s">
        <v>1100</v>
      </c>
      <c r="S33" s="98" t="s">
        <v>1034</v>
      </c>
    </row>
    <row r="34" customFormat="false" ht="55" hidden="false" customHeight="true" outlineLevel="0" collapsed="false">
      <c r="C34" s="96" t="s">
        <v>1043</v>
      </c>
      <c r="D34" s="97" t="s">
        <v>679</v>
      </c>
      <c r="E34" s="97" t="s">
        <v>1044</v>
      </c>
      <c r="F34" s="97" t="n">
        <v>46270.748424375</v>
      </c>
      <c r="G34" s="97" t="n">
        <v>46271.5168071875</v>
      </c>
      <c r="H34" s="97" t="s">
        <v>680</v>
      </c>
      <c r="I34" s="97" t="s">
        <v>1101</v>
      </c>
      <c r="J34" s="99" t="s">
        <v>1080</v>
      </c>
      <c r="K34" s="99" t="s">
        <v>1081</v>
      </c>
      <c r="L34" s="98" t="s">
        <v>1046</v>
      </c>
      <c r="M34" s="98" t="s">
        <v>1046</v>
      </c>
      <c r="N34" s="98" t="s">
        <v>1031</v>
      </c>
      <c r="O34" s="98" t="s">
        <v>677</v>
      </c>
      <c r="P34" s="98" t="s">
        <v>1102</v>
      </c>
      <c r="Q34" s="98" t="s">
        <v>811</v>
      </c>
      <c r="R34" s="98" t="s">
        <v>1103</v>
      </c>
      <c r="S34" s="98" t="s">
        <v>681</v>
      </c>
    </row>
    <row r="35" customFormat="false" ht="55" hidden="false" customHeight="true" outlineLevel="0" collapsed="false">
      <c r="C35" s="96" t="s">
        <v>1043</v>
      </c>
      <c r="D35" s="97" t="s">
        <v>679</v>
      </c>
      <c r="E35" s="97" t="s">
        <v>1044</v>
      </c>
      <c r="F35" s="97" t="n">
        <v>46270.748424375</v>
      </c>
      <c r="G35" s="97" t="n">
        <v>46271.5168071875</v>
      </c>
      <c r="H35" s="97" t="s">
        <v>680</v>
      </c>
      <c r="I35" s="97" t="s">
        <v>1101</v>
      </c>
      <c r="J35" s="99" t="s">
        <v>1080</v>
      </c>
      <c r="K35" s="99" t="s">
        <v>1081</v>
      </c>
      <c r="L35" s="98" t="s">
        <v>1030</v>
      </c>
      <c r="M35" s="98" t="s">
        <v>1030</v>
      </c>
      <c r="N35" s="98" t="s">
        <v>1031</v>
      </c>
      <c r="O35" s="98" t="s">
        <v>677</v>
      </c>
      <c r="P35" s="98" t="s">
        <v>1082</v>
      </c>
      <c r="Q35" s="98" t="s">
        <v>811</v>
      </c>
      <c r="R35" s="98" t="s">
        <v>1083</v>
      </c>
      <c r="S35" s="98" t="s">
        <v>681</v>
      </c>
    </row>
    <row r="36" customFormat="false" ht="55" hidden="false" customHeight="true" outlineLevel="0" collapsed="false">
      <c r="C36" s="96" t="s">
        <v>1043</v>
      </c>
      <c r="D36" s="97" t="s">
        <v>679</v>
      </c>
      <c r="E36" s="97" t="s">
        <v>1044</v>
      </c>
      <c r="F36" s="97" t="n">
        <v>46270.748424375</v>
      </c>
      <c r="G36" s="97" t="n">
        <v>46271.5168071875</v>
      </c>
      <c r="H36" s="97" t="s">
        <v>680</v>
      </c>
      <c r="I36" s="97" t="s">
        <v>1101</v>
      </c>
      <c r="J36" s="99" t="s">
        <v>1080</v>
      </c>
      <c r="K36" s="99" t="s">
        <v>1086</v>
      </c>
      <c r="L36" s="98" t="s">
        <v>1046</v>
      </c>
      <c r="M36" s="98" t="s">
        <v>1046</v>
      </c>
      <c r="N36" s="98" t="s">
        <v>1031</v>
      </c>
      <c r="O36" s="98" t="s">
        <v>677</v>
      </c>
      <c r="P36" s="98" t="s">
        <v>1104</v>
      </c>
      <c r="Q36" s="98" t="s">
        <v>811</v>
      </c>
      <c r="R36" s="98" t="s">
        <v>1105</v>
      </c>
      <c r="S36" s="98" t="s">
        <v>681</v>
      </c>
    </row>
    <row r="37" customFormat="false" ht="55" hidden="false" customHeight="true" outlineLevel="0" collapsed="false">
      <c r="C37" s="96" t="s">
        <v>1043</v>
      </c>
      <c r="D37" s="97" t="s">
        <v>679</v>
      </c>
      <c r="E37" s="97" t="s">
        <v>1044</v>
      </c>
      <c r="F37" s="97" t="n">
        <v>46270.748424375</v>
      </c>
      <c r="G37" s="97" t="n">
        <v>46271.5168071875</v>
      </c>
      <c r="H37" s="97" t="s">
        <v>680</v>
      </c>
      <c r="I37" s="97" t="s">
        <v>1101</v>
      </c>
      <c r="J37" s="99" t="s">
        <v>1080</v>
      </c>
      <c r="K37" s="99" t="s">
        <v>1086</v>
      </c>
      <c r="L37" s="98" t="s">
        <v>1030</v>
      </c>
      <c r="M37" s="98" t="s">
        <v>1030</v>
      </c>
      <c r="N37" s="98" t="s">
        <v>1031</v>
      </c>
      <c r="O37" s="98" t="s">
        <v>677</v>
      </c>
      <c r="P37" s="98" t="s">
        <v>1087</v>
      </c>
      <c r="Q37" s="98" t="s">
        <v>811</v>
      </c>
      <c r="R37" s="98" t="s">
        <v>1088</v>
      </c>
      <c r="S37" s="98" t="s">
        <v>681</v>
      </c>
    </row>
    <row r="38" customFormat="false" ht="55" hidden="false" customHeight="true" outlineLevel="0" collapsed="false">
      <c r="C38" s="96" t="s">
        <v>1043</v>
      </c>
      <c r="D38" s="97" t="s">
        <v>679</v>
      </c>
      <c r="E38" s="97" t="s">
        <v>1044</v>
      </c>
      <c r="F38" s="97" t="n">
        <v>46270.748424375</v>
      </c>
      <c r="G38" s="97" t="n">
        <v>46271.5168071875</v>
      </c>
      <c r="H38" s="97" t="s">
        <v>680</v>
      </c>
      <c r="I38" s="97" t="s">
        <v>1101</v>
      </c>
      <c r="J38" s="99" t="s">
        <v>1080</v>
      </c>
      <c r="K38" s="99" t="s">
        <v>1091</v>
      </c>
      <c r="L38" s="98" t="s">
        <v>1046</v>
      </c>
      <c r="M38" s="98" t="s">
        <v>1046</v>
      </c>
      <c r="N38" s="98" t="s">
        <v>1031</v>
      </c>
      <c r="O38" s="98" t="s">
        <v>677</v>
      </c>
      <c r="P38" s="98" t="s">
        <v>1106</v>
      </c>
      <c r="Q38" s="98" t="s">
        <v>811</v>
      </c>
      <c r="R38" s="98" t="s">
        <v>1107</v>
      </c>
      <c r="S38" s="98" t="s">
        <v>681</v>
      </c>
    </row>
    <row r="39" customFormat="false" ht="55" hidden="false" customHeight="true" outlineLevel="0" collapsed="false">
      <c r="C39" s="96" t="s">
        <v>1043</v>
      </c>
      <c r="D39" s="97" t="s">
        <v>679</v>
      </c>
      <c r="E39" s="97" t="s">
        <v>1044</v>
      </c>
      <c r="F39" s="97" t="n">
        <v>46270.748424375</v>
      </c>
      <c r="G39" s="97" t="n">
        <v>46271.5168071875</v>
      </c>
      <c r="H39" s="97" t="s">
        <v>680</v>
      </c>
      <c r="I39" s="97" t="s">
        <v>1101</v>
      </c>
      <c r="J39" s="99" t="s">
        <v>1080</v>
      </c>
      <c r="K39" s="99" t="s">
        <v>1091</v>
      </c>
      <c r="L39" s="98" t="s">
        <v>1030</v>
      </c>
      <c r="M39" s="98" t="s">
        <v>1030</v>
      </c>
      <c r="N39" s="98" t="s">
        <v>1031</v>
      </c>
      <c r="O39" s="98" t="s">
        <v>677</v>
      </c>
      <c r="P39" s="98" t="s">
        <v>1092</v>
      </c>
      <c r="Q39" s="98" t="s">
        <v>811</v>
      </c>
      <c r="R39" s="98" t="s">
        <v>1093</v>
      </c>
      <c r="S39" s="98" t="s">
        <v>681</v>
      </c>
    </row>
    <row r="40" customFormat="false" ht="55" hidden="false" customHeight="true" outlineLevel="0" collapsed="false">
      <c r="C40" s="96" t="s">
        <v>1043</v>
      </c>
      <c r="D40" s="97" t="s">
        <v>679</v>
      </c>
      <c r="E40" s="97" t="s">
        <v>1044</v>
      </c>
      <c r="F40" s="97" t="n">
        <v>46270.748424375</v>
      </c>
      <c r="G40" s="97" t="n">
        <v>46271.5168071875</v>
      </c>
      <c r="H40" s="97" t="s">
        <v>680</v>
      </c>
      <c r="I40" s="97" t="s">
        <v>1101</v>
      </c>
      <c r="J40" s="99" t="s">
        <v>1080</v>
      </c>
      <c r="K40" s="99" t="s">
        <v>1096</v>
      </c>
      <c r="L40" s="98" t="s">
        <v>1046</v>
      </c>
      <c r="M40" s="98" t="s">
        <v>1046</v>
      </c>
      <c r="N40" s="98" t="s">
        <v>1031</v>
      </c>
      <c r="O40" s="98" t="s">
        <v>677</v>
      </c>
      <c r="P40" s="98" t="s">
        <v>1108</v>
      </c>
      <c r="Q40" s="98" t="s">
        <v>811</v>
      </c>
      <c r="R40" s="98" t="s">
        <v>1109</v>
      </c>
      <c r="S40" s="98" t="s">
        <v>681</v>
      </c>
    </row>
    <row r="41" customFormat="false" ht="55" hidden="false" customHeight="true" outlineLevel="0" collapsed="false">
      <c r="C41" s="96" t="s">
        <v>1043</v>
      </c>
      <c r="D41" s="97" t="s">
        <v>679</v>
      </c>
      <c r="E41" s="97" t="s">
        <v>1044</v>
      </c>
      <c r="F41" s="97" t="n">
        <v>46270.748424375</v>
      </c>
      <c r="G41" s="97" t="n">
        <v>46271.5168071875</v>
      </c>
      <c r="H41" s="97" t="s">
        <v>680</v>
      </c>
      <c r="I41" s="97" t="s">
        <v>1101</v>
      </c>
      <c r="J41" s="99" t="s">
        <v>1080</v>
      </c>
      <c r="K41" s="99" t="s">
        <v>1096</v>
      </c>
      <c r="L41" s="98" t="s">
        <v>1030</v>
      </c>
      <c r="M41" s="98" t="s">
        <v>1030</v>
      </c>
      <c r="N41" s="98" t="s">
        <v>1031</v>
      </c>
      <c r="O41" s="98" t="s">
        <v>677</v>
      </c>
      <c r="P41" s="98" t="s">
        <v>1097</v>
      </c>
      <c r="Q41" s="98" t="s">
        <v>811</v>
      </c>
      <c r="R41" s="98" t="s">
        <v>1098</v>
      </c>
      <c r="S41" s="98" t="s">
        <v>681</v>
      </c>
    </row>
    <row r="42" customFormat="false" ht="55" hidden="false" customHeight="true" outlineLevel="0" collapsed="false">
      <c r="C42" s="96" t="s">
        <v>1022</v>
      </c>
      <c r="D42" s="97" t="s">
        <v>1023</v>
      </c>
      <c r="E42" s="97" t="s">
        <v>1024</v>
      </c>
      <c r="F42" s="97" t="n">
        <v>46270.7484260648</v>
      </c>
      <c r="G42" s="97" t="s">
        <v>1025</v>
      </c>
      <c r="H42" s="97" t="s">
        <v>1026</v>
      </c>
      <c r="I42" s="97" t="s">
        <v>1110</v>
      </c>
      <c r="J42" s="99" t="s">
        <v>1111</v>
      </c>
      <c r="K42" s="99" t="s">
        <v>222</v>
      </c>
      <c r="L42" s="100" t="s">
        <v>1112</v>
      </c>
      <c r="M42" s="98" t="s">
        <v>1030</v>
      </c>
      <c r="N42" s="98" t="s">
        <v>1031</v>
      </c>
      <c r="O42" s="98" t="s">
        <v>677</v>
      </c>
      <c r="P42" s="98" t="s">
        <v>1113</v>
      </c>
      <c r="Q42" s="98" t="s">
        <v>811</v>
      </c>
      <c r="R42" s="98" t="s">
        <v>1114</v>
      </c>
      <c r="S42" s="98" t="s">
        <v>1034</v>
      </c>
    </row>
    <row r="43" customFormat="false" ht="55" hidden="false" customHeight="true" outlineLevel="0" collapsed="false">
      <c r="C43" s="96" t="s">
        <v>1022</v>
      </c>
      <c r="D43" s="97" t="s">
        <v>1023</v>
      </c>
      <c r="E43" s="97" t="s">
        <v>1024</v>
      </c>
      <c r="F43" s="97" t="n">
        <v>46270.7484260648</v>
      </c>
      <c r="G43" s="97" t="s">
        <v>1025</v>
      </c>
      <c r="H43" s="97" t="s">
        <v>1026</v>
      </c>
      <c r="I43" s="97" t="s">
        <v>1110</v>
      </c>
      <c r="J43" s="99" t="s">
        <v>1111</v>
      </c>
      <c r="K43" s="99" t="s">
        <v>222</v>
      </c>
      <c r="L43" s="100" t="s">
        <v>1115</v>
      </c>
      <c r="M43" s="98" t="s">
        <v>1030</v>
      </c>
      <c r="N43" s="98" t="s">
        <v>1031</v>
      </c>
      <c r="O43" s="98" t="s">
        <v>677</v>
      </c>
      <c r="P43" s="98" t="s">
        <v>1116</v>
      </c>
      <c r="Q43" s="98" t="s">
        <v>811</v>
      </c>
      <c r="R43" s="98" t="s">
        <v>1117</v>
      </c>
      <c r="S43" s="98" t="s">
        <v>1034</v>
      </c>
    </row>
    <row r="44" customFormat="false" ht="55" hidden="false" customHeight="true" outlineLevel="0" collapsed="false">
      <c r="C44" s="96" t="s">
        <v>1022</v>
      </c>
      <c r="D44" s="97" t="s">
        <v>1023</v>
      </c>
      <c r="E44" s="97" t="s">
        <v>1024</v>
      </c>
      <c r="F44" s="97" t="n">
        <v>46270.7484260648</v>
      </c>
      <c r="G44" s="97" t="s">
        <v>1025</v>
      </c>
      <c r="H44" s="97" t="s">
        <v>1026</v>
      </c>
      <c r="I44" s="97" t="s">
        <v>1110</v>
      </c>
      <c r="J44" s="99" t="s">
        <v>1111</v>
      </c>
      <c r="K44" s="99" t="s">
        <v>1118</v>
      </c>
      <c r="L44" s="100" t="s">
        <v>1112</v>
      </c>
      <c r="M44" s="98" t="s">
        <v>1030</v>
      </c>
      <c r="N44" s="98" t="s">
        <v>1031</v>
      </c>
      <c r="O44" s="98" t="s">
        <v>677</v>
      </c>
      <c r="P44" s="98" t="s">
        <v>1119</v>
      </c>
      <c r="Q44" s="98" t="s">
        <v>811</v>
      </c>
      <c r="R44" s="98" t="s">
        <v>1120</v>
      </c>
      <c r="S44" s="98" t="s">
        <v>1034</v>
      </c>
    </row>
    <row r="45" customFormat="false" ht="55" hidden="false" customHeight="true" outlineLevel="0" collapsed="false">
      <c r="C45" s="96" t="s">
        <v>1022</v>
      </c>
      <c r="D45" s="97" t="s">
        <v>1023</v>
      </c>
      <c r="E45" s="97" t="s">
        <v>1024</v>
      </c>
      <c r="F45" s="97" t="n">
        <v>46270.7484260648</v>
      </c>
      <c r="G45" s="97" t="s">
        <v>1025</v>
      </c>
      <c r="H45" s="97" t="s">
        <v>1026</v>
      </c>
      <c r="I45" s="97" t="s">
        <v>1110</v>
      </c>
      <c r="J45" s="99" t="s">
        <v>1111</v>
      </c>
      <c r="K45" s="99" t="s">
        <v>1118</v>
      </c>
      <c r="L45" s="100" t="s">
        <v>1115</v>
      </c>
      <c r="M45" s="98" t="s">
        <v>1030</v>
      </c>
      <c r="N45" s="98" t="s">
        <v>1031</v>
      </c>
      <c r="O45" s="98" t="s">
        <v>677</v>
      </c>
      <c r="P45" s="98" t="s">
        <v>1121</v>
      </c>
      <c r="Q45" s="98" t="s">
        <v>811</v>
      </c>
      <c r="R45" s="98" t="s">
        <v>1122</v>
      </c>
      <c r="S45" s="98" t="s">
        <v>1034</v>
      </c>
    </row>
    <row r="46" customFormat="false" ht="55" hidden="false" customHeight="true" outlineLevel="0" collapsed="false">
      <c r="C46" s="96" t="s">
        <v>1022</v>
      </c>
      <c r="D46" s="97" t="s">
        <v>1023</v>
      </c>
      <c r="E46" s="97" t="s">
        <v>1024</v>
      </c>
      <c r="F46" s="97" t="n">
        <v>46270.7484260648</v>
      </c>
      <c r="G46" s="97" t="s">
        <v>1025</v>
      </c>
      <c r="H46" s="97" t="s">
        <v>1026</v>
      </c>
      <c r="I46" s="97" t="s">
        <v>1110</v>
      </c>
      <c r="J46" s="99" t="s">
        <v>1111</v>
      </c>
      <c r="K46" s="99" t="s">
        <v>228</v>
      </c>
      <c r="L46" s="100" t="s">
        <v>1112</v>
      </c>
      <c r="M46" s="98" t="s">
        <v>1030</v>
      </c>
      <c r="N46" s="98" t="s">
        <v>1031</v>
      </c>
      <c r="O46" s="98" t="s">
        <v>677</v>
      </c>
      <c r="P46" s="98" t="s">
        <v>1123</v>
      </c>
      <c r="Q46" s="98" t="s">
        <v>811</v>
      </c>
      <c r="R46" s="98" t="s">
        <v>1124</v>
      </c>
      <c r="S46" s="98" t="s">
        <v>1034</v>
      </c>
    </row>
    <row r="47" customFormat="false" ht="55" hidden="false" customHeight="true" outlineLevel="0" collapsed="false">
      <c r="C47" s="96" t="s">
        <v>1022</v>
      </c>
      <c r="D47" s="97" t="s">
        <v>1023</v>
      </c>
      <c r="E47" s="97" t="s">
        <v>1024</v>
      </c>
      <c r="F47" s="97" t="n">
        <v>46270.7484260648</v>
      </c>
      <c r="G47" s="97" t="s">
        <v>1025</v>
      </c>
      <c r="H47" s="97" t="s">
        <v>1026</v>
      </c>
      <c r="I47" s="97" t="s">
        <v>1110</v>
      </c>
      <c r="J47" s="99" t="s">
        <v>1111</v>
      </c>
      <c r="K47" s="99" t="s">
        <v>228</v>
      </c>
      <c r="L47" s="100" t="s">
        <v>1115</v>
      </c>
      <c r="M47" s="98" t="s">
        <v>1030</v>
      </c>
      <c r="N47" s="98" t="s">
        <v>1031</v>
      </c>
      <c r="O47" s="98" t="s">
        <v>677</v>
      </c>
      <c r="P47" s="98" t="s">
        <v>1125</v>
      </c>
      <c r="Q47" s="98" t="s">
        <v>811</v>
      </c>
      <c r="R47" s="98" t="s">
        <v>1126</v>
      </c>
      <c r="S47" s="98" t="s">
        <v>1034</v>
      </c>
    </row>
    <row r="48" customFormat="false" ht="55" hidden="false" customHeight="true" outlineLevel="0" collapsed="false">
      <c r="C48" s="96" t="s">
        <v>1043</v>
      </c>
      <c r="D48" s="97" t="s">
        <v>679</v>
      </c>
      <c r="E48" s="97" t="s">
        <v>1044</v>
      </c>
      <c r="F48" s="97" t="n">
        <v>46270.748424375</v>
      </c>
      <c r="G48" s="97" t="n">
        <v>46271.5168071875</v>
      </c>
      <c r="H48" s="97" t="s">
        <v>680</v>
      </c>
      <c r="I48" s="97" t="s">
        <v>1127</v>
      </c>
      <c r="J48" s="99" t="s">
        <v>1111</v>
      </c>
      <c r="K48" s="99" t="s">
        <v>222</v>
      </c>
      <c r="L48" s="100" t="s">
        <v>1112</v>
      </c>
      <c r="M48" s="98" t="s">
        <v>1046</v>
      </c>
      <c r="N48" s="98" t="s">
        <v>1031</v>
      </c>
      <c r="O48" s="98" t="s">
        <v>677</v>
      </c>
      <c r="P48" s="98" t="s">
        <v>1128</v>
      </c>
      <c r="Q48" s="98" t="s">
        <v>811</v>
      </c>
      <c r="R48" s="98" t="s">
        <v>1129</v>
      </c>
      <c r="S48" s="98" t="s">
        <v>681</v>
      </c>
    </row>
    <row r="49" customFormat="false" ht="55" hidden="false" customHeight="true" outlineLevel="0" collapsed="false">
      <c r="C49" s="96" t="s">
        <v>1043</v>
      </c>
      <c r="D49" s="97" t="s">
        <v>679</v>
      </c>
      <c r="E49" s="97" t="s">
        <v>1044</v>
      </c>
      <c r="F49" s="97" t="n">
        <v>46270.748424375</v>
      </c>
      <c r="G49" s="97" t="n">
        <v>46271.5168071875</v>
      </c>
      <c r="H49" s="97" t="s">
        <v>680</v>
      </c>
      <c r="I49" s="97" t="s">
        <v>1127</v>
      </c>
      <c r="J49" s="99" t="s">
        <v>1111</v>
      </c>
      <c r="K49" s="99" t="s">
        <v>222</v>
      </c>
      <c r="L49" s="100" t="s">
        <v>1115</v>
      </c>
      <c r="M49" s="98" t="s">
        <v>1046</v>
      </c>
      <c r="N49" s="98" t="s">
        <v>1031</v>
      </c>
      <c r="O49" s="98" t="s">
        <v>677</v>
      </c>
      <c r="P49" s="98" t="s">
        <v>1130</v>
      </c>
      <c r="Q49" s="98" t="s">
        <v>811</v>
      </c>
      <c r="R49" s="98" t="s">
        <v>1131</v>
      </c>
      <c r="S49" s="98" t="s">
        <v>681</v>
      </c>
    </row>
    <row r="50" customFormat="false" ht="55" hidden="false" customHeight="true" outlineLevel="0" collapsed="false">
      <c r="C50" s="96" t="s">
        <v>1043</v>
      </c>
      <c r="D50" s="97" t="s">
        <v>679</v>
      </c>
      <c r="E50" s="97" t="s">
        <v>1044</v>
      </c>
      <c r="F50" s="97" t="n">
        <v>46270.748424375</v>
      </c>
      <c r="G50" s="97" t="n">
        <v>46271.5168071875</v>
      </c>
      <c r="H50" s="97" t="s">
        <v>680</v>
      </c>
      <c r="I50" s="97" t="s">
        <v>1127</v>
      </c>
      <c r="J50" s="99" t="s">
        <v>1111</v>
      </c>
      <c r="K50" s="99" t="s">
        <v>1118</v>
      </c>
      <c r="L50" s="100" t="s">
        <v>1112</v>
      </c>
      <c r="M50" s="98" t="s">
        <v>1046</v>
      </c>
      <c r="N50" s="98" t="s">
        <v>1031</v>
      </c>
      <c r="O50" s="98" t="s">
        <v>677</v>
      </c>
      <c r="P50" s="98" t="s">
        <v>1132</v>
      </c>
      <c r="Q50" s="98" t="s">
        <v>811</v>
      </c>
      <c r="R50" s="98" t="s">
        <v>1133</v>
      </c>
      <c r="S50" s="98" t="s">
        <v>681</v>
      </c>
    </row>
    <row r="51" customFormat="false" ht="55" hidden="false" customHeight="true" outlineLevel="0" collapsed="false">
      <c r="C51" s="96" t="s">
        <v>1043</v>
      </c>
      <c r="D51" s="97" t="s">
        <v>679</v>
      </c>
      <c r="E51" s="97" t="s">
        <v>1044</v>
      </c>
      <c r="F51" s="97" t="n">
        <v>46270.748424375</v>
      </c>
      <c r="G51" s="97" t="n">
        <v>46271.5168071875</v>
      </c>
      <c r="H51" s="97" t="s">
        <v>680</v>
      </c>
      <c r="I51" s="97" t="s">
        <v>1127</v>
      </c>
      <c r="J51" s="99" t="s">
        <v>1111</v>
      </c>
      <c r="K51" s="99" t="s">
        <v>1118</v>
      </c>
      <c r="L51" s="100" t="s">
        <v>1115</v>
      </c>
      <c r="M51" s="98" t="s">
        <v>1046</v>
      </c>
      <c r="N51" s="98" t="s">
        <v>1031</v>
      </c>
      <c r="O51" s="98" t="s">
        <v>677</v>
      </c>
      <c r="P51" s="98" t="s">
        <v>1134</v>
      </c>
      <c r="Q51" s="98" t="s">
        <v>811</v>
      </c>
      <c r="R51" s="98" t="s">
        <v>1135</v>
      </c>
      <c r="S51" s="98" t="s">
        <v>681</v>
      </c>
    </row>
    <row r="52" customFormat="false" ht="55" hidden="false" customHeight="true" outlineLevel="0" collapsed="false">
      <c r="C52" s="96" t="s">
        <v>1043</v>
      </c>
      <c r="D52" s="97" t="s">
        <v>679</v>
      </c>
      <c r="E52" s="97" t="s">
        <v>1044</v>
      </c>
      <c r="F52" s="97" t="n">
        <v>46270.748424375</v>
      </c>
      <c r="G52" s="97" t="n">
        <v>46271.5168071875</v>
      </c>
      <c r="H52" s="97" t="s">
        <v>680</v>
      </c>
      <c r="I52" s="97" t="s">
        <v>1127</v>
      </c>
      <c r="J52" s="99" t="s">
        <v>1111</v>
      </c>
      <c r="K52" s="99" t="s">
        <v>228</v>
      </c>
      <c r="L52" s="100" t="s">
        <v>1112</v>
      </c>
      <c r="M52" s="98" t="s">
        <v>1046</v>
      </c>
      <c r="N52" s="98" t="s">
        <v>1031</v>
      </c>
      <c r="O52" s="98" t="s">
        <v>677</v>
      </c>
      <c r="P52" s="98" t="s">
        <v>1136</v>
      </c>
      <c r="Q52" s="98" t="s">
        <v>811</v>
      </c>
      <c r="R52" s="98" t="s">
        <v>1137</v>
      </c>
      <c r="S52" s="98" t="s">
        <v>681</v>
      </c>
    </row>
    <row r="53" customFormat="false" ht="55" hidden="false" customHeight="true" outlineLevel="0" collapsed="false">
      <c r="C53" s="96" t="s">
        <v>1043</v>
      </c>
      <c r="D53" s="97" t="s">
        <v>679</v>
      </c>
      <c r="E53" s="97" t="s">
        <v>1044</v>
      </c>
      <c r="F53" s="97" t="n">
        <v>46270.748424375</v>
      </c>
      <c r="G53" s="97" t="n">
        <v>46271.5168071875</v>
      </c>
      <c r="H53" s="97" t="s">
        <v>680</v>
      </c>
      <c r="I53" s="97" t="s">
        <v>1127</v>
      </c>
      <c r="J53" s="99" t="s">
        <v>1111</v>
      </c>
      <c r="K53" s="99" t="s">
        <v>228</v>
      </c>
      <c r="L53" s="100" t="s">
        <v>1115</v>
      </c>
      <c r="M53" s="98" t="s">
        <v>1046</v>
      </c>
      <c r="N53" s="98" t="s">
        <v>1031</v>
      </c>
      <c r="O53" s="98" t="s">
        <v>677</v>
      </c>
      <c r="P53" s="98" t="s">
        <v>1138</v>
      </c>
      <c r="Q53" s="98" t="s">
        <v>811</v>
      </c>
      <c r="R53" s="98" t="s">
        <v>1139</v>
      </c>
      <c r="S53" s="98" t="s">
        <v>681</v>
      </c>
    </row>
    <row r="54" customFormat="false" ht="55" hidden="false" customHeight="true" outlineLevel="0" collapsed="false">
      <c r="C54" s="96" t="s">
        <v>1022</v>
      </c>
      <c r="D54" s="97" t="s">
        <v>1023</v>
      </c>
      <c r="E54" s="97" t="s">
        <v>1024</v>
      </c>
      <c r="F54" s="97" t="n">
        <v>46270.7484260648</v>
      </c>
      <c r="G54" s="97" t="s">
        <v>1025</v>
      </c>
      <c r="H54" s="97" t="s">
        <v>1026</v>
      </c>
      <c r="I54" s="97" t="s">
        <v>1140</v>
      </c>
      <c r="J54" s="99" t="s">
        <v>1141</v>
      </c>
      <c r="K54" s="99" t="s">
        <v>222</v>
      </c>
      <c r="L54" s="100" t="s">
        <v>1142</v>
      </c>
      <c r="M54" s="98" t="s">
        <v>1030</v>
      </c>
      <c r="N54" s="98" t="s">
        <v>1143</v>
      </c>
      <c r="O54" s="100" t="s">
        <v>1144</v>
      </c>
      <c r="P54" s="98" t="s">
        <v>1145</v>
      </c>
      <c r="Q54" s="98" t="s">
        <v>815</v>
      </c>
      <c r="R54" s="98" t="s">
        <v>1146</v>
      </c>
      <c r="S54" s="98" t="s">
        <v>1034</v>
      </c>
    </row>
    <row r="55" customFormat="false" ht="55" hidden="false" customHeight="true" outlineLevel="0" collapsed="false">
      <c r="C55" s="96" t="s">
        <v>1022</v>
      </c>
      <c r="D55" s="97" t="s">
        <v>1023</v>
      </c>
      <c r="E55" s="97" t="s">
        <v>1024</v>
      </c>
      <c r="F55" s="97" t="n">
        <v>46270.7484260648</v>
      </c>
      <c r="G55" s="97" t="s">
        <v>1025</v>
      </c>
      <c r="H55" s="97" t="s">
        <v>1026</v>
      </c>
      <c r="I55" s="97" t="s">
        <v>1140</v>
      </c>
      <c r="J55" s="99" t="s">
        <v>1141</v>
      </c>
      <c r="K55" s="99" t="s">
        <v>1118</v>
      </c>
      <c r="L55" s="100" t="s">
        <v>1142</v>
      </c>
      <c r="M55" s="98" t="s">
        <v>1030</v>
      </c>
      <c r="N55" s="98" t="s">
        <v>1143</v>
      </c>
      <c r="O55" s="100" t="s">
        <v>1144</v>
      </c>
      <c r="P55" s="98" t="s">
        <v>1147</v>
      </c>
      <c r="Q55" s="98" t="s">
        <v>815</v>
      </c>
      <c r="R55" s="98" t="s">
        <v>1148</v>
      </c>
      <c r="S55" s="98" t="s">
        <v>1034</v>
      </c>
    </row>
    <row r="56" customFormat="false" ht="55" hidden="false" customHeight="true" outlineLevel="0" collapsed="false">
      <c r="C56" s="96" t="s">
        <v>1022</v>
      </c>
      <c r="D56" s="97" t="s">
        <v>1023</v>
      </c>
      <c r="E56" s="97" t="s">
        <v>1024</v>
      </c>
      <c r="F56" s="97" t="n">
        <v>46270.7484260648</v>
      </c>
      <c r="G56" s="97" t="s">
        <v>1025</v>
      </c>
      <c r="H56" s="97" t="s">
        <v>1026</v>
      </c>
      <c r="I56" s="97" t="s">
        <v>1140</v>
      </c>
      <c r="J56" s="99" t="s">
        <v>1141</v>
      </c>
      <c r="K56" s="99" t="s">
        <v>228</v>
      </c>
      <c r="L56" s="100" t="s">
        <v>1142</v>
      </c>
      <c r="M56" s="98" t="s">
        <v>1030</v>
      </c>
      <c r="N56" s="98" t="s">
        <v>1143</v>
      </c>
      <c r="O56" s="100" t="s">
        <v>1144</v>
      </c>
      <c r="P56" s="98" t="s">
        <v>1149</v>
      </c>
      <c r="Q56" s="98" t="s">
        <v>815</v>
      </c>
      <c r="R56" s="98" t="s">
        <v>1150</v>
      </c>
      <c r="S56" s="98" t="s">
        <v>1034</v>
      </c>
    </row>
    <row r="57" customFormat="false" ht="55" hidden="false" customHeight="true" outlineLevel="0" collapsed="false">
      <c r="C57" s="96" t="s">
        <v>1043</v>
      </c>
      <c r="D57" s="97" t="s">
        <v>679</v>
      </c>
      <c r="E57" s="97" t="s">
        <v>1044</v>
      </c>
      <c r="F57" s="97" t="n">
        <v>46270.748424375</v>
      </c>
      <c r="G57" s="97" t="n">
        <v>46271.5168071875</v>
      </c>
      <c r="H57" s="97" t="s">
        <v>680</v>
      </c>
      <c r="I57" s="97" t="s">
        <v>1127</v>
      </c>
      <c r="J57" s="99" t="s">
        <v>1141</v>
      </c>
      <c r="K57" s="99" t="s">
        <v>222</v>
      </c>
      <c r="L57" s="100" t="s">
        <v>1142</v>
      </c>
      <c r="M57" s="98" t="s">
        <v>1046</v>
      </c>
      <c r="N57" s="98" t="s">
        <v>1143</v>
      </c>
      <c r="O57" s="100" t="s">
        <v>1144</v>
      </c>
      <c r="P57" s="98" t="s">
        <v>1151</v>
      </c>
      <c r="Q57" s="98" t="s">
        <v>815</v>
      </c>
      <c r="R57" s="98" t="s">
        <v>1152</v>
      </c>
      <c r="S57" s="98" t="s">
        <v>681</v>
      </c>
    </row>
    <row r="58" customFormat="false" ht="55" hidden="false" customHeight="true" outlineLevel="0" collapsed="false">
      <c r="C58" s="96" t="s">
        <v>1043</v>
      </c>
      <c r="D58" s="97" t="s">
        <v>679</v>
      </c>
      <c r="E58" s="97" t="s">
        <v>1044</v>
      </c>
      <c r="F58" s="97" t="n">
        <v>46270.748424375</v>
      </c>
      <c r="G58" s="97" t="n">
        <v>46271.5168071875</v>
      </c>
      <c r="H58" s="97" t="s">
        <v>680</v>
      </c>
      <c r="I58" s="97" t="s">
        <v>1127</v>
      </c>
      <c r="J58" s="99" t="s">
        <v>1141</v>
      </c>
      <c r="K58" s="99" t="s">
        <v>1118</v>
      </c>
      <c r="L58" s="100" t="s">
        <v>1142</v>
      </c>
      <c r="M58" s="98" t="s">
        <v>1046</v>
      </c>
      <c r="N58" s="98" t="s">
        <v>1143</v>
      </c>
      <c r="O58" s="100" t="s">
        <v>1144</v>
      </c>
      <c r="P58" s="98" t="s">
        <v>1153</v>
      </c>
      <c r="Q58" s="98" t="s">
        <v>815</v>
      </c>
      <c r="R58" s="98" t="s">
        <v>1154</v>
      </c>
      <c r="S58" s="98" t="s">
        <v>681</v>
      </c>
    </row>
    <row r="59" customFormat="false" ht="55" hidden="false" customHeight="true" outlineLevel="0" collapsed="false">
      <c r="C59" s="96" t="s">
        <v>1043</v>
      </c>
      <c r="D59" s="97" t="s">
        <v>679</v>
      </c>
      <c r="E59" s="97" t="s">
        <v>1044</v>
      </c>
      <c r="F59" s="97" t="n">
        <v>46270.748424375</v>
      </c>
      <c r="G59" s="97" t="n">
        <v>46271.5168071875</v>
      </c>
      <c r="H59" s="97" t="s">
        <v>680</v>
      </c>
      <c r="I59" s="97" t="s">
        <v>1127</v>
      </c>
      <c r="J59" s="99" t="s">
        <v>1141</v>
      </c>
      <c r="K59" s="99" t="s">
        <v>228</v>
      </c>
      <c r="L59" s="100" t="s">
        <v>1142</v>
      </c>
      <c r="M59" s="98" t="s">
        <v>1046</v>
      </c>
      <c r="N59" s="98" t="s">
        <v>1143</v>
      </c>
      <c r="O59" s="100" t="s">
        <v>1144</v>
      </c>
      <c r="P59" s="98" t="s">
        <v>1155</v>
      </c>
      <c r="Q59" s="98" t="s">
        <v>815</v>
      </c>
      <c r="R59" s="98" t="s">
        <v>1156</v>
      </c>
      <c r="S59" s="98" t="s">
        <v>681</v>
      </c>
    </row>
    <row r="60" customFormat="false" ht="55" hidden="false" customHeight="true" outlineLevel="0" collapsed="false">
      <c r="C60" s="96" t="s">
        <v>1051</v>
      </c>
      <c r="D60" s="97" t="s">
        <v>1052</v>
      </c>
      <c r="E60" s="97" t="s">
        <v>1053</v>
      </c>
      <c r="F60" s="97" t="n">
        <v>46270.7484272454</v>
      </c>
      <c r="G60" s="97" t="n">
        <v>46271.5167540857</v>
      </c>
      <c r="H60" s="97" t="s">
        <v>1054</v>
      </c>
      <c r="I60" s="97" t="s">
        <v>1157</v>
      </c>
      <c r="J60" s="99" t="s">
        <v>1158</v>
      </c>
      <c r="K60" s="99" t="s">
        <v>1159</v>
      </c>
      <c r="L60" s="98" t="s">
        <v>1056</v>
      </c>
      <c r="M60" s="98" t="s">
        <v>1056</v>
      </c>
      <c r="N60" s="98" t="s">
        <v>1031</v>
      </c>
      <c r="O60" s="98" t="s">
        <v>677</v>
      </c>
      <c r="P60" s="98" t="s">
        <v>1160</v>
      </c>
      <c r="Q60" s="98" t="s">
        <v>811</v>
      </c>
      <c r="R60" s="98" t="s">
        <v>1161</v>
      </c>
      <c r="S60" s="98" t="s">
        <v>1059</v>
      </c>
    </row>
    <row r="61" customFormat="false" ht="55" hidden="false" customHeight="true" outlineLevel="0" collapsed="false">
      <c r="C61" s="96" t="s">
        <v>1051</v>
      </c>
      <c r="D61" s="97" t="s">
        <v>1052</v>
      </c>
      <c r="E61" s="97" t="s">
        <v>1053</v>
      </c>
      <c r="F61" s="97" t="n">
        <v>46270.7484272454</v>
      </c>
      <c r="G61" s="97" t="n">
        <v>46271.5167540857</v>
      </c>
      <c r="H61" s="97" t="s">
        <v>1054</v>
      </c>
      <c r="I61" s="97" t="s">
        <v>1157</v>
      </c>
      <c r="J61" s="99" t="s">
        <v>1158</v>
      </c>
      <c r="K61" s="99" t="s">
        <v>1159</v>
      </c>
      <c r="L61" s="98" t="s">
        <v>1060</v>
      </c>
      <c r="M61" s="98" t="s">
        <v>1060</v>
      </c>
      <c r="N61" s="98" t="s">
        <v>1031</v>
      </c>
      <c r="O61" s="98" t="s">
        <v>677</v>
      </c>
      <c r="P61" s="98" t="s">
        <v>1162</v>
      </c>
      <c r="Q61" s="98" t="s">
        <v>811</v>
      </c>
      <c r="R61" s="98" t="s">
        <v>1163</v>
      </c>
      <c r="S61" s="98" t="s">
        <v>1059</v>
      </c>
    </row>
    <row r="62" customFormat="false" ht="55" hidden="false" customHeight="true" outlineLevel="0" collapsed="false">
      <c r="C62" s="96" t="s">
        <v>1051</v>
      </c>
      <c r="D62" s="97" t="s">
        <v>1052</v>
      </c>
      <c r="E62" s="97" t="s">
        <v>1053</v>
      </c>
      <c r="F62" s="97" t="n">
        <v>46270.7484272454</v>
      </c>
      <c r="G62" s="97" t="n">
        <v>46271.5167540857</v>
      </c>
      <c r="H62" s="97" t="s">
        <v>1054</v>
      </c>
      <c r="I62" s="97" t="s">
        <v>1157</v>
      </c>
      <c r="J62" s="99" t="s">
        <v>1158</v>
      </c>
      <c r="K62" s="99" t="s">
        <v>1164</v>
      </c>
      <c r="L62" s="98" t="s">
        <v>1056</v>
      </c>
      <c r="M62" s="98" t="s">
        <v>1056</v>
      </c>
      <c r="N62" s="98" t="s">
        <v>1031</v>
      </c>
      <c r="O62" s="98" t="s">
        <v>677</v>
      </c>
      <c r="P62" s="98" t="s">
        <v>1165</v>
      </c>
      <c r="Q62" s="98" t="s">
        <v>811</v>
      </c>
      <c r="R62" s="98" t="s">
        <v>1166</v>
      </c>
      <c r="S62" s="98" t="s">
        <v>1059</v>
      </c>
    </row>
    <row r="63" customFormat="false" ht="55" hidden="false" customHeight="true" outlineLevel="0" collapsed="false">
      <c r="C63" s="96" t="s">
        <v>1051</v>
      </c>
      <c r="D63" s="97" t="s">
        <v>1052</v>
      </c>
      <c r="E63" s="97" t="s">
        <v>1053</v>
      </c>
      <c r="F63" s="97" t="n">
        <v>46270.7484272454</v>
      </c>
      <c r="G63" s="97" t="n">
        <v>46271.5167540857</v>
      </c>
      <c r="H63" s="97" t="s">
        <v>1054</v>
      </c>
      <c r="I63" s="97" t="s">
        <v>1157</v>
      </c>
      <c r="J63" s="99" t="s">
        <v>1158</v>
      </c>
      <c r="K63" s="99" t="s">
        <v>1164</v>
      </c>
      <c r="L63" s="98" t="s">
        <v>1060</v>
      </c>
      <c r="M63" s="98" t="s">
        <v>1060</v>
      </c>
      <c r="N63" s="98" t="s">
        <v>1031</v>
      </c>
      <c r="O63" s="98" t="s">
        <v>677</v>
      </c>
      <c r="P63" s="98" t="s">
        <v>1167</v>
      </c>
      <c r="Q63" s="98" t="s">
        <v>811</v>
      </c>
      <c r="R63" s="98" t="s">
        <v>1168</v>
      </c>
      <c r="S63" s="98" t="s">
        <v>1059</v>
      </c>
    </row>
    <row r="64" customFormat="false" ht="55" hidden="false" customHeight="true" outlineLevel="0" collapsed="false">
      <c r="C64" s="96" t="s">
        <v>1051</v>
      </c>
      <c r="D64" s="97" t="s">
        <v>1052</v>
      </c>
      <c r="E64" s="97" t="s">
        <v>1053</v>
      </c>
      <c r="F64" s="97" t="n">
        <v>46270.7484272454</v>
      </c>
      <c r="G64" s="97" t="n">
        <v>46271.5167540857</v>
      </c>
      <c r="H64" s="97" t="s">
        <v>1054</v>
      </c>
      <c r="I64" s="97" t="s">
        <v>1157</v>
      </c>
      <c r="J64" s="99" t="s">
        <v>1158</v>
      </c>
      <c r="K64" s="99" t="s">
        <v>1169</v>
      </c>
      <c r="L64" s="98" t="s">
        <v>1056</v>
      </c>
      <c r="M64" s="98" t="s">
        <v>1056</v>
      </c>
      <c r="N64" s="98" t="s">
        <v>1031</v>
      </c>
      <c r="O64" s="98" t="s">
        <v>677</v>
      </c>
      <c r="P64" s="98" t="s">
        <v>1170</v>
      </c>
      <c r="Q64" s="98" t="s">
        <v>811</v>
      </c>
      <c r="R64" s="98" t="s">
        <v>1171</v>
      </c>
      <c r="S64" s="98" t="s">
        <v>1059</v>
      </c>
    </row>
    <row r="65" customFormat="false" ht="55" hidden="false" customHeight="true" outlineLevel="0" collapsed="false">
      <c r="C65" s="96" t="s">
        <v>1051</v>
      </c>
      <c r="D65" s="97" t="s">
        <v>1052</v>
      </c>
      <c r="E65" s="97" t="s">
        <v>1053</v>
      </c>
      <c r="F65" s="97" t="n">
        <v>46270.7484272454</v>
      </c>
      <c r="G65" s="97" t="n">
        <v>46271.5167540857</v>
      </c>
      <c r="H65" s="97" t="s">
        <v>1054</v>
      </c>
      <c r="I65" s="97" t="s">
        <v>1157</v>
      </c>
      <c r="J65" s="99" t="s">
        <v>1158</v>
      </c>
      <c r="K65" s="99" t="s">
        <v>1169</v>
      </c>
      <c r="L65" s="98" t="s">
        <v>1060</v>
      </c>
      <c r="M65" s="98" t="s">
        <v>1060</v>
      </c>
      <c r="N65" s="98" t="s">
        <v>1031</v>
      </c>
      <c r="O65" s="98" t="s">
        <v>677</v>
      </c>
      <c r="P65" s="98" t="s">
        <v>1172</v>
      </c>
      <c r="Q65" s="98" t="s">
        <v>811</v>
      </c>
      <c r="R65" s="98" t="s">
        <v>1173</v>
      </c>
      <c r="S65" s="98" t="s">
        <v>1059</v>
      </c>
    </row>
    <row r="66" customFormat="false" ht="55" hidden="false" customHeight="true" outlineLevel="0" collapsed="false">
      <c r="C66" s="96" t="s">
        <v>1051</v>
      </c>
      <c r="D66" s="97" t="s">
        <v>1052</v>
      </c>
      <c r="E66" s="97" t="s">
        <v>1053</v>
      </c>
      <c r="F66" s="97" t="n">
        <v>46270.7484272454</v>
      </c>
      <c r="G66" s="97" t="n">
        <v>46271.5167540857</v>
      </c>
      <c r="H66" s="97" t="s">
        <v>1054</v>
      </c>
      <c r="I66" s="97" t="s">
        <v>1157</v>
      </c>
      <c r="J66" s="99" t="s">
        <v>1158</v>
      </c>
      <c r="K66" s="99" t="s">
        <v>1174</v>
      </c>
      <c r="L66" s="98" t="s">
        <v>1056</v>
      </c>
      <c r="M66" s="98" t="s">
        <v>1056</v>
      </c>
      <c r="N66" s="98" t="s">
        <v>1031</v>
      </c>
      <c r="O66" s="98" t="s">
        <v>677</v>
      </c>
      <c r="P66" s="98" t="s">
        <v>1175</v>
      </c>
      <c r="Q66" s="98" t="s">
        <v>811</v>
      </c>
      <c r="R66" s="98" t="s">
        <v>1176</v>
      </c>
      <c r="S66" s="98" t="s">
        <v>1059</v>
      </c>
    </row>
    <row r="67" customFormat="false" ht="55" hidden="false" customHeight="true" outlineLevel="0" collapsed="false">
      <c r="C67" s="96" t="s">
        <v>1051</v>
      </c>
      <c r="D67" s="97" t="s">
        <v>1052</v>
      </c>
      <c r="E67" s="97" t="s">
        <v>1053</v>
      </c>
      <c r="F67" s="97" t="n">
        <v>46270.7484272454</v>
      </c>
      <c r="G67" s="97" t="n">
        <v>46271.5167540857</v>
      </c>
      <c r="H67" s="97" t="s">
        <v>1054</v>
      </c>
      <c r="I67" s="97" t="s">
        <v>1157</v>
      </c>
      <c r="J67" s="99" t="s">
        <v>1158</v>
      </c>
      <c r="K67" s="99" t="s">
        <v>1174</v>
      </c>
      <c r="L67" s="98" t="s">
        <v>1060</v>
      </c>
      <c r="M67" s="98" t="s">
        <v>1060</v>
      </c>
      <c r="N67" s="98" t="s">
        <v>1031</v>
      </c>
      <c r="O67" s="98" t="s">
        <v>677</v>
      </c>
      <c r="P67" s="98" t="s">
        <v>1177</v>
      </c>
      <c r="Q67" s="98" t="s">
        <v>811</v>
      </c>
      <c r="R67" s="98" t="s">
        <v>1178</v>
      </c>
      <c r="S67" s="98" t="s">
        <v>1059</v>
      </c>
    </row>
    <row r="68" customFormat="false" ht="55" hidden="false" customHeight="true" outlineLevel="0" collapsed="false">
      <c r="C68" s="96" t="s">
        <v>1043</v>
      </c>
      <c r="D68" s="97" t="s">
        <v>679</v>
      </c>
      <c r="E68" s="97" t="s">
        <v>1044</v>
      </c>
      <c r="F68" s="97" t="n">
        <v>46270.748424375</v>
      </c>
      <c r="G68" s="97" t="n">
        <v>46271.5168071875</v>
      </c>
      <c r="H68" s="97" t="s">
        <v>680</v>
      </c>
      <c r="I68" s="97" t="s">
        <v>1179</v>
      </c>
      <c r="J68" s="99" t="s">
        <v>1180</v>
      </c>
      <c r="K68" s="99" t="s">
        <v>1181</v>
      </c>
      <c r="L68" s="98" t="s">
        <v>1046</v>
      </c>
      <c r="M68" s="98" t="s">
        <v>1046</v>
      </c>
      <c r="N68" s="98" t="s">
        <v>1031</v>
      </c>
      <c r="O68" s="98" t="s">
        <v>677</v>
      </c>
      <c r="P68" s="98" t="s">
        <v>1182</v>
      </c>
      <c r="Q68" s="98" t="s">
        <v>811</v>
      </c>
      <c r="R68" s="98" t="s">
        <v>1183</v>
      </c>
      <c r="S68" s="98" t="s">
        <v>681</v>
      </c>
    </row>
    <row r="69" customFormat="false" ht="55" hidden="false" customHeight="true" outlineLevel="0" collapsed="false">
      <c r="C69" s="96" t="s">
        <v>1043</v>
      </c>
      <c r="D69" s="97" t="s">
        <v>679</v>
      </c>
      <c r="E69" s="97" t="s">
        <v>1044</v>
      </c>
      <c r="F69" s="97" t="n">
        <v>46270.748424375</v>
      </c>
      <c r="G69" s="97" t="n">
        <v>46271.5168071875</v>
      </c>
      <c r="H69" s="97" t="s">
        <v>680</v>
      </c>
      <c r="I69" s="97" t="s">
        <v>1179</v>
      </c>
      <c r="J69" s="99" t="s">
        <v>1180</v>
      </c>
      <c r="K69" s="99" t="s">
        <v>1181</v>
      </c>
      <c r="L69" s="98" t="s">
        <v>1030</v>
      </c>
      <c r="M69" s="98" t="s">
        <v>1030</v>
      </c>
      <c r="N69" s="98" t="s">
        <v>1031</v>
      </c>
      <c r="O69" s="98" t="s">
        <v>677</v>
      </c>
      <c r="P69" s="98" t="s">
        <v>1184</v>
      </c>
      <c r="Q69" s="98" t="s">
        <v>811</v>
      </c>
      <c r="R69" s="98" t="s">
        <v>1185</v>
      </c>
      <c r="S69" s="98" t="s">
        <v>681</v>
      </c>
    </row>
    <row r="70" customFormat="false" ht="55" hidden="false" customHeight="true" outlineLevel="0" collapsed="false">
      <c r="C70" s="96" t="s">
        <v>1043</v>
      </c>
      <c r="D70" s="97" t="s">
        <v>679</v>
      </c>
      <c r="E70" s="97" t="s">
        <v>1044</v>
      </c>
      <c r="F70" s="97" t="n">
        <v>46270.748424375</v>
      </c>
      <c r="G70" s="97" t="n">
        <v>46271.5168071875</v>
      </c>
      <c r="H70" s="97" t="s">
        <v>680</v>
      </c>
      <c r="I70" s="97" t="s">
        <v>1179</v>
      </c>
      <c r="J70" s="99" t="s">
        <v>1180</v>
      </c>
      <c r="K70" s="99" t="s">
        <v>1186</v>
      </c>
      <c r="L70" s="98" t="s">
        <v>1046</v>
      </c>
      <c r="M70" s="98" t="s">
        <v>1046</v>
      </c>
      <c r="N70" s="98" t="s">
        <v>1031</v>
      </c>
      <c r="O70" s="98" t="s">
        <v>677</v>
      </c>
      <c r="P70" s="98" t="s">
        <v>1187</v>
      </c>
      <c r="Q70" s="98" t="s">
        <v>811</v>
      </c>
      <c r="R70" s="98" t="s">
        <v>1188</v>
      </c>
      <c r="S70" s="98" t="s">
        <v>681</v>
      </c>
    </row>
    <row r="71" customFormat="false" ht="55" hidden="false" customHeight="true" outlineLevel="0" collapsed="false">
      <c r="C71" s="96" t="s">
        <v>1043</v>
      </c>
      <c r="D71" s="97" t="s">
        <v>679</v>
      </c>
      <c r="E71" s="97" t="s">
        <v>1044</v>
      </c>
      <c r="F71" s="97" t="n">
        <v>46270.748424375</v>
      </c>
      <c r="G71" s="97" t="n">
        <v>46271.5168071875</v>
      </c>
      <c r="H71" s="97" t="s">
        <v>680</v>
      </c>
      <c r="I71" s="97" t="s">
        <v>1179</v>
      </c>
      <c r="J71" s="99" t="s">
        <v>1180</v>
      </c>
      <c r="K71" s="99" t="s">
        <v>1186</v>
      </c>
      <c r="L71" s="98" t="s">
        <v>1030</v>
      </c>
      <c r="M71" s="98" t="s">
        <v>1030</v>
      </c>
      <c r="N71" s="98" t="s">
        <v>1031</v>
      </c>
      <c r="O71" s="98" t="s">
        <v>677</v>
      </c>
      <c r="P71" s="98" t="s">
        <v>1189</v>
      </c>
      <c r="Q71" s="98" t="s">
        <v>811</v>
      </c>
      <c r="R71" s="98" t="s">
        <v>1190</v>
      </c>
      <c r="S71" s="98" t="s">
        <v>681</v>
      </c>
    </row>
    <row r="72" customFormat="false" ht="55" hidden="false" customHeight="true" outlineLevel="0" collapsed="false">
      <c r="C72" s="96" t="s">
        <v>1043</v>
      </c>
      <c r="D72" s="97" t="s">
        <v>679</v>
      </c>
      <c r="E72" s="97" t="s">
        <v>1044</v>
      </c>
      <c r="F72" s="97" t="n">
        <v>46270.748424375</v>
      </c>
      <c r="G72" s="97" t="n">
        <v>46271.5168071875</v>
      </c>
      <c r="H72" s="97" t="s">
        <v>680</v>
      </c>
      <c r="I72" s="97" t="s">
        <v>1191</v>
      </c>
      <c r="J72" s="99" t="s">
        <v>1192</v>
      </c>
      <c r="K72" s="99" t="s">
        <v>1193</v>
      </c>
      <c r="L72" s="98" t="s">
        <v>1046</v>
      </c>
      <c r="M72" s="98" t="s">
        <v>1046</v>
      </c>
      <c r="N72" s="98" t="s">
        <v>1031</v>
      </c>
      <c r="O72" s="98" t="s">
        <v>677</v>
      </c>
      <c r="P72" s="98" t="s">
        <v>1194</v>
      </c>
      <c r="Q72" s="98" t="s">
        <v>811</v>
      </c>
      <c r="R72" s="98" t="s">
        <v>1195</v>
      </c>
      <c r="S72" s="98" t="s">
        <v>681</v>
      </c>
    </row>
    <row r="73" customFormat="false" ht="55" hidden="false" customHeight="true" outlineLevel="0" collapsed="false">
      <c r="C73" s="96" t="s">
        <v>1043</v>
      </c>
      <c r="D73" s="97" t="s">
        <v>679</v>
      </c>
      <c r="E73" s="97" t="s">
        <v>1044</v>
      </c>
      <c r="F73" s="97" t="n">
        <v>46270.748424375</v>
      </c>
      <c r="G73" s="97" t="n">
        <v>46271.5168071875</v>
      </c>
      <c r="H73" s="97" t="s">
        <v>680</v>
      </c>
      <c r="I73" s="97" t="s">
        <v>1191</v>
      </c>
      <c r="J73" s="99" t="s">
        <v>1192</v>
      </c>
      <c r="K73" s="99" t="s">
        <v>1193</v>
      </c>
      <c r="L73" s="98" t="s">
        <v>1030</v>
      </c>
      <c r="M73" s="98" t="s">
        <v>1030</v>
      </c>
      <c r="N73" s="98" t="s">
        <v>1031</v>
      </c>
      <c r="O73" s="98" t="s">
        <v>677</v>
      </c>
      <c r="P73" s="98" t="s">
        <v>1196</v>
      </c>
      <c r="Q73" s="98" t="s">
        <v>811</v>
      </c>
      <c r="R73" s="98" t="s">
        <v>1197</v>
      </c>
      <c r="S73" s="98" t="s">
        <v>681</v>
      </c>
    </row>
    <row r="74" customFormat="false" ht="55" hidden="false" customHeight="true" outlineLevel="0" collapsed="false">
      <c r="C74" s="96" t="s">
        <v>1043</v>
      </c>
      <c r="D74" s="97" t="s">
        <v>679</v>
      </c>
      <c r="E74" s="97" t="s">
        <v>1044</v>
      </c>
      <c r="F74" s="97" t="n">
        <v>46270.748424375</v>
      </c>
      <c r="G74" s="97" t="n">
        <v>46271.5168071875</v>
      </c>
      <c r="H74" s="97" t="s">
        <v>680</v>
      </c>
      <c r="I74" s="97" t="s">
        <v>1191</v>
      </c>
      <c r="J74" s="99" t="s">
        <v>1192</v>
      </c>
      <c r="K74" s="99" t="s">
        <v>1198</v>
      </c>
      <c r="L74" s="98" t="s">
        <v>1046</v>
      </c>
      <c r="M74" s="98" t="s">
        <v>1046</v>
      </c>
      <c r="N74" s="98" t="s">
        <v>1031</v>
      </c>
      <c r="O74" s="98" t="s">
        <v>677</v>
      </c>
      <c r="P74" s="98" t="s">
        <v>1199</v>
      </c>
      <c r="Q74" s="98" t="s">
        <v>811</v>
      </c>
      <c r="R74" s="98" t="s">
        <v>1200</v>
      </c>
      <c r="S74" s="98" t="s">
        <v>681</v>
      </c>
    </row>
    <row r="75" customFormat="false" ht="55" hidden="false" customHeight="true" outlineLevel="0" collapsed="false">
      <c r="C75" s="96" t="s">
        <v>1043</v>
      </c>
      <c r="D75" s="97" t="s">
        <v>679</v>
      </c>
      <c r="E75" s="97" t="s">
        <v>1044</v>
      </c>
      <c r="F75" s="97" t="n">
        <v>46270.748424375</v>
      </c>
      <c r="G75" s="97" t="n">
        <v>46271.5168071875</v>
      </c>
      <c r="H75" s="97" t="s">
        <v>680</v>
      </c>
      <c r="I75" s="97" t="s">
        <v>1191</v>
      </c>
      <c r="J75" s="99" t="s">
        <v>1192</v>
      </c>
      <c r="K75" s="99" t="s">
        <v>1198</v>
      </c>
      <c r="L75" s="98" t="s">
        <v>1030</v>
      </c>
      <c r="M75" s="98" t="s">
        <v>1030</v>
      </c>
      <c r="N75" s="98" t="s">
        <v>1031</v>
      </c>
      <c r="O75" s="98" t="s">
        <v>677</v>
      </c>
      <c r="P75" s="98" t="s">
        <v>1201</v>
      </c>
      <c r="Q75" s="98" t="s">
        <v>811</v>
      </c>
      <c r="R75" s="98" t="s">
        <v>1202</v>
      </c>
      <c r="S75" s="98" t="s">
        <v>681</v>
      </c>
    </row>
    <row r="76" customFormat="false" ht="55" hidden="false" customHeight="true" outlineLevel="0" collapsed="false">
      <c r="C76" s="96" t="s">
        <v>1043</v>
      </c>
      <c r="D76" s="97" t="s">
        <v>679</v>
      </c>
      <c r="E76" s="97" t="s">
        <v>1044</v>
      </c>
      <c r="F76" s="97" t="n">
        <v>46270.748424375</v>
      </c>
      <c r="G76" s="97" t="n">
        <v>46271.5168071875</v>
      </c>
      <c r="H76" s="97" t="s">
        <v>680</v>
      </c>
      <c r="I76" s="97" t="s">
        <v>1191</v>
      </c>
      <c r="J76" s="99" t="s">
        <v>1192</v>
      </c>
      <c r="K76" s="99" t="s">
        <v>1203</v>
      </c>
      <c r="L76" s="98" t="s">
        <v>1046</v>
      </c>
      <c r="M76" s="98" t="s">
        <v>1046</v>
      </c>
      <c r="N76" s="98" t="s">
        <v>1031</v>
      </c>
      <c r="O76" s="98" t="s">
        <v>677</v>
      </c>
      <c r="P76" s="98" t="s">
        <v>1204</v>
      </c>
      <c r="Q76" s="98" t="s">
        <v>811</v>
      </c>
      <c r="R76" s="98" t="s">
        <v>1205</v>
      </c>
      <c r="S76" s="98" t="s">
        <v>681</v>
      </c>
    </row>
    <row r="77" customFormat="false" ht="55" hidden="false" customHeight="true" outlineLevel="0" collapsed="false">
      <c r="C77" s="96" t="s">
        <v>1043</v>
      </c>
      <c r="D77" s="97" t="s">
        <v>679</v>
      </c>
      <c r="E77" s="97" t="s">
        <v>1044</v>
      </c>
      <c r="F77" s="97" t="n">
        <v>46270.748424375</v>
      </c>
      <c r="G77" s="97" t="n">
        <v>46271.5168071875</v>
      </c>
      <c r="H77" s="97" t="s">
        <v>680</v>
      </c>
      <c r="I77" s="97" t="s">
        <v>1191</v>
      </c>
      <c r="J77" s="99" t="s">
        <v>1192</v>
      </c>
      <c r="K77" s="99" t="s">
        <v>1203</v>
      </c>
      <c r="L77" s="98" t="s">
        <v>1030</v>
      </c>
      <c r="M77" s="98" t="s">
        <v>1030</v>
      </c>
      <c r="N77" s="98" t="s">
        <v>1031</v>
      </c>
      <c r="O77" s="98" t="s">
        <v>677</v>
      </c>
      <c r="P77" s="98" t="s">
        <v>1206</v>
      </c>
      <c r="Q77" s="98" t="s">
        <v>811</v>
      </c>
      <c r="R77" s="98" t="s">
        <v>1207</v>
      </c>
      <c r="S77" s="98" t="s">
        <v>681</v>
      </c>
    </row>
    <row r="78" customFormat="false" ht="55" hidden="false" customHeight="true" outlineLevel="0" collapsed="false">
      <c r="C78" s="96" t="s">
        <v>1022</v>
      </c>
      <c r="D78" s="97" t="s">
        <v>1023</v>
      </c>
      <c r="E78" s="97" t="s">
        <v>1024</v>
      </c>
      <c r="F78" s="97" t="n">
        <v>46270.7484260648</v>
      </c>
      <c r="G78" s="97" t="s">
        <v>1025</v>
      </c>
      <c r="H78" s="97" t="s">
        <v>1026</v>
      </c>
      <c r="I78" s="97" t="s">
        <v>1208</v>
      </c>
      <c r="J78" s="97" t="s">
        <v>1209</v>
      </c>
      <c r="K78" s="99" t="s">
        <v>1210</v>
      </c>
      <c r="L78" s="98" t="s">
        <v>1030</v>
      </c>
      <c r="M78" s="98" t="s">
        <v>1030</v>
      </c>
      <c r="N78" s="98" t="s">
        <v>1031</v>
      </c>
      <c r="O78" s="98" t="s">
        <v>677</v>
      </c>
      <c r="P78" s="98" t="s">
        <v>1211</v>
      </c>
      <c r="Q78" s="98" t="s">
        <v>811</v>
      </c>
      <c r="R78" s="98" t="s">
        <v>1212</v>
      </c>
      <c r="S78" s="98" t="s">
        <v>1034</v>
      </c>
    </row>
    <row r="79" customFormat="false" ht="55" hidden="false" customHeight="true" outlineLevel="0" collapsed="false">
      <c r="C79" s="96" t="s">
        <v>1022</v>
      </c>
      <c r="D79" s="97" t="s">
        <v>1023</v>
      </c>
      <c r="E79" s="97" t="s">
        <v>1024</v>
      </c>
      <c r="F79" s="97" t="n">
        <v>46270.7484260648</v>
      </c>
      <c r="G79" s="97" t="s">
        <v>1025</v>
      </c>
      <c r="H79" s="97" t="s">
        <v>1026</v>
      </c>
      <c r="I79" s="97" t="s">
        <v>1208</v>
      </c>
      <c r="J79" s="97" t="s">
        <v>1209</v>
      </c>
      <c r="K79" s="99" t="s">
        <v>1210</v>
      </c>
      <c r="L79" s="98" t="s">
        <v>1035</v>
      </c>
      <c r="M79" s="98" t="s">
        <v>1035</v>
      </c>
      <c r="N79" s="98" t="s">
        <v>1031</v>
      </c>
      <c r="O79" s="98" t="s">
        <v>677</v>
      </c>
      <c r="P79" s="98" t="s">
        <v>1213</v>
      </c>
      <c r="Q79" s="98" t="s">
        <v>811</v>
      </c>
      <c r="R79" s="98" t="s">
        <v>1214</v>
      </c>
      <c r="S79" s="98" t="s">
        <v>1034</v>
      </c>
    </row>
    <row r="80" customFormat="false" ht="55" hidden="false" customHeight="true" outlineLevel="0" collapsed="false">
      <c r="C80" s="96" t="s">
        <v>1022</v>
      </c>
      <c r="D80" s="97" t="s">
        <v>1023</v>
      </c>
      <c r="E80" s="97" t="s">
        <v>1024</v>
      </c>
      <c r="F80" s="97" t="n">
        <v>46270.7484260648</v>
      </c>
      <c r="G80" s="97" t="s">
        <v>1025</v>
      </c>
      <c r="H80" s="97" t="s">
        <v>1026</v>
      </c>
      <c r="I80" s="97" t="s">
        <v>1215</v>
      </c>
      <c r="J80" s="97" t="s">
        <v>1209</v>
      </c>
      <c r="K80" s="99" t="s">
        <v>1216</v>
      </c>
      <c r="L80" s="98" t="s">
        <v>1030</v>
      </c>
      <c r="M80" s="98" t="s">
        <v>1030</v>
      </c>
      <c r="N80" s="98" t="s">
        <v>1031</v>
      </c>
      <c r="O80" s="98" t="s">
        <v>677</v>
      </c>
      <c r="P80" s="98" t="s">
        <v>1217</v>
      </c>
      <c r="Q80" s="98" t="s">
        <v>811</v>
      </c>
      <c r="R80" s="98" t="s">
        <v>1218</v>
      </c>
      <c r="S80" s="98" t="s">
        <v>1034</v>
      </c>
    </row>
    <row r="81" customFormat="false" ht="55" hidden="false" customHeight="true" outlineLevel="0" collapsed="false">
      <c r="C81" s="96" t="s">
        <v>1022</v>
      </c>
      <c r="D81" s="97" t="s">
        <v>1023</v>
      </c>
      <c r="E81" s="97" t="s">
        <v>1024</v>
      </c>
      <c r="F81" s="97" t="n">
        <v>46270.7484260648</v>
      </c>
      <c r="G81" s="97" t="s">
        <v>1025</v>
      </c>
      <c r="H81" s="97" t="s">
        <v>1026</v>
      </c>
      <c r="I81" s="97" t="s">
        <v>1215</v>
      </c>
      <c r="J81" s="97" t="s">
        <v>1209</v>
      </c>
      <c r="K81" s="99" t="s">
        <v>1216</v>
      </c>
      <c r="L81" s="98" t="s">
        <v>1035</v>
      </c>
      <c r="M81" s="98" t="s">
        <v>1035</v>
      </c>
      <c r="N81" s="98" t="s">
        <v>1031</v>
      </c>
      <c r="O81" s="98" t="s">
        <v>677</v>
      </c>
      <c r="P81" s="98" t="s">
        <v>1219</v>
      </c>
      <c r="Q81" s="98" t="s">
        <v>811</v>
      </c>
      <c r="R81" s="98" t="s">
        <v>1220</v>
      </c>
      <c r="S81" s="98" t="s">
        <v>1034</v>
      </c>
    </row>
    <row r="82" customFormat="false" ht="55" hidden="false" customHeight="true" outlineLevel="0" collapsed="false">
      <c r="C82" s="96" t="s">
        <v>1022</v>
      </c>
      <c r="D82" s="97" t="s">
        <v>1023</v>
      </c>
      <c r="E82" s="97" t="s">
        <v>1024</v>
      </c>
      <c r="F82" s="97" t="n">
        <v>46270.7484260648</v>
      </c>
      <c r="G82" s="97" t="s">
        <v>1025</v>
      </c>
      <c r="H82" s="97" t="s">
        <v>1026</v>
      </c>
      <c r="I82" s="97" t="s">
        <v>1215</v>
      </c>
      <c r="J82" s="97" t="s">
        <v>1209</v>
      </c>
      <c r="K82" s="99" t="s">
        <v>1221</v>
      </c>
      <c r="L82" s="98" t="s">
        <v>1030</v>
      </c>
      <c r="M82" s="98" t="s">
        <v>1030</v>
      </c>
      <c r="N82" s="98" t="s">
        <v>1031</v>
      </c>
      <c r="O82" s="98" t="s">
        <v>677</v>
      </c>
      <c r="P82" s="98" t="s">
        <v>1222</v>
      </c>
      <c r="Q82" s="98" t="s">
        <v>811</v>
      </c>
      <c r="R82" s="98" t="s">
        <v>1223</v>
      </c>
      <c r="S82" s="98" t="s">
        <v>1034</v>
      </c>
    </row>
    <row r="83" customFormat="false" ht="55" hidden="false" customHeight="true" outlineLevel="0" collapsed="false">
      <c r="C83" s="96" t="s">
        <v>1022</v>
      </c>
      <c r="D83" s="97" t="s">
        <v>1023</v>
      </c>
      <c r="E83" s="97" t="s">
        <v>1024</v>
      </c>
      <c r="F83" s="97" t="n">
        <v>46270.7484260648</v>
      </c>
      <c r="G83" s="97" t="s">
        <v>1025</v>
      </c>
      <c r="H83" s="97" t="s">
        <v>1026</v>
      </c>
      <c r="I83" s="97" t="s">
        <v>1215</v>
      </c>
      <c r="J83" s="97" t="s">
        <v>1209</v>
      </c>
      <c r="K83" s="99" t="s">
        <v>1221</v>
      </c>
      <c r="L83" s="98" t="s">
        <v>1035</v>
      </c>
      <c r="M83" s="98" t="s">
        <v>1035</v>
      </c>
      <c r="N83" s="98" t="s">
        <v>1031</v>
      </c>
      <c r="O83" s="98" t="s">
        <v>677</v>
      </c>
      <c r="P83" s="98" t="s">
        <v>1224</v>
      </c>
      <c r="Q83" s="98" t="s">
        <v>811</v>
      </c>
      <c r="R83" s="98" t="s">
        <v>1225</v>
      </c>
      <c r="S83" s="98" t="s">
        <v>1034</v>
      </c>
    </row>
    <row r="84" customFormat="false" ht="55" hidden="false" customHeight="true" outlineLevel="0" collapsed="false">
      <c r="C84" s="96" t="s">
        <v>1022</v>
      </c>
      <c r="D84" s="97" t="s">
        <v>1023</v>
      </c>
      <c r="E84" s="97" t="s">
        <v>1024</v>
      </c>
      <c r="F84" s="97" t="n">
        <v>46270.7484260648</v>
      </c>
      <c r="G84" s="97" t="s">
        <v>1025</v>
      </c>
      <c r="H84" s="97" t="s">
        <v>1026</v>
      </c>
      <c r="I84" s="97" t="s">
        <v>1215</v>
      </c>
      <c r="J84" s="97" t="s">
        <v>1209</v>
      </c>
      <c r="K84" s="99" t="s">
        <v>1226</v>
      </c>
      <c r="L84" s="98" t="s">
        <v>1030</v>
      </c>
      <c r="M84" s="98" t="s">
        <v>1030</v>
      </c>
      <c r="N84" s="98" t="s">
        <v>1031</v>
      </c>
      <c r="O84" s="98" t="s">
        <v>677</v>
      </c>
      <c r="P84" s="98" t="s">
        <v>1227</v>
      </c>
      <c r="Q84" s="98" t="s">
        <v>811</v>
      </c>
      <c r="R84" s="98" t="s">
        <v>1228</v>
      </c>
      <c r="S84" s="98" t="s">
        <v>1034</v>
      </c>
    </row>
    <row r="85" customFormat="false" ht="55" hidden="false" customHeight="true" outlineLevel="0" collapsed="false">
      <c r="C85" s="96" t="s">
        <v>1022</v>
      </c>
      <c r="D85" s="97" t="s">
        <v>1023</v>
      </c>
      <c r="E85" s="97" t="s">
        <v>1024</v>
      </c>
      <c r="F85" s="97" t="n">
        <v>46270.7484260648</v>
      </c>
      <c r="G85" s="97" t="s">
        <v>1025</v>
      </c>
      <c r="H85" s="97" t="s">
        <v>1026</v>
      </c>
      <c r="I85" s="97" t="s">
        <v>1215</v>
      </c>
      <c r="J85" s="97" t="s">
        <v>1209</v>
      </c>
      <c r="K85" s="99" t="s">
        <v>1226</v>
      </c>
      <c r="L85" s="98" t="s">
        <v>1035</v>
      </c>
      <c r="M85" s="98" t="s">
        <v>1035</v>
      </c>
      <c r="N85" s="98" t="s">
        <v>1031</v>
      </c>
      <c r="O85" s="98" t="s">
        <v>677</v>
      </c>
      <c r="P85" s="98" t="s">
        <v>1229</v>
      </c>
      <c r="Q85" s="98" t="s">
        <v>811</v>
      </c>
      <c r="R85" s="98" t="s">
        <v>1230</v>
      </c>
      <c r="S85" s="98" t="s">
        <v>1034</v>
      </c>
    </row>
    <row r="86" customFormat="false" ht="55" hidden="false" customHeight="true" outlineLevel="0" collapsed="false">
      <c r="C86" s="96" t="s">
        <v>1022</v>
      </c>
      <c r="D86" s="97" t="s">
        <v>1023</v>
      </c>
      <c r="E86" s="97" t="s">
        <v>1024</v>
      </c>
      <c r="F86" s="97" t="n">
        <v>46270.7484260648</v>
      </c>
      <c r="G86" s="97" t="s">
        <v>1025</v>
      </c>
      <c r="H86" s="97" t="s">
        <v>1026</v>
      </c>
      <c r="I86" s="97" t="s">
        <v>1215</v>
      </c>
      <c r="J86" s="97" t="s">
        <v>1209</v>
      </c>
      <c r="K86" s="97" t="s">
        <v>1231</v>
      </c>
      <c r="L86" s="98" t="s">
        <v>1030</v>
      </c>
      <c r="M86" s="98" t="s">
        <v>1030</v>
      </c>
      <c r="N86" s="98" t="s">
        <v>1031</v>
      </c>
      <c r="O86" s="98" t="s">
        <v>677</v>
      </c>
      <c r="P86" s="98" t="s">
        <v>1232</v>
      </c>
      <c r="Q86" s="98" t="s">
        <v>811</v>
      </c>
      <c r="R86" s="98" t="s">
        <v>1233</v>
      </c>
      <c r="S86" s="98" t="s">
        <v>1034</v>
      </c>
    </row>
    <row r="87" customFormat="false" ht="55" hidden="false" customHeight="true" outlineLevel="0" collapsed="false">
      <c r="C87" s="96" t="s">
        <v>1022</v>
      </c>
      <c r="D87" s="97" t="s">
        <v>1023</v>
      </c>
      <c r="E87" s="97" t="s">
        <v>1024</v>
      </c>
      <c r="F87" s="97" t="n">
        <v>46270.7484260648</v>
      </c>
      <c r="G87" s="97" t="s">
        <v>1025</v>
      </c>
      <c r="H87" s="97" t="s">
        <v>1026</v>
      </c>
      <c r="I87" s="97" t="s">
        <v>1215</v>
      </c>
      <c r="J87" s="97" t="s">
        <v>1209</v>
      </c>
      <c r="K87" s="97" t="s">
        <v>1231</v>
      </c>
      <c r="L87" s="98" t="s">
        <v>1035</v>
      </c>
      <c r="M87" s="98" t="s">
        <v>1035</v>
      </c>
      <c r="N87" s="98" t="s">
        <v>1031</v>
      </c>
      <c r="O87" s="98" t="s">
        <v>677</v>
      </c>
      <c r="P87" s="98" t="s">
        <v>1234</v>
      </c>
      <c r="Q87" s="98" t="s">
        <v>811</v>
      </c>
      <c r="R87" s="98" t="s">
        <v>1235</v>
      </c>
      <c r="S87" s="98" t="s">
        <v>1034</v>
      </c>
    </row>
    <row r="88" customFormat="false" ht="55" hidden="false" customHeight="true" outlineLevel="0" collapsed="false">
      <c r="C88" s="96" t="s">
        <v>1022</v>
      </c>
      <c r="D88" s="97" t="s">
        <v>1023</v>
      </c>
      <c r="E88" s="97" t="s">
        <v>1024</v>
      </c>
      <c r="F88" s="97" t="n">
        <v>46270.7484260648</v>
      </c>
      <c r="G88" s="97" t="s">
        <v>1025</v>
      </c>
      <c r="H88" s="97" t="s">
        <v>1026</v>
      </c>
      <c r="I88" s="97" t="s">
        <v>1215</v>
      </c>
      <c r="J88" s="97" t="s">
        <v>1209</v>
      </c>
      <c r="K88" s="97" t="s">
        <v>1236</v>
      </c>
      <c r="L88" s="98" t="s">
        <v>1030</v>
      </c>
      <c r="M88" s="98" t="s">
        <v>1030</v>
      </c>
      <c r="N88" s="98" t="s">
        <v>1031</v>
      </c>
      <c r="O88" s="98" t="s">
        <v>677</v>
      </c>
      <c r="P88" s="98" t="s">
        <v>1237</v>
      </c>
      <c r="Q88" s="98" t="s">
        <v>811</v>
      </c>
      <c r="R88" s="98" t="s">
        <v>1238</v>
      </c>
      <c r="S88" s="98" t="s">
        <v>1034</v>
      </c>
    </row>
    <row r="89" customFormat="false" ht="55" hidden="false" customHeight="true" outlineLevel="0" collapsed="false">
      <c r="C89" s="96" t="s">
        <v>1022</v>
      </c>
      <c r="D89" s="97" t="s">
        <v>1023</v>
      </c>
      <c r="E89" s="97" t="s">
        <v>1024</v>
      </c>
      <c r="F89" s="97" t="n">
        <v>46270.7484260648</v>
      </c>
      <c r="G89" s="97" t="s">
        <v>1025</v>
      </c>
      <c r="H89" s="97" t="s">
        <v>1026</v>
      </c>
      <c r="I89" s="97" t="s">
        <v>1215</v>
      </c>
      <c r="J89" s="97" t="s">
        <v>1209</v>
      </c>
      <c r="K89" s="97" t="s">
        <v>1236</v>
      </c>
      <c r="L89" s="98" t="s">
        <v>1035</v>
      </c>
      <c r="M89" s="98" t="s">
        <v>1035</v>
      </c>
      <c r="N89" s="98" t="s">
        <v>1031</v>
      </c>
      <c r="O89" s="98" t="s">
        <v>677</v>
      </c>
      <c r="P89" s="98" t="s">
        <v>1239</v>
      </c>
      <c r="Q89" s="98" t="s">
        <v>811</v>
      </c>
      <c r="R89" s="98" t="s">
        <v>1240</v>
      </c>
      <c r="S89" s="98" t="s">
        <v>1034</v>
      </c>
    </row>
    <row r="90" customFormat="false" ht="55" hidden="false" customHeight="true" outlineLevel="0" collapsed="false">
      <c r="C90" s="96" t="s">
        <v>1022</v>
      </c>
      <c r="D90" s="97" t="s">
        <v>1023</v>
      </c>
      <c r="E90" s="97" t="s">
        <v>1024</v>
      </c>
      <c r="F90" s="97" t="n">
        <v>46270.7484260648</v>
      </c>
      <c r="G90" s="97" t="s">
        <v>1025</v>
      </c>
      <c r="H90" s="97" t="s">
        <v>1026</v>
      </c>
      <c r="I90" s="97" t="s">
        <v>1241</v>
      </c>
      <c r="J90" s="97" t="s">
        <v>1209</v>
      </c>
      <c r="K90" s="99" t="s">
        <v>961</v>
      </c>
      <c r="L90" s="98" t="s">
        <v>1030</v>
      </c>
      <c r="M90" s="98" t="s">
        <v>1030</v>
      </c>
      <c r="N90" s="98" t="s">
        <v>1031</v>
      </c>
      <c r="O90" s="98" t="s">
        <v>677</v>
      </c>
      <c r="P90" s="98" t="s">
        <v>1242</v>
      </c>
      <c r="Q90" s="98" t="s">
        <v>811</v>
      </c>
      <c r="R90" s="98" t="s">
        <v>1243</v>
      </c>
      <c r="S90" s="98" t="s">
        <v>1034</v>
      </c>
    </row>
    <row r="91" customFormat="false" ht="55" hidden="false" customHeight="true" outlineLevel="0" collapsed="false">
      <c r="C91" s="96" t="s">
        <v>1022</v>
      </c>
      <c r="D91" s="97" t="s">
        <v>1023</v>
      </c>
      <c r="E91" s="97" t="s">
        <v>1024</v>
      </c>
      <c r="F91" s="97" t="n">
        <v>46270.7484260648</v>
      </c>
      <c r="G91" s="97" t="s">
        <v>1025</v>
      </c>
      <c r="H91" s="97" t="s">
        <v>1026</v>
      </c>
      <c r="I91" s="97" t="s">
        <v>1241</v>
      </c>
      <c r="J91" s="97" t="s">
        <v>1209</v>
      </c>
      <c r="K91" s="99" t="s">
        <v>961</v>
      </c>
      <c r="L91" s="98" t="s">
        <v>1035</v>
      </c>
      <c r="M91" s="98" t="s">
        <v>1035</v>
      </c>
      <c r="N91" s="98" t="s">
        <v>1031</v>
      </c>
      <c r="O91" s="98" t="s">
        <v>677</v>
      </c>
      <c r="P91" s="98" t="s">
        <v>1244</v>
      </c>
      <c r="Q91" s="98" t="s">
        <v>811</v>
      </c>
      <c r="R91" s="98" t="s">
        <v>1245</v>
      </c>
      <c r="S91" s="98" t="s">
        <v>1034</v>
      </c>
    </row>
    <row r="92" customFormat="false" ht="55" hidden="false" customHeight="true" outlineLevel="0" collapsed="false">
      <c r="C92" s="96" t="s">
        <v>1022</v>
      </c>
      <c r="D92" s="97" t="s">
        <v>1023</v>
      </c>
      <c r="E92" s="97" t="s">
        <v>1024</v>
      </c>
      <c r="F92" s="97" t="n">
        <v>46270.7484260648</v>
      </c>
      <c r="G92" s="97" t="s">
        <v>1025</v>
      </c>
      <c r="H92" s="97" t="s">
        <v>1026</v>
      </c>
      <c r="I92" s="97" t="s">
        <v>1246</v>
      </c>
      <c r="J92" s="97" t="s">
        <v>1209</v>
      </c>
      <c r="K92" s="99" t="s">
        <v>977</v>
      </c>
      <c r="L92" s="98" t="s">
        <v>1030</v>
      </c>
      <c r="M92" s="98" t="s">
        <v>1030</v>
      </c>
      <c r="N92" s="98" t="s">
        <v>1031</v>
      </c>
      <c r="O92" s="98" t="s">
        <v>677</v>
      </c>
      <c r="P92" s="98" t="s">
        <v>1247</v>
      </c>
      <c r="Q92" s="98" t="s">
        <v>811</v>
      </c>
      <c r="R92" s="98" t="s">
        <v>1248</v>
      </c>
      <c r="S92" s="98" t="s">
        <v>1034</v>
      </c>
    </row>
    <row r="93" customFormat="false" ht="55" hidden="false" customHeight="true" outlineLevel="0" collapsed="false">
      <c r="C93" s="96" t="s">
        <v>1022</v>
      </c>
      <c r="D93" s="97" t="s">
        <v>1023</v>
      </c>
      <c r="E93" s="97" t="s">
        <v>1024</v>
      </c>
      <c r="F93" s="97" t="n">
        <v>46270.7484260648</v>
      </c>
      <c r="G93" s="97" t="s">
        <v>1025</v>
      </c>
      <c r="H93" s="97" t="s">
        <v>1026</v>
      </c>
      <c r="I93" s="97" t="s">
        <v>1246</v>
      </c>
      <c r="J93" s="97" t="s">
        <v>1209</v>
      </c>
      <c r="K93" s="99" t="s">
        <v>977</v>
      </c>
      <c r="L93" s="98" t="s">
        <v>1035</v>
      </c>
      <c r="M93" s="98" t="s">
        <v>1035</v>
      </c>
      <c r="N93" s="98" t="s">
        <v>1031</v>
      </c>
      <c r="O93" s="98" t="s">
        <v>677</v>
      </c>
      <c r="P93" s="98" t="s">
        <v>1249</v>
      </c>
      <c r="Q93" s="98" t="s">
        <v>811</v>
      </c>
      <c r="R93" s="98" t="s">
        <v>1250</v>
      </c>
      <c r="S93" s="98" t="s">
        <v>1034</v>
      </c>
    </row>
    <row r="94" customFormat="false" ht="55" hidden="false" customHeight="true" outlineLevel="0" collapsed="false">
      <c r="C94" s="96" t="s">
        <v>1022</v>
      </c>
      <c r="D94" s="97" t="s">
        <v>1023</v>
      </c>
      <c r="E94" s="97" t="s">
        <v>1024</v>
      </c>
      <c r="F94" s="97" t="n">
        <v>46270.7484260648</v>
      </c>
      <c r="G94" s="97" t="s">
        <v>1025</v>
      </c>
      <c r="H94" s="97" t="s">
        <v>1026</v>
      </c>
      <c r="I94" s="97" t="s">
        <v>1246</v>
      </c>
      <c r="J94" s="97" t="s">
        <v>1209</v>
      </c>
      <c r="K94" s="99" t="s">
        <v>989</v>
      </c>
      <c r="L94" s="98" t="s">
        <v>1030</v>
      </c>
      <c r="M94" s="98" t="s">
        <v>1030</v>
      </c>
      <c r="N94" s="98" t="s">
        <v>1031</v>
      </c>
      <c r="O94" s="98" t="s">
        <v>677</v>
      </c>
      <c r="P94" s="98" t="s">
        <v>1251</v>
      </c>
      <c r="Q94" s="98" t="s">
        <v>811</v>
      </c>
      <c r="R94" s="98" t="s">
        <v>1252</v>
      </c>
      <c r="S94" s="98" t="s">
        <v>1034</v>
      </c>
    </row>
    <row r="95" customFormat="false" ht="55" hidden="false" customHeight="true" outlineLevel="0" collapsed="false">
      <c r="C95" s="96" t="s">
        <v>1022</v>
      </c>
      <c r="D95" s="97" t="s">
        <v>1023</v>
      </c>
      <c r="E95" s="97" t="s">
        <v>1024</v>
      </c>
      <c r="F95" s="97" t="n">
        <v>46270.7484260648</v>
      </c>
      <c r="G95" s="97" t="s">
        <v>1025</v>
      </c>
      <c r="H95" s="97" t="s">
        <v>1026</v>
      </c>
      <c r="I95" s="97" t="s">
        <v>1246</v>
      </c>
      <c r="J95" s="97" t="s">
        <v>1209</v>
      </c>
      <c r="K95" s="99" t="s">
        <v>989</v>
      </c>
      <c r="L95" s="98" t="s">
        <v>1035</v>
      </c>
      <c r="M95" s="98" t="s">
        <v>1035</v>
      </c>
      <c r="N95" s="98" t="s">
        <v>1031</v>
      </c>
      <c r="O95" s="98" t="s">
        <v>677</v>
      </c>
      <c r="P95" s="98" t="s">
        <v>1253</v>
      </c>
      <c r="Q95" s="98" t="s">
        <v>811</v>
      </c>
      <c r="R95" s="98" t="s">
        <v>1254</v>
      </c>
      <c r="S95" s="98" t="s">
        <v>1034</v>
      </c>
    </row>
    <row r="96" customFormat="false" ht="55" hidden="false" customHeight="true" outlineLevel="0" collapsed="false">
      <c r="C96" s="96" t="s">
        <v>1022</v>
      </c>
      <c r="D96" s="97" t="s">
        <v>1023</v>
      </c>
      <c r="E96" s="97" t="s">
        <v>1024</v>
      </c>
      <c r="F96" s="97" t="n">
        <v>46270.7484260648</v>
      </c>
      <c r="G96" s="97" t="s">
        <v>1025</v>
      </c>
      <c r="H96" s="97" t="s">
        <v>1026</v>
      </c>
      <c r="I96" s="97" t="s">
        <v>1246</v>
      </c>
      <c r="J96" s="97" t="s">
        <v>1209</v>
      </c>
      <c r="K96" s="99" t="s">
        <v>990</v>
      </c>
      <c r="L96" s="98" t="s">
        <v>1030</v>
      </c>
      <c r="M96" s="98" t="s">
        <v>1030</v>
      </c>
      <c r="N96" s="98" t="s">
        <v>1031</v>
      </c>
      <c r="O96" s="98" t="s">
        <v>677</v>
      </c>
      <c r="P96" s="98" t="s">
        <v>1255</v>
      </c>
      <c r="Q96" s="98" t="s">
        <v>811</v>
      </c>
      <c r="R96" s="98" t="s">
        <v>1256</v>
      </c>
      <c r="S96" s="98" t="s">
        <v>1034</v>
      </c>
    </row>
    <row r="97" customFormat="false" ht="55" hidden="false" customHeight="true" outlineLevel="0" collapsed="false">
      <c r="C97" s="96" t="s">
        <v>1022</v>
      </c>
      <c r="D97" s="97" t="s">
        <v>1023</v>
      </c>
      <c r="E97" s="97" t="s">
        <v>1024</v>
      </c>
      <c r="F97" s="97" t="n">
        <v>46270.7484260648</v>
      </c>
      <c r="G97" s="97" t="s">
        <v>1025</v>
      </c>
      <c r="H97" s="97" t="s">
        <v>1026</v>
      </c>
      <c r="I97" s="97" t="s">
        <v>1246</v>
      </c>
      <c r="J97" s="97" t="s">
        <v>1209</v>
      </c>
      <c r="K97" s="99" t="s">
        <v>990</v>
      </c>
      <c r="L97" s="98" t="s">
        <v>1035</v>
      </c>
      <c r="M97" s="98" t="s">
        <v>1035</v>
      </c>
      <c r="N97" s="98" t="s">
        <v>1031</v>
      </c>
      <c r="O97" s="98" t="s">
        <v>677</v>
      </c>
      <c r="P97" s="98" t="s">
        <v>1257</v>
      </c>
      <c r="Q97" s="98" t="s">
        <v>811</v>
      </c>
      <c r="R97" s="98" t="s">
        <v>1258</v>
      </c>
      <c r="S97" s="98" t="s">
        <v>1034</v>
      </c>
    </row>
    <row r="98" customFormat="false" ht="55" hidden="false" customHeight="true" outlineLevel="0" collapsed="false">
      <c r="C98" s="96" t="s">
        <v>1022</v>
      </c>
      <c r="D98" s="97" t="s">
        <v>1023</v>
      </c>
      <c r="E98" s="97" t="s">
        <v>1024</v>
      </c>
      <c r="F98" s="97" t="n">
        <v>46270.7484260648</v>
      </c>
      <c r="G98" s="97" t="s">
        <v>1025</v>
      </c>
      <c r="H98" s="97" t="s">
        <v>1026</v>
      </c>
      <c r="I98" s="97" t="s">
        <v>1246</v>
      </c>
      <c r="J98" s="97" t="s">
        <v>1209</v>
      </c>
      <c r="K98" s="99" t="s">
        <v>992</v>
      </c>
      <c r="L98" s="98" t="s">
        <v>1030</v>
      </c>
      <c r="M98" s="98" t="s">
        <v>1030</v>
      </c>
      <c r="N98" s="98" t="s">
        <v>1031</v>
      </c>
      <c r="O98" s="98" t="s">
        <v>677</v>
      </c>
      <c r="P98" s="98" t="s">
        <v>1259</v>
      </c>
      <c r="Q98" s="98" t="s">
        <v>811</v>
      </c>
      <c r="R98" s="98" t="s">
        <v>1260</v>
      </c>
      <c r="S98" s="98" t="s">
        <v>1034</v>
      </c>
    </row>
    <row r="99" customFormat="false" ht="55" hidden="false" customHeight="true" outlineLevel="0" collapsed="false">
      <c r="C99" s="96" t="s">
        <v>1022</v>
      </c>
      <c r="D99" s="97" t="s">
        <v>1023</v>
      </c>
      <c r="E99" s="97" t="s">
        <v>1024</v>
      </c>
      <c r="F99" s="97" t="n">
        <v>46270.7484260648</v>
      </c>
      <c r="G99" s="97" t="s">
        <v>1025</v>
      </c>
      <c r="H99" s="97" t="s">
        <v>1026</v>
      </c>
      <c r="I99" s="97" t="s">
        <v>1246</v>
      </c>
      <c r="J99" s="97" t="s">
        <v>1209</v>
      </c>
      <c r="K99" s="99" t="s">
        <v>992</v>
      </c>
      <c r="L99" s="98" t="s">
        <v>1035</v>
      </c>
      <c r="M99" s="98" t="s">
        <v>1035</v>
      </c>
      <c r="N99" s="98" t="s">
        <v>1031</v>
      </c>
      <c r="O99" s="98" t="s">
        <v>677</v>
      </c>
      <c r="P99" s="98" t="s">
        <v>1261</v>
      </c>
      <c r="Q99" s="98" t="s">
        <v>811</v>
      </c>
      <c r="R99" s="98" t="s">
        <v>1262</v>
      </c>
      <c r="S99" s="98" t="s">
        <v>1034</v>
      </c>
    </row>
    <row r="100" customFormat="false" ht="55" hidden="false" customHeight="true" outlineLevel="0" collapsed="false">
      <c r="C100" s="96" t="s">
        <v>1022</v>
      </c>
      <c r="D100" s="97" t="s">
        <v>1023</v>
      </c>
      <c r="E100" s="97" t="s">
        <v>1024</v>
      </c>
      <c r="F100" s="97" t="n">
        <v>46270.7484260648</v>
      </c>
      <c r="G100" s="97" t="s">
        <v>1025</v>
      </c>
      <c r="H100" s="97" t="s">
        <v>1026</v>
      </c>
      <c r="I100" s="97" t="s">
        <v>1246</v>
      </c>
      <c r="J100" s="97" t="s">
        <v>1209</v>
      </c>
      <c r="K100" s="99" t="s">
        <v>993</v>
      </c>
      <c r="L100" s="98" t="s">
        <v>1030</v>
      </c>
      <c r="M100" s="98" t="s">
        <v>1030</v>
      </c>
      <c r="N100" s="98" t="s">
        <v>1031</v>
      </c>
      <c r="O100" s="98" t="s">
        <v>677</v>
      </c>
      <c r="P100" s="98" t="s">
        <v>1263</v>
      </c>
      <c r="Q100" s="98" t="s">
        <v>811</v>
      </c>
      <c r="R100" s="98" t="s">
        <v>1264</v>
      </c>
      <c r="S100" s="98" t="s">
        <v>1034</v>
      </c>
    </row>
    <row r="101" customFormat="false" ht="55" hidden="false" customHeight="true" outlineLevel="0" collapsed="false">
      <c r="C101" s="96" t="s">
        <v>1022</v>
      </c>
      <c r="D101" s="97" t="s">
        <v>1023</v>
      </c>
      <c r="E101" s="97" t="s">
        <v>1024</v>
      </c>
      <c r="F101" s="97" t="n">
        <v>46270.7484260648</v>
      </c>
      <c r="G101" s="97" t="s">
        <v>1025</v>
      </c>
      <c r="H101" s="97" t="s">
        <v>1026</v>
      </c>
      <c r="I101" s="97" t="s">
        <v>1246</v>
      </c>
      <c r="J101" s="97" t="s">
        <v>1209</v>
      </c>
      <c r="K101" s="99" t="s">
        <v>993</v>
      </c>
      <c r="L101" s="98" t="s">
        <v>1035</v>
      </c>
      <c r="M101" s="98" t="s">
        <v>1035</v>
      </c>
      <c r="N101" s="98" t="s">
        <v>1031</v>
      </c>
      <c r="O101" s="98" t="s">
        <v>677</v>
      </c>
      <c r="P101" s="98" t="s">
        <v>1259</v>
      </c>
      <c r="Q101" s="98" t="s">
        <v>811</v>
      </c>
      <c r="R101" s="98" t="s">
        <v>1260</v>
      </c>
      <c r="S101" s="98" t="s">
        <v>1034</v>
      </c>
    </row>
    <row r="102" customFormat="false" ht="55" hidden="false" customHeight="true" outlineLevel="0" collapsed="false">
      <c r="C102" s="96" t="s">
        <v>1022</v>
      </c>
      <c r="D102" s="97" t="s">
        <v>1023</v>
      </c>
      <c r="E102" s="97" t="s">
        <v>1024</v>
      </c>
      <c r="F102" s="97" t="n">
        <v>46270.7484260648</v>
      </c>
      <c r="G102" s="97" t="s">
        <v>1025</v>
      </c>
      <c r="H102" s="97" t="s">
        <v>1026</v>
      </c>
      <c r="I102" s="97" t="s">
        <v>1265</v>
      </c>
      <c r="J102" s="97" t="s">
        <v>1209</v>
      </c>
      <c r="K102" s="99" t="s">
        <v>1266</v>
      </c>
      <c r="L102" s="98" t="s">
        <v>1030</v>
      </c>
      <c r="M102" s="98" t="s">
        <v>1030</v>
      </c>
      <c r="N102" s="98" t="s">
        <v>1031</v>
      </c>
      <c r="O102" s="98" t="s">
        <v>677</v>
      </c>
      <c r="P102" s="98" t="s">
        <v>1267</v>
      </c>
      <c r="Q102" s="98" t="s">
        <v>811</v>
      </c>
      <c r="R102" s="98" t="s">
        <v>1268</v>
      </c>
      <c r="S102" s="98" t="s">
        <v>1034</v>
      </c>
    </row>
    <row r="103" customFormat="false" ht="55" hidden="false" customHeight="true" outlineLevel="0" collapsed="false">
      <c r="C103" s="96" t="s">
        <v>1022</v>
      </c>
      <c r="D103" s="97" t="s">
        <v>1023</v>
      </c>
      <c r="E103" s="97" t="s">
        <v>1024</v>
      </c>
      <c r="F103" s="97" t="n">
        <v>46270.7484260648</v>
      </c>
      <c r="G103" s="97" t="s">
        <v>1025</v>
      </c>
      <c r="H103" s="97" t="s">
        <v>1026</v>
      </c>
      <c r="I103" s="97" t="s">
        <v>1265</v>
      </c>
      <c r="J103" s="97" t="s">
        <v>1209</v>
      </c>
      <c r="K103" s="99" t="s">
        <v>1266</v>
      </c>
      <c r="L103" s="98" t="s">
        <v>1035</v>
      </c>
      <c r="M103" s="98" t="s">
        <v>1035</v>
      </c>
      <c r="N103" s="98" t="s">
        <v>1031</v>
      </c>
      <c r="O103" s="98" t="s">
        <v>677</v>
      </c>
      <c r="P103" s="98" t="s">
        <v>1269</v>
      </c>
      <c r="Q103" s="98" t="s">
        <v>811</v>
      </c>
      <c r="R103" s="98" t="s">
        <v>1270</v>
      </c>
      <c r="S103" s="98" t="s">
        <v>1034</v>
      </c>
    </row>
    <row r="104" customFormat="false" ht="55" hidden="false" customHeight="true" outlineLevel="0" collapsed="false">
      <c r="C104" s="96" t="s">
        <v>1022</v>
      </c>
      <c r="D104" s="97" t="s">
        <v>1023</v>
      </c>
      <c r="E104" s="97" t="s">
        <v>1024</v>
      </c>
      <c r="F104" s="97" t="n">
        <v>46270.7484260648</v>
      </c>
      <c r="G104" s="97" t="s">
        <v>1025</v>
      </c>
      <c r="H104" s="97" t="s">
        <v>1026</v>
      </c>
      <c r="I104" s="97" t="s">
        <v>1265</v>
      </c>
      <c r="J104" s="97" t="s">
        <v>1209</v>
      </c>
      <c r="K104" s="99" t="s">
        <v>1271</v>
      </c>
      <c r="L104" s="98" t="s">
        <v>1030</v>
      </c>
      <c r="M104" s="98" t="s">
        <v>1030</v>
      </c>
      <c r="N104" s="98" t="s">
        <v>1031</v>
      </c>
      <c r="O104" s="98" t="s">
        <v>677</v>
      </c>
      <c r="P104" s="98" t="s">
        <v>1272</v>
      </c>
      <c r="Q104" s="98" t="s">
        <v>811</v>
      </c>
      <c r="R104" s="98" t="s">
        <v>1273</v>
      </c>
      <c r="S104" s="98" t="s">
        <v>1034</v>
      </c>
    </row>
    <row r="105" customFormat="false" ht="55" hidden="false" customHeight="true" outlineLevel="0" collapsed="false">
      <c r="C105" s="96" t="s">
        <v>1022</v>
      </c>
      <c r="D105" s="97" t="s">
        <v>1023</v>
      </c>
      <c r="E105" s="97" t="s">
        <v>1024</v>
      </c>
      <c r="F105" s="97" t="n">
        <v>46270.7484260648</v>
      </c>
      <c r="G105" s="97" t="s">
        <v>1025</v>
      </c>
      <c r="H105" s="97" t="s">
        <v>1026</v>
      </c>
      <c r="I105" s="97" t="s">
        <v>1265</v>
      </c>
      <c r="J105" s="97" t="s">
        <v>1209</v>
      </c>
      <c r="K105" s="99" t="s">
        <v>1271</v>
      </c>
      <c r="L105" s="98" t="s">
        <v>1035</v>
      </c>
      <c r="M105" s="98" t="s">
        <v>1035</v>
      </c>
      <c r="N105" s="98" t="s">
        <v>1031</v>
      </c>
      <c r="O105" s="98" t="s">
        <v>677</v>
      </c>
      <c r="P105" s="98" t="s">
        <v>1274</v>
      </c>
      <c r="Q105" s="98" t="s">
        <v>811</v>
      </c>
      <c r="R105" s="98" t="s">
        <v>1275</v>
      </c>
      <c r="S105" s="98" t="s">
        <v>1034</v>
      </c>
    </row>
    <row r="106" customFormat="false" ht="55" hidden="false" customHeight="true" outlineLevel="0" collapsed="false">
      <c r="C106" s="96" t="s">
        <v>1022</v>
      </c>
      <c r="D106" s="97" t="s">
        <v>1023</v>
      </c>
      <c r="E106" s="97" t="s">
        <v>1024</v>
      </c>
      <c r="F106" s="97" t="n">
        <v>46270.7484260648</v>
      </c>
      <c r="G106" s="97" t="s">
        <v>1025</v>
      </c>
      <c r="H106" s="97" t="s">
        <v>1026</v>
      </c>
      <c r="I106" s="97" t="s">
        <v>1276</v>
      </c>
      <c r="J106" s="97" t="s">
        <v>1209</v>
      </c>
      <c r="K106" s="99" t="s">
        <v>1277</v>
      </c>
      <c r="L106" s="98" t="s">
        <v>1030</v>
      </c>
      <c r="M106" s="98" t="s">
        <v>1030</v>
      </c>
      <c r="N106" s="98" t="s">
        <v>1031</v>
      </c>
      <c r="O106" s="98" t="s">
        <v>677</v>
      </c>
      <c r="P106" s="98" t="s">
        <v>1278</v>
      </c>
      <c r="Q106" s="98" t="s">
        <v>811</v>
      </c>
      <c r="R106" s="98" t="s">
        <v>1279</v>
      </c>
      <c r="S106" s="98" t="s">
        <v>1034</v>
      </c>
    </row>
    <row r="107" customFormat="false" ht="55" hidden="false" customHeight="true" outlineLevel="0" collapsed="false">
      <c r="C107" s="96" t="s">
        <v>1022</v>
      </c>
      <c r="D107" s="97" t="s">
        <v>1023</v>
      </c>
      <c r="E107" s="97" t="s">
        <v>1024</v>
      </c>
      <c r="F107" s="97" t="n">
        <v>46270.7484260648</v>
      </c>
      <c r="G107" s="97" t="s">
        <v>1025</v>
      </c>
      <c r="H107" s="97" t="s">
        <v>1026</v>
      </c>
      <c r="I107" s="97" t="s">
        <v>1276</v>
      </c>
      <c r="J107" s="97" t="s">
        <v>1209</v>
      </c>
      <c r="K107" s="99" t="s">
        <v>1277</v>
      </c>
      <c r="L107" s="98" t="s">
        <v>1035</v>
      </c>
      <c r="M107" s="98" t="s">
        <v>1035</v>
      </c>
      <c r="N107" s="98" t="s">
        <v>1031</v>
      </c>
      <c r="O107" s="98" t="s">
        <v>677</v>
      </c>
      <c r="P107" s="98" t="s">
        <v>1280</v>
      </c>
      <c r="Q107" s="98" t="s">
        <v>811</v>
      </c>
      <c r="R107" s="98" t="s">
        <v>1281</v>
      </c>
      <c r="S107" s="98" t="s">
        <v>1034</v>
      </c>
    </row>
    <row r="108" customFormat="false" ht="55" hidden="false" customHeight="true" outlineLevel="0" collapsed="false">
      <c r="C108" s="96" t="s">
        <v>1022</v>
      </c>
      <c r="D108" s="97" t="s">
        <v>1023</v>
      </c>
      <c r="E108" s="97" t="s">
        <v>1024</v>
      </c>
      <c r="F108" s="97" t="n">
        <v>46270.7484260648</v>
      </c>
      <c r="G108" s="97" t="s">
        <v>1025</v>
      </c>
      <c r="H108" s="97" t="s">
        <v>1026</v>
      </c>
      <c r="I108" s="97" t="s">
        <v>1276</v>
      </c>
      <c r="J108" s="97" t="s">
        <v>1209</v>
      </c>
      <c r="K108" s="99" t="s">
        <v>1282</v>
      </c>
      <c r="L108" s="98" t="s">
        <v>1030</v>
      </c>
      <c r="M108" s="98" t="s">
        <v>1030</v>
      </c>
      <c r="N108" s="98" t="s">
        <v>1031</v>
      </c>
      <c r="O108" s="98" t="s">
        <v>677</v>
      </c>
      <c r="P108" s="98" t="s">
        <v>1283</v>
      </c>
      <c r="Q108" s="98" t="s">
        <v>811</v>
      </c>
      <c r="R108" s="98" t="s">
        <v>1284</v>
      </c>
      <c r="S108" s="98" t="s">
        <v>1034</v>
      </c>
    </row>
    <row r="109" customFormat="false" ht="55" hidden="false" customHeight="true" outlineLevel="0" collapsed="false">
      <c r="C109" s="96" t="s">
        <v>1022</v>
      </c>
      <c r="D109" s="97" t="s">
        <v>1023</v>
      </c>
      <c r="E109" s="97" t="s">
        <v>1024</v>
      </c>
      <c r="F109" s="97" t="n">
        <v>46270.7484260648</v>
      </c>
      <c r="G109" s="97" t="s">
        <v>1025</v>
      </c>
      <c r="H109" s="97" t="s">
        <v>1026</v>
      </c>
      <c r="I109" s="97" t="s">
        <v>1276</v>
      </c>
      <c r="J109" s="97" t="s">
        <v>1209</v>
      </c>
      <c r="K109" s="99" t="s">
        <v>1282</v>
      </c>
      <c r="L109" s="98" t="s">
        <v>1035</v>
      </c>
      <c r="M109" s="98" t="s">
        <v>1035</v>
      </c>
      <c r="N109" s="98" t="s">
        <v>1031</v>
      </c>
      <c r="O109" s="98" t="s">
        <v>677</v>
      </c>
      <c r="P109" s="98" t="s">
        <v>1285</v>
      </c>
      <c r="Q109" s="98" t="s">
        <v>811</v>
      </c>
      <c r="R109" s="98" t="s">
        <v>1286</v>
      </c>
      <c r="S109" s="98" t="s">
        <v>1034</v>
      </c>
    </row>
    <row r="110" customFormat="false" ht="55" hidden="false" customHeight="true" outlineLevel="0" collapsed="false">
      <c r="C110" s="96" t="s">
        <v>1022</v>
      </c>
      <c r="D110" s="97" t="s">
        <v>1023</v>
      </c>
      <c r="E110" s="97" t="s">
        <v>1024</v>
      </c>
      <c r="F110" s="97" t="n">
        <v>46270.7484260648</v>
      </c>
      <c r="G110" s="97" t="s">
        <v>1025</v>
      </c>
      <c r="H110" s="97" t="s">
        <v>1026</v>
      </c>
      <c r="I110" s="97" t="s">
        <v>1265</v>
      </c>
      <c r="J110" s="97" t="s">
        <v>1209</v>
      </c>
      <c r="K110" s="99" t="s">
        <v>898</v>
      </c>
      <c r="L110" s="98" t="s">
        <v>1030</v>
      </c>
      <c r="M110" s="98" t="s">
        <v>1030</v>
      </c>
      <c r="N110" s="98" t="s">
        <v>1031</v>
      </c>
      <c r="O110" s="98" t="s">
        <v>677</v>
      </c>
      <c r="P110" s="98" t="s">
        <v>1287</v>
      </c>
      <c r="Q110" s="98" t="s">
        <v>811</v>
      </c>
      <c r="R110" s="98" t="s">
        <v>1288</v>
      </c>
      <c r="S110" s="98" t="s">
        <v>1034</v>
      </c>
    </row>
    <row r="111" customFormat="false" ht="55" hidden="false" customHeight="true" outlineLevel="0" collapsed="false">
      <c r="C111" s="96" t="s">
        <v>1022</v>
      </c>
      <c r="D111" s="97" t="s">
        <v>1023</v>
      </c>
      <c r="E111" s="97" t="s">
        <v>1024</v>
      </c>
      <c r="F111" s="97" t="n">
        <v>46270.7484260648</v>
      </c>
      <c r="G111" s="97" t="s">
        <v>1025</v>
      </c>
      <c r="H111" s="97" t="s">
        <v>1026</v>
      </c>
      <c r="I111" s="97" t="s">
        <v>1265</v>
      </c>
      <c r="J111" s="97" t="s">
        <v>1209</v>
      </c>
      <c r="K111" s="99" t="s">
        <v>898</v>
      </c>
      <c r="L111" s="98" t="s">
        <v>1035</v>
      </c>
      <c r="M111" s="98" t="s">
        <v>1035</v>
      </c>
      <c r="N111" s="98" t="s">
        <v>1031</v>
      </c>
      <c r="O111" s="98" t="s">
        <v>677</v>
      </c>
      <c r="P111" s="98" t="s">
        <v>1289</v>
      </c>
      <c r="Q111" s="98" t="s">
        <v>811</v>
      </c>
      <c r="R111" s="98" t="s">
        <v>1290</v>
      </c>
      <c r="S111" s="98" t="s">
        <v>1034</v>
      </c>
    </row>
    <row r="112" customFormat="false" ht="55" hidden="false" customHeight="true" outlineLevel="0" collapsed="false">
      <c r="C112" s="96" t="s">
        <v>1022</v>
      </c>
      <c r="D112" s="97" t="s">
        <v>1023</v>
      </c>
      <c r="E112" s="97" t="s">
        <v>1024</v>
      </c>
      <c r="F112" s="97" t="n">
        <v>46270.7484260648</v>
      </c>
      <c r="G112" s="97" t="s">
        <v>1025</v>
      </c>
      <c r="H112" s="97" t="s">
        <v>1026</v>
      </c>
      <c r="I112" s="97" t="s">
        <v>1265</v>
      </c>
      <c r="J112" s="97" t="s">
        <v>1209</v>
      </c>
      <c r="K112" s="99" t="s">
        <v>922</v>
      </c>
      <c r="L112" s="98" t="s">
        <v>1030</v>
      </c>
      <c r="M112" s="98" t="s">
        <v>1030</v>
      </c>
      <c r="N112" s="98" t="s">
        <v>1031</v>
      </c>
      <c r="O112" s="98" t="s">
        <v>677</v>
      </c>
      <c r="P112" s="98" t="s">
        <v>1291</v>
      </c>
      <c r="Q112" s="98" t="s">
        <v>811</v>
      </c>
      <c r="R112" s="98" t="s">
        <v>1292</v>
      </c>
      <c r="S112" s="98" t="s">
        <v>1034</v>
      </c>
    </row>
    <row r="113" customFormat="false" ht="55" hidden="false" customHeight="true" outlineLevel="0" collapsed="false">
      <c r="C113" s="96" t="s">
        <v>1022</v>
      </c>
      <c r="D113" s="97" t="s">
        <v>1023</v>
      </c>
      <c r="E113" s="97" t="s">
        <v>1024</v>
      </c>
      <c r="F113" s="97" t="n">
        <v>46270.7484260648</v>
      </c>
      <c r="G113" s="97" t="s">
        <v>1025</v>
      </c>
      <c r="H113" s="97" t="s">
        <v>1026</v>
      </c>
      <c r="I113" s="97" t="s">
        <v>1265</v>
      </c>
      <c r="J113" s="97" t="s">
        <v>1209</v>
      </c>
      <c r="K113" s="99" t="s">
        <v>922</v>
      </c>
      <c r="L113" s="98" t="s">
        <v>1035</v>
      </c>
      <c r="M113" s="98" t="s">
        <v>1035</v>
      </c>
      <c r="N113" s="98" t="s">
        <v>1031</v>
      </c>
      <c r="O113" s="98" t="s">
        <v>677</v>
      </c>
      <c r="P113" s="98" t="s">
        <v>1293</v>
      </c>
      <c r="Q113" s="98" t="s">
        <v>811</v>
      </c>
      <c r="R113" s="98" t="s">
        <v>1294</v>
      </c>
      <c r="S113" s="98" t="s">
        <v>1034</v>
      </c>
    </row>
    <row r="114" customFormat="false" ht="55" hidden="false" customHeight="true" outlineLevel="0" collapsed="false">
      <c r="C114" s="96" t="s">
        <v>1043</v>
      </c>
      <c r="D114" s="97" t="s">
        <v>679</v>
      </c>
      <c r="E114" s="97" t="s">
        <v>1044</v>
      </c>
      <c r="F114" s="97" t="n">
        <v>46270.748424375</v>
      </c>
      <c r="G114" s="97" t="n">
        <v>46271.5168071875</v>
      </c>
      <c r="H114" s="97" t="s">
        <v>680</v>
      </c>
      <c r="I114" s="97" t="s">
        <v>1295</v>
      </c>
      <c r="J114" s="97" t="s">
        <v>1209</v>
      </c>
      <c r="K114" s="99" t="s">
        <v>1210</v>
      </c>
      <c r="L114" s="98" t="s">
        <v>1046</v>
      </c>
      <c r="M114" s="98" t="s">
        <v>1046</v>
      </c>
      <c r="N114" s="98" t="s">
        <v>1031</v>
      </c>
      <c r="O114" s="98" t="s">
        <v>677</v>
      </c>
      <c r="P114" s="98" t="s">
        <v>1296</v>
      </c>
      <c r="Q114" s="98" t="s">
        <v>811</v>
      </c>
      <c r="R114" s="98" t="s">
        <v>1297</v>
      </c>
      <c r="S114" s="98" t="s">
        <v>681</v>
      </c>
    </row>
    <row r="115" customFormat="false" ht="55" hidden="false" customHeight="true" outlineLevel="0" collapsed="false">
      <c r="C115" s="96" t="s">
        <v>1043</v>
      </c>
      <c r="D115" s="97" t="s">
        <v>679</v>
      </c>
      <c r="E115" s="97" t="s">
        <v>1044</v>
      </c>
      <c r="F115" s="97" t="n">
        <v>46270.748424375</v>
      </c>
      <c r="G115" s="97" t="n">
        <v>46271.5168071875</v>
      </c>
      <c r="H115" s="97" t="s">
        <v>680</v>
      </c>
      <c r="I115" s="97" t="s">
        <v>1295</v>
      </c>
      <c r="J115" s="97" t="s">
        <v>1209</v>
      </c>
      <c r="K115" s="99" t="s">
        <v>1210</v>
      </c>
      <c r="L115" s="98" t="s">
        <v>1030</v>
      </c>
      <c r="M115" s="98" t="s">
        <v>1030</v>
      </c>
      <c r="N115" s="98" t="s">
        <v>1031</v>
      </c>
      <c r="O115" s="98" t="s">
        <v>677</v>
      </c>
      <c r="P115" s="98" t="s">
        <v>1211</v>
      </c>
      <c r="Q115" s="98" t="s">
        <v>811</v>
      </c>
      <c r="R115" s="98" t="s">
        <v>1212</v>
      </c>
      <c r="S115" s="98" t="s">
        <v>681</v>
      </c>
    </row>
    <row r="116" customFormat="false" ht="55" hidden="false" customHeight="true" outlineLevel="0" collapsed="false">
      <c r="C116" s="96" t="s">
        <v>1043</v>
      </c>
      <c r="D116" s="97" t="s">
        <v>679</v>
      </c>
      <c r="E116" s="97" t="s">
        <v>1044</v>
      </c>
      <c r="F116" s="97" t="n">
        <v>46270.748424375</v>
      </c>
      <c r="G116" s="97" t="n">
        <v>46271.5168071875</v>
      </c>
      <c r="H116" s="97" t="s">
        <v>680</v>
      </c>
      <c r="I116" s="97" t="s">
        <v>1298</v>
      </c>
      <c r="J116" s="97" t="s">
        <v>1209</v>
      </c>
      <c r="K116" s="99" t="s">
        <v>1216</v>
      </c>
      <c r="L116" s="98" t="s">
        <v>1046</v>
      </c>
      <c r="M116" s="98" t="s">
        <v>1046</v>
      </c>
      <c r="N116" s="98" t="s">
        <v>1031</v>
      </c>
      <c r="O116" s="98" t="s">
        <v>677</v>
      </c>
      <c r="P116" s="98" t="s">
        <v>1299</v>
      </c>
      <c r="Q116" s="98" t="s">
        <v>811</v>
      </c>
      <c r="R116" s="98" t="s">
        <v>1300</v>
      </c>
      <c r="S116" s="98" t="s">
        <v>681</v>
      </c>
    </row>
    <row r="117" customFormat="false" ht="55" hidden="false" customHeight="true" outlineLevel="0" collapsed="false">
      <c r="C117" s="96" t="s">
        <v>1043</v>
      </c>
      <c r="D117" s="97" t="s">
        <v>679</v>
      </c>
      <c r="E117" s="97" t="s">
        <v>1044</v>
      </c>
      <c r="F117" s="97" t="n">
        <v>46270.748424375</v>
      </c>
      <c r="G117" s="97" t="n">
        <v>46271.5168071875</v>
      </c>
      <c r="H117" s="97" t="s">
        <v>680</v>
      </c>
      <c r="I117" s="97" t="s">
        <v>1298</v>
      </c>
      <c r="J117" s="97" t="s">
        <v>1209</v>
      </c>
      <c r="K117" s="99" t="s">
        <v>1216</v>
      </c>
      <c r="L117" s="98" t="s">
        <v>1030</v>
      </c>
      <c r="M117" s="98" t="s">
        <v>1030</v>
      </c>
      <c r="N117" s="98" t="s">
        <v>1031</v>
      </c>
      <c r="O117" s="98" t="s">
        <v>677</v>
      </c>
      <c r="P117" s="98" t="s">
        <v>1217</v>
      </c>
      <c r="Q117" s="98" t="s">
        <v>811</v>
      </c>
      <c r="R117" s="98" t="s">
        <v>1218</v>
      </c>
      <c r="S117" s="98" t="s">
        <v>681</v>
      </c>
    </row>
    <row r="118" customFormat="false" ht="55" hidden="false" customHeight="true" outlineLevel="0" collapsed="false">
      <c r="C118" s="96" t="s">
        <v>1043</v>
      </c>
      <c r="D118" s="97" t="s">
        <v>679</v>
      </c>
      <c r="E118" s="97" t="s">
        <v>1044</v>
      </c>
      <c r="F118" s="97" t="n">
        <v>46270.748424375</v>
      </c>
      <c r="G118" s="97" t="n">
        <v>46271.5168071875</v>
      </c>
      <c r="H118" s="97" t="s">
        <v>680</v>
      </c>
      <c r="I118" s="97" t="s">
        <v>1298</v>
      </c>
      <c r="J118" s="97" t="s">
        <v>1209</v>
      </c>
      <c r="K118" s="99" t="s">
        <v>1221</v>
      </c>
      <c r="L118" s="98" t="s">
        <v>1046</v>
      </c>
      <c r="M118" s="98" t="s">
        <v>1046</v>
      </c>
      <c r="N118" s="98" t="s">
        <v>1031</v>
      </c>
      <c r="O118" s="98" t="s">
        <v>677</v>
      </c>
      <c r="P118" s="98" t="s">
        <v>1301</v>
      </c>
      <c r="Q118" s="98" t="s">
        <v>811</v>
      </c>
      <c r="R118" s="98" t="s">
        <v>1302</v>
      </c>
      <c r="S118" s="98" t="s">
        <v>681</v>
      </c>
    </row>
    <row r="119" customFormat="false" ht="55" hidden="false" customHeight="true" outlineLevel="0" collapsed="false">
      <c r="C119" s="96" t="s">
        <v>1043</v>
      </c>
      <c r="D119" s="97" t="s">
        <v>679</v>
      </c>
      <c r="E119" s="97" t="s">
        <v>1044</v>
      </c>
      <c r="F119" s="97" t="n">
        <v>46270.748424375</v>
      </c>
      <c r="G119" s="97" t="n">
        <v>46271.5168071875</v>
      </c>
      <c r="H119" s="97" t="s">
        <v>680</v>
      </c>
      <c r="I119" s="97" t="s">
        <v>1298</v>
      </c>
      <c r="J119" s="97" t="s">
        <v>1209</v>
      </c>
      <c r="K119" s="99" t="s">
        <v>1221</v>
      </c>
      <c r="L119" s="98" t="s">
        <v>1030</v>
      </c>
      <c r="M119" s="98" t="s">
        <v>1030</v>
      </c>
      <c r="N119" s="98" t="s">
        <v>1031</v>
      </c>
      <c r="O119" s="98" t="s">
        <v>677</v>
      </c>
      <c r="P119" s="98" t="s">
        <v>1222</v>
      </c>
      <c r="Q119" s="98" t="s">
        <v>811</v>
      </c>
      <c r="R119" s="98" t="s">
        <v>1223</v>
      </c>
      <c r="S119" s="98" t="s">
        <v>681</v>
      </c>
    </row>
    <row r="120" customFormat="false" ht="55" hidden="false" customHeight="true" outlineLevel="0" collapsed="false">
      <c r="C120" s="96" t="s">
        <v>1043</v>
      </c>
      <c r="D120" s="97" t="s">
        <v>679</v>
      </c>
      <c r="E120" s="97" t="s">
        <v>1044</v>
      </c>
      <c r="F120" s="97" t="n">
        <v>46270.748424375</v>
      </c>
      <c r="G120" s="97" t="n">
        <v>46271.5168071875</v>
      </c>
      <c r="H120" s="97" t="s">
        <v>680</v>
      </c>
      <c r="I120" s="97" t="s">
        <v>1298</v>
      </c>
      <c r="J120" s="97" t="s">
        <v>1209</v>
      </c>
      <c r="K120" s="99" t="s">
        <v>1226</v>
      </c>
      <c r="L120" s="98" t="s">
        <v>1046</v>
      </c>
      <c r="M120" s="98" t="s">
        <v>1046</v>
      </c>
      <c r="N120" s="98" t="s">
        <v>1031</v>
      </c>
      <c r="O120" s="98" t="s">
        <v>677</v>
      </c>
      <c r="P120" s="98" t="s">
        <v>1303</v>
      </c>
      <c r="Q120" s="98" t="s">
        <v>811</v>
      </c>
      <c r="R120" s="98" t="s">
        <v>1304</v>
      </c>
      <c r="S120" s="98" t="s">
        <v>681</v>
      </c>
    </row>
    <row r="121" customFormat="false" ht="55" hidden="false" customHeight="true" outlineLevel="0" collapsed="false">
      <c r="C121" s="96" t="s">
        <v>1043</v>
      </c>
      <c r="D121" s="97" t="s">
        <v>679</v>
      </c>
      <c r="E121" s="97" t="s">
        <v>1044</v>
      </c>
      <c r="F121" s="97" t="n">
        <v>46270.748424375</v>
      </c>
      <c r="G121" s="97" t="n">
        <v>46271.5168071875</v>
      </c>
      <c r="H121" s="97" t="s">
        <v>680</v>
      </c>
      <c r="I121" s="97" t="s">
        <v>1298</v>
      </c>
      <c r="J121" s="97" t="s">
        <v>1209</v>
      </c>
      <c r="K121" s="99" t="s">
        <v>1226</v>
      </c>
      <c r="L121" s="98" t="s">
        <v>1030</v>
      </c>
      <c r="M121" s="98" t="s">
        <v>1030</v>
      </c>
      <c r="N121" s="98" t="s">
        <v>1031</v>
      </c>
      <c r="O121" s="98" t="s">
        <v>677</v>
      </c>
      <c r="P121" s="98" t="s">
        <v>1227</v>
      </c>
      <c r="Q121" s="98" t="s">
        <v>811</v>
      </c>
      <c r="R121" s="98" t="s">
        <v>1228</v>
      </c>
      <c r="S121" s="98" t="s">
        <v>681</v>
      </c>
    </row>
    <row r="122" customFormat="false" ht="55" hidden="false" customHeight="true" outlineLevel="0" collapsed="false">
      <c r="C122" s="96" t="s">
        <v>1043</v>
      </c>
      <c r="D122" s="97" t="s">
        <v>679</v>
      </c>
      <c r="E122" s="97" t="s">
        <v>1044</v>
      </c>
      <c r="F122" s="97" t="n">
        <v>46270.748424375</v>
      </c>
      <c r="G122" s="97" t="n">
        <v>46271.5168071875</v>
      </c>
      <c r="H122" s="97" t="s">
        <v>680</v>
      </c>
      <c r="I122" s="97" t="s">
        <v>1298</v>
      </c>
      <c r="J122" s="97" t="s">
        <v>1209</v>
      </c>
      <c r="K122" s="97" t="s">
        <v>1231</v>
      </c>
      <c r="L122" s="98" t="s">
        <v>1046</v>
      </c>
      <c r="M122" s="98" t="s">
        <v>1046</v>
      </c>
      <c r="N122" s="98" t="s">
        <v>1031</v>
      </c>
      <c r="O122" s="98" t="s">
        <v>677</v>
      </c>
      <c r="P122" s="98" t="s">
        <v>1305</v>
      </c>
      <c r="Q122" s="98" t="s">
        <v>811</v>
      </c>
      <c r="R122" s="98" t="s">
        <v>1306</v>
      </c>
      <c r="S122" s="98" t="s">
        <v>681</v>
      </c>
    </row>
    <row r="123" customFormat="false" ht="55" hidden="false" customHeight="true" outlineLevel="0" collapsed="false">
      <c r="C123" s="96" t="s">
        <v>1043</v>
      </c>
      <c r="D123" s="97" t="s">
        <v>679</v>
      </c>
      <c r="E123" s="97" t="s">
        <v>1044</v>
      </c>
      <c r="F123" s="97" t="n">
        <v>46270.748424375</v>
      </c>
      <c r="G123" s="97" t="n">
        <v>46271.5168071875</v>
      </c>
      <c r="H123" s="97" t="s">
        <v>680</v>
      </c>
      <c r="I123" s="97" t="s">
        <v>1298</v>
      </c>
      <c r="J123" s="97" t="s">
        <v>1209</v>
      </c>
      <c r="K123" s="97" t="s">
        <v>1231</v>
      </c>
      <c r="L123" s="98" t="s">
        <v>1030</v>
      </c>
      <c r="M123" s="98" t="s">
        <v>1030</v>
      </c>
      <c r="N123" s="98" t="s">
        <v>1031</v>
      </c>
      <c r="O123" s="98" t="s">
        <v>677</v>
      </c>
      <c r="P123" s="98" t="s">
        <v>1232</v>
      </c>
      <c r="Q123" s="98" t="s">
        <v>811</v>
      </c>
      <c r="R123" s="98" t="s">
        <v>1233</v>
      </c>
      <c r="S123" s="98" t="s">
        <v>681</v>
      </c>
    </row>
    <row r="124" customFormat="false" ht="55" hidden="false" customHeight="true" outlineLevel="0" collapsed="false">
      <c r="C124" s="96" t="s">
        <v>1043</v>
      </c>
      <c r="D124" s="97" t="s">
        <v>679</v>
      </c>
      <c r="E124" s="97" t="s">
        <v>1044</v>
      </c>
      <c r="F124" s="97" t="n">
        <v>46270.748424375</v>
      </c>
      <c r="G124" s="97" t="n">
        <v>46271.5168071875</v>
      </c>
      <c r="H124" s="97" t="s">
        <v>680</v>
      </c>
      <c r="I124" s="97" t="s">
        <v>1298</v>
      </c>
      <c r="J124" s="97" t="s">
        <v>1209</v>
      </c>
      <c r="K124" s="97" t="s">
        <v>1236</v>
      </c>
      <c r="L124" s="98" t="s">
        <v>1046</v>
      </c>
      <c r="M124" s="98" t="s">
        <v>1046</v>
      </c>
      <c r="N124" s="98" t="s">
        <v>1031</v>
      </c>
      <c r="O124" s="98" t="s">
        <v>677</v>
      </c>
      <c r="P124" s="98" t="s">
        <v>1307</v>
      </c>
      <c r="Q124" s="98" t="s">
        <v>811</v>
      </c>
      <c r="R124" s="98" t="s">
        <v>1308</v>
      </c>
      <c r="S124" s="98" t="s">
        <v>681</v>
      </c>
    </row>
    <row r="125" customFormat="false" ht="55" hidden="false" customHeight="true" outlineLevel="0" collapsed="false">
      <c r="C125" s="96" t="s">
        <v>1043</v>
      </c>
      <c r="D125" s="97" t="s">
        <v>679</v>
      </c>
      <c r="E125" s="97" t="s">
        <v>1044</v>
      </c>
      <c r="F125" s="97" t="n">
        <v>46270.748424375</v>
      </c>
      <c r="G125" s="97" t="n">
        <v>46271.5168071875</v>
      </c>
      <c r="H125" s="97" t="s">
        <v>680</v>
      </c>
      <c r="I125" s="97" t="s">
        <v>1298</v>
      </c>
      <c r="J125" s="97" t="s">
        <v>1209</v>
      </c>
      <c r="K125" s="97" t="s">
        <v>1236</v>
      </c>
      <c r="L125" s="98" t="s">
        <v>1030</v>
      </c>
      <c r="M125" s="98" t="s">
        <v>1030</v>
      </c>
      <c r="N125" s="98" t="s">
        <v>1031</v>
      </c>
      <c r="O125" s="98" t="s">
        <v>677</v>
      </c>
      <c r="P125" s="98" t="s">
        <v>1237</v>
      </c>
      <c r="Q125" s="98" t="s">
        <v>811</v>
      </c>
      <c r="R125" s="98" t="s">
        <v>1238</v>
      </c>
      <c r="S125" s="98" t="s">
        <v>681</v>
      </c>
    </row>
    <row r="126" customFormat="false" ht="55" hidden="false" customHeight="true" outlineLevel="0" collapsed="false">
      <c r="C126" s="96" t="s">
        <v>1043</v>
      </c>
      <c r="D126" s="97" t="s">
        <v>679</v>
      </c>
      <c r="E126" s="97" t="s">
        <v>1044</v>
      </c>
      <c r="F126" s="97" t="n">
        <v>46270.748424375</v>
      </c>
      <c r="G126" s="97" t="n">
        <v>46271.5168071875</v>
      </c>
      <c r="H126" s="97" t="s">
        <v>680</v>
      </c>
      <c r="I126" s="97" t="s">
        <v>1309</v>
      </c>
      <c r="J126" s="97" t="s">
        <v>1209</v>
      </c>
      <c r="K126" s="99" t="s">
        <v>961</v>
      </c>
      <c r="L126" s="98" t="s">
        <v>1046</v>
      </c>
      <c r="M126" s="98" t="s">
        <v>1046</v>
      </c>
      <c r="N126" s="98" t="s">
        <v>1031</v>
      </c>
      <c r="O126" s="98" t="s">
        <v>677</v>
      </c>
      <c r="P126" s="98" t="s">
        <v>1310</v>
      </c>
      <c r="Q126" s="98" t="s">
        <v>811</v>
      </c>
      <c r="R126" s="98" t="s">
        <v>1311</v>
      </c>
      <c r="S126" s="98" t="s">
        <v>681</v>
      </c>
    </row>
    <row r="127" customFormat="false" ht="55" hidden="false" customHeight="true" outlineLevel="0" collapsed="false">
      <c r="C127" s="96" t="s">
        <v>1043</v>
      </c>
      <c r="D127" s="97" t="s">
        <v>679</v>
      </c>
      <c r="E127" s="97" t="s">
        <v>1044</v>
      </c>
      <c r="F127" s="97" t="n">
        <v>46270.748424375</v>
      </c>
      <c r="G127" s="97" t="n">
        <v>46271.5168071875</v>
      </c>
      <c r="H127" s="97" t="s">
        <v>680</v>
      </c>
      <c r="I127" s="97" t="s">
        <v>1309</v>
      </c>
      <c r="J127" s="97" t="s">
        <v>1209</v>
      </c>
      <c r="K127" s="99" t="s">
        <v>961</v>
      </c>
      <c r="L127" s="98" t="s">
        <v>1030</v>
      </c>
      <c r="M127" s="98" t="s">
        <v>1030</v>
      </c>
      <c r="N127" s="98" t="s">
        <v>1031</v>
      </c>
      <c r="O127" s="98" t="s">
        <v>677</v>
      </c>
      <c r="P127" s="98" t="s">
        <v>1242</v>
      </c>
      <c r="Q127" s="98" t="s">
        <v>811</v>
      </c>
      <c r="R127" s="98" t="s">
        <v>1243</v>
      </c>
      <c r="S127" s="98" t="s">
        <v>681</v>
      </c>
    </row>
    <row r="128" customFormat="false" ht="55" hidden="false" customHeight="true" outlineLevel="0" collapsed="false">
      <c r="C128" s="96" t="s">
        <v>1043</v>
      </c>
      <c r="D128" s="97" t="s">
        <v>679</v>
      </c>
      <c r="E128" s="97" t="s">
        <v>1044</v>
      </c>
      <c r="F128" s="97" t="n">
        <v>46270.748424375</v>
      </c>
      <c r="G128" s="97" t="n">
        <v>46271.5168071875</v>
      </c>
      <c r="H128" s="97" t="s">
        <v>680</v>
      </c>
      <c r="I128" s="97" t="s">
        <v>1312</v>
      </c>
      <c r="J128" s="97" t="s">
        <v>1209</v>
      </c>
      <c r="K128" s="99" t="s">
        <v>977</v>
      </c>
      <c r="L128" s="98" t="s">
        <v>1046</v>
      </c>
      <c r="M128" s="98" t="s">
        <v>1046</v>
      </c>
      <c r="N128" s="98" t="s">
        <v>1031</v>
      </c>
      <c r="O128" s="98" t="s">
        <v>677</v>
      </c>
      <c r="P128" s="98" t="s">
        <v>1313</v>
      </c>
      <c r="Q128" s="98" t="s">
        <v>811</v>
      </c>
      <c r="R128" s="98" t="s">
        <v>1314</v>
      </c>
      <c r="S128" s="98" t="s">
        <v>681</v>
      </c>
    </row>
    <row r="129" customFormat="false" ht="55" hidden="false" customHeight="true" outlineLevel="0" collapsed="false">
      <c r="C129" s="96" t="s">
        <v>1043</v>
      </c>
      <c r="D129" s="97" t="s">
        <v>679</v>
      </c>
      <c r="E129" s="97" t="s">
        <v>1044</v>
      </c>
      <c r="F129" s="97" t="n">
        <v>46270.748424375</v>
      </c>
      <c r="G129" s="97" t="n">
        <v>46271.5168071875</v>
      </c>
      <c r="H129" s="97" t="s">
        <v>680</v>
      </c>
      <c r="I129" s="97" t="s">
        <v>1312</v>
      </c>
      <c r="J129" s="97" t="s">
        <v>1209</v>
      </c>
      <c r="K129" s="99" t="s">
        <v>977</v>
      </c>
      <c r="L129" s="98" t="s">
        <v>1030</v>
      </c>
      <c r="M129" s="98" t="s">
        <v>1030</v>
      </c>
      <c r="N129" s="98" t="s">
        <v>1031</v>
      </c>
      <c r="O129" s="98" t="s">
        <v>677</v>
      </c>
      <c r="P129" s="98" t="s">
        <v>1247</v>
      </c>
      <c r="Q129" s="98" t="s">
        <v>811</v>
      </c>
      <c r="R129" s="98" t="s">
        <v>1248</v>
      </c>
      <c r="S129" s="98" t="s">
        <v>681</v>
      </c>
    </row>
    <row r="130" customFormat="false" ht="55" hidden="false" customHeight="true" outlineLevel="0" collapsed="false">
      <c r="C130" s="96" t="s">
        <v>1043</v>
      </c>
      <c r="D130" s="97" t="s">
        <v>679</v>
      </c>
      <c r="E130" s="97" t="s">
        <v>1044</v>
      </c>
      <c r="F130" s="97" t="n">
        <v>46270.748424375</v>
      </c>
      <c r="G130" s="97" t="n">
        <v>46271.5168071875</v>
      </c>
      <c r="H130" s="97" t="s">
        <v>680</v>
      </c>
      <c r="I130" s="97" t="s">
        <v>1312</v>
      </c>
      <c r="J130" s="97" t="s">
        <v>1209</v>
      </c>
      <c r="K130" s="99" t="s">
        <v>989</v>
      </c>
      <c r="L130" s="98" t="s">
        <v>1046</v>
      </c>
      <c r="M130" s="98" t="s">
        <v>1046</v>
      </c>
      <c r="N130" s="98" t="s">
        <v>1031</v>
      </c>
      <c r="O130" s="98" t="s">
        <v>677</v>
      </c>
      <c r="P130" s="98" t="s">
        <v>1315</v>
      </c>
      <c r="Q130" s="98" t="s">
        <v>811</v>
      </c>
      <c r="R130" s="98" t="s">
        <v>1316</v>
      </c>
      <c r="S130" s="98" t="s">
        <v>681</v>
      </c>
    </row>
    <row r="131" customFormat="false" ht="55" hidden="false" customHeight="true" outlineLevel="0" collapsed="false">
      <c r="C131" s="96" t="s">
        <v>1043</v>
      </c>
      <c r="D131" s="97" t="s">
        <v>679</v>
      </c>
      <c r="E131" s="97" t="s">
        <v>1044</v>
      </c>
      <c r="F131" s="97" t="n">
        <v>46270.748424375</v>
      </c>
      <c r="G131" s="97" t="n">
        <v>46271.5168071875</v>
      </c>
      <c r="H131" s="97" t="s">
        <v>680</v>
      </c>
      <c r="I131" s="97" t="s">
        <v>1312</v>
      </c>
      <c r="J131" s="97" t="s">
        <v>1209</v>
      </c>
      <c r="K131" s="99" t="s">
        <v>989</v>
      </c>
      <c r="L131" s="98" t="s">
        <v>1030</v>
      </c>
      <c r="M131" s="98" t="s">
        <v>1030</v>
      </c>
      <c r="N131" s="98" t="s">
        <v>1031</v>
      </c>
      <c r="O131" s="98" t="s">
        <v>677</v>
      </c>
      <c r="P131" s="98" t="s">
        <v>1251</v>
      </c>
      <c r="Q131" s="98" t="s">
        <v>811</v>
      </c>
      <c r="R131" s="98" t="s">
        <v>1252</v>
      </c>
      <c r="S131" s="98" t="s">
        <v>681</v>
      </c>
    </row>
    <row r="132" customFormat="false" ht="55" hidden="false" customHeight="true" outlineLevel="0" collapsed="false">
      <c r="C132" s="96" t="s">
        <v>1043</v>
      </c>
      <c r="D132" s="97" t="s">
        <v>679</v>
      </c>
      <c r="E132" s="97" t="s">
        <v>1044</v>
      </c>
      <c r="F132" s="97" t="n">
        <v>46270.748424375</v>
      </c>
      <c r="G132" s="97" t="n">
        <v>46271.5168071875</v>
      </c>
      <c r="H132" s="97" t="s">
        <v>680</v>
      </c>
      <c r="I132" s="97" t="s">
        <v>1312</v>
      </c>
      <c r="J132" s="97" t="s">
        <v>1209</v>
      </c>
      <c r="K132" s="99" t="s">
        <v>990</v>
      </c>
      <c r="L132" s="98" t="s">
        <v>1046</v>
      </c>
      <c r="M132" s="98" t="s">
        <v>1046</v>
      </c>
      <c r="N132" s="98" t="s">
        <v>1031</v>
      </c>
      <c r="O132" s="98" t="s">
        <v>677</v>
      </c>
      <c r="P132" s="98" t="s">
        <v>1317</v>
      </c>
      <c r="Q132" s="98" t="s">
        <v>811</v>
      </c>
      <c r="R132" s="98" t="s">
        <v>1318</v>
      </c>
      <c r="S132" s="98" t="s">
        <v>681</v>
      </c>
    </row>
    <row r="133" customFormat="false" ht="55" hidden="false" customHeight="true" outlineLevel="0" collapsed="false">
      <c r="C133" s="96" t="s">
        <v>1043</v>
      </c>
      <c r="D133" s="97" t="s">
        <v>679</v>
      </c>
      <c r="E133" s="97" t="s">
        <v>1044</v>
      </c>
      <c r="F133" s="97" t="n">
        <v>46270.748424375</v>
      </c>
      <c r="G133" s="97" t="n">
        <v>46271.5168071875</v>
      </c>
      <c r="H133" s="97" t="s">
        <v>680</v>
      </c>
      <c r="I133" s="97" t="s">
        <v>1312</v>
      </c>
      <c r="J133" s="97" t="s">
        <v>1209</v>
      </c>
      <c r="K133" s="99" t="s">
        <v>990</v>
      </c>
      <c r="L133" s="98" t="s">
        <v>1030</v>
      </c>
      <c r="M133" s="98" t="s">
        <v>1030</v>
      </c>
      <c r="N133" s="98" t="s">
        <v>1031</v>
      </c>
      <c r="O133" s="98" t="s">
        <v>677</v>
      </c>
      <c r="P133" s="98" t="s">
        <v>1255</v>
      </c>
      <c r="Q133" s="98" t="s">
        <v>811</v>
      </c>
      <c r="R133" s="98" t="s">
        <v>1256</v>
      </c>
      <c r="S133" s="98" t="s">
        <v>681</v>
      </c>
    </row>
    <row r="134" customFormat="false" ht="55" hidden="false" customHeight="true" outlineLevel="0" collapsed="false">
      <c r="C134" s="96" t="s">
        <v>1043</v>
      </c>
      <c r="D134" s="97" t="s">
        <v>679</v>
      </c>
      <c r="E134" s="97" t="s">
        <v>1044</v>
      </c>
      <c r="F134" s="97" t="n">
        <v>46270.748424375</v>
      </c>
      <c r="G134" s="97" t="n">
        <v>46271.5168071875</v>
      </c>
      <c r="H134" s="97" t="s">
        <v>680</v>
      </c>
      <c r="I134" s="97" t="s">
        <v>1312</v>
      </c>
      <c r="J134" s="97" t="s">
        <v>1209</v>
      </c>
      <c r="K134" s="99" t="s">
        <v>992</v>
      </c>
      <c r="L134" s="98" t="s">
        <v>1046</v>
      </c>
      <c r="M134" s="98" t="s">
        <v>1046</v>
      </c>
      <c r="N134" s="98" t="s">
        <v>1031</v>
      </c>
      <c r="O134" s="98" t="s">
        <v>677</v>
      </c>
      <c r="P134" s="98" t="s">
        <v>1263</v>
      </c>
      <c r="Q134" s="98" t="s">
        <v>811</v>
      </c>
      <c r="R134" s="98" t="s">
        <v>1264</v>
      </c>
      <c r="S134" s="98" t="s">
        <v>681</v>
      </c>
    </row>
    <row r="135" customFormat="false" ht="55" hidden="false" customHeight="true" outlineLevel="0" collapsed="false">
      <c r="C135" s="96" t="s">
        <v>1043</v>
      </c>
      <c r="D135" s="97" t="s">
        <v>679</v>
      </c>
      <c r="E135" s="97" t="s">
        <v>1044</v>
      </c>
      <c r="F135" s="97" t="n">
        <v>46270.748424375</v>
      </c>
      <c r="G135" s="97" t="n">
        <v>46271.5168071875</v>
      </c>
      <c r="H135" s="97" t="s">
        <v>680</v>
      </c>
      <c r="I135" s="97" t="s">
        <v>1312</v>
      </c>
      <c r="J135" s="97" t="s">
        <v>1209</v>
      </c>
      <c r="K135" s="99" t="s">
        <v>992</v>
      </c>
      <c r="L135" s="98" t="s">
        <v>1030</v>
      </c>
      <c r="M135" s="98" t="s">
        <v>1030</v>
      </c>
      <c r="N135" s="98" t="s">
        <v>1031</v>
      </c>
      <c r="O135" s="98" t="s">
        <v>677</v>
      </c>
      <c r="P135" s="98" t="s">
        <v>1259</v>
      </c>
      <c r="Q135" s="98" t="s">
        <v>811</v>
      </c>
      <c r="R135" s="98" t="s">
        <v>1260</v>
      </c>
      <c r="S135" s="98" t="s">
        <v>681</v>
      </c>
    </row>
    <row r="136" customFormat="false" ht="55" hidden="false" customHeight="true" outlineLevel="0" collapsed="false">
      <c r="C136" s="96" t="s">
        <v>1043</v>
      </c>
      <c r="D136" s="97" t="s">
        <v>679</v>
      </c>
      <c r="E136" s="97" t="s">
        <v>1044</v>
      </c>
      <c r="F136" s="97" t="n">
        <v>46270.748424375</v>
      </c>
      <c r="G136" s="97" t="n">
        <v>46271.5168071875</v>
      </c>
      <c r="H136" s="97" t="s">
        <v>680</v>
      </c>
      <c r="I136" s="97" t="s">
        <v>1312</v>
      </c>
      <c r="J136" s="97" t="s">
        <v>1209</v>
      </c>
      <c r="K136" s="99" t="s">
        <v>993</v>
      </c>
      <c r="L136" s="98" t="s">
        <v>1046</v>
      </c>
      <c r="M136" s="98" t="s">
        <v>1046</v>
      </c>
      <c r="N136" s="98" t="s">
        <v>1031</v>
      </c>
      <c r="O136" s="98" t="s">
        <v>677</v>
      </c>
      <c r="P136" s="98" t="s">
        <v>1319</v>
      </c>
      <c r="Q136" s="98" t="s">
        <v>811</v>
      </c>
      <c r="R136" s="98" t="s">
        <v>1320</v>
      </c>
      <c r="S136" s="98" t="s">
        <v>681</v>
      </c>
    </row>
    <row r="137" customFormat="false" ht="55" hidden="false" customHeight="true" outlineLevel="0" collapsed="false">
      <c r="C137" s="96" t="s">
        <v>1043</v>
      </c>
      <c r="D137" s="97" t="s">
        <v>679</v>
      </c>
      <c r="E137" s="97" t="s">
        <v>1044</v>
      </c>
      <c r="F137" s="97" t="n">
        <v>46270.748424375</v>
      </c>
      <c r="G137" s="97" t="n">
        <v>46271.5168071875</v>
      </c>
      <c r="H137" s="97" t="s">
        <v>680</v>
      </c>
      <c r="I137" s="97" t="s">
        <v>1312</v>
      </c>
      <c r="J137" s="97" t="s">
        <v>1209</v>
      </c>
      <c r="K137" s="99" t="s">
        <v>993</v>
      </c>
      <c r="L137" s="98" t="s">
        <v>1030</v>
      </c>
      <c r="M137" s="98" t="s">
        <v>1030</v>
      </c>
      <c r="N137" s="98" t="s">
        <v>1031</v>
      </c>
      <c r="O137" s="98" t="s">
        <v>677</v>
      </c>
      <c r="P137" s="98" t="s">
        <v>1263</v>
      </c>
      <c r="Q137" s="98" t="s">
        <v>811</v>
      </c>
      <c r="R137" s="98" t="s">
        <v>1264</v>
      </c>
      <c r="S137" s="98" t="s">
        <v>681</v>
      </c>
    </row>
    <row r="138" customFormat="false" ht="55" hidden="false" customHeight="true" outlineLevel="0" collapsed="false">
      <c r="C138" s="96" t="s">
        <v>1043</v>
      </c>
      <c r="D138" s="97" t="s">
        <v>679</v>
      </c>
      <c r="E138" s="97" t="s">
        <v>1044</v>
      </c>
      <c r="F138" s="97" t="n">
        <v>46270.748424375</v>
      </c>
      <c r="G138" s="97" t="n">
        <v>46271.5168071875</v>
      </c>
      <c r="H138" s="97" t="s">
        <v>680</v>
      </c>
      <c r="I138" s="97" t="s">
        <v>1321</v>
      </c>
      <c r="J138" s="97" t="s">
        <v>1209</v>
      </c>
      <c r="K138" s="99" t="s">
        <v>1266</v>
      </c>
      <c r="L138" s="98" t="s">
        <v>1046</v>
      </c>
      <c r="M138" s="98" t="s">
        <v>1046</v>
      </c>
      <c r="N138" s="98" t="s">
        <v>1031</v>
      </c>
      <c r="O138" s="98" t="s">
        <v>677</v>
      </c>
      <c r="P138" s="98" t="s">
        <v>1322</v>
      </c>
      <c r="Q138" s="98" t="s">
        <v>811</v>
      </c>
      <c r="R138" s="98" t="s">
        <v>1323</v>
      </c>
      <c r="S138" s="98" t="s">
        <v>681</v>
      </c>
    </row>
    <row r="139" customFormat="false" ht="55" hidden="false" customHeight="true" outlineLevel="0" collapsed="false">
      <c r="C139" s="96" t="s">
        <v>1043</v>
      </c>
      <c r="D139" s="97" t="s">
        <v>679</v>
      </c>
      <c r="E139" s="97" t="s">
        <v>1044</v>
      </c>
      <c r="F139" s="97" t="n">
        <v>46270.748424375</v>
      </c>
      <c r="G139" s="97" t="n">
        <v>46271.5168071875</v>
      </c>
      <c r="H139" s="97" t="s">
        <v>680</v>
      </c>
      <c r="I139" s="97" t="s">
        <v>1321</v>
      </c>
      <c r="J139" s="97" t="s">
        <v>1209</v>
      </c>
      <c r="K139" s="99" t="s">
        <v>1266</v>
      </c>
      <c r="L139" s="98" t="s">
        <v>1030</v>
      </c>
      <c r="M139" s="98" t="s">
        <v>1030</v>
      </c>
      <c r="N139" s="98" t="s">
        <v>1031</v>
      </c>
      <c r="O139" s="98" t="s">
        <v>677</v>
      </c>
      <c r="P139" s="98" t="s">
        <v>1267</v>
      </c>
      <c r="Q139" s="98" t="s">
        <v>811</v>
      </c>
      <c r="R139" s="98" t="s">
        <v>1268</v>
      </c>
      <c r="S139" s="98" t="s">
        <v>681</v>
      </c>
    </row>
    <row r="140" customFormat="false" ht="55" hidden="false" customHeight="true" outlineLevel="0" collapsed="false">
      <c r="C140" s="96" t="s">
        <v>1043</v>
      </c>
      <c r="D140" s="97" t="s">
        <v>679</v>
      </c>
      <c r="E140" s="97" t="s">
        <v>1044</v>
      </c>
      <c r="F140" s="97" t="n">
        <v>46270.748424375</v>
      </c>
      <c r="G140" s="97" t="n">
        <v>46271.5168071875</v>
      </c>
      <c r="H140" s="97" t="s">
        <v>680</v>
      </c>
      <c r="I140" s="97" t="s">
        <v>1321</v>
      </c>
      <c r="J140" s="97" t="s">
        <v>1209</v>
      </c>
      <c r="K140" s="99" t="s">
        <v>1271</v>
      </c>
      <c r="L140" s="98" t="s">
        <v>1046</v>
      </c>
      <c r="M140" s="98" t="s">
        <v>1046</v>
      </c>
      <c r="N140" s="98" t="s">
        <v>1031</v>
      </c>
      <c r="O140" s="98" t="s">
        <v>677</v>
      </c>
      <c r="P140" s="98" t="s">
        <v>1324</v>
      </c>
      <c r="Q140" s="98" t="s">
        <v>811</v>
      </c>
      <c r="R140" s="98" t="s">
        <v>1325</v>
      </c>
      <c r="S140" s="98" t="s">
        <v>681</v>
      </c>
    </row>
    <row r="141" customFormat="false" ht="55" hidden="false" customHeight="true" outlineLevel="0" collapsed="false">
      <c r="C141" s="96" t="s">
        <v>1043</v>
      </c>
      <c r="D141" s="97" t="s">
        <v>679</v>
      </c>
      <c r="E141" s="97" t="s">
        <v>1044</v>
      </c>
      <c r="F141" s="97" t="n">
        <v>46270.748424375</v>
      </c>
      <c r="G141" s="97" t="n">
        <v>46271.5168071875</v>
      </c>
      <c r="H141" s="97" t="s">
        <v>680</v>
      </c>
      <c r="I141" s="97" t="s">
        <v>1321</v>
      </c>
      <c r="J141" s="97" t="s">
        <v>1209</v>
      </c>
      <c r="K141" s="99" t="s">
        <v>1271</v>
      </c>
      <c r="L141" s="98" t="s">
        <v>1030</v>
      </c>
      <c r="M141" s="98" t="s">
        <v>1030</v>
      </c>
      <c r="N141" s="98" t="s">
        <v>1031</v>
      </c>
      <c r="O141" s="98" t="s">
        <v>677</v>
      </c>
      <c r="P141" s="98" t="s">
        <v>1272</v>
      </c>
      <c r="Q141" s="98" t="s">
        <v>811</v>
      </c>
      <c r="R141" s="98" t="s">
        <v>1273</v>
      </c>
      <c r="S141" s="98" t="s">
        <v>681</v>
      </c>
    </row>
    <row r="142" customFormat="false" ht="55" hidden="false" customHeight="true" outlineLevel="0" collapsed="false">
      <c r="C142" s="96" t="s">
        <v>1043</v>
      </c>
      <c r="D142" s="97" t="s">
        <v>679</v>
      </c>
      <c r="E142" s="97" t="s">
        <v>1044</v>
      </c>
      <c r="F142" s="97" t="n">
        <v>46270.748424375</v>
      </c>
      <c r="G142" s="97" t="n">
        <v>46271.5168071875</v>
      </c>
      <c r="H142" s="97" t="s">
        <v>680</v>
      </c>
      <c r="I142" s="97" t="s">
        <v>1326</v>
      </c>
      <c r="J142" s="97" t="s">
        <v>1209</v>
      </c>
      <c r="K142" s="99" t="s">
        <v>1277</v>
      </c>
      <c r="L142" s="98" t="s">
        <v>1046</v>
      </c>
      <c r="M142" s="98" t="s">
        <v>1046</v>
      </c>
      <c r="N142" s="98" t="s">
        <v>1031</v>
      </c>
      <c r="O142" s="98" t="s">
        <v>677</v>
      </c>
      <c r="P142" s="98" t="s">
        <v>1327</v>
      </c>
      <c r="Q142" s="98" t="s">
        <v>811</v>
      </c>
      <c r="R142" s="98" t="s">
        <v>1328</v>
      </c>
      <c r="S142" s="98" t="s">
        <v>681</v>
      </c>
    </row>
    <row r="143" customFormat="false" ht="55" hidden="false" customHeight="true" outlineLevel="0" collapsed="false">
      <c r="C143" s="96" t="s">
        <v>1043</v>
      </c>
      <c r="D143" s="97" t="s">
        <v>679</v>
      </c>
      <c r="E143" s="97" t="s">
        <v>1044</v>
      </c>
      <c r="F143" s="97" t="n">
        <v>46270.748424375</v>
      </c>
      <c r="G143" s="97" t="n">
        <v>46271.5168071875</v>
      </c>
      <c r="H143" s="97" t="s">
        <v>680</v>
      </c>
      <c r="I143" s="97" t="s">
        <v>1326</v>
      </c>
      <c r="J143" s="97" t="s">
        <v>1209</v>
      </c>
      <c r="K143" s="99" t="s">
        <v>1277</v>
      </c>
      <c r="L143" s="98" t="s">
        <v>1030</v>
      </c>
      <c r="M143" s="98" t="s">
        <v>1030</v>
      </c>
      <c r="N143" s="98" t="s">
        <v>1031</v>
      </c>
      <c r="O143" s="98" t="s">
        <v>677</v>
      </c>
      <c r="P143" s="98" t="s">
        <v>1278</v>
      </c>
      <c r="Q143" s="98" t="s">
        <v>811</v>
      </c>
      <c r="R143" s="98" t="s">
        <v>1279</v>
      </c>
      <c r="S143" s="98" t="s">
        <v>681</v>
      </c>
    </row>
    <row r="144" customFormat="false" ht="55" hidden="false" customHeight="true" outlineLevel="0" collapsed="false">
      <c r="C144" s="96" t="s">
        <v>1043</v>
      </c>
      <c r="D144" s="97" t="s">
        <v>679</v>
      </c>
      <c r="E144" s="97" t="s">
        <v>1044</v>
      </c>
      <c r="F144" s="97" t="n">
        <v>46270.748424375</v>
      </c>
      <c r="G144" s="97" t="n">
        <v>46271.5168071875</v>
      </c>
      <c r="H144" s="97" t="s">
        <v>680</v>
      </c>
      <c r="I144" s="97" t="s">
        <v>1326</v>
      </c>
      <c r="J144" s="97" t="s">
        <v>1209</v>
      </c>
      <c r="K144" s="99" t="s">
        <v>1282</v>
      </c>
      <c r="L144" s="98" t="s">
        <v>1046</v>
      </c>
      <c r="M144" s="98" t="s">
        <v>1046</v>
      </c>
      <c r="N144" s="98" t="s">
        <v>1031</v>
      </c>
      <c r="O144" s="98" t="s">
        <v>677</v>
      </c>
      <c r="P144" s="98" t="s">
        <v>1329</v>
      </c>
      <c r="Q144" s="98" t="s">
        <v>811</v>
      </c>
      <c r="R144" s="98" t="s">
        <v>1330</v>
      </c>
      <c r="S144" s="98" t="s">
        <v>681</v>
      </c>
    </row>
    <row r="145" customFormat="false" ht="55" hidden="false" customHeight="true" outlineLevel="0" collapsed="false">
      <c r="C145" s="96" t="s">
        <v>1043</v>
      </c>
      <c r="D145" s="97" t="s">
        <v>679</v>
      </c>
      <c r="E145" s="97" t="s">
        <v>1044</v>
      </c>
      <c r="F145" s="97" t="n">
        <v>46270.748424375</v>
      </c>
      <c r="G145" s="97" t="n">
        <v>46271.5168071875</v>
      </c>
      <c r="H145" s="97" t="s">
        <v>680</v>
      </c>
      <c r="I145" s="97" t="s">
        <v>1326</v>
      </c>
      <c r="J145" s="97" t="s">
        <v>1209</v>
      </c>
      <c r="K145" s="99" t="s">
        <v>1282</v>
      </c>
      <c r="L145" s="98" t="s">
        <v>1030</v>
      </c>
      <c r="M145" s="98" t="s">
        <v>1030</v>
      </c>
      <c r="N145" s="98" t="s">
        <v>1031</v>
      </c>
      <c r="O145" s="98" t="s">
        <v>677</v>
      </c>
      <c r="P145" s="98" t="s">
        <v>1283</v>
      </c>
      <c r="Q145" s="98" t="s">
        <v>811</v>
      </c>
      <c r="R145" s="98" t="s">
        <v>1284</v>
      </c>
      <c r="S145" s="98" t="s">
        <v>681</v>
      </c>
    </row>
    <row r="146" customFormat="false" ht="55" hidden="false" customHeight="true" outlineLevel="0" collapsed="false">
      <c r="C146" s="96" t="s">
        <v>1043</v>
      </c>
      <c r="D146" s="97" t="s">
        <v>679</v>
      </c>
      <c r="E146" s="97" t="s">
        <v>1044</v>
      </c>
      <c r="F146" s="97" t="n">
        <v>46270.748424375</v>
      </c>
      <c r="G146" s="97" t="n">
        <v>46271.5168071875</v>
      </c>
      <c r="H146" s="97" t="s">
        <v>680</v>
      </c>
      <c r="I146" s="97" t="s">
        <v>1321</v>
      </c>
      <c r="J146" s="97" t="s">
        <v>1209</v>
      </c>
      <c r="K146" s="99" t="s">
        <v>898</v>
      </c>
      <c r="L146" s="98" t="s">
        <v>1046</v>
      </c>
      <c r="M146" s="98" t="s">
        <v>1046</v>
      </c>
      <c r="N146" s="98" t="s">
        <v>1031</v>
      </c>
      <c r="O146" s="98" t="s">
        <v>677</v>
      </c>
      <c r="P146" s="98" t="s">
        <v>1331</v>
      </c>
      <c r="Q146" s="98" t="s">
        <v>811</v>
      </c>
      <c r="R146" s="98" t="s">
        <v>1332</v>
      </c>
      <c r="S146" s="98" t="s">
        <v>681</v>
      </c>
    </row>
    <row r="147" customFormat="false" ht="55" hidden="false" customHeight="true" outlineLevel="0" collapsed="false">
      <c r="C147" s="96" t="s">
        <v>1043</v>
      </c>
      <c r="D147" s="97" t="s">
        <v>679</v>
      </c>
      <c r="E147" s="97" t="s">
        <v>1044</v>
      </c>
      <c r="F147" s="97" t="n">
        <v>46270.748424375</v>
      </c>
      <c r="G147" s="97" t="n">
        <v>46271.5168071875</v>
      </c>
      <c r="H147" s="97" t="s">
        <v>680</v>
      </c>
      <c r="I147" s="97" t="s">
        <v>1321</v>
      </c>
      <c r="J147" s="97" t="s">
        <v>1209</v>
      </c>
      <c r="K147" s="99" t="s">
        <v>898</v>
      </c>
      <c r="L147" s="98" t="s">
        <v>1030</v>
      </c>
      <c r="M147" s="98" t="s">
        <v>1030</v>
      </c>
      <c r="N147" s="98" t="s">
        <v>1031</v>
      </c>
      <c r="O147" s="98" t="s">
        <v>677</v>
      </c>
      <c r="P147" s="98" t="s">
        <v>1287</v>
      </c>
      <c r="Q147" s="98" t="s">
        <v>811</v>
      </c>
      <c r="R147" s="98" t="s">
        <v>1288</v>
      </c>
      <c r="S147" s="98" t="s">
        <v>681</v>
      </c>
    </row>
    <row r="148" customFormat="false" ht="55" hidden="false" customHeight="true" outlineLevel="0" collapsed="false">
      <c r="C148" s="96" t="s">
        <v>1043</v>
      </c>
      <c r="D148" s="97" t="s">
        <v>679</v>
      </c>
      <c r="E148" s="97" t="s">
        <v>1044</v>
      </c>
      <c r="F148" s="97" t="n">
        <v>46270.748424375</v>
      </c>
      <c r="G148" s="97" t="n">
        <v>46271.5168071875</v>
      </c>
      <c r="H148" s="97" t="s">
        <v>680</v>
      </c>
      <c r="I148" s="97" t="s">
        <v>1321</v>
      </c>
      <c r="J148" s="97" t="s">
        <v>1209</v>
      </c>
      <c r="K148" s="99" t="s">
        <v>922</v>
      </c>
      <c r="L148" s="98" t="s">
        <v>1046</v>
      </c>
      <c r="M148" s="98" t="s">
        <v>1046</v>
      </c>
      <c r="N148" s="98" t="s">
        <v>1031</v>
      </c>
      <c r="O148" s="98" t="s">
        <v>677</v>
      </c>
      <c r="P148" s="98" t="s">
        <v>1333</v>
      </c>
      <c r="Q148" s="98" t="s">
        <v>811</v>
      </c>
      <c r="R148" s="98" t="s">
        <v>1334</v>
      </c>
      <c r="S148" s="98" t="s">
        <v>681</v>
      </c>
    </row>
    <row r="149" customFormat="false" ht="55" hidden="false" customHeight="true" outlineLevel="0" collapsed="false">
      <c r="C149" s="96" t="s">
        <v>1043</v>
      </c>
      <c r="D149" s="97" t="s">
        <v>679</v>
      </c>
      <c r="E149" s="97" t="s">
        <v>1044</v>
      </c>
      <c r="F149" s="97" t="n">
        <v>46270.748424375</v>
      </c>
      <c r="G149" s="97" t="n">
        <v>46271.5168071875</v>
      </c>
      <c r="H149" s="97" t="s">
        <v>680</v>
      </c>
      <c r="I149" s="97" t="s">
        <v>1321</v>
      </c>
      <c r="J149" s="97" t="s">
        <v>1209</v>
      </c>
      <c r="K149" s="99" t="s">
        <v>922</v>
      </c>
      <c r="L149" s="98" t="s">
        <v>1030</v>
      </c>
      <c r="M149" s="98" t="s">
        <v>1030</v>
      </c>
      <c r="N149" s="98" t="s">
        <v>1031</v>
      </c>
      <c r="O149" s="98" t="s">
        <v>677</v>
      </c>
      <c r="P149" s="98" t="s">
        <v>1291</v>
      </c>
      <c r="Q149" s="98" t="s">
        <v>811</v>
      </c>
      <c r="R149" s="98" t="s">
        <v>1292</v>
      </c>
      <c r="S149" s="98" t="s">
        <v>681</v>
      </c>
    </row>
    <row r="150" customFormat="false" ht="55" hidden="false" customHeight="true" outlineLevel="0" collapsed="false">
      <c r="C150" s="96" t="s">
        <v>1051</v>
      </c>
      <c r="D150" s="97" t="s">
        <v>1052</v>
      </c>
      <c r="E150" s="97" t="s">
        <v>1053</v>
      </c>
      <c r="F150" s="97" t="n">
        <v>46270.7484272454</v>
      </c>
      <c r="G150" s="97" t="n">
        <v>46271.5167540857</v>
      </c>
      <c r="H150" s="97" t="s">
        <v>1054</v>
      </c>
      <c r="I150" s="97" t="s">
        <v>1335</v>
      </c>
      <c r="J150" s="97" t="s">
        <v>1209</v>
      </c>
      <c r="K150" s="99" t="s">
        <v>1210</v>
      </c>
      <c r="L150" s="98" t="s">
        <v>1056</v>
      </c>
      <c r="M150" s="98" t="s">
        <v>1056</v>
      </c>
      <c r="N150" s="98" t="s">
        <v>1031</v>
      </c>
      <c r="O150" s="98" t="s">
        <v>677</v>
      </c>
      <c r="P150" s="98" t="s">
        <v>1336</v>
      </c>
      <c r="Q150" s="98" t="s">
        <v>811</v>
      </c>
      <c r="R150" s="98" t="s">
        <v>1337</v>
      </c>
      <c r="S150" s="98" t="s">
        <v>1059</v>
      </c>
    </row>
    <row r="151" customFormat="false" ht="55" hidden="false" customHeight="true" outlineLevel="0" collapsed="false">
      <c r="C151" s="96" t="s">
        <v>1051</v>
      </c>
      <c r="D151" s="97" t="s">
        <v>1052</v>
      </c>
      <c r="E151" s="97" t="s">
        <v>1053</v>
      </c>
      <c r="F151" s="97" t="n">
        <v>46270.7484272454</v>
      </c>
      <c r="G151" s="97" t="n">
        <v>46271.5167540857</v>
      </c>
      <c r="H151" s="97" t="s">
        <v>1054</v>
      </c>
      <c r="I151" s="97" t="s">
        <v>1335</v>
      </c>
      <c r="J151" s="97" t="s">
        <v>1209</v>
      </c>
      <c r="K151" s="99" t="s">
        <v>1210</v>
      </c>
      <c r="L151" s="98" t="s">
        <v>1060</v>
      </c>
      <c r="M151" s="98" t="s">
        <v>1060</v>
      </c>
      <c r="N151" s="98" t="s">
        <v>1031</v>
      </c>
      <c r="O151" s="98" t="s">
        <v>677</v>
      </c>
      <c r="P151" s="98" t="s">
        <v>1338</v>
      </c>
      <c r="Q151" s="98" t="s">
        <v>811</v>
      </c>
      <c r="R151" s="98" t="s">
        <v>1339</v>
      </c>
      <c r="S151" s="98" t="s">
        <v>1059</v>
      </c>
    </row>
    <row r="152" customFormat="false" ht="55" hidden="false" customHeight="true" outlineLevel="0" collapsed="false">
      <c r="C152" s="96" t="s">
        <v>1051</v>
      </c>
      <c r="D152" s="97" t="s">
        <v>1052</v>
      </c>
      <c r="E152" s="97" t="s">
        <v>1053</v>
      </c>
      <c r="F152" s="97" t="n">
        <v>46270.7484272454</v>
      </c>
      <c r="G152" s="97" t="n">
        <v>46271.5167540857</v>
      </c>
      <c r="H152" s="97" t="s">
        <v>1054</v>
      </c>
      <c r="I152" s="97" t="s">
        <v>1340</v>
      </c>
      <c r="J152" s="97" t="s">
        <v>1209</v>
      </c>
      <c r="K152" s="99" t="s">
        <v>1216</v>
      </c>
      <c r="L152" s="98" t="s">
        <v>1056</v>
      </c>
      <c r="M152" s="98" t="s">
        <v>1056</v>
      </c>
      <c r="N152" s="98" t="s">
        <v>1031</v>
      </c>
      <c r="O152" s="98" t="s">
        <v>677</v>
      </c>
      <c r="P152" s="98" t="s">
        <v>1341</v>
      </c>
      <c r="Q152" s="98" t="s">
        <v>811</v>
      </c>
      <c r="R152" s="98" t="s">
        <v>1342</v>
      </c>
      <c r="S152" s="98" t="s">
        <v>1059</v>
      </c>
    </row>
    <row r="153" customFormat="false" ht="55" hidden="false" customHeight="true" outlineLevel="0" collapsed="false">
      <c r="C153" s="96" t="s">
        <v>1051</v>
      </c>
      <c r="D153" s="97" t="s">
        <v>1052</v>
      </c>
      <c r="E153" s="97" t="s">
        <v>1053</v>
      </c>
      <c r="F153" s="97" t="n">
        <v>46270.7484272454</v>
      </c>
      <c r="G153" s="97" t="n">
        <v>46271.5167540857</v>
      </c>
      <c r="H153" s="97" t="s">
        <v>1054</v>
      </c>
      <c r="I153" s="97" t="s">
        <v>1340</v>
      </c>
      <c r="J153" s="97" t="s">
        <v>1209</v>
      </c>
      <c r="K153" s="99" t="s">
        <v>1216</v>
      </c>
      <c r="L153" s="98" t="s">
        <v>1060</v>
      </c>
      <c r="M153" s="98" t="s">
        <v>1060</v>
      </c>
      <c r="N153" s="98" t="s">
        <v>1031</v>
      </c>
      <c r="O153" s="98" t="s">
        <v>677</v>
      </c>
      <c r="P153" s="98" t="s">
        <v>1343</v>
      </c>
      <c r="Q153" s="98" t="s">
        <v>811</v>
      </c>
      <c r="R153" s="98" t="s">
        <v>1344</v>
      </c>
      <c r="S153" s="98" t="s">
        <v>1059</v>
      </c>
    </row>
    <row r="154" customFormat="false" ht="55" hidden="false" customHeight="true" outlineLevel="0" collapsed="false">
      <c r="C154" s="96" t="s">
        <v>1051</v>
      </c>
      <c r="D154" s="97" t="s">
        <v>1052</v>
      </c>
      <c r="E154" s="97" t="s">
        <v>1053</v>
      </c>
      <c r="F154" s="97" t="n">
        <v>46270.7484272454</v>
      </c>
      <c r="G154" s="97" t="n">
        <v>46271.5167540857</v>
      </c>
      <c r="H154" s="97" t="s">
        <v>1054</v>
      </c>
      <c r="I154" s="97" t="s">
        <v>1340</v>
      </c>
      <c r="J154" s="97" t="s">
        <v>1209</v>
      </c>
      <c r="K154" s="99" t="s">
        <v>1221</v>
      </c>
      <c r="L154" s="98" t="s">
        <v>1056</v>
      </c>
      <c r="M154" s="98" t="s">
        <v>1056</v>
      </c>
      <c r="N154" s="98" t="s">
        <v>1031</v>
      </c>
      <c r="O154" s="98" t="s">
        <v>677</v>
      </c>
      <c r="P154" s="98" t="s">
        <v>1345</v>
      </c>
      <c r="Q154" s="98" t="s">
        <v>811</v>
      </c>
      <c r="R154" s="98" t="s">
        <v>1346</v>
      </c>
      <c r="S154" s="98" t="s">
        <v>1059</v>
      </c>
    </row>
    <row r="155" customFormat="false" ht="55" hidden="false" customHeight="true" outlineLevel="0" collapsed="false">
      <c r="C155" s="96" t="s">
        <v>1051</v>
      </c>
      <c r="D155" s="97" t="s">
        <v>1052</v>
      </c>
      <c r="E155" s="97" t="s">
        <v>1053</v>
      </c>
      <c r="F155" s="97" t="n">
        <v>46270.7484272454</v>
      </c>
      <c r="G155" s="97" t="n">
        <v>46271.5167540857</v>
      </c>
      <c r="H155" s="97" t="s">
        <v>1054</v>
      </c>
      <c r="I155" s="97" t="s">
        <v>1340</v>
      </c>
      <c r="J155" s="97" t="s">
        <v>1209</v>
      </c>
      <c r="K155" s="99" t="s">
        <v>1221</v>
      </c>
      <c r="L155" s="98" t="s">
        <v>1060</v>
      </c>
      <c r="M155" s="98" t="s">
        <v>1060</v>
      </c>
      <c r="N155" s="98" t="s">
        <v>1031</v>
      </c>
      <c r="O155" s="98" t="s">
        <v>677</v>
      </c>
      <c r="P155" s="98" t="s">
        <v>1347</v>
      </c>
      <c r="Q155" s="98" t="s">
        <v>811</v>
      </c>
      <c r="R155" s="98" t="s">
        <v>1348</v>
      </c>
      <c r="S155" s="98" t="s">
        <v>1059</v>
      </c>
    </row>
    <row r="156" customFormat="false" ht="55" hidden="false" customHeight="true" outlineLevel="0" collapsed="false">
      <c r="C156" s="96" t="s">
        <v>1051</v>
      </c>
      <c r="D156" s="97" t="s">
        <v>1052</v>
      </c>
      <c r="E156" s="97" t="s">
        <v>1053</v>
      </c>
      <c r="F156" s="97" t="n">
        <v>46270.7484272454</v>
      </c>
      <c r="G156" s="97" t="n">
        <v>46271.5167540857</v>
      </c>
      <c r="H156" s="97" t="s">
        <v>1054</v>
      </c>
      <c r="I156" s="97" t="s">
        <v>1340</v>
      </c>
      <c r="J156" s="97" t="s">
        <v>1209</v>
      </c>
      <c r="K156" s="99" t="s">
        <v>1226</v>
      </c>
      <c r="L156" s="98" t="s">
        <v>1056</v>
      </c>
      <c r="M156" s="98" t="s">
        <v>1056</v>
      </c>
      <c r="N156" s="98" t="s">
        <v>1031</v>
      </c>
      <c r="O156" s="98" t="s">
        <v>677</v>
      </c>
      <c r="P156" s="98" t="s">
        <v>1349</v>
      </c>
      <c r="Q156" s="98" t="s">
        <v>811</v>
      </c>
      <c r="R156" s="98" t="s">
        <v>1350</v>
      </c>
      <c r="S156" s="98" t="s">
        <v>1059</v>
      </c>
    </row>
    <row r="157" customFormat="false" ht="55" hidden="false" customHeight="true" outlineLevel="0" collapsed="false">
      <c r="C157" s="96" t="s">
        <v>1051</v>
      </c>
      <c r="D157" s="97" t="s">
        <v>1052</v>
      </c>
      <c r="E157" s="97" t="s">
        <v>1053</v>
      </c>
      <c r="F157" s="97" t="n">
        <v>46270.7484272454</v>
      </c>
      <c r="G157" s="97" t="n">
        <v>46271.5167540857</v>
      </c>
      <c r="H157" s="97" t="s">
        <v>1054</v>
      </c>
      <c r="I157" s="97" t="s">
        <v>1340</v>
      </c>
      <c r="J157" s="97" t="s">
        <v>1209</v>
      </c>
      <c r="K157" s="99" t="s">
        <v>1226</v>
      </c>
      <c r="L157" s="98" t="s">
        <v>1060</v>
      </c>
      <c r="M157" s="98" t="s">
        <v>1060</v>
      </c>
      <c r="N157" s="98" t="s">
        <v>1031</v>
      </c>
      <c r="O157" s="98" t="s">
        <v>677</v>
      </c>
      <c r="P157" s="98" t="s">
        <v>1351</v>
      </c>
      <c r="Q157" s="98" t="s">
        <v>811</v>
      </c>
      <c r="R157" s="98" t="s">
        <v>1352</v>
      </c>
      <c r="S157" s="98" t="s">
        <v>1059</v>
      </c>
    </row>
    <row r="158" customFormat="false" ht="55" hidden="false" customHeight="true" outlineLevel="0" collapsed="false">
      <c r="C158" s="96" t="s">
        <v>1051</v>
      </c>
      <c r="D158" s="97" t="s">
        <v>1052</v>
      </c>
      <c r="E158" s="97" t="s">
        <v>1053</v>
      </c>
      <c r="F158" s="97" t="n">
        <v>46270.7484272454</v>
      </c>
      <c r="G158" s="97" t="n">
        <v>46271.5167540857</v>
      </c>
      <c r="H158" s="97" t="s">
        <v>1054</v>
      </c>
      <c r="I158" s="97" t="s">
        <v>1340</v>
      </c>
      <c r="J158" s="97" t="s">
        <v>1209</v>
      </c>
      <c r="K158" s="97" t="s">
        <v>1231</v>
      </c>
      <c r="L158" s="98" t="s">
        <v>1056</v>
      </c>
      <c r="M158" s="98" t="s">
        <v>1056</v>
      </c>
      <c r="N158" s="98" t="s">
        <v>1031</v>
      </c>
      <c r="O158" s="98" t="s">
        <v>677</v>
      </c>
      <c r="P158" s="98" t="s">
        <v>1353</v>
      </c>
      <c r="Q158" s="98" t="s">
        <v>811</v>
      </c>
      <c r="R158" s="98" t="s">
        <v>1354</v>
      </c>
      <c r="S158" s="98" t="s">
        <v>1059</v>
      </c>
    </row>
    <row r="159" customFormat="false" ht="55" hidden="false" customHeight="true" outlineLevel="0" collapsed="false">
      <c r="C159" s="96" t="s">
        <v>1051</v>
      </c>
      <c r="D159" s="97" t="s">
        <v>1052</v>
      </c>
      <c r="E159" s="97" t="s">
        <v>1053</v>
      </c>
      <c r="F159" s="97" t="n">
        <v>46270.7484272454</v>
      </c>
      <c r="G159" s="97" t="n">
        <v>46271.5167540857</v>
      </c>
      <c r="H159" s="97" t="s">
        <v>1054</v>
      </c>
      <c r="I159" s="97" t="s">
        <v>1340</v>
      </c>
      <c r="J159" s="97" t="s">
        <v>1209</v>
      </c>
      <c r="K159" s="97" t="s">
        <v>1231</v>
      </c>
      <c r="L159" s="98" t="s">
        <v>1060</v>
      </c>
      <c r="M159" s="98" t="s">
        <v>1060</v>
      </c>
      <c r="N159" s="98" t="s">
        <v>1031</v>
      </c>
      <c r="O159" s="98" t="s">
        <v>677</v>
      </c>
      <c r="P159" s="98" t="s">
        <v>1355</v>
      </c>
      <c r="Q159" s="98" t="s">
        <v>811</v>
      </c>
      <c r="R159" s="98" t="s">
        <v>1356</v>
      </c>
      <c r="S159" s="98" t="s">
        <v>1059</v>
      </c>
    </row>
    <row r="160" customFormat="false" ht="55" hidden="false" customHeight="true" outlineLevel="0" collapsed="false">
      <c r="C160" s="96" t="s">
        <v>1051</v>
      </c>
      <c r="D160" s="97" t="s">
        <v>1052</v>
      </c>
      <c r="E160" s="97" t="s">
        <v>1053</v>
      </c>
      <c r="F160" s="97" t="n">
        <v>46270.7484272454</v>
      </c>
      <c r="G160" s="97" t="n">
        <v>46271.5167540857</v>
      </c>
      <c r="H160" s="97" t="s">
        <v>1054</v>
      </c>
      <c r="I160" s="97" t="s">
        <v>1340</v>
      </c>
      <c r="J160" s="97" t="s">
        <v>1209</v>
      </c>
      <c r="K160" s="97" t="s">
        <v>1236</v>
      </c>
      <c r="L160" s="98" t="s">
        <v>1056</v>
      </c>
      <c r="M160" s="98" t="s">
        <v>1056</v>
      </c>
      <c r="N160" s="98" t="s">
        <v>1031</v>
      </c>
      <c r="O160" s="98" t="s">
        <v>677</v>
      </c>
      <c r="P160" s="98" t="s">
        <v>1357</v>
      </c>
      <c r="Q160" s="98" t="s">
        <v>811</v>
      </c>
      <c r="R160" s="98" t="s">
        <v>1358</v>
      </c>
      <c r="S160" s="98" t="s">
        <v>1059</v>
      </c>
    </row>
    <row r="161" customFormat="false" ht="55" hidden="false" customHeight="true" outlineLevel="0" collapsed="false">
      <c r="C161" s="96" t="s">
        <v>1051</v>
      </c>
      <c r="D161" s="97" t="s">
        <v>1052</v>
      </c>
      <c r="E161" s="97" t="s">
        <v>1053</v>
      </c>
      <c r="F161" s="97" t="n">
        <v>46270.7484272454</v>
      </c>
      <c r="G161" s="97" t="n">
        <v>46271.5167540857</v>
      </c>
      <c r="H161" s="97" t="s">
        <v>1054</v>
      </c>
      <c r="I161" s="97" t="s">
        <v>1340</v>
      </c>
      <c r="J161" s="97" t="s">
        <v>1209</v>
      </c>
      <c r="K161" s="97" t="s">
        <v>1236</v>
      </c>
      <c r="L161" s="98" t="s">
        <v>1060</v>
      </c>
      <c r="M161" s="98" t="s">
        <v>1060</v>
      </c>
      <c r="N161" s="98" t="s">
        <v>1031</v>
      </c>
      <c r="O161" s="98" t="s">
        <v>677</v>
      </c>
      <c r="P161" s="98" t="s">
        <v>1359</v>
      </c>
      <c r="Q161" s="98" t="s">
        <v>811</v>
      </c>
      <c r="R161" s="98" t="s">
        <v>1360</v>
      </c>
      <c r="S161" s="98" t="s">
        <v>1059</v>
      </c>
    </row>
    <row r="162" customFormat="false" ht="55" hidden="false" customHeight="true" outlineLevel="0" collapsed="false">
      <c r="C162" s="96" t="s">
        <v>1051</v>
      </c>
      <c r="D162" s="97" t="s">
        <v>1052</v>
      </c>
      <c r="E162" s="97" t="s">
        <v>1053</v>
      </c>
      <c r="F162" s="97" t="n">
        <v>46270.7484272454</v>
      </c>
      <c r="G162" s="97" t="n">
        <v>46271.5167540857</v>
      </c>
      <c r="H162" s="97" t="s">
        <v>1054</v>
      </c>
      <c r="I162" s="97" t="s">
        <v>1361</v>
      </c>
      <c r="J162" s="97" t="s">
        <v>1209</v>
      </c>
      <c r="K162" s="99" t="s">
        <v>961</v>
      </c>
      <c r="L162" s="98" t="s">
        <v>1056</v>
      </c>
      <c r="M162" s="98" t="s">
        <v>1056</v>
      </c>
      <c r="N162" s="98" t="s">
        <v>1031</v>
      </c>
      <c r="O162" s="98" t="s">
        <v>677</v>
      </c>
      <c r="P162" s="98" t="s">
        <v>1362</v>
      </c>
      <c r="Q162" s="98" t="s">
        <v>811</v>
      </c>
      <c r="R162" s="98" t="s">
        <v>1363</v>
      </c>
      <c r="S162" s="98" t="s">
        <v>1059</v>
      </c>
    </row>
    <row r="163" customFormat="false" ht="55" hidden="false" customHeight="true" outlineLevel="0" collapsed="false">
      <c r="C163" s="96" t="s">
        <v>1051</v>
      </c>
      <c r="D163" s="97" t="s">
        <v>1052</v>
      </c>
      <c r="E163" s="97" t="s">
        <v>1053</v>
      </c>
      <c r="F163" s="97" t="n">
        <v>46270.7484272454</v>
      </c>
      <c r="G163" s="97" t="n">
        <v>46271.5167540857</v>
      </c>
      <c r="H163" s="97" t="s">
        <v>1054</v>
      </c>
      <c r="I163" s="97" t="s">
        <v>1361</v>
      </c>
      <c r="J163" s="97" t="s">
        <v>1209</v>
      </c>
      <c r="K163" s="99" t="s">
        <v>961</v>
      </c>
      <c r="L163" s="98" t="s">
        <v>1060</v>
      </c>
      <c r="M163" s="98" t="s">
        <v>1060</v>
      </c>
      <c r="N163" s="98" t="s">
        <v>1031</v>
      </c>
      <c r="O163" s="98" t="s">
        <v>677</v>
      </c>
      <c r="P163" s="98" t="s">
        <v>1364</v>
      </c>
      <c r="Q163" s="98" t="s">
        <v>811</v>
      </c>
      <c r="R163" s="98" t="s">
        <v>1365</v>
      </c>
      <c r="S163" s="98" t="s">
        <v>1059</v>
      </c>
    </row>
    <row r="164" customFormat="false" ht="55" hidden="false" customHeight="true" outlineLevel="0" collapsed="false">
      <c r="C164" s="96" t="s">
        <v>1051</v>
      </c>
      <c r="D164" s="97" t="s">
        <v>1052</v>
      </c>
      <c r="E164" s="97" t="s">
        <v>1053</v>
      </c>
      <c r="F164" s="97" t="n">
        <v>46270.7484272454</v>
      </c>
      <c r="G164" s="97" t="n">
        <v>46271.5167540857</v>
      </c>
      <c r="H164" s="97" t="s">
        <v>1054</v>
      </c>
      <c r="I164" s="97" t="s">
        <v>1361</v>
      </c>
      <c r="J164" s="97" t="s">
        <v>1209</v>
      </c>
      <c r="K164" s="99" t="s">
        <v>977</v>
      </c>
      <c r="L164" s="98" t="s">
        <v>1056</v>
      </c>
      <c r="M164" s="98" t="s">
        <v>1056</v>
      </c>
      <c r="N164" s="98" t="s">
        <v>1031</v>
      </c>
      <c r="O164" s="98" t="s">
        <v>677</v>
      </c>
      <c r="P164" s="98" t="s">
        <v>1366</v>
      </c>
      <c r="Q164" s="98" t="s">
        <v>811</v>
      </c>
      <c r="R164" s="98" t="s">
        <v>1367</v>
      </c>
      <c r="S164" s="98" t="s">
        <v>1059</v>
      </c>
    </row>
    <row r="165" customFormat="false" ht="55" hidden="false" customHeight="true" outlineLevel="0" collapsed="false">
      <c r="C165" s="96" t="s">
        <v>1051</v>
      </c>
      <c r="D165" s="97" t="s">
        <v>1052</v>
      </c>
      <c r="E165" s="97" t="s">
        <v>1053</v>
      </c>
      <c r="F165" s="97" t="n">
        <v>46270.7484272454</v>
      </c>
      <c r="G165" s="97" t="n">
        <v>46271.5167540857</v>
      </c>
      <c r="H165" s="97" t="s">
        <v>1054</v>
      </c>
      <c r="I165" s="97" t="s">
        <v>1361</v>
      </c>
      <c r="J165" s="97" t="s">
        <v>1209</v>
      </c>
      <c r="K165" s="99" t="s">
        <v>977</v>
      </c>
      <c r="L165" s="98" t="s">
        <v>1060</v>
      </c>
      <c r="M165" s="98" t="s">
        <v>1060</v>
      </c>
      <c r="N165" s="98" t="s">
        <v>1031</v>
      </c>
      <c r="O165" s="98" t="s">
        <v>677</v>
      </c>
      <c r="P165" s="98" t="s">
        <v>1368</v>
      </c>
      <c r="Q165" s="98" t="s">
        <v>811</v>
      </c>
      <c r="R165" s="98" t="s">
        <v>1369</v>
      </c>
      <c r="S165" s="98" t="s">
        <v>1059</v>
      </c>
    </row>
    <row r="166" customFormat="false" ht="55" hidden="false" customHeight="true" outlineLevel="0" collapsed="false">
      <c r="C166" s="96" t="s">
        <v>1051</v>
      </c>
      <c r="D166" s="97" t="s">
        <v>1052</v>
      </c>
      <c r="E166" s="97" t="s">
        <v>1053</v>
      </c>
      <c r="F166" s="97" t="n">
        <v>46270.7484272454</v>
      </c>
      <c r="G166" s="97" t="n">
        <v>46271.5167540857</v>
      </c>
      <c r="H166" s="97" t="s">
        <v>1054</v>
      </c>
      <c r="I166" s="97" t="s">
        <v>1370</v>
      </c>
      <c r="J166" s="97" t="s">
        <v>1209</v>
      </c>
      <c r="K166" s="99" t="s">
        <v>989</v>
      </c>
      <c r="L166" s="98" t="s">
        <v>1056</v>
      </c>
      <c r="M166" s="98" t="s">
        <v>1056</v>
      </c>
      <c r="N166" s="98" t="s">
        <v>1031</v>
      </c>
      <c r="O166" s="98" t="s">
        <v>677</v>
      </c>
      <c r="P166" s="98" t="s">
        <v>1371</v>
      </c>
      <c r="Q166" s="98" t="s">
        <v>811</v>
      </c>
      <c r="R166" s="98" t="s">
        <v>1372</v>
      </c>
      <c r="S166" s="98" t="s">
        <v>1059</v>
      </c>
    </row>
    <row r="167" customFormat="false" ht="55" hidden="false" customHeight="true" outlineLevel="0" collapsed="false">
      <c r="C167" s="96" t="s">
        <v>1051</v>
      </c>
      <c r="D167" s="97" t="s">
        <v>1052</v>
      </c>
      <c r="E167" s="97" t="s">
        <v>1053</v>
      </c>
      <c r="F167" s="97" t="n">
        <v>46270.7484272454</v>
      </c>
      <c r="G167" s="97" t="n">
        <v>46271.5167540857</v>
      </c>
      <c r="H167" s="97" t="s">
        <v>1054</v>
      </c>
      <c r="I167" s="97" t="s">
        <v>1370</v>
      </c>
      <c r="J167" s="97" t="s">
        <v>1209</v>
      </c>
      <c r="K167" s="99" t="s">
        <v>989</v>
      </c>
      <c r="L167" s="98" t="s">
        <v>1060</v>
      </c>
      <c r="M167" s="98" t="s">
        <v>1060</v>
      </c>
      <c r="N167" s="98" t="s">
        <v>1031</v>
      </c>
      <c r="O167" s="98" t="s">
        <v>677</v>
      </c>
      <c r="P167" s="98" t="s">
        <v>1373</v>
      </c>
      <c r="Q167" s="98" t="s">
        <v>811</v>
      </c>
      <c r="R167" s="98" t="s">
        <v>1374</v>
      </c>
      <c r="S167" s="98" t="s">
        <v>1059</v>
      </c>
    </row>
    <row r="168" customFormat="false" ht="55" hidden="false" customHeight="true" outlineLevel="0" collapsed="false">
      <c r="C168" s="96" t="s">
        <v>1051</v>
      </c>
      <c r="D168" s="97" t="s">
        <v>1052</v>
      </c>
      <c r="E168" s="97" t="s">
        <v>1053</v>
      </c>
      <c r="F168" s="97" t="n">
        <v>46270.7484272454</v>
      </c>
      <c r="G168" s="97" t="n">
        <v>46271.5167540857</v>
      </c>
      <c r="H168" s="97" t="s">
        <v>1054</v>
      </c>
      <c r="I168" s="97" t="s">
        <v>1370</v>
      </c>
      <c r="J168" s="97" t="s">
        <v>1209</v>
      </c>
      <c r="K168" s="99" t="s">
        <v>990</v>
      </c>
      <c r="L168" s="98" t="s">
        <v>1056</v>
      </c>
      <c r="M168" s="98" t="s">
        <v>1056</v>
      </c>
      <c r="N168" s="98" t="s">
        <v>1031</v>
      </c>
      <c r="O168" s="98" t="s">
        <v>677</v>
      </c>
      <c r="P168" s="98" t="s">
        <v>1375</v>
      </c>
      <c r="Q168" s="98" t="s">
        <v>811</v>
      </c>
      <c r="R168" s="98" t="s">
        <v>1376</v>
      </c>
      <c r="S168" s="98" t="s">
        <v>1059</v>
      </c>
    </row>
    <row r="169" customFormat="false" ht="55" hidden="false" customHeight="true" outlineLevel="0" collapsed="false">
      <c r="C169" s="96" t="s">
        <v>1051</v>
      </c>
      <c r="D169" s="97" t="s">
        <v>1052</v>
      </c>
      <c r="E169" s="97" t="s">
        <v>1053</v>
      </c>
      <c r="F169" s="97" t="n">
        <v>46270.7484272454</v>
      </c>
      <c r="G169" s="97" t="n">
        <v>46271.5167540857</v>
      </c>
      <c r="H169" s="97" t="s">
        <v>1054</v>
      </c>
      <c r="I169" s="97" t="s">
        <v>1370</v>
      </c>
      <c r="J169" s="97" t="s">
        <v>1209</v>
      </c>
      <c r="K169" s="99" t="s">
        <v>990</v>
      </c>
      <c r="L169" s="98" t="s">
        <v>1060</v>
      </c>
      <c r="M169" s="98" t="s">
        <v>1060</v>
      </c>
      <c r="N169" s="98" t="s">
        <v>1031</v>
      </c>
      <c r="O169" s="98" t="s">
        <v>677</v>
      </c>
      <c r="P169" s="98" t="s">
        <v>1377</v>
      </c>
      <c r="Q169" s="98" t="s">
        <v>811</v>
      </c>
      <c r="R169" s="98" t="s">
        <v>1378</v>
      </c>
      <c r="S169" s="98" t="s">
        <v>1059</v>
      </c>
    </row>
    <row r="170" customFormat="false" ht="55" hidden="false" customHeight="true" outlineLevel="0" collapsed="false">
      <c r="C170" s="96" t="s">
        <v>1051</v>
      </c>
      <c r="D170" s="97" t="s">
        <v>1052</v>
      </c>
      <c r="E170" s="97" t="s">
        <v>1053</v>
      </c>
      <c r="F170" s="97" t="n">
        <v>46270.7484272454</v>
      </c>
      <c r="G170" s="97" t="n">
        <v>46271.5167540857</v>
      </c>
      <c r="H170" s="97" t="s">
        <v>1054</v>
      </c>
      <c r="I170" s="97" t="s">
        <v>1370</v>
      </c>
      <c r="J170" s="97" t="s">
        <v>1209</v>
      </c>
      <c r="K170" s="99" t="s">
        <v>992</v>
      </c>
      <c r="L170" s="98" t="s">
        <v>1056</v>
      </c>
      <c r="M170" s="98" t="s">
        <v>1056</v>
      </c>
      <c r="N170" s="98" t="s">
        <v>1031</v>
      </c>
      <c r="O170" s="98" t="s">
        <v>677</v>
      </c>
      <c r="P170" s="98" t="s">
        <v>1319</v>
      </c>
      <c r="Q170" s="98" t="s">
        <v>811</v>
      </c>
      <c r="R170" s="98" t="s">
        <v>1320</v>
      </c>
      <c r="S170" s="98" t="s">
        <v>1059</v>
      </c>
    </row>
    <row r="171" customFormat="false" ht="55" hidden="false" customHeight="true" outlineLevel="0" collapsed="false">
      <c r="C171" s="96" t="s">
        <v>1051</v>
      </c>
      <c r="D171" s="97" t="s">
        <v>1052</v>
      </c>
      <c r="E171" s="97" t="s">
        <v>1053</v>
      </c>
      <c r="F171" s="97" t="n">
        <v>46270.7484272454</v>
      </c>
      <c r="G171" s="97" t="n">
        <v>46271.5167540857</v>
      </c>
      <c r="H171" s="97" t="s">
        <v>1054</v>
      </c>
      <c r="I171" s="97" t="s">
        <v>1370</v>
      </c>
      <c r="J171" s="97" t="s">
        <v>1209</v>
      </c>
      <c r="K171" s="99" t="s">
        <v>992</v>
      </c>
      <c r="L171" s="98" t="s">
        <v>1060</v>
      </c>
      <c r="M171" s="98" t="s">
        <v>1060</v>
      </c>
      <c r="N171" s="98" t="s">
        <v>1031</v>
      </c>
      <c r="O171" s="98" t="s">
        <v>677</v>
      </c>
      <c r="P171" s="98" t="s">
        <v>1263</v>
      </c>
      <c r="Q171" s="98" t="s">
        <v>811</v>
      </c>
      <c r="R171" s="98" t="s">
        <v>1264</v>
      </c>
      <c r="S171" s="98" t="s">
        <v>1059</v>
      </c>
    </row>
    <row r="172" customFormat="false" ht="55" hidden="false" customHeight="true" outlineLevel="0" collapsed="false">
      <c r="C172" s="96" t="s">
        <v>1051</v>
      </c>
      <c r="D172" s="97" t="s">
        <v>1052</v>
      </c>
      <c r="E172" s="97" t="s">
        <v>1053</v>
      </c>
      <c r="F172" s="97" t="n">
        <v>46270.7484272454</v>
      </c>
      <c r="G172" s="97" t="n">
        <v>46271.5167540857</v>
      </c>
      <c r="H172" s="97" t="s">
        <v>1054</v>
      </c>
      <c r="I172" s="97" t="s">
        <v>1370</v>
      </c>
      <c r="J172" s="97" t="s">
        <v>1209</v>
      </c>
      <c r="K172" s="99" t="s">
        <v>993</v>
      </c>
      <c r="L172" s="98" t="s">
        <v>1056</v>
      </c>
      <c r="M172" s="98" t="s">
        <v>1056</v>
      </c>
      <c r="N172" s="98" t="s">
        <v>1031</v>
      </c>
      <c r="O172" s="98" t="s">
        <v>677</v>
      </c>
      <c r="P172" s="98" t="s">
        <v>1379</v>
      </c>
      <c r="Q172" s="98" t="s">
        <v>811</v>
      </c>
      <c r="R172" s="98" t="s">
        <v>1380</v>
      </c>
      <c r="S172" s="98" t="s">
        <v>1059</v>
      </c>
    </row>
    <row r="173" customFormat="false" ht="55" hidden="false" customHeight="true" outlineLevel="0" collapsed="false">
      <c r="C173" s="96" t="s">
        <v>1051</v>
      </c>
      <c r="D173" s="97" t="s">
        <v>1052</v>
      </c>
      <c r="E173" s="97" t="s">
        <v>1053</v>
      </c>
      <c r="F173" s="97" t="n">
        <v>46270.7484272454</v>
      </c>
      <c r="G173" s="97" t="n">
        <v>46271.5167540857</v>
      </c>
      <c r="H173" s="97" t="s">
        <v>1054</v>
      </c>
      <c r="I173" s="97" t="s">
        <v>1370</v>
      </c>
      <c r="J173" s="97" t="s">
        <v>1209</v>
      </c>
      <c r="K173" s="99" t="s">
        <v>993</v>
      </c>
      <c r="L173" s="98" t="s">
        <v>1060</v>
      </c>
      <c r="M173" s="98" t="s">
        <v>1060</v>
      </c>
      <c r="N173" s="98" t="s">
        <v>1031</v>
      </c>
      <c r="O173" s="98" t="s">
        <v>677</v>
      </c>
      <c r="P173" s="98" t="s">
        <v>1381</v>
      </c>
      <c r="Q173" s="98" t="s">
        <v>811</v>
      </c>
      <c r="R173" s="98" t="s">
        <v>1382</v>
      </c>
      <c r="S173" s="98" t="s">
        <v>1059</v>
      </c>
    </row>
    <row r="174" customFormat="false" ht="55" hidden="false" customHeight="true" outlineLevel="0" collapsed="false">
      <c r="C174" s="96" t="s">
        <v>1051</v>
      </c>
      <c r="D174" s="97" t="s">
        <v>1052</v>
      </c>
      <c r="E174" s="97" t="s">
        <v>1053</v>
      </c>
      <c r="F174" s="97" t="n">
        <v>46270.7484272454</v>
      </c>
      <c r="G174" s="97" t="n">
        <v>46271.5167540857</v>
      </c>
      <c r="H174" s="97" t="s">
        <v>1054</v>
      </c>
      <c r="I174" s="97" t="s">
        <v>1383</v>
      </c>
      <c r="J174" s="97" t="s">
        <v>1209</v>
      </c>
      <c r="K174" s="99" t="s">
        <v>1266</v>
      </c>
      <c r="L174" s="98" t="s">
        <v>1056</v>
      </c>
      <c r="M174" s="98" t="s">
        <v>1056</v>
      </c>
      <c r="N174" s="98" t="s">
        <v>1031</v>
      </c>
      <c r="O174" s="98" t="s">
        <v>677</v>
      </c>
      <c r="P174" s="98" t="s">
        <v>1384</v>
      </c>
      <c r="Q174" s="98" t="s">
        <v>811</v>
      </c>
      <c r="R174" s="98" t="s">
        <v>1385</v>
      </c>
      <c r="S174" s="98" t="s">
        <v>1059</v>
      </c>
    </row>
    <row r="175" customFormat="false" ht="55" hidden="false" customHeight="true" outlineLevel="0" collapsed="false">
      <c r="C175" s="96" t="s">
        <v>1051</v>
      </c>
      <c r="D175" s="97" t="s">
        <v>1052</v>
      </c>
      <c r="E175" s="97" t="s">
        <v>1053</v>
      </c>
      <c r="F175" s="97" t="n">
        <v>46270.7484272454</v>
      </c>
      <c r="G175" s="97" t="n">
        <v>46271.5167540857</v>
      </c>
      <c r="H175" s="97" t="s">
        <v>1054</v>
      </c>
      <c r="I175" s="97" t="s">
        <v>1383</v>
      </c>
      <c r="J175" s="97" t="s">
        <v>1209</v>
      </c>
      <c r="K175" s="99" t="s">
        <v>1266</v>
      </c>
      <c r="L175" s="98" t="s">
        <v>1046</v>
      </c>
      <c r="M175" s="98" t="s">
        <v>1046</v>
      </c>
      <c r="N175" s="98" t="s">
        <v>1031</v>
      </c>
      <c r="O175" s="98" t="s">
        <v>677</v>
      </c>
      <c r="P175" s="98" t="s">
        <v>1322</v>
      </c>
      <c r="Q175" s="98" t="s">
        <v>811</v>
      </c>
      <c r="R175" s="98" t="s">
        <v>1323</v>
      </c>
      <c r="S175" s="98" t="s">
        <v>1059</v>
      </c>
    </row>
    <row r="176" customFormat="false" ht="55" hidden="false" customHeight="true" outlineLevel="0" collapsed="false">
      <c r="C176" s="96" t="s">
        <v>1051</v>
      </c>
      <c r="D176" s="97" t="s">
        <v>1052</v>
      </c>
      <c r="E176" s="97" t="s">
        <v>1053</v>
      </c>
      <c r="F176" s="97" t="n">
        <v>46270.7484272454</v>
      </c>
      <c r="G176" s="97" t="n">
        <v>46271.5167540857</v>
      </c>
      <c r="H176" s="97" t="s">
        <v>1054</v>
      </c>
      <c r="I176" s="97" t="s">
        <v>1386</v>
      </c>
      <c r="J176" s="97" t="s">
        <v>1209</v>
      </c>
      <c r="K176" s="99" t="s">
        <v>1271</v>
      </c>
      <c r="L176" s="98" t="s">
        <v>1056</v>
      </c>
      <c r="M176" s="98" t="s">
        <v>1056</v>
      </c>
      <c r="N176" s="98" t="s">
        <v>1031</v>
      </c>
      <c r="O176" s="98" t="s">
        <v>677</v>
      </c>
      <c r="P176" s="98" t="s">
        <v>1387</v>
      </c>
      <c r="Q176" s="98" t="s">
        <v>811</v>
      </c>
      <c r="R176" s="98" t="s">
        <v>1388</v>
      </c>
      <c r="S176" s="98" t="s">
        <v>1059</v>
      </c>
    </row>
    <row r="177" customFormat="false" ht="55" hidden="false" customHeight="true" outlineLevel="0" collapsed="false">
      <c r="C177" s="96" t="s">
        <v>1051</v>
      </c>
      <c r="D177" s="97" t="s">
        <v>1052</v>
      </c>
      <c r="E177" s="97" t="s">
        <v>1053</v>
      </c>
      <c r="F177" s="97" t="n">
        <v>46270.7484272454</v>
      </c>
      <c r="G177" s="97" t="n">
        <v>46271.5167540857</v>
      </c>
      <c r="H177" s="97" t="s">
        <v>1054</v>
      </c>
      <c r="I177" s="97" t="s">
        <v>1386</v>
      </c>
      <c r="J177" s="97" t="s">
        <v>1209</v>
      </c>
      <c r="K177" s="99" t="s">
        <v>1271</v>
      </c>
      <c r="L177" s="98" t="s">
        <v>1046</v>
      </c>
      <c r="M177" s="98" t="s">
        <v>1046</v>
      </c>
      <c r="N177" s="98" t="s">
        <v>1031</v>
      </c>
      <c r="O177" s="98" t="s">
        <v>677</v>
      </c>
      <c r="P177" s="98" t="s">
        <v>1324</v>
      </c>
      <c r="Q177" s="98" t="s">
        <v>811</v>
      </c>
      <c r="R177" s="98" t="s">
        <v>1325</v>
      </c>
      <c r="S177" s="98" t="s">
        <v>1059</v>
      </c>
    </row>
    <row r="178" customFormat="false" ht="55" hidden="false" customHeight="true" outlineLevel="0" collapsed="false">
      <c r="C178" s="96" t="s">
        <v>1051</v>
      </c>
      <c r="D178" s="97" t="s">
        <v>1052</v>
      </c>
      <c r="E178" s="97" t="s">
        <v>1053</v>
      </c>
      <c r="F178" s="97" t="n">
        <v>46270.7484272454</v>
      </c>
      <c r="G178" s="97" t="n">
        <v>46271.5167540857</v>
      </c>
      <c r="H178" s="97" t="s">
        <v>1054</v>
      </c>
      <c r="I178" s="97" t="s">
        <v>1386</v>
      </c>
      <c r="J178" s="97" t="s">
        <v>1209</v>
      </c>
      <c r="K178" s="99" t="s">
        <v>1277</v>
      </c>
      <c r="L178" s="98" t="s">
        <v>1056</v>
      </c>
      <c r="M178" s="98" t="s">
        <v>1056</v>
      </c>
      <c r="N178" s="98" t="s">
        <v>1031</v>
      </c>
      <c r="O178" s="98" t="s">
        <v>677</v>
      </c>
      <c r="P178" s="98" t="s">
        <v>1389</v>
      </c>
      <c r="Q178" s="98" t="s">
        <v>811</v>
      </c>
      <c r="R178" s="98" t="s">
        <v>1390</v>
      </c>
      <c r="S178" s="98" t="s">
        <v>1059</v>
      </c>
    </row>
    <row r="179" customFormat="false" ht="55" hidden="false" customHeight="true" outlineLevel="0" collapsed="false">
      <c r="C179" s="96" t="s">
        <v>1051</v>
      </c>
      <c r="D179" s="97" t="s">
        <v>1052</v>
      </c>
      <c r="E179" s="97" t="s">
        <v>1053</v>
      </c>
      <c r="F179" s="97" t="n">
        <v>46270.7484272454</v>
      </c>
      <c r="G179" s="97" t="n">
        <v>46271.5167540857</v>
      </c>
      <c r="H179" s="97" t="s">
        <v>1054</v>
      </c>
      <c r="I179" s="97" t="s">
        <v>1386</v>
      </c>
      <c r="J179" s="97" t="s">
        <v>1209</v>
      </c>
      <c r="K179" s="99" t="s">
        <v>1277</v>
      </c>
      <c r="L179" s="98" t="s">
        <v>1046</v>
      </c>
      <c r="M179" s="98" t="s">
        <v>1046</v>
      </c>
      <c r="N179" s="98" t="s">
        <v>1031</v>
      </c>
      <c r="O179" s="98" t="s">
        <v>677</v>
      </c>
      <c r="P179" s="98" t="s">
        <v>1327</v>
      </c>
      <c r="Q179" s="98" t="s">
        <v>811</v>
      </c>
      <c r="R179" s="98" t="s">
        <v>1328</v>
      </c>
      <c r="S179" s="98" t="s">
        <v>1059</v>
      </c>
    </row>
    <row r="180" customFormat="false" ht="55" hidden="false" customHeight="true" outlineLevel="0" collapsed="false">
      <c r="C180" s="96" t="s">
        <v>1051</v>
      </c>
      <c r="D180" s="97" t="s">
        <v>1052</v>
      </c>
      <c r="E180" s="97" t="s">
        <v>1053</v>
      </c>
      <c r="F180" s="97" t="n">
        <v>46270.7484272454</v>
      </c>
      <c r="G180" s="97" t="n">
        <v>46271.5167540857</v>
      </c>
      <c r="H180" s="97" t="s">
        <v>1054</v>
      </c>
      <c r="I180" s="97" t="s">
        <v>1386</v>
      </c>
      <c r="J180" s="97" t="s">
        <v>1209</v>
      </c>
      <c r="K180" s="99" t="s">
        <v>1282</v>
      </c>
      <c r="L180" s="98" t="s">
        <v>1056</v>
      </c>
      <c r="M180" s="98" t="s">
        <v>1056</v>
      </c>
      <c r="N180" s="98" t="s">
        <v>1031</v>
      </c>
      <c r="O180" s="98" t="s">
        <v>677</v>
      </c>
      <c r="P180" s="98" t="s">
        <v>1391</v>
      </c>
      <c r="Q180" s="98" t="s">
        <v>811</v>
      </c>
      <c r="R180" s="98" t="s">
        <v>1392</v>
      </c>
      <c r="S180" s="98" t="s">
        <v>1059</v>
      </c>
    </row>
    <row r="181" customFormat="false" ht="55" hidden="false" customHeight="true" outlineLevel="0" collapsed="false">
      <c r="C181" s="98" t="s">
        <v>1051</v>
      </c>
      <c r="D181" s="98" t="s">
        <v>1052</v>
      </c>
      <c r="E181" s="98" t="s">
        <v>1053</v>
      </c>
      <c r="F181" s="98" t="n">
        <v>46270.7484272454</v>
      </c>
      <c r="G181" s="98" t="n">
        <v>46271.5167540857</v>
      </c>
      <c r="H181" s="98" t="s">
        <v>1054</v>
      </c>
      <c r="I181" s="98" t="s">
        <v>1386</v>
      </c>
      <c r="J181" s="98" t="s">
        <v>1209</v>
      </c>
      <c r="K181" s="100" t="s">
        <v>1282</v>
      </c>
      <c r="L181" s="98" t="s">
        <v>1046</v>
      </c>
      <c r="M181" s="98" t="s">
        <v>1046</v>
      </c>
      <c r="N181" s="98" t="s">
        <v>1031</v>
      </c>
      <c r="O181" s="98" t="s">
        <v>677</v>
      </c>
      <c r="P181" s="98" t="s">
        <v>1329</v>
      </c>
      <c r="Q181" s="98" t="s">
        <v>811</v>
      </c>
      <c r="R181" s="98" t="s">
        <v>1330</v>
      </c>
      <c r="S181" s="98" t="s">
        <v>1059</v>
      </c>
    </row>
    <row r="182" customFormat="false" ht="55" hidden="false" customHeight="true" outlineLevel="0" collapsed="false">
      <c r="C182" s="98" t="s">
        <v>1051</v>
      </c>
      <c r="D182" s="98" t="s">
        <v>1052</v>
      </c>
      <c r="E182" s="98" t="s">
        <v>1053</v>
      </c>
      <c r="F182" s="98" t="n">
        <v>46270.7484272454</v>
      </c>
      <c r="G182" s="98" t="n">
        <v>46271.5167540857</v>
      </c>
      <c r="H182" s="98" t="s">
        <v>1054</v>
      </c>
      <c r="I182" s="98" t="s">
        <v>1383</v>
      </c>
      <c r="J182" s="98" t="s">
        <v>1209</v>
      </c>
      <c r="K182" s="100" t="s">
        <v>898</v>
      </c>
      <c r="L182" s="98" t="s">
        <v>1056</v>
      </c>
      <c r="M182" s="98" t="s">
        <v>1056</v>
      </c>
      <c r="N182" s="98" t="s">
        <v>1031</v>
      </c>
      <c r="O182" s="98" t="s">
        <v>677</v>
      </c>
      <c r="P182" s="98" t="s">
        <v>1393</v>
      </c>
      <c r="Q182" s="98" t="s">
        <v>811</v>
      </c>
      <c r="R182" s="98" t="s">
        <v>1394</v>
      </c>
      <c r="S182" s="98" t="s">
        <v>1059</v>
      </c>
    </row>
    <row r="183" customFormat="false" ht="55" hidden="false" customHeight="true" outlineLevel="0" collapsed="false">
      <c r="C183" s="98" t="s">
        <v>1051</v>
      </c>
      <c r="D183" s="98" t="s">
        <v>1052</v>
      </c>
      <c r="E183" s="98" t="s">
        <v>1053</v>
      </c>
      <c r="F183" s="98" t="n">
        <v>46270.7484272454</v>
      </c>
      <c r="G183" s="98" t="n">
        <v>46271.5167540857</v>
      </c>
      <c r="H183" s="98" t="s">
        <v>1054</v>
      </c>
      <c r="I183" s="98" t="s">
        <v>1383</v>
      </c>
      <c r="J183" s="98" t="s">
        <v>1209</v>
      </c>
      <c r="K183" s="100" t="s">
        <v>898</v>
      </c>
      <c r="L183" s="98" t="s">
        <v>1046</v>
      </c>
      <c r="M183" s="98" t="s">
        <v>1046</v>
      </c>
      <c r="N183" s="98" t="s">
        <v>1031</v>
      </c>
      <c r="O183" s="98" t="s">
        <v>677</v>
      </c>
      <c r="P183" s="98" t="s">
        <v>1331</v>
      </c>
      <c r="Q183" s="98" t="s">
        <v>811</v>
      </c>
      <c r="R183" s="98" t="s">
        <v>1332</v>
      </c>
      <c r="S183" s="98" t="s">
        <v>1059</v>
      </c>
    </row>
    <row r="184" customFormat="false" ht="55" hidden="false" customHeight="true" outlineLevel="0" collapsed="false">
      <c r="C184" s="98" t="s">
        <v>1051</v>
      </c>
      <c r="D184" s="98" t="s">
        <v>1052</v>
      </c>
      <c r="E184" s="98" t="s">
        <v>1053</v>
      </c>
      <c r="F184" s="98" t="n">
        <v>46270.7484272454</v>
      </c>
      <c r="G184" s="98" t="n">
        <v>46271.5167540857</v>
      </c>
      <c r="H184" s="98" t="s">
        <v>1054</v>
      </c>
      <c r="I184" s="98" t="s">
        <v>1386</v>
      </c>
      <c r="J184" s="98" t="s">
        <v>1209</v>
      </c>
      <c r="K184" s="100" t="s">
        <v>922</v>
      </c>
      <c r="L184" s="98" t="s">
        <v>1056</v>
      </c>
      <c r="M184" s="98" t="s">
        <v>1056</v>
      </c>
      <c r="N184" s="98" t="s">
        <v>1031</v>
      </c>
      <c r="O184" s="98" t="s">
        <v>677</v>
      </c>
      <c r="P184" s="98" t="s">
        <v>1395</v>
      </c>
      <c r="Q184" s="98" t="s">
        <v>811</v>
      </c>
      <c r="R184" s="98" t="s">
        <v>1396</v>
      </c>
      <c r="S184" s="98" t="s">
        <v>1059</v>
      </c>
    </row>
    <row r="185" customFormat="false" ht="55" hidden="false" customHeight="true" outlineLevel="0" collapsed="false">
      <c r="C185" s="98" t="s">
        <v>1051</v>
      </c>
      <c r="D185" s="98" t="s">
        <v>1052</v>
      </c>
      <c r="E185" s="98" t="s">
        <v>1053</v>
      </c>
      <c r="F185" s="98" t="n">
        <v>46270.7484272454</v>
      </c>
      <c r="G185" s="98" t="n">
        <v>46271.5167540857</v>
      </c>
      <c r="H185" s="98" t="s">
        <v>1054</v>
      </c>
      <c r="I185" s="98" t="s">
        <v>1386</v>
      </c>
      <c r="J185" s="98" t="s">
        <v>1209</v>
      </c>
      <c r="K185" s="100" t="s">
        <v>922</v>
      </c>
      <c r="L185" s="98" t="s">
        <v>1046</v>
      </c>
      <c r="M185" s="98" t="s">
        <v>1046</v>
      </c>
      <c r="N185" s="98" t="s">
        <v>1031</v>
      </c>
      <c r="O185" s="98" t="s">
        <v>677</v>
      </c>
      <c r="P185" s="98" t="s">
        <v>1333</v>
      </c>
      <c r="Q185" s="98" t="s">
        <v>811</v>
      </c>
      <c r="R185" s="98" t="s">
        <v>1334</v>
      </c>
      <c r="S185" s="98" t="s">
        <v>1059</v>
      </c>
    </row>
    <row r="186" customFormat="false" ht="55" hidden="false" customHeight="true" outlineLevel="0" collapsed="false">
      <c r="C186" s="98" t="s">
        <v>1022</v>
      </c>
      <c r="D186" s="98" t="s">
        <v>1023</v>
      </c>
      <c r="E186" s="98" t="s">
        <v>1024</v>
      </c>
      <c r="F186" s="98" t="n">
        <v>46270.7484260648</v>
      </c>
      <c r="G186" s="98" t="s">
        <v>1025</v>
      </c>
      <c r="H186" s="98" t="s">
        <v>1026</v>
      </c>
      <c r="I186" s="98" t="s">
        <v>1397</v>
      </c>
      <c r="J186" s="100" t="s">
        <v>1282</v>
      </c>
      <c r="K186" s="100" t="s">
        <v>1398</v>
      </c>
      <c r="L186" s="98" t="s">
        <v>1030</v>
      </c>
      <c r="M186" s="98" t="s">
        <v>1030</v>
      </c>
      <c r="N186" s="98" t="s">
        <v>1031</v>
      </c>
      <c r="O186" s="98" t="s">
        <v>677</v>
      </c>
      <c r="P186" s="98" t="s">
        <v>1285</v>
      </c>
      <c r="Q186" s="98" t="s">
        <v>811</v>
      </c>
      <c r="R186" s="98" t="s">
        <v>1286</v>
      </c>
      <c r="S186" s="98" t="s">
        <v>1034</v>
      </c>
    </row>
    <row r="187" customFormat="false" ht="55" hidden="false" customHeight="true" outlineLevel="0" collapsed="false">
      <c r="C187" s="98" t="s">
        <v>1022</v>
      </c>
      <c r="D187" s="98" t="s">
        <v>1023</v>
      </c>
      <c r="E187" s="98" t="s">
        <v>1024</v>
      </c>
      <c r="F187" s="98" t="n">
        <v>46270.7484260648</v>
      </c>
      <c r="G187" s="98" t="s">
        <v>1025</v>
      </c>
      <c r="H187" s="98" t="s">
        <v>1026</v>
      </c>
      <c r="I187" s="98" t="s">
        <v>1397</v>
      </c>
      <c r="J187" s="100" t="s">
        <v>1282</v>
      </c>
      <c r="K187" s="100" t="s">
        <v>1398</v>
      </c>
      <c r="L187" s="98" t="s">
        <v>1035</v>
      </c>
      <c r="M187" s="98" t="s">
        <v>1035</v>
      </c>
      <c r="N187" s="98" t="s">
        <v>1031</v>
      </c>
      <c r="O187" s="98" t="s">
        <v>677</v>
      </c>
      <c r="P187" s="98" t="s">
        <v>1399</v>
      </c>
      <c r="Q187" s="98" t="s">
        <v>811</v>
      </c>
      <c r="R187" s="98" t="s">
        <v>1400</v>
      </c>
      <c r="S187" s="98" t="s">
        <v>1034</v>
      </c>
    </row>
    <row r="188" customFormat="false" ht="55" hidden="false" customHeight="true" outlineLevel="0" collapsed="false">
      <c r="C188" s="98" t="s">
        <v>1022</v>
      </c>
      <c r="D188" s="98" t="s">
        <v>1023</v>
      </c>
      <c r="E188" s="98" t="s">
        <v>1024</v>
      </c>
      <c r="F188" s="98" t="n">
        <v>46270.7484260648</v>
      </c>
      <c r="G188" s="98" t="s">
        <v>1025</v>
      </c>
      <c r="H188" s="98" t="s">
        <v>1026</v>
      </c>
      <c r="I188" s="98" t="s">
        <v>1397</v>
      </c>
      <c r="J188" s="100" t="s">
        <v>1282</v>
      </c>
      <c r="K188" s="100" t="s">
        <v>1401</v>
      </c>
      <c r="L188" s="98" t="s">
        <v>1030</v>
      </c>
      <c r="M188" s="98" t="s">
        <v>1030</v>
      </c>
      <c r="N188" s="98" t="s">
        <v>1031</v>
      </c>
      <c r="O188" s="98" t="s">
        <v>677</v>
      </c>
      <c r="P188" s="98" t="s">
        <v>1232</v>
      </c>
      <c r="Q188" s="98" t="s">
        <v>811</v>
      </c>
      <c r="R188" s="98" t="s">
        <v>1233</v>
      </c>
      <c r="S188" s="98" t="s">
        <v>1034</v>
      </c>
    </row>
    <row r="189" customFormat="false" ht="55" hidden="false" customHeight="true" outlineLevel="0" collapsed="false">
      <c r="C189" s="98" t="s">
        <v>1022</v>
      </c>
      <c r="D189" s="98" t="s">
        <v>1023</v>
      </c>
      <c r="E189" s="98" t="s">
        <v>1024</v>
      </c>
      <c r="F189" s="98" t="n">
        <v>46270.7484260648</v>
      </c>
      <c r="G189" s="98" t="s">
        <v>1025</v>
      </c>
      <c r="H189" s="98" t="s">
        <v>1026</v>
      </c>
      <c r="I189" s="98" t="s">
        <v>1397</v>
      </c>
      <c r="J189" s="100" t="s">
        <v>1282</v>
      </c>
      <c r="K189" s="100" t="s">
        <v>1401</v>
      </c>
      <c r="L189" s="98" t="s">
        <v>1035</v>
      </c>
      <c r="M189" s="98" t="s">
        <v>1035</v>
      </c>
      <c r="N189" s="98" t="s">
        <v>1031</v>
      </c>
      <c r="O189" s="98" t="s">
        <v>677</v>
      </c>
      <c r="P189" s="98" t="s">
        <v>1234</v>
      </c>
      <c r="Q189" s="98" t="s">
        <v>811</v>
      </c>
      <c r="R189" s="98" t="s">
        <v>1235</v>
      </c>
      <c r="S189" s="98" t="s">
        <v>1034</v>
      </c>
    </row>
    <row r="190" customFormat="false" ht="55" hidden="false" customHeight="true" outlineLevel="0" collapsed="false">
      <c r="C190" s="98" t="s">
        <v>1022</v>
      </c>
      <c r="D190" s="98" t="s">
        <v>1023</v>
      </c>
      <c r="E190" s="98" t="s">
        <v>1024</v>
      </c>
      <c r="F190" s="98" t="n">
        <v>46270.7484260648</v>
      </c>
      <c r="G190" s="98" t="s">
        <v>1025</v>
      </c>
      <c r="H190" s="98" t="s">
        <v>1026</v>
      </c>
      <c r="I190" s="98" t="s">
        <v>1397</v>
      </c>
      <c r="J190" s="100" t="s">
        <v>1282</v>
      </c>
      <c r="K190" s="100" t="s">
        <v>1402</v>
      </c>
      <c r="L190" s="98" t="s">
        <v>1030</v>
      </c>
      <c r="M190" s="98" t="s">
        <v>1030</v>
      </c>
      <c r="N190" s="98" t="s">
        <v>1031</v>
      </c>
      <c r="O190" s="98" t="s">
        <v>677</v>
      </c>
      <c r="P190" s="98" t="s">
        <v>1403</v>
      </c>
      <c r="Q190" s="98" t="s">
        <v>811</v>
      </c>
      <c r="R190" s="98" t="s">
        <v>1404</v>
      </c>
      <c r="S190" s="98" t="s">
        <v>1034</v>
      </c>
    </row>
    <row r="191" customFormat="false" ht="55" hidden="false" customHeight="true" outlineLevel="0" collapsed="false">
      <c r="C191" s="98" t="s">
        <v>1022</v>
      </c>
      <c r="D191" s="98" t="s">
        <v>1023</v>
      </c>
      <c r="E191" s="98" t="s">
        <v>1024</v>
      </c>
      <c r="F191" s="98" t="n">
        <v>46270.7484260648</v>
      </c>
      <c r="G191" s="98" t="s">
        <v>1025</v>
      </c>
      <c r="H191" s="98" t="s">
        <v>1026</v>
      </c>
      <c r="I191" s="98" t="s">
        <v>1397</v>
      </c>
      <c r="J191" s="100" t="s">
        <v>1282</v>
      </c>
      <c r="K191" s="100" t="s">
        <v>1402</v>
      </c>
      <c r="L191" s="98" t="s">
        <v>1035</v>
      </c>
      <c r="M191" s="98" t="s">
        <v>1035</v>
      </c>
      <c r="N191" s="98" t="s">
        <v>1031</v>
      </c>
      <c r="O191" s="98" t="s">
        <v>677</v>
      </c>
      <c r="P191" s="98" t="s">
        <v>1405</v>
      </c>
      <c r="Q191" s="98" t="s">
        <v>811</v>
      </c>
      <c r="R191" s="98" t="s">
        <v>1406</v>
      </c>
      <c r="S191" s="98" t="s">
        <v>1034</v>
      </c>
    </row>
    <row r="192" customFormat="false" ht="55" hidden="false" customHeight="true" outlineLevel="0" collapsed="false">
      <c r="C192" s="98" t="s">
        <v>1022</v>
      </c>
      <c r="D192" s="98" t="s">
        <v>1023</v>
      </c>
      <c r="E192" s="98" t="s">
        <v>1024</v>
      </c>
      <c r="F192" s="98" t="n">
        <v>46270.7484260648</v>
      </c>
      <c r="G192" s="98" t="s">
        <v>1025</v>
      </c>
      <c r="H192" s="98" t="s">
        <v>1026</v>
      </c>
      <c r="I192" s="98" t="s">
        <v>1397</v>
      </c>
      <c r="J192" s="100" t="s">
        <v>1282</v>
      </c>
      <c r="K192" s="100" t="s">
        <v>1407</v>
      </c>
      <c r="L192" s="98" t="s">
        <v>1030</v>
      </c>
      <c r="M192" s="98" t="s">
        <v>1030</v>
      </c>
      <c r="N192" s="98" t="s">
        <v>1031</v>
      </c>
      <c r="O192" s="98" t="s">
        <v>677</v>
      </c>
      <c r="P192" s="98" t="s">
        <v>1408</v>
      </c>
      <c r="Q192" s="98" t="s">
        <v>811</v>
      </c>
      <c r="R192" s="98" t="s">
        <v>1409</v>
      </c>
      <c r="S192" s="98" t="s">
        <v>1034</v>
      </c>
    </row>
    <row r="193" customFormat="false" ht="55" hidden="false" customHeight="true" outlineLevel="0" collapsed="false">
      <c r="C193" s="98" t="s">
        <v>1022</v>
      </c>
      <c r="D193" s="98" t="s">
        <v>1023</v>
      </c>
      <c r="E193" s="98" t="s">
        <v>1024</v>
      </c>
      <c r="F193" s="98" t="n">
        <v>46270.7484260648</v>
      </c>
      <c r="G193" s="98" t="s">
        <v>1025</v>
      </c>
      <c r="H193" s="98" t="s">
        <v>1026</v>
      </c>
      <c r="I193" s="98" t="s">
        <v>1397</v>
      </c>
      <c r="J193" s="100" t="s">
        <v>1282</v>
      </c>
      <c r="K193" s="100" t="s">
        <v>1407</v>
      </c>
      <c r="L193" s="98" t="s">
        <v>1035</v>
      </c>
      <c r="M193" s="98" t="s">
        <v>1035</v>
      </c>
      <c r="N193" s="98" t="s">
        <v>1031</v>
      </c>
      <c r="O193" s="98" t="s">
        <v>677</v>
      </c>
      <c r="P193" s="98" t="s">
        <v>1410</v>
      </c>
      <c r="Q193" s="98" t="s">
        <v>811</v>
      </c>
      <c r="R193" s="98" t="s">
        <v>1411</v>
      </c>
      <c r="S193" s="98" t="s">
        <v>1034</v>
      </c>
    </row>
    <row r="194" customFormat="false" ht="55" hidden="false" customHeight="true" outlineLevel="0" collapsed="false">
      <c r="C194" s="98" t="s">
        <v>1022</v>
      </c>
      <c r="D194" s="98" t="s">
        <v>1023</v>
      </c>
      <c r="E194" s="98" t="s">
        <v>1024</v>
      </c>
      <c r="F194" s="98" t="n">
        <v>46270.7484260648</v>
      </c>
      <c r="G194" s="98" t="s">
        <v>1025</v>
      </c>
      <c r="H194" s="98" t="s">
        <v>1026</v>
      </c>
      <c r="I194" s="98" t="s">
        <v>1397</v>
      </c>
      <c r="J194" s="100" t="s">
        <v>1282</v>
      </c>
      <c r="K194" s="100" t="s">
        <v>1412</v>
      </c>
      <c r="L194" s="98" t="s">
        <v>1030</v>
      </c>
      <c r="M194" s="98" t="s">
        <v>1030</v>
      </c>
      <c r="N194" s="98" t="s">
        <v>1031</v>
      </c>
      <c r="O194" s="98" t="s">
        <v>677</v>
      </c>
      <c r="P194" s="98" t="s">
        <v>1283</v>
      </c>
      <c r="Q194" s="98" t="s">
        <v>811</v>
      </c>
      <c r="R194" s="98" t="s">
        <v>1284</v>
      </c>
      <c r="S194" s="98" t="s">
        <v>1034</v>
      </c>
    </row>
    <row r="195" customFormat="false" ht="55" hidden="false" customHeight="true" outlineLevel="0" collapsed="false">
      <c r="C195" s="98" t="s">
        <v>1022</v>
      </c>
      <c r="D195" s="98" t="s">
        <v>1023</v>
      </c>
      <c r="E195" s="98" t="s">
        <v>1024</v>
      </c>
      <c r="F195" s="98" t="n">
        <v>46270.7484260648</v>
      </c>
      <c r="G195" s="98" t="s">
        <v>1025</v>
      </c>
      <c r="H195" s="98" t="s">
        <v>1026</v>
      </c>
      <c r="I195" s="98" t="s">
        <v>1397</v>
      </c>
      <c r="J195" s="100" t="s">
        <v>1282</v>
      </c>
      <c r="K195" s="100" t="s">
        <v>1412</v>
      </c>
      <c r="L195" s="98" t="s">
        <v>1035</v>
      </c>
      <c r="M195" s="98" t="s">
        <v>1035</v>
      </c>
      <c r="N195" s="98" t="s">
        <v>1031</v>
      </c>
      <c r="O195" s="98" t="s">
        <v>677</v>
      </c>
      <c r="P195" s="98" t="s">
        <v>1285</v>
      </c>
      <c r="Q195" s="98" t="s">
        <v>811</v>
      </c>
      <c r="R195" s="98" t="s">
        <v>1286</v>
      </c>
      <c r="S195" s="98" t="s">
        <v>1034</v>
      </c>
    </row>
    <row r="196" customFormat="false" ht="55" hidden="false" customHeight="true" outlineLevel="0" collapsed="false">
      <c r="C196" s="98" t="s">
        <v>1043</v>
      </c>
      <c r="D196" s="98" t="s">
        <v>679</v>
      </c>
      <c r="E196" s="98" t="s">
        <v>1044</v>
      </c>
      <c r="F196" s="98" t="n">
        <v>46270.748424375</v>
      </c>
      <c r="G196" s="98" t="n">
        <v>46271.5168071875</v>
      </c>
      <c r="H196" s="98" t="s">
        <v>680</v>
      </c>
      <c r="I196" s="98" t="s">
        <v>1413</v>
      </c>
      <c r="J196" s="100" t="s">
        <v>1282</v>
      </c>
      <c r="K196" s="100" t="s">
        <v>1398</v>
      </c>
      <c r="L196" s="98" t="s">
        <v>1046</v>
      </c>
      <c r="M196" s="98" t="s">
        <v>1046</v>
      </c>
      <c r="N196" s="98" t="s">
        <v>1031</v>
      </c>
      <c r="O196" s="98" t="s">
        <v>677</v>
      </c>
      <c r="P196" s="98" t="s">
        <v>1283</v>
      </c>
      <c r="Q196" s="98" t="s">
        <v>811</v>
      </c>
      <c r="R196" s="98" t="s">
        <v>1284</v>
      </c>
      <c r="S196" s="98" t="s">
        <v>681</v>
      </c>
    </row>
    <row r="197" customFormat="false" ht="55" hidden="false" customHeight="true" outlineLevel="0" collapsed="false">
      <c r="C197" s="98" t="s">
        <v>1043</v>
      </c>
      <c r="D197" s="98" t="s">
        <v>679</v>
      </c>
      <c r="E197" s="98" t="s">
        <v>1044</v>
      </c>
      <c r="F197" s="98" t="n">
        <v>46270.748424375</v>
      </c>
      <c r="G197" s="98" t="n">
        <v>46271.5168071875</v>
      </c>
      <c r="H197" s="98" t="s">
        <v>680</v>
      </c>
      <c r="I197" s="98" t="s">
        <v>1413</v>
      </c>
      <c r="J197" s="100" t="s">
        <v>1282</v>
      </c>
      <c r="K197" s="100" t="s">
        <v>1398</v>
      </c>
      <c r="L197" s="98" t="s">
        <v>1030</v>
      </c>
      <c r="M197" s="98" t="s">
        <v>1030</v>
      </c>
      <c r="N197" s="98" t="s">
        <v>1031</v>
      </c>
      <c r="O197" s="98" t="s">
        <v>677</v>
      </c>
      <c r="P197" s="98" t="s">
        <v>1285</v>
      </c>
      <c r="Q197" s="98" t="s">
        <v>811</v>
      </c>
      <c r="R197" s="98" t="s">
        <v>1286</v>
      </c>
      <c r="S197" s="98" t="s">
        <v>681</v>
      </c>
    </row>
    <row r="198" customFormat="false" ht="55" hidden="false" customHeight="true" outlineLevel="0" collapsed="false">
      <c r="C198" s="98" t="s">
        <v>1043</v>
      </c>
      <c r="D198" s="98" t="s">
        <v>679</v>
      </c>
      <c r="E198" s="98" t="s">
        <v>1044</v>
      </c>
      <c r="F198" s="98" t="n">
        <v>46270.748424375</v>
      </c>
      <c r="G198" s="98" t="n">
        <v>46271.5168071875</v>
      </c>
      <c r="H198" s="98" t="s">
        <v>680</v>
      </c>
      <c r="I198" s="98" t="s">
        <v>1413</v>
      </c>
      <c r="J198" s="100" t="s">
        <v>1282</v>
      </c>
      <c r="K198" s="100" t="s">
        <v>1401</v>
      </c>
      <c r="L198" s="98" t="s">
        <v>1046</v>
      </c>
      <c r="M198" s="98" t="s">
        <v>1046</v>
      </c>
      <c r="N198" s="98" t="s">
        <v>1031</v>
      </c>
      <c r="O198" s="98" t="s">
        <v>677</v>
      </c>
      <c r="P198" s="98" t="s">
        <v>1305</v>
      </c>
      <c r="Q198" s="98" t="s">
        <v>811</v>
      </c>
      <c r="R198" s="98" t="s">
        <v>1306</v>
      </c>
      <c r="S198" s="98" t="s">
        <v>681</v>
      </c>
    </row>
    <row r="199" customFormat="false" ht="55" hidden="false" customHeight="true" outlineLevel="0" collapsed="false">
      <c r="C199" s="98" t="s">
        <v>1043</v>
      </c>
      <c r="D199" s="98" t="s">
        <v>679</v>
      </c>
      <c r="E199" s="98" t="s">
        <v>1044</v>
      </c>
      <c r="F199" s="98" t="n">
        <v>46270.748424375</v>
      </c>
      <c r="G199" s="98" t="n">
        <v>46271.5168071875</v>
      </c>
      <c r="H199" s="98" t="s">
        <v>680</v>
      </c>
      <c r="I199" s="98" t="s">
        <v>1413</v>
      </c>
      <c r="J199" s="100" t="s">
        <v>1282</v>
      </c>
      <c r="K199" s="100" t="s">
        <v>1401</v>
      </c>
      <c r="L199" s="98" t="s">
        <v>1030</v>
      </c>
      <c r="M199" s="98" t="s">
        <v>1030</v>
      </c>
      <c r="N199" s="98" t="s">
        <v>1031</v>
      </c>
      <c r="O199" s="98" t="s">
        <v>677</v>
      </c>
      <c r="P199" s="98" t="s">
        <v>1232</v>
      </c>
      <c r="Q199" s="98" t="s">
        <v>811</v>
      </c>
      <c r="R199" s="98" t="s">
        <v>1233</v>
      </c>
      <c r="S199" s="98" t="s">
        <v>681</v>
      </c>
    </row>
    <row r="200" customFormat="false" ht="55" hidden="false" customHeight="true" outlineLevel="0" collapsed="false">
      <c r="C200" s="98" t="s">
        <v>1043</v>
      </c>
      <c r="D200" s="98" t="s">
        <v>679</v>
      </c>
      <c r="E200" s="98" t="s">
        <v>1044</v>
      </c>
      <c r="F200" s="98" t="n">
        <v>46270.748424375</v>
      </c>
      <c r="G200" s="98" t="n">
        <v>46271.5168071875</v>
      </c>
      <c r="H200" s="98" t="s">
        <v>680</v>
      </c>
      <c r="I200" s="98" t="s">
        <v>1413</v>
      </c>
      <c r="J200" s="100" t="s">
        <v>1282</v>
      </c>
      <c r="K200" s="100" t="s">
        <v>1402</v>
      </c>
      <c r="L200" s="98" t="s">
        <v>1046</v>
      </c>
      <c r="M200" s="98" t="s">
        <v>1046</v>
      </c>
      <c r="N200" s="98" t="s">
        <v>1031</v>
      </c>
      <c r="O200" s="98" t="s">
        <v>677</v>
      </c>
      <c r="P200" s="98" t="s">
        <v>1414</v>
      </c>
      <c r="Q200" s="98" t="s">
        <v>811</v>
      </c>
      <c r="R200" s="98" t="s">
        <v>1415</v>
      </c>
      <c r="S200" s="98" t="s">
        <v>681</v>
      </c>
    </row>
    <row r="201" customFormat="false" ht="55" hidden="false" customHeight="true" outlineLevel="0" collapsed="false">
      <c r="C201" s="98" t="s">
        <v>1043</v>
      </c>
      <c r="D201" s="98" t="s">
        <v>679</v>
      </c>
      <c r="E201" s="98" t="s">
        <v>1044</v>
      </c>
      <c r="F201" s="98" t="n">
        <v>46270.748424375</v>
      </c>
      <c r="G201" s="98" t="n">
        <v>46271.5168071875</v>
      </c>
      <c r="H201" s="98" t="s">
        <v>680</v>
      </c>
      <c r="I201" s="98" t="s">
        <v>1413</v>
      </c>
      <c r="J201" s="100" t="s">
        <v>1282</v>
      </c>
      <c r="K201" s="100" t="s">
        <v>1402</v>
      </c>
      <c r="L201" s="98" t="s">
        <v>1030</v>
      </c>
      <c r="M201" s="98" t="s">
        <v>1030</v>
      </c>
      <c r="N201" s="98" t="s">
        <v>1031</v>
      </c>
      <c r="O201" s="98" t="s">
        <v>677</v>
      </c>
      <c r="P201" s="98" t="s">
        <v>1403</v>
      </c>
      <c r="Q201" s="98" t="s">
        <v>811</v>
      </c>
      <c r="R201" s="98" t="s">
        <v>1404</v>
      </c>
      <c r="S201" s="98" t="s">
        <v>681</v>
      </c>
    </row>
    <row r="202" customFormat="false" ht="55" hidden="false" customHeight="true" outlineLevel="0" collapsed="false">
      <c r="C202" s="98" t="s">
        <v>1043</v>
      </c>
      <c r="D202" s="98" t="s">
        <v>679</v>
      </c>
      <c r="E202" s="98" t="s">
        <v>1044</v>
      </c>
      <c r="F202" s="98" t="n">
        <v>46270.748424375</v>
      </c>
      <c r="G202" s="98" t="n">
        <v>46271.5168071875</v>
      </c>
      <c r="H202" s="98" t="s">
        <v>680</v>
      </c>
      <c r="I202" s="98" t="s">
        <v>1413</v>
      </c>
      <c r="J202" s="100" t="s">
        <v>1282</v>
      </c>
      <c r="K202" s="100" t="s">
        <v>1407</v>
      </c>
      <c r="L202" s="98" t="s">
        <v>1046</v>
      </c>
      <c r="M202" s="98" t="s">
        <v>1046</v>
      </c>
      <c r="N202" s="98" t="s">
        <v>1031</v>
      </c>
      <c r="O202" s="98" t="s">
        <v>677</v>
      </c>
      <c r="P202" s="98" t="s">
        <v>1416</v>
      </c>
      <c r="Q202" s="98" t="s">
        <v>811</v>
      </c>
      <c r="R202" s="98" t="s">
        <v>1417</v>
      </c>
      <c r="S202" s="98" t="s">
        <v>681</v>
      </c>
    </row>
    <row r="203" customFormat="false" ht="55" hidden="false" customHeight="true" outlineLevel="0" collapsed="false">
      <c r="C203" s="98" t="s">
        <v>1043</v>
      </c>
      <c r="D203" s="98" t="s">
        <v>679</v>
      </c>
      <c r="E203" s="98" t="s">
        <v>1044</v>
      </c>
      <c r="F203" s="98" t="n">
        <v>46270.748424375</v>
      </c>
      <c r="G203" s="98" t="n">
        <v>46271.5168071875</v>
      </c>
      <c r="H203" s="98" t="s">
        <v>680</v>
      </c>
      <c r="I203" s="98" t="s">
        <v>1413</v>
      </c>
      <c r="J203" s="100" t="s">
        <v>1282</v>
      </c>
      <c r="K203" s="100" t="s">
        <v>1407</v>
      </c>
      <c r="L203" s="98" t="s">
        <v>1030</v>
      </c>
      <c r="M203" s="98" t="s">
        <v>1030</v>
      </c>
      <c r="N203" s="98" t="s">
        <v>1031</v>
      </c>
      <c r="O203" s="98" t="s">
        <v>677</v>
      </c>
      <c r="P203" s="98" t="s">
        <v>1408</v>
      </c>
      <c r="Q203" s="98" t="s">
        <v>811</v>
      </c>
      <c r="R203" s="98" t="s">
        <v>1409</v>
      </c>
      <c r="S203" s="98" t="s">
        <v>681</v>
      </c>
    </row>
    <row r="204" customFormat="false" ht="55" hidden="false" customHeight="true" outlineLevel="0" collapsed="false">
      <c r="C204" s="98" t="s">
        <v>1043</v>
      </c>
      <c r="D204" s="98" t="s">
        <v>679</v>
      </c>
      <c r="E204" s="98" t="s">
        <v>1044</v>
      </c>
      <c r="F204" s="98" t="n">
        <v>46270.748424375</v>
      </c>
      <c r="G204" s="98" t="n">
        <v>46271.5168071875</v>
      </c>
      <c r="H204" s="98" t="s">
        <v>680</v>
      </c>
      <c r="I204" s="98" t="s">
        <v>1413</v>
      </c>
      <c r="J204" s="100" t="s">
        <v>1282</v>
      </c>
      <c r="K204" s="100" t="s">
        <v>1412</v>
      </c>
      <c r="L204" s="98" t="s">
        <v>1046</v>
      </c>
      <c r="M204" s="98" t="s">
        <v>1046</v>
      </c>
      <c r="N204" s="98" t="s">
        <v>1031</v>
      </c>
      <c r="O204" s="98" t="s">
        <v>677</v>
      </c>
      <c r="P204" s="98" t="s">
        <v>1329</v>
      </c>
      <c r="Q204" s="98" t="s">
        <v>811</v>
      </c>
      <c r="R204" s="98" t="s">
        <v>1330</v>
      </c>
      <c r="S204" s="98" t="s">
        <v>681</v>
      </c>
    </row>
    <row r="205" customFormat="false" ht="55" hidden="false" customHeight="true" outlineLevel="0" collapsed="false">
      <c r="C205" s="98" t="s">
        <v>1043</v>
      </c>
      <c r="D205" s="98" t="s">
        <v>679</v>
      </c>
      <c r="E205" s="98" t="s">
        <v>1044</v>
      </c>
      <c r="F205" s="98" t="n">
        <v>46270.748424375</v>
      </c>
      <c r="G205" s="98" t="n">
        <v>46271.5168071875</v>
      </c>
      <c r="H205" s="98" t="s">
        <v>680</v>
      </c>
      <c r="I205" s="98" t="s">
        <v>1413</v>
      </c>
      <c r="J205" s="100" t="s">
        <v>1282</v>
      </c>
      <c r="K205" s="100" t="s">
        <v>1412</v>
      </c>
      <c r="L205" s="98" t="s">
        <v>1030</v>
      </c>
      <c r="M205" s="98" t="s">
        <v>1030</v>
      </c>
      <c r="N205" s="98" t="s">
        <v>1031</v>
      </c>
      <c r="O205" s="98" t="s">
        <v>677</v>
      </c>
      <c r="P205" s="98" t="s">
        <v>1283</v>
      </c>
      <c r="Q205" s="98" t="s">
        <v>811</v>
      </c>
      <c r="R205" s="98" t="s">
        <v>1284</v>
      </c>
      <c r="S205" s="98" t="s">
        <v>681</v>
      </c>
    </row>
    <row r="206" customFormat="false" ht="55" hidden="false" customHeight="true" outlineLevel="0" collapsed="false">
      <c r="C206" s="98" t="s">
        <v>1022</v>
      </c>
      <c r="D206" s="98" t="s">
        <v>1023</v>
      </c>
      <c r="E206" s="98" t="s">
        <v>1024</v>
      </c>
      <c r="F206" s="98" t="n">
        <v>46270.7484260648</v>
      </c>
      <c r="G206" s="98" t="s">
        <v>1025</v>
      </c>
      <c r="H206" s="98" t="s">
        <v>1026</v>
      </c>
      <c r="I206" s="98" t="s">
        <v>1241</v>
      </c>
      <c r="J206" s="100" t="s">
        <v>1418</v>
      </c>
      <c r="K206" s="100" t="s">
        <v>933</v>
      </c>
      <c r="L206" s="98" t="s">
        <v>1030</v>
      </c>
      <c r="M206" s="98" t="s">
        <v>1030</v>
      </c>
      <c r="N206" s="98" t="s">
        <v>1031</v>
      </c>
      <c r="O206" s="98" t="s">
        <v>677</v>
      </c>
      <c r="P206" s="98"/>
      <c r="Q206" s="98" t="s">
        <v>811</v>
      </c>
      <c r="R206" s="98"/>
      <c r="S206" s="98" t="s">
        <v>1034</v>
      </c>
    </row>
    <row r="207" customFormat="false" ht="55" hidden="false" customHeight="true" outlineLevel="0" collapsed="false">
      <c r="C207" s="98" t="s">
        <v>1022</v>
      </c>
      <c r="D207" s="98" t="s">
        <v>1023</v>
      </c>
      <c r="E207" s="98" t="s">
        <v>1024</v>
      </c>
      <c r="F207" s="98" t="n">
        <v>46270.7484260648</v>
      </c>
      <c r="G207" s="98" t="s">
        <v>1025</v>
      </c>
      <c r="H207" s="98" t="s">
        <v>1026</v>
      </c>
      <c r="I207" s="98" t="s">
        <v>1241</v>
      </c>
      <c r="J207" s="100" t="s">
        <v>1418</v>
      </c>
      <c r="K207" s="100" t="s">
        <v>933</v>
      </c>
      <c r="L207" s="98" t="s">
        <v>1035</v>
      </c>
      <c r="M207" s="98" t="s">
        <v>1035</v>
      </c>
      <c r="N207" s="98" t="s">
        <v>1031</v>
      </c>
      <c r="O207" s="98" t="s">
        <v>677</v>
      </c>
      <c r="P207" s="98"/>
      <c r="Q207" s="98" t="s">
        <v>811</v>
      </c>
      <c r="R207" s="98"/>
      <c r="S207" s="98" t="s">
        <v>1034</v>
      </c>
    </row>
    <row r="208" customFormat="false" ht="55" hidden="false" customHeight="true" outlineLevel="0" collapsed="false">
      <c r="C208" s="98" t="s">
        <v>1022</v>
      </c>
      <c r="D208" s="98" t="s">
        <v>1023</v>
      </c>
      <c r="E208" s="98" t="s">
        <v>1024</v>
      </c>
      <c r="F208" s="98" t="n">
        <v>46270.7484260648</v>
      </c>
      <c r="G208" s="98" t="s">
        <v>1025</v>
      </c>
      <c r="H208" s="98" t="s">
        <v>1026</v>
      </c>
      <c r="I208" s="98" t="s">
        <v>1241</v>
      </c>
      <c r="J208" s="100" t="s">
        <v>1418</v>
      </c>
      <c r="K208" s="100" t="s">
        <v>935</v>
      </c>
      <c r="L208" s="98" t="s">
        <v>1030</v>
      </c>
      <c r="M208" s="98" t="s">
        <v>1030</v>
      </c>
      <c r="N208" s="98" t="s">
        <v>1031</v>
      </c>
      <c r="O208" s="98" t="s">
        <v>677</v>
      </c>
      <c r="P208" s="98" t="s">
        <v>1419</v>
      </c>
      <c r="Q208" s="98" t="s">
        <v>811</v>
      </c>
      <c r="R208" s="98" t="s">
        <v>1420</v>
      </c>
      <c r="S208" s="98" t="s">
        <v>1034</v>
      </c>
    </row>
    <row r="209" customFormat="false" ht="55" hidden="false" customHeight="true" outlineLevel="0" collapsed="false">
      <c r="C209" s="98" t="s">
        <v>1022</v>
      </c>
      <c r="D209" s="98" t="s">
        <v>1023</v>
      </c>
      <c r="E209" s="98" t="s">
        <v>1024</v>
      </c>
      <c r="F209" s="98" t="n">
        <v>46270.7484260648</v>
      </c>
      <c r="G209" s="98" t="s">
        <v>1025</v>
      </c>
      <c r="H209" s="98" t="s">
        <v>1026</v>
      </c>
      <c r="I209" s="98" t="s">
        <v>1241</v>
      </c>
      <c r="J209" s="100" t="s">
        <v>1418</v>
      </c>
      <c r="K209" s="100" t="s">
        <v>935</v>
      </c>
      <c r="L209" s="98" t="s">
        <v>1035</v>
      </c>
      <c r="M209" s="98" t="s">
        <v>1035</v>
      </c>
      <c r="N209" s="98" t="s">
        <v>1031</v>
      </c>
      <c r="O209" s="98" t="s">
        <v>677</v>
      </c>
      <c r="P209" s="98" t="s">
        <v>1421</v>
      </c>
      <c r="Q209" s="98" t="s">
        <v>811</v>
      </c>
      <c r="R209" s="98" t="s">
        <v>1422</v>
      </c>
      <c r="S209" s="98" t="s">
        <v>1034</v>
      </c>
    </row>
    <row r="210" customFormat="false" ht="55" hidden="false" customHeight="true" outlineLevel="0" collapsed="false">
      <c r="C210" s="98" t="s">
        <v>1022</v>
      </c>
      <c r="D210" s="98" t="s">
        <v>1023</v>
      </c>
      <c r="E210" s="98" t="s">
        <v>1024</v>
      </c>
      <c r="F210" s="98" t="n">
        <v>46270.7484260648</v>
      </c>
      <c r="G210" s="98" t="s">
        <v>1025</v>
      </c>
      <c r="H210" s="98" t="s">
        <v>1026</v>
      </c>
      <c r="I210" s="98" t="s">
        <v>1241</v>
      </c>
      <c r="J210" s="100" t="s">
        <v>1418</v>
      </c>
      <c r="K210" s="100" t="s">
        <v>936</v>
      </c>
      <c r="L210" s="98" t="s">
        <v>1030</v>
      </c>
      <c r="M210" s="98" t="s">
        <v>1030</v>
      </c>
      <c r="N210" s="98" t="s">
        <v>1031</v>
      </c>
      <c r="O210" s="98" t="s">
        <v>677</v>
      </c>
      <c r="P210" s="98"/>
      <c r="Q210" s="98" t="s">
        <v>811</v>
      </c>
      <c r="R210" s="98"/>
      <c r="S210" s="98" t="s">
        <v>1034</v>
      </c>
    </row>
    <row r="211" customFormat="false" ht="55" hidden="false" customHeight="true" outlineLevel="0" collapsed="false">
      <c r="C211" s="98" t="s">
        <v>1022</v>
      </c>
      <c r="D211" s="98" t="s">
        <v>1023</v>
      </c>
      <c r="E211" s="98" t="s">
        <v>1024</v>
      </c>
      <c r="F211" s="98" t="n">
        <v>46270.7484260648</v>
      </c>
      <c r="G211" s="98" t="s">
        <v>1025</v>
      </c>
      <c r="H211" s="98" t="s">
        <v>1026</v>
      </c>
      <c r="I211" s="98" t="s">
        <v>1241</v>
      </c>
      <c r="J211" s="100" t="s">
        <v>1418</v>
      </c>
      <c r="K211" s="100" t="s">
        <v>936</v>
      </c>
      <c r="L211" s="98" t="s">
        <v>1035</v>
      </c>
      <c r="M211" s="98" t="s">
        <v>1035</v>
      </c>
      <c r="N211" s="98" t="s">
        <v>1031</v>
      </c>
      <c r="O211" s="98" t="s">
        <v>677</v>
      </c>
      <c r="P211" s="98"/>
      <c r="Q211" s="98" t="s">
        <v>811</v>
      </c>
      <c r="R211" s="98"/>
      <c r="S211" s="98" t="s">
        <v>1034</v>
      </c>
    </row>
    <row r="212" customFormat="false" ht="55" hidden="false" customHeight="true" outlineLevel="0" collapsed="false">
      <c r="C212" s="98" t="s">
        <v>1022</v>
      </c>
      <c r="D212" s="98" t="s">
        <v>1023</v>
      </c>
      <c r="E212" s="98" t="s">
        <v>1024</v>
      </c>
      <c r="F212" s="98" t="n">
        <v>46270.7484260648</v>
      </c>
      <c r="G212" s="98" t="s">
        <v>1025</v>
      </c>
      <c r="H212" s="98" t="s">
        <v>1026</v>
      </c>
      <c r="I212" s="98" t="s">
        <v>1241</v>
      </c>
      <c r="J212" s="100" t="s">
        <v>1418</v>
      </c>
      <c r="K212" s="100" t="s">
        <v>937</v>
      </c>
      <c r="L212" s="98" t="s">
        <v>1030</v>
      </c>
      <c r="M212" s="98" t="s">
        <v>1030</v>
      </c>
      <c r="N212" s="98" t="s">
        <v>1031</v>
      </c>
      <c r="O212" s="98" t="s">
        <v>677</v>
      </c>
      <c r="P212" s="98"/>
      <c r="Q212" s="98" t="s">
        <v>811</v>
      </c>
      <c r="R212" s="98"/>
      <c r="S212" s="98" t="s">
        <v>1034</v>
      </c>
    </row>
    <row r="213" customFormat="false" ht="55" hidden="false" customHeight="true" outlineLevel="0" collapsed="false">
      <c r="C213" s="98" t="s">
        <v>1022</v>
      </c>
      <c r="D213" s="98" t="s">
        <v>1023</v>
      </c>
      <c r="E213" s="98" t="s">
        <v>1024</v>
      </c>
      <c r="F213" s="98" t="n">
        <v>46270.7484260648</v>
      </c>
      <c r="G213" s="98" t="s">
        <v>1025</v>
      </c>
      <c r="H213" s="98" t="s">
        <v>1026</v>
      </c>
      <c r="I213" s="98" t="s">
        <v>1241</v>
      </c>
      <c r="J213" s="100" t="s">
        <v>1418</v>
      </c>
      <c r="K213" s="100" t="s">
        <v>937</v>
      </c>
      <c r="L213" s="98" t="s">
        <v>1035</v>
      </c>
      <c r="M213" s="98" t="s">
        <v>1035</v>
      </c>
      <c r="N213" s="98" t="s">
        <v>1031</v>
      </c>
      <c r="O213" s="98" t="s">
        <v>677</v>
      </c>
      <c r="P213" s="98"/>
      <c r="Q213" s="98" t="s">
        <v>811</v>
      </c>
      <c r="R213" s="98"/>
      <c r="S213" s="98" t="s">
        <v>1034</v>
      </c>
    </row>
    <row r="214" customFormat="false" ht="55" hidden="false" customHeight="true" outlineLevel="0" collapsed="false">
      <c r="C214" s="98" t="s">
        <v>1022</v>
      </c>
      <c r="D214" s="98" t="s">
        <v>1023</v>
      </c>
      <c r="E214" s="98" t="s">
        <v>1024</v>
      </c>
      <c r="F214" s="98" t="n">
        <v>46270.7484260648</v>
      </c>
      <c r="G214" s="98" t="s">
        <v>1025</v>
      </c>
      <c r="H214" s="98" t="s">
        <v>1026</v>
      </c>
      <c r="I214" s="98" t="s">
        <v>1241</v>
      </c>
      <c r="J214" s="100" t="s">
        <v>1418</v>
      </c>
      <c r="K214" s="100" t="s">
        <v>938</v>
      </c>
      <c r="L214" s="98" t="s">
        <v>1030</v>
      </c>
      <c r="M214" s="98" t="s">
        <v>1030</v>
      </c>
      <c r="N214" s="98" t="s">
        <v>1031</v>
      </c>
      <c r="O214" s="98" t="s">
        <v>677</v>
      </c>
      <c r="P214" s="98"/>
      <c r="Q214" s="98" t="s">
        <v>811</v>
      </c>
      <c r="R214" s="98"/>
      <c r="S214" s="98" t="s">
        <v>1034</v>
      </c>
    </row>
    <row r="215" customFormat="false" ht="55" hidden="false" customHeight="true" outlineLevel="0" collapsed="false">
      <c r="C215" s="98" t="s">
        <v>1022</v>
      </c>
      <c r="D215" s="98" t="s">
        <v>1023</v>
      </c>
      <c r="E215" s="98" t="s">
        <v>1024</v>
      </c>
      <c r="F215" s="98" t="n">
        <v>46270.7484260648</v>
      </c>
      <c r="G215" s="98" t="s">
        <v>1025</v>
      </c>
      <c r="H215" s="98" t="s">
        <v>1026</v>
      </c>
      <c r="I215" s="98" t="s">
        <v>1241</v>
      </c>
      <c r="J215" s="100" t="s">
        <v>1418</v>
      </c>
      <c r="K215" s="100" t="s">
        <v>938</v>
      </c>
      <c r="L215" s="98" t="s">
        <v>1035</v>
      </c>
      <c r="M215" s="98" t="s">
        <v>1035</v>
      </c>
      <c r="N215" s="98" t="s">
        <v>1031</v>
      </c>
      <c r="O215" s="98" t="s">
        <v>677</v>
      </c>
      <c r="P215" s="98"/>
      <c r="Q215" s="98" t="s">
        <v>811</v>
      </c>
      <c r="R215" s="98"/>
      <c r="S215" s="98" t="s">
        <v>1034</v>
      </c>
    </row>
    <row r="216" customFormat="false" ht="55" hidden="false" customHeight="true" outlineLevel="0" collapsed="false">
      <c r="C216" s="98" t="s">
        <v>1022</v>
      </c>
      <c r="D216" s="98" t="s">
        <v>1023</v>
      </c>
      <c r="E216" s="98" t="s">
        <v>1024</v>
      </c>
      <c r="F216" s="98" t="n">
        <v>46270.7484260648</v>
      </c>
      <c r="G216" s="98" t="s">
        <v>1025</v>
      </c>
      <c r="H216" s="98" t="s">
        <v>1026</v>
      </c>
      <c r="I216" s="98" t="s">
        <v>1241</v>
      </c>
      <c r="J216" s="100" t="s">
        <v>1418</v>
      </c>
      <c r="K216" s="100" t="s">
        <v>939</v>
      </c>
      <c r="L216" s="98" t="s">
        <v>1030</v>
      </c>
      <c r="M216" s="98" t="s">
        <v>1030</v>
      </c>
      <c r="N216" s="98" t="s">
        <v>1031</v>
      </c>
      <c r="O216" s="98" t="s">
        <v>677</v>
      </c>
      <c r="P216" s="98"/>
      <c r="Q216" s="98" t="s">
        <v>811</v>
      </c>
      <c r="R216" s="98"/>
      <c r="S216" s="98" t="s">
        <v>1034</v>
      </c>
    </row>
    <row r="217" customFormat="false" ht="55" hidden="false" customHeight="true" outlineLevel="0" collapsed="false">
      <c r="C217" s="98" t="s">
        <v>1022</v>
      </c>
      <c r="D217" s="98" t="s">
        <v>1023</v>
      </c>
      <c r="E217" s="98" t="s">
        <v>1024</v>
      </c>
      <c r="F217" s="98" t="n">
        <v>46270.7484260648</v>
      </c>
      <c r="G217" s="98" t="s">
        <v>1025</v>
      </c>
      <c r="H217" s="98" t="s">
        <v>1026</v>
      </c>
      <c r="I217" s="98" t="s">
        <v>1241</v>
      </c>
      <c r="J217" s="100" t="s">
        <v>1418</v>
      </c>
      <c r="K217" s="100" t="s">
        <v>939</v>
      </c>
      <c r="L217" s="98" t="s">
        <v>1035</v>
      </c>
      <c r="M217" s="98" t="s">
        <v>1035</v>
      </c>
      <c r="N217" s="98" t="s">
        <v>1031</v>
      </c>
      <c r="O217" s="98" t="s">
        <v>677</v>
      </c>
      <c r="P217" s="98"/>
      <c r="Q217" s="98" t="s">
        <v>811</v>
      </c>
      <c r="R217" s="98"/>
      <c r="S217" s="98" t="s">
        <v>1034</v>
      </c>
    </row>
    <row r="218" customFormat="false" ht="55" hidden="false" customHeight="true" outlineLevel="0" collapsed="false">
      <c r="C218" s="98" t="s">
        <v>1022</v>
      </c>
      <c r="D218" s="98" t="s">
        <v>1023</v>
      </c>
      <c r="E218" s="98" t="s">
        <v>1024</v>
      </c>
      <c r="F218" s="98" t="n">
        <v>46270.7484260648</v>
      </c>
      <c r="G218" s="98" t="s">
        <v>1025</v>
      </c>
      <c r="H218" s="98" t="s">
        <v>1026</v>
      </c>
      <c r="I218" s="98" t="s">
        <v>1241</v>
      </c>
      <c r="J218" s="100" t="s">
        <v>1418</v>
      </c>
      <c r="K218" s="100" t="s">
        <v>940</v>
      </c>
      <c r="L218" s="98" t="s">
        <v>1030</v>
      </c>
      <c r="M218" s="98" t="s">
        <v>1030</v>
      </c>
      <c r="N218" s="98" t="s">
        <v>1031</v>
      </c>
      <c r="O218" s="98" t="s">
        <v>677</v>
      </c>
      <c r="P218" s="98"/>
      <c r="Q218" s="98" t="s">
        <v>811</v>
      </c>
      <c r="R218" s="98"/>
      <c r="S218" s="98" t="s">
        <v>1034</v>
      </c>
    </row>
    <row r="219" customFormat="false" ht="55" hidden="false" customHeight="true" outlineLevel="0" collapsed="false">
      <c r="C219" s="98" t="s">
        <v>1022</v>
      </c>
      <c r="D219" s="98" t="s">
        <v>1023</v>
      </c>
      <c r="E219" s="98" t="s">
        <v>1024</v>
      </c>
      <c r="F219" s="98" t="n">
        <v>46270.7484260648</v>
      </c>
      <c r="G219" s="98" t="s">
        <v>1025</v>
      </c>
      <c r="H219" s="98" t="s">
        <v>1026</v>
      </c>
      <c r="I219" s="98" t="s">
        <v>1241</v>
      </c>
      <c r="J219" s="100" t="s">
        <v>1418</v>
      </c>
      <c r="K219" s="100" t="s">
        <v>940</v>
      </c>
      <c r="L219" s="98" t="s">
        <v>1035</v>
      </c>
      <c r="M219" s="98" t="s">
        <v>1035</v>
      </c>
      <c r="N219" s="98" t="s">
        <v>1031</v>
      </c>
      <c r="O219" s="98" t="s">
        <v>677</v>
      </c>
      <c r="P219" s="98"/>
      <c r="Q219" s="98" t="s">
        <v>811</v>
      </c>
      <c r="R219" s="98"/>
      <c r="S219" s="98" t="s">
        <v>1034</v>
      </c>
    </row>
    <row r="220" customFormat="false" ht="55" hidden="false" customHeight="true" outlineLevel="0" collapsed="false">
      <c r="C220" s="98" t="s">
        <v>1022</v>
      </c>
      <c r="D220" s="98" t="s">
        <v>1023</v>
      </c>
      <c r="E220" s="98" t="s">
        <v>1024</v>
      </c>
      <c r="F220" s="98" t="n">
        <v>46270.7484260648</v>
      </c>
      <c r="G220" s="98" t="s">
        <v>1025</v>
      </c>
      <c r="H220" s="98" t="s">
        <v>1026</v>
      </c>
      <c r="I220" s="98" t="s">
        <v>1241</v>
      </c>
      <c r="J220" s="100" t="s">
        <v>1418</v>
      </c>
      <c r="K220" s="100" t="s">
        <v>941</v>
      </c>
      <c r="L220" s="98" t="s">
        <v>1030</v>
      </c>
      <c r="M220" s="98" t="s">
        <v>1030</v>
      </c>
      <c r="N220" s="98" t="s">
        <v>1031</v>
      </c>
      <c r="O220" s="98" t="s">
        <v>677</v>
      </c>
      <c r="P220" s="98"/>
      <c r="Q220" s="98" t="s">
        <v>811</v>
      </c>
      <c r="R220" s="98"/>
      <c r="S220" s="98" t="s">
        <v>1034</v>
      </c>
    </row>
    <row r="221" customFormat="false" ht="55" hidden="false" customHeight="true" outlineLevel="0" collapsed="false">
      <c r="C221" s="98" t="s">
        <v>1022</v>
      </c>
      <c r="D221" s="98" t="s">
        <v>1023</v>
      </c>
      <c r="E221" s="98" t="s">
        <v>1024</v>
      </c>
      <c r="F221" s="98" t="n">
        <v>46270.7484260648</v>
      </c>
      <c r="G221" s="98" t="s">
        <v>1025</v>
      </c>
      <c r="H221" s="98" t="s">
        <v>1026</v>
      </c>
      <c r="I221" s="98" t="s">
        <v>1241</v>
      </c>
      <c r="J221" s="100" t="s">
        <v>1418</v>
      </c>
      <c r="K221" s="100" t="s">
        <v>941</v>
      </c>
      <c r="L221" s="98" t="s">
        <v>1035</v>
      </c>
      <c r="M221" s="98" t="s">
        <v>1035</v>
      </c>
      <c r="N221" s="98" t="s">
        <v>1031</v>
      </c>
      <c r="O221" s="98" t="s">
        <v>677</v>
      </c>
      <c r="P221" s="98"/>
      <c r="Q221" s="98" t="s">
        <v>811</v>
      </c>
      <c r="R221" s="98"/>
      <c r="S221" s="98" t="s">
        <v>1034</v>
      </c>
    </row>
    <row r="222" customFormat="false" ht="55" hidden="false" customHeight="true" outlineLevel="0" collapsed="false">
      <c r="C222" s="98" t="s">
        <v>1022</v>
      </c>
      <c r="D222" s="98" t="s">
        <v>1023</v>
      </c>
      <c r="E222" s="98" t="s">
        <v>1024</v>
      </c>
      <c r="F222" s="98" t="n">
        <v>46270.7484260648</v>
      </c>
      <c r="G222" s="98" t="s">
        <v>1025</v>
      </c>
      <c r="H222" s="98" t="s">
        <v>1026</v>
      </c>
      <c r="I222" s="98" t="s">
        <v>1241</v>
      </c>
      <c r="J222" s="100" t="s">
        <v>1418</v>
      </c>
      <c r="K222" s="100" t="s">
        <v>942</v>
      </c>
      <c r="L222" s="98" t="s">
        <v>1030</v>
      </c>
      <c r="M222" s="98" t="s">
        <v>1030</v>
      </c>
      <c r="N222" s="98" t="s">
        <v>1031</v>
      </c>
      <c r="O222" s="98" t="s">
        <v>677</v>
      </c>
      <c r="P222" s="98"/>
      <c r="Q222" s="98" t="s">
        <v>811</v>
      </c>
      <c r="R222" s="98"/>
      <c r="S222" s="98" t="s">
        <v>1034</v>
      </c>
    </row>
    <row r="223" customFormat="false" ht="55" hidden="false" customHeight="true" outlineLevel="0" collapsed="false">
      <c r="C223" s="98" t="s">
        <v>1022</v>
      </c>
      <c r="D223" s="98" t="s">
        <v>1023</v>
      </c>
      <c r="E223" s="98" t="s">
        <v>1024</v>
      </c>
      <c r="F223" s="98" t="n">
        <v>46270.7484260648</v>
      </c>
      <c r="G223" s="98" t="s">
        <v>1025</v>
      </c>
      <c r="H223" s="98" t="s">
        <v>1026</v>
      </c>
      <c r="I223" s="98" t="s">
        <v>1241</v>
      </c>
      <c r="J223" s="100" t="s">
        <v>1418</v>
      </c>
      <c r="K223" s="100" t="s">
        <v>942</v>
      </c>
      <c r="L223" s="98" t="s">
        <v>1035</v>
      </c>
      <c r="M223" s="98" t="s">
        <v>1035</v>
      </c>
      <c r="N223" s="98" t="s">
        <v>1031</v>
      </c>
      <c r="O223" s="98" t="s">
        <v>677</v>
      </c>
      <c r="P223" s="98"/>
      <c r="Q223" s="98" t="s">
        <v>811</v>
      </c>
      <c r="R223" s="98"/>
      <c r="S223" s="98" t="s">
        <v>1034</v>
      </c>
    </row>
    <row r="224" customFormat="false" ht="55" hidden="false" customHeight="true" outlineLevel="0" collapsed="false">
      <c r="C224" s="98" t="s">
        <v>1022</v>
      </c>
      <c r="D224" s="98" t="s">
        <v>1023</v>
      </c>
      <c r="E224" s="98" t="s">
        <v>1024</v>
      </c>
      <c r="F224" s="98" t="n">
        <v>46270.7484260648</v>
      </c>
      <c r="G224" s="98" t="s">
        <v>1025</v>
      </c>
      <c r="H224" s="98" t="s">
        <v>1026</v>
      </c>
      <c r="I224" s="98" t="s">
        <v>1241</v>
      </c>
      <c r="J224" s="100" t="s">
        <v>1418</v>
      </c>
      <c r="K224" s="100" t="s">
        <v>943</v>
      </c>
      <c r="L224" s="98" t="s">
        <v>1030</v>
      </c>
      <c r="M224" s="98" t="s">
        <v>1030</v>
      </c>
      <c r="N224" s="98" t="s">
        <v>1031</v>
      </c>
      <c r="O224" s="98" t="s">
        <v>677</v>
      </c>
      <c r="P224" s="98"/>
      <c r="Q224" s="98" t="s">
        <v>811</v>
      </c>
      <c r="R224" s="98"/>
      <c r="S224" s="98" t="s">
        <v>1034</v>
      </c>
    </row>
    <row r="225" customFormat="false" ht="55" hidden="false" customHeight="true" outlineLevel="0" collapsed="false">
      <c r="C225" s="98" t="s">
        <v>1022</v>
      </c>
      <c r="D225" s="98" t="s">
        <v>1023</v>
      </c>
      <c r="E225" s="98" t="s">
        <v>1024</v>
      </c>
      <c r="F225" s="98" t="n">
        <v>46270.7484260648</v>
      </c>
      <c r="G225" s="98" t="s">
        <v>1025</v>
      </c>
      <c r="H225" s="98" t="s">
        <v>1026</v>
      </c>
      <c r="I225" s="98" t="s">
        <v>1241</v>
      </c>
      <c r="J225" s="100" t="s">
        <v>1418</v>
      </c>
      <c r="K225" s="100" t="s">
        <v>943</v>
      </c>
      <c r="L225" s="98" t="s">
        <v>1035</v>
      </c>
      <c r="M225" s="98" t="s">
        <v>1035</v>
      </c>
      <c r="N225" s="98" t="s">
        <v>1031</v>
      </c>
      <c r="O225" s="98" t="s">
        <v>677</v>
      </c>
      <c r="P225" s="98"/>
      <c r="Q225" s="98" t="s">
        <v>811</v>
      </c>
      <c r="R225" s="98"/>
      <c r="S225" s="98" t="s">
        <v>1034</v>
      </c>
    </row>
    <row r="226" customFormat="false" ht="55" hidden="false" customHeight="true" outlineLevel="0" collapsed="false">
      <c r="C226" s="98" t="s">
        <v>1022</v>
      </c>
      <c r="D226" s="98" t="s">
        <v>1023</v>
      </c>
      <c r="E226" s="98" t="s">
        <v>1024</v>
      </c>
      <c r="F226" s="98" t="n">
        <v>46270.7484260648</v>
      </c>
      <c r="G226" s="98" t="s">
        <v>1025</v>
      </c>
      <c r="H226" s="98" t="s">
        <v>1026</v>
      </c>
      <c r="I226" s="98" t="s">
        <v>1241</v>
      </c>
      <c r="J226" s="100" t="s">
        <v>1418</v>
      </c>
      <c r="K226" s="100" t="s">
        <v>944</v>
      </c>
      <c r="L226" s="98" t="s">
        <v>1030</v>
      </c>
      <c r="M226" s="98" t="s">
        <v>1030</v>
      </c>
      <c r="N226" s="98" t="s">
        <v>1031</v>
      </c>
      <c r="O226" s="98" t="s">
        <v>677</v>
      </c>
      <c r="P226" s="98"/>
      <c r="Q226" s="98" t="s">
        <v>811</v>
      </c>
      <c r="R226" s="98"/>
      <c r="S226" s="98" t="s">
        <v>1034</v>
      </c>
    </row>
    <row r="227" customFormat="false" ht="55" hidden="false" customHeight="true" outlineLevel="0" collapsed="false">
      <c r="C227" s="98" t="s">
        <v>1022</v>
      </c>
      <c r="D227" s="98" t="s">
        <v>1023</v>
      </c>
      <c r="E227" s="98" t="s">
        <v>1024</v>
      </c>
      <c r="F227" s="98" t="n">
        <v>46270.7484260648</v>
      </c>
      <c r="G227" s="98" t="s">
        <v>1025</v>
      </c>
      <c r="H227" s="98" t="s">
        <v>1026</v>
      </c>
      <c r="I227" s="98" t="s">
        <v>1241</v>
      </c>
      <c r="J227" s="100" t="s">
        <v>1418</v>
      </c>
      <c r="K227" s="100" t="s">
        <v>944</v>
      </c>
      <c r="L227" s="98" t="s">
        <v>1035</v>
      </c>
      <c r="M227" s="98" t="s">
        <v>1035</v>
      </c>
      <c r="N227" s="98" t="s">
        <v>1031</v>
      </c>
      <c r="O227" s="98" t="s">
        <v>677</v>
      </c>
      <c r="P227" s="98"/>
      <c r="Q227" s="98" t="s">
        <v>811</v>
      </c>
      <c r="R227" s="98"/>
      <c r="S227" s="98" t="s">
        <v>1034</v>
      </c>
    </row>
    <row r="228" customFormat="false" ht="55" hidden="false" customHeight="true" outlineLevel="0" collapsed="false">
      <c r="C228" s="98" t="s">
        <v>1022</v>
      </c>
      <c r="D228" s="98" t="s">
        <v>1023</v>
      </c>
      <c r="E228" s="98" t="s">
        <v>1024</v>
      </c>
      <c r="F228" s="98" t="n">
        <v>46270.7484260648</v>
      </c>
      <c r="G228" s="98" t="s">
        <v>1025</v>
      </c>
      <c r="H228" s="98" t="s">
        <v>1026</v>
      </c>
      <c r="I228" s="98" t="s">
        <v>1241</v>
      </c>
      <c r="J228" s="100" t="s">
        <v>1418</v>
      </c>
      <c r="K228" s="100" t="s">
        <v>945</v>
      </c>
      <c r="L228" s="98" t="s">
        <v>1030</v>
      </c>
      <c r="M228" s="98" t="s">
        <v>1030</v>
      </c>
      <c r="N228" s="98" t="s">
        <v>1031</v>
      </c>
      <c r="O228" s="98" t="s">
        <v>677</v>
      </c>
      <c r="P228" s="98"/>
      <c r="Q228" s="98" t="s">
        <v>811</v>
      </c>
      <c r="R228" s="98"/>
      <c r="S228" s="98" t="s">
        <v>1034</v>
      </c>
    </row>
    <row r="229" customFormat="false" ht="55" hidden="false" customHeight="true" outlineLevel="0" collapsed="false">
      <c r="C229" s="98" t="s">
        <v>1022</v>
      </c>
      <c r="D229" s="98" t="s">
        <v>1023</v>
      </c>
      <c r="E229" s="98" t="s">
        <v>1024</v>
      </c>
      <c r="F229" s="98" t="n">
        <v>46270.7484260648</v>
      </c>
      <c r="G229" s="98" t="s">
        <v>1025</v>
      </c>
      <c r="H229" s="98" t="s">
        <v>1026</v>
      </c>
      <c r="I229" s="98" t="s">
        <v>1241</v>
      </c>
      <c r="J229" s="100" t="s">
        <v>1418</v>
      </c>
      <c r="K229" s="100" t="s">
        <v>945</v>
      </c>
      <c r="L229" s="98" t="s">
        <v>1035</v>
      </c>
      <c r="M229" s="98" t="s">
        <v>1035</v>
      </c>
      <c r="N229" s="98" t="s">
        <v>1031</v>
      </c>
      <c r="O229" s="98" t="s">
        <v>677</v>
      </c>
      <c r="P229" s="98"/>
      <c r="Q229" s="98" t="s">
        <v>811</v>
      </c>
      <c r="R229" s="98"/>
      <c r="S229" s="98" t="s">
        <v>1034</v>
      </c>
    </row>
    <row r="230" customFormat="false" ht="55" hidden="false" customHeight="true" outlineLevel="0" collapsed="false">
      <c r="C230" s="98" t="s">
        <v>1022</v>
      </c>
      <c r="D230" s="98" t="s">
        <v>1023</v>
      </c>
      <c r="E230" s="98" t="s">
        <v>1024</v>
      </c>
      <c r="F230" s="98" t="n">
        <v>46270.7484260648</v>
      </c>
      <c r="G230" s="98" t="s">
        <v>1025</v>
      </c>
      <c r="H230" s="98" t="s">
        <v>1026</v>
      </c>
      <c r="I230" s="98" t="s">
        <v>1241</v>
      </c>
      <c r="J230" s="100" t="s">
        <v>1418</v>
      </c>
      <c r="K230" s="100" t="s">
        <v>946</v>
      </c>
      <c r="L230" s="98" t="s">
        <v>1030</v>
      </c>
      <c r="M230" s="98" t="s">
        <v>1030</v>
      </c>
      <c r="N230" s="98" t="s">
        <v>1031</v>
      </c>
      <c r="O230" s="98" t="s">
        <v>677</v>
      </c>
      <c r="P230" s="98" t="s">
        <v>1423</v>
      </c>
      <c r="Q230" s="98" t="s">
        <v>811</v>
      </c>
      <c r="R230" s="98" t="s">
        <v>1424</v>
      </c>
      <c r="S230" s="98" t="s">
        <v>1034</v>
      </c>
    </row>
    <row r="231" customFormat="false" ht="55" hidden="false" customHeight="true" outlineLevel="0" collapsed="false">
      <c r="C231" s="98" t="s">
        <v>1022</v>
      </c>
      <c r="D231" s="98" t="s">
        <v>1023</v>
      </c>
      <c r="E231" s="98" t="s">
        <v>1024</v>
      </c>
      <c r="F231" s="98" t="n">
        <v>46270.7484260648</v>
      </c>
      <c r="G231" s="98" t="s">
        <v>1025</v>
      </c>
      <c r="H231" s="98" t="s">
        <v>1026</v>
      </c>
      <c r="I231" s="98" t="s">
        <v>1241</v>
      </c>
      <c r="J231" s="100" t="s">
        <v>1418</v>
      </c>
      <c r="K231" s="100" t="s">
        <v>946</v>
      </c>
      <c r="L231" s="98" t="s">
        <v>1035</v>
      </c>
      <c r="M231" s="98" t="s">
        <v>1035</v>
      </c>
      <c r="N231" s="98" t="s">
        <v>1031</v>
      </c>
      <c r="O231" s="98" t="s">
        <v>677</v>
      </c>
      <c r="P231" s="98" t="s">
        <v>1425</v>
      </c>
      <c r="Q231" s="98" t="s">
        <v>811</v>
      </c>
      <c r="R231" s="98" t="s">
        <v>1426</v>
      </c>
      <c r="S231" s="98" t="s">
        <v>1034</v>
      </c>
    </row>
    <row r="232" customFormat="false" ht="55" hidden="false" customHeight="true" outlineLevel="0" collapsed="false">
      <c r="C232" s="98" t="s">
        <v>1022</v>
      </c>
      <c r="D232" s="98" t="s">
        <v>1023</v>
      </c>
      <c r="E232" s="98" t="s">
        <v>1024</v>
      </c>
      <c r="F232" s="98" t="n">
        <v>46270.7484260648</v>
      </c>
      <c r="G232" s="98" t="s">
        <v>1025</v>
      </c>
      <c r="H232" s="98" t="s">
        <v>1026</v>
      </c>
      <c r="I232" s="98" t="s">
        <v>1241</v>
      </c>
      <c r="J232" s="100" t="s">
        <v>1418</v>
      </c>
      <c r="K232" s="100" t="s">
        <v>947</v>
      </c>
      <c r="L232" s="98" t="s">
        <v>1030</v>
      </c>
      <c r="M232" s="98" t="s">
        <v>1030</v>
      </c>
      <c r="N232" s="98" t="s">
        <v>1031</v>
      </c>
      <c r="O232" s="98" t="s">
        <v>677</v>
      </c>
      <c r="P232" s="98" t="s">
        <v>1427</v>
      </c>
      <c r="Q232" s="98" t="s">
        <v>811</v>
      </c>
      <c r="R232" s="98" t="s">
        <v>1428</v>
      </c>
      <c r="S232" s="98" t="s">
        <v>1034</v>
      </c>
    </row>
    <row r="233" customFormat="false" ht="55" hidden="false" customHeight="true" outlineLevel="0" collapsed="false">
      <c r="C233" s="98" t="s">
        <v>1022</v>
      </c>
      <c r="D233" s="98" t="s">
        <v>1023</v>
      </c>
      <c r="E233" s="98" t="s">
        <v>1024</v>
      </c>
      <c r="F233" s="98" t="n">
        <v>46270.7484260648</v>
      </c>
      <c r="G233" s="98" t="s">
        <v>1025</v>
      </c>
      <c r="H233" s="98" t="s">
        <v>1026</v>
      </c>
      <c r="I233" s="98" t="s">
        <v>1241</v>
      </c>
      <c r="J233" s="100" t="s">
        <v>1418</v>
      </c>
      <c r="K233" s="100" t="s">
        <v>947</v>
      </c>
      <c r="L233" s="98" t="s">
        <v>1035</v>
      </c>
      <c r="M233" s="98" t="s">
        <v>1035</v>
      </c>
      <c r="N233" s="98" t="s">
        <v>1031</v>
      </c>
      <c r="O233" s="98" t="s">
        <v>677</v>
      </c>
      <c r="P233" s="98" t="s">
        <v>1429</v>
      </c>
      <c r="Q233" s="98" t="s">
        <v>811</v>
      </c>
      <c r="R233" s="98" t="s">
        <v>1430</v>
      </c>
      <c r="S233" s="98" t="s">
        <v>1034</v>
      </c>
    </row>
    <row r="234" customFormat="false" ht="55" hidden="false" customHeight="true" outlineLevel="0" collapsed="false">
      <c r="C234" s="98" t="s">
        <v>1022</v>
      </c>
      <c r="D234" s="98" t="s">
        <v>1023</v>
      </c>
      <c r="E234" s="98" t="s">
        <v>1024</v>
      </c>
      <c r="F234" s="98" t="n">
        <v>46270.7484260648</v>
      </c>
      <c r="G234" s="98" t="s">
        <v>1025</v>
      </c>
      <c r="H234" s="98" t="s">
        <v>1026</v>
      </c>
      <c r="I234" s="98" t="s">
        <v>1241</v>
      </c>
      <c r="J234" s="100" t="s">
        <v>1418</v>
      </c>
      <c r="K234" s="100" t="s">
        <v>948</v>
      </c>
      <c r="L234" s="98" t="s">
        <v>1030</v>
      </c>
      <c r="M234" s="98" t="s">
        <v>1030</v>
      </c>
      <c r="N234" s="98" t="s">
        <v>1031</v>
      </c>
      <c r="O234" s="98" t="s">
        <v>677</v>
      </c>
      <c r="P234" s="98" t="s">
        <v>1431</v>
      </c>
      <c r="Q234" s="98" t="s">
        <v>811</v>
      </c>
      <c r="R234" s="98" t="s">
        <v>1432</v>
      </c>
      <c r="S234" s="98" t="s">
        <v>1034</v>
      </c>
    </row>
    <row r="235" customFormat="false" ht="55" hidden="false" customHeight="true" outlineLevel="0" collapsed="false">
      <c r="C235" s="98" t="s">
        <v>1022</v>
      </c>
      <c r="D235" s="98" t="s">
        <v>1023</v>
      </c>
      <c r="E235" s="98" t="s">
        <v>1024</v>
      </c>
      <c r="F235" s="98" t="n">
        <v>46270.7484260648</v>
      </c>
      <c r="G235" s="98" t="s">
        <v>1025</v>
      </c>
      <c r="H235" s="98" t="s">
        <v>1026</v>
      </c>
      <c r="I235" s="98" t="s">
        <v>1241</v>
      </c>
      <c r="J235" s="100" t="s">
        <v>1418</v>
      </c>
      <c r="K235" s="100" t="s">
        <v>948</v>
      </c>
      <c r="L235" s="98" t="s">
        <v>1035</v>
      </c>
      <c r="M235" s="98" t="s">
        <v>1035</v>
      </c>
      <c r="N235" s="98" t="s">
        <v>1031</v>
      </c>
      <c r="O235" s="98" t="s">
        <v>677</v>
      </c>
      <c r="P235" s="98" t="s">
        <v>1433</v>
      </c>
      <c r="Q235" s="98" t="s">
        <v>811</v>
      </c>
      <c r="R235" s="98" t="s">
        <v>1434</v>
      </c>
      <c r="S235" s="98" t="s">
        <v>1034</v>
      </c>
    </row>
    <row r="236" customFormat="false" ht="55" hidden="false" customHeight="true" outlineLevel="0" collapsed="false">
      <c r="C236" s="98" t="s">
        <v>1022</v>
      </c>
      <c r="D236" s="98" t="s">
        <v>1023</v>
      </c>
      <c r="E236" s="98" t="s">
        <v>1024</v>
      </c>
      <c r="F236" s="98" t="n">
        <v>46270.7484260648</v>
      </c>
      <c r="G236" s="98" t="s">
        <v>1025</v>
      </c>
      <c r="H236" s="98" t="s">
        <v>1026</v>
      </c>
      <c r="I236" s="98" t="s">
        <v>1241</v>
      </c>
      <c r="J236" s="100" t="s">
        <v>1418</v>
      </c>
      <c r="K236" s="100" t="s">
        <v>950</v>
      </c>
      <c r="L236" s="98" t="s">
        <v>1030</v>
      </c>
      <c r="M236" s="98" t="s">
        <v>1030</v>
      </c>
      <c r="N236" s="98" t="s">
        <v>1031</v>
      </c>
      <c r="O236" s="98" t="s">
        <v>677</v>
      </c>
      <c r="P236" s="98" t="s">
        <v>1435</v>
      </c>
      <c r="Q236" s="98" t="s">
        <v>811</v>
      </c>
      <c r="R236" s="98" t="s">
        <v>1436</v>
      </c>
      <c r="S236" s="98" t="s">
        <v>1034</v>
      </c>
    </row>
    <row r="237" customFormat="false" ht="55" hidden="false" customHeight="true" outlineLevel="0" collapsed="false">
      <c r="C237" s="98" t="s">
        <v>1022</v>
      </c>
      <c r="D237" s="98" t="s">
        <v>1023</v>
      </c>
      <c r="E237" s="98" t="s">
        <v>1024</v>
      </c>
      <c r="F237" s="98" t="n">
        <v>46270.7484260648</v>
      </c>
      <c r="G237" s="98" t="s">
        <v>1025</v>
      </c>
      <c r="H237" s="98" t="s">
        <v>1026</v>
      </c>
      <c r="I237" s="98" t="s">
        <v>1241</v>
      </c>
      <c r="J237" s="100" t="s">
        <v>1418</v>
      </c>
      <c r="K237" s="100" t="s">
        <v>950</v>
      </c>
      <c r="L237" s="98" t="s">
        <v>1035</v>
      </c>
      <c r="M237" s="98" t="s">
        <v>1035</v>
      </c>
      <c r="N237" s="98" t="s">
        <v>1031</v>
      </c>
      <c r="O237" s="98" t="s">
        <v>677</v>
      </c>
      <c r="P237" s="98" t="s">
        <v>1437</v>
      </c>
      <c r="Q237" s="98" t="s">
        <v>811</v>
      </c>
      <c r="R237" s="98" t="s">
        <v>1438</v>
      </c>
      <c r="S237" s="98" t="s">
        <v>1034</v>
      </c>
    </row>
    <row r="238" customFormat="false" ht="55" hidden="false" customHeight="true" outlineLevel="0" collapsed="false">
      <c r="C238" s="98" t="s">
        <v>1022</v>
      </c>
      <c r="D238" s="98" t="s">
        <v>1023</v>
      </c>
      <c r="E238" s="98" t="s">
        <v>1024</v>
      </c>
      <c r="F238" s="98" t="n">
        <v>46270.7484260648</v>
      </c>
      <c r="G238" s="98" t="s">
        <v>1025</v>
      </c>
      <c r="H238" s="98" t="s">
        <v>1026</v>
      </c>
      <c r="I238" s="98" t="s">
        <v>1241</v>
      </c>
      <c r="J238" s="100" t="s">
        <v>1418</v>
      </c>
      <c r="K238" s="100" t="s">
        <v>951</v>
      </c>
      <c r="L238" s="98" t="s">
        <v>1030</v>
      </c>
      <c r="M238" s="98" t="s">
        <v>1030</v>
      </c>
      <c r="N238" s="98" t="s">
        <v>1031</v>
      </c>
      <c r="O238" s="98" t="s">
        <v>677</v>
      </c>
      <c r="P238" s="98"/>
      <c r="Q238" s="98" t="s">
        <v>811</v>
      </c>
      <c r="R238" s="98"/>
      <c r="S238" s="98" t="s">
        <v>1034</v>
      </c>
    </row>
    <row r="239" customFormat="false" ht="55" hidden="false" customHeight="true" outlineLevel="0" collapsed="false">
      <c r="C239" s="98" t="s">
        <v>1022</v>
      </c>
      <c r="D239" s="98" t="s">
        <v>1023</v>
      </c>
      <c r="E239" s="98" t="s">
        <v>1024</v>
      </c>
      <c r="F239" s="98" t="n">
        <v>46270.7484260648</v>
      </c>
      <c r="G239" s="98" t="s">
        <v>1025</v>
      </c>
      <c r="H239" s="98" t="s">
        <v>1026</v>
      </c>
      <c r="I239" s="98" t="s">
        <v>1241</v>
      </c>
      <c r="J239" s="100" t="s">
        <v>1418</v>
      </c>
      <c r="K239" s="100" t="s">
        <v>951</v>
      </c>
      <c r="L239" s="98" t="s">
        <v>1035</v>
      </c>
      <c r="M239" s="98" t="s">
        <v>1035</v>
      </c>
      <c r="N239" s="98" t="s">
        <v>1031</v>
      </c>
      <c r="O239" s="98" t="s">
        <v>677</v>
      </c>
      <c r="P239" s="98"/>
      <c r="Q239" s="98" t="s">
        <v>811</v>
      </c>
      <c r="R239" s="98"/>
      <c r="S239" s="98" t="s">
        <v>1034</v>
      </c>
    </row>
    <row r="240" customFormat="false" ht="55" hidden="false" customHeight="true" outlineLevel="0" collapsed="false">
      <c r="C240" s="98" t="s">
        <v>1022</v>
      </c>
      <c r="D240" s="98" t="s">
        <v>1023</v>
      </c>
      <c r="E240" s="98" t="s">
        <v>1024</v>
      </c>
      <c r="F240" s="98" t="n">
        <v>46270.7484260648</v>
      </c>
      <c r="G240" s="98" t="s">
        <v>1025</v>
      </c>
      <c r="H240" s="98" t="s">
        <v>1026</v>
      </c>
      <c r="I240" s="98" t="s">
        <v>1241</v>
      </c>
      <c r="J240" s="100" t="s">
        <v>1418</v>
      </c>
      <c r="K240" s="100" t="s">
        <v>952</v>
      </c>
      <c r="L240" s="98" t="s">
        <v>1030</v>
      </c>
      <c r="M240" s="98" t="s">
        <v>1030</v>
      </c>
      <c r="N240" s="98" t="s">
        <v>1031</v>
      </c>
      <c r="O240" s="98" t="s">
        <v>677</v>
      </c>
      <c r="P240" s="98"/>
      <c r="Q240" s="98" t="s">
        <v>811</v>
      </c>
      <c r="R240" s="98"/>
      <c r="S240" s="98" t="s">
        <v>1034</v>
      </c>
    </row>
    <row r="241" customFormat="false" ht="55" hidden="false" customHeight="true" outlineLevel="0" collapsed="false">
      <c r="C241" s="98" t="s">
        <v>1022</v>
      </c>
      <c r="D241" s="98" t="s">
        <v>1023</v>
      </c>
      <c r="E241" s="98" t="s">
        <v>1024</v>
      </c>
      <c r="F241" s="98" t="n">
        <v>46270.7484260648</v>
      </c>
      <c r="G241" s="98" t="s">
        <v>1025</v>
      </c>
      <c r="H241" s="98" t="s">
        <v>1026</v>
      </c>
      <c r="I241" s="98" t="s">
        <v>1241</v>
      </c>
      <c r="J241" s="100" t="s">
        <v>1418</v>
      </c>
      <c r="K241" s="100" t="s">
        <v>952</v>
      </c>
      <c r="L241" s="98" t="s">
        <v>1035</v>
      </c>
      <c r="M241" s="98" t="s">
        <v>1035</v>
      </c>
      <c r="N241" s="98" t="s">
        <v>1031</v>
      </c>
      <c r="O241" s="98" t="s">
        <v>677</v>
      </c>
      <c r="P241" s="98"/>
      <c r="Q241" s="98" t="s">
        <v>811</v>
      </c>
      <c r="R241" s="98"/>
      <c r="S241" s="98" t="s">
        <v>1034</v>
      </c>
    </row>
    <row r="242" customFormat="false" ht="55" hidden="false" customHeight="true" outlineLevel="0" collapsed="false">
      <c r="C242" s="98" t="s">
        <v>1022</v>
      </c>
      <c r="D242" s="98" t="s">
        <v>1023</v>
      </c>
      <c r="E242" s="98" t="s">
        <v>1024</v>
      </c>
      <c r="F242" s="98" t="n">
        <v>46270.7484260648</v>
      </c>
      <c r="G242" s="98" t="s">
        <v>1025</v>
      </c>
      <c r="H242" s="98" t="s">
        <v>1026</v>
      </c>
      <c r="I242" s="98" t="s">
        <v>1241</v>
      </c>
      <c r="J242" s="100" t="s">
        <v>1418</v>
      </c>
      <c r="K242" s="100" t="s">
        <v>953</v>
      </c>
      <c r="L242" s="98" t="s">
        <v>1030</v>
      </c>
      <c r="M242" s="98" t="s">
        <v>1030</v>
      </c>
      <c r="N242" s="98" t="s">
        <v>1031</v>
      </c>
      <c r="O242" s="98" t="s">
        <v>677</v>
      </c>
      <c r="P242" s="98"/>
      <c r="Q242" s="98" t="s">
        <v>811</v>
      </c>
      <c r="R242" s="98"/>
      <c r="S242" s="98" t="s">
        <v>1034</v>
      </c>
    </row>
    <row r="243" customFormat="false" ht="55" hidden="false" customHeight="true" outlineLevel="0" collapsed="false">
      <c r="C243" s="98" t="s">
        <v>1022</v>
      </c>
      <c r="D243" s="98" t="s">
        <v>1023</v>
      </c>
      <c r="E243" s="98" t="s">
        <v>1024</v>
      </c>
      <c r="F243" s="98" t="n">
        <v>46270.7484260648</v>
      </c>
      <c r="G243" s="98" t="s">
        <v>1025</v>
      </c>
      <c r="H243" s="98" t="s">
        <v>1026</v>
      </c>
      <c r="I243" s="98" t="s">
        <v>1241</v>
      </c>
      <c r="J243" s="100" t="s">
        <v>1418</v>
      </c>
      <c r="K243" s="100" t="s">
        <v>953</v>
      </c>
      <c r="L243" s="98" t="s">
        <v>1035</v>
      </c>
      <c r="M243" s="98" t="s">
        <v>1035</v>
      </c>
      <c r="N243" s="98" t="s">
        <v>1031</v>
      </c>
      <c r="O243" s="98" t="s">
        <v>677</v>
      </c>
      <c r="P243" s="98"/>
      <c r="Q243" s="98" t="s">
        <v>811</v>
      </c>
      <c r="R243" s="98"/>
      <c r="S243" s="98" t="s">
        <v>1034</v>
      </c>
    </row>
    <row r="244" customFormat="false" ht="55" hidden="false" customHeight="true" outlineLevel="0" collapsed="false">
      <c r="C244" s="98" t="s">
        <v>1022</v>
      </c>
      <c r="D244" s="98" t="s">
        <v>1023</v>
      </c>
      <c r="E244" s="98" t="s">
        <v>1024</v>
      </c>
      <c r="F244" s="98" t="n">
        <v>46270.7484260648</v>
      </c>
      <c r="G244" s="98" t="s">
        <v>1025</v>
      </c>
      <c r="H244" s="98" t="s">
        <v>1026</v>
      </c>
      <c r="I244" s="98" t="s">
        <v>1241</v>
      </c>
      <c r="J244" s="100" t="s">
        <v>1418</v>
      </c>
      <c r="K244" s="100" t="s">
        <v>954</v>
      </c>
      <c r="L244" s="98" t="s">
        <v>1030</v>
      </c>
      <c r="M244" s="98" t="s">
        <v>1030</v>
      </c>
      <c r="N244" s="98" t="s">
        <v>1031</v>
      </c>
      <c r="O244" s="98" t="s">
        <v>677</v>
      </c>
      <c r="P244" s="98"/>
      <c r="Q244" s="98" t="s">
        <v>811</v>
      </c>
      <c r="R244" s="98"/>
      <c r="S244" s="98" t="s">
        <v>1034</v>
      </c>
    </row>
    <row r="245" customFormat="false" ht="55" hidden="false" customHeight="true" outlineLevel="0" collapsed="false">
      <c r="C245" s="98" t="s">
        <v>1022</v>
      </c>
      <c r="D245" s="98" t="s">
        <v>1023</v>
      </c>
      <c r="E245" s="98" t="s">
        <v>1024</v>
      </c>
      <c r="F245" s="98" t="n">
        <v>46270.7484260648</v>
      </c>
      <c r="G245" s="98" t="s">
        <v>1025</v>
      </c>
      <c r="H245" s="98" t="s">
        <v>1026</v>
      </c>
      <c r="I245" s="98" t="s">
        <v>1241</v>
      </c>
      <c r="J245" s="100" t="s">
        <v>1418</v>
      </c>
      <c r="K245" s="100" t="s">
        <v>954</v>
      </c>
      <c r="L245" s="98" t="s">
        <v>1035</v>
      </c>
      <c r="M245" s="98" t="s">
        <v>1035</v>
      </c>
      <c r="N245" s="98" t="s">
        <v>1031</v>
      </c>
      <c r="O245" s="98" t="s">
        <v>677</v>
      </c>
      <c r="P245" s="98"/>
      <c r="Q245" s="98" t="s">
        <v>811</v>
      </c>
      <c r="R245" s="98"/>
      <c r="S245" s="98" t="s">
        <v>1034</v>
      </c>
    </row>
    <row r="246" customFormat="false" ht="55" hidden="false" customHeight="true" outlineLevel="0" collapsed="false">
      <c r="C246" s="98" t="s">
        <v>1022</v>
      </c>
      <c r="D246" s="98" t="s">
        <v>1023</v>
      </c>
      <c r="E246" s="98" t="s">
        <v>1024</v>
      </c>
      <c r="F246" s="98" t="n">
        <v>46270.7484260648</v>
      </c>
      <c r="G246" s="98" t="s">
        <v>1025</v>
      </c>
      <c r="H246" s="98" t="s">
        <v>1026</v>
      </c>
      <c r="I246" s="98" t="s">
        <v>1241</v>
      </c>
      <c r="J246" s="100" t="s">
        <v>1418</v>
      </c>
      <c r="K246" s="100" t="s">
        <v>955</v>
      </c>
      <c r="L246" s="98" t="s">
        <v>1030</v>
      </c>
      <c r="M246" s="98" t="s">
        <v>1030</v>
      </c>
      <c r="N246" s="98" t="s">
        <v>1031</v>
      </c>
      <c r="O246" s="98" t="s">
        <v>677</v>
      </c>
      <c r="P246" s="98"/>
      <c r="Q246" s="98" t="s">
        <v>811</v>
      </c>
      <c r="R246" s="98"/>
      <c r="S246" s="98" t="s">
        <v>1034</v>
      </c>
    </row>
    <row r="247" customFormat="false" ht="55" hidden="false" customHeight="true" outlineLevel="0" collapsed="false">
      <c r="C247" s="98" t="s">
        <v>1022</v>
      </c>
      <c r="D247" s="98" t="s">
        <v>1023</v>
      </c>
      <c r="E247" s="98" t="s">
        <v>1024</v>
      </c>
      <c r="F247" s="98" t="n">
        <v>46270.7484260648</v>
      </c>
      <c r="G247" s="98" t="s">
        <v>1025</v>
      </c>
      <c r="H247" s="98" t="s">
        <v>1026</v>
      </c>
      <c r="I247" s="98" t="s">
        <v>1241</v>
      </c>
      <c r="J247" s="100" t="s">
        <v>1418</v>
      </c>
      <c r="K247" s="100" t="s">
        <v>955</v>
      </c>
      <c r="L247" s="98" t="s">
        <v>1035</v>
      </c>
      <c r="M247" s="98" t="s">
        <v>1035</v>
      </c>
      <c r="N247" s="98" t="s">
        <v>1031</v>
      </c>
      <c r="O247" s="98" t="s">
        <v>677</v>
      </c>
      <c r="P247" s="98"/>
      <c r="Q247" s="98" t="s">
        <v>811</v>
      </c>
      <c r="R247" s="98"/>
      <c r="S247" s="98" t="s">
        <v>1034</v>
      </c>
    </row>
    <row r="248" customFormat="false" ht="55" hidden="false" customHeight="true" outlineLevel="0" collapsed="false">
      <c r="C248" s="98" t="s">
        <v>1022</v>
      </c>
      <c r="D248" s="98" t="s">
        <v>1023</v>
      </c>
      <c r="E248" s="98" t="s">
        <v>1024</v>
      </c>
      <c r="F248" s="98" t="n">
        <v>46270.7484260648</v>
      </c>
      <c r="G248" s="98" t="s">
        <v>1025</v>
      </c>
      <c r="H248" s="98" t="s">
        <v>1026</v>
      </c>
      <c r="I248" s="98" t="s">
        <v>1241</v>
      </c>
      <c r="J248" s="100" t="s">
        <v>1418</v>
      </c>
      <c r="K248" s="100" t="s">
        <v>956</v>
      </c>
      <c r="L248" s="98" t="s">
        <v>1030</v>
      </c>
      <c r="M248" s="98" t="s">
        <v>1030</v>
      </c>
      <c r="N248" s="98" t="s">
        <v>1031</v>
      </c>
      <c r="O248" s="98" t="s">
        <v>677</v>
      </c>
      <c r="P248" s="98"/>
      <c r="Q248" s="98" t="s">
        <v>811</v>
      </c>
      <c r="R248" s="98"/>
      <c r="S248" s="98" t="s">
        <v>1034</v>
      </c>
    </row>
    <row r="249" customFormat="false" ht="55" hidden="false" customHeight="true" outlineLevel="0" collapsed="false">
      <c r="C249" s="98" t="s">
        <v>1022</v>
      </c>
      <c r="D249" s="98" t="s">
        <v>1023</v>
      </c>
      <c r="E249" s="98" t="s">
        <v>1024</v>
      </c>
      <c r="F249" s="98" t="n">
        <v>46270.7484260648</v>
      </c>
      <c r="G249" s="98" t="s">
        <v>1025</v>
      </c>
      <c r="H249" s="98" t="s">
        <v>1026</v>
      </c>
      <c r="I249" s="98" t="s">
        <v>1241</v>
      </c>
      <c r="J249" s="100" t="s">
        <v>1418</v>
      </c>
      <c r="K249" s="100" t="s">
        <v>956</v>
      </c>
      <c r="L249" s="98" t="s">
        <v>1035</v>
      </c>
      <c r="M249" s="98" t="s">
        <v>1035</v>
      </c>
      <c r="N249" s="98" t="s">
        <v>1031</v>
      </c>
      <c r="O249" s="98" t="s">
        <v>677</v>
      </c>
      <c r="P249" s="98"/>
      <c r="Q249" s="98" t="s">
        <v>811</v>
      </c>
      <c r="R249" s="98"/>
      <c r="S249" s="98" t="s">
        <v>1034</v>
      </c>
    </row>
    <row r="250" customFormat="false" ht="55" hidden="false" customHeight="true" outlineLevel="0" collapsed="false">
      <c r="C250" s="98" t="s">
        <v>1022</v>
      </c>
      <c r="D250" s="98" t="s">
        <v>1023</v>
      </c>
      <c r="E250" s="98" t="s">
        <v>1024</v>
      </c>
      <c r="F250" s="98" t="n">
        <v>46270.7484260648</v>
      </c>
      <c r="G250" s="98" t="s">
        <v>1025</v>
      </c>
      <c r="H250" s="98" t="s">
        <v>1026</v>
      </c>
      <c r="I250" s="98" t="s">
        <v>1241</v>
      </c>
      <c r="J250" s="100" t="s">
        <v>1418</v>
      </c>
      <c r="K250" s="100" t="s">
        <v>957</v>
      </c>
      <c r="L250" s="98" t="s">
        <v>1030</v>
      </c>
      <c r="M250" s="98" t="s">
        <v>1030</v>
      </c>
      <c r="N250" s="98" t="s">
        <v>1031</v>
      </c>
      <c r="O250" s="98" t="s">
        <v>677</v>
      </c>
      <c r="P250" s="98" t="s">
        <v>1439</v>
      </c>
      <c r="Q250" s="98" t="s">
        <v>811</v>
      </c>
      <c r="R250" s="98" t="s">
        <v>1440</v>
      </c>
      <c r="S250" s="98" t="s">
        <v>1034</v>
      </c>
    </row>
    <row r="251" customFormat="false" ht="55" hidden="false" customHeight="true" outlineLevel="0" collapsed="false">
      <c r="C251" s="98" t="s">
        <v>1022</v>
      </c>
      <c r="D251" s="98" t="s">
        <v>1023</v>
      </c>
      <c r="E251" s="98" t="s">
        <v>1024</v>
      </c>
      <c r="F251" s="98" t="n">
        <v>46270.7484260648</v>
      </c>
      <c r="G251" s="98" t="s">
        <v>1025</v>
      </c>
      <c r="H251" s="98" t="s">
        <v>1026</v>
      </c>
      <c r="I251" s="98" t="s">
        <v>1241</v>
      </c>
      <c r="J251" s="100" t="s">
        <v>1418</v>
      </c>
      <c r="K251" s="100" t="s">
        <v>957</v>
      </c>
      <c r="L251" s="98" t="s">
        <v>1035</v>
      </c>
      <c r="M251" s="98" t="s">
        <v>1035</v>
      </c>
      <c r="N251" s="98" t="s">
        <v>1031</v>
      </c>
      <c r="O251" s="98" t="s">
        <v>677</v>
      </c>
      <c r="P251" s="98" t="s">
        <v>1441</v>
      </c>
      <c r="Q251" s="98" t="s">
        <v>811</v>
      </c>
      <c r="R251" s="98" t="s">
        <v>1442</v>
      </c>
      <c r="S251" s="98" t="s">
        <v>1034</v>
      </c>
    </row>
    <row r="252" customFormat="false" ht="55" hidden="false" customHeight="true" outlineLevel="0" collapsed="false">
      <c r="C252" s="98" t="s">
        <v>1022</v>
      </c>
      <c r="D252" s="98" t="s">
        <v>1023</v>
      </c>
      <c r="E252" s="98" t="s">
        <v>1024</v>
      </c>
      <c r="F252" s="98" t="n">
        <v>46270.7484260648</v>
      </c>
      <c r="G252" s="98" t="s">
        <v>1025</v>
      </c>
      <c r="H252" s="98" t="s">
        <v>1026</v>
      </c>
      <c r="I252" s="98" t="s">
        <v>1241</v>
      </c>
      <c r="J252" s="100" t="s">
        <v>1418</v>
      </c>
      <c r="K252" s="100" t="s">
        <v>958</v>
      </c>
      <c r="L252" s="98" t="s">
        <v>1030</v>
      </c>
      <c r="M252" s="98" t="s">
        <v>1030</v>
      </c>
      <c r="N252" s="98" t="s">
        <v>1031</v>
      </c>
      <c r="O252" s="98" t="s">
        <v>677</v>
      </c>
      <c r="P252" s="98" t="s">
        <v>1443</v>
      </c>
      <c r="Q252" s="98" t="s">
        <v>811</v>
      </c>
      <c r="R252" s="98" t="s">
        <v>1444</v>
      </c>
      <c r="S252" s="98" t="s">
        <v>1034</v>
      </c>
    </row>
    <row r="253" customFormat="false" ht="55" hidden="false" customHeight="true" outlineLevel="0" collapsed="false">
      <c r="C253" s="98" t="s">
        <v>1022</v>
      </c>
      <c r="D253" s="98" t="s">
        <v>1023</v>
      </c>
      <c r="E253" s="98" t="s">
        <v>1024</v>
      </c>
      <c r="F253" s="98" t="n">
        <v>46270.7484260648</v>
      </c>
      <c r="G253" s="98" t="s">
        <v>1025</v>
      </c>
      <c r="H253" s="98" t="s">
        <v>1026</v>
      </c>
      <c r="I253" s="98" t="s">
        <v>1241</v>
      </c>
      <c r="J253" s="100" t="s">
        <v>1418</v>
      </c>
      <c r="K253" s="100" t="s">
        <v>958</v>
      </c>
      <c r="L253" s="98" t="s">
        <v>1035</v>
      </c>
      <c r="M253" s="98" t="s">
        <v>1035</v>
      </c>
      <c r="N253" s="98" t="s">
        <v>1031</v>
      </c>
      <c r="O253" s="98" t="s">
        <v>677</v>
      </c>
      <c r="P253" s="98" t="s">
        <v>1445</v>
      </c>
      <c r="Q253" s="98" t="s">
        <v>811</v>
      </c>
      <c r="R253" s="98" t="s">
        <v>1446</v>
      </c>
      <c r="S253" s="98" t="s">
        <v>1034</v>
      </c>
    </row>
    <row r="254" customFormat="false" ht="55" hidden="false" customHeight="true" outlineLevel="0" collapsed="false">
      <c r="C254" s="98" t="s">
        <v>1022</v>
      </c>
      <c r="D254" s="98" t="s">
        <v>1023</v>
      </c>
      <c r="E254" s="98" t="s">
        <v>1024</v>
      </c>
      <c r="F254" s="98" t="n">
        <v>46270.7484260648</v>
      </c>
      <c r="G254" s="98" t="s">
        <v>1025</v>
      </c>
      <c r="H254" s="98" t="s">
        <v>1026</v>
      </c>
      <c r="I254" s="98" t="s">
        <v>1241</v>
      </c>
      <c r="J254" s="100" t="s">
        <v>1418</v>
      </c>
      <c r="K254" s="100" t="s">
        <v>959</v>
      </c>
      <c r="L254" s="98" t="s">
        <v>1030</v>
      </c>
      <c r="M254" s="98" t="s">
        <v>1030</v>
      </c>
      <c r="N254" s="98" t="s">
        <v>1031</v>
      </c>
      <c r="O254" s="98" t="s">
        <v>677</v>
      </c>
      <c r="P254" s="98" t="s">
        <v>1447</v>
      </c>
      <c r="Q254" s="98" t="s">
        <v>811</v>
      </c>
      <c r="R254" s="98" t="s">
        <v>1448</v>
      </c>
      <c r="S254" s="98" t="s">
        <v>1034</v>
      </c>
    </row>
    <row r="255" customFormat="false" ht="55" hidden="false" customHeight="true" outlineLevel="0" collapsed="false">
      <c r="C255" s="98" t="s">
        <v>1022</v>
      </c>
      <c r="D255" s="98" t="s">
        <v>1023</v>
      </c>
      <c r="E255" s="98" t="s">
        <v>1024</v>
      </c>
      <c r="F255" s="98" t="n">
        <v>46270.7484260648</v>
      </c>
      <c r="G255" s="98" t="s">
        <v>1025</v>
      </c>
      <c r="H255" s="98" t="s">
        <v>1026</v>
      </c>
      <c r="I255" s="98" t="s">
        <v>1241</v>
      </c>
      <c r="J255" s="100" t="s">
        <v>1418</v>
      </c>
      <c r="K255" s="100" t="s">
        <v>959</v>
      </c>
      <c r="L255" s="98" t="s">
        <v>1035</v>
      </c>
      <c r="M255" s="98" t="s">
        <v>1035</v>
      </c>
      <c r="N255" s="98" t="s">
        <v>1031</v>
      </c>
      <c r="O255" s="98" t="s">
        <v>677</v>
      </c>
      <c r="P255" s="98" t="s">
        <v>1449</v>
      </c>
      <c r="Q255" s="98" t="s">
        <v>811</v>
      </c>
      <c r="R255" s="98" t="s">
        <v>1450</v>
      </c>
      <c r="S255" s="98" t="s">
        <v>1034</v>
      </c>
    </row>
    <row r="256" customFormat="false" ht="55" hidden="false" customHeight="true" outlineLevel="0" collapsed="false">
      <c r="C256" s="98" t="s">
        <v>1022</v>
      </c>
      <c r="D256" s="98" t="s">
        <v>1023</v>
      </c>
      <c r="E256" s="98" t="s">
        <v>1024</v>
      </c>
      <c r="F256" s="98" t="n">
        <v>46270.7484260648</v>
      </c>
      <c r="G256" s="98" t="s">
        <v>1025</v>
      </c>
      <c r="H256" s="98" t="s">
        <v>1026</v>
      </c>
      <c r="I256" s="98" t="s">
        <v>1241</v>
      </c>
      <c r="J256" s="100" t="s">
        <v>1418</v>
      </c>
      <c r="K256" s="100" t="s">
        <v>960</v>
      </c>
      <c r="L256" s="98" t="s">
        <v>1030</v>
      </c>
      <c r="M256" s="98" t="s">
        <v>1030</v>
      </c>
      <c r="N256" s="98" t="s">
        <v>1031</v>
      </c>
      <c r="O256" s="98" t="s">
        <v>677</v>
      </c>
      <c r="P256" s="98" t="s">
        <v>1451</v>
      </c>
      <c r="Q256" s="98" t="s">
        <v>811</v>
      </c>
      <c r="R256" s="98" t="s">
        <v>1452</v>
      </c>
      <c r="S256" s="98" t="s">
        <v>1034</v>
      </c>
    </row>
    <row r="257" customFormat="false" ht="55" hidden="false" customHeight="true" outlineLevel="0" collapsed="false">
      <c r="C257" s="98" t="s">
        <v>1022</v>
      </c>
      <c r="D257" s="98" t="s">
        <v>1023</v>
      </c>
      <c r="E257" s="98" t="s">
        <v>1024</v>
      </c>
      <c r="F257" s="98" t="n">
        <v>46270.7484260648</v>
      </c>
      <c r="G257" s="98" t="s">
        <v>1025</v>
      </c>
      <c r="H257" s="98" t="s">
        <v>1026</v>
      </c>
      <c r="I257" s="98" t="s">
        <v>1241</v>
      </c>
      <c r="J257" s="100" t="s">
        <v>1418</v>
      </c>
      <c r="K257" s="100" t="s">
        <v>960</v>
      </c>
      <c r="L257" s="98" t="s">
        <v>1035</v>
      </c>
      <c r="M257" s="98" t="s">
        <v>1035</v>
      </c>
      <c r="N257" s="98" t="s">
        <v>1031</v>
      </c>
      <c r="O257" s="98" t="s">
        <v>677</v>
      </c>
      <c r="P257" s="98" t="s">
        <v>1453</v>
      </c>
      <c r="Q257" s="98" t="s">
        <v>811</v>
      </c>
      <c r="R257" s="98" t="s">
        <v>1454</v>
      </c>
      <c r="S257" s="98" t="s">
        <v>1034</v>
      </c>
    </row>
    <row r="258" customFormat="false" ht="55" hidden="false" customHeight="true" outlineLevel="0" collapsed="false">
      <c r="C258" s="98" t="s">
        <v>1022</v>
      </c>
      <c r="D258" s="98" t="s">
        <v>1023</v>
      </c>
      <c r="E258" s="98" t="s">
        <v>1024</v>
      </c>
      <c r="F258" s="98" t="n">
        <v>46270.7484260648</v>
      </c>
      <c r="G258" s="98" t="s">
        <v>1025</v>
      </c>
      <c r="H258" s="98" t="s">
        <v>1026</v>
      </c>
      <c r="I258" s="98" t="s">
        <v>1241</v>
      </c>
      <c r="J258" s="100" t="s">
        <v>1418</v>
      </c>
      <c r="K258" s="100" t="s">
        <v>961</v>
      </c>
      <c r="L258" s="98" t="s">
        <v>1030</v>
      </c>
      <c r="M258" s="98" t="s">
        <v>1030</v>
      </c>
      <c r="N258" s="98" t="s">
        <v>1031</v>
      </c>
      <c r="O258" s="98" t="s">
        <v>677</v>
      </c>
      <c r="P258" s="98" t="s">
        <v>1455</v>
      </c>
      <c r="Q258" s="98" t="s">
        <v>811</v>
      </c>
      <c r="R258" s="98" t="s">
        <v>1243</v>
      </c>
      <c r="S258" s="98" t="s">
        <v>1034</v>
      </c>
    </row>
    <row r="259" customFormat="false" ht="55" hidden="false" customHeight="true" outlineLevel="0" collapsed="false">
      <c r="C259" s="98" t="s">
        <v>1022</v>
      </c>
      <c r="D259" s="98" t="s">
        <v>1023</v>
      </c>
      <c r="E259" s="98" t="s">
        <v>1024</v>
      </c>
      <c r="F259" s="98" t="n">
        <v>46270.7484260648</v>
      </c>
      <c r="G259" s="98" t="s">
        <v>1025</v>
      </c>
      <c r="H259" s="98" t="s">
        <v>1026</v>
      </c>
      <c r="I259" s="98" t="s">
        <v>1241</v>
      </c>
      <c r="J259" s="100" t="s">
        <v>1418</v>
      </c>
      <c r="K259" s="100" t="s">
        <v>961</v>
      </c>
      <c r="L259" s="98" t="s">
        <v>1035</v>
      </c>
      <c r="M259" s="98" t="s">
        <v>1035</v>
      </c>
      <c r="N259" s="98" t="s">
        <v>1031</v>
      </c>
      <c r="O259" s="98" t="s">
        <v>677</v>
      </c>
      <c r="P259" s="98" t="s">
        <v>1456</v>
      </c>
      <c r="Q259" s="98" t="s">
        <v>811</v>
      </c>
      <c r="R259" s="98" t="s">
        <v>1245</v>
      </c>
      <c r="S259" s="98" t="s">
        <v>1034</v>
      </c>
    </row>
    <row r="260" customFormat="false" ht="55" hidden="false" customHeight="true" outlineLevel="0" collapsed="false">
      <c r="C260" s="98" t="s">
        <v>1022</v>
      </c>
      <c r="D260" s="98" t="s">
        <v>1023</v>
      </c>
      <c r="E260" s="98" t="s">
        <v>1024</v>
      </c>
      <c r="F260" s="98" t="n">
        <v>46270.7484260648</v>
      </c>
      <c r="G260" s="98" t="s">
        <v>1025</v>
      </c>
      <c r="H260" s="98" t="s">
        <v>1026</v>
      </c>
      <c r="I260" s="98" t="s">
        <v>1241</v>
      </c>
      <c r="J260" s="100" t="s">
        <v>1418</v>
      </c>
      <c r="K260" s="100" t="s">
        <v>962</v>
      </c>
      <c r="L260" s="98" t="s">
        <v>1030</v>
      </c>
      <c r="M260" s="98" t="s">
        <v>1030</v>
      </c>
      <c r="N260" s="98" t="s">
        <v>1031</v>
      </c>
      <c r="O260" s="98" t="s">
        <v>677</v>
      </c>
      <c r="P260" s="98"/>
      <c r="Q260" s="98" t="s">
        <v>811</v>
      </c>
      <c r="R260" s="98"/>
      <c r="S260" s="98" t="s">
        <v>1034</v>
      </c>
    </row>
    <row r="261" customFormat="false" ht="55" hidden="false" customHeight="true" outlineLevel="0" collapsed="false">
      <c r="C261" s="98" t="s">
        <v>1022</v>
      </c>
      <c r="D261" s="98" t="s">
        <v>1023</v>
      </c>
      <c r="E261" s="98" t="s">
        <v>1024</v>
      </c>
      <c r="F261" s="98" t="n">
        <v>46270.7484260648</v>
      </c>
      <c r="G261" s="98" t="s">
        <v>1025</v>
      </c>
      <c r="H261" s="98" t="s">
        <v>1026</v>
      </c>
      <c r="I261" s="98" t="s">
        <v>1241</v>
      </c>
      <c r="J261" s="100" t="s">
        <v>1418</v>
      </c>
      <c r="K261" s="100" t="s">
        <v>962</v>
      </c>
      <c r="L261" s="98" t="s">
        <v>1035</v>
      </c>
      <c r="M261" s="98" t="s">
        <v>1035</v>
      </c>
      <c r="N261" s="98" t="s">
        <v>1031</v>
      </c>
      <c r="O261" s="98" t="s">
        <v>677</v>
      </c>
      <c r="P261" s="98"/>
      <c r="Q261" s="98" t="s">
        <v>811</v>
      </c>
      <c r="R261" s="98"/>
      <c r="S261" s="98" t="s">
        <v>1034</v>
      </c>
    </row>
    <row r="262" customFormat="false" ht="55" hidden="false" customHeight="true" outlineLevel="0" collapsed="false">
      <c r="C262" s="98" t="s">
        <v>1022</v>
      </c>
      <c r="D262" s="98" t="s">
        <v>1023</v>
      </c>
      <c r="E262" s="98" t="s">
        <v>1024</v>
      </c>
      <c r="F262" s="98" t="n">
        <v>46270.7484260648</v>
      </c>
      <c r="G262" s="98" t="s">
        <v>1025</v>
      </c>
      <c r="H262" s="98" t="s">
        <v>1026</v>
      </c>
      <c r="I262" s="98" t="s">
        <v>1241</v>
      </c>
      <c r="J262" s="100" t="s">
        <v>1418</v>
      </c>
      <c r="K262" s="100" t="s">
        <v>963</v>
      </c>
      <c r="L262" s="98" t="s">
        <v>1030</v>
      </c>
      <c r="M262" s="98" t="s">
        <v>1030</v>
      </c>
      <c r="N262" s="98" t="s">
        <v>1031</v>
      </c>
      <c r="O262" s="98" t="s">
        <v>677</v>
      </c>
      <c r="P262" s="98"/>
      <c r="Q262" s="98" t="s">
        <v>811</v>
      </c>
      <c r="R262" s="98"/>
      <c r="S262" s="98" t="s">
        <v>1034</v>
      </c>
    </row>
    <row r="263" customFormat="false" ht="55" hidden="false" customHeight="true" outlineLevel="0" collapsed="false">
      <c r="C263" s="98" t="s">
        <v>1022</v>
      </c>
      <c r="D263" s="98" t="s">
        <v>1023</v>
      </c>
      <c r="E263" s="98" t="s">
        <v>1024</v>
      </c>
      <c r="F263" s="98" t="n">
        <v>46270.7484260648</v>
      </c>
      <c r="G263" s="98" t="s">
        <v>1025</v>
      </c>
      <c r="H263" s="98" t="s">
        <v>1026</v>
      </c>
      <c r="I263" s="98" t="s">
        <v>1241</v>
      </c>
      <c r="J263" s="100" t="s">
        <v>1418</v>
      </c>
      <c r="K263" s="100" t="s">
        <v>963</v>
      </c>
      <c r="L263" s="98" t="s">
        <v>1035</v>
      </c>
      <c r="M263" s="98" t="s">
        <v>1035</v>
      </c>
      <c r="N263" s="98" t="s">
        <v>1031</v>
      </c>
      <c r="O263" s="98" t="s">
        <v>677</v>
      </c>
      <c r="P263" s="98"/>
      <c r="Q263" s="98" t="s">
        <v>811</v>
      </c>
      <c r="R263" s="98"/>
      <c r="S263" s="98" t="s">
        <v>1034</v>
      </c>
    </row>
    <row r="264" customFormat="false" ht="55" hidden="false" customHeight="true" outlineLevel="0" collapsed="false">
      <c r="C264" s="98" t="s">
        <v>1022</v>
      </c>
      <c r="D264" s="98" t="s">
        <v>1023</v>
      </c>
      <c r="E264" s="98" t="s">
        <v>1024</v>
      </c>
      <c r="F264" s="98" t="n">
        <v>46270.7484260648</v>
      </c>
      <c r="G264" s="98" t="s">
        <v>1025</v>
      </c>
      <c r="H264" s="98" t="s">
        <v>1026</v>
      </c>
      <c r="I264" s="98" t="s">
        <v>1241</v>
      </c>
      <c r="J264" s="100" t="s">
        <v>1418</v>
      </c>
      <c r="K264" s="100" t="s">
        <v>964</v>
      </c>
      <c r="L264" s="98" t="s">
        <v>1030</v>
      </c>
      <c r="M264" s="98" t="s">
        <v>1030</v>
      </c>
      <c r="N264" s="98" t="s">
        <v>1031</v>
      </c>
      <c r="O264" s="98" t="s">
        <v>677</v>
      </c>
      <c r="P264" s="98" t="s">
        <v>1457</v>
      </c>
      <c r="Q264" s="98" t="s">
        <v>811</v>
      </c>
      <c r="R264" s="98" t="s">
        <v>1458</v>
      </c>
      <c r="S264" s="98" t="s">
        <v>1034</v>
      </c>
    </row>
    <row r="265" customFormat="false" ht="55" hidden="false" customHeight="true" outlineLevel="0" collapsed="false">
      <c r="C265" s="98" t="s">
        <v>1022</v>
      </c>
      <c r="D265" s="98" t="s">
        <v>1023</v>
      </c>
      <c r="E265" s="98" t="s">
        <v>1024</v>
      </c>
      <c r="F265" s="98" t="n">
        <v>46270.7484260648</v>
      </c>
      <c r="G265" s="98" t="s">
        <v>1025</v>
      </c>
      <c r="H265" s="98" t="s">
        <v>1026</v>
      </c>
      <c r="I265" s="98" t="s">
        <v>1241</v>
      </c>
      <c r="J265" s="100" t="s">
        <v>1418</v>
      </c>
      <c r="K265" s="100" t="s">
        <v>964</v>
      </c>
      <c r="L265" s="98" t="s">
        <v>1035</v>
      </c>
      <c r="M265" s="98" t="s">
        <v>1035</v>
      </c>
      <c r="N265" s="98" t="s">
        <v>1031</v>
      </c>
      <c r="O265" s="98" t="s">
        <v>677</v>
      </c>
      <c r="P265" s="98" t="s">
        <v>1459</v>
      </c>
      <c r="Q265" s="98" t="s">
        <v>811</v>
      </c>
      <c r="R265" s="98" t="s">
        <v>1460</v>
      </c>
      <c r="S265" s="98" t="s">
        <v>1034</v>
      </c>
    </row>
    <row r="266" customFormat="false" ht="55" hidden="false" customHeight="true" outlineLevel="0" collapsed="false">
      <c r="C266" s="98" t="s">
        <v>1022</v>
      </c>
      <c r="D266" s="98" t="s">
        <v>1023</v>
      </c>
      <c r="E266" s="98" t="s">
        <v>1024</v>
      </c>
      <c r="F266" s="98" t="n">
        <v>46270.7484260648</v>
      </c>
      <c r="G266" s="98" t="s">
        <v>1025</v>
      </c>
      <c r="H266" s="98" t="s">
        <v>1026</v>
      </c>
      <c r="I266" s="98" t="s">
        <v>1241</v>
      </c>
      <c r="J266" s="100" t="s">
        <v>1418</v>
      </c>
      <c r="K266" s="100" t="s">
        <v>966</v>
      </c>
      <c r="L266" s="98" t="s">
        <v>1030</v>
      </c>
      <c r="M266" s="98" t="s">
        <v>1030</v>
      </c>
      <c r="N266" s="98" t="s">
        <v>1031</v>
      </c>
      <c r="O266" s="98" t="s">
        <v>677</v>
      </c>
      <c r="P266" s="98" t="s">
        <v>1461</v>
      </c>
      <c r="Q266" s="98" t="s">
        <v>811</v>
      </c>
      <c r="R266" s="98" t="s">
        <v>1462</v>
      </c>
      <c r="S266" s="98" t="s">
        <v>1034</v>
      </c>
    </row>
    <row r="267" customFormat="false" ht="55" hidden="false" customHeight="true" outlineLevel="0" collapsed="false">
      <c r="C267" s="98" t="s">
        <v>1022</v>
      </c>
      <c r="D267" s="98" t="s">
        <v>1023</v>
      </c>
      <c r="E267" s="98" t="s">
        <v>1024</v>
      </c>
      <c r="F267" s="98" t="n">
        <v>46270.7484260648</v>
      </c>
      <c r="G267" s="98" t="s">
        <v>1025</v>
      </c>
      <c r="H267" s="98" t="s">
        <v>1026</v>
      </c>
      <c r="I267" s="98" t="s">
        <v>1241</v>
      </c>
      <c r="J267" s="100" t="s">
        <v>1418</v>
      </c>
      <c r="K267" s="100" t="s">
        <v>966</v>
      </c>
      <c r="L267" s="98" t="s">
        <v>1035</v>
      </c>
      <c r="M267" s="98" t="s">
        <v>1035</v>
      </c>
      <c r="N267" s="98" t="s">
        <v>1031</v>
      </c>
      <c r="O267" s="98" t="s">
        <v>677</v>
      </c>
      <c r="P267" s="98" t="s">
        <v>1463</v>
      </c>
      <c r="Q267" s="98" t="s">
        <v>811</v>
      </c>
      <c r="R267" s="98" t="s">
        <v>1464</v>
      </c>
      <c r="S267" s="98" t="s">
        <v>1034</v>
      </c>
    </row>
    <row r="268" customFormat="false" ht="55" hidden="false" customHeight="true" outlineLevel="0" collapsed="false">
      <c r="C268" s="98" t="s">
        <v>1022</v>
      </c>
      <c r="D268" s="98" t="s">
        <v>1023</v>
      </c>
      <c r="E268" s="98" t="s">
        <v>1024</v>
      </c>
      <c r="F268" s="98" t="n">
        <v>46270.7484260648</v>
      </c>
      <c r="G268" s="98" t="s">
        <v>1025</v>
      </c>
      <c r="H268" s="98" t="s">
        <v>1026</v>
      </c>
      <c r="I268" s="98" t="s">
        <v>1246</v>
      </c>
      <c r="J268" s="100" t="s">
        <v>1418</v>
      </c>
      <c r="K268" s="100" t="s">
        <v>967</v>
      </c>
      <c r="L268" s="98" t="s">
        <v>1030</v>
      </c>
      <c r="M268" s="98" t="s">
        <v>1030</v>
      </c>
      <c r="N268" s="98" t="s">
        <v>1031</v>
      </c>
      <c r="O268" s="98" t="s">
        <v>677</v>
      </c>
      <c r="P268" s="98"/>
      <c r="Q268" s="98" t="s">
        <v>811</v>
      </c>
      <c r="R268" s="98"/>
      <c r="S268" s="98" t="s">
        <v>1034</v>
      </c>
    </row>
    <row r="269" customFormat="false" ht="55" hidden="false" customHeight="true" outlineLevel="0" collapsed="false">
      <c r="C269" s="98" t="s">
        <v>1022</v>
      </c>
      <c r="D269" s="98" t="s">
        <v>1023</v>
      </c>
      <c r="E269" s="98" t="s">
        <v>1024</v>
      </c>
      <c r="F269" s="98" t="n">
        <v>46270.7484260648</v>
      </c>
      <c r="G269" s="98" t="s">
        <v>1025</v>
      </c>
      <c r="H269" s="98" t="s">
        <v>1026</v>
      </c>
      <c r="I269" s="98" t="s">
        <v>1246</v>
      </c>
      <c r="J269" s="100" t="s">
        <v>1418</v>
      </c>
      <c r="K269" s="100" t="s">
        <v>967</v>
      </c>
      <c r="L269" s="98" t="s">
        <v>1035</v>
      </c>
      <c r="M269" s="98" t="s">
        <v>1035</v>
      </c>
      <c r="N269" s="98" t="s">
        <v>1031</v>
      </c>
      <c r="O269" s="98" t="s">
        <v>677</v>
      </c>
      <c r="P269" s="98"/>
      <c r="Q269" s="98" t="s">
        <v>811</v>
      </c>
      <c r="R269" s="98"/>
      <c r="S269" s="98" t="s">
        <v>1034</v>
      </c>
    </row>
    <row r="270" customFormat="false" ht="55" hidden="false" customHeight="true" outlineLevel="0" collapsed="false">
      <c r="C270" s="98" t="s">
        <v>1022</v>
      </c>
      <c r="D270" s="98" t="s">
        <v>1023</v>
      </c>
      <c r="E270" s="98" t="s">
        <v>1024</v>
      </c>
      <c r="F270" s="98" t="n">
        <v>46270.7484260648</v>
      </c>
      <c r="G270" s="98" t="s">
        <v>1025</v>
      </c>
      <c r="H270" s="98" t="s">
        <v>1026</v>
      </c>
      <c r="I270" s="98" t="s">
        <v>1246</v>
      </c>
      <c r="J270" s="100" t="s">
        <v>1418</v>
      </c>
      <c r="K270" s="100" t="s">
        <v>969</v>
      </c>
      <c r="L270" s="98" t="s">
        <v>1030</v>
      </c>
      <c r="M270" s="98" t="s">
        <v>1030</v>
      </c>
      <c r="N270" s="98" t="s">
        <v>1031</v>
      </c>
      <c r="O270" s="98" t="s">
        <v>677</v>
      </c>
      <c r="P270" s="98" t="s">
        <v>1465</v>
      </c>
      <c r="Q270" s="98" t="s">
        <v>811</v>
      </c>
      <c r="R270" s="98" t="s">
        <v>1466</v>
      </c>
      <c r="S270" s="98" t="s">
        <v>1034</v>
      </c>
    </row>
    <row r="271" customFormat="false" ht="55" hidden="false" customHeight="true" outlineLevel="0" collapsed="false">
      <c r="C271" s="98" t="s">
        <v>1022</v>
      </c>
      <c r="D271" s="98" t="s">
        <v>1023</v>
      </c>
      <c r="E271" s="98" t="s">
        <v>1024</v>
      </c>
      <c r="F271" s="98" t="n">
        <v>46270.7484260648</v>
      </c>
      <c r="G271" s="98" t="s">
        <v>1025</v>
      </c>
      <c r="H271" s="98" t="s">
        <v>1026</v>
      </c>
      <c r="I271" s="98" t="s">
        <v>1246</v>
      </c>
      <c r="J271" s="100" t="s">
        <v>1418</v>
      </c>
      <c r="K271" s="100" t="s">
        <v>969</v>
      </c>
      <c r="L271" s="98" t="s">
        <v>1035</v>
      </c>
      <c r="M271" s="98" t="s">
        <v>1035</v>
      </c>
      <c r="N271" s="98" t="s">
        <v>1031</v>
      </c>
      <c r="O271" s="98" t="s">
        <v>677</v>
      </c>
      <c r="P271" s="98" t="s">
        <v>1467</v>
      </c>
      <c r="Q271" s="98" t="s">
        <v>811</v>
      </c>
      <c r="R271" s="98" t="s">
        <v>1468</v>
      </c>
      <c r="S271" s="98" t="s">
        <v>1034</v>
      </c>
    </row>
    <row r="272" customFormat="false" ht="55" hidden="false" customHeight="true" outlineLevel="0" collapsed="false">
      <c r="C272" s="98" t="s">
        <v>1022</v>
      </c>
      <c r="D272" s="98" t="s">
        <v>1023</v>
      </c>
      <c r="E272" s="98" t="s">
        <v>1024</v>
      </c>
      <c r="F272" s="98" t="n">
        <v>46270.7484260648</v>
      </c>
      <c r="G272" s="98" t="s">
        <v>1025</v>
      </c>
      <c r="H272" s="98" t="s">
        <v>1026</v>
      </c>
      <c r="I272" s="98" t="s">
        <v>1246</v>
      </c>
      <c r="J272" s="100" t="s">
        <v>1418</v>
      </c>
      <c r="K272" s="100" t="s">
        <v>970</v>
      </c>
      <c r="L272" s="98" t="s">
        <v>1030</v>
      </c>
      <c r="M272" s="98" t="s">
        <v>1030</v>
      </c>
      <c r="N272" s="98" t="s">
        <v>1031</v>
      </c>
      <c r="O272" s="98" t="s">
        <v>677</v>
      </c>
      <c r="P272" s="98" t="s">
        <v>1469</v>
      </c>
      <c r="Q272" s="98" t="s">
        <v>811</v>
      </c>
      <c r="R272" s="98" t="s">
        <v>1470</v>
      </c>
      <c r="S272" s="98" t="s">
        <v>1034</v>
      </c>
    </row>
    <row r="273" customFormat="false" ht="55" hidden="false" customHeight="true" outlineLevel="0" collapsed="false">
      <c r="C273" s="98" t="s">
        <v>1022</v>
      </c>
      <c r="D273" s="98" t="s">
        <v>1023</v>
      </c>
      <c r="E273" s="98" t="s">
        <v>1024</v>
      </c>
      <c r="F273" s="98" t="n">
        <v>46270.7484260648</v>
      </c>
      <c r="G273" s="98" t="s">
        <v>1025</v>
      </c>
      <c r="H273" s="98" t="s">
        <v>1026</v>
      </c>
      <c r="I273" s="98" t="s">
        <v>1246</v>
      </c>
      <c r="J273" s="100" t="s">
        <v>1418</v>
      </c>
      <c r="K273" s="100" t="s">
        <v>970</v>
      </c>
      <c r="L273" s="98" t="s">
        <v>1035</v>
      </c>
      <c r="M273" s="98" t="s">
        <v>1035</v>
      </c>
      <c r="N273" s="98" t="s">
        <v>1031</v>
      </c>
      <c r="O273" s="98" t="s">
        <v>677</v>
      </c>
      <c r="P273" s="98" t="s">
        <v>1471</v>
      </c>
      <c r="Q273" s="98" t="s">
        <v>811</v>
      </c>
      <c r="R273" s="98" t="s">
        <v>1472</v>
      </c>
      <c r="S273" s="98" t="s">
        <v>1034</v>
      </c>
    </row>
    <row r="274" customFormat="false" ht="55" hidden="false" customHeight="true" outlineLevel="0" collapsed="false">
      <c r="C274" s="98" t="s">
        <v>1022</v>
      </c>
      <c r="D274" s="98" t="s">
        <v>1023</v>
      </c>
      <c r="E274" s="98" t="s">
        <v>1024</v>
      </c>
      <c r="F274" s="98" t="n">
        <v>46270.7484260648</v>
      </c>
      <c r="G274" s="98" t="s">
        <v>1025</v>
      </c>
      <c r="H274" s="98" t="s">
        <v>1026</v>
      </c>
      <c r="I274" s="98" t="s">
        <v>1246</v>
      </c>
      <c r="J274" s="100" t="s">
        <v>1418</v>
      </c>
      <c r="K274" s="100" t="s">
        <v>971</v>
      </c>
      <c r="L274" s="98" t="s">
        <v>1030</v>
      </c>
      <c r="M274" s="98" t="s">
        <v>1030</v>
      </c>
      <c r="N274" s="98" t="s">
        <v>1031</v>
      </c>
      <c r="O274" s="98" t="s">
        <v>677</v>
      </c>
      <c r="P274" s="98" t="s">
        <v>1473</v>
      </c>
      <c r="Q274" s="98" t="s">
        <v>811</v>
      </c>
      <c r="R274" s="98" t="s">
        <v>1474</v>
      </c>
      <c r="S274" s="98" t="s">
        <v>1034</v>
      </c>
    </row>
    <row r="275" customFormat="false" ht="55" hidden="false" customHeight="true" outlineLevel="0" collapsed="false">
      <c r="C275" s="98" t="s">
        <v>1022</v>
      </c>
      <c r="D275" s="98" t="s">
        <v>1023</v>
      </c>
      <c r="E275" s="98" t="s">
        <v>1024</v>
      </c>
      <c r="F275" s="98" t="n">
        <v>46270.7484260648</v>
      </c>
      <c r="G275" s="98" t="s">
        <v>1025</v>
      </c>
      <c r="H275" s="98" t="s">
        <v>1026</v>
      </c>
      <c r="I275" s="98" t="s">
        <v>1246</v>
      </c>
      <c r="J275" s="100" t="s">
        <v>1418</v>
      </c>
      <c r="K275" s="100" t="s">
        <v>971</v>
      </c>
      <c r="L275" s="98" t="s">
        <v>1035</v>
      </c>
      <c r="M275" s="98" t="s">
        <v>1035</v>
      </c>
      <c r="N275" s="98" t="s">
        <v>1031</v>
      </c>
      <c r="O275" s="98" t="s">
        <v>677</v>
      </c>
      <c r="P275" s="98" t="s">
        <v>1475</v>
      </c>
      <c r="Q275" s="98" t="s">
        <v>811</v>
      </c>
      <c r="R275" s="98" t="s">
        <v>1476</v>
      </c>
      <c r="S275" s="98" t="s">
        <v>1034</v>
      </c>
    </row>
    <row r="276" customFormat="false" ht="55" hidden="false" customHeight="true" outlineLevel="0" collapsed="false">
      <c r="C276" s="98" t="s">
        <v>1022</v>
      </c>
      <c r="D276" s="98" t="s">
        <v>1023</v>
      </c>
      <c r="E276" s="98" t="s">
        <v>1024</v>
      </c>
      <c r="F276" s="98" t="n">
        <v>46270.7484260648</v>
      </c>
      <c r="G276" s="98" t="s">
        <v>1025</v>
      </c>
      <c r="H276" s="98" t="s">
        <v>1026</v>
      </c>
      <c r="I276" s="98" t="s">
        <v>1246</v>
      </c>
      <c r="J276" s="100" t="s">
        <v>1418</v>
      </c>
      <c r="K276" s="100" t="s">
        <v>972</v>
      </c>
      <c r="L276" s="98" t="s">
        <v>1030</v>
      </c>
      <c r="M276" s="98" t="s">
        <v>1030</v>
      </c>
      <c r="N276" s="98" t="s">
        <v>1031</v>
      </c>
      <c r="O276" s="98" t="s">
        <v>677</v>
      </c>
      <c r="P276" s="98"/>
      <c r="Q276" s="98" t="s">
        <v>811</v>
      </c>
      <c r="R276" s="98"/>
      <c r="S276" s="98" t="s">
        <v>1034</v>
      </c>
    </row>
    <row r="277" customFormat="false" ht="55" hidden="false" customHeight="true" outlineLevel="0" collapsed="false">
      <c r="C277" s="98" t="s">
        <v>1022</v>
      </c>
      <c r="D277" s="98" t="s">
        <v>1023</v>
      </c>
      <c r="E277" s="98" t="s">
        <v>1024</v>
      </c>
      <c r="F277" s="98" t="n">
        <v>46270.7484260648</v>
      </c>
      <c r="G277" s="98" t="s">
        <v>1025</v>
      </c>
      <c r="H277" s="98" t="s">
        <v>1026</v>
      </c>
      <c r="I277" s="98" t="s">
        <v>1246</v>
      </c>
      <c r="J277" s="100" t="s">
        <v>1418</v>
      </c>
      <c r="K277" s="100" t="s">
        <v>972</v>
      </c>
      <c r="L277" s="98" t="s">
        <v>1035</v>
      </c>
      <c r="M277" s="98" t="s">
        <v>1035</v>
      </c>
      <c r="N277" s="98" t="s">
        <v>1031</v>
      </c>
      <c r="O277" s="98" t="s">
        <v>677</v>
      </c>
      <c r="P277" s="98"/>
      <c r="Q277" s="98" t="s">
        <v>811</v>
      </c>
      <c r="R277" s="98"/>
      <c r="S277" s="98" t="s">
        <v>1034</v>
      </c>
    </row>
    <row r="278" customFormat="false" ht="55" hidden="false" customHeight="true" outlineLevel="0" collapsed="false">
      <c r="C278" s="98" t="s">
        <v>1022</v>
      </c>
      <c r="D278" s="98" t="s">
        <v>1023</v>
      </c>
      <c r="E278" s="98" t="s">
        <v>1024</v>
      </c>
      <c r="F278" s="98" t="n">
        <v>46270.7484260648</v>
      </c>
      <c r="G278" s="98" t="s">
        <v>1025</v>
      </c>
      <c r="H278" s="98" t="s">
        <v>1026</v>
      </c>
      <c r="I278" s="98" t="s">
        <v>1246</v>
      </c>
      <c r="J278" s="100" t="s">
        <v>1418</v>
      </c>
      <c r="K278" s="100" t="s">
        <v>973</v>
      </c>
      <c r="L278" s="98" t="s">
        <v>1030</v>
      </c>
      <c r="M278" s="98" t="s">
        <v>1030</v>
      </c>
      <c r="N278" s="98" t="s">
        <v>1031</v>
      </c>
      <c r="O278" s="98" t="s">
        <v>677</v>
      </c>
      <c r="P278" s="98"/>
      <c r="Q278" s="98" t="s">
        <v>811</v>
      </c>
      <c r="R278" s="98"/>
      <c r="S278" s="98" t="s">
        <v>1034</v>
      </c>
    </row>
    <row r="279" customFormat="false" ht="55" hidden="false" customHeight="true" outlineLevel="0" collapsed="false">
      <c r="C279" s="98" t="s">
        <v>1022</v>
      </c>
      <c r="D279" s="98" t="s">
        <v>1023</v>
      </c>
      <c r="E279" s="98" t="s">
        <v>1024</v>
      </c>
      <c r="F279" s="98" t="n">
        <v>46270.7484260648</v>
      </c>
      <c r="G279" s="98" t="s">
        <v>1025</v>
      </c>
      <c r="H279" s="98" t="s">
        <v>1026</v>
      </c>
      <c r="I279" s="98" t="s">
        <v>1246</v>
      </c>
      <c r="J279" s="100" t="s">
        <v>1418</v>
      </c>
      <c r="K279" s="100" t="s">
        <v>973</v>
      </c>
      <c r="L279" s="98" t="s">
        <v>1035</v>
      </c>
      <c r="M279" s="98" t="s">
        <v>1035</v>
      </c>
      <c r="N279" s="98" t="s">
        <v>1031</v>
      </c>
      <c r="O279" s="98" t="s">
        <v>677</v>
      </c>
      <c r="P279" s="98"/>
      <c r="Q279" s="98" t="s">
        <v>811</v>
      </c>
      <c r="R279" s="98"/>
      <c r="S279" s="98" t="s">
        <v>1034</v>
      </c>
    </row>
    <row r="280" customFormat="false" ht="55" hidden="false" customHeight="true" outlineLevel="0" collapsed="false">
      <c r="C280" s="98" t="s">
        <v>1022</v>
      </c>
      <c r="D280" s="98" t="s">
        <v>1023</v>
      </c>
      <c r="E280" s="98" t="s">
        <v>1024</v>
      </c>
      <c r="F280" s="98" t="n">
        <v>46270.7484260648</v>
      </c>
      <c r="G280" s="98" t="s">
        <v>1025</v>
      </c>
      <c r="H280" s="98" t="s">
        <v>1026</v>
      </c>
      <c r="I280" s="98" t="s">
        <v>1246</v>
      </c>
      <c r="J280" s="100" t="s">
        <v>1418</v>
      </c>
      <c r="K280" s="100" t="s">
        <v>974</v>
      </c>
      <c r="L280" s="98" t="s">
        <v>1030</v>
      </c>
      <c r="M280" s="98" t="s">
        <v>1030</v>
      </c>
      <c r="N280" s="98" t="s">
        <v>1031</v>
      </c>
      <c r="O280" s="98" t="s">
        <v>677</v>
      </c>
      <c r="P280" s="98" t="s">
        <v>1477</v>
      </c>
      <c r="Q280" s="98" t="s">
        <v>811</v>
      </c>
      <c r="R280" s="98" t="s">
        <v>1478</v>
      </c>
      <c r="S280" s="98" t="s">
        <v>1034</v>
      </c>
    </row>
    <row r="281" customFormat="false" ht="55" hidden="false" customHeight="true" outlineLevel="0" collapsed="false">
      <c r="C281" s="98" t="s">
        <v>1022</v>
      </c>
      <c r="D281" s="98" t="s">
        <v>1023</v>
      </c>
      <c r="E281" s="98" t="s">
        <v>1024</v>
      </c>
      <c r="F281" s="98" t="n">
        <v>46270.7484260648</v>
      </c>
      <c r="G281" s="98" t="s">
        <v>1025</v>
      </c>
      <c r="H281" s="98" t="s">
        <v>1026</v>
      </c>
      <c r="I281" s="98" t="s">
        <v>1246</v>
      </c>
      <c r="J281" s="100" t="s">
        <v>1418</v>
      </c>
      <c r="K281" s="100" t="s">
        <v>974</v>
      </c>
      <c r="L281" s="98" t="s">
        <v>1035</v>
      </c>
      <c r="M281" s="98" t="s">
        <v>1035</v>
      </c>
      <c r="N281" s="98" t="s">
        <v>1031</v>
      </c>
      <c r="O281" s="98" t="s">
        <v>677</v>
      </c>
      <c r="P281" s="98"/>
      <c r="Q281" s="98" t="s">
        <v>811</v>
      </c>
      <c r="R281" s="98"/>
      <c r="S281" s="98" t="s">
        <v>1034</v>
      </c>
    </row>
    <row r="282" customFormat="false" ht="55" hidden="false" customHeight="true" outlineLevel="0" collapsed="false">
      <c r="C282" s="98" t="s">
        <v>1022</v>
      </c>
      <c r="D282" s="98" t="s">
        <v>1023</v>
      </c>
      <c r="E282" s="98" t="s">
        <v>1024</v>
      </c>
      <c r="F282" s="98" t="n">
        <v>46270.7484260648</v>
      </c>
      <c r="G282" s="98" t="s">
        <v>1025</v>
      </c>
      <c r="H282" s="98" t="s">
        <v>1026</v>
      </c>
      <c r="I282" s="98" t="s">
        <v>1246</v>
      </c>
      <c r="J282" s="100" t="s">
        <v>1418</v>
      </c>
      <c r="K282" s="100" t="s">
        <v>975</v>
      </c>
      <c r="L282" s="98" t="s">
        <v>1030</v>
      </c>
      <c r="M282" s="98" t="s">
        <v>1030</v>
      </c>
      <c r="N282" s="98" t="s">
        <v>1031</v>
      </c>
      <c r="O282" s="98" t="s">
        <v>677</v>
      </c>
      <c r="P282" s="98" t="s">
        <v>1479</v>
      </c>
      <c r="Q282" s="98" t="s">
        <v>811</v>
      </c>
      <c r="R282" s="98" t="s">
        <v>1480</v>
      </c>
      <c r="S282" s="98" t="s">
        <v>1034</v>
      </c>
    </row>
    <row r="283" customFormat="false" ht="55" hidden="false" customHeight="true" outlineLevel="0" collapsed="false">
      <c r="C283" s="98" t="s">
        <v>1022</v>
      </c>
      <c r="D283" s="98" t="s">
        <v>1023</v>
      </c>
      <c r="E283" s="98" t="s">
        <v>1024</v>
      </c>
      <c r="F283" s="98" t="n">
        <v>46270.7484260648</v>
      </c>
      <c r="G283" s="98" t="s">
        <v>1025</v>
      </c>
      <c r="H283" s="98" t="s">
        <v>1026</v>
      </c>
      <c r="I283" s="98" t="s">
        <v>1246</v>
      </c>
      <c r="J283" s="100" t="s">
        <v>1418</v>
      </c>
      <c r="K283" s="100" t="s">
        <v>975</v>
      </c>
      <c r="L283" s="98" t="s">
        <v>1035</v>
      </c>
      <c r="M283" s="98" t="s">
        <v>1035</v>
      </c>
      <c r="N283" s="98" t="s">
        <v>1031</v>
      </c>
      <c r="O283" s="98" t="s">
        <v>677</v>
      </c>
      <c r="P283" s="98" t="s">
        <v>1481</v>
      </c>
      <c r="Q283" s="98" t="s">
        <v>811</v>
      </c>
      <c r="R283" s="98" t="s">
        <v>1482</v>
      </c>
      <c r="S283" s="98" t="s">
        <v>1034</v>
      </c>
    </row>
    <row r="284" customFormat="false" ht="55" hidden="false" customHeight="true" outlineLevel="0" collapsed="false">
      <c r="C284" s="98" t="s">
        <v>1022</v>
      </c>
      <c r="D284" s="98" t="s">
        <v>1023</v>
      </c>
      <c r="E284" s="98" t="s">
        <v>1024</v>
      </c>
      <c r="F284" s="98" t="n">
        <v>46270.7484260648</v>
      </c>
      <c r="G284" s="98" t="s">
        <v>1025</v>
      </c>
      <c r="H284" s="98" t="s">
        <v>1026</v>
      </c>
      <c r="I284" s="98" t="s">
        <v>1246</v>
      </c>
      <c r="J284" s="100" t="s">
        <v>1418</v>
      </c>
      <c r="K284" s="100" t="s">
        <v>976</v>
      </c>
      <c r="L284" s="98" t="s">
        <v>1030</v>
      </c>
      <c r="M284" s="98" t="s">
        <v>1030</v>
      </c>
      <c r="N284" s="98" t="s">
        <v>1031</v>
      </c>
      <c r="O284" s="98" t="s">
        <v>677</v>
      </c>
      <c r="P284" s="98" t="s">
        <v>1483</v>
      </c>
      <c r="Q284" s="98" t="s">
        <v>811</v>
      </c>
      <c r="R284" s="98" t="s">
        <v>1484</v>
      </c>
      <c r="S284" s="98" t="s">
        <v>1034</v>
      </c>
    </row>
    <row r="285" customFormat="false" ht="55" hidden="false" customHeight="true" outlineLevel="0" collapsed="false">
      <c r="C285" s="98" t="s">
        <v>1022</v>
      </c>
      <c r="D285" s="98" t="s">
        <v>1023</v>
      </c>
      <c r="E285" s="98" t="s">
        <v>1024</v>
      </c>
      <c r="F285" s="98" t="n">
        <v>46270.7484260648</v>
      </c>
      <c r="G285" s="98" t="s">
        <v>1025</v>
      </c>
      <c r="H285" s="98" t="s">
        <v>1026</v>
      </c>
      <c r="I285" s="98" t="s">
        <v>1246</v>
      </c>
      <c r="J285" s="100" t="s">
        <v>1418</v>
      </c>
      <c r="K285" s="100" t="s">
        <v>976</v>
      </c>
      <c r="L285" s="98" t="s">
        <v>1035</v>
      </c>
      <c r="M285" s="98" t="s">
        <v>1035</v>
      </c>
      <c r="N285" s="98" t="s">
        <v>1031</v>
      </c>
      <c r="O285" s="98" t="s">
        <v>677</v>
      </c>
      <c r="P285" s="98" t="s">
        <v>1485</v>
      </c>
      <c r="Q285" s="98" t="s">
        <v>811</v>
      </c>
      <c r="R285" s="98" t="s">
        <v>1486</v>
      </c>
      <c r="S285" s="98" t="s">
        <v>1034</v>
      </c>
    </row>
    <row r="286" customFormat="false" ht="55" hidden="false" customHeight="true" outlineLevel="0" collapsed="false">
      <c r="C286" s="98" t="s">
        <v>1022</v>
      </c>
      <c r="D286" s="98" t="s">
        <v>1023</v>
      </c>
      <c r="E286" s="98" t="s">
        <v>1024</v>
      </c>
      <c r="F286" s="98" t="n">
        <v>46270.7484260648</v>
      </c>
      <c r="G286" s="98" t="s">
        <v>1025</v>
      </c>
      <c r="H286" s="98" t="s">
        <v>1026</v>
      </c>
      <c r="I286" s="98" t="s">
        <v>1246</v>
      </c>
      <c r="J286" s="100" t="s">
        <v>1418</v>
      </c>
      <c r="K286" s="100" t="s">
        <v>977</v>
      </c>
      <c r="L286" s="98" t="s">
        <v>1030</v>
      </c>
      <c r="M286" s="98" t="s">
        <v>1030</v>
      </c>
      <c r="N286" s="98" t="s">
        <v>1031</v>
      </c>
      <c r="O286" s="98" t="s">
        <v>677</v>
      </c>
      <c r="P286" s="98" t="s">
        <v>1487</v>
      </c>
      <c r="Q286" s="98" t="s">
        <v>811</v>
      </c>
      <c r="R286" s="98" t="s">
        <v>1248</v>
      </c>
      <c r="S286" s="98" t="s">
        <v>1034</v>
      </c>
    </row>
    <row r="287" customFormat="false" ht="55" hidden="false" customHeight="true" outlineLevel="0" collapsed="false">
      <c r="C287" s="98" t="s">
        <v>1022</v>
      </c>
      <c r="D287" s="98" t="s">
        <v>1023</v>
      </c>
      <c r="E287" s="98" t="s">
        <v>1024</v>
      </c>
      <c r="F287" s="98" t="n">
        <v>46270.7484260648</v>
      </c>
      <c r="G287" s="98" t="s">
        <v>1025</v>
      </c>
      <c r="H287" s="98" t="s">
        <v>1026</v>
      </c>
      <c r="I287" s="98" t="s">
        <v>1246</v>
      </c>
      <c r="J287" s="100" t="s">
        <v>1418</v>
      </c>
      <c r="K287" s="100" t="s">
        <v>977</v>
      </c>
      <c r="L287" s="98" t="s">
        <v>1035</v>
      </c>
      <c r="M287" s="98" t="s">
        <v>1035</v>
      </c>
      <c r="N287" s="98" t="s">
        <v>1031</v>
      </c>
      <c r="O287" s="98" t="s">
        <v>677</v>
      </c>
      <c r="P287" s="98" t="s">
        <v>1488</v>
      </c>
      <c r="Q287" s="98" t="s">
        <v>811</v>
      </c>
      <c r="R287" s="98" t="s">
        <v>1250</v>
      </c>
      <c r="S287" s="98" t="s">
        <v>1034</v>
      </c>
    </row>
    <row r="288" customFormat="false" ht="55" hidden="false" customHeight="true" outlineLevel="0" collapsed="false">
      <c r="C288" s="98" t="s">
        <v>1022</v>
      </c>
      <c r="D288" s="98" t="s">
        <v>1023</v>
      </c>
      <c r="E288" s="98" t="s">
        <v>1024</v>
      </c>
      <c r="F288" s="98" t="n">
        <v>46270.7484260648</v>
      </c>
      <c r="G288" s="98" t="s">
        <v>1025</v>
      </c>
      <c r="H288" s="98" t="s">
        <v>1026</v>
      </c>
      <c r="I288" s="98" t="s">
        <v>1246</v>
      </c>
      <c r="J288" s="100" t="s">
        <v>1418</v>
      </c>
      <c r="K288" s="100" t="s">
        <v>978</v>
      </c>
      <c r="L288" s="98" t="s">
        <v>1030</v>
      </c>
      <c r="M288" s="98" t="s">
        <v>1030</v>
      </c>
      <c r="N288" s="98" t="s">
        <v>1031</v>
      </c>
      <c r="O288" s="98" t="s">
        <v>677</v>
      </c>
      <c r="P288" s="98"/>
      <c r="Q288" s="98" t="s">
        <v>811</v>
      </c>
      <c r="R288" s="98"/>
      <c r="S288" s="98" t="s">
        <v>1034</v>
      </c>
    </row>
    <row r="289" customFormat="false" ht="55" hidden="false" customHeight="true" outlineLevel="0" collapsed="false">
      <c r="C289" s="98" t="s">
        <v>1022</v>
      </c>
      <c r="D289" s="98" t="s">
        <v>1023</v>
      </c>
      <c r="E289" s="98" t="s">
        <v>1024</v>
      </c>
      <c r="F289" s="98" t="n">
        <v>46270.7484260648</v>
      </c>
      <c r="G289" s="98" t="s">
        <v>1025</v>
      </c>
      <c r="H289" s="98" t="s">
        <v>1026</v>
      </c>
      <c r="I289" s="98" t="s">
        <v>1246</v>
      </c>
      <c r="J289" s="100" t="s">
        <v>1418</v>
      </c>
      <c r="K289" s="100" t="s">
        <v>978</v>
      </c>
      <c r="L289" s="98" t="s">
        <v>1035</v>
      </c>
      <c r="M289" s="98" t="s">
        <v>1035</v>
      </c>
      <c r="N289" s="98" t="s">
        <v>1031</v>
      </c>
      <c r="O289" s="98" t="s">
        <v>677</v>
      </c>
      <c r="P289" s="98"/>
      <c r="Q289" s="98" t="s">
        <v>811</v>
      </c>
      <c r="R289" s="98"/>
      <c r="S289" s="98" t="s">
        <v>1034</v>
      </c>
    </row>
    <row r="290" customFormat="false" ht="55" hidden="false" customHeight="true" outlineLevel="0" collapsed="false">
      <c r="C290" s="98" t="s">
        <v>1022</v>
      </c>
      <c r="D290" s="98" t="s">
        <v>1023</v>
      </c>
      <c r="E290" s="98" t="s">
        <v>1024</v>
      </c>
      <c r="F290" s="98" t="n">
        <v>46270.7484260648</v>
      </c>
      <c r="G290" s="98" t="s">
        <v>1025</v>
      </c>
      <c r="H290" s="98" t="s">
        <v>1026</v>
      </c>
      <c r="I290" s="98" t="s">
        <v>1246</v>
      </c>
      <c r="J290" s="100" t="s">
        <v>1418</v>
      </c>
      <c r="K290" s="100" t="s">
        <v>979</v>
      </c>
      <c r="L290" s="98" t="s">
        <v>1030</v>
      </c>
      <c r="M290" s="98" t="s">
        <v>1030</v>
      </c>
      <c r="N290" s="98" t="s">
        <v>1031</v>
      </c>
      <c r="O290" s="98" t="s">
        <v>677</v>
      </c>
      <c r="P290" s="98" t="s">
        <v>1489</v>
      </c>
      <c r="Q290" s="98" t="s">
        <v>811</v>
      </c>
      <c r="R290" s="98" t="s">
        <v>1490</v>
      </c>
      <c r="S290" s="98" t="s">
        <v>1034</v>
      </c>
    </row>
    <row r="291" customFormat="false" ht="55" hidden="false" customHeight="true" outlineLevel="0" collapsed="false">
      <c r="C291" s="98" t="s">
        <v>1022</v>
      </c>
      <c r="D291" s="98" t="s">
        <v>1023</v>
      </c>
      <c r="E291" s="98" t="s">
        <v>1024</v>
      </c>
      <c r="F291" s="98" t="n">
        <v>46270.7484260648</v>
      </c>
      <c r="G291" s="98" t="s">
        <v>1025</v>
      </c>
      <c r="H291" s="98" t="s">
        <v>1026</v>
      </c>
      <c r="I291" s="98" t="s">
        <v>1246</v>
      </c>
      <c r="J291" s="100" t="s">
        <v>1418</v>
      </c>
      <c r="K291" s="100" t="s">
        <v>979</v>
      </c>
      <c r="L291" s="98" t="s">
        <v>1035</v>
      </c>
      <c r="M291" s="98" t="s">
        <v>1035</v>
      </c>
      <c r="N291" s="98" t="s">
        <v>1031</v>
      </c>
      <c r="O291" s="98" t="s">
        <v>677</v>
      </c>
      <c r="P291" s="98" t="s">
        <v>1491</v>
      </c>
      <c r="Q291" s="98" t="s">
        <v>811</v>
      </c>
      <c r="R291" s="98" t="s">
        <v>1492</v>
      </c>
      <c r="S291" s="98" t="s">
        <v>1034</v>
      </c>
    </row>
    <row r="292" customFormat="false" ht="55" hidden="false" customHeight="true" outlineLevel="0" collapsed="false">
      <c r="C292" s="98" t="s">
        <v>1022</v>
      </c>
      <c r="D292" s="98" t="s">
        <v>1023</v>
      </c>
      <c r="E292" s="98" t="s">
        <v>1024</v>
      </c>
      <c r="F292" s="98" t="n">
        <v>46270.7484260648</v>
      </c>
      <c r="G292" s="98" t="s">
        <v>1025</v>
      </c>
      <c r="H292" s="98" t="s">
        <v>1026</v>
      </c>
      <c r="I292" s="98" t="s">
        <v>1246</v>
      </c>
      <c r="J292" s="100" t="s">
        <v>1418</v>
      </c>
      <c r="K292" s="98"/>
      <c r="L292" s="98" t="s">
        <v>1030</v>
      </c>
      <c r="M292" s="98" t="s">
        <v>1030</v>
      </c>
      <c r="N292" s="98" t="s">
        <v>1031</v>
      </c>
      <c r="O292" s="98" t="s">
        <v>677</v>
      </c>
      <c r="P292" s="98"/>
      <c r="Q292" s="98" t="s">
        <v>811</v>
      </c>
      <c r="R292" s="98"/>
      <c r="S292" s="98" t="s">
        <v>1034</v>
      </c>
    </row>
    <row r="293" customFormat="false" ht="55" hidden="false" customHeight="true" outlineLevel="0" collapsed="false">
      <c r="C293" s="98" t="s">
        <v>1022</v>
      </c>
      <c r="D293" s="98" t="s">
        <v>1023</v>
      </c>
      <c r="E293" s="98" t="s">
        <v>1024</v>
      </c>
      <c r="F293" s="98" t="n">
        <v>46270.7484260648</v>
      </c>
      <c r="G293" s="98" t="s">
        <v>1025</v>
      </c>
      <c r="H293" s="98" t="s">
        <v>1026</v>
      </c>
      <c r="I293" s="98" t="s">
        <v>1246</v>
      </c>
      <c r="J293" s="100" t="s">
        <v>1418</v>
      </c>
      <c r="K293" s="98"/>
      <c r="L293" s="98" t="s">
        <v>1035</v>
      </c>
      <c r="M293" s="98" t="s">
        <v>1035</v>
      </c>
      <c r="N293" s="98" t="s">
        <v>1031</v>
      </c>
      <c r="O293" s="98" t="s">
        <v>677</v>
      </c>
      <c r="P293" s="98" t="s">
        <v>1493</v>
      </c>
      <c r="Q293" s="98" t="s">
        <v>811</v>
      </c>
      <c r="R293" s="98" t="s">
        <v>1494</v>
      </c>
      <c r="S293" s="98" t="s">
        <v>1034</v>
      </c>
    </row>
    <row r="294" customFormat="false" ht="55" hidden="false" customHeight="true" outlineLevel="0" collapsed="false">
      <c r="C294" s="98" t="s">
        <v>1022</v>
      </c>
      <c r="D294" s="98" t="s">
        <v>1023</v>
      </c>
      <c r="E294" s="98" t="s">
        <v>1024</v>
      </c>
      <c r="F294" s="98" t="n">
        <v>46270.7484260648</v>
      </c>
      <c r="G294" s="98" t="s">
        <v>1025</v>
      </c>
      <c r="H294" s="98" t="s">
        <v>1026</v>
      </c>
      <c r="I294" s="98" t="s">
        <v>1246</v>
      </c>
      <c r="J294" s="100" t="s">
        <v>1418</v>
      </c>
      <c r="K294" s="100" t="s">
        <v>981</v>
      </c>
      <c r="L294" s="98" t="s">
        <v>1030</v>
      </c>
      <c r="M294" s="98" t="s">
        <v>1030</v>
      </c>
      <c r="N294" s="98" t="s">
        <v>1031</v>
      </c>
      <c r="O294" s="98" t="s">
        <v>677</v>
      </c>
      <c r="P294" s="98" t="s">
        <v>1495</v>
      </c>
      <c r="Q294" s="98" t="s">
        <v>811</v>
      </c>
      <c r="R294" s="98" t="s">
        <v>1496</v>
      </c>
      <c r="S294" s="98" t="s">
        <v>1034</v>
      </c>
    </row>
    <row r="295" customFormat="false" ht="55" hidden="false" customHeight="true" outlineLevel="0" collapsed="false">
      <c r="C295" s="98" t="s">
        <v>1022</v>
      </c>
      <c r="D295" s="98" t="s">
        <v>1023</v>
      </c>
      <c r="E295" s="98" t="s">
        <v>1024</v>
      </c>
      <c r="F295" s="98" t="n">
        <v>46270.7484260648</v>
      </c>
      <c r="G295" s="98" t="s">
        <v>1025</v>
      </c>
      <c r="H295" s="98" t="s">
        <v>1026</v>
      </c>
      <c r="I295" s="98" t="s">
        <v>1246</v>
      </c>
      <c r="J295" s="100" t="s">
        <v>1418</v>
      </c>
      <c r="K295" s="100" t="s">
        <v>981</v>
      </c>
      <c r="L295" s="98" t="s">
        <v>1035</v>
      </c>
      <c r="M295" s="98" t="s">
        <v>1035</v>
      </c>
      <c r="N295" s="98" t="s">
        <v>1031</v>
      </c>
      <c r="O295" s="98" t="s">
        <v>677</v>
      </c>
      <c r="P295" s="98" t="s">
        <v>1497</v>
      </c>
      <c r="Q295" s="98" t="s">
        <v>811</v>
      </c>
      <c r="R295" s="98" t="s">
        <v>1498</v>
      </c>
      <c r="S295" s="98" t="s">
        <v>1034</v>
      </c>
    </row>
    <row r="296" customFormat="false" ht="55" hidden="false" customHeight="true" outlineLevel="0" collapsed="false">
      <c r="C296" s="98" t="s">
        <v>1022</v>
      </c>
      <c r="D296" s="98" t="s">
        <v>1023</v>
      </c>
      <c r="E296" s="98" t="s">
        <v>1024</v>
      </c>
      <c r="F296" s="98" t="n">
        <v>46270.7484260648</v>
      </c>
      <c r="G296" s="98" t="s">
        <v>1025</v>
      </c>
      <c r="H296" s="98" t="s">
        <v>1026</v>
      </c>
      <c r="I296" s="98" t="s">
        <v>1246</v>
      </c>
      <c r="J296" s="100" t="s">
        <v>1418</v>
      </c>
      <c r="K296" s="100" t="s">
        <v>982</v>
      </c>
      <c r="L296" s="98" t="s">
        <v>1030</v>
      </c>
      <c r="M296" s="98" t="s">
        <v>1030</v>
      </c>
      <c r="N296" s="98" t="s">
        <v>1031</v>
      </c>
      <c r="O296" s="98" t="s">
        <v>677</v>
      </c>
      <c r="P296" s="98" t="s">
        <v>1499</v>
      </c>
      <c r="Q296" s="98" t="s">
        <v>811</v>
      </c>
      <c r="R296" s="98" t="s">
        <v>1500</v>
      </c>
      <c r="S296" s="98" t="s">
        <v>1034</v>
      </c>
    </row>
    <row r="297" customFormat="false" ht="55" hidden="false" customHeight="true" outlineLevel="0" collapsed="false">
      <c r="C297" s="98" t="s">
        <v>1022</v>
      </c>
      <c r="D297" s="98" t="s">
        <v>1023</v>
      </c>
      <c r="E297" s="98" t="s">
        <v>1024</v>
      </c>
      <c r="F297" s="98" t="n">
        <v>46270.7484260648</v>
      </c>
      <c r="G297" s="98" t="s">
        <v>1025</v>
      </c>
      <c r="H297" s="98" t="s">
        <v>1026</v>
      </c>
      <c r="I297" s="98" t="s">
        <v>1246</v>
      </c>
      <c r="J297" s="100" t="s">
        <v>1418</v>
      </c>
      <c r="K297" s="100" t="s">
        <v>982</v>
      </c>
      <c r="L297" s="98" t="s">
        <v>1035</v>
      </c>
      <c r="M297" s="98" t="s">
        <v>1035</v>
      </c>
      <c r="N297" s="98" t="s">
        <v>1031</v>
      </c>
      <c r="O297" s="98" t="s">
        <v>677</v>
      </c>
      <c r="P297" s="98"/>
      <c r="Q297" s="98" t="s">
        <v>811</v>
      </c>
      <c r="R297" s="98"/>
      <c r="S297" s="98" t="s">
        <v>1034</v>
      </c>
    </row>
    <row r="298" customFormat="false" ht="55" hidden="false" customHeight="true" outlineLevel="0" collapsed="false">
      <c r="C298" s="98" t="s">
        <v>1022</v>
      </c>
      <c r="D298" s="98" t="s">
        <v>1023</v>
      </c>
      <c r="E298" s="98" t="s">
        <v>1024</v>
      </c>
      <c r="F298" s="98" t="n">
        <v>46270.7484260648</v>
      </c>
      <c r="G298" s="98" t="s">
        <v>1025</v>
      </c>
      <c r="H298" s="98" t="s">
        <v>1026</v>
      </c>
      <c r="I298" s="98" t="s">
        <v>1246</v>
      </c>
      <c r="J298" s="100" t="s">
        <v>1418</v>
      </c>
      <c r="K298" s="100" t="s">
        <v>983</v>
      </c>
      <c r="L298" s="98" t="s">
        <v>1030</v>
      </c>
      <c r="M298" s="98" t="s">
        <v>1030</v>
      </c>
      <c r="N298" s="98" t="s">
        <v>1031</v>
      </c>
      <c r="O298" s="98" t="s">
        <v>677</v>
      </c>
      <c r="P298" s="98" t="s">
        <v>1501</v>
      </c>
      <c r="Q298" s="98" t="s">
        <v>811</v>
      </c>
      <c r="R298" s="98" t="s">
        <v>1502</v>
      </c>
      <c r="S298" s="98" t="s">
        <v>1034</v>
      </c>
    </row>
    <row r="299" customFormat="false" ht="55" hidden="false" customHeight="true" outlineLevel="0" collapsed="false">
      <c r="C299" s="98" t="s">
        <v>1022</v>
      </c>
      <c r="D299" s="98" t="s">
        <v>1023</v>
      </c>
      <c r="E299" s="98" t="s">
        <v>1024</v>
      </c>
      <c r="F299" s="98" t="n">
        <v>46270.7484260648</v>
      </c>
      <c r="G299" s="98" t="s">
        <v>1025</v>
      </c>
      <c r="H299" s="98" t="s">
        <v>1026</v>
      </c>
      <c r="I299" s="98" t="s">
        <v>1246</v>
      </c>
      <c r="J299" s="100" t="s">
        <v>1418</v>
      </c>
      <c r="K299" s="100" t="s">
        <v>983</v>
      </c>
      <c r="L299" s="98" t="s">
        <v>1035</v>
      </c>
      <c r="M299" s="98" t="s">
        <v>1035</v>
      </c>
      <c r="N299" s="98" t="s">
        <v>1031</v>
      </c>
      <c r="O299" s="98" t="s">
        <v>677</v>
      </c>
      <c r="P299" s="98" t="s">
        <v>1503</v>
      </c>
      <c r="Q299" s="98" t="s">
        <v>811</v>
      </c>
      <c r="R299" s="98" t="s">
        <v>1504</v>
      </c>
      <c r="S299" s="98" t="s">
        <v>1034</v>
      </c>
    </row>
    <row r="300" customFormat="false" ht="55" hidden="false" customHeight="true" outlineLevel="0" collapsed="false">
      <c r="C300" s="98" t="s">
        <v>1022</v>
      </c>
      <c r="D300" s="98" t="s">
        <v>1023</v>
      </c>
      <c r="E300" s="98" t="s">
        <v>1024</v>
      </c>
      <c r="F300" s="98" t="n">
        <v>46270.7484260648</v>
      </c>
      <c r="G300" s="98" t="s">
        <v>1025</v>
      </c>
      <c r="H300" s="98" t="s">
        <v>1026</v>
      </c>
      <c r="I300" s="98" t="s">
        <v>1246</v>
      </c>
      <c r="J300" s="100" t="s">
        <v>1418</v>
      </c>
      <c r="K300" s="100" t="s">
        <v>985</v>
      </c>
      <c r="L300" s="98" t="s">
        <v>1030</v>
      </c>
      <c r="M300" s="98" t="s">
        <v>1030</v>
      </c>
      <c r="N300" s="98" t="s">
        <v>1031</v>
      </c>
      <c r="O300" s="98" t="s">
        <v>677</v>
      </c>
      <c r="P300" s="98" t="s">
        <v>1505</v>
      </c>
      <c r="Q300" s="98" t="s">
        <v>811</v>
      </c>
      <c r="R300" s="98" t="s">
        <v>1506</v>
      </c>
      <c r="S300" s="98" t="s">
        <v>1034</v>
      </c>
    </row>
    <row r="301" customFormat="false" ht="55" hidden="false" customHeight="true" outlineLevel="0" collapsed="false">
      <c r="C301" s="98" t="s">
        <v>1022</v>
      </c>
      <c r="D301" s="98" t="s">
        <v>1023</v>
      </c>
      <c r="E301" s="98" t="s">
        <v>1024</v>
      </c>
      <c r="F301" s="98" t="n">
        <v>46270.7484260648</v>
      </c>
      <c r="G301" s="98" t="s">
        <v>1025</v>
      </c>
      <c r="H301" s="98" t="s">
        <v>1026</v>
      </c>
      <c r="I301" s="98" t="s">
        <v>1246</v>
      </c>
      <c r="J301" s="100" t="s">
        <v>1418</v>
      </c>
      <c r="K301" s="100" t="s">
        <v>985</v>
      </c>
      <c r="L301" s="98" t="s">
        <v>1035</v>
      </c>
      <c r="M301" s="98" t="s">
        <v>1035</v>
      </c>
      <c r="N301" s="98" t="s">
        <v>1031</v>
      </c>
      <c r="O301" s="98" t="s">
        <v>677</v>
      </c>
      <c r="P301" s="98" t="s">
        <v>1507</v>
      </c>
      <c r="Q301" s="98" t="s">
        <v>811</v>
      </c>
      <c r="R301" s="98" t="s">
        <v>1508</v>
      </c>
      <c r="S301" s="98" t="s">
        <v>1034</v>
      </c>
    </row>
    <row r="302" customFormat="false" ht="55" hidden="false" customHeight="true" outlineLevel="0" collapsed="false">
      <c r="C302" s="98" t="s">
        <v>1022</v>
      </c>
      <c r="D302" s="98" t="s">
        <v>1023</v>
      </c>
      <c r="E302" s="98" t="s">
        <v>1024</v>
      </c>
      <c r="F302" s="98" t="n">
        <v>46270.7484260648</v>
      </c>
      <c r="G302" s="98" t="s">
        <v>1025</v>
      </c>
      <c r="H302" s="98" t="s">
        <v>1026</v>
      </c>
      <c r="I302" s="98" t="s">
        <v>1246</v>
      </c>
      <c r="J302" s="100" t="s">
        <v>1418</v>
      </c>
      <c r="K302" s="100" t="s">
        <v>986</v>
      </c>
      <c r="L302" s="98" t="s">
        <v>1030</v>
      </c>
      <c r="M302" s="98" t="s">
        <v>1030</v>
      </c>
      <c r="N302" s="98" t="s">
        <v>1031</v>
      </c>
      <c r="O302" s="98" t="s">
        <v>677</v>
      </c>
      <c r="P302" s="98" t="s">
        <v>1509</v>
      </c>
      <c r="Q302" s="98" t="s">
        <v>811</v>
      </c>
      <c r="R302" s="98" t="s">
        <v>1510</v>
      </c>
      <c r="S302" s="98" t="s">
        <v>1034</v>
      </c>
    </row>
    <row r="303" customFormat="false" ht="55" hidden="false" customHeight="true" outlineLevel="0" collapsed="false">
      <c r="C303" s="98" t="s">
        <v>1022</v>
      </c>
      <c r="D303" s="98" t="s">
        <v>1023</v>
      </c>
      <c r="E303" s="98" t="s">
        <v>1024</v>
      </c>
      <c r="F303" s="98" t="n">
        <v>46270.7484260648</v>
      </c>
      <c r="G303" s="98" t="s">
        <v>1025</v>
      </c>
      <c r="H303" s="98" t="s">
        <v>1026</v>
      </c>
      <c r="I303" s="98" t="s">
        <v>1246</v>
      </c>
      <c r="J303" s="100" t="s">
        <v>1418</v>
      </c>
      <c r="K303" s="100" t="s">
        <v>986</v>
      </c>
      <c r="L303" s="98" t="s">
        <v>1035</v>
      </c>
      <c r="M303" s="98" t="s">
        <v>1035</v>
      </c>
      <c r="N303" s="98" t="s">
        <v>1031</v>
      </c>
      <c r="O303" s="98" t="s">
        <v>677</v>
      </c>
      <c r="P303" s="98" t="s">
        <v>1511</v>
      </c>
      <c r="Q303" s="98" t="s">
        <v>811</v>
      </c>
      <c r="R303" s="98" t="s">
        <v>1512</v>
      </c>
      <c r="S303" s="98" t="s">
        <v>1034</v>
      </c>
    </row>
    <row r="304" customFormat="false" ht="55" hidden="false" customHeight="true" outlineLevel="0" collapsed="false">
      <c r="C304" s="98" t="s">
        <v>1022</v>
      </c>
      <c r="D304" s="98" t="s">
        <v>1023</v>
      </c>
      <c r="E304" s="98" t="s">
        <v>1024</v>
      </c>
      <c r="F304" s="98" t="n">
        <v>46270.7484260648</v>
      </c>
      <c r="G304" s="98" t="s">
        <v>1025</v>
      </c>
      <c r="H304" s="98" t="s">
        <v>1026</v>
      </c>
      <c r="I304" s="98" t="s">
        <v>1246</v>
      </c>
      <c r="J304" s="100" t="s">
        <v>1418</v>
      </c>
      <c r="K304" s="100" t="s">
        <v>987</v>
      </c>
      <c r="L304" s="98" t="s">
        <v>1030</v>
      </c>
      <c r="M304" s="98" t="s">
        <v>1030</v>
      </c>
      <c r="N304" s="98" t="s">
        <v>1031</v>
      </c>
      <c r="O304" s="98" t="s">
        <v>677</v>
      </c>
      <c r="P304" s="98" t="s">
        <v>1513</v>
      </c>
      <c r="Q304" s="98" t="s">
        <v>811</v>
      </c>
      <c r="R304" s="98" t="s">
        <v>1514</v>
      </c>
      <c r="S304" s="98" t="s">
        <v>1034</v>
      </c>
    </row>
    <row r="305" customFormat="false" ht="55" hidden="false" customHeight="true" outlineLevel="0" collapsed="false">
      <c r="C305" s="98" t="s">
        <v>1022</v>
      </c>
      <c r="D305" s="98" t="s">
        <v>1023</v>
      </c>
      <c r="E305" s="98" t="s">
        <v>1024</v>
      </c>
      <c r="F305" s="98" t="n">
        <v>46270.7484260648</v>
      </c>
      <c r="G305" s="98" t="s">
        <v>1025</v>
      </c>
      <c r="H305" s="98" t="s">
        <v>1026</v>
      </c>
      <c r="I305" s="98" t="s">
        <v>1246</v>
      </c>
      <c r="J305" s="100" t="s">
        <v>1418</v>
      </c>
      <c r="K305" s="100" t="s">
        <v>987</v>
      </c>
      <c r="L305" s="98" t="s">
        <v>1035</v>
      </c>
      <c r="M305" s="98" t="s">
        <v>1035</v>
      </c>
      <c r="N305" s="98" t="s">
        <v>1031</v>
      </c>
      <c r="O305" s="98" t="s">
        <v>677</v>
      </c>
      <c r="P305" s="98" t="s">
        <v>1515</v>
      </c>
      <c r="Q305" s="98" t="s">
        <v>811</v>
      </c>
      <c r="R305" s="98" t="s">
        <v>1516</v>
      </c>
      <c r="S305" s="98" t="s">
        <v>1034</v>
      </c>
    </row>
    <row r="306" customFormat="false" ht="55" hidden="false" customHeight="true" outlineLevel="0" collapsed="false">
      <c r="C306" s="98" t="s">
        <v>1022</v>
      </c>
      <c r="D306" s="98" t="s">
        <v>1023</v>
      </c>
      <c r="E306" s="98" t="s">
        <v>1024</v>
      </c>
      <c r="F306" s="98" t="n">
        <v>46270.7484260648</v>
      </c>
      <c r="G306" s="98" t="s">
        <v>1025</v>
      </c>
      <c r="H306" s="98" t="s">
        <v>1026</v>
      </c>
      <c r="I306" s="98" t="s">
        <v>1246</v>
      </c>
      <c r="J306" s="100" t="s">
        <v>1418</v>
      </c>
      <c r="K306" s="100" t="s">
        <v>988</v>
      </c>
      <c r="L306" s="98" t="s">
        <v>1030</v>
      </c>
      <c r="M306" s="98" t="s">
        <v>1030</v>
      </c>
      <c r="N306" s="98" t="s">
        <v>1031</v>
      </c>
      <c r="O306" s="98" t="s">
        <v>677</v>
      </c>
      <c r="P306" s="98" t="s">
        <v>1517</v>
      </c>
      <c r="Q306" s="98" t="s">
        <v>811</v>
      </c>
      <c r="R306" s="98" t="s">
        <v>1518</v>
      </c>
      <c r="S306" s="98" t="s">
        <v>1034</v>
      </c>
    </row>
    <row r="307" customFormat="false" ht="55" hidden="false" customHeight="true" outlineLevel="0" collapsed="false">
      <c r="C307" s="98" t="s">
        <v>1022</v>
      </c>
      <c r="D307" s="98" t="s">
        <v>1023</v>
      </c>
      <c r="E307" s="98" t="s">
        <v>1024</v>
      </c>
      <c r="F307" s="98" t="n">
        <v>46270.7484260648</v>
      </c>
      <c r="G307" s="98" t="s">
        <v>1025</v>
      </c>
      <c r="H307" s="98" t="s">
        <v>1026</v>
      </c>
      <c r="I307" s="98" t="s">
        <v>1246</v>
      </c>
      <c r="J307" s="100" t="s">
        <v>1418</v>
      </c>
      <c r="K307" s="100" t="s">
        <v>988</v>
      </c>
      <c r="L307" s="98" t="s">
        <v>1035</v>
      </c>
      <c r="M307" s="98" t="s">
        <v>1035</v>
      </c>
      <c r="N307" s="98" t="s">
        <v>1031</v>
      </c>
      <c r="O307" s="98" t="s">
        <v>677</v>
      </c>
      <c r="P307" s="98" t="s">
        <v>1519</v>
      </c>
      <c r="Q307" s="98" t="s">
        <v>811</v>
      </c>
      <c r="R307" s="98" t="s">
        <v>1520</v>
      </c>
      <c r="S307" s="98" t="s">
        <v>1034</v>
      </c>
    </row>
    <row r="308" customFormat="false" ht="55" hidden="false" customHeight="true" outlineLevel="0" collapsed="false">
      <c r="C308" s="98" t="s">
        <v>1022</v>
      </c>
      <c r="D308" s="98" t="s">
        <v>1023</v>
      </c>
      <c r="E308" s="98" t="s">
        <v>1024</v>
      </c>
      <c r="F308" s="98" t="n">
        <v>46270.7484260648</v>
      </c>
      <c r="G308" s="98" t="s">
        <v>1025</v>
      </c>
      <c r="H308" s="98" t="s">
        <v>1026</v>
      </c>
      <c r="I308" s="98" t="s">
        <v>1246</v>
      </c>
      <c r="J308" s="100" t="s">
        <v>1418</v>
      </c>
      <c r="K308" s="100" t="s">
        <v>989</v>
      </c>
      <c r="L308" s="98" t="s">
        <v>1030</v>
      </c>
      <c r="M308" s="98" t="s">
        <v>1030</v>
      </c>
      <c r="N308" s="98" t="s">
        <v>1031</v>
      </c>
      <c r="O308" s="98" t="s">
        <v>677</v>
      </c>
      <c r="P308" s="98" t="s">
        <v>1521</v>
      </c>
      <c r="Q308" s="98" t="s">
        <v>811</v>
      </c>
      <c r="R308" s="98" t="s">
        <v>1252</v>
      </c>
      <c r="S308" s="98" t="s">
        <v>1034</v>
      </c>
    </row>
    <row r="309" customFormat="false" ht="55" hidden="false" customHeight="true" outlineLevel="0" collapsed="false">
      <c r="C309" s="98" t="s">
        <v>1022</v>
      </c>
      <c r="D309" s="98" t="s">
        <v>1023</v>
      </c>
      <c r="E309" s="98" t="s">
        <v>1024</v>
      </c>
      <c r="F309" s="98" t="n">
        <v>46270.7484260648</v>
      </c>
      <c r="G309" s="98" t="s">
        <v>1025</v>
      </c>
      <c r="H309" s="98" t="s">
        <v>1026</v>
      </c>
      <c r="I309" s="98" t="s">
        <v>1246</v>
      </c>
      <c r="J309" s="100" t="s">
        <v>1418</v>
      </c>
      <c r="K309" s="100" t="s">
        <v>989</v>
      </c>
      <c r="L309" s="98" t="s">
        <v>1035</v>
      </c>
      <c r="M309" s="98" t="s">
        <v>1035</v>
      </c>
      <c r="N309" s="98" t="s">
        <v>1031</v>
      </c>
      <c r="O309" s="98" t="s">
        <v>677</v>
      </c>
      <c r="P309" s="98" t="s">
        <v>1522</v>
      </c>
      <c r="Q309" s="98" t="s">
        <v>811</v>
      </c>
      <c r="R309" s="98" t="s">
        <v>1254</v>
      </c>
      <c r="S309" s="98" t="s">
        <v>1034</v>
      </c>
    </row>
    <row r="310" customFormat="false" ht="55" hidden="false" customHeight="true" outlineLevel="0" collapsed="false">
      <c r="C310" s="98" t="s">
        <v>1022</v>
      </c>
      <c r="D310" s="98" t="s">
        <v>1023</v>
      </c>
      <c r="E310" s="98" t="s">
        <v>1024</v>
      </c>
      <c r="F310" s="98" t="n">
        <v>46270.7484260648</v>
      </c>
      <c r="G310" s="98" t="s">
        <v>1025</v>
      </c>
      <c r="H310" s="98" t="s">
        <v>1026</v>
      </c>
      <c r="I310" s="98" t="s">
        <v>1246</v>
      </c>
      <c r="J310" s="100" t="s">
        <v>1418</v>
      </c>
      <c r="K310" s="100" t="s">
        <v>990</v>
      </c>
      <c r="L310" s="98" t="s">
        <v>1030</v>
      </c>
      <c r="M310" s="98" t="s">
        <v>1030</v>
      </c>
      <c r="N310" s="98" t="s">
        <v>1031</v>
      </c>
      <c r="O310" s="98" t="s">
        <v>677</v>
      </c>
      <c r="P310" s="98" t="s">
        <v>1523</v>
      </c>
      <c r="Q310" s="98" t="s">
        <v>811</v>
      </c>
      <c r="R310" s="98" t="s">
        <v>1256</v>
      </c>
      <c r="S310" s="98" t="s">
        <v>1034</v>
      </c>
    </row>
    <row r="311" customFormat="false" ht="55" hidden="false" customHeight="true" outlineLevel="0" collapsed="false">
      <c r="C311" s="98" t="s">
        <v>1022</v>
      </c>
      <c r="D311" s="98" t="s">
        <v>1023</v>
      </c>
      <c r="E311" s="98" t="s">
        <v>1024</v>
      </c>
      <c r="F311" s="98" t="n">
        <v>46270.7484260648</v>
      </c>
      <c r="G311" s="98" t="s">
        <v>1025</v>
      </c>
      <c r="H311" s="98" t="s">
        <v>1026</v>
      </c>
      <c r="I311" s="98" t="s">
        <v>1246</v>
      </c>
      <c r="J311" s="100" t="s">
        <v>1418</v>
      </c>
      <c r="K311" s="100" t="s">
        <v>990</v>
      </c>
      <c r="L311" s="98" t="s">
        <v>1035</v>
      </c>
      <c r="M311" s="98" t="s">
        <v>1035</v>
      </c>
      <c r="N311" s="98" t="s">
        <v>1031</v>
      </c>
      <c r="O311" s="98" t="s">
        <v>677</v>
      </c>
      <c r="P311" s="98" t="s">
        <v>1524</v>
      </c>
      <c r="Q311" s="98" t="s">
        <v>811</v>
      </c>
      <c r="R311" s="98" t="s">
        <v>1258</v>
      </c>
      <c r="S311" s="98" t="s">
        <v>1034</v>
      </c>
    </row>
    <row r="312" customFormat="false" ht="55" hidden="false" customHeight="true" outlineLevel="0" collapsed="false">
      <c r="C312" s="98" t="s">
        <v>1022</v>
      </c>
      <c r="D312" s="98" t="s">
        <v>1023</v>
      </c>
      <c r="E312" s="98" t="s">
        <v>1024</v>
      </c>
      <c r="F312" s="98" t="n">
        <v>46270.7484260648</v>
      </c>
      <c r="G312" s="98" t="s">
        <v>1025</v>
      </c>
      <c r="H312" s="98" t="s">
        <v>1026</v>
      </c>
      <c r="I312" s="98" t="s">
        <v>1246</v>
      </c>
      <c r="J312" s="100" t="s">
        <v>1418</v>
      </c>
      <c r="K312" s="100" t="s">
        <v>991</v>
      </c>
      <c r="L312" s="98" t="s">
        <v>1030</v>
      </c>
      <c r="M312" s="98" t="s">
        <v>1030</v>
      </c>
      <c r="N312" s="98" t="s">
        <v>1031</v>
      </c>
      <c r="O312" s="98" t="s">
        <v>677</v>
      </c>
      <c r="P312" s="98" t="s">
        <v>1525</v>
      </c>
      <c r="Q312" s="98" t="s">
        <v>811</v>
      </c>
      <c r="R312" s="98" t="s">
        <v>1526</v>
      </c>
      <c r="S312" s="98" t="s">
        <v>1034</v>
      </c>
    </row>
    <row r="313" customFormat="false" ht="55" hidden="false" customHeight="true" outlineLevel="0" collapsed="false">
      <c r="C313" s="98" t="s">
        <v>1022</v>
      </c>
      <c r="D313" s="98" t="s">
        <v>1023</v>
      </c>
      <c r="E313" s="98" t="s">
        <v>1024</v>
      </c>
      <c r="F313" s="98" t="n">
        <v>46270.7484260648</v>
      </c>
      <c r="G313" s="98" t="s">
        <v>1025</v>
      </c>
      <c r="H313" s="98" t="s">
        <v>1026</v>
      </c>
      <c r="I313" s="98" t="s">
        <v>1246</v>
      </c>
      <c r="J313" s="100" t="s">
        <v>1418</v>
      </c>
      <c r="K313" s="100" t="s">
        <v>991</v>
      </c>
      <c r="L313" s="98" t="s">
        <v>1035</v>
      </c>
      <c r="M313" s="98" t="s">
        <v>1035</v>
      </c>
      <c r="N313" s="98" t="s">
        <v>1031</v>
      </c>
      <c r="O313" s="98" t="s">
        <v>677</v>
      </c>
      <c r="P313" s="98" t="s">
        <v>1527</v>
      </c>
      <c r="Q313" s="98" t="s">
        <v>811</v>
      </c>
      <c r="R313" s="98" t="s">
        <v>1528</v>
      </c>
      <c r="S313" s="98" t="s">
        <v>1034</v>
      </c>
    </row>
    <row r="314" customFormat="false" ht="55" hidden="false" customHeight="true" outlineLevel="0" collapsed="false">
      <c r="C314" s="98" t="s">
        <v>1022</v>
      </c>
      <c r="D314" s="98" t="s">
        <v>1023</v>
      </c>
      <c r="E314" s="98" t="s">
        <v>1024</v>
      </c>
      <c r="F314" s="98" t="n">
        <v>46270.7484260648</v>
      </c>
      <c r="G314" s="98" t="s">
        <v>1025</v>
      </c>
      <c r="H314" s="98" t="s">
        <v>1026</v>
      </c>
      <c r="I314" s="98" t="s">
        <v>1246</v>
      </c>
      <c r="J314" s="100" t="s">
        <v>1418</v>
      </c>
      <c r="K314" s="100" t="s">
        <v>992</v>
      </c>
      <c r="L314" s="98" t="s">
        <v>1030</v>
      </c>
      <c r="M314" s="98" t="s">
        <v>1030</v>
      </c>
      <c r="N314" s="98" t="s">
        <v>1031</v>
      </c>
      <c r="O314" s="98" t="s">
        <v>677</v>
      </c>
      <c r="P314" s="98" t="s">
        <v>1529</v>
      </c>
      <c r="Q314" s="98" t="s">
        <v>811</v>
      </c>
      <c r="R314" s="98" t="s">
        <v>1260</v>
      </c>
      <c r="S314" s="98" t="s">
        <v>1034</v>
      </c>
    </row>
    <row r="315" customFormat="false" ht="55" hidden="false" customHeight="true" outlineLevel="0" collapsed="false">
      <c r="C315" s="98" t="s">
        <v>1022</v>
      </c>
      <c r="D315" s="98" t="s">
        <v>1023</v>
      </c>
      <c r="E315" s="98" t="s">
        <v>1024</v>
      </c>
      <c r="F315" s="98" t="n">
        <v>46270.7484260648</v>
      </c>
      <c r="G315" s="98" t="s">
        <v>1025</v>
      </c>
      <c r="H315" s="98" t="s">
        <v>1026</v>
      </c>
      <c r="I315" s="98" t="s">
        <v>1246</v>
      </c>
      <c r="J315" s="100" t="s">
        <v>1418</v>
      </c>
      <c r="K315" s="100" t="s">
        <v>992</v>
      </c>
      <c r="L315" s="98" t="s">
        <v>1035</v>
      </c>
      <c r="M315" s="98" t="s">
        <v>1035</v>
      </c>
      <c r="N315" s="98" t="s">
        <v>1031</v>
      </c>
      <c r="O315" s="98" t="s">
        <v>677</v>
      </c>
      <c r="P315" s="98" t="s">
        <v>1530</v>
      </c>
      <c r="Q315" s="98" t="s">
        <v>811</v>
      </c>
      <c r="R315" s="98" t="s">
        <v>1262</v>
      </c>
      <c r="S315" s="98" t="s">
        <v>1034</v>
      </c>
    </row>
    <row r="316" customFormat="false" ht="55" hidden="false" customHeight="true" outlineLevel="0" collapsed="false">
      <c r="C316" s="98" t="s">
        <v>1022</v>
      </c>
      <c r="D316" s="98" t="s">
        <v>1023</v>
      </c>
      <c r="E316" s="98" t="s">
        <v>1024</v>
      </c>
      <c r="F316" s="98" t="n">
        <v>46270.7484260648</v>
      </c>
      <c r="G316" s="98" t="s">
        <v>1025</v>
      </c>
      <c r="H316" s="98" t="s">
        <v>1026</v>
      </c>
      <c r="I316" s="98" t="s">
        <v>1246</v>
      </c>
      <c r="J316" s="100" t="s">
        <v>1418</v>
      </c>
      <c r="K316" s="100" t="s">
        <v>993</v>
      </c>
      <c r="L316" s="98" t="s">
        <v>1030</v>
      </c>
      <c r="M316" s="98" t="s">
        <v>1030</v>
      </c>
      <c r="N316" s="98" t="s">
        <v>1031</v>
      </c>
      <c r="O316" s="98" t="s">
        <v>677</v>
      </c>
      <c r="P316" s="98" t="s">
        <v>1531</v>
      </c>
      <c r="Q316" s="98" t="s">
        <v>811</v>
      </c>
      <c r="R316" s="98" t="s">
        <v>1264</v>
      </c>
      <c r="S316" s="98" t="s">
        <v>1034</v>
      </c>
    </row>
    <row r="317" customFormat="false" ht="55" hidden="false" customHeight="true" outlineLevel="0" collapsed="false">
      <c r="C317" s="98" t="s">
        <v>1022</v>
      </c>
      <c r="D317" s="98" t="s">
        <v>1023</v>
      </c>
      <c r="E317" s="98" t="s">
        <v>1024</v>
      </c>
      <c r="F317" s="98" t="n">
        <v>46270.7484260648</v>
      </c>
      <c r="G317" s="98" t="s">
        <v>1025</v>
      </c>
      <c r="H317" s="98" t="s">
        <v>1026</v>
      </c>
      <c r="I317" s="98" t="s">
        <v>1246</v>
      </c>
      <c r="J317" s="100" t="s">
        <v>1418</v>
      </c>
      <c r="K317" s="100" t="s">
        <v>993</v>
      </c>
      <c r="L317" s="98" t="s">
        <v>1035</v>
      </c>
      <c r="M317" s="98" t="s">
        <v>1035</v>
      </c>
      <c r="N317" s="98" t="s">
        <v>1031</v>
      </c>
      <c r="O317" s="98" t="s">
        <v>677</v>
      </c>
      <c r="P317" s="98" t="s">
        <v>1529</v>
      </c>
      <c r="Q317" s="98" t="s">
        <v>811</v>
      </c>
      <c r="R317" s="98" t="s">
        <v>1260</v>
      </c>
      <c r="S317" s="98" t="s">
        <v>1034</v>
      </c>
    </row>
    <row r="318" customFormat="false" ht="55" hidden="false" customHeight="true" outlineLevel="0" collapsed="false">
      <c r="C318" s="98" t="s">
        <v>1043</v>
      </c>
      <c r="D318" s="98" t="s">
        <v>679</v>
      </c>
      <c r="E318" s="98" t="s">
        <v>1044</v>
      </c>
      <c r="F318" s="98" t="n">
        <v>46270.748424375</v>
      </c>
      <c r="G318" s="98" t="n">
        <v>46271.5168071875</v>
      </c>
      <c r="H318" s="98" t="s">
        <v>680</v>
      </c>
      <c r="I318" s="98" t="s">
        <v>1309</v>
      </c>
      <c r="J318" s="100" t="s">
        <v>1418</v>
      </c>
      <c r="K318" s="100" t="s">
        <v>933</v>
      </c>
      <c r="L318" s="98" t="s">
        <v>1046</v>
      </c>
      <c r="M318" s="98" t="s">
        <v>1046</v>
      </c>
      <c r="N318" s="98" t="s">
        <v>1031</v>
      </c>
      <c r="O318" s="98" t="s">
        <v>677</v>
      </c>
      <c r="P318" s="98"/>
      <c r="Q318" s="98" t="s">
        <v>811</v>
      </c>
      <c r="R318" s="98"/>
      <c r="S318" s="98" t="s">
        <v>681</v>
      </c>
    </row>
    <row r="319" customFormat="false" ht="55" hidden="false" customHeight="true" outlineLevel="0" collapsed="false">
      <c r="C319" s="98" t="s">
        <v>1043</v>
      </c>
      <c r="D319" s="98" t="s">
        <v>679</v>
      </c>
      <c r="E319" s="98" t="s">
        <v>1044</v>
      </c>
      <c r="F319" s="98" t="n">
        <v>46270.748424375</v>
      </c>
      <c r="G319" s="98" t="n">
        <v>46271.5168071875</v>
      </c>
      <c r="H319" s="98" t="s">
        <v>680</v>
      </c>
      <c r="I319" s="98" t="s">
        <v>1309</v>
      </c>
      <c r="J319" s="100" t="s">
        <v>1418</v>
      </c>
      <c r="K319" s="100" t="s">
        <v>933</v>
      </c>
      <c r="L319" s="98" t="s">
        <v>1030</v>
      </c>
      <c r="M319" s="98" t="s">
        <v>1030</v>
      </c>
      <c r="N319" s="98" t="s">
        <v>1031</v>
      </c>
      <c r="O319" s="98" t="s">
        <v>677</v>
      </c>
      <c r="P319" s="98"/>
      <c r="Q319" s="98" t="s">
        <v>811</v>
      </c>
      <c r="R319" s="98"/>
      <c r="S319" s="98" t="s">
        <v>681</v>
      </c>
    </row>
    <row r="320" customFormat="false" ht="55" hidden="false" customHeight="true" outlineLevel="0" collapsed="false">
      <c r="C320" s="98" t="s">
        <v>1043</v>
      </c>
      <c r="D320" s="98" t="s">
        <v>679</v>
      </c>
      <c r="E320" s="98" t="s">
        <v>1044</v>
      </c>
      <c r="F320" s="98" t="n">
        <v>46270.748424375</v>
      </c>
      <c r="G320" s="98" t="n">
        <v>46271.5168071875</v>
      </c>
      <c r="H320" s="98" t="s">
        <v>680</v>
      </c>
      <c r="I320" s="98" t="s">
        <v>1309</v>
      </c>
      <c r="J320" s="100" t="s">
        <v>1418</v>
      </c>
      <c r="K320" s="100" t="s">
        <v>935</v>
      </c>
      <c r="L320" s="98" t="s">
        <v>1046</v>
      </c>
      <c r="M320" s="98" t="s">
        <v>1046</v>
      </c>
      <c r="N320" s="98" t="s">
        <v>1031</v>
      </c>
      <c r="O320" s="98" t="s">
        <v>677</v>
      </c>
      <c r="P320" s="98" t="s">
        <v>1532</v>
      </c>
      <c r="Q320" s="98" t="s">
        <v>811</v>
      </c>
      <c r="R320" s="98" t="s">
        <v>1533</v>
      </c>
      <c r="S320" s="98" t="s">
        <v>681</v>
      </c>
    </row>
    <row r="321" customFormat="false" ht="55" hidden="false" customHeight="true" outlineLevel="0" collapsed="false">
      <c r="C321" s="98" t="s">
        <v>1043</v>
      </c>
      <c r="D321" s="98" t="s">
        <v>679</v>
      </c>
      <c r="E321" s="98" t="s">
        <v>1044</v>
      </c>
      <c r="F321" s="98" t="n">
        <v>46270.748424375</v>
      </c>
      <c r="G321" s="98" t="n">
        <v>46271.5168071875</v>
      </c>
      <c r="H321" s="98" t="s">
        <v>680</v>
      </c>
      <c r="I321" s="98" t="s">
        <v>1309</v>
      </c>
      <c r="J321" s="100" t="s">
        <v>1418</v>
      </c>
      <c r="K321" s="100" t="s">
        <v>935</v>
      </c>
      <c r="L321" s="98" t="s">
        <v>1030</v>
      </c>
      <c r="M321" s="98" t="s">
        <v>1030</v>
      </c>
      <c r="N321" s="98" t="s">
        <v>1031</v>
      </c>
      <c r="O321" s="98" t="s">
        <v>677</v>
      </c>
      <c r="P321" s="98" t="s">
        <v>1419</v>
      </c>
      <c r="Q321" s="98" t="s">
        <v>811</v>
      </c>
      <c r="R321" s="98" t="s">
        <v>1420</v>
      </c>
      <c r="S321" s="98" t="s">
        <v>681</v>
      </c>
    </row>
    <row r="322" customFormat="false" ht="55" hidden="false" customHeight="true" outlineLevel="0" collapsed="false">
      <c r="C322" s="98" t="s">
        <v>1043</v>
      </c>
      <c r="D322" s="98" t="s">
        <v>679</v>
      </c>
      <c r="E322" s="98" t="s">
        <v>1044</v>
      </c>
      <c r="F322" s="98" t="n">
        <v>46270.748424375</v>
      </c>
      <c r="G322" s="98" t="n">
        <v>46271.5168071875</v>
      </c>
      <c r="H322" s="98" t="s">
        <v>680</v>
      </c>
      <c r="I322" s="98" t="s">
        <v>1309</v>
      </c>
      <c r="J322" s="100" t="s">
        <v>1418</v>
      </c>
      <c r="K322" s="100" t="s">
        <v>936</v>
      </c>
      <c r="L322" s="98" t="s">
        <v>1046</v>
      </c>
      <c r="M322" s="98" t="s">
        <v>1046</v>
      </c>
      <c r="N322" s="98" t="s">
        <v>1031</v>
      </c>
      <c r="O322" s="98" t="s">
        <v>677</v>
      </c>
      <c r="P322" s="98"/>
      <c r="Q322" s="98" t="s">
        <v>811</v>
      </c>
      <c r="R322" s="98"/>
      <c r="S322" s="98" t="s">
        <v>681</v>
      </c>
    </row>
    <row r="323" customFormat="false" ht="55" hidden="false" customHeight="true" outlineLevel="0" collapsed="false">
      <c r="C323" s="98" t="s">
        <v>1043</v>
      </c>
      <c r="D323" s="98" t="s">
        <v>679</v>
      </c>
      <c r="E323" s="98" t="s">
        <v>1044</v>
      </c>
      <c r="F323" s="98" t="n">
        <v>46270.748424375</v>
      </c>
      <c r="G323" s="98" t="n">
        <v>46271.5168071875</v>
      </c>
      <c r="H323" s="98" t="s">
        <v>680</v>
      </c>
      <c r="I323" s="98" t="s">
        <v>1309</v>
      </c>
      <c r="J323" s="100" t="s">
        <v>1418</v>
      </c>
      <c r="K323" s="100" t="s">
        <v>936</v>
      </c>
      <c r="L323" s="98" t="s">
        <v>1030</v>
      </c>
      <c r="M323" s="98" t="s">
        <v>1030</v>
      </c>
      <c r="N323" s="98" t="s">
        <v>1031</v>
      </c>
      <c r="O323" s="98" t="s">
        <v>677</v>
      </c>
      <c r="P323" s="98"/>
      <c r="Q323" s="98" t="s">
        <v>811</v>
      </c>
      <c r="R323" s="98"/>
      <c r="S323" s="98" t="s">
        <v>681</v>
      </c>
    </row>
    <row r="324" customFormat="false" ht="55" hidden="false" customHeight="true" outlineLevel="0" collapsed="false">
      <c r="C324" s="98" t="s">
        <v>1043</v>
      </c>
      <c r="D324" s="98" t="s">
        <v>679</v>
      </c>
      <c r="E324" s="98" t="s">
        <v>1044</v>
      </c>
      <c r="F324" s="98" t="n">
        <v>46270.748424375</v>
      </c>
      <c r="G324" s="98" t="n">
        <v>46271.5168071875</v>
      </c>
      <c r="H324" s="98" t="s">
        <v>680</v>
      </c>
      <c r="I324" s="98" t="s">
        <v>1309</v>
      </c>
      <c r="J324" s="100" t="s">
        <v>1418</v>
      </c>
      <c r="K324" s="100" t="s">
        <v>937</v>
      </c>
      <c r="L324" s="98" t="s">
        <v>1046</v>
      </c>
      <c r="M324" s="98" t="s">
        <v>1046</v>
      </c>
      <c r="N324" s="98" t="s">
        <v>1031</v>
      </c>
      <c r="O324" s="98" t="s">
        <v>677</v>
      </c>
      <c r="P324" s="98"/>
      <c r="Q324" s="98" t="s">
        <v>811</v>
      </c>
      <c r="R324" s="98"/>
      <c r="S324" s="98" t="s">
        <v>681</v>
      </c>
    </row>
    <row r="325" customFormat="false" ht="55" hidden="false" customHeight="true" outlineLevel="0" collapsed="false">
      <c r="C325" s="98" t="s">
        <v>1043</v>
      </c>
      <c r="D325" s="98" t="s">
        <v>679</v>
      </c>
      <c r="E325" s="98" t="s">
        <v>1044</v>
      </c>
      <c r="F325" s="98" t="n">
        <v>46270.748424375</v>
      </c>
      <c r="G325" s="98" t="n">
        <v>46271.5168071875</v>
      </c>
      <c r="H325" s="98" t="s">
        <v>680</v>
      </c>
      <c r="I325" s="98" t="s">
        <v>1309</v>
      </c>
      <c r="J325" s="100" t="s">
        <v>1418</v>
      </c>
      <c r="K325" s="100" t="s">
        <v>937</v>
      </c>
      <c r="L325" s="98" t="s">
        <v>1030</v>
      </c>
      <c r="M325" s="98" t="s">
        <v>1030</v>
      </c>
      <c r="N325" s="98" t="s">
        <v>1031</v>
      </c>
      <c r="O325" s="98" t="s">
        <v>677</v>
      </c>
      <c r="P325" s="98"/>
      <c r="Q325" s="98" t="s">
        <v>811</v>
      </c>
      <c r="R325" s="98"/>
      <c r="S325" s="98" t="s">
        <v>681</v>
      </c>
    </row>
    <row r="326" customFormat="false" ht="55" hidden="false" customHeight="true" outlineLevel="0" collapsed="false">
      <c r="C326" s="98" t="s">
        <v>1043</v>
      </c>
      <c r="D326" s="98" t="s">
        <v>679</v>
      </c>
      <c r="E326" s="98" t="s">
        <v>1044</v>
      </c>
      <c r="F326" s="98" t="n">
        <v>46270.748424375</v>
      </c>
      <c r="G326" s="98" t="n">
        <v>46271.5168071875</v>
      </c>
      <c r="H326" s="98" t="s">
        <v>680</v>
      </c>
      <c r="I326" s="98" t="s">
        <v>1309</v>
      </c>
      <c r="J326" s="100" t="s">
        <v>1418</v>
      </c>
      <c r="K326" s="100" t="s">
        <v>938</v>
      </c>
      <c r="L326" s="98" t="s">
        <v>1046</v>
      </c>
      <c r="M326" s="98" t="s">
        <v>1046</v>
      </c>
      <c r="N326" s="98" t="s">
        <v>1031</v>
      </c>
      <c r="O326" s="98" t="s">
        <v>677</v>
      </c>
      <c r="P326" s="98"/>
      <c r="Q326" s="98" t="s">
        <v>811</v>
      </c>
      <c r="R326" s="98"/>
      <c r="S326" s="98" t="s">
        <v>681</v>
      </c>
    </row>
    <row r="327" customFormat="false" ht="55" hidden="false" customHeight="true" outlineLevel="0" collapsed="false">
      <c r="C327" s="98" t="s">
        <v>1043</v>
      </c>
      <c r="D327" s="98" t="s">
        <v>679</v>
      </c>
      <c r="E327" s="98" t="s">
        <v>1044</v>
      </c>
      <c r="F327" s="98" t="n">
        <v>46270.748424375</v>
      </c>
      <c r="G327" s="98" t="n">
        <v>46271.5168071875</v>
      </c>
      <c r="H327" s="98" t="s">
        <v>680</v>
      </c>
      <c r="I327" s="98" t="s">
        <v>1309</v>
      </c>
      <c r="J327" s="100" t="s">
        <v>1418</v>
      </c>
      <c r="K327" s="100" t="s">
        <v>938</v>
      </c>
      <c r="L327" s="98" t="s">
        <v>1030</v>
      </c>
      <c r="M327" s="98" t="s">
        <v>1030</v>
      </c>
      <c r="N327" s="98" t="s">
        <v>1031</v>
      </c>
      <c r="O327" s="98" t="s">
        <v>677</v>
      </c>
      <c r="P327" s="98"/>
      <c r="Q327" s="98" t="s">
        <v>811</v>
      </c>
      <c r="R327" s="98"/>
      <c r="S327" s="98" t="s">
        <v>681</v>
      </c>
    </row>
    <row r="328" customFormat="false" ht="55" hidden="false" customHeight="true" outlineLevel="0" collapsed="false">
      <c r="C328" s="98" t="s">
        <v>1043</v>
      </c>
      <c r="D328" s="98" t="s">
        <v>679</v>
      </c>
      <c r="E328" s="98" t="s">
        <v>1044</v>
      </c>
      <c r="F328" s="98" t="n">
        <v>46270.748424375</v>
      </c>
      <c r="G328" s="98" t="n">
        <v>46271.5168071875</v>
      </c>
      <c r="H328" s="98" t="s">
        <v>680</v>
      </c>
      <c r="I328" s="98" t="s">
        <v>1309</v>
      </c>
      <c r="J328" s="100" t="s">
        <v>1418</v>
      </c>
      <c r="K328" s="100" t="s">
        <v>939</v>
      </c>
      <c r="L328" s="98" t="s">
        <v>1046</v>
      </c>
      <c r="M328" s="98" t="s">
        <v>1046</v>
      </c>
      <c r="N328" s="98" t="s">
        <v>1031</v>
      </c>
      <c r="O328" s="98" t="s">
        <v>677</v>
      </c>
      <c r="P328" s="98"/>
      <c r="Q328" s="98" t="s">
        <v>811</v>
      </c>
      <c r="R328" s="98"/>
      <c r="S328" s="98" t="s">
        <v>681</v>
      </c>
    </row>
    <row r="329" customFormat="false" ht="55" hidden="false" customHeight="true" outlineLevel="0" collapsed="false">
      <c r="C329" s="98" t="s">
        <v>1043</v>
      </c>
      <c r="D329" s="98" t="s">
        <v>679</v>
      </c>
      <c r="E329" s="98" t="s">
        <v>1044</v>
      </c>
      <c r="F329" s="98" t="n">
        <v>46270.748424375</v>
      </c>
      <c r="G329" s="98" t="n">
        <v>46271.5168071875</v>
      </c>
      <c r="H329" s="98" t="s">
        <v>680</v>
      </c>
      <c r="I329" s="98" t="s">
        <v>1309</v>
      </c>
      <c r="J329" s="100" t="s">
        <v>1418</v>
      </c>
      <c r="K329" s="100" t="s">
        <v>939</v>
      </c>
      <c r="L329" s="98" t="s">
        <v>1030</v>
      </c>
      <c r="M329" s="98" t="s">
        <v>1030</v>
      </c>
      <c r="N329" s="98" t="s">
        <v>1031</v>
      </c>
      <c r="O329" s="98" t="s">
        <v>677</v>
      </c>
      <c r="P329" s="98"/>
      <c r="Q329" s="98" t="s">
        <v>811</v>
      </c>
      <c r="R329" s="98"/>
      <c r="S329" s="98" t="s">
        <v>681</v>
      </c>
    </row>
    <row r="330" customFormat="false" ht="55" hidden="false" customHeight="true" outlineLevel="0" collapsed="false">
      <c r="C330" s="98" t="s">
        <v>1043</v>
      </c>
      <c r="D330" s="98" t="s">
        <v>679</v>
      </c>
      <c r="E330" s="98" t="s">
        <v>1044</v>
      </c>
      <c r="F330" s="98" t="n">
        <v>46270.748424375</v>
      </c>
      <c r="G330" s="98" t="n">
        <v>46271.5168071875</v>
      </c>
      <c r="H330" s="98" t="s">
        <v>680</v>
      </c>
      <c r="I330" s="98" t="s">
        <v>1309</v>
      </c>
      <c r="J330" s="100" t="s">
        <v>1418</v>
      </c>
      <c r="K330" s="100" t="s">
        <v>940</v>
      </c>
      <c r="L330" s="98" t="s">
        <v>1046</v>
      </c>
      <c r="M330" s="98" t="s">
        <v>1046</v>
      </c>
      <c r="N330" s="98" t="s">
        <v>1031</v>
      </c>
      <c r="O330" s="98" t="s">
        <v>677</v>
      </c>
      <c r="P330" s="98"/>
      <c r="Q330" s="98" t="s">
        <v>811</v>
      </c>
      <c r="R330" s="98"/>
      <c r="S330" s="98" t="s">
        <v>681</v>
      </c>
    </row>
    <row r="331" customFormat="false" ht="55" hidden="false" customHeight="true" outlineLevel="0" collapsed="false">
      <c r="C331" s="98" t="s">
        <v>1043</v>
      </c>
      <c r="D331" s="98" t="s">
        <v>679</v>
      </c>
      <c r="E331" s="98" t="s">
        <v>1044</v>
      </c>
      <c r="F331" s="98" t="n">
        <v>46270.748424375</v>
      </c>
      <c r="G331" s="98" t="n">
        <v>46271.5168071875</v>
      </c>
      <c r="H331" s="98" t="s">
        <v>680</v>
      </c>
      <c r="I331" s="98" t="s">
        <v>1309</v>
      </c>
      <c r="J331" s="100" t="s">
        <v>1418</v>
      </c>
      <c r="K331" s="100" t="s">
        <v>940</v>
      </c>
      <c r="L331" s="98" t="s">
        <v>1030</v>
      </c>
      <c r="M331" s="98" t="s">
        <v>1030</v>
      </c>
      <c r="N331" s="98" t="s">
        <v>1031</v>
      </c>
      <c r="O331" s="98" t="s">
        <v>677</v>
      </c>
      <c r="P331" s="98"/>
      <c r="Q331" s="98" t="s">
        <v>811</v>
      </c>
      <c r="R331" s="98"/>
      <c r="S331" s="98" t="s">
        <v>681</v>
      </c>
    </row>
    <row r="332" customFormat="false" ht="55" hidden="false" customHeight="true" outlineLevel="0" collapsed="false">
      <c r="C332" s="98" t="s">
        <v>1043</v>
      </c>
      <c r="D332" s="98" t="s">
        <v>679</v>
      </c>
      <c r="E332" s="98" t="s">
        <v>1044</v>
      </c>
      <c r="F332" s="98" t="n">
        <v>46270.748424375</v>
      </c>
      <c r="G332" s="98" t="n">
        <v>46271.5168071875</v>
      </c>
      <c r="H332" s="98" t="s">
        <v>680</v>
      </c>
      <c r="I332" s="98" t="s">
        <v>1309</v>
      </c>
      <c r="J332" s="100" t="s">
        <v>1418</v>
      </c>
      <c r="K332" s="100" t="s">
        <v>941</v>
      </c>
      <c r="L332" s="98" t="s">
        <v>1046</v>
      </c>
      <c r="M332" s="98" t="s">
        <v>1046</v>
      </c>
      <c r="N332" s="98" t="s">
        <v>1031</v>
      </c>
      <c r="O332" s="98" t="s">
        <v>677</v>
      </c>
      <c r="P332" s="98"/>
      <c r="Q332" s="98" t="s">
        <v>811</v>
      </c>
      <c r="R332" s="98"/>
      <c r="S332" s="98" t="s">
        <v>681</v>
      </c>
    </row>
    <row r="333" customFormat="false" ht="55" hidden="false" customHeight="true" outlineLevel="0" collapsed="false">
      <c r="C333" s="98" t="s">
        <v>1043</v>
      </c>
      <c r="D333" s="98" t="s">
        <v>679</v>
      </c>
      <c r="E333" s="98" t="s">
        <v>1044</v>
      </c>
      <c r="F333" s="98" t="n">
        <v>46270.748424375</v>
      </c>
      <c r="G333" s="98" t="n">
        <v>46271.5168071875</v>
      </c>
      <c r="H333" s="98" t="s">
        <v>680</v>
      </c>
      <c r="I333" s="98" t="s">
        <v>1309</v>
      </c>
      <c r="J333" s="100" t="s">
        <v>1418</v>
      </c>
      <c r="K333" s="100" t="s">
        <v>941</v>
      </c>
      <c r="L333" s="98" t="s">
        <v>1030</v>
      </c>
      <c r="M333" s="98" t="s">
        <v>1030</v>
      </c>
      <c r="N333" s="98" t="s">
        <v>1031</v>
      </c>
      <c r="O333" s="98" t="s">
        <v>677</v>
      </c>
      <c r="P333" s="98"/>
      <c r="Q333" s="98" t="s">
        <v>811</v>
      </c>
      <c r="R333" s="98"/>
      <c r="S333" s="98" t="s">
        <v>681</v>
      </c>
    </row>
    <row r="334" customFormat="false" ht="55" hidden="false" customHeight="true" outlineLevel="0" collapsed="false">
      <c r="C334" s="98" t="s">
        <v>1043</v>
      </c>
      <c r="D334" s="98" t="s">
        <v>679</v>
      </c>
      <c r="E334" s="98" t="s">
        <v>1044</v>
      </c>
      <c r="F334" s="98" t="n">
        <v>46270.748424375</v>
      </c>
      <c r="G334" s="98" t="n">
        <v>46271.5168071875</v>
      </c>
      <c r="H334" s="98" t="s">
        <v>680</v>
      </c>
      <c r="I334" s="98" t="s">
        <v>1309</v>
      </c>
      <c r="J334" s="100" t="s">
        <v>1418</v>
      </c>
      <c r="K334" s="100" t="s">
        <v>942</v>
      </c>
      <c r="L334" s="98" t="s">
        <v>1046</v>
      </c>
      <c r="M334" s="98" t="s">
        <v>1046</v>
      </c>
      <c r="N334" s="98" t="s">
        <v>1031</v>
      </c>
      <c r="O334" s="98" t="s">
        <v>677</v>
      </c>
      <c r="P334" s="98"/>
      <c r="Q334" s="98" t="s">
        <v>811</v>
      </c>
      <c r="R334" s="98"/>
      <c r="S334" s="98" t="s">
        <v>681</v>
      </c>
    </row>
    <row r="335" customFormat="false" ht="55" hidden="false" customHeight="true" outlineLevel="0" collapsed="false">
      <c r="C335" s="98" t="s">
        <v>1043</v>
      </c>
      <c r="D335" s="98" t="s">
        <v>679</v>
      </c>
      <c r="E335" s="98" t="s">
        <v>1044</v>
      </c>
      <c r="F335" s="98" t="n">
        <v>46270.748424375</v>
      </c>
      <c r="G335" s="98" t="n">
        <v>46271.5168071875</v>
      </c>
      <c r="H335" s="98" t="s">
        <v>680</v>
      </c>
      <c r="I335" s="98" t="s">
        <v>1309</v>
      </c>
      <c r="J335" s="100" t="s">
        <v>1418</v>
      </c>
      <c r="K335" s="100" t="s">
        <v>942</v>
      </c>
      <c r="L335" s="98" t="s">
        <v>1030</v>
      </c>
      <c r="M335" s="98" t="s">
        <v>1030</v>
      </c>
      <c r="N335" s="98" t="s">
        <v>1031</v>
      </c>
      <c r="O335" s="98" t="s">
        <v>677</v>
      </c>
      <c r="P335" s="98"/>
      <c r="Q335" s="98" t="s">
        <v>811</v>
      </c>
      <c r="R335" s="98"/>
      <c r="S335" s="98" t="s">
        <v>681</v>
      </c>
    </row>
    <row r="336" customFormat="false" ht="55" hidden="false" customHeight="true" outlineLevel="0" collapsed="false">
      <c r="C336" s="98" t="s">
        <v>1043</v>
      </c>
      <c r="D336" s="98" t="s">
        <v>679</v>
      </c>
      <c r="E336" s="98" t="s">
        <v>1044</v>
      </c>
      <c r="F336" s="98" t="n">
        <v>46270.748424375</v>
      </c>
      <c r="G336" s="98" t="n">
        <v>46271.5168071875</v>
      </c>
      <c r="H336" s="98" t="s">
        <v>680</v>
      </c>
      <c r="I336" s="98" t="s">
        <v>1309</v>
      </c>
      <c r="J336" s="100" t="s">
        <v>1418</v>
      </c>
      <c r="K336" s="100" t="s">
        <v>943</v>
      </c>
      <c r="L336" s="98" t="s">
        <v>1046</v>
      </c>
      <c r="M336" s="98" t="s">
        <v>1046</v>
      </c>
      <c r="N336" s="98" t="s">
        <v>1031</v>
      </c>
      <c r="O336" s="98" t="s">
        <v>677</v>
      </c>
      <c r="P336" s="98"/>
      <c r="Q336" s="98" t="s">
        <v>811</v>
      </c>
      <c r="R336" s="98"/>
      <c r="S336" s="98" t="s">
        <v>681</v>
      </c>
    </row>
    <row r="337" customFormat="false" ht="55" hidden="false" customHeight="true" outlineLevel="0" collapsed="false">
      <c r="C337" s="98" t="s">
        <v>1043</v>
      </c>
      <c r="D337" s="98" t="s">
        <v>679</v>
      </c>
      <c r="E337" s="98" t="s">
        <v>1044</v>
      </c>
      <c r="F337" s="98" t="n">
        <v>46270.748424375</v>
      </c>
      <c r="G337" s="98" t="n">
        <v>46271.5168071875</v>
      </c>
      <c r="H337" s="98" t="s">
        <v>680</v>
      </c>
      <c r="I337" s="98" t="s">
        <v>1309</v>
      </c>
      <c r="J337" s="100" t="s">
        <v>1418</v>
      </c>
      <c r="K337" s="100" t="s">
        <v>943</v>
      </c>
      <c r="L337" s="98" t="s">
        <v>1030</v>
      </c>
      <c r="M337" s="98" t="s">
        <v>1030</v>
      </c>
      <c r="N337" s="98" t="s">
        <v>1031</v>
      </c>
      <c r="O337" s="98" t="s">
        <v>677</v>
      </c>
      <c r="P337" s="98"/>
      <c r="Q337" s="98" t="s">
        <v>811</v>
      </c>
      <c r="R337" s="98"/>
      <c r="S337" s="98" t="s">
        <v>681</v>
      </c>
    </row>
    <row r="338" customFormat="false" ht="55" hidden="false" customHeight="true" outlineLevel="0" collapsed="false">
      <c r="C338" s="98" t="s">
        <v>1043</v>
      </c>
      <c r="D338" s="98" t="s">
        <v>679</v>
      </c>
      <c r="E338" s="98" t="s">
        <v>1044</v>
      </c>
      <c r="F338" s="98" t="n">
        <v>46270.748424375</v>
      </c>
      <c r="G338" s="98" t="n">
        <v>46271.5168071875</v>
      </c>
      <c r="H338" s="98" t="s">
        <v>680</v>
      </c>
      <c r="I338" s="98" t="s">
        <v>1309</v>
      </c>
      <c r="J338" s="100" t="s">
        <v>1418</v>
      </c>
      <c r="K338" s="100" t="s">
        <v>944</v>
      </c>
      <c r="L338" s="98" t="s">
        <v>1046</v>
      </c>
      <c r="M338" s="98" t="s">
        <v>1046</v>
      </c>
      <c r="N338" s="98" t="s">
        <v>1031</v>
      </c>
      <c r="O338" s="98" t="s">
        <v>677</v>
      </c>
      <c r="P338" s="98"/>
      <c r="Q338" s="98" t="s">
        <v>811</v>
      </c>
      <c r="R338" s="98"/>
      <c r="S338" s="98" t="s">
        <v>681</v>
      </c>
    </row>
    <row r="339" customFormat="false" ht="55" hidden="false" customHeight="true" outlineLevel="0" collapsed="false">
      <c r="C339" s="98" t="s">
        <v>1043</v>
      </c>
      <c r="D339" s="98" t="s">
        <v>679</v>
      </c>
      <c r="E339" s="98" t="s">
        <v>1044</v>
      </c>
      <c r="F339" s="98" t="n">
        <v>46270.748424375</v>
      </c>
      <c r="G339" s="98" t="n">
        <v>46271.5168071875</v>
      </c>
      <c r="H339" s="98" t="s">
        <v>680</v>
      </c>
      <c r="I339" s="98" t="s">
        <v>1309</v>
      </c>
      <c r="J339" s="100" t="s">
        <v>1418</v>
      </c>
      <c r="K339" s="100" t="s">
        <v>944</v>
      </c>
      <c r="L339" s="98" t="s">
        <v>1030</v>
      </c>
      <c r="M339" s="98" t="s">
        <v>1030</v>
      </c>
      <c r="N339" s="98" t="s">
        <v>1031</v>
      </c>
      <c r="O339" s="98" t="s">
        <v>677</v>
      </c>
      <c r="P339" s="98"/>
      <c r="Q339" s="98" t="s">
        <v>811</v>
      </c>
      <c r="R339" s="98"/>
      <c r="S339" s="98" t="s">
        <v>681</v>
      </c>
    </row>
    <row r="340" customFormat="false" ht="55" hidden="false" customHeight="true" outlineLevel="0" collapsed="false">
      <c r="C340" s="98" t="s">
        <v>1043</v>
      </c>
      <c r="D340" s="98" t="s">
        <v>679</v>
      </c>
      <c r="E340" s="98" t="s">
        <v>1044</v>
      </c>
      <c r="F340" s="98" t="n">
        <v>46270.748424375</v>
      </c>
      <c r="G340" s="98" t="n">
        <v>46271.5168071875</v>
      </c>
      <c r="H340" s="98" t="s">
        <v>680</v>
      </c>
      <c r="I340" s="98" t="s">
        <v>1309</v>
      </c>
      <c r="J340" s="100" t="s">
        <v>1418</v>
      </c>
      <c r="K340" s="100" t="s">
        <v>945</v>
      </c>
      <c r="L340" s="98" t="s">
        <v>1046</v>
      </c>
      <c r="M340" s="98" t="s">
        <v>1046</v>
      </c>
      <c r="N340" s="98" t="s">
        <v>1031</v>
      </c>
      <c r="O340" s="98" t="s">
        <v>677</v>
      </c>
      <c r="P340" s="98"/>
      <c r="Q340" s="98" t="s">
        <v>811</v>
      </c>
      <c r="R340" s="98"/>
      <c r="S340" s="98" t="s">
        <v>681</v>
      </c>
    </row>
    <row r="341" customFormat="false" ht="55" hidden="false" customHeight="true" outlineLevel="0" collapsed="false">
      <c r="C341" s="98" t="s">
        <v>1043</v>
      </c>
      <c r="D341" s="98" t="s">
        <v>679</v>
      </c>
      <c r="E341" s="98" t="s">
        <v>1044</v>
      </c>
      <c r="F341" s="98" t="n">
        <v>46270.748424375</v>
      </c>
      <c r="G341" s="98" t="n">
        <v>46271.5168071875</v>
      </c>
      <c r="H341" s="98" t="s">
        <v>680</v>
      </c>
      <c r="I341" s="98" t="s">
        <v>1309</v>
      </c>
      <c r="J341" s="100" t="s">
        <v>1418</v>
      </c>
      <c r="K341" s="100" t="s">
        <v>945</v>
      </c>
      <c r="L341" s="98" t="s">
        <v>1030</v>
      </c>
      <c r="M341" s="98" t="s">
        <v>1030</v>
      </c>
      <c r="N341" s="98" t="s">
        <v>1031</v>
      </c>
      <c r="O341" s="98" t="s">
        <v>677</v>
      </c>
      <c r="P341" s="98"/>
      <c r="Q341" s="98" t="s">
        <v>811</v>
      </c>
      <c r="R341" s="98"/>
      <c r="S341" s="98" t="s">
        <v>681</v>
      </c>
    </row>
    <row r="342" customFormat="false" ht="55" hidden="false" customHeight="true" outlineLevel="0" collapsed="false">
      <c r="C342" s="98" t="s">
        <v>1043</v>
      </c>
      <c r="D342" s="98" t="s">
        <v>679</v>
      </c>
      <c r="E342" s="98" t="s">
        <v>1044</v>
      </c>
      <c r="F342" s="98" t="n">
        <v>46270.748424375</v>
      </c>
      <c r="G342" s="98" t="n">
        <v>46271.5168071875</v>
      </c>
      <c r="H342" s="98" t="s">
        <v>680</v>
      </c>
      <c r="I342" s="98" t="s">
        <v>1309</v>
      </c>
      <c r="J342" s="100" t="s">
        <v>1418</v>
      </c>
      <c r="K342" s="100" t="s">
        <v>946</v>
      </c>
      <c r="L342" s="98" t="s">
        <v>1046</v>
      </c>
      <c r="M342" s="98" t="s">
        <v>1046</v>
      </c>
      <c r="N342" s="98" t="s">
        <v>1031</v>
      </c>
      <c r="O342" s="98" t="s">
        <v>677</v>
      </c>
      <c r="P342" s="98" t="s">
        <v>1534</v>
      </c>
      <c r="Q342" s="98" t="s">
        <v>811</v>
      </c>
      <c r="R342" s="98" t="s">
        <v>1535</v>
      </c>
      <c r="S342" s="98" t="s">
        <v>681</v>
      </c>
    </row>
    <row r="343" customFormat="false" ht="55" hidden="false" customHeight="true" outlineLevel="0" collapsed="false">
      <c r="C343" s="98" t="s">
        <v>1043</v>
      </c>
      <c r="D343" s="98" t="s">
        <v>679</v>
      </c>
      <c r="E343" s="98" t="s">
        <v>1044</v>
      </c>
      <c r="F343" s="98" t="n">
        <v>46270.748424375</v>
      </c>
      <c r="G343" s="98" t="n">
        <v>46271.5168071875</v>
      </c>
      <c r="H343" s="98" t="s">
        <v>680</v>
      </c>
      <c r="I343" s="98" t="s">
        <v>1309</v>
      </c>
      <c r="J343" s="100" t="s">
        <v>1418</v>
      </c>
      <c r="K343" s="100" t="s">
        <v>946</v>
      </c>
      <c r="L343" s="98" t="s">
        <v>1030</v>
      </c>
      <c r="M343" s="98" t="s">
        <v>1030</v>
      </c>
      <c r="N343" s="98" t="s">
        <v>1031</v>
      </c>
      <c r="O343" s="98" t="s">
        <v>677</v>
      </c>
      <c r="P343" s="98" t="s">
        <v>1423</v>
      </c>
      <c r="Q343" s="98" t="s">
        <v>811</v>
      </c>
      <c r="R343" s="98" t="s">
        <v>1424</v>
      </c>
      <c r="S343" s="98" t="s">
        <v>681</v>
      </c>
    </row>
    <row r="344" customFormat="false" ht="55" hidden="false" customHeight="true" outlineLevel="0" collapsed="false">
      <c r="C344" s="98" t="s">
        <v>1043</v>
      </c>
      <c r="D344" s="98" t="s">
        <v>679</v>
      </c>
      <c r="E344" s="98" t="s">
        <v>1044</v>
      </c>
      <c r="F344" s="98" t="n">
        <v>46270.748424375</v>
      </c>
      <c r="G344" s="98" t="n">
        <v>46271.5168071875</v>
      </c>
      <c r="H344" s="98" t="s">
        <v>680</v>
      </c>
      <c r="I344" s="98" t="s">
        <v>1309</v>
      </c>
      <c r="J344" s="100" t="s">
        <v>1418</v>
      </c>
      <c r="K344" s="100" t="s">
        <v>947</v>
      </c>
      <c r="L344" s="98" t="s">
        <v>1046</v>
      </c>
      <c r="M344" s="98" t="s">
        <v>1046</v>
      </c>
      <c r="N344" s="98" t="s">
        <v>1031</v>
      </c>
      <c r="O344" s="98" t="s">
        <v>677</v>
      </c>
      <c r="P344" s="98" t="s">
        <v>1536</v>
      </c>
      <c r="Q344" s="98" t="s">
        <v>811</v>
      </c>
      <c r="R344" s="98" t="s">
        <v>1537</v>
      </c>
      <c r="S344" s="98" t="s">
        <v>681</v>
      </c>
    </row>
    <row r="345" customFormat="false" ht="55" hidden="false" customHeight="true" outlineLevel="0" collapsed="false">
      <c r="C345" s="98" t="s">
        <v>1043</v>
      </c>
      <c r="D345" s="98" t="s">
        <v>679</v>
      </c>
      <c r="E345" s="98" t="s">
        <v>1044</v>
      </c>
      <c r="F345" s="98" t="n">
        <v>46270.748424375</v>
      </c>
      <c r="G345" s="98" t="n">
        <v>46271.5168071875</v>
      </c>
      <c r="H345" s="98" t="s">
        <v>680</v>
      </c>
      <c r="I345" s="98" t="s">
        <v>1309</v>
      </c>
      <c r="J345" s="100" t="s">
        <v>1418</v>
      </c>
      <c r="K345" s="100" t="s">
        <v>947</v>
      </c>
      <c r="L345" s="98" t="s">
        <v>1030</v>
      </c>
      <c r="M345" s="98" t="s">
        <v>1030</v>
      </c>
      <c r="N345" s="98" t="s">
        <v>1031</v>
      </c>
      <c r="O345" s="98" t="s">
        <v>677</v>
      </c>
      <c r="P345" s="98" t="s">
        <v>1427</v>
      </c>
      <c r="Q345" s="98" t="s">
        <v>811</v>
      </c>
      <c r="R345" s="98" t="s">
        <v>1428</v>
      </c>
      <c r="S345" s="98" t="s">
        <v>681</v>
      </c>
    </row>
    <row r="346" customFormat="false" ht="55" hidden="false" customHeight="true" outlineLevel="0" collapsed="false">
      <c r="C346" s="98" t="s">
        <v>1043</v>
      </c>
      <c r="D346" s="98" t="s">
        <v>679</v>
      </c>
      <c r="E346" s="98" t="s">
        <v>1044</v>
      </c>
      <c r="F346" s="98" t="n">
        <v>46270.748424375</v>
      </c>
      <c r="G346" s="98" t="n">
        <v>46271.5168071875</v>
      </c>
      <c r="H346" s="98" t="s">
        <v>680</v>
      </c>
      <c r="I346" s="98" t="s">
        <v>1309</v>
      </c>
      <c r="J346" s="100" t="s">
        <v>1418</v>
      </c>
      <c r="K346" s="100" t="s">
        <v>948</v>
      </c>
      <c r="L346" s="98" t="s">
        <v>1046</v>
      </c>
      <c r="M346" s="98" t="s">
        <v>1046</v>
      </c>
      <c r="N346" s="98" t="s">
        <v>1031</v>
      </c>
      <c r="O346" s="98" t="s">
        <v>677</v>
      </c>
      <c r="P346" s="98" t="s">
        <v>1538</v>
      </c>
      <c r="Q346" s="98" t="s">
        <v>811</v>
      </c>
      <c r="R346" s="98" t="s">
        <v>1539</v>
      </c>
      <c r="S346" s="98" t="s">
        <v>681</v>
      </c>
    </row>
    <row r="347" customFormat="false" ht="55" hidden="false" customHeight="true" outlineLevel="0" collapsed="false">
      <c r="C347" s="98" t="s">
        <v>1043</v>
      </c>
      <c r="D347" s="98" t="s">
        <v>679</v>
      </c>
      <c r="E347" s="98" t="s">
        <v>1044</v>
      </c>
      <c r="F347" s="98" t="n">
        <v>46270.748424375</v>
      </c>
      <c r="G347" s="98" t="n">
        <v>46271.5168071875</v>
      </c>
      <c r="H347" s="98" t="s">
        <v>680</v>
      </c>
      <c r="I347" s="98" t="s">
        <v>1309</v>
      </c>
      <c r="J347" s="100" t="s">
        <v>1418</v>
      </c>
      <c r="K347" s="100" t="s">
        <v>948</v>
      </c>
      <c r="L347" s="98" t="s">
        <v>1030</v>
      </c>
      <c r="M347" s="98" t="s">
        <v>1030</v>
      </c>
      <c r="N347" s="98" t="s">
        <v>1031</v>
      </c>
      <c r="O347" s="98" t="s">
        <v>677</v>
      </c>
      <c r="P347" s="98" t="s">
        <v>1431</v>
      </c>
      <c r="Q347" s="98" t="s">
        <v>811</v>
      </c>
      <c r="R347" s="98" t="s">
        <v>1432</v>
      </c>
      <c r="S347" s="98" t="s">
        <v>681</v>
      </c>
    </row>
    <row r="348" customFormat="false" ht="55" hidden="false" customHeight="true" outlineLevel="0" collapsed="false">
      <c r="C348" s="98" t="s">
        <v>1043</v>
      </c>
      <c r="D348" s="98" t="s">
        <v>679</v>
      </c>
      <c r="E348" s="98" t="s">
        <v>1044</v>
      </c>
      <c r="F348" s="98" t="n">
        <v>46270.748424375</v>
      </c>
      <c r="G348" s="98" t="n">
        <v>46271.5168071875</v>
      </c>
      <c r="H348" s="98" t="s">
        <v>680</v>
      </c>
      <c r="I348" s="98" t="s">
        <v>1309</v>
      </c>
      <c r="J348" s="100" t="s">
        <v>1418</v>
      </c>
      <c r="K348" s="100" t="s">
        <v>950</v>
      </c>
      <c r="L348" s="98" t="s">
        <v>1046</v>
      </c>
      <c r="M348" s="98" t="s">
        <v>1046</v>
      </c>
      <c r="N348" s="98" t="s">
        <v>1031</v>
      </c>
      <c r="O348" s="98" t="s">
        <v>677</v>
      </c>
      <c r="P348" s="98" t="s">
        <v>1540</v>
      </c>
      <c r="Q348" s="98" t="s">
        <v>811</v>
      </c>
      <c r="R348" s="98" t="s">
        <v>1541</v>
      </c>
      <c r="S348" s="98" t="s">
        <v>681</v>
      </c>
    </row>
    <row r="349" customFormat="false" ht="55" hidden="false" customHeight="true" outlineLevel="0" collapsed="false">
      <c r="C349" s="98" t="s">
        <v>1043</v>
      </c>
      <c r="D349" s="98" t="s">
        <v>679</v>
      </c>
      <c r="E349" s="98" t="s">
        <v>1044</v>
      </c>
      <c r="F349" s="98" t="n">
        <v>46270.748424375</v>
      </c>
      <c r="G349" s="98" t="n">
        <v>46271.5168071875</v>
      </c>
      <c r="H349" s="98" t="s">
        <v>680</v>
      </c>
      <c r="I349" s="98" t="s">
        <v>1309</v>
      </c>
      <c r="J349" s="100" t="s">
        <v>1418</v>
      </c>
      <c r="K349" s="100" t="s">
        <v>950</v>
      </c>
      <c r="L349" s="98" t="s">
        <v>1030</v>
      </c>
      <c r="M349" s="98" t="s">
        <v>1030</v>
      </c>
      <c r="N349" s="98" t="s">
        <v>1031</v>
      </c>
      <c r="O349" s="98" t="s">
        <v>677</v>
      </c>
      <c r="P349" s="98" t="s">
        <v>1435</v>
      </c>
      <c r="Q349" s="98" t="s">
        <v>811</v>
      </c>
      <c r="R349" s="98" t="s">
        <v>1436</v>
      </c>
      <c r="S349" s="98" t="s">
        <v>681</v>
      </c>
    </row>
    <row r="350" customFormat="false" ht="55" hidden="false" customHeight="true" outlineLevel="0" collapsed="false">
      <c r="C350" s="98" t="s">
        <v>1043</v>
      </c>
      <c r="D350" s="98" t="s">
        <v>679</v>
      </c>
      <c r="E350" s="98" t="s">
        <v>1044</v>
      </c>
      <c r="F350" s="98" t="n">
        <v>46270.748424375</v>
      </c>
      <c r="G350" s="98" t="n">
        <v>46271.5168071875</v>
      </c>
      <c r="H350" s="98" t="s">
        <v>680</v>
      </c>
      <c r="I350" s="98" t="s">
        <v>1309</v>
      </c>
      <c r="J350" s="100" t="s">
        <v>1418</v>
      </c>
      <c r="K350" s="100" t="s">
        <v>951</v>
      </c>
      <c r="L350" s="98" t="s">
        <v>1046</v>
      </c>
      <c r="M350" s="98" t="s">
        <v>1046</v>
      </c>
      <c r="N350" s="98" t="s">
        <v>1031</v>
      </c>
      <c r="O350" s="98" t="s">
        <v>677</v>
      </c>
      <c r="P350" s="98"/>
      <c r="Q350" s="98" t="s">
        <v>811</v>
      </c>
      <c r="R350" s="98"/>
      <c r="S350" s="98" t="s">
        <v>681</v>
      </c>
    </row>
    <row r="351" customFormat="false" ht="55" hidden="false" customHeight="true" outlineLevel="0" collapsed="false">
      <c r="C351" s="98" t="s">
        <v>1043</v>
      </c>
      <c r="D351" s="98" t="s">
        <v>679</v>
      </c>
      <c r="E351" s="98" t="s">
        <v>1044</v>
      </c>
      <c r="F351" s="98" t="n">
        <v>46270.748424375</v>
      </c>
      <c r="G351" s="98" t="n">
        <v>46271.5168071875</v>
      </c>
      <c r="H351" s="98" t="s">
        <v>680</v>
      </c>
      <c r="I351" s="98" t="s">
        <v>1309</v>
      </c>
      <c r="J351" s="100" t="s">
        <v>1418</v>
      </c>
      <c r="K351" s="100" t="s">
        <v>951</v>
      </c>
      <c r="L351" s="98" t="s">
        <v>1030</v>
      </c>
      <c r="M351" s="98" t="s">
        <v>1030</v>
      </c>
      <c r="N351" s="98" t="s">
        <v>1031</v>
      </c>
      <c r="O351" s="98" t="s">
        <v>677</v>
      </c>
      <c r="P351" s="98"/>
      <c r="Q351" s="98" t="s">
        <v>811</v>
      </c>
      <c r="R351" s="98"/>
      <c r="S351" s="98" t="s">
        <v>681</v>
      </c>
    </row>
    <row r="352" customFormat="false" ht="55" hidden="false" customHeight="true" outlineLevel="0" collapsed="false">
      <c r="C352" s="98" t="s">
        <v>1043</v>
      </c>
      <c r="D352" s="98" t="s">
        <v>679</v>
      </c>
      <c r="E352" s="98" t="s">
        <v>1044</v>
      </c>
      <c r="F352" s="98" t="n">
        <v>46270.748424375</v>
      </c>
      <c r="G352" s="98" t="n">
        <v>46271.5168071875</v>
      </c>
      <c r="H352" s="98" t="s">
        <v>680</v>
      </c>
      <c r="I352" s="98" t="s">
        <v>1309</v>
      </c>
      <c r="J352" s="100" t="s">
        <v>1418</v>
      </c>
      <c r="K352" s="100" t="s">
        <v>952</v>
      </c>
      <c r="L352" s="98" t="s">
        <v>1046</v>
      </c>
      <c r="M352" s="98" t="s">
        <v>1046</v>
      </c>
      <c r="N352" s="98" t="s">
        <v>1031</v>
      </c>
      <c r="O352" s="98" t="s">
        <v>677</v>
      </c>
      <c r="P352" s="98"/>
      <c r="Q352" s="98" t="s">
        <v>811</v>
      </c>
      <c r="R352" s="98"/>
      <c r="S352" s="98" t="s">
        <v>681</v>
      </c>
    </row>
    <row r="353" customFormat="false" ht="55" hidden="false" customHeight="true" outlineLevel="0" collapsed="false">
      <c r="C353" s="98" t="s">
        <v>1043</v>
      </c>
      <c r="D353" s="98" t="s">
        <v>679</v>
      </c>
      <c r="E353" s="98" t="s">
        <v>1044</v>
      </c>
      <c r="F353" s="98" t="n">
        <v>46270.748424375</v>
      </c>
      <c r="G353" s="98" t="n">
        <v>46271.5168071875</v>
      </c>
      <c r="H353" s="98" t="s">
        <v>680</v>
      </c>
      <c r="I353" s="98" t="s">
        <v>1309</v>
      </c>
      <c r="J353" s="100" t="s">
        <v>1418</v>
      </c>
      <c r="K353" s="100" t="s">
        <v>952</v>
      </c>
      <c r="L353" s="98" t="s">
        <v>1030</v>
      </c>
      <c r="M353" s="98" t="s">
        <v>1030</v>
      </c>
      <c r="N353" s="98" t="s">
        <v>1031</v>
      </c>
      <c r="O353" s="98" t="s">
        <v>677</v>
      </c>
      <c r="P353" s="98"/>
      <c r="Q353" s="98" t="s">
        <v>811</v>
      </c>
      <c r="R353" s="98"/>
      <c r="S353" s="98" t="s">
        <v>681</v>
      </c>
    </row>
    <row r="354" customFormat="false" ht="55" hidden="false" customHeight="true" outlineLevel="0" collapsed="false">
      <c r="C354" s="98" t="s">
        <v>1043</v>
      </c>
      <c r="D354" s="98" t="s">
        <v>679</v>
      </c>
      <c r="E354" s="98" t="s">
        <v>1044</v>
      </c>
      <c r="F354" s="98" t="n">
        <v>46270.748424375</v>
      </c>
      <c r="G354" s="98" t="n">
        <v>46271.5168071875</v>
      </c>
      <c r="H354" s="98" t="s">
        <v>680</v>
      </c>
      <c r="I354" s="98" t="s">
        <v>1309</v>
      </c>
      <c r="J354" s="100" t="s">
        <v>1418</v>
      </c>
      <c r="K354" s="100" t="s">
        <v>953</v>
      </c>
      <c r="L354" s="98" t="s">
        <v>1046</v>
      </c>
      <c r="M354" s="98" t="s">
        <v>1046</v>
      </c>
      <c r="N354" s="98" t="s">
        <v>1031</v>
      </c>
      <c r="O354" s="98" t="s">
        <v>677</v>
      </c>
      <c r="P354" s="98"/>
      <c r="Q354" s="98" t="s">
        <v>811</v>
      </c>
      <c r="R354" s="98"/>
      <c r="S354" s="98" t="s">
        <v>681</v>
      </c>
    </row>
    <row r="355" customFormat="false" ht="55" hidden="false" customHeight="true" outlineLevel="0" collapsed="false">
      <c r="C355" s="98" t="s">
        <v>1043</v>
      </c>
      <c r="D355" s="98" t="s">
        <v>679</v>
      </c>
      <c r="E355" s="98" t="s">
        <v>1044</v>
      </c>
      <c r="F355" s="98" t="n">
        <v>46270.748424375</v>
      </c>
      <c r="G355" s="98" t="n">
        <v>46271.5168071875</v>
      </c>
      <c r="H355" s="98" t="s">
        <v>680</v>
      </c>
      <c r="I355" s="98" t="s">
        <v>1309</v>
      </c>
      <c r="J355" s="100" t="s">
        <v>1418</v>
      </c>
      <c r="K355" s="100" t="s">
        <v>953</v>
      </c>
      <c r="L355" s="98" t="s">
        <v>1030</v>
      </c>
      <c r="M355" s="98" t="s">
        <v>1030</v>
      </c>
      <c r="N355" s="98" t="s">
        <v>1031</v>
      </c>
      <c r="O355" s="98" t="s">
        <v>677</v>
      </c>
      <c r="P355" s="98"/>
      <c r="Q355" s="98" t="s">
        <v>811</v>
      </c>
      <c r="R355" s="98"/>
      <c r="S355" s="98" t="s">
        <v>681</v>
      </c>
    </row>
    <row r="356" customFormat="false" ht="55" hidden="false" customHeight="true" outlineLevel="0" collapsed="false">
      <c r="C356" s="98" t="s">
        <v>1043</v>
      </c>
      <c r="D356" s="98" t="s">
        <v>679</v>
      </c>
      <c r="E356" s="98" t="s">
        <v>1044</v>
      </c>
      <c r="F356" s="98" t="n">
        <v>46270.748424375</v>
      </c>
      <c r="G356" s="98" t="n">
        <v>46271.5168071875</v>
      </c>
      <c r="H356" s="98" t="s">
        <v>680</v>
      </c>
      <c r="I356" s="98" t="s">
        <v>1309</v>
      </c>
      <c r="J356" s="100" t="s">
        <v>1418</v>
      </c>
      <c r="K356" s="100" t="s">
        <v>954</v>
      </c>
      <c r="L356" s="98" t="s">
        <v>1046</v>
      </c>
      <c r="M356" s="98" t="s">
        <v>1046</v>
      </c>
      <c r="N356" s="98" t="s">
        <v>1031</v>
      </c>
      <c r="O356" s="98" t="s">
        <v>677</v>
      </c>
      <c r="P356" s="98"/>
      <c r="Q356" s="98" t="s">
        <v>811</v>
      </c>
      <c r="R356" s="98"/>
      <c r="S356" s="98" t="s">
        <v>681</v>
      </c>
    </row>
    <row r="357" customFormat="false" ht="55" hidden="false" customHeight="true" outlineLevel="0" collapsed="false">
      <c r="C357" s="98" t="s">
        <v>1043</v>
      </c>
      <c r="D357" s="98" t="s">
        <v>679</v>
      </c>
      <c r="E357" s="98" t="s">
        <v>1044</v>
      </c>
      <c r="F357" s="98" t="n">
        <v>46270.748424375</v>
      </c>
      <c r="G357" s="98" t="n">
        <v>46271.5168071875</v>
      </c>
      <c r="H357" s="98" t="s">
        <v>680</v>
      </c>
      <c r="I357" s="98" t="s">
        <v>1309</v>
      </c>
      <c r="J357" s="100" t="s">
        <v>1418</v>
      </c>
      <c r="K357" s="100" t="s">
        <v>954</v>
      </c>
      <c r="L357" s="98" t="s">
        <v>1030</v>
      </c>
      <c r="M357" s="98" t="s">
        <v>1030</v>
      </c>
      <c r="N357" s="98" t="s">
        <v>1031</v>
      </c>
      <c r="O357" s="98" t="s">
        <v>677</v>
      </c>
      <c r="P357" s="98"/>
      <c r="Q357" s="98" t="s">
        <v>811</v>
      </c>
      <c r="R357" s="98"/>
      <c r="S357" s="98" t="s">
        <v>681</v>
      </c>
    </row>
    <row r="358" customFormat="false" ht="55" hidden="false" customHeight="true" outlineLevel="0" collapsed="false">
      <c r="C358" s="98" t="s">
        <v>1043</v>
      </c>
      <c r="D358" s="98" t="s">
        <v>679</v>
      </c>
      <c r="E358" s="98" t="s">
        <v>1044</v>
      </c>
      <c r="F358" s="98" t="n">
        <v>46270.748424375</v>
      </c>
      <c r="G358" s="98" t="n">
        <v>46271.5168071875</v>
      </c>
      <c r="H358" s="98" t="s">
        <v>680</v>
      </c>
      <c r="I358" s="98" t="s">
        <v>1309</v>
      </c>
      <c r="J358" s="100" t="s">
        <v>1418</v>
      </c>
      <c r="K358" s="100" t="s">
        <v>955</v>
      </c>
      <c r="L358" s="98" t="s">
        <v>1046</v>
      </c>
      <c r="M358" s="98" t="s">
        <v>1046</v>
      </c>
      <c r="N358" s="98" t="s">
        <v>1031</v>
      </c>
      <c r="O358" s="98" t="s">
        <v>677</v>
      </c>
      <c r="P358" s="98"/>
      <c r="Q358" s="98" t="s">
        <v>811</v>
      </c>
      <c r="R358" s="98"/>
      <c r="S358" s="98" t="s">
        <v>681</v>
      </c>
    </row>
    <row r="359" customFormat="false" ht="55" hidden="false" customHeight="true" outlineLevel="0" collapsed="false">
      <c r="C359" s="98" t="s">
        <v>1043</v>
      </c>
      <c r="D359" s="98" t="s">
        <v>679</v>
      </c>
      <c r="E359" s="98" t="s">
        <v>1044</v>
      </c>
      <c r="F359" s="98" t="n">
        <v>46270.748424375</v>
      </c>
      <c r="G359" s="98" t="n">
        <v>46271.5168071875</v>
      </c>
      <c r="H359" s="98" t="s">
        <v>680</v>
      </c>
      <c r="I359" s="98" t="s">
        <v>1309</v>
      </c>
      <c r="J359" s="100" t="s">
        <v>1418</v>
      </c>
      <c r="K359" s="100" t="s">
        <v>955</v>
      </c>
      <c r="L359" s="98" t="s">
        <v>1030</v>
      </c>
      <c r="M359" s="98" t="s">
        <v>1030</v>
      </c>
      <c r="N359" s="98" t="s">
        <v>1031</v>
      </c>
      <c r="O359" s="98" t="s">
        <v>677</v>
      </c>
      <c r="P359" s="98"/>
      <c r="Q359" s="98" t="s">
        <v>811</v>
      </c>
      <c r="R359" s="98"/>
      <c r="S359" s="98" t="s">
        <v>681</v>
      </c>
    </row>
    <row r="360" customFormat="false" ht="55" hidden="false" customHeight="true" outlineLevel="0" collapsed="false">
      <c r="C360" s="98" t="s">
        <v>1043</v>
      </c>
      <c r="D360" s="98" t="s">
        <v>679</v>
      </c>
      <c r="E360" s="98" t="s">
        <v>1044</v>
      </c>
      <c r="F360" s="98" t="n">
        <v>46270.748424375</v>
      </c>
      <c r="G360" s="98" t="n">
        <v>46271.5168071875</v>
      </c>
      <c r="H360" s="98" t="s">
        <v>680</v>
      </c>
      <c r="I360" s="98" t="s">
        <v>1309</v>
      </c>
      <c r="J360" s="100" t="s">
        <v>1418</v>
      </c>
      <c r="K360" s="100" t="s">
        <v>956</v>
      </c>
      <c r="L360" s="98" t="s">
        <v>1046</v>
      </c>
      <c r="M360" s="98" t="s">
        <v>1046</v>
      </c>
      <c r="N360" s="98" t="s">
        <v>1031</v>
      </c>
      <c r="O360" s="98" t="s">
        <v>677</v>
      </c>
      <c r="P360" s="98"/>
      <c r="Q360" s="98" t="s">
        <v>811</v>
      </c>
      <c r="R360" s="98"/>
      <c r="S360" s="98" t="s">
        <v>681</v>
      </c>
    </row>
    <row r="361" customFormat="false" ht="55" hidden="false" customHeight="true" outlineLevel="0" collapsed="false">
      <c r="C361" s="98" t="s">
        <v>1043</v>
      </c>
      <c r="D361" s="98" t="s">
        <v>679</v>
      </c>
      <c r="E361" s="98" t="s">
        <v>1044</v>
      </c>
      <c r="F361" s="98" t="n">
        <v>46270.748424375</v>
      </c>
      <c r="G361" s="98" t="n">
        <v>46271.5168071875</v>
      </c>
      <c r="H361" s="98" t="s">
        <v>680</v>
      </c>
      <c r="I361" s="98" t="s">
        <v>1309</v>
      </c>
      <c r="J361" s="100" t="s">
        <v>1418</v>
      </c>
      <c r="K361" s="100" t="s">
        <v>956</v>
      </c>
      <c r="L361" s="98" t="s">
        <v>1030</v>
      </c>
      <c r="M361" s="98" t="s">
        <v>1030</v>
      </c>
      <c r="N361" s="98" t="s">
        <v>1031</v>
      </c>
      <c r="O361" s="98" t="s">
        <v>677</v>
      </c>
      <c r="P361" s="98"/>
      <c r="Q361" s="98" t="s">
        <v>811</v>
      </c>
      <c r="R361" s="98"/>
      <c r="S361" s="98" t="s">
        <v>681</v>
      </c>
    </row>
    <row r="362" customFormat="false" ht="55" hidden="false" customHeight="true" outlineLevel="0" collapsed="false">
      <c r="C362" s="98" t="s">
        <v>1043</v>
      </c>
      <c r="D362" s="98" t="s">
        <v>679</v>
      </c>
      <c r="E362" s="98" t="s">
        <v>1044</v>
      </c>
      <c r="F362" s="98" t="n">
        <v>46270.748424375</v>
      </c>
      <c r="G362" s="98" t="n">
        <v>46271.5168071875</v>
      </c>
      <c r="H362" s="98" t="s">
        <v>680</v>
      </c>
      <c r="I362" s="98" t="s">
        <v>1309</v>
      </c>
      <c r="J362" s="100" t="s">
        <v>1418</v>
      </c>
      <c r="K362" s="100" t="s">
        <v>957</v>
      </c>
      <c r="L362" s="98" t="s">
        <v>1046</v>
      </c>
      <c r="M362" s="98" t="s">
        <v>1046</v>
      </c>
      <c r="N362" s="98" t="s">
        <v>1031</v>
      </c>
      <c r="O362" s="98" t="s">
        <v>677</v>
      </c>
      <c r="P362" s="98" t="s">
        <v>1542</v>
      </c>
      <c r="Q362" s="98" t="s">
        <v>811</v>
      </c>
      <c r="R362" s="98" t="s">
        <v>1543</v>
      </c>
      <c r="S362" s="98" t="s">
        <v>681</v>
      </c>
    </row>
    <row r="363" customFormat="false" ht="55" hidden="false" customHeight="true" outlineLevel="0" collapsed="false">
      <c r="C363" s="98" t="s">
        <v>1043</v>
      </c>
      <c r="D363" s="98" t="s">
        <v>679</v>
      </c>
      <c r="E363" s="98" t="s">
        <v>1044</v>
      </c>
      <c r="F363" s="98" t="n">
        <v>46270.748424375</v>
      </c>
      <c r="G363" s="98" t="n">
        <v>46271.5168071875</v>
      </c>
      <c r="H363" s="98" t="s">
        <v>680</v>
      </c>
      <c r="I363" s="98" t="s">
        <v>1309</v>
      </c>
      <c r="J363" s="100" t="s">
        <v>1418</v>
      </c>
      <c r="K363" s="100" t="s">
        <v>957</v>
      </c>
      <c r="L363" s="98" t="s">
        <v>1030</v>
      </c>
      <c r="M363" s="98" t="s">
        <v>1030</v>
      </c>
      <c r="N363" s="98" t="s">
        <v>1031</v>
      </c>
      <c r="O363" s="98" t="s">
        <v>677</v>
      </c>
      <c r="P363" s="98" t="s">
        <v>1439</v>
      </c>
      <c r="Q363" s="98" t="s">
        <v>811</v>
      </c>
      <c r="R363" s="98" t="s">
        <v>1440</v>
      </c>
      <c r="S363" s="98" t="s">
        <v>681</v>
      </c>
    </row>
    <row r="364" customFormat="false" ht="55" hidden="false" customHeight="true" outlineLevel="0" collapsed="false">
      <c r="C364" s="98" t="s">
        <v>1043</v>
      </c>
      <c r="D364" s="98" t="s">
        <v>679</v>
      </c>
      <c r="E364" s="98" t="s">
        <v>1044</v>
      </c>
      <c r="F364" s="98" t="n">
        <v>46270.748424375</v>
      </c>
      <c r="G364" s="98" t="n">
        <v>46271.5168071875</v>
      </c>
      <c r="H364" s="98" t="s">
        <v>680</v>
      </c>
      <c r="I364" s="98" t="s">
        <v>1309</v>
      </c>
      <c r="J364" s="100" t="s">
        <v>1418</v>
      </c>
      <c r="K364" s="100" t="s">
        <v>958</v>
      </c>
      <c r="L364" s="98" t="s">
        <v>1046</v>
      </c>
      <c r="M364" s="98" t="s">
        <v>1046</v>
      </c>
      <c r="N364" s="98" t="s">
        <v>1031</v>
      </c>
      <c r="O364" s="98" t="s">
        <v>677</v>
      </c>
      <c r="P364" s="98" t="s">
        <v>1544</v>
      </c>
      <c r="Q364" s="98" t="s">
        <v>811</v>
      </c>
      <c r="R364" s="98" t="s">
        <v>1545</v>
      </c>
      <c r="S364" s="98" t="s">
        <v>681</v>
      </c>
    </row>
    <row r="365" customFormat="false" ht="55" hidden="false" customHeight="true" outlineLevel="0" collapsed="false">
      <c r="C365" s="98" t="s">
        <v>1043</v>
      </c>
      <c r="D365" s="98" t="s">
        <v>679</v>
      </c>
      <c r="E365" s="98" t="s">
        <v>1044</v>
      </c>
      <c r="F365" s="98" t="n">
        <v>46270.748424375</v>
      </c>
      <c r="G365" s="98" t="n">
        <v>46271.5168071875</v>
      </c>
      <c r="H365" s="98" t="s">
        <v>680</v>
      </c>
      <c r="I365" s="98" t="s">
        <v>1309</v>
      </c>
      <c r="J365" s="100" t="s">
        <v>1418</v>
      </c>
      <c r="K365" s="100" t="s">
        <v>958</v>
      </c>
      <c r="L365" s="98" t="s">
        <v>1030</v>
      </c>
      <c r="M365" s="98" t="s">
        <v>1030</v>
      </c>
      <c r="N365" s="98" t="s">
        <v>1031</v>
      </c>
      <c r="O365" s="98" t="s">
        <v>677</v>
      </c>
      <c r="P365" s="98" t="s">
        <v>1443</v>
      </c>
      <c r="Q365" s="98" t="s">
        <v>811</v>
      </c>
      <c r="R365" s="98" t="s">
        <v>1444</v>
      </c>
      <c r="S365" s="98" t="s">
        <v>681</v>
      </c>
    </row>
    <row r="366" customFormat="false" ht="55" hidden="false" customHeight="true" outlineLevel="0" collapsed="false">
      <c r="C366" s="98" t="s">
        <v>1043</v>
      </c>
      <c r="D366" s="98" t="s">
        <v>679</v>
      </c>
      <c r="E366" s="98" t="s">
        <v>1044</v>
      </c>
      <c r="F366" s="98" t="n">
        <v>46270.748424375</v>
      </c>
      <c r="G366" s="98" t="n">
        <v>46271.5168071875</v>
      </c>
      <c r="H366" s="98" t="s">
        <v>680</v>
      </c>
      <c r="I366" s="98" t="s">
        <v>1309</v>
      </c>
      <c r="J366" s="100" t="s">
        <v>1418</v>
      </c>
      <c r="K366" s="100" t="s">
        <v>959</v>
      </c>
      <c r="L366" s="98" t="s">
        <v>1046</v>
      </c>
      <c r="M366" s="98" t="s">
        <v>1046</v>
      </c>
      <c r="N366" s="98" t="s">
        <v>1031</v>
      </c>
      <c r="O366" s="98" t="s">
        <v>677</v>
      </c>
      <c r="P366" s="98" t="s">
        <v>1546</v>
      </c>
      <c r="Q366" s="98" t="s">
        <v>811</v>
      </c>
      <c r="R366" s="98" t="s">
        <v>1547</v>
      </c>
      <c r="S366" s="98" t="s">
        <v>681</v>
      </c>
    </row>
    <row r="367" customFormat="false" ht="55" hidden="false" customHeight="true" outlineLevel="0" collapsed="false">
      <c r="C367" s="98" t="s">
        <v>1043</v>
      </c>
      <c r="D367" s="98" t="s">
        <v>679</v>
      </c>
      <c r="E367" s="98" t="s">
        <v>1044</v>
      </c>
      <c r="F367" s="98" t="n">
        <v>46270.748424375</v>
      </c>
      <c r="G367" s="98" t="n">
        <v>46271.5168071875</v>
      </c>
      <c r="H367" s="98" t="s">
        <v>680</v>
      </c>
      <c r="I367" s="98" t="s">
        <v>1309</v>
      </c>
      <c r="J367" s="100" t="s">
        <v>1418</v>
      </c>
      <c r="K367" s="100" t="s">
        <v>959</v>
      </c>
      <c r="L367" s="98" t="s">
        <v>1030</v>
      </c>
      <c r="M367" s="98" t="s">
        <v>1030</v>
      </c>
      <c r="N367" s="98" t="s">
        <v>1031</v>
      </c>
      <c r="O367" s="98" t="s">
        <v>677</v>
      </c>
      <c r="P367" s="98" t="s">
        <v>1447</v>
      </c>
      <c r="Q367" s="98" t="s">
        <v>811</v>
      </c>
      <c r="R367" s="98" t="s">
        <v>1448</v>
      </c>
      <c r="S367" s="98" t="s">
        <v>681</v>
      </c>
    </row>
    <row r="368" customFormat="false" ht="55" hidden="false" customHeight="true" outlineLevel="0" collapsed="false">
      <c r="C368" s="98" t="s">
        <v>1043</v>
      </c>
      <c r="D368" s="98" t="s">
        <v>679</v>
      </c>
      <c r="E368" s="98" t="s">
        <v>1044</v>
      </c>
      <c r="F368" s="98" t="n">
        <v>46270.748424375</v>
      </c>
      <c r="G368" s="98" t="n">
        <v>46271.5168071875</v>
      </c>
      <c r="H368" s="98" t="s">
        <v>680</v>
      </c>
      <c r="I368" s="98" t="s">
        <v>1309</v>
      </c>
      <c r="J368" s="100" t="s">
        <v>1418</v>
      </c>
      <c r="K368" s="100" t="s">
        <v>960</v>
      </c>
      <c r="L368" s="98" t="s">
        <v>1046</v>
      </c>
      <c r="M368" s="98" t="s">
        <v>1046</v>
      </c>
      <c r="N368" s="98" t="s">
        <v>1031</v>
      </c>
      <c r="O368" s="98" t="s">
        <v>677</v>
      </c>
      <c r="P368" s="98" t="s">
        <v>1548</v>
      </c>
      <c r="Q368" s="98" t="s">
        <v>811</v>
      </c>
      <c r="R368" s="98" t="s">
        <v>1549</v>
      </c>
      <c r="S368" s="98" t="s">
        <v>681</v>
      </c>
    </row>
    <row r="369" customFormat="false" ht="55" hidden="false" customHeight="true" outlineLevel="0" collapsed="false">
      <c r="C369" s="98" t="s">
        <v>1043</v>
      </c>
      <c r="D369" s="98" t="s">
        <v>679</v>
      </c>
      <c r="E369" s="98" t="s">
        <v>1044</v>
      </c>
      <c r="F369" s="98" t="n">
        <v>46270.748424375</v>
      </c>
      <c r="G369" s="98" t="n">
        <v>46271.5168071875</v>
      </c>
      <c r="H369" s="98" t="s">
        <v>680</v>
      </c>
      <c r="I369" s="98" t="s">
        <v>1309</v>
      </c>
      <c r="J369" s="100" t="s">
        <v>1418</v>
      </c>
      <c r="K369" s="100" t="s">
        <v>960</v>
      </c>
      <c r="L369" s="98" t="s">
        <v>1030</v>
      </c>
      <c r="M369" s="98" t="s">
        <v>1030</v>
      </c>
      <c r="N369" s="98" t="s">
        <v>1031</v>
      </c>
      <c r="O369" s="98" t="s">
        <v>677</v>
      </c>
      <c r="P369" s="98" t="s">
        <v>1451</v>
      </c>
      <c r="Q369" s="98" t="s">
        <v>811</v>
      </c>
      <c r="R369" s="98" t="s">
        <v>1452</v>
      </c>
      <c r="S369" s="98" t="s">
        <v>681</v>
      </c>
    </row>
    <row r="370" customFormat="false" ht="55" hidden="false" customHeight="true" outlineLevel="0" collapsed="false">
      <c r="C370" s="98" t="s">
        <v>1043</v>
      </c>
      <c r="D370" s="98" t="s">
        <v>679</v>
      </c>
      <c r="E370" s="98" t="s">
        <v>1044</v>
      </c>
      <c r="F370" s="98" t="n">
        <v>46270.748424375</v>
      </c>
      <c r="G370" s="98" t="n">
        <v>46271.5168071875</v>
      </c>
      <c r="H370" s="98" t="s">
        <v>680</v>
      </c>
      <c r="I370" s="98" t="s">
        <v>1309</v>
      </c>
      <c r="J370" s="100" t="s">
        <v>1418</v>
      </c>
      <c r="K370" s="100" t="s">
        <v>961</v>
      </c>
      <c r="L370" s="98" t="s">
        <v>1046</v>
      </c>
      <c r="M370" s="98" t="s">
        <v>1046</v>
      </c>
      <c r="N370" s="98" t="s">
        <v>1031</v>
      </c>
      <c r="O370" s="98" t="s">
        <v>677</v>
      </c>
      <c r="P370" s="98" t="s">
        <v>1550</v>
      </c>
      <c r="Q370" s="98" t="s">
        <v>811</v>
      </c>
      <c r="R370" s="98" t="s">
        <v>1311</v>
      </c>
      <c r="S370" s="98" t="s">
        <v>681</v>
      </c>
    </row>
    <row r="371" customFormat="false" ht="55" hidden="false" customHeight="true" outlineLevel="0" collapsed="false">
      <c r="C371" s="98" t="s">
        <v>1043</v>
      </c>
      <c r="D371" s="98" t="s">
        <v>679</v>
      </c>
      <c r="E371" s="98" t="s">
        <v>1044</v>
      </c>
      <c r="F371" s="98" t="n">
        <v>46270.748424375</v>
      </c>
      <c r="G371" s="98" t="n">
        <v>46271.5168071875</v>
      </c>
      <c r="H371" s="98" t="s">
        <v>680</v>
      </c>
      <c r="I371" s="98" t="s">
        <v>1309</v>
      </c>
      <c r="J371" s="100" t="s">
        <v>1418</v>
      </c>
      <c r="K371" s="100" t="s">
        <v>961</v>
      </c>
      <c r="L371" s="98" t="s">
        <v>1030</v>
      </c>
      <c r="M371" s="98" t="s">
        <v>1030</v>
      </c>
      <c r="N371" s="98" t="s">
        <v>1031</v>
      </c>
      <c r="O371" s="98" t="s">
        <v>677</v>
      </c>
      <c r="P371" s="98" t="s">
        <v>1455</v>
      </c>
      <c r="Q371" s="98" t="s">
        <v>811</v>
      </c>
      <c r="R371" s="98" t="s">
        <v>1243</v>
      </c>
      <c r="S371" s="98" t="s">
        <v>681</v>
      </c>
    </row>
    <row r="372" customFormat="false" ht="55" hidden="false" customHeight="true" outlineLevel="0" collapsed="false">
      <c r="C372" s="98" t="s">
        <v>1043</v>
      </c>
      <c r="D372" s="98" t="s">
        <v>679</v>
      </c>
      <c r="E372" s="98" t="s">
        <v>1044</v>
      </c>
      <c r="F372" s="98" t="n">
        <v>46270.748424375</v>
      </c>
      <c r="G372" s="98" t="n">
        <v>46271.5168071875</v>
      </c>
      <c r="H372" s="98" t="s">
        <v>680</v>
      </c>
      <c r="I372" s="98" t="s">
        <v>1309</v>
      </c>
      <c r="J372" s="100" t="s">
        <v>1418</v>
      </c>
      <c r="K372" s="100" t="s">
        <v>962</v>
      </c>
      <c r="L372" s="98" t="s">
        <v>1046</v>
      </c>
      <c r="M372" s="98" t="s">
        <v>1046</v>
      </c>
      <c r="N372" s="98" t="s">
        <v>1031</v>
      </c>
      <c r="O372" s="98" t="s">
        <v>677</v>
      </c>
      <c r="P372" s="98"/>
      <c r="Q372" s="98" t="s">
        <v>811</v>
      </c>
      <c r="R372" s="98"/>
      <c r="S372" s="98" t="s">
        <v>681</v>
      </c>
    </row>
    <row r="373" customFormat="false" ht="55" hidden="false" customHeight="true" outlineLevel="0" collapsed="false">
      <c r="C373" s="98" t="s">
        <v>1043</v>
      </c>
      <c r="D373" s="98" t="s">
        <v>679</v>
      </c>
      <c r="E373" s="98" t="s">
        <v>1044</v>
      </c>
      <c r="F373" s="98" t="n">
        <v>46270.748424375</v>
      </c>
      <c r="G373" s="98" t="n">
        <v>46271.5168071875</v>
      </c>
      <c r="H373" s="98" t="s">
        <v>680</v>
      </c>
      <c r="I373" s="98" t="s">
        <v>1309</v>
      </c>
      <c r="J373" s="100" t="s">
        <v>1418</v>
      </c>
      <c r="K373" s="100" t="s">
        <v>962</v>
      </c>
      <c r="L373" s="98" t="s">
        <v>1030</v>
      </c>
      <c r="M373" s="98" t="s">
        <v>1030</v>
      </c>
      <c r="N373" s="98" t="s">
        <v>1031</v>
      </c>
      <c r="O373" s="98" t="s">
        <v>677</v>
      </c>
      <c r="P373" s="98"/>
      <c r="Q373" s="98" t="s">
        <v>811</v>
      </c>
      <c r="R373" s="98"/>
      <c r="S373" s="98" t="s">
        <v>681</v>
      </c>
    </row>
    <row r="374" customFormat="false" ht="55" hidden="false" customHeight="true" outlineLevel="0" collapsed="false">
      <c r="C374" s="98" t="s">
        <v>1043</v>
      </c>
      <c r="D374" s="98" t="s">
        <v>679</v>
      </c>
      <c r="E374" s="98" t="s">
        <v>1044</v>
      </c>
      <c r="F374" s="98" t="n">
        <v>46270.748424375</v>
      </c>
      <c r="G374" s="98" t="n">
        <v>46271.5168071875</v>
      </c>
      <c r="H374" s="98" t="s">
        <v>680</v>
      </c>
      <c r="I374" s="98" t="s">
        <v>1309</v>
      </c>
      <c r="J374" s="100" t="s">
        <v>1418</v>
      </c>
      <c r="K374" s="100" t="s">
        <v>963</v>
      </c>
      <c r="L374" s="98" t="s">
        <v>1046</v>
      </c>
      <c r="M374" s="98" t="s">
        <v>1046</v>
      </c>
      <c r="N374" s="98" t="s">
        <v>1031</v>
      </c>
      <c r="O374" s="98" t="s">
        <v>677</v>
      </c>
      <c r="P374" s="98"/>
      <c r="Q374" s="98" t="s">
        <v>811</v>
      </c>
      <c r="R374" s="98"/>
      <c r="S374" s="98" t="s">
        <v>681</v>
      </c>
    </row>
    <row r="375" customFormat="false" ht="55" hidden="false" customHeight="true" outlineLevel="0" collapsed="false">
      <c r="C375" s="98" t="s">
        <v>1043</v>
      </c>
      <c r="D375" s="98" t="s">
        <v>679</v>
      </c>
      <c r="E375" s="98" t="s">
        <v>1044</v>
      </c>
      <c r="F375" s="98" t="n">
        <v>46270.748424375</v>
      </c>
      <c r="G375" s="98" t="n">
        <v>46271.5168071875</v>
      </c>
      <c r="H375" s="98" t="s">
        <v>680</v>
      </c>
      <c r="I375" s="98" t="s">
        <v>1309</v>
      </c>
      <c r="J375" s="100" t="s">
        <v>1418</v>
      </c>
      <c r="K375" s="100" t="s">
        <v>963</v>
      </c>
      <c r="L375" s="98" t="s">
        <v>1030</v>
      </c>
      <c r="M375" s="98" t="s">
        <v>1030</v>
      </c>
      <c r="N375" s="98" t="s">
        <v>1031</v>
      </c>
      <c r="O375" s="98" t="s">
        <v>677</v>
      </c>
      <c r="P375" s="98"/>
      <c r="Q375" s="98" t="s">
        <v>811</v>
      </c>
      <c r="R375" s="98"/>
      <c r="S375" s="98" t="s">
        <v>681</v>
      </c>
    </row>
    <row r="376" customFormat="false" ht="55" hidden="false" customHeight="true" outlineLevel="0" collapsed="false">
      <c r="C376" s="98" t="s">
        <v>1043</v>
      </c>
      <c r="D376" s="98" t="s">
        <v>679</v>
      </c>
      <c r="E376" s="98" t="s">
        <v>1044</v>
      </c>
      <c r="F376" s="98" t="n">
        <v>46270.748424375</v>
      </c>
      <c r="G376" s="98" t="n">
        <v>46271.5168071875</v>
      </c>
      <c r="H376" s="98" t="s">
        <v>680</v>
      </c>
      <c r="I376" s="98" t="s">
        <v>1312</v>
      </c>
      <c r="J376" s="100" t="s">
        <v>1418</v>
      </c>
      <c r="K376" s="100" t="s">
        <v>964</v>
      </c>
      <c r="L376" s="98" t="s">
        <v>1046</v>
      </c>
      <c r="M376" s="98" t="s">
        <v>1046</v>
      </c>
      <c r="N376" s="98" t="s">
        <v>1031</v>
      </c>
      <c r="O376" s="98" t="s">
        <v>677</v>
      </c>
      <c r="P376" s="98" t="s">
        <v>1551</v>
      </c>
      <c r="Q376" s="98" t="s">
        <v>811</v>
      </c>
      <c r="R376" s="98" t="s">
        <v>1205</v>
      </c>
      <c r="S376" s="98" t="s">
        <v>681</v>
      </c>
    </row>
    <row r="377" customFormat="false" ht="55" hidden="false" customHeight="true" outlineLevel="0" collapsed="false">
      <c r="C377" s="98" t="s">
        <v>1043</v>
      </c>
      <c r="D377" s="98" t="s">
        <v>679</v>
      </c>
      <c r="E377" s="98" t="s">
        <v>1044</v>
      </c>
      <c r="F377" s="98" t="n">
        <v>46270.748424375</v>
      </c>
      <c r="G377" s="98" t="n">
        <v>46271.5168071875</v>
      </c>
      <c r="H377" s="98" t="s">
        <v>680</v>
      </c>
      <c r="I377" s="98" t="s">
        <v>1312</v>
      </c>
      <c r="J377" s="100" t="s">
        <v>1418</v>
      </c>
      <c r="K377" s="100" t="s">
        <v>964</v>
      </c>
      <c r="L377" s="98" t="s">
        <v>1030</v>
      </c>
      <c r="M377" s="98" t="s">
        <v>1030</v>
      </c>
      <c r="N377" s="98" t="s">
        <v>1031</v>
      </c>
      <c r="O377" s="98" t="s">
        <v>677</v>
      </c>
      <c r="P377" s="98" t="s">
        <v>1457</v>
      </c>
      <c r="Q377" s="98" t="s">
        <v>811</v>
      </c>
      <c r="R377" s="98" t="s">
        <v>1458</v>
      </c>
      <c r="S377" s="98" t="s">
        <v>681</v>
      </c>
    </row>
    <row r="378" customFormat="false" ht="55" hidden="false" customHeight="true" outlineLevel="0" collapsed="false">
      <c r="C378" s="98" t="s">
        <v>1043</v>
      </c>
      <c r="D378" s="98" t="s">
        <v>679</v>
      </c>
      <c r="E378" s="98" t="s">
        <v>1044</v>
      </c>
      <c r="F378" s="98" t="n">
        <v>46270.748424375</v>
      </c>
      <c r="G378" s="98" t="n">
        <v>46271.5168071875</v>
      </c>
      <c r="H378" s="98" t="s">
        <v>680</v>
      </c>
      <c r="I378" s="98" t="s">
        <v>1312</v>
      </c>
      <c r="J378" s="100" t="s">
        <v>1418</v>
      </c>
      <c r="K378" s="100" t="s">
        <v>966</v>
      </c>
      <c r="L378" s="98" t="s">
        <v>1046</v>
      </c>
      <c r="M378" s="98" t="s">
        <v>1046</v>
      </c>
      <c r="N378" s="98" t="s">
        <v>1031</v>
      </c>
      <c r="O378" s="98" t="s">
        <v>677</v>
      </c>
      <c r="P378" s="98" t="s">
        <v>1552</v>
      </c>
      <c r="Q378" s="98" t="s">
        <v>811</v>
      </c>
      <c r="R378" s="98" t="s">
        <v>1553</v>
      </c>
      <c r="S378" s="98" t="s">
        <v>681</v>
      </c>
    </row>
    <row r="379" customFormat="false" ht="55" hidden="false" customHeight="true" outlineLevel="0" collapsed="false">
      <c r="C379" s="98" t="s">
        <v>1043</v>
      </c>
      <c r="D379" s="98" t="s">
        <v>679</v>
      </c>
      <c r="E379" s="98" t="s">
        <v>1044</v>
      </c>
      <c r="F379" s="98" t="n">
        <v>46270.748424375</v>
      </c>
      <c r="G379" s="98" t="n">
        <v>46271.5168071875</v>
      </c>
      <c r="H379" s="98" t="s">
        <v>680</v>
      </c>
      <c r="I379" s="98" t="s">
        <v>1312</v>
      </c>
      <c r="J379" s="100" t="s">
        <v>1418</v>
      </c>
      <c r="K379" s="100" t="s">
        <v>966</v>
      </c>
      <c r="L379" s="98" t="s">
        <v>1030</v>
      </c>
      <c r="M379" s="98" t="s">
        <v>1030</v>
      </c>
      <c r="N379" s="98" t="s">
        <v>1031</v>
      </c>
      <c r="O379" s="98" t="s">
        <v>677</v>
      </c>
      <c r="P379" s="98" t="s">
        <v>1461</v>
      </c>
      <c r="Q379" s="98" t="s">
        <v>811</v>
      </c>
      <c r="R379" s="98" t="s">
        <v>1462</v>
      </c>
      <c r="S379" s="98" t="s">
        <v>681</v>
      </c>
    </row>
    <row r="380" customFormat="false" ht="55" hidden="false" customHeight="true" outlineLevel="0" collapsed="false">
      <c r="C380" s="98" t="s">
        <v>1043</v>
      </c>
      <c r="D380" s="98" t="s">
        <v>679</v>
      </c>
      <c r="E380" s="98" t="s">
        <v>1044</v>
      </c>
      <c r="F380" s="98" t="n">
        <v>46270.748424375</v>
      </c>
      <c r="G380" s="98" t="n">
        <v>46271.5168071875</v>
      </c>
      <c r="H380" s="98" t="s">
        <v>680</v>
      </c>
      <c r="I380" s="98" t="s">
        <v>1312</v>
      </c>
      <c r="J380" s="100" t="s">
        <v>1418</v>
      </c>
      <c r="K380" s="100" t="s">
        <v>967</v>
      </c>
      <c r="L380" s="98" t="s">
        <v>1046</v>
      </c>
      <c r="M380" s="98" t="s">
        <v>1046</v>
      </c>
      <c r="N380" s="98" t="s">
        <v>1031</v>
      </c>
      <c r="O380" s="98" t="s">
        <v>677</v>
      </c>
      <c r="P380" s="98"/>
      <c r="Q380" s="98" t="s">
        <v>811</v>
      </c>
      <c r="R380" s="98"/>
      <c r="S380" s="98" t="s">
        <v>681</v>
      </c>
    </row>
    <row r="381" customFormat="false" ht="55" hidden="false" customHeight="true" outlineLevel="0" collapsed="false">
      <c r="C381" s="98" t="s">
        <v>1043</v>
      </c>
      <c r="D381" s="98" t="s">
        <v>679</v>
      </c>
      <c r="E381" s="98" t="s">
        <v>1044</v>
      </c>
      <c r="F381" s="98" t="n">
        <v>46270.748424375</v>
      </c>
      <c r="G381" s="98" t="n">
        <v>46271.5168071875</v>
      </c>
      <c r="H381" s="98" t="s">
        <v>680</v>
      </c>
      <c r="I381" s="98" t="s">
        <v>1312</v>
      </c>
      <c r="J381" s="100" t="s">
        <v>1418</v>
      </c>
      <c r="K381" s="100" t="s">
        <v>967</v>
      </c>
      <c r="L381" s="98" t="s">
        <v>1030</v>
      </c>
      <c r="M381" s="98" t="s">
        <v>1030</v>
      </c>
      <c r="N381" s="98" t="s">
        <v>1031</v>
      </c>
      <c r="O381" s="98" t="s">
        <v>677</v>
      </c>
      <c r="P381" s="98"/>
      <c r="Q381" s="98" t="s">
        <v>811</v>
      </c>
      <c r="R381" s="98"/>
      <c r="S381" s="98" t="s">
        <v>681</v>
      </c>
    </row>
    <row r="382" customFormat="false" ht="55" hidden="false" customHeight="true" outlineLevel="0" collapsed="false">
      <c r="C382" s="98" t="s">
        <v>1043</v>
      </c>
      <c r="D382" s="98" t="s">
        <v>679</v>
      </c>
      <c r="E382" s="98" t="s">
        <v>1044</v>
      </c>
      <c r="F382" s="98" t="n">
        <v>46270.748424375</v>
      </c>
      <c r="G382" s="98" t="n">
        <v>46271.5168071875</v>
      </c>
      <c r="H382" s="98" t="s">
        <v>680</v>
      </c>
      <c r="I382" s="98" t="s">
        <v>1312</v>
      </c>
      <c r="J382" s="100" t="s">
        <v>1418</v>
      </c>
      <c r="K382" s="100" t="s">
        <v>969</v>
      </c>
      <c r="L382" s="98" t="s">
        <v>1046</v>
      </c>
      <c r="M382" s="98" t="s">
        <v>1046</v>
      </c>
      <c r="N382" s="98" t="s">
        <v>1031</v>
      </c>
      <c r="O382" s="98" t="s">
        <v>677</v>
      </c>
      <c r="P382" s="98" t="s">
        <v>1554</v>
      </c>
      <c r="Q382" s="98" t="s">
        <v>811</v>
      </c>
      <c r="R382" s="98" t="s">
        <v>1555</v>
      </c>
      <c r="S382" s="98" t="s">
        <v>681</v>
      </c>
    </row>
    <row r="383" customFormat="false" ht="55" hidden="false" customHeight="true" outlineLevel="0" collapsed="false">
      <c r="C383" s="98" t="s">
        <v>1043</v>
      </c>
      <c r="D383" s="98" t="s">
        <v>679</v>
      </c>
      <c r="E383" s="98" t="s">
        <v>1044</v>
      </c>
      <c r="F383" s="98" t="n">
        <v>46270.748424375</v>
      </c>
      <c r="G383" s="98" t="n">
        <v>46271.5168071875</v>
      </c>
      <c r="H383" s="98" t="s">
        <v>680</v>
      </c>
      <c r="I383" s="98" t="s">
        <v>1312</v>
      </c>
      <c r="J383" s="100" t="s">
        <v>1418</v>
      </c>
      <c r="K383" s="100" t="s">
        <v>969</v>
      </c>
      <c r="L383" s="98" t="s">
        <v>1030</v>
      </c>
      <c r="M383" s="98" t="s">
        <v>1030</v>
      </c>
      <c r="N383" s="98" t="s">
        <v>1031</v>
      </c>
      <c r="O383" s="98" t="s">
        <v>677</v>
      </c>
      <c r="P383" s="98" t="s">
        <v>1465</v>
      </c>
      <c r="Q383" s="98" t="s">
        <v>811</v>
      </c>
      <c r="R383" s="98" t="s">
        <v>1466</v>
      </c>
      <c r="S383" s="98" t="s">
        <v>681</v>
      </c>
    </row>
    <row r="384" customFormat="false" ht="55" hidden="false" customHeight="true" outlineLevel="0" collapsed="false">
      <c r="C384" s="98" t="s">
        <v>1043</v>
      </c>
      <c r="D384" s="98" t="s">
        <v>679</v>
      </c>
      <c r="E384" s="98" t="s">
        <v>1044</v>
      </c>
      <c r="F384" s="98" t="n">
        <v>46270.748424375</v>
      </c>
      <c r="G384" s="98" t="n">
        <v>46271.5168071875</v>
      </c>
      <c r="H384" s="98" t="s">
        <v>680</v>
      </c>
      <c r="I384" s="98" t="s">
        <v>1312</v>
      </c>
      <c r="J384" s="100" t="s">
        <v>1418</v>
      </c>
      <c r="K384" s="100" t="s">
        <v>970</v>
      </c>
      <c r="L384" s="98" t="s">
        <v>1046</v>
      </c>
      <c r="M384" s="98" t="s">
        <v>1046</v>
      </c>
      <c r="N384" s="98" t="s">
        <v>1031</v>
      </c>
      <c r="O384" s="98" t="s">
        <v>677</v>
      </c>
      <c r="P384" s="98" t="s">
        <v>1556</v>
      </c>
      <c r="Q384" s="98" t="s">
        <v>811</v>
      </c>
      <c r="R384" s="98" t="s">
        <v>1557</v>
      </c>
      <c r="S384" s="98" t="s">
        <v>681</v>
      </c>
    </row>
    <row r="385" customFormat="false" ht="55" hidden="false" customHeight="true" outlineLevel="0" collapsed="false">
      <c r="C385" s="98" t="s">
        <v>1043</v>
      </c>
      <c r="D385" s="98" t="s">
        <v>679</v>
      </c>
      <c r="E385" s="98" t="s">
        <v>1044</v>
      </c>
      <c r="F385" s="98" t="n">
        <v>46270.748424375</v>
      </c>
      <c r="G385" s="98" t="n">
        <v>46271.5168071875</v>
      </c>
      <c r="H385" s="98" t="s">
        <v>680</v>
      </c>
      <c r="I385" s="98" t="s">
        <v>1312</v>
      </c>
      <c r="J385" s="100" t="s">
        <v>1418</v>
      </c>
      <c r="K385" s="100" t="s">
        <v>970</v>
      </c>
      <c r="L385" s="98" t="s">
        <v>1030</v>
      </c>
      <c r="M385" s="98" t="s">
        <v>1030</v>
      </c>
      <c r="N385" s="98" t="s">
        <v>1031</v>
      </c>
      <c r="O385" s="98" t="s">
        <v>677</v>
      </c>
      <c r="P385" s="98" t="s">
        <v>1469</v>
      </c>
      <c r="Q385" s="98" t="s">
        <v>811</v>
      </c>
      <c r="R385" s="98" t="s">
        <v>1470</v>
      </c>
      <c r="S385" s="98" t="s">
        <v>681</v>
      </c>
    </row>
    <row r="386" customFormat="false" ht="55" hidden="false" customHeight="true" outlineLevel="0" collapsed="false">
      <c r="C386" s="98" t="s">
        <v>1043</v>
      </c>
      <c r="D386" s="98" t="s">
        <v>679</v>
      </c>
      <c r="E386" s="98" t="s">
        <v>1044</v>
      </c>
      <c r="F386" s="98" t="n">
        <v>46270.748424375</v>
      </c>
      <c r="G386" s="98" t="n">
        <v>46271.5168071875</v>
      </c>
      <c r="H386" s="98" t="s">
        <v>680</v>
      </c>
      <c r="I386" s="98" t="s">
        <v>1312</v>
      </c>
      <c r="J386" s="100" t="s">
        <v>1418</v>
      </c>
      <c r="K386" s="100" t="s">
        <v>971</v>
      </c>
      <c r="L386" s="98" t="s">
        <v>1046</v>
      </c>
      <c r="M386" s="98" t="s">
        <v>1046</v>
      </c>
      <c r="N386" s="98" t="s">
        <v>1031</v>
      </c>
      <c r="O386" s="98" t="s">
        <v>677</v>
      </c>
      <c r="P386" s="98" t="s">
        <v>1558</v>
      </c>
      <c r="Q386" s="98" t="s">
        <v>811</v>
      </c>
      <c r="R386" s="98" t="s">
        <v>1559</v>
      </c>
      <c r="S386" s="98" t="s">
        <v>681</v>
      </c>
    </row>
    <row r="387" customFormat="false" ht="55" hidden="false" customHeight="true" outlineLevel="0" collapsed="false">
      <c r="C387" s="98" t="s">
        <v>1043</v>
      </c>
      <c r="D387" s="98" t="s">
        <v>679</v>
      </c>
      <c r="E387" s="98" t="s">
        <v>1044</v>
      </c>
      <c r="F387" s="98" t="n">
        <v>46270.748424375</v>
      </c>
      <c r="G387" s="98" t="n">
        <v>46271.5168071875</v>
      </c>
      <c r="H387" s="98" t="s">
        <v>680</v>
      </c>
      <c r="I387" s="98" t="s">
        <v>1312</v>
      </c>
      <c r="J387" s="100" t="s">
        <v>1418</v>
      </c>
      <c r="K387" s="100" t="s">
        <v>971</v>
      </c>
      <c r="L387" s="98" t="s">
        <v>1030</v>
      </c>
      <c r="M387" s="98" t="s">
        <v>1030</v>
      </c>
      <c r="N387" s="98" t="s">
        <v>1031</v>
      </c>
      <c r="O387" s="98" t="s">
        <v>677</v>
      </c>
      <c r="P387" s="98" t="s">
        <v>1473</v>
      </c>
      <c r="Q387" s="98" t="s">
        <v>811</v>
      </c>
      <c r="R387" s="98" t="s">
        <v>1474</v>
      </c>
      <c r="S387" s="98" t="s">
        <v>681</v>
      </c>
    </row>
    <row r="388" customFormat="false" ht="55" hidden="false" customHeight="true" outlineLevel="0" collapsed="false">
      <c r="C388" s="98" t="s">
        <v>1043</v>
      </c>
      <c r="D388" s="98" t="s">
        <v>679</v>
      </c>
      <c r="E388" s="98" t="s">
        <v>1044</v>
      </c>
      <c r="F388" s="98" t="n">
        <v>46270.748424375</v>
      </c>
      <c r="G388" s="98" t="n">
        <v>46271.5168071875</v>
      </c>
      <c r="H388" s="98" t="s">
        <v>680</v>
      </c>
      <c r="I388" s="98" t="s">
        <v>1312</v>
      </c>
      <c r="J388" s="100" t="s">
        <v>1418</v>
      </c>
      <c r="K388" s="100" t="s">
        <v>972</v>
      </c>
      <c r="L388" s="98" t="s">
        <v>1046</v>
      </c>
      <c r="M388" s="98" t="s">
        <v>1046</v>
      </c>
      <c r="N388" s="98" t="s">
        <v>1031</v>
      </c>
      <c r="O388" s="98" t="s">
        <v>677</v>
      </c>
      <c r="P388" s="98"/>
      <c r="Q388" s="98" t="s">
        <v>811</v>
      </c>
      <c r="R388" s="98"/>
      <c r="S388" s="98" t="s">
        <v>681</v>
      </c>
    </row>
    <row r="389" customFormat="false" ht="55" hidden="false" customHeight="true" outlineLevel="0" collapsed="false">
      <c r="C389" s="98" t="s">
        <v>1043</v>
      </c>
      <c r="D389" s="98" t="s">
        <v>679</v>
      </c>
      <c r="E389" s="98" t="s">
        <v>1044</v>
      </c>
      <c r="F389" s="98" t="n">
        <v>46270.748424375</v>
      </c>
      <c r="G389" s="98" t="n">
        <v>46271.5168071875</v>
      </c>
      <c r="H389" s="98" t="s">
        <v>680</v>
      </c>
      <c r="I389" s="98" t="s">
        <v>1312</v>
      </c>
      <c r="J389" s="100" t="s">
        <v>1418</v>
      </c>
      <c r="K389" s="100" t="s">
        <v>972</v>
      </c>
      <c r="L389" s="98" t="s">
        <v>1030</v>
      </c>
      <c r="M389" s="98" t="s">
        <v>1030</v>
      </c>
      <c r="N389" s="98" t="s">
        <v>1031</v>
      </c>
      <c r="O389" s="98" t="s">
        <v>677</v>
      </c>
      <c r="P389" s="98"/>
      <c r="Q389" s="98" t="s">
        <v>811</v>
      </c>
      <c r="R389" s="98"/>
      <c r="S389" s="98" t="s">
        <v>681</v>
      </c>
    </row>
    <row r="390" customFormat="false" ht="55" hidden="false" customHeight="true" outlineLevel="0" collapsed="false">
      <c r="C390" s="98" t="s">
        <v>1043</v>
      </c>
      <c r="D390" s="98" t="s">
        <v>679</v>
      </c>
      <c r="E390" s="98" t="s">
        <v>1044</v>
      </c>
      <c r="F390" s="98" t="n">
        <v>46270.748424375</v>
      </c>
      <c r="G390" s="98" t="n">
        <v>46271.5168071875</v>
      </c>
      <c r="H390" s="98" t="s">
        <v>680</v>
      </c>
      <c r="I390" s="98" t="s">
        <v>1312</v>
      </c>
      <c r="J390" s="100" t="s">
        <v>1418</v>
      </c>
      <c r="K390" s="100" t="s">
        <v>973</v>
      </c>
      <c r="L390" s="98" t="s">
        <v>1046</v>
      </c>
      <c r="M390" s="98" t="s">
        <v>1046</v>
      </c>
      <c r="N390" s="98" t="s">
        <v>1031</v>
      </c>
      <c r="O390" s="98" t="s">
        <v>677</v>
      </c>
      <c r="P390" s="98"/>
      <c r="Q390" s="98" t="s">
        <v>811</v>
      </c>
      <c r="R390" s="98"/>
      <c r="S390" s="98" t="s">
        <v>681</v>
      </c>
    </row>
    <row r="391" customFormat="false" ht="55" hidden="false" customHeight="true" outlineLevel="0" collapsed="false">
      <c r="C391" s="98" t="s">
        <v>1043</v>
      </c>
      <c r="D391" s="98" t="s">
        <v>679</v>
      </c>
      <c r="E391" s="98" t="s">
        <v>1044</v>
      </c>
      <c r="F391" s="98" t="n">
        <v>46270.748424375</v>
      </c>
      <c r="G391" s="98" t="n">
        <v>46271.5168071875</v>
      </c>
      <c r="H391" s="98" t="s">
        <v>680</v>
      </c>
      <c r="I391" s="98" t="s">
        <v>1312</v>
      </c>
      <c r="J391" s="100" t="s">
        <v>1418</v>
      </c>
      <c r="K391" s="100" t="s">
        <v>973</v>
      </c>
      <c r="L391" s="98" t="s">
        <v>1030</v>
      </c>
      <c r="M391" s="98" t="s">
        <v>1030</v>
      </c>
      <c r="N391" s="98" t="s">
        <v>1031</v>
      </c>
      <c r="O391" s="98" t="s">
        <v>677</v>
      </c>
      <c r="P391" s="98"/>
      <c r="Q391" s="98" t="s">
        <v>811</v>
      </c>
      <c r="R391" s="98"/>
      <c r="S391" s="98" t="s">
        <v>681</v>
      </c>
    </row>
    <row r="392" customFormat="false" ht="55" hidden="false" customHeight="true" outlineLevel="0" collapsed="false">
      <c r="C392" s="98" t="s">
        <v>1043</v>
      </c>
      <c r="D392" s="98" t="s">
        <v>679</v>
      </c>
      <c r="E392" s="98" t="s">
        <v>1044</v>
      </c>
      <c r="F392" s="98" t="n">
        <v>46270.748424375</v>
      </c>
      <c r="G392" s="98" t="n">
        <v>46271.5168071875</v>
      </c>
      <c r="H392" s="98" t="s">
        <v>680</v>
      </c>
      <c r="I392" s="98" t="s">
        <v>1312</v>
      </c>
      <c r="J392" s="100" t="s">
        <v>1418</v>
      </c>
      <c r="K392" s="100" t="s">
        <v>974</v>
      </c>
      <c r="L392" s="98" t="s">
        <v>1046</v>
      </c>
      <c r="M392" s="98" t="s">
        <v>1046</v>
      </c>
      <c r="N392" s="98" t="s">
        <v>1031</v>
      </c>
      <c r="O392" s="98" t="s">
        <v>677</v>
      </c>
      <c r="P392" s="98"/>
      <c r="Q392" s="98" t="s">
        <v>811</v>
      </c>
      <c r="R392" s="98"/>
      <c r="S392" s="98" t="s">
        <v>681</v>
      </c>
    </row>
    <row r="393" customFormat="false" ht="55" hidden="false" customHeight="true" outlineLevel="0" collapsed="false">
      <c r="C393" s="98" t="s">
        <v>1043</v>
      </c>
      <c r="D393" s="98" t="s">
        <v>679</v>
      </c>
      <c r="E393" s="98" t="s">
        <v>1044</v>
      </c>
      <c r="F393" s="98" t="n">
        <v>46270.748424375</v>
      </c>
      <c r="G393" s="98" t="n">
        <v>46271.5168071875</v>
      </c>
      <c r="H393" s="98" t="s">
        <v>680</v>
      </c>
      <c r="I393" s="98" t="s">
        <v>1312</v>
      </c>
      <c r="J393" s="100" t="s">
        <v>1418</v>
      </c>
      <c r="K393" s="100" t="s">
        <v>974</v>
      </c>
      <c r="L393" s="98" t="s">
        <v>1030</v>
      </c>
      <c r="M393" s="98" t="s">
        <v>1030</v>
      </c>
      <c r="N393" s="98" t="s">
        <v>1031</v>
      </c>
      <c r="O393" s="98" t="s">
        <v>677</v>
      </c>
      <c r="P393" s="98" t="s">
        <v>1477</v>
      </c>
      <c r="Q393" s="98" t="s">
        <v>811</v>
      </c>
      <c r="R393" s="98" t="s">
        <v>1478</v>
      </c>
      <c r="S393" s="98" t="s">
        <v>681</v>
      </c>
    </row>
    <row r="394" customFormat="false" ht="55" hidden="false" customHeight="true" outlineLevel="0" collapsed="false">
      <c r="C394" s="98" t="s">
        <v>1043</v>
      </c>
      <c r="D394" s="98" t="s">
        <v>679</v>
      </c>
      <c r="E394" s="98" t="s">
        <v>1044</v>
      </c>
      <c r="F394" s="98" t="n">
        <v>46270.748424375</v>
      </c>
      <c r="G394" s="98" t="n">
        <v>46271.5168071875</v>
      </c>
      <c r="H394" s="98" t="s">
        <v>680</v>
      </c>
      <c r="I394" s="98" t="s">
        <v>1312</v>
      </c>
      <c r="J394" s="100" t="s">
        <v>1418</v>
      </c>
      <c r="K394" s="100" t="s">
        <v>975</v>
      </c>
      <c r="L394" s="98" t="s">
        <v>1046</v>
      </c>
      <c r="M394" s="98" t="s">
        <v>1046</v>
      </c>
      <c r="N394" s="98" t="s">
        <v>1031</v>
      </c>
      <c r="O394" s="98" t="s">
        <v>677</v>
      </c>
      <c r="P394" s="98" t="s">
        <v>1560</v>
      </c>
      <c r="Q394" s="98" t="s">
        <v>811</v>
      </c>
      <c r="R394" s="98" t="s">
        <v>1561</v>
      </c>
      <c r="S394" s="98" t="s">
        <v>681</v>
      </c>
    </row>
    <row r="395" customFormat="false" ht="55" hidden="false" customHeight="true" outlineLevel="0" collapsed="false">
      <c r="C395" s="98" t="s">
        <v>1043</v>
      </c>
      <c r="D395" s="98" t="s">
        <v>679</v>
      </c>
      <c r="E395" s="98" t="s">
        <v>1044</v>
      </c>
      <c r="F395" s="98" t="n">
        <v>46270.748424375</v>
      </c>
      <c r="G395" s="98" t="n">
        <v>46271.5168071875</v>
      </c>
      <c r="H395" s="98" t="s">
        <v>680</v>
      </c>
      <c r="I395" s="98" t="s">
        <v>1312</v>
      </c>
      <c r="J395" s="100" t="s">
        <v>1418</v>
      </c>
      <c r="K395" s="100" t="s">
        <v>975</v>
      </c>
      <c r="L395" s="98" t="s">
        <v>1030</v>
      </c>
      <c r="M395" s="98" t="s">
        <v>1030</v>
      </c>
      <c r="N395" s="98" t="s">
        <v>1031</v>
      </c>
      <c r="O395" s="98" t="s">
        <v>677</v>
      </c>
      <c r="P395" s="98" t="s">
        <v>1479</v>
      </c>
      <c r="Q395" s="98" t="s">
        <v>811</v>
      </c>
      <c r="R395" s="98" t="s">
        <v>1480</v>
      </c>
      <c r="S395" s="98" t="s">
        <v>681</v>
      </c>
    </row>
    <row r="396" customFormat="false" ht="55" hidden="false" customHeight="true" outlineLevel="0" collapsed="false">
      <c r="C396" s="98" t="s">
        <v>1043</v>
      </c>
      <c r="D396" s="98" t="s">
        <v>679</v>
      </c>
      <c r="E396" s="98" t="s">
        <v>1044</v>
      </c>
      <c r="F396" s="98" t="n">
        <v>46270.748424375</v>
      </c>
      <c r="G396" s="98" t="n">
        <v>46271.5168071875</v>
      </c>
      <c r="H396" s="98" t="s">
        <v>680</v>
      </c>
      <c r="I396" s="98" t="s">
        <v>1312</v>
      </c>
      <c r="J396" s="100" t="s">
        <v>1418</v>
      </c>
      <c r="K396" s="100" t="s">
        <v>976</v>
      </c>
      <c r="L396" s="98" t="s">
        <v>1046</v>
      </c>
      <c r="M396" s="98" t="s">
        <v>1046</v>
      </c>
      <c r="N396" s="98" t="s">
        <v>1031</v>
      </c>
      <c r="O396" s="98" t="s">
        <v>677</v>
      </c>
      <c r="P396" s="98" t="s">
        <v>1562</v>
      </c>
      <c r="Q396" s="98" t="s">
        <v>811</v>
      </c>
      <c r="R396" s="98" t="s">
        <v>1563</v>
      </c>
      <c r="S396" s="98" t="s">
        <v>681</v>
      </c>
    </row>
    <row r="397" customFormat="false" ht="55" hidden="false" customHeight="true" outlineLevel="0" collapsed="false">
      <c r="C397" s="98" t="s">
        <v>1043</v>
      </c>
      <c r="D397" s="98" t="s">
        <v>679</v>
      </c>
      <c r="E397" s="98" t="s">
        <v>1044</v>
      </c>
      <c r="F397" s="98" t="n">
        <v>46270.748424375</v>
      </c>
      <c r="G397" s="98" t="n">
        <v>46271.5168071875</v>
      </c>
      <c r="H397" s="98" t="s">
        <v>680</v>
      </c>
      <c r="I397" s="98" t="s">
        <v>1312</v>
      </c>
      <c r="J397" s="100" t="s">
        <v>1418</v>
      </c>
      <c r="K397" s="100" t="s">
        <v>976</v>
      </c>
      <c r="L397" s="98" t="s">
        <v>1030</v>
      </c>
      <c r="M397" s="98" t="s">
        <v>1030</v>
      </c>
      <c r="N397" s="98" t="s">
        <v>1031</v>
      </c>
      <c r="O397" s="98" t="s">
        <v>677</v>
      </c>
      <c r="P397" s="98" t="s">
        <v>1483</v>
      </c>
      <c r="Q397" s="98" t="s">
        <v>811</v>
      </c>
      <c r="R397" s="98" t="s">
        <v>1484</v>
      </c>
      <c r="S397" s="98" t="s">
        <v>681</v>
      </c>
    </row>
    <row r="398" customFormat="false" ht="55" hidden="false" customHeight="true" outlineLevel="0" collapsed="false">
      <c r="C398" s="98" t="s">
        <v>1043</v>
      </c>
      <c r="D398" s="98" t="s">
        <v>679</v>
      </c>
      <c r="E398" s="98" t="s">
        <v>1044</v>
      </c>
      <c r="F398" s="98" t="n">
        <v>46270.748424375</v>
      </c>
      <c r="G398" s="98" t="n">
        <v>46271.5168071875</v>
      </c>
      <c r="H398" s="98" t="s">
        <v>680</v>
      </c>
      <c r="I398" s="98" t="s">
        <v>1312</v>
      </c>
      <c r="J398" s="100" t="s">
        <v>1418</v>
      </c>
      <c r="K398" s="100" t="s">
        <v>977</v>
      </c>
      <c r="L398" s="98" t="s">
        <v>1046</v>
      </c>
      <c r="M398" s="98" t="s">
        <v>1046</v>
      </c>
      <c r="N398" s="98" t="s">
        <v>1031</v>
      </c>
      <c r="O398" s="98" t="s">
        <v>677</v>
      </c>
      <c r="P398" s="98" t="s">
        <v>1564</v>
      </c>
      <c r="Q398" s="98" t="s">
        <v>811</v>
      </c>
      <c r="R398" s="98" t="s">
        <v>1314</v>
      </c>
      <c r="S398" s="98" t="s">
        <v>681</v>
      </c>
    </row>
    <row r="399" customFormat="false" ht="55" hidden="false" customHeight="true" outlineLevel="0" collapsed="false">
      <c r="C399" s="98" t="s">
        <v>1043</v>
      </c>
      <c r="D399" s="98" t="s">
        <v>679</v>
      </c>
      <c r="E399" s="98" t="s">
        <v>1044</v>
      </c>
      <c r="F399" s="98" t="n">
        <v>46270.748424375</v>
      </c>
      <c r="G399" s="98" t="n">
        <v>46271.5168071875</v>
      </c>
      <c r="H399" s="98" t="s">
        <v>680</v>
      </c>
      <c r="I399" s="98" t="s">
        <v>1312</v>
      </c>
      <c r="J399" s="100" t="s">
        <v>1418</v>
      </c>
      <c r="K399" s="100" t="s">
        <v>977</v>
      </c>
      <c r="L399" s="98" t="s">
        <v>1030</v>
      </c>
      <c r="M399" s="98" t="s">
        <v>1030</v>
      </c>
      <c r="N399" s="98" t="s">
        <v>1031</v>
      </c>
      <c r="O399" s="98" t="s">
        <v>677</v>
      </c>
      <c r="P399" s="98" t="s">
        <v>1487</v>
      </c>
      <c r="Q399" s="98" t="s">
        <v>811</v>
      </c>
      <c r="R399" s="98" t="s">
        <v>1248</v>
      </c>
      <c r="S399" s="98" t="s">
        <v>681</v>
      </c>
    </row>
    <row r="400" customFormat="false" ht="55" hidden="false" customHeight="true" outlineLevel="0" collapsed="false">
      <c r="C400" s="98" t="s">
        <v>1043</v>
      </c>
      <c r="D400" s="98" t="s">
        <v>679</v>
      </c>
      <c r="E400" s="98" t="s">
        <v>1044</v>
      </c>
      <c r="F400" s="98" t="n">
        <v>46270.748424375</v>
      </c>
      <c r="G400" s="98" t="n">
        <v>46271.5168071875</v>
      </c>
      <c r="H400" s="98" t="s">
        <v>680</v>
      </c>
      <c r="I400" s="98" t="s">
        <v>1312</v>
      </c>
      <c r="J400" s="100" t="s">
        <v>1418</v>
      </c>
      <c r="K400" s="100" t="s">
        <v>978</v>
      </c>
      <c r="L400" s="98" t="s">
        <v>1046</v>
      </c>
      <c r="M400" s="98" t="s">
        <v>1046</v>
      </c>
      <c r="N400" s="98" t="s">
        <v>1031</v>
      </c>
      <c r="O400" s="98" t="s">
        <v>677</v>
      </c>
      <c r="P400" s="98"/>
      <c r="Q400" s="98" t="s">
        <v>811</v>
      </c>
      <c r="R400" s="98"/>
      <c r="S400" s="98" t="s">
        <v>681</v>
      </c>
    </row>
    <row r="401" customFormat="false" ht="55" hidden="false" customHeight="true" outlineLevel="0" collapsed="false">
      <c r="C401" s="98" t="s">
        <v>1043</v>
      </c>
      <c r="D401" s="98" t="s">
        <v>679</v>
      </c>
      <c r="E401" s="98" t="s">
        <v>1044</v>
      </c>
      <c r="F401" s="98" t="n">
        <v>46270.748424375</v>
      </c>
      <c r="G401" s="98" t="n">
        <v>46271.5168071875</v>
      </c>
      <c r="H401" s="98" t="s">
        <v>680</v>
      </c>
      <c r="I401" s="98" t="s">
        <v>1312</v>
      </c>
      <c r="J401" s="100" t="s">
        <v>1418</v>
      </c>
      <c r="K401" s="100" t="s">
        <v>978</v>
      </c>
      <c r="L401" s="98" t="s">
        <v>1030</v>
      </c>
      <c r="M401" s="98" t="s">
        <v>1030</v>
      </c>
      <c r="N401" s="98" t="s">
        <v>1031</v>
      </c>
      <c r="O401" s="98" t="s">
        <v>677</v>
      </c>
      <c r="P401" s="98"/>
      <c r="Q401" s="98" t="s">
        <v>811</v>
      </c>
      <c r="R401" s="98"/>
      <c r="S401" s="98" t="s">
        <v>681</v>
      </c>
    </row>
    <row r="402" customFormat="false" ht="55" hidden="false" customHeight="true" outlineLevel="0" collapsed="false">
      <c r="C402" s="98" t="s">
        <v>1043</v>
      </c>
      <c r="D402" s="98" t="s">
        <v>679</v>
      </c>
      <c r="E402" s="98" t="s">
        <v>1044</v>
      </c>
      <c r="F402" s="98" t="n">
        <v>46270.748424375</v>
      </c>
      <c r="G402" s="98" t="n">
        <v>46271.5168071875</v>
      </c>
      <c r="H402" s="98" t="s">
        <v>680</v>
      </c>
      <c r="I402" s="98" t="s">
        <v>1312</v>
      </c>
      <c r="J402" s="100" t="s">
        <v>1418</v>
      </c>
      <c r="K402" s="100" t="s">
        <v>979</v>
      </c>
      <c r="L402" s="98" t="s">
        <v>1046</v>
      </c>
      <c r="M402" s="98" t="s">
        <v>1046</v>
      </c>
      <c r="N402" s="98" t="s">
        <v>1031</v>
      </c>
      <c r="O402" s="98" t="s">
        <v>677</v>
      </c>
      <c r="P402" s="98" t="s">
        <v>1565</v>
      </c>
      <c r="Q402" s="98" t="s">
        <v>811</v>
      </c>
      <c r="R402" s="98" t="s">
        <v>1566</v>
      </c>
      <c r="S402" s="98" t="s">
        <v>681</v>
      </c>
    </row>
    <row r="403" customFormat="false" ht="55" hidden="false" customHeight="true" outlineLevel="0" collapsed="false">
      <c r="C403" s="98" t="s">
        <v>1043</v>
      </c>
      <c r="D403" s="98" t="s">
        <v>679</v>
      </c>
      <c r="E403" s="98" t="s">
        <v>1044</v>
      </c>
      <c r="F403" s="98" t="n">
        <v>46270.748424375</v>
      </c>
      <c r="G403" s="98" t="n">
        <v>46271.5168071875</v>
      </c>
      <c r="H403" s="98" t="s">
        <v>680</v>
      </c>
      <c r="I403" s="98" t="s">
        <v>1312</v>
      </c>
      <c r="J403" s="100" t="s">
        <v>1418</v>
      </c>
      <c r="K403" s="100" t="s">
        <v>979</v>
      </c>
      <c r="L403" s="98" t="s">
        <v>1030</v>
      </c>
      <c r="M403" s="98" t="s">
        <v>1030</v>
      </c>
      <c r="N403" s="98" t="s">
        <v>1031</v>
      </c>
      <c r="O403" s="98" t="s">
        <v>677</v>
      </c>
      <c r="P403" s="98" t="s">
        <v>1489</v>
      </c>
      <c r="Q403" s="98" t="s">
        <v>811</v>
      </c>
      <c r="R403" s="98" t="s">
        <v>1490</v>
      </c>
      <c r="S403" s="98" t="s">
        <v>681</v>
      </c>
    </row>
    <row r="404" customFormat="false" ht="55" hidden="false" customHeight="true" outlineLevel="0" collapsed="false">
      <c r="C404" s="98" t="s">
        <v>1043</v>
      </c>
      <c r="D404" s="98" t="s">
        <v>679</v>
      </c>
      <c r="E404" s="98" t="s">
        <v>1044</v>
      </c>
      <c r="F404" s="98" t="n">
        <v>46270.748424375</v>
      </c>
      <c r="G404" s="98" t="n">
        <v>46271.5168071875</v>
      </c>
      <c r="H404" s="98" t="s">
        <v>680</v>
      </c>
      <c r="I404" s="98" t="s">
        <v>1312</v>
      </c>
      <c r="J404" s="100" t="s">
        <v>1418</v>
      </c>
      <c r="K404" s="100" t="s">
        <v>994</v>
      </c>
      <c r="L404" s="98" t="s">
        <v>1046</v>
      </c>
      <c r="M404" s="98" t="s">
        <v>1046</v>
      </c>
      <c r="N404" s="98" t="s">
        <v>1031</v>
      </c>
      <c r="O404" s="98" t="s">
        <v>677</v>
      </c>
      <c r="P404" s="98"/>
      <c r="Q404" s="98" t="s">
        <v>811</v>
      </c>
      <c r="R404" s="98"/>
      <c r="S404" s="98" t="s">
        <v>681</v>
      </c>
    </row>
    <row r="405" customFormat="false" ht="55" hidden="false" customHeight="true" outlineLevel="0" collapsed="false">
      <c r="C405" s="98" t="s">
        <v>1043</v>
      </c>
      <c r="D405" s="98" t="s">
        <v>679</v>
      </c>
      <c r="E405" s="98" t="s">
        <v>1044</v>
      </c>
      <c r="F405" s="98" t="n">
        <v>46270.748424375</v>
      </c>
      <c r="G405" s="98" t="n">
        <v>46271.5168071875</v>
      </c>
      <c r="H405" s="98" t="s">
        <v>680</v>
      </c>
      <c r="I405" s="98" t="s">
        <v>1312</v>
      </c>
      <c r="J405" s="100" t="s">
        <v>1418</v>
      </c>
      <c r="K405" s="100" t="s">
        <v>994</v>
      </c>
      <c r="L405" s="98" t="s">
        <v>1030</v>
      </c>
      <c r="M405" s="98" t="s">
        <v>1030</v>
      </c>
      <c r="N405" s="98" t="s">
        <v>1031</v>
      </c>
      <c r="O405" s="98" t="s">
        <v>677</v>
      </c>
      <c r="P405" s="98"/>
      <c r="Q405" s="98" t="s">
        <v>811</v>
      </c>
      <c r="R405" s="98"/>
      <c r="S405" s="98" t="s">
        <v>681</v>
      </c>
    </row>
    <row r="406" customFormat="false" ht="55" hidden="false" customHeight="true" outlineLevel="0" collapsed="false">
      <c r="C406" s="98" t="s">
        <v>1043</v>
      </c>
      <c r="D406" s="98" t="s">
        <v>679</v>
      </c>
      <c r="E406" s="98" t="s">
        <v>1044</v>
      </c>
      <c r="F406" s="98" t="n">
        <v>46270.748424375</v>
      </c>
      <c r="G406" s="98" t="n">
        <v>46271.5168071875</v>
      </c>
      <c r="H406" s="98" t="s">
        <v>680</v>
      </c>
      <c r="I406" s="98" t="s">
        <v>1312</v>
      </c>
      <c r="J406" s="100" t="s">
        <v>1418</v>
      </c>
      <c r="K406" s="100" t="s">
        <v>981</v>
      </c>
      <c r="L406" s="98" t="s">
        <v>1046</v>
      </c>
      <c r="M406" s="98" t="s">
        <v>1046</v>
      </c>
      <c r="N406" s="98" t="s">
        <v>1031</v>
      </c>
      <c r="O406" s="98" t="s">
        <v>677</v>
      </c>
      <c r="P406" s="98" t="s">
        <v>1567</v>
      </c>
      <c r="Q406" s="98" t="s">
        <v>811</v>
      </c>
      <c r="R406" s="98" t="s">
        <v>1568</v>
      </c>
      <c r="S406" s="98" t="s">
        <v>681</v>
      </c>
    </row>
    <row r="407" customFormat="false" ht="55" hidden="false" customHeight="true" outlineLevel="0" collapsed="false">
      <c r="C407" s="98" t="s">
        <v>1043</v>
      </c>
      <c r="D407" s="98" t="s">
        <v>679</v>
      </c>
      <c r="E407" s="98" t="s">
        <v>1044</v>
      </c>
      <c r="F407" s="98" t="n">
        <v>46270.748424375</v>
      </c>
      <c r="G407" s="98" t="n">
        <v>46271.5168071875</v>
      </c>
      <c r="H407" s="98" t="s">
        <v>680</v>
      </c>
      <c r="I407" s="98" t="s">
        <v>1312</v>
      </c>
      <c r="J407" s="100" t="s">
        <v>1418</v>
      </c>
      <c r="K407" s="100" t="s">
        <v>981</v>
      </c>
      <c r="L407" s="98" t="s">
        <v>1030</v>
      </c>
      <c r="M407" s="98" t="s">
        <v>1030</v>
      </c>
      <c r="N407" s="98" t="s">
        <v>1031</v>
      </c>
      <c r="O407" s="98" t="s">
        <v>677</v>
      </c>
      <c r="P407" s="98" t="s">
        <v>1495</v>
      </c>
      <c r="Q407" s="98" t="s">
        <v>811</v>
      </c>
      <c r="R407" s="98" t="s">
        <v>1496</v>
      </c>
      <c r="S407" s="98" t="s">
        <v>681</v>
      </c>
    </row>
    <row r="408" customFormat="false" ht="55" hidden="false" customHeight="true" outlineLevel="0" collapsed="false">
      <c r="C408" s="98" t="s">
        <v>1043</v>
      </c>
      <c r="D408" s="98" t="s">
        <v>679</v>
      </c>
      <c r="E408" s="98" t="s">
        <v>1044</v>
      </c>
      <c r="F408" s="98" t="n">
        <v>46270.748424375</v>
      </c>
      <c r="G408" s="98" t="n">
        <v>46271.5168071875</v>
      </c>
      <c r="H408" s="98" t="s">
        <v>680</v>
      </c>
      <c r="I408" s="98" t="s">
        <v>1312</v>
      </c>
      <c r="J408" s="100" t="s">
        <v>1418</v>
      </c>
      <c r="K408" s="100" t="s">
        <v>982</v>
      </c>
      <c r="L408" s="98" t="s">
        <v>1046</v>
      </c>
      <c r="M408" s="98" t="s">
        <v>1046</v>
      </c>
      <c r="N408" s="98" t="s">
        <v>1031</v>
      </c>
      <c r="O408" s="98" t="s">
        <v>677</v>
      </c>
      <c r="P408" s="98"/>
      <c r="Q408" s="98" t="s">
        <v>811</v>
      </c>
      <c r="R408" s="98"/>
      <c r="S408" s="98" t="s">
        <v>681</v>
      </c>
    </row>
    <row r="409" customFormat="false" ht="55" hidden="false" customHeight="true" outlineLevel="0" collapsed="false">
      <c r="C409" s="98" t="s">
        <v>1043</v>
      </c>
      <c r="D409" s="98" t="s">
        <v>679</v>
      </c>
      <c r="E409" s="98" t="s">
        <v>1044</v>
      </c>
      <c r="F409" s="98" t="n">
        <v>46270.748424375</v>
      </c>
      <c r="G409" s="98" t="n">
        <v>46271.5168071875</v>
      </c>
      <c r="H409" s="98" t="s">
        <v>680</v>
      </c>
      <c r="I409" s="98" t="s">
        <v>1312</v>
      </c>
      <c r="J409" s="100" t="s">
        <v>1418</v>
      </c>
      <c r="K409" s="100" t="s">
        <v>982</v>
      </c>
      <c r="L409" s="98" t="s">
        <v>1030</v>
      </c>
      <c r="M409" s="98" t="s">
        <v>1030</v>
      </c>
      <c r="N409" s="98" t="s">
        <v>1031</v>
      </c>
      <c r="O409" s="98" t="s">
        <v>677</v>
      </c>
      <c r="P409" s="98" t="s">
        <v>1499</v>
      </c>
      <c r="Q409" s="98" t="s">
        <v>811</v>
      </c>
      <c r="R409" s="98" t="s">
        <v>1500</v>
      </c>
      <c r="S409" s="98" t="s">
        <v>681</v>
      </c>
    </row>
    <row r="410" customFormat="false" ht="55" hidden="false" customHeight="true" outlineLevel="0" collapsed="false">
      <c r="C410" s="98" t="s">
        <v>1043</v>
      </c>
      <c r="D410" s="98" t="s">
        <v>679</v>
      </c>
      <c r="E410" s="98" t="s">
        <v>1044</v>
      </c>
      <c r="F410" s="98" t="n">
        <v>46270.748424375</v>
      </c>
      <c r="G410" s="98" t="n">
        <v>46271.5168071875</v>
      </c>
      <c r="H410" s="98" t="s">
        <v>680</v>
      </c>
      <c r="I410" s="98" t="s">
        <v>1312</v>
      </c>
      <c r="J410" s="100" t="s">
        <v>1418</v>
      </c>
      <c r="K410" s="100" t="s">
        <v>983</v>
      </c>
      <c r="L410" s="98" t="s">
        <v>1046</v>
      </c>
      <c r="M410" s="98" t="s">
        <v>1046</v>
      </c>
      <c r="N410" s="98" t="s">
        <v>1031</v>
      </c>
      <c r="O410" s="98" t="s">
        <v>677</v>
      </c>
      <c r="P410" s="98" t="s">
        <v>1569</v>
      </c>
      <c r="Q410" s="98" t="s">
        <v>811</v>
      </c>
      <c r="R410" s="98" t="s">
        <v>1570</v>
      </c>
      <c r="S410" s="98" t="s">
        <v>681</v>
      </c>
    </row>
    <row r="411" customFormat="false" ht="55" hidden="false" customHeight="true" outlineLevel="0" collapsed="false">
      <c r="C411" s="98" t="s">
        <v>1043</v>
      </c>
      <c r="D411" s="98" t="s">
        <v>679</v>
      </c>
      <c r="E411" s="98" t="s">
        <v>1044</v>
      </c>
      <c r="F411" s="98" t="n">
        <v>46270.748424375</v>
      </c>
      <c r="G411" s="98" t="n">
        <v>46271.5168071875</v>
      </c>
      <c r="H411" s="98" t="s">
        <v>680</v>
      </c>
      <c r="I411" s="98" t="s">
        <v>1312</v>
      </c>
      <c r="J411" s="100" t="s">
        <v>1418</v>
      </c>
      <c r="K411" s="100" t="s">
        <v>983</v>
      </c>
      <c r="L411" s="98" t="s">
        <v>1030</v>
      </c>
      <c r="M411" s="98" t="s">
        <v>1030</v>
      </c>
      <c r="N411" s="98" t="s">
        <v>1031</v>
      </c>
      <c r="O411" s="98" t="s">
        <v>677</v>
      </c>
      <c r="P411" s="98" t="s">
        <v>1501</v>
      </c>
      <c r="Q411" s="98" t="s">
        <v>811</v>
      </c>
      <c r="R411" s="98" t="s">
        <v>1502</v>
      </c>
      <c r="S411" s="98" t="s">
        <v>681</v>
      </c>
    </row>
    <row r="412" customFormat="false" ht="55" hidden="false" customHeight="true" outlineLevel="0" collapsed="false">
      <c r="C412" s="98" t="s">
        <v>1043</v>
      </c>
      <c r="D412" s="98" t="s">
        <v>679</v>
      </c>
      <c r="E412" s="98" t="s">
        <v>1044</v>
      </c>
      <c r="F412" s="98" t="n">
        <v>46270.748424375</v>
      </c>
      <c r="G412" s="98" t="n">
        <v>46271.5168071875</v>
      </c>
      <c r="H412" s="98" t="s">
        <v>680</v>
      </c>
      <c r="I412" s="98" t="s">
        <v>1312</v>
      </c>
      <c r="J412" s="100" t="s">
        <v>1418</v>
      </c>
      <c r="K412" s="100" t="s">
        <v>985</v>
      </c>
      <c r="L412" s="98" t="s">
        <v>1046</v>
      </c>
      <c r="M412" s="98" t="s">
        <v>1046</v>
      </c>
      <c r="N412" s="98" t="s">
        <v>1031</v>
      </c>
      <c r="O412" s="98" t="s">
        <v>677</v>
      </c>
      <c r="P412" s="98" t="s">
        <v>1571</v>
      </c>
      <c r="Q412" s="98" t="s">
        <v>811</v>
      </c>
      <c r="R412" s="98" t="s">
        <v>1572</v>
      </c>
      <c r="S412" s="98" t="s">
        <v>681</v>
      </c>
    </row>
    <row r="413" customFormat="false" ht="55" hidden="false" customHeight="true" outlineLevel="0" collapsed="false">
      <c r="C413" s="98" t="s">
        <v>1043</v>
      </c>
      <c r="D413" s="98" t="s">
        <v>679</v>
      </c>
      <c r="E413" s="98" t="s">
        <v>1044</v>
      </c>
      <c r="F413" s="98" t="n">
        <v>46270.748424375</v>
      </c>
      <c r="G413" s="98" t="n">
        <v>46271.5168071875</v>
      </c>
      <c r="H413" s="98" t="s">
        <v>680</v>
      </c>
      <c r="I413" s="98" t="s">
        <v>1312</v>
      </c>
      <c r="J413" s="100" t="s">
        <v>1418</v>
      </c>
      <c r="K413" s="100" t="s">
        <v>985</v>
      </c>
      <c r="L413" s="98" t="s">
        <v>1030</v>
      </c>
      <c r="M413" s="98" t="s">
        <v>1030</v>
      </c>
      <c r="N413" s="98" t="s">
        <v>1031</v>
      </c>
      <c r="O413" s="98" t="s">
        <v>677</v>
      </c>
      <c r="P413" s="98" t="s">
        <v>1505</v>
      </c>
      <c r="Q413" s="98" t="s">
        <v>811</v>
      </c>
      <c r="R413" s="98" t="s">
        <v>1506</v>
      </c>
      <c r="S413" s="98" t="s">
        <v>681</v>
      </c>
    </row>
    <row r="414" customFormat="false" ht="55" hidden="false" customHeight="true" outlineLevel="0" collapsed="false">
      <c r="C414" s="98" t="s">
        <v>1043</v>
      </c>
      <c r="D414" s="98" t="s">
        <v>679</v>
      </c>
      <c r="E414" s="98" t="s">
        <v>1044</v>
      </c>
      <c r="F414" s="98" t="n">
        <v>46270.748424375</v>
      </c>
      <c r="G414" s="98" t="n">
        <v>46271.5168071875</v>
      </c>
      <c r="H414" s="98" t="s">
        <v>680</v>
      </c>
      <c r="I414" s="98" t="s">
        <v>1312</v>
      </c>
      <c r="J414" s="100" t="s">
        <v>1418</v>
      </c>
      <c r="K414" s="100" t="s">
        <v>986</v>
      </c>
      <c r="L414" s="98" t="s">
        <v>1046</v>
      </c>
      <c r="M414" s="98" t="s">
        <v>1046</v>
      </c>
      <c r="N414" s="98" t="s">
        <v>1031</v>
      </c>
      <c r="O414" s="98" t="s">
        <v>677</v>
      </c>
      <c r="P414" s="98" t="s">
        <v>1573</v>
      </c>
      <c r="Q414" s="98" t="s">
        <v>811</v>
      </c>
      <c r="R414" s="98" t="s">
        <v>1574</v>
      </c>
      <c r="S414" s="98" t="s">
        <v>681</v>
      </c>
    </row>
    <row r="415" customFormat="false" ht="55" hidden="false" customHeight="true" outlineLevel="0" collapsed="false">
      <c r="C415" s="98" t="s">
        <v>1043</v>
      </c>
      <c r="D415" s="98" t="s">
        <v>679</v>
      </c>
      <c r="E415" s="98" t="s">
        <v>1044</v>
      </c>
      <c r="F415" s="98" t="n">
        <v>46270.748424375</v>
      </c>
      <c r="G415" s="98" t="n">
        <v>46271.5168071875</v>
      </c>
      <c r="H415" s="98" t="s">
        <v>680</v>
      </c>
      <c r="I415" s="98" t="s">
        <v>1312</v>
      </c>
      <c r="J415" s="100" t="s">
        <v>1418</v>
      </c>
      <c r="K415" s="100" t="s">
        <v>986</v>
      </c>
      <c r="L415" s="98" t="s">
        <v>1030</v>
      </c>
      <c r="M415" s="98" t="s">
        <v>1030</v>
      </c>
      <c r="N415" s="98" t="s">
        <v>1031</v>
      </c>
      <c r="O415" s="98" t="s">
        <v>677</v>
      </c>
      <c r="P415" s="98" t="s">
        <v>1509</v>
      </c>
      <c r="Q415" s="98" t="s">
        <v>811</v>
      </c>
      <c r="R415" s="98" t="s">
        <v>1510</v>
      </c>
      <c r="S415" s="98" t="s">
        <v>681</v>
      </c>
    </row>
    <row r="416" customFormat="false" ht="55" hidden="false" customHeight="true" outlineLevel="0" collapsed="false">
      <c r="C416" s="98" t="s">
        <v>1043</v>
      </c>
      <c r="D416" s="98" t="s">
        <v>679</v>
      </c>
      <c r="E416" s="98" t="s">
        <v>1044</v>
      </c>
      <c r="F416" s="98" t="n">
        <v>46270.748424375</v>
      </c>
      <c r="G416" s="98" t="n">
        <v>46271.5168071875</v>
      </c>
      <c r="H416" s="98" t="s">
        <v>680</v>
      </c>
      <c r="I416" s="98" t="s">
        <v>1312</v>
      </c>
      <c r="J416" s="100" t="s">
        <v>1418</v>
      </c>
      <c r="K416" s="100" t="s">
        <v>996</v>
      </c>
      <c r="L416" s="98" t="s">
        <v>1046</v>
      </c>
      <c r="M416" s="98" t="s">
        <v>1046</v>
      </c>
      <c r="N416" s="98" t="s">
        <v>1031</v>
      </c>
      <c r="O416" s="98" t="s">
        <v>677</v>
      </c>
      <c r="P416" s="98"/>
      <c r="Q416" s="98" t="s">
        <v>811</v>
      </c>
      <c r="R416" s="98"/>
      <c r="S416" s="98" t="s">
        <v>681</v>
      </c>
    </row>
    <row r="417" customFormat="false" ht="55" hidden="false" customHeight="true" outlineLevel="0" collapsed="false">
      <c r="C417" s="98" t="s">
        <v>1043</v>
      </c>
      <c r="D417" s="98" t="s">
        <v>679</v>
      </c>
      <c r="E417" s="98" t="s">
        <v>1044</v>
      </c>
      <c r="F417" s="98" t="n">
        <v>46270.748424375</v>
      </c>
      <c r="G417" s="98" t="n">
        <v>46271.5168071875</v>
      </c>
      <c r="H417" s="98" t="s">
        <v>680</v>
      </c>
      <c r="I417" s="98" t="s">
        <v>1312</v>
      </c>
      <c r="J417" s="100" t="s">
        <v>1418</v>
      </c>
      <c r="K417" s="100" t="s">
        <v>996</v>
      </c>
      <c r="L417" s="98" t="s">
        <v>1030</v>
      </c>
      <c r="M417" s="98" t="s">
        <v>1030</v>
      </c>
      <c r="N417" s="98" t="s">
        <v>1031</v>
      </c>
      <c r="O417" s="98" t="s">
        <v>677</v>
      </c>
      <c r="P417" s="98"/>
      <c r="Q417" s="98" t="s">
        <v>811</v>
      </c>
      <c r="R417" s="98"/>
      <c r="S417" s="98" t="s">
        <v>681</v>
      </c>
    </row>
    <row r="418" customFormat="false" ht="55" hidden="false" customHeight="true" outlineLevel="0" collapsed="false">
      <c r="C418" s="98" t="s">
        <v>1043</v>
      </c>
      <c r="D418" s="98" t="s">
        <v>679</v>
      </c>
      <c r="E418" s="98" t="s">
        <v>1044</v>
      </c>
      <c r="F418" s="98" t="n">
        <v>46270.748424375</v>
      </c>
      <c r="G418" s="98" t="n">
        <v>46271.5168071875</v>
      </c>
      <c r="H418" s="98" t="s">
        <v>680</v>
      </c>
      <c r="I418" s="98" t="s">
        <v>1312</v>
      </c>
      <c r="J418" s="100" t="s">
        <v>1418</v>
      </c>
      <c r="K418" s="100" t="s">
        <v>987</v>
      </c>
      <c r="L418" s="98" t="s">
        <v>1046</v>
      </c>
      <c r="M418" s="98" t="s">
        <v>1046</v>
      </c>
      <c r="N418" s="98" t="s">
        <v>1031</v>
      </c>
      <c r="O418" s="98" t="s">
        <v>677</v>
      </c>
      <c r="P418" s="98" t="s">
        <v>1575</v>
      </c>
      <c r="Q418" s="98" t="s">
        <v>811</v>
      </c>
      <c r="R418" s="98" t="s">
        <v>1576</v>
      </c>
      <c r="S418" s="98" t="s">
        <v>681</v>
      </c>
    </row>
    <row r="419" customFormat="false" ht="55" hidden="false" customHeight="true" outlineLevel="0" collapsed="false">
      <c r="C419" s="98" t="s">
        <v>1043</v>
      </c>
      <c r="D419" s="98" t="s">
        <v>679</v>
      </c>
      <c r="E419" s="98" t="s">
        <v>1044</v>
      </c>
      <c r="F419" s="98" t="n">
        <v>46270.748424375</v>
      </c>
      <c r="G419" s="98" t="n">
        <v>46271.5168071875</v>
      </c>
      <c r="H419" s="98" t="s">
        <v>680</v>
      </c>
      <c r="I419" s="98" t="s">
        <v>1312</v>
      </c>
      <c r="J419" s="100" t="s">
        <v>1418</v>
      </c>
      <c r="K419" s="100" t="s">
        <v>987</v>
      </c>
      <c r="L419" s="98" t="s">
        <v>1030</v>
      </c>
      <c r="M419" s="98" t="s">
        <v>1030</v>
      </c>
      <c r="N419" s="98" t="s">
        <v>1031</v>
      </c>
      <c r="O419" s="98" t="s">
        <v>677</v>
      </c>
      <c r="P419" s="98" t="s">
        <v>1513</v>
      </c>
      <c r="Q419" s="98" t="s">
        <v>811</v>
      </c>
      <c r="R419" s="98" t="s">
        <v>1514</v>
      </c>
      <c r="S419" s="98" t="s">
        <v>681</v>
      </c>
    </row>
    <row r="420" customFormat="false" ht="55" hidden="false" customHeight="true" outlineLevel="0" collapsed="false">
      <c r="C420" s="98" t="s">
        <v>1043</v>
      </c>
      <c r="D420" s="98" t="s">
        <v>679</v>
      </c>
      <c r="E420" s="98" t="s">
        <v>1044</v>
      </c>
      <c r="F420" s="98" t="n">
        <v>46270.748424375</v>
      </c>
      <c r="G420" s="98" t="n">
        <v>46271.5168071875</v>
      </c>
      <c r="H420" s="98" t="s">
        <v>680</v>
      </c>
      <c r="I420" s="98" t="s">
        <v>1312</v>
      </c>
      <c r="J420" s="100" t="s">
        <v>1418</v>
      </c>
      <c r="K420" s="100" t="s">
        <v>988</v>
      </c>
      <c r="L420" s="98" t="s">
        <v>1046</v>
      </c>
      <c r="M420" s="98" t="s">
        <v>1046</v>
      </c>
      <c r="N420" s="98" t="s">
        <v>1031</v>
      </c>
      <c r="O420" s="98" t="s">
        <v>677</v>
      </c>
      <c r="P420" s="98" t="s">
        <v>1577</v>
      </c>
      <c r="Q420" s="98" t="s">
        <v>811</v>
      </c>
      <c r="R420" s="98" t="s">
        <v>1578</v>
      </c>
      <c r="S420" s="98" t="s">
        <v>681</v>
      </c>
    </row>
    <row r="421" customFormat="false" ht="55" hidden="false" customHeight="true" outlineLevel="0" collapsed="false">
      <c r="C421" s="98" t="s">
        <v>1043</v>
      </c>
      <c r="D421" s="98" t="s">
        <v>679</v>
      </c>
      <c r="E421" s="98" t="s">
        <v>1044</v>
      </c>
      <c r="F421" s="98" t="n">
        <v>46270.748424375</v>
      </c>
      <c r="G421" s="98" t="n">
        <v>46271.5168071875</v>
      </c>
      <c r="H421" s="98" t="s">
        <v>680</v>
      </c>
      <c r="I421" s="98" t="s">
        <v>1312</v>
      </c>
      <c r="J421" s="100" t="s">
        <v>1418</v>
      </c>
      <c r="K421" s="100" t="s">
        <v>988</v>
      </c>
      <c r="L421" s="98" t="s">
        <v>1030</v>
      </c>
      <c r="M421" s="98" t="s">
        <v>1030</v>
      </c>
      <c r="N421" s="98" t="s">
        <v>1031</v>
      </c>
      <c r="O421" s="98" t="s">
        <v>677</v>
      </c>
      <c r="P421" s="98" t="s">
        <v>1517</v>
      </c>
      <c r="Q421" s="98" t="s">
        <v>811</v>
      </c>
      <c r="R421" s="98" t="s">
        <v>1518</v>
      </c>
      <c r="S421" s="98" t="s">
        <v>681</v>
      </c>
    </row>
    <row r="422" customFormat="false" ht="55" hidden="false" customHeight="true" outlineLevel="0" collapsed="false">
      <c r="C422" s="98" t="s">
        <v>1043</v>
      </c>
      <c r="D422" s="98" t="s">
        <v>679</v>
      </c>
      <c r="E422" s="98" t="s">
        <v>1044</v>
      </c>
      <c r="F422" s="98" t="n">
        <v>46270.748424375</v>
      </c>
      <c r="G422" s="98" t="n">
        <v>46271.5168071875</v>
      </c>
      <c r="H422" s="98" t="s">
        <v>680</v>
      </c>
      <c r="I422" s="98" t="s">
        <v>1312</v>
      </c>
      <c r="J422" s="100" t="s">
        <v>1418</v>
      </c>
      <c r="K422" s="100" t="s">
        <v>989</v>
      </c>
      <c r="L422" s="98" t="s">
        <v>1046</v>
      </c>
      <c r="M422" s="98" t="s">
        <v>1046</v>
      </c>
      <c r="N422" s="98" t="s">
        <v>1031</v>
      </c>
      <c r="O422" s="98" t="s">
        <v>677</v>
      </c>
      <c r="P422" s="98" t="s">
        <v>1579</v>
      </c>
      <c r="Q422" s="98" t="s">
        <v>811</v>
      </c>
      <c r="R422" s="98" t="s">
        <v>1316</v>
      </c>
      <c r="S422" s="98" t="s">
        <v>681</v>
      </c>
    </row>
    <row r="423" customFormat="false" ht="55" hidden="false" customHeight="true" outlineLevel="0" collapsed="false">
      <c r="C423" s="98" t="s">
        <v>1043</v>
      </c>
      <c r="D423" s="98" t="s">
        <v>679</v>
      </c>
      <c r="E423" s="98" t="s">
        <v>1044</v>
      </c>
      <c r="F423" s="98" t="n">
        <v>46270.748424375</v>
      </c>
      <c r="G423" s="98" t="n">
        <v>46271.5168071875</v>
      </c>
      <c r="H423" s="98" t="s">
        <v>680</v>
      </c>
      <c r="I423" s="98" t="s">
        <v>1312</v>
      </c>
      <c r="J423" s="100" t="s">
        <v>1418</v>
      </c>
      <c r="K423" s="100" t="s">
        <v>989</v>
      </c>
      <c r="L423" s="98" t="s">
        <v>1030</v>
      </c>
      <c r="M423" s="98" t="s">
        <v>1030</v>
      </c>
      <c r="N423" s="98" t="s">
        <v>1031</v>
      </c>
      <c r="O423" s="98" t="s">
        <v>677</v>
      </c>
      <c r="P423" s="98" t="s">
        <v>1521</v>
      </c>
      <c r="Q423" s="98" t="s">
        <v>811</v>
      </c>
      <c r="R423" s="98" t="s">
        <v>1252</v>
      </c>
      <c r="S423" s="98" t="s">
        <v>681</v>
      </c>
    </row>
    <row r="424" customFormat="false" ht="55" hidden="false" customHeight="true" outlineLevel="0" collapsed="false">
      <c r="C424" s="98" t="s">
        <v>1043</v>
      </c>
      <c r="D424" s="98" t="s">
        <v>679</v>
      </c>
      <c r="E424" s="98" t="s">
        <v>1044</v>
      </c>
      <c r="F424" s="98" t="n">
        <v>46270.748424375</v>
      </c>
      <c r="G424" s="98" t="n">
        <v>46271.5168071875</v>
      </c>
      <c r="H424" s="98" t="s">
        <v>680</v>
      </c>
      <c r="I424" s="98" t="s">
        <v>1312</v>
      </c>
      <c r="J424" s="100" t="s">
        <v>1418</v>
      </c>
      <c r="K424" s="100" t="s">
        <v>990</v>
      </c>
      <c r="L424" s="98" t="s">
        <v>1046</v>
      </c>
      <c r="M424" s="98" t="s">
        <v>1046</v>
      </c>
      <c r="N424" s="98" t="s">
        <v>1031</v>
      </c>
      <c r="O424" s="98" t="s">
        <v>677</v>
      </c>
      <c r="P424" s="98" t="s">
        <v>1580</v>
      </c>
      <c r="Q424" s="98" t="s">
        <v>811</v>
      </c>
      <c r="R424" s="98" t="s">
        <v>1318</v>
      </c>
      <c r="S424" s="98" t="s">
        <v>681</v>
      </c>
    </row>
    <row r="425" customFormat="false" ht="55" hidden="false" customHeight="true" outlineLevel="0" collapsed="false">
      <c r="C425" s="98" t="s">
        <v>1043</v>
      </c>
      <c r="D425" s="98" t="s">
        <v>679</v>
      </c>
      <c r="E425" s="98" t="s">
        <v>1044</v>
      </c>
      <c r="F425" s="98" t="n">
        <v>46270.748424375</v>
      </c>
      <c r="G425" s="98" t="n">
        <v>46271.5168071875</v>
      </c>
      <c r="H425" s="98" t="s">
        <v>680</v>
      </c>
      <c r="I425" s="98" t="s">
        <v>1312</v>
      </c>
      <c r="J425" s="100" t="s">
        <v>1418</v>
      </c>
      <c r="K425" s="100" t="s">
        <v>990</v>
      </c>
      <c r="L425" s="98" t="s">
        <v>1030</v>
      </c>
      <c r="M425" s="98" t="s">
        <v>1030</v>
      </c>
      <c r="N425" s="98" t="s">
        <v>1031</v>
      </c>
      <c r="O425" s="98" t="s">
        <v>677</v>
      </c>
      <c r="P425" s="98" t="s">
        <v>1523</v>
      </c>
      <c r="Q425" s="98" t="s">
        <v>811</v>
      </c>
      <c r="R425" s="98" t="s">
        <v>1256</v>
      </c>
      <c r="S425" s="98" t="s">
        <v>681</v>
      </c>
    </row>
    <row r="426" customFormat="false" ht="55" hidden="false" customHeight="true" outlineLevel="0" collapsed="false">
      <c r="C426" s="98" t="s">
        <v>1043</v>
      </c>
      <c r="D426" s="98" t="s">
        <v>679</v>
      </c>
      <c r="E426" s="98" t="s">
        <v>1044</v>
      </c>
      <c r="F426" s="98" t="n">
        <v>46270.748424375</v>
      </c>
      <c r="G426" s="98" t="n">
        <v>46271.5168071875</v>
      </c>
      <c r="H426" s="98" t="s">
        <v>680</v>
      </c>
      <c r="I426" s="98" t="s">
        <v>1312</v>
      </c>
      <c r="J426" s="100" t="s">
        <v>1418</v>
      </c>
      <c r="K426" s="100" t="s">
        <v>991</v>
      </c>
      <c r="L426" s="98" t="s">
        <v>1046</v>
      </c>
      <c r="M426" s="98" t="s">
        <v>1046</v>
      </c>
      <c r="N426" s="98" t="s">
        <v>1031</v>
      </c>
      <c r="O426" s="98" t="s">
        <v>677</v>
      </c>
      <c r="P426" s="98" t="s">
        <v>1581</v>
      </c>
      <c r="Q426" s="98" t="s">
        <v>811</v>
      </c>
      <c r="R426" s="98" t="s">
        <v>1582</v>
      </c>
      <c r="S426" s="98" t="s">
        <v>681</v>
      </c>
    </row>
    <row r="427" customFormat="false" ht="55" hidden="false" customHeight="true" outlineLevel="0" collapsed="false">
      <c r="C427" s="98" t="s">
        <v>1043</v>
      </c>
      <c r="D427" s="98" t="s">
        <v>679</v>
      </c>
      <c r="E427" s="98" t="s">
        <v>1044</v>
      </c>
      <c r="F427" s="98" t="n">
        <v>46270.748424375</v>
      </c>
      <c r="G427" s="98" t="n">
        <v>46271.5168071875</v>
      </c>
      <c r="H427" s="98" t="s">
        <v>680</v>
      </c>
      <c r="I427" s="98" t="s">
        <v>1312</v>
      </c>
      <c r="J427" s="100" t="s">
        <v>1418</v>
      </c>
      <c r="K427" s="100" t="s">
        <v>991</v>
      </c>
      <c r="L427" s="98" t="s">
        <v>1030</v>
      </c>
      <c r="M427" s="98" t="s">
        <v>1030</v>
      </c>
      <c r="N427" s="98" t="s">
        <v>1031</v>
      </c>
      <c r="O427" s="98" t="s">
        <v>677</v>
      </c>
      <c r="P427" s="98" t="s">
        <v>1525</v>
      </c>
      <c r="Q427" s="98" t="s">
        <v>811</v>
      </c>
      <c r="R427" s="98" t="s">
        <v>1526</v>
      </c>
      <c r="S427" s="98" t="s">
        <v>681</v>
      </c>
    </row>
    <row r="428" customFormat="false" ht="55" hidden="false" customHeight="true" outlineLevel="0" collapsed="false">
      <c r="C428" s="98" t="s">
        <v>1043</v>
      </c>
      <c r="D428" s="98" t="s">
        <v>679</v>
      </c>
      <c r="E428" s="98" t="s">
        <v>1044</v>
      </c>
      <c r="F428" s="98" t="n">
        <v>46270.748424375</v>
      </c>
      <c r="G428" s="98" t="n">
        <v>46271.5168071875</v>
      </c>
      <c r="H428" s="98" t="s">
        <v>680</v>
      </c>
      <c r="I428" s="98" t="s">
        <v>1312</v>
      </c>
      <c r="J428" s="100" t="s">
        <v>1418</v>
      </c>
      <c r="K428" s="100" t="s">
        <v>992</v>
      </c>
      <c r="L428" s="98" t="s">
        <v>1046</v>
      </c>
      <c r="M428" s="98" t="s">
        <v>1046</v>
      </c>
      <c r="N428" s="98" t="s">
        <v>1031</v>
      </c>
      <c r="O428" s="98" t="s">
        <v>677</v>
      </c>
      <c r="P428" s="98" t="s">
        <v>1531</v>
      </c>
      <c r="Q428" s="98" t="s">
        <v>811</v>
      </c>
      <c r="R428" s="98" t="s">
        <v>1264</v>
      </c>
      <c r="S428" s="98" t="s">
        <v>681</v>
      </c>
    </row>
    <row r="429" customFormat="false" ht="55" hidden="false" customHeight="true" outlineLevel="0" collapsed="false">
      <c r="C429" s="98" t="s">
        <v>1043</v>
      </c>
      <c r="D429" s="98" t="s">
        <v>679</v>
      </c>
      <c r="E429" s="98" t="s">
        <v>1044</v>
      </c>
      <c r="F429" s="98" t="n">
        <v>46270.748424375</v>
      </c>
      <c r="G429" s="98" t="n">
        <v>46271.5168071875</v>
      </c>
      <c r="H429" s="98" t="s">
        <v>680</v>
      </c>
      <c r="I429" s="98" t="s">
        <v>1312</v>
      </c>
      <c r="J429" s="100" t="s">
        <v>1418</v>
      </c>
      <c r="K429" s="100" t="s">
        <v>992</v>
      </c>
      <c r="L429" s="98" t="s">
        <v>1030</v>
      </c>
      <c r="M429" s="98" t="s">
        <v>1030</v>
      </c>
      <c r="N429" s="98" t="s">
        <v>1031</v>
      </c>
      <c r="O429" s="98" t="s">
        <v>677</v>
      </c>
      <c r="P429" s="98" t="s">
        <v>1529</v>
      </c>
      <c r="Q429" s="98" t="s">
        <v>811</v>
      </c>
      <c r="R429" s="98" t="s">
        <v>1260</v>
      </c>
      <c r="S429" s="98" t="s">
        <v>681</v>
      </c>
    </row>
    <row r="430" customFormat="false" ht="55" hidden="false" customHeight="true" outlineLevel="0" collapsed="false">
      <c r="C430" s="98" t="s">
        <v>1043</v>
      </c>
      <c r="D430" s="98" t="s">
        <v>679</v>
      </c>
      <c r="E430" s="98" t="s">
        <v>1044</v>
      </c>
      <c r="F430" s="98" t="n">
        <v>46270.748424375</v>
      </c>
      <c r="G430" s="98" t="n">
        <v>46271.5168071875</v>
      </c>
      <c r="H430" s="98" t="s">
        <v>680</v>
      </c>
      <c r="I430" s="98" t="s">
        <v>1312</v>
      </c>
      <c r="J430" s="100" t="s">
        <v>1418</v>
      </c>
      <c r="K430" s="100" t="s">
        <v>993</v>
      </c>
      <c r="L430" s="98" t="s">
        <v>1046</v>
      </c>
      <c r="M430" s="98" t="s">
        <v>1046</v>
      </c>
      <c r="N430" s="98" t="s">
        <v>1031</v>
      </c>
      <c r="O430" s="98" t="s">
        <v>677</v>
      </c>
      <c r="P430" s="98" t="s">
        <v>1583</v>
      </c>
      <c r="Q430" s="98" t="s">
        <v>811</v>
      </c>
      <c r="R430" s="98" t="s">
        <v>1320</v>
      </c>
      <c r="S430" s="98" t="s">
        <v>681</v>
      </c>
    </row>
    <row r="431" customFormat="false" ht="55" hidden="false" customHeight="true" outlineLevel="0" collapsed="false">
      <c r="C431" s="98" t="s">
        <v>1043</v>
      </c>
      <c r="D431" s="98" t="s">
        <v>679</v>
      </c>
      <c r="E431" s="98" t="s">
        <v>1044</v>
      </c>
      <c r="F431" s="98" t="n">
        <v>46270.748424375</v>
      </c>
      <c r="G431" s="98" t="n">
        <v>46271.5168071875</v>
      </c>
      <c r="H431" s="98" t="s">
        <v>680</v>
      </c>
      <c r="I431" s="98" t="s">
        <v>1312</v>
      </c>
      <c r="J431" s="100" t="s">
        <v>1418</v>
      </c>
      <c r="K431" s="100" t="s">
        <v>993</v>
      </c>
      <c r="L431" s="98" t="s">
        <v>1030</v>
      </c>
      <c r="M431" s="98" t="s">
        <v>1030</v>
      </c>
      <c r="N431" s="98" t="s">
        <v>1031</v>
      </c>
      <c r="O431" s="98" t="s">
        <v>677</v>
      </c>
      <c r="P431" s="98" t="s">
        <v>1531</v>
      </c>
      <c r="Q431" s="98" t="s">
        <v>811</v>
      </c>
      <c r="R431" s="98" t="s">
        <v>1264</v>
      </c>
      <c r="S431" s="98" t="s">
        <v>681</v>
      </c>
    </row>
    <row r="432" customFormat="false" ht="55" hidden="false" customHeight="true" outlineLevel="0" collapsed="false">
      <c r="C432" s="98" t="s">
        <v>1051</v>
      </c>
      <c r="D432" s="98" t="s">
        <v>1052</v>
      </c>
      <c r="E432" s="98" t="s">
        <v>1053</v>
      </c>
      <c r="F432" s="98" t="n">
        <v>46270.7484272454</v>
      </c>
      <c r="G432" s="98" t="n">
        <v>46271.5167540857</v>
      </c>
      <c r="H432" s="98" t="s">
        <v>1054</v>
      </c>
      <c r="I432" s="98" t="s">
        <v>1584</v>
      </c>
      <c r="J432" s="100" t="s">
        <v>1418</v>
      </c>
      <c r="K432" s="100" t="s">
        <v>933</v>
      </c>
      <c r="L432" s="98" t="s">
        <v>1056</v>
      </c>
      <c r="M432" s="98" t="s">
        <v>1056</v>
      </c>
      <c r="N432" s="98" t="s">
        <v>1031</v>
      </c>
      <c r="O432" s="98" t="s">
        <v>677</v>
      </c>
      <c r="P432" s="98"/>
      <c r="Q432" s="98" t="s">
        <v>811</v>
      </c>
      <c r="R432" s="98"/>
      <c r="S432" s="98" t="s">
        <v>1059</v>
      </c>
    </row>
    <row r="433" customFormat="false" ht="55" hidden="false" customHeight="true" outlineLevel="0" collapsed="false">
      <c r="C433" s="98" t="s">
        <v>1051</v>
      </c>
      <c r="D433" s="98" t="s">
        <v>1052</v>
      </c>
      <c r="E433" s="98" t="s">
        <v>1053</v>
      </c>
      <c r="F433" s="98" t="n">
        <v>46270.7484272454</v>
      </c>
      <c r="G433" s="98" t="n">
        <v>46271.5167540857</v>
      </c>
      <c r="H433" s="98" t="s">
        <v>1054</v>
      </c>
      <c r="I433" s="98" t="s">
        <v>1584</v>
      </c>
      <c r="J433" s="100" t="s">
        <v>1418</v>
      </c>
      <c r="K433" s="100" t="s">
        <v>933</v>
      </c>
      <c r="L433" s="98" t="s">
        <v>1060</v>
      </c>
      <c r="M433" s="98" t="s">
        <v>1060</v>
      </c>
      <c r="N433" s="98" t="s">
        <v>1031</v>
      </c>
      <c r="O433" s="98" t="s">
        <v>677</v>
      </c>
      <c r="P433" s="98"/>
      <c r="Q433" s="98" t="s">
        <v>811</v>
      </c>
      <c r="R433" s="98"/>
      <c r="S433" s="98" t="s">
        <v>1059</v>
      </c>
    </row>
    <row r="434" customFormat="false" ht="55" hidden="false" customHeight="true" outlineLevel="0" collapsed="false">
      <c r="C434" s="98" t="s">
        <v>1051</v>
      </c>
      <c r="D434" s="98" t="s">
        <v>1052</v>
      </c>
      <c r="E434" s="98" t="s">
        <v>1053</v>
      </c>
      <c r="F434" s="98" t="n">
        <v>46270.7484272454</v>
      </c>
      <c r="G434" s="98" t="n">
        <v>46271.5167540857</v>
      </c>
      <c r="H434" s="98" t="s">
        <v>1054</v>
      </c>
      <c r="I434" s="98" t="s">
        <v>1584</v>
      </c>
      <c r="J434" s="100" t="s">
        <v>1418</v>
      </c>
      <c r="K434" s="100" t="s">
        <v>935</v>
      </c>
      <c r="L434" s="98" t="s">
        <v>1056</v>
      </c>
      <c r="M434" s="98" t="s">
        <v>1056</v>
      </c>
      <c r="N434" s="98" t="s">
        <v>1031</v>
      </c>
      <c r="O434" s="98" t="s">
        <v>677</v>
      </c>
      <c r="P434" s="98" t="s">
        <v>1585</v>
      </c>
      <c r="Q434" s="98" t="s">
        <v>811</v>
      </c>
      <c r="R434" s="98" t="s">
        <v>1586</v>
      </c>
      <c r="S434" s="98" t="s">
        <v>1059</v>
      </c>
    </row>
    <row r="435" customFormat="false" ht="55" hidden="false" customHeight="true" outlineLevel="0" collapsed="false">
      <c r="C435" s="98" t="s">
        <v>1051</v>
      </c>
      <c r="D435" s="98" t="s">
        <v>1052</v>
      </c>
      <c r="E435" s="98" t="s">
        <v>1053</v>
      </c>
      <c r="F435" s="98" t="n">
        <v>46270.7484272454</v>
      </c>
      <c r="G435" s="98" t="n">
        <v>46271.5167540857</v>
      </c>
      <c r="H435" s="98" t="s">
        <v>1054</v>
      </c>
      <c r="I435" s="98" t="s">
        <v>1584</v>
      </c>
      <c r="J435" s="100" t="s">
        <v>1418</v>
      </c>
      <c r="K435" s="100" t="s">
        <v>935</v>
      </c>
      <c r="L435" s="98" t="s">
        <v>1060</v>
      </c>
      <c r="M435" s="98" t="s">
        <v>1060</v>
      </c>
      <c r="N435" s="98" t="s">
        <v>1031</v>
      </c>
      <c r="O435" s="98" t="s">
        <v>677</v>
      </c>
      <c r="P435" s="98" t="s">
        <v>1587</v>
      </c>
      <c r="Q435" s="98" t="s">
        <v>811</v>
      </c>
      <c r="R435" s="98" t="s">
        <v>1588</v>
      </c>
      <c r="S435" s="98" t="s">
        <v>1059</v>
      </c>
    </row>
    <row r="436" customFormat="false" ht="55" hidden="false" customHeight="true" outlineLevel="0" collapsed="false">
      <c r="C436" s="98" t="s">
        <v>1051</v>
      </c>
      <c r="D436" s="98" t="s">
        <v>1052</v>
      </c>
      <c r="E436" s="98" t="s">
        <v>1053</v>
      </c>
      <c r="F436" s="98" t="n">
        <v>46270.7484272454</v>
      </c>
      <c r="G436" s="98" t="n">
        <v>46271.5167540857</v>
      </c>
      <c r="H436" s="98" t="s">
        <v>1054</v>
      </c>
      <c r="I436" s="98" t="s">
        <v>1584</v>
      </c>
      <c r="J436" s="100" t="s">
        <v>1418</v>
      </c>
      <c r="K436" s="100" t="s">
        <v>936</v>
      </c>
      <c r="L436" s="98" t="s">
        <v>1056</v>
      </c>
      <c r="M436" s="98" t="s">
        <v>1056</v>
      </c>
      <c r="N436" s="98" t="s">
        <v>1031</v>
      </c>
      <c r="O436" s="98" t="s">
        <v>677</v>
      </c>
      <c r="P436" s="98"/>
      <c r="Q436" s="98" t="s">
        <v>811</v>
      </c>
      <c r="R436" s="98"/>
      <c r="S436" s="98" t="s">
        <v>1059</v>
      </c>
    </row>
    <row r="437" customFormat="false" ht="55" hidden="false" customHeight="true" outlineLevel="0" collapsed="false">
      <c r="C437" s="98" t="s">
        <v>1051</v>
      </c>
      <c r="D437" s="98" t="s">
        <v>1052</v>
      </c>
      <c r="E437" s="98" t="s">
        <v>1053</v>
      </c>
      <c r="F437" s="98" t="n">
        <v>46270.7484272454</v>
      </c>
      <c r="G437" s="98" t="n">
        <v>46271.5167540857</v>
      </c>
      <c r="H437" s="98" t="s">
        <v>1054</v>
      </c>
      <c r="I437" s="98" t="s">
        <v>1584</v>
      </c>
      <c r="J437" s="100" t="s">
        <v>1418</v>
      </c>
      <c r="K437" s="100" t="s">
        <v>936</v>
      </c>
      <c r="L437" s="98" t="s">
        <v>1060</v>
      </c>
      <c r="M437" s="98" t="s">
        <v>1060</v>
      </c>
      <c r="N437" s="98" t="s">
        <v>1031</v>
      </c>
      <c r="O437" s="98" t="s">
        <v>677</v>
      </c>
      <c r="P437" s="98"/>
      <c r="Q437" s="98" t="s">
        <v>811</v>
      </c>
      <c r="R437" s="98"/>
      <c r="S437" s="98" t="s">
        <v>1059</v>
      </c>
    </row>
    <row r="438" customFormat="false" ht="55" hidden="false" customHeight="true" outlineLevel="0" collapsed="false">
      <c r="C438" s="98" t="s">
        <v>1051</v>
      </c>
      <c r="D438" s="98" t="s">
        <v>1052</v>
      </c>
      <c r="E438" s="98" t="s">
        <v>1053</v>
      </c>
      <c r="F438" s="98" t="n">
        <v>46270.7484272454</v>
      </c>
      <c r="G438" s="98" t="n">
        <v>46271.5167540857</v>
      </c>
      <c r="H438" s="98" t="s">
        <v>1054</v>
      </c>
      <c r="I438" s="98" t="s">
        <v>1584</v>
      </c>
      <c r="J438" s="100" t="s">
        <v>1418</v>
      </c>
      <c r="K438" s="100" t="s">
        <v>937</v>
      </c>
      <c r="L438" s="98" t="s">
        <v>1056</v>
      </c>
      <c r="M438" s="98" t="s">
        <v>1056</v>
      </c>
      <c r="N438" s="98" t="s">
        <v>1031</v>
      </c>
      <c r="O438" s="98" t="s">
        <v>677</v>
      </c>
      <c r="P438" s="98"/>
      <c r="Q438" s="98" t="s">
        <v>811</v>
      </c>
      <c r="R438" s="98"/>
      <c r="S438" s="98" t="s">
        <v>1059</v>
      </c>
    </row>
    <row r="439" customFormat="false" ht="55" hidden="false" customHeight="true" outlineLevel="0" collapsed="false">
      <c r="C439" s="98" t="s">
        <v>1051</v>
      </c>
      <c r="D439" s="98" t="s">
        <v>1052</v>
      </c>
      <c r="E439" s="98" t="s">
        <v>1053</v>
      </c>
      <c r="F439" s="98" t="n">
        <v>46270.7484272454</v>
      </c>
      <c r="G439" s="98" t="n">
        <v>46271.5167540857</v>
      </c>
      <c r="H439" s="98" t="s">
        <v>1054</v>
      </c>
      <c r="I439" s="98" t="s">
        <v>1584</v>
      </c>
      <c r="J439" s="100" t="s">
        <v>1418</v>
      </c>
      <c r="K439" s="100" t="s">
        <v>937</v>
      </c>
      <c r="L439" s="98" t="s">
        <v>1060</v>
      </c>
      <c r="M439" s="98" t="s">
        <v>1060</v>
      </c>
      <c r="N439" s="98" t="s">
        <v>1031</v>
      </c>
      <c r="O439" s="98" t="s">
        <v>677</v>
      </c>
      <c r="P439" s="98"/>
      <c r="Q439" s="98" t="s">
        <v>811</v>
      </c>
      <c r="R439" s="98"/>
      <c r="S439" s="98" t="s">
        <v>1059</v>
      </c>
    </row>
    <row r="440" customFormat="false" ht="55" hidden="false" customHeight="true" outlineLevel="0" collapsed="false">
      <c r="C440" s="98" t="s">
        <v>1051</v>
      </c>
      <c r="D440" s="98" t="s">
        <v>1052</v>
      </c>
      <c r="E440" s="98" t="s">
        <v>1053</v>
      </c>
      <c r="F440" s="98" t="n">
        <v>46270.7484272454</v>
      </c>
      <c r="G440" s="98" t="n">
        <v>46271.5167540857</v>
      </c>
      <c r="H440" s="98" t="s">
        <v>1054</v>
      </c>
      <c r="I440" s="98" t="s">
        <v>1584</v>
      </c>
      <c r="J440" s="100" t="s">
        <v>1418</v>
      </c>
      <c r="K440" s="100" t="s">
        <v>938</v>
      </c>
      <c r="L440" s="98" t="s">
        <v>1056</v>
      </c>
      <c r="M440" s="98" t="s">
        <v>1056</v>
      </c>
      <c r="N440" s="98" t="s">
        <v>1031</v>
      </c>
      <c r="O440" s="98" t="s">
        <v>677</v>
      </c>
      <c r="P440" s="98"/>
      <c r="Q440" s="98" t="s">
        <v>811</v>
      </c>
      <c r="R440" s="98"/>
      <c r="S440" s="98" t="s">
        <v>1059</v>
      </c>
    </row>
    <row r="441" customFormat="false" ht="55" hidden="false" customHeight="true" outlineLevel="0" collapsed="false">
      <c r="C441" s="98" t="s">
        <v>1051</v>
      </c>
      <c r="D441" s="98" t="s">
        <v>1052</v>
      </c>
      <c r="E441" s="98" t="s">
        <v>1053</v>
      </c>
      <c r="F441" s="98" t="n">
        <v>46270.7484272454</v>
      </c>
      <c r="G441" s="98" t="n">
        <v>46271.5167540857</v>
      </c>
      <c r="H441" s="98" t="s">
        <v>1054</v>
      </c>
      <c r="I441" s="98" t="s">
        <v>1584</v>
      </c>
      <c r="J441" s="100" t="s">
        <v>1418</v>
      </c>
      <c r="K441" s="100" t="s">
        <v>938</v>
      </c>
      <c r="L441" s="98" t="s">
        <v>1060</v>
      </c>
      <c r="M441" s="98" t="s">
        <v>1060</v>
      </c>
      <c r="N441" s="98" t="s">
        <v>1031</v>
      </c>
      <c r="O441" s="98" t="s">
        <v>677</v>
      </c>
      <c r="P441" s="98"/>
      <c r="Q441" s="98" t="s">
        <v>811</v>
      </c>
      <c r="R441" s="98"/>
      <c r="S441" s="98" t="s">
        <v>1059</v>
      </c>
    </row>
    <row r="442" customFormat="false" ht="55" hidden="false" customHeight="true" outlineLevel="0" collapsed="false">
      <c r="C442" s="98" t="s">
        <v>1051</v>
      </c>
      <c r="D442" s="98" t="s">
        <v>1052</v>
      </c>
      <c r="E442" s="98" t="s">
        <v>1053</v>
      </c>
      <c r="F442" s="98" t="n">
        <v>46270.7484272454</v>
      </c>
      <c r="G442" s="98" t="n">
        <v>46271.5167540857</v>
      </c>
      <c r="H442" s="98" t="s">
        <v>1054</v>
      </c>
      <c r="I442" s="98" t="s">
        <v>1584</v>
      </c>
      <c r="J442" s="100" t="s">
        <v>1418</v>
      </c>
      <c r="K442" s="100" t="s">
        <v>939</v>
      </c>
      <c r="L442" s="98" t="s">
        <v>1056</v>
      </c>
      <c r="M442" s="98" t="s">
        <v>1056</v>
      </c>
      <c r="N442" s="98" t="s">
        <v>1031</v>
      </c>
      <c r="O442" s="98" t="s">
        <v>677</v>
      </c>
      <c r="P442" s="98"/>
      <c r="Q442" s="98" t="s">
        <v>811</v>
      </c>
      <c r="R442" s="98"/>
      <c r="S442" s="98" t="s">
        <v>1059</v>
      </c>
    </row>
    <row r="443" customFormat="false" ht="55" hidden="false" customHeight="true" outlineLevel="0" collapsed="false">
      <c r="C443" s="98" t="s">
        <v>1051</v>
      </c>
      <c r="D443" s="98" t="s">
        <v>1052</v>
      </c>
      <c r="E443" s="98" t="s">
        <v>1053</v>
      </c>
      <c r="F443" s="98" t="n">
        <v>46270.7484272454</v>
      </c>
      <c r="G443" s="98" t="n">
        <v>46271.5167540857</v>
      </c>
      <c r="H443" s="98" t="s">
        <v>1054</v>
      </c>
      <c r="I443" s="98" t="s">
        <v>1584</v>
      </c>
      <c r="J443" s="100" t="s">
        <v>1418</v>
      </c>
      <c r="K443" s="100" t="s">
        <v>939</v>
      </c>
      <c r="L443" s="98" t="s">
        <v>1060</v>
      </c>
      <c r="M443" s="98" t="s">
        <v>1060</v>
      </c>
      <c r="N443" s="98" t="s">
        <v>1031</v>
      </c>
      <c r="O443" s="98" t="s">
        <v>677</v>
      </c>
      <c r="P443" s="98"/>
      <c r="Q443" s="98" t="s">
        <v>811</v>
      </c>
      <c r="R443" s="98"/>
      <c r="S443" s="98" t="s">
        <v>1059</v>
      </c>
    </row>
    <row r="444" customFormat="false" ht="55" hidden="false" customHeight="true" outlineLevel="0" collapsed="false">
      <c r="C444" s="98" t="s">
        <v>1051</v>
      </c>
      <c r="D444" s="98" t="s">
        <v>1052</v>
      </c>
      <c r="E444" s="98" t="s">
        <v>1053</v>
      </c>
      <c r="F444" s="98" t="n">
        <v>46270.7484272454</v>
      </c>
      <c r="G444" s="98" t="n">
        <v>46271.5167540857</v>
      </c>
      <c r="H444" s="98" t="s">
        <v>1054</v>
      </c>
      <c r="I444" s="98" t="s">
        <v>1584</v>
      </c>
      <c r="J444" s="100" t="s">
        <v>1418</v>
      </c>
      <c r="K444" s="100" t="s">
        <v>940</v>
      </c>
      <c r="L444" s="98" t="s">
        <v>1056</v>
      </c>
      <c r="M444" s="98" t="s">
        <v>1056</v>
      </c>
      <c r="N444" s="98" t="s">
        <v>1031</v>
      </c>
      <c r="O444" s="98" t="s">
        <v>677</v>
      </c>
      <c r="P444" s="98"/>
      <c r="Q444" s="98" t="s">
        <v>811</v>
      </c>
      <c r="R444" s="98"/>
      <c r="S444" s="98" t="s">
        <v>1059</v>
      </c>
    </row>
    <row r="445" customFormat="false" ht="55" hidden="false" customHeight="true" outlineLevel="0" collapsed="false">
      <c r="C445" s="98" t="s">
        <v>1051</v>
      </c>
      <c r="D445" s="98" t="s">
        <v>1052</v>
      </c>
      <c r="E445" s="98" t="s">
        <v>1053</v>
      </c>
      <c r="F445" s="98" t="n">
        <v>46270.7484272454</v>
      </c>
      <c r="G445" s="98" t="n">
        <v>46271.5167540857</v>
      </c>
      <c r="H445" s="98" t="s">
        <v>1054</v>
      </c>
      <c r="I445" s="98" t="s">
        <v>1584</v>
      </c>
      <c r="J445" s="100" t="s">
        <v>1418</v>
      </c>
      <c r="K445" s="100" t="s">
        <v>940</v>
      </c>
      <c r="L445" s="98" t="s">
        <v>1060</v>
      </c>
      <c r="M445" s="98" t="s">
        <v>1060</v>
      </c>
      <c r="N445" s="98" t="s">
        <v>1031</v>
      </c>
      <c r="O445" s="98" t="s">
        <v>677</v>
      </c>
      <c r="P445" s="98"/>
      <c r="Q445" s="98" t="s">
        <v>811</v>
      </c>
      <c r="R445" s="98"/>
      <c r="S445" s="98" t="s">
        <v>1059</v>
      </c>
    </row>
    <row r="446" customFormat="false" ht="55" hidden="false" customHeight="true" outlineLevel="0" collapsed="false">
      <c r="C446" s="98" t="s">
        <v>1051</v>
      </c>
      <c r="D446" s="98" t="s">
        <v>1052</v>
      </c>
      <c r="E446" s="98" t="s">
        <v>1053</v>
      </c>
      <c r="F446" s="98" t="n">
        <v>46270.7484272454</v>
      </c>
      <c r="G446" s="98" t="n">
        <v>46271.5167540857</v>
      </c>
      <c r="H446" s="98" t="s">
        <v>1054</v>
      </c>
      <c r="I446" s="98" t="s">
        <v>1584</v>
      </c>
      <c r="J446" s="100" t="s">
        <v>1418</v>
      </c>
      <c r="K446" s="100" t="s">
        <v>941</v>
      </c>
      <c r="L446" s="98" t="s">
        <v>1056</v>
      </c>
      <c r="M446" s="98" t="s">
        <v>1056</v>
      </c>
      <c r="N446" s="98" t="s">
        <v>1031</v>
      </c>
      <c r="O446" s="98" t="s">
        <v>677</v>
      </c>
      <c r="P446" s="98"/>
      <c r="Q446" s="98" t="s">
        <v>811</v>
      </c>
      <c r="R446" s="98"/>
      <c r="S446" s="98" t="s">
        <v>1059</v>
      </c>
    </row>
    <row r="447" customFormat="false" ht="55" hidden="false" customHeight="true" outlineLevel="0" collapsed="false">
      <c r="C447" s="98" t="s">
        <v>1051</v>
      </c>
      <c r="D447" s="98" t="s">
        <v>1052</v>
      </c>
      <c r="E447" s="98" t="s">
        <v>1053</v>
      </c>
      <c r="F447" s="98" t="n">
        <v>46270.7484272454</v>
      </c>
      <c r="G447" s="98" t="n">
        <v>46271.5167540857</v>
      </c>
      <c r="H447" s="98" t="s">
        <v>1054</v>
      </c>
      <c r="I447" s="98" t="s">
        <v>1584</v>
      </c>
      <c r="J447" s="100" t="s">
        <v>1418</v>
      </c>
      <c r="K447" s="100" t="s">
        <v>941</v>
      </c>
      <c r="L447" s="98" t="s">
        <v>1060</v>
      </c>
      <c r="M447" s="98" t="s">
        <v>1060</v>
      </c>
      <c r="N447" s="98" t="s">
        <v>1031</v>
      </c>
      <c r="O447" s="98" t="s">
        <v>677</v>
      </c>
      <c r="P447" s="98"/>
      <c r="Q447" s="98" t="s">
        <v>811</v>
      </c>
      <c r="R447" s="98"/>
      <c r="S447" s="98" t="s">
        <v>1059</v>
      </c>
    </row>
    <row r="448" customFormat="false" ht="55" hidden="false" customHeight="true" outlineLevel="0" collapsed="false">
      <c r="C448" s="98" t="s">
        <v>1051</v>
      </c>
      <c r="D448" s="98" t="s">
        <v>1052</v>
      </c>
      <c r="E448" s="98" t="s">
        <v>1053</v>
      </c>
      <c r="F448" s="98" t="n">
        <v>46270.7484272454</v>
      </c>
      <c r="G448" s="98" t="n">
        <v>46271.5167540857</v>
      </c>
      <c r="H448" s="98" t="s">
        <v>1054</v>
      </c>
      <c r="I448" s="98" t="s">
        <v>1584</v>
      </c>
      <c r="J448" s="100" t="s">
        <v>1418</v>
      </c>
      <c r="K448" s="100" t="s">
        <v>942</v>
      </c>
      <c r="L448" s="98" t="s">
        <v>1056</v>
      </c>
      <c r="M448" s="98" t="s">
        <v>1056</v>
      </c>
      <c r="N448" s="98" t="s">
        <v>1031</v>
      </c>
      <c r="O448" s="98" t="s">
        <v>677</v>
      </c>
      <c r="P448" s="98"/>
      <c r="Q448" s="98" t="s">
        <v>811</v>
      </c>
      <c r="R448" s="98"/>
      <c r="S448" s="98" t="s">
        <v>1059</v>
      </c>
    </row>
    <row r="449" customFormat="false" ht="55" hidden="false" customHeight="true" outlineLevel="0" collapsed="false">
      <c r="C449" s="98" t="s">
        <v>1051</v>
      </c>
      <c r="D449" s="98" t="s">
        <v>1052</v>
      </c>
      <c r="E449" s="98" t="s">
        <v>1053</v>
      </c>
      <c r="F449" s="98" t="n">
        <v>46270.7484272454</v>
      </c>
      <c r="G449" s="98" t="n">
        <v>46271.5167540857</v>
      </c>
      <c r="H449" s="98" t="s">
        <v>1054</v>
      </c>
      <c r="I449" s="98" t="s">
        <v>1584</v>
      </c>
      <c r="J449" s="100" t="s">
        <v>1418</v>
      </c>
      <c r="K449" s="100" t="s">
        <v>942</v>
      </c>
      <c r="L449" s="98" t="s">
        <v>1060</v>
      </c>
      <c r="M449" s="98" t="s">
        <v>1060</v>
      </c>
      <c r="N449" s="98" t="s">
        <v>1031</v>
      </c>
      <c r="O449" s="98" t="s">
        <v>677</v>
      </c>
      <c r="P449" s="98"/>
      <c r="Q449" s="98" t="s">
        <v>811</v>
      </c>
      <c r="R449" s="98"/>
      <c r="S449" s="98" t="s">
        <v>1059</v>
      </c>
    </row>
    <row r="450" customFormat="false" ht="55" hidden="false" customHeight="true" outlineLevel="0" collapsed="false">
      <c r="C450" s="98" t="s">
        <v>1051</v>
      </c>
      <c r="D450" s="98" t="s">
        <v>1052</v>
      </c>
      <c r="E450" s="98" t="s">
        <v>1053</v>
      </c>
      <c r="F450" s="98" t="n">
        <v>46270.7484272454</v>
      </c>
      <c r="G450" s="98" t="n">
        <v>46271.5167540857</v>
      </c>
      <c r="H450" s="98" t="s">
        <v>1054</v>
      </c>
      <c r="I450" s="98" t="s">
        <v>1584</v>
      </c>
      <c r="J450" s="100" t="s">
        <v>1418</v>
      </c>
      <c r="K450" s="100" t="s">
        <v>943</v>
      </c>
      <c r="L450" s="98" t="s">
        <v>1056</v>
      </c>
      <c r="M450" s="98" t="s">
        <v>1056</v>
      </c>
      <c r="N450" s="98" t="s">
        <v>1031</v>
      </c>
      <c r="O450" s="98" t="s">
        <v>677</v>
      </c>
      <c r="P450" s="98"/>
      <c r="Q450" s="98" t="s">
        <v>811</v>
      </c>
      <c r="R450" s="98"/>
      <c r="S450" s="98" t="s">
        <v>1059</v>
      </c>
    </row>
    <row r="451" customFormat="false" ht="55" hidden="false" customHeight="true" outlineLevel="0" collapsed="false">
      <c r="C451" s="98" t="s">
        <v>1051</v>
      </c>
      <c r="D451" s="98" t="s">
        <v>1052</v>
      </c>
      <c r="E451" s="98" t="s">
        <v>1053</v>
      </c>
      <c r="F451" s="98" t="n">
        <v>46270.7484272454</v>
      </c>
      <c r="G451" s="98" t="n">
        <v>46271.5167540857</v>
      </c>
      <c r="H451" s="98" t="s">
        <v>1054</v>
      </c>
      <c r="I451" s="98" t="s">
        <v>1584</v>
      </c>
      <c r="J451" s="100" t="s">
        <v>1418</v>
      </c>
      <c r="K451" s="100" t="s">
        <v>943</v>
      </c>
      <c r="L451" s="98" t="s">
        <v>1060</v>
      </c>
      <c r="M451" s="98" t="s">
        <v>1060</v>
      </c>
      <c r="N451" s="98" t="s">
        <v>1031</v>
      </c>
      <c r="O451" s="98" t="s">
        <v>677</v>
      </c>
      <c r="P451" s="98"/>
      <c r="Q451" s="98" t="s">
        <v>811</v>
      </c>
      <c r="R451" s="98"/>
      <c r="S451" s="98" t="s">
        <v>1059</v>
      </c>
    </row>
    <row r="452" customFormat="false" ht="55" hidden="false" customHeight="true" outlineLevel="0" collapsed="false">
      <c r="C452" s="98" t="s">
        <v>1051</v>
      </c>
      <c r="D452" s="98" t="s">
        <v>1052</v>
      </c>
      <c r="E452" s="98" t="s">
        <v>1053</v>
      </c>
      <c r="F452" s="98" t="n">
        <v>46270.7484272454</v>
      </c>
      <c r="G452" s="98" t="n">
        <v>46271.5167540857</v>
      </c>
      <c r="H452" s="98" t="s">
        <v>1054</v>
      </c>
      <c r="I452" s="98" t="s">
        <v>1584</v>
      </c>
      <c r="J452" s="100" t="s">
        <v>1418</v>
      </c>
      <c r="K452" s="100" t="s">
        <v>944</v>
      </c>
      <c r="L452" s="98" t="s">
        <v>1056</v>
      </c>
      <c r="M452" s="98" t="s">
        <v>1056</v>
      </c>
      <c r="N452" s="98" t="s">
        <v>1031</v>
      </c>
      <c r="O452" s="98" t="s">
        <v>677</v>
      </c>
      <c r="P452" s="98"/>
      <c r="Q452" s="98" t="s">
        <v>811</v>
      </c>
      <c r="R452" s="98"/>
      <c r="S452" s="98" t="s">
        <v>1059</v>
      </c>
    </row>
    <row r="453" customFormat="false" ht="55" hidden="false" customHeight="true" outlineLevel="0" collapsed="false">
      <c r="C453" s="98" t="s">
        <v>1051</v>
      </c>
      <c r="D453" s="98" t="s">
        <v>1052</v>
      </c>
      <c r="E453" s="98" t="s">
        <v>1053</v>
      </c>
      <c r="F453" s="98" t="n">
        <v>46270.7484272454</v>
      </c>
      <c r="G453" s="98" t="n">
        <v>46271.5167540857</v>
      </c>
      <c r="H453" s="98" t="s">
        <v>1054</v>
      </c>
      <c r="I453" s="98" t="s">
        <v>1584</v>
      </c>
      <c r="J453" s="100" t="s">
        <v>1418</v>
      </c>
      <c r="K453" s="100" t="s">
        <v>944</v>
      </c>
      <c r="L453" s="98" t="s">
        <v>1060</v>
      </c>
      <c r="M453" s="98" t="s">
        <v>1060</v>
      </c>
      <c r="N453" s="98" t="s">
        <v>1031</v>
      </c>
      <c r="O453" s="98" t="s">
        <v>677</v>
      </c>
      <c r="P453" s="98"/>
      <c r="Q453" s="98" t="s">
        <v>811</v>
      </c>
      <c r="R453" s="98"/>
      <c r="S453" s="98" t="s">
        <v>1059</v>
      </c>
    </row>
    <row r="454" customFormat="false" ht="55" hidden="false" customHeight="true" outlineLevel="0" collapsed="false">
      <c r="C454" s="98" t="s">
        <v>1051</v>
      </c>
      <c r="D454" s="98" t="s">
        <v>1052</v>
      </c>
      <c r="E454" s="98" t="s">
        <v>1053</v>
      </c>
      <c r="F454" s="98" t="n">
        <v>46270.7484272454</v>
      </c>
      <c r="G454" s="98" t="n">
        <v>46271.5167540857</v>
      </c>
      <c r="H454" s="98" t="s">
        <v>1054</v>
      </c>
      <c r="I454" s="98" t="s">
        <v>1584</v>
      </c>
      <c r="J454" s="100" t="s">
        <v>1418</v>
      </c>
      <c r="K454" s="100" t="s">
        <v>945</v>
      </c>
      <c r="L454" s="98" t="s">
        <v>1056</v>
      </c>
      <c r="M454" s="98" t="s">
        <v>1056</v>
      </c>
      <c r="N454" s="98" t="s">
        <v>1031</v>
      </c>
      <c r="O454" s="98" t="s">
        <v>677</v>
      </c>
      <c r="P454" s="98"/>
      <c r="Q454" s="98" t="s">
        <v>811</v>
      </c>
      <c r="R454" s="98"/>
      <c r="S454" s="98" t="s">
        <v>1059</v>
      </c>
    </row>
    <row r="455" customFormat="false" ht="55" hidden="false" customHeight="true" outlineLevel="0" collapsed="false">
      <c r="C455" s="98" t="s">
        <v>1051</v>
      </c>
      <c r="D455" s="98" t="s">
        <v>1052</v>
      </c>
      <c r="E455" s="98" t="s">
        <v>1053</v>
      </c>
      <c r="F455" s="98" t="n">
        <v>46270.7484272454</v>
      </c>
      <c r="G455" s="98" t="n">
        <v>46271.5167540857</v>
      </c>
      <c r="H455" s="98" t="s">
        <v>1054</v>
      </c>
      <c r="I455" s="98" t="s">
        <v>1584</v>
      </c>
      <c r="J455" s="100" t="s">
        <v>1418</v>
      </c>
      <c r="K455" s="100" t="s">
        <v>945</v>
      </c>
      <c r="L455" s="98" t="s">
        <v>1060</v>
      </c>
      <c r="M455" s="98" t="s">
        <v>1060</v>
      </c>
      <c r="N455" s="98" t="s">
        <v>1031</v>
      </c>
      <c r="O455" s="98" t="s">
        <v>677</v>
      </c>
      <c r="P455" s="98"/>
      <c r="Q455" s="98" t="s">
        <v>811</v>
      </c>
      <c r="R455" s="98"/>
      <c r="S455" s="98" t="s">
        <v>1059</v>
      </c>
    </row>
    <row r="456" customFormat="false" ht="55" hidden="false" customHeight="true" outlineLevel="0" collapsed="false">
      <c r="C456" s="98" t="s">
        <v>1051</v>
      </c>
      <c r="D456" s="98" t="s">
        <v>1052</v>
      </c>
      <c r="E456" s="98" t="s">
        <v>1053</v>
      </c>
      <c r="F456" s="98" t="n">
        <v>46270.7484272454</v>
      </c>
      <c r="G456" s="98" t="n">
        <v>46271.5167540857</v>
      </c>
      <c r="H456" s="98" t="s">
        <v>1054</v>
      </c>
      <c r="I456" s="98" t="s">
        <v>1584</v>
      </c>
      <c r="J456" s="100" t="s">
        <v>1418</v>
      </c>
      <c r="K456" s="100" t="s">
        <v>946</v>
      </c>
      <c r="L456" s="98" t="s">
        <v>1056</v>
      </c>
      <c r="M456" s="98" t="s">
        <v>1056</v>
      </c>
      <c r="N456" s="98" t="s">
        <v>1031</v>
      </c>
      <c r="O456" s="98" t="s">
        <v>677</v>
      </c>
      <c r="P456" s="98" t="s">
        <v>1589</v>
      </c>
      <c r="Q456" s="98" t="s">
        <v>811</v>
      </c>
      <c r="R456" s="98" t="s">
        <v>1590</v>
      </c>
      <c r="S456" s="98" t="s">
        <v>1059</v>
      </c>
    </row>
    <row r="457" customFormat="false" ht="55" hidden="false" customHeight="true" outlineLevel="0" collapsed="false">
      <c r="C457" s="98" t="s">
        <v>1051</v>
      </c>
      <c r="D457" s="98" t="s">
        <v>1052</v>
      </c>
      <c r="E457" s="98" t="s">
        <v>1053</v>
      </c>
      <c r="F457" s="98" t="n">
        <v>46270.7484272454</v>
      </c>
      <c r="G457" s="98" t="n">
        <v>46271.5167540857</v>
      </c>
      <c r="H457" s="98" t="s">
        <v>1054</v>
      </c>
      <c r="I457" s="98" t="s">
        <v>1584</v>
      </c>
      <c r="J457" s="100" t="s">
        <v>1418</v>
      </c>
      <c r="K457" s="100" t="s">
        <v>946</v>
      </c>
      <c r="L457" s="98" t="s">
        <v>1060</v>
      </c>
      <c r="M457" s="98" t="s">
        <v>1060</v>
      </c>
      <c r="N457" s="98" t="s">
        <v>1031</v>
      </c>
      <c r="O457" s="98" t="s">
        <v>677</v>
      </c>
      <c r="P457" s="98" t="s">
        <v>1591</v>
      </c>
      <c r="Q457" s="98" t="s">
        <v>811</v>
      </c>
      <c r="R457" s="98" t="s">
        <v>1592</v>
      </c>
      <c r="S457" s="98" t="s">
        <v>1059</v>
      </c>
    </row>
    <row r="458" customFormat="false" ht="55" hidden="false" customHeight="true" outlineLevel="0" collapsed="false">
      <c r="C458" s="98" t="s">
        <v>1051</v>
      </c>
      <c r="D458" s="98" t="s">
        <v>1052</v>
      </c>
      <c r="E458" s="98" t="s">
        <v>1053</v>
      </c>
      <c r="F458" s="98" t="n">
        <v>46270.7484272454</v>
      </c>
      <c r="G458" s="98" t="n">
        <v>46271.5167540857</v>
      </c>
      <c r="H458" s="98" t="s">
        <v>1054</v>
      </c>
      <c r="I458" s="98" t="s">
        <v>1584</v>
      </c>
      <c r="J458" s="100" t="s">
        <v>1418</v>
      </c>
      <c r="K458" s="100" t="s">
        <v>947</v>
      </c>
      <c r="L458" s="98" t="s">
        <v>1056</v>
      </c>
      <c r="M458" s="98" t="s">
        <v>1056</v>
      </c>
      <c r="N458" s="98" t="s">
        <v>1031</v>
      </c>
      <c r="O458" s="98" t="s">
        <v>677</v>
      </c>
      <c r="P458" s="98" t="s">
        <v>1593</v>
      </c>
      <c r="Q458" s="98" t="s">
        <v>811</v>
      </c>
      <c r="R458" s="98" t="s">
        <v>1594</v>
      </c>
      <c r="S458" s="98" t="s">
        <v>1059</v>
      </c>
    </row>
    <row r="459" customFormat="false" ht="55" hidden="false" customHeight="true" outlineLevel="0" collapsed="false">
      <c r="C459" s="98" t="s">
        <v>1051</v>
      </c>
      <c r="D459" s="98" t="s">
        <v>1052</v>
      </c>
      <c r="E459" s="98" t="s">
        <v>1053</v>
      </c>
      <c r="F459" s="98" t="n">
        <v>46270.7484272454</v>
      </c>
      <c r="G459" s="98" t="n">
        <v>46271.5167540857</v>
      </c>
      <c r="H459" s="98" t="s">
        <v>1054</v>
      </c>
      <c r="I459" s="98" t="s">
        <v>1584</v>
      </c>
      <c r="J459" s="100" t="s">
        <v>1418</v>
      </c>
      <c r="K459" s="100" t="s">
        <v>947</v>
      </c>
      <c r="L459" s="98" t="s">
        <v>1060</v>
      </c>
      <c r="M459" s="98" t="s">
        <v>1060</v>
      </c>
      <c r="N459" s="98" t="s">
        <v>1031</v>
      </c>
      <c r="O459" s="98" t="s">
        <v>677</v>
      </c>
      <c r="P459" s="98" t="s">
        <v>1595</v>
      </c>
      <c r="Q459" s="98" t="s">
        <v>811</v>
      </c>
      <c r="R459" s="98" t="s">
        <v>1596</v>
      </c>
      <c r="S459" s="98" t="s">
        <v>1059</v>
      </c>
    </row>
    <row r="460" customFormat="false" ht="55" hidden="false" customHeight="true" outlineLevel="0" collapsed="false">
      <c r="C460" s="98" t="s">
        <v>1051</v>
      </c>
      <c r="D460" s="98" t="s">
        <v>1052</v>
      </c>
      <c r="E460" s="98" t="s">
        <v>1053</v>
      </c>
      <c r="F460" s="98" t="n">
        <v>46270.7484272454</v>
      </c>
      <c r="G460" s="98" t="n">
        <v>46271.5167540857</v>
      </c>
      <c r="H460" s="98" t="s">
        <v>1054</v>
      </c>
      <c r="I460" s="98" t="s">
        <v>1361</v>
      </c>
      <c r="J460" s="100" t="s">
        <v>1418</v>
      </c>
      <c r="K460" s="100" t="s">
        <v>948</v>
      </c>
      <c r="L460" s="98" t="s">
        <v>1056</v>
      </c>
      <c r="M460" s="98" t="s">
        <v>1056</v>
      </c>
      <c r="N460" s="98" t="s">
        <v>1031</v>
      </c>
      <c r="O460" s="98" t="s">
        <v>677</v>
      </c>
      <c r="P460" s="98" t="s">
        <v>1597</v>
      </c>
      <c r="Q460" s="98" t="s">
        <v>811</v>
      </c>
      <c r="R460" s="98" t="s">
        <v>1598</v>
      </c>
      <c r="S460" s="98" t="s">
        <v>1059</v>
      </c>
    </row>
    <row r="461" customFormat="false" ht="55" hidden="false" customHeight="true" outlineLevel="0" collapsed="false">
      <c r="C461" s="98" t="s">
        <v>1051</v>
      </c>
      <c r="D461" s="98" t="s">
        <v>1052</v>
      </c>
      <c r="E461" s="98" t="s">
        <v>1053</v>
      </c>
      <c r="F461" s="98" t="n">
        <v>46270.7484272454</v>
      </c>
      <c r="G461" s="98" t="n">
        <v>46271.5167540857</v>
      </c>
      <c r="H461" s="98" t="s">
        <v>1054</v>
      </c>
      <c r="I461" s="98" t="s">
        <v>1361</v>
      </c>
      <c r="J461" s="100" t="s">
        <v>1418</v>
      </c>
      <c r="K461" s="100" t="s">
        <v>948</v>
      </c>
      <c r="L461" s="98" t="s">
        <v>1060</v>
      </c>
      <c r="M461" s="98" t="s">
        <v>1060</v>
      </c>
      <c r="N461" s="98" t="s">
        <v>1031</v>
      </c>
      <c r="O461" s="98" t="s">
        <v>677</v>
      </c>
      <c r="P461" s="98" t="s">
        <v>1599</v>
      </c>
      <c r="Q461" s="98" t="s">
        <v>811</v>
      </c>
      <c r="R461" s="98" t="s">
        <v>1600</v>
      </c>
      <c r="S461" s="98" t="s">
        <v>1059</v>
      </c>
    </row>
    <row r="462" customFormat="false" ht="55" hidden="false" customHeight="true" outlineLevel="0" collapsed="false">
      <c r="C462" s="98" t="s">
        <v>1051</v>
      </c>
      <c r="D462" s="98" t="s">
        <v>1052</v>
      </c>
      <c r="E462" s="98" t="s">
        <v>1053</v>
      </c>
      <c r="F462" s="98" t="n">
        <v>46270.7484272454</v>
      </c>
      <c r="G462" s="98" t="n">
        <v>46271.5167540857</v>
      </c>
      <c r="H462" s="98" t="s">
        <v>1054</v>
      </c>
      <c r="I462" s="98" t="s">
        <v>1361</v>
      </c>
      <c r="J462" s="100" t="s">
        <v>1418</v>
      </c>
      <c r="K462" s="100" t="s">
        <v>950</v>
      </c>
      <c r="L462" s="98" t="s">
        <v>1056</v>
      </c>
      <c r="M462" s="98" t="s">
        <v>1056</v>
      </c>
      <c r="N462" s="98" t="s">
        <v>1031</v>
      </c>
      <c r="O462" s="98" t="s">
        <v>677</v>
      </c>
      <c r="P462" s="98" t="s">
        <v>1601</v>
      </c>
      <c r="Q462" s="98" t="s">
        <v>811</v>
      </c>
      <c r="R462" s="98" t="s">
        <v>1602</v>
      </c>
      <c r="S462" s="98" t="s">
        <v>1059</v>
      </c>
    </row>
    <row r="463" customFormat="false" ht="55" hidden="false" customHeight="true" outlineLevel="0" collapsed="false">
      <c r="C463" s="98" t="s">
        <v>1051</v>
      </c>
      <c r="D463" s="98" t="s">
        <v>1052</v>
      </c>
      <c r="E463" s="98" t="s">
        <v>1053</v>
      </c>
      <c r="F463" s="98" t="n">
        <v>46270.7484272454</v>
      </c>
      <c r="G463" s="98" t="n">
        <v>46271.5167540857</v>
      </c>
      <c r="H463" s="98" t="s">
        <v>1054</v>
      </c>
      <c r="I463" s="98" t="s">
        <v>1361</v>
      </c>
      <c r="J463" s="100" t="s">
        <v>1418</v>
      </c>
      <c r="K463" s="100" t="s">
        <v>950</v>
      </c>
      <c r="L463" s="98" t="s">
        <v>1060</v>
      </c>
      <c r="M463" s="98" t="s">
        <v>1060</v>
      </c>
      <c r="N463" s="98" t="s">
        <v>1031</v>
      </c>
      <c r="O463" s="98" t="s">
        <v>677</v>
      </c>
      <c r="P463" s="98" t="s">
        <v>1603</v>
      </c>
      <c r="Q463" s="98" t="s">
        <v>811</v>
      </c>
      <c r="R463" s="98" t="s">
        <v>1604</v>
      </c>
      <c r="S463" s="98" t="s">
        <v>1059</v>
      </c>
    </row>
    <row r="464" customFormat="false" ht="55" hidden="false" customHeight="true" outlineLevel="0" collapsed="false">
      <c r="C464" s="98" t="s">
        <v>1051</v>
      </c>
      <c r="D464" s="98" t="s">
        <v>1052</v>
      </c>
      <c r="E464" s="98" t="s">
        <v>1053</v>
      </c>
      <c r="F464" s="98" t="n">
        <v>46270.7484272454</v>
      </c>
      <c r="G464" s="98" t="n">
        <v>46271.5167540857</v>
      </c>
      <c r="H464" s="98" t="s">
        <v>1054</v>
      </c>
      <c r="I464" s="98" t="s">
        <v>1361</v>
      </c>
      <c r="J464" s="100" t="s">
        <v>1418</v>
      </c>
      <c r="K464" s="100" t="s">
        <v>951</v>
      </c>
      <c r="L464" s="98" t="s">
        <v>1056</v>
      </c>
      <c r="M464" s="98" t="s">
        <v>1056</v>
      </c>
      <c r="N464" s="98" t="s">
        <v>1031</v>
      </c>
      <c r="O464" s="98" t="s">
        <v>677</v>
      </c>
      <c r="P464" s="98"/>
      <c r="Q464" s="98" t="s">
        <v>811</v>
      </c>
      <c r="R464" s="98"/>
      <c r="S464" s="98" t="s">
        <v>1059</v>
      </c>
    </row>
    <row r="465" customFormat="false" ht="55" hidden="false" customHeight="true" outlineLevel="0" collapsed="false">
      <c r="C465" s="98" t="s">
        <v>1051</v>
      </c>
      <c r="D465" s="98" t="s">
        <v>1052</v>
      </c>
      <c r="E465" s="98" t="s">
        <v>1053</v>
      </c>
      <c r="F465" s="98" t="n">
        <v>46270.7484272454</v>
      </c>
      <c r="G465" s="98" t="n">
        <v>46271.5167540857</v>
      </c>
      <c r="H465" s="98" t="s">
        <v>1054</v>
      </c>
      <c r="I465" s="98" t="s">
        <v>1361</v>
      </c>
      <c r="J465" s="100" t="s">
        <v>1418</v>
      </c>
      <c r="K465" s="100" t="s">
        <v>951</v>
      </c>
      <c r="L465" s="98" t="s">
        <v>1060</v>
      </c>
      <c r="M465" s="98" t="s">
        <v>1060</v>
      </c>
      <c r="N465" s="98" t="s">
        <v>1031</v>
      </c>
      <c r="O465" s="98" t="s">
        <v>677</v>
      </c>
      <c r="P465" s="98"/>
      <c r="Q465" s="98" t="s">
        <v>811</v>
      </c>
      <c r="R465" s="98"/>
      <c r="S465" s="98" t="s">
        <v>1059</v>
      </c>
    </row>
    <row r="466" customFormat="false" ht="55" hidden="false" customHeight="true" outlineLevel="0" collapsed="false">
      <c r="C466" s="98" t="s">
        <v>1051</v>
      </c>
      <c r="D466" s="98" t="s">
        <v>1052</v>
      </c>
      <c r="E466" s="98" t="s">
        <v>1053</v>
      </c>
      <c r="F466" s="98" t="n">
        <v>46270.7484272454</v>
      </c>
      <c r="G466" s="98" t="n">
        <v>46271.5167540857</v>
      </c>
      <c r="H466" s="98" t="s">
        <v>1054</v>
      </c>
      <c r="I466" s="98" t="s">
        <v>1361</v>
      </c>
      <c r="J466" s="100" t="s">
        <v>1418</v>
      </c>
      <c r="K466" s="100" t="s">
        <v>952</v>
      </c>
      <c r="L466" s="98" t="s">
        <v>1056</v>
      </c>
      <c r="M466" s="98" t="s">
        <v>1056</v>
      </c>
      <c r="N466" s="98" t="s">
        <v>1031</v>
      </c>
      <c r="O466" s="98" t="s">
        <v>677</v>
      </c>
      <c r="P466" s="98"/>
      <c r="Q466" s="98" t="s">
        <v>811</v>
      </c>
      <c r="R466" s="98"/>
      <c r="S466" s="98" t="s">
        <v>1059</v>
      </c>
    </row>
    <row r="467" customFormat="false" ht="55" hidden="false" customHeight="true" outlineLevel="0" collapsed="false">
      <c r="C467" s="98" t="s">
        <v>1051</v>
      </c>
      <c r="D467" s="98" t="s">
        <v>1052</v>
      </c>
      <c r="E467" s="98" t="s">
        <v>1053</v>
      </c>
      <c r="F467" s="98" t="n">
        <v>46270.7484272454</v>
      </c>
      <c r="G467" s="98" t="n">
        <v>46271.5167540857</v>
      </c>
      <c r="H467" s="98" t="s">
        <v>1054</v>
      </c>
      <c r="I467" s="98" t="s">
        <v>1361</v>
      </c>
      <c r="J467" s="100" t="s">
        <v>1418</v>
      </c>
      <c r="K467" s="100" t="s">
        <v>952</v>
      </c>
      <c r="L467" s="98" t="s">
        <v>1060</v>
      </c>
      <c r="M467" s="98" t="s">
        <v>1060</v>
      </c>
      <c r="N467" s="98" t="s">
        <v>1031</v>
      </c>
      <c r="O467" s="98" t="s">
        <v>677</v>
      </c>
      <c r="P467" s="98"/>
      <c r="Q467" s="98" t="s">
        <v>811</v>
      </c>
      <c r="R467" s="98"/>
      <c r="S467" s="98" t="s">
        <v>1059</v>
      </c>
    </row>
    <row r="468" customFormat="false" ht="55" hidden="false" customHeight="true" outlineLevel="0" collapsed="false">
      <c r="C468" s="98" t="s">
        <v>1051</v>
      </c>
      <c r="D468" s="98" t="s">
        <v>1052</v>
      </c>
      <c r="E468" s="98" t="s">
        <v>1053</v>
      </c>
      <c r="F468" s="98" t="n">
        <v>46270.7484272454</v>
      </c>
      <c r="G468" s="98" t="n">
        <v>46271.5167540857</v>
      </c>
      <c r="H468" s="98" t="s">
        <v>1054</v>
      </c>
      <c r="I468" s="98" t="s">
        <v>1361</v>
      </c>
      <c r="J468" s="100" t="s">
        <v>1418</v>
      </c>
      <c r="K468" s="100" t="s">
        <v>953</v>
      </c>
      <c r="L468" s="98" t="s">
        <v>1056</v>
      </c>
      <c r="M468" s="98" t="s">
        <v>1056</v>
      </c>
      <c r="N468" s="98" t="s">
        <v>1031</v>
      </c>
      <c r="O468" s="98" t="s">
        <v>677</v>
      </c>
      <c r="P468" s="98"/>
      <c r="Q468" s="98" t="s">
        <v>811</v>
      </c>
      <c r="R468" s="98"/>
      <c r="S468" s="98" t="s">
        <v>1059</v>
      </c>
    </row>
    <row r="469" customFormat="false" ht="55" hidden="false" customHeight="true" outlineLevel="0" collapsed="false">
      <c r="C469" s="98" t="s">
        <v>1051</v>
      </c>
      <c r="D469" s="98" t="s">
        <v>1052</v>
      </c>
      <c r="E469" s="98" t="s">
        <v>1053</v>
      </c>
      <c r="F469" s="98" t="n">
        <v>46270.7484272454</v>
      </c>
      <c r="G469" s="98" t="n">
        <v>46271.5167540857</v>
      </c>
      <c r="H469" s="98" t="s">
        <v>1054</v>
      </c>
      <c r="I469" s="98" t="s">
        <v>1361</v>
      </c>
      <c r="J469" s="100" t="s">
        <v>1418</v>
      </c>
      <c r="K469" s="100" t="s">
        <v>953</v>
      </c>
      <c r="L469" s="98" t="s">
        <v>1060</v>
      </c>
      <c r="M469" s="98" t="s">
        <v>1060</v>
      </c>
      <c r="N469" s="98" t="s">
        <v>1031</v>
      </c>
      <c r="O469" s="98" t="s">
        <v>677</v>
      </c>
      <c r="P469" s="98"/>
      <c r="Q469" s="98" t="s">
        <v>811</v>
      </c>
      <c r="R469" s="98"/>
      <c r="S469" s="98" t="s">
        <v>1059</v>
      </c>
    </row>
    <row r="470" customFormat="false" ht="55" hidden="false" customHeight="true" outlineLevel="0" collapsed="false">
      <c r="C470" s="98" t="s">
        <v>1051</v>
      </c>
      <c r="D470" s="98" t="s">
        <v>1052</v>
      </c>
      <c r="E470" s="98" t="s">
        <v>1053</v>
      </c>
      <c r="F470" s="98" t="n">
        <v>46270.7484272454</v>
      </c>
      <c r="G470" s="98" t="n">
        <v>46271.5167540857</v>
      </c>
      <c r="H470" s="98" t="s">
        <v>1054</v>
      </c>
      <c r="I470" s="98" t="s">
        <v>1361</v>
      </c>
      <c r="J470" s="100" t="s">
        <v>1418</v>
      </c>
      <c r="K470" s="100" t="s">
        <v>954</v>
      </c>
      <c r="L470" s="98" t="s">
        <v>1056</v>
      </c>
      <c r="M470" s="98" t="s">
        <v>1056</v>
      </c>
      <c r="N470" s="98" t="s">
        <v>1031</v>
      </c>
      <c r="O470" s="98" t="s">
        <v>677</v>
      </c>
      <c r="P470" s="98"/>
      <c r="Q470" s="98" t="s">
        <v>811</v>
      </c>
      <c r="R470" s="98"/>
      <c r="S470" s="98" t="s">
        <v>1059</v>
      </c>
    </row>
    <row r="471" customFormat="false" ht="55" hidden="false" customHeight="true" outlineLevel="0" collapsed="false">
      <c r="C471" s="98" t="s">
        <v>1051</v>
      </c>
      <c r="D471" s="98" t="s">
        <v>1052</v>
      </c>
      <c r="E471" s="98" t="s">
        <v>1053</v>
      </c>
      <c r="F471" s="98" t="n">
        <v>46270.7484272454</v>
      </c>
      <c r="G471" s="98" t="n">
        <v>46271.5167540857</v>
      </c>
      <c r="H471" s="98" t="s">
        <v>1054</v>
      </c>
      <c r="I471" s="98" t="s">
        <v>1361</v>
      </c>
      <c r="J471" s="100" t="s">
        <v>1418</v>
      </c>
      <c r="K471" s="100" t="s">
        <v>954</v>
      </c>
      <c r="L471" s="98" t="s">
        <v>1060</v>
      </c>
      <c r="M471" s="98" t="s">
        <v>1060</v>
      </c>
      <c r="N471" s="98" t="s">
        <v>1031</v>
      </c>
      <c r="O471" s="98" t="s">
        <v>677</v>
      </c>
      <c r="P471" s="98"/>
      <c r="Q471" s="98" t="s">
        <v>811</v>
      </c>
      <c r="R471" s="98"/>
      <c r="S471" s="98" t="s">
        <v>1059</v>
      </c>
    </row>
    <row r="472" customFormat="false" ht="55" hidden="false" customHeight="true" outlineLevel="0" collapsed="false">
      <c r="C472" s="98" t="s">
        <v>1051</v>
      </c>
      <c r="D472" s="98" t="s">
        <v>1052</v>
      </c>
      <c r="E472" s="98" t="s">
        <v>1053</v>
      </c>
      <c r="F472" s="98" t="n">
        <v>46270.7484272454</v>
      </c>
      <c r="G472" s="98" t="n">
        <v>46271.5167540857</v>
      </c>
      <c r="H472" s="98" t="s">
        <v>1054</v>
      </c>
      <c r="I472" s="98" t="s">
        <v>1361</v>
      </c>
      <c r="J472" s="100" t="s">
        <v>1418</v>
      </c>
      <c r="K472" s="100" t="s">
        <v>955</v>
      </c>
      <c r="L472" s="98" t="s">
        <v>1056</v>
      </c>
      <c r="M472" s="98" t="s">
        <v>1056</v>
      </c>
      <c r="N472" s="98" t="s">
        <v>1031</v>
      </c>
      <c r="O472" s="98" t="s">
        <v>677</v>
      </c>
      <c r="P472" s="98"/>
      <c r="Q472" s="98" t="s">
        <v>811</v>
      </c>
      <c r="R472" s="98"/>
      <c r="S472" s="98" t="s">
        <v>1059</v>
      </c>
    </row>
    <row r="473" customFormat="false" ht="55" hidden="false" customHeight="true" outlineLevel="0" collapsed="false">
      <c r="C473" s="98" t="s">
        <v>1051</v>
      </c>
      <c r="D473" s="98" t="s">
        <v>1052</v>
      </c>
      <c r="E473" s="98" t="s">
        <v>1053</v>
      </c>
      <c r="F473" s="98" t="n">
        <v>46270.7484272454</v>
      </c>
      <c r="G473" s="98" t="n">
        <v>46271.5167540857</v>
      </c>
      <c r="H473" s="98" t="s">
        <v>1054</v>
      </c>
      <c r="I473" s="98" t="s">
        <v>1361</v>
      </c>
      <c r="J473" s="100" t="s">
        <v>1418</v>
      </c>
      <c r="K473" s="100" t="s">
        <v>955</v>
      </c>
      <c r="L473" s="98" t="s">
        <v>1060</v>
      </c>
      <c r="M473" s="98" t="s">
        <v>1060</v>
      </c>
      <c r="N473" s="98" t="s">
        <v>1031</v>
      </c>
      <c r="O473" s="98" t="s">
        <v>677</v>
      </c>
      <c r="P473" s="98"/>
      <c r="Q473" s="98" t="s">
        <v>811</v>
      </c>
      <c r="R473" s="98"/>
      <c r="S473" s="98" t="s">
        <v>1059</v>
      </c>
    </row>
    <row r="474" customFormat="false" ht="55" hidden="false" customHeight="true" outlineLevel="0" collapsed="false">
      <c r="C474" s="98" t="s">
        <v>1051</v>
      </c>
      <c r="D474" s="98" t="s">
        <v>1052</v>
      </c>
      <c r="E474" s="98" t="s">
        <v>1053</v>
      </c>
      <c r="F474" s="98" t="n">
        <v>46270.7484272454</v>
      </c>
      <c r="G474" s="98" t="n">
        <v>46271.5167540857</v>
      </c>
      <c r="H474" s="98" t="s">
        <v>1054</v>
      </c>
      <c r="I474" s="98" t="s">
        <v>1361</v>
      </c>
      <c r="J474" s="100" t="s">
        <v>1418</v>
      </c>
      <c r="K474" s="100" t="s">
        <v>956</v>
      </c>
      <c r="L474" s="98" t="s">
        <v>1056</v>
      </c>
      <c r="M474" s="98" t="s">
        <v>1056</v>
      </c>
      <c r="N474" s="98" t="s">
        <v>1031</v>
      </c>
      <c r="O474" s="98" t="s">
        <v>677</v>
      </c>
      <c r="P474" s="98"/>
      <c r="Q474" s="98" t="s">
        <v>811</v>
      </c>
      <c r="R474" s="98"/>
      <c r="S474" s="98" t="s">
        <v>1059</v>
      </c>
    </row>
    <row r="475" customFormat="false" ht="55" hidden="false" customHeight="true" outlineLevel="0" collapsed="false">
      <c r="C475" s="98" t="s">
        <v>1051</v>
      </c>
      <c r="D475" s="98" t="s">
        <v>1052</v>
      </c>
      <c r="E475" s="98" t="s">
        <v>1053</v>
      </c>
      <c r="F475" s="98" t="n">
        <v>46270.7484272454</v>
      </c>
      <c r="G475" s="98" t="n">
        <v>46271.5167540857</v>
      </c>
      <c r="H475" s="98" t="s">
        <v>1054</v>
      </c>
      <c r="I475" s="98" t="s">
        <v>1361</v>
      </c>
      <c r="J475" s="100" t="s">
        <v>1418</v>
      </c>
      <c r="K475" s="100" t="s">
        <v>956</v>
      </c>
      <c r="L475" s="98" t="s">
        <v>1060</v>
      </c>
      <c r="M475" s="98" t="s">
        <v>1060</v>
      </c>
      <c r="N475" s="98" t="s">
        <v>1031</v>
      </c>
      <c r="O475" s="98" t="s">
        <v>677</v>
      </c>
      <c r="P475" s="98"/>
      <c r="Q475" s="98" t="s">
        <v>811</v>
      </c>
      <c r="R475" s="98"/>
      <c r="S475" s="98" t="s">
        <v>1059</v>
      </c>
    </row>
    <row r="476" customFormat="false" ht="55" hidden="false" customHeight="true" outlineLevel="0" collapsed="false">
      <c r="C476" s="98" t="s">
        <v>1051</v>
      </c>
      <c r="D476" s="98" t="s">
        <v>1052</v>
      </c>
      <c r="E476" s="98" t="s">
        <v>1053</v>
      </c>
      <c r="F476" s="98" t="n">
        <v>46270.7484272454</v>
      </c>
      <c r="G476" s="98" t="n">
        <v>46271.5167540857</v>
      </c>
      <c r="H476" s="98" t="s">
        <v>1054</v>
      </c>
      <c r="I476" s="98" t="s">
        <v>1361</v>
      </c>
      <c r="J476" s="100" t="s">
        <v>1418</v>
      </c>
      <c r="K476" s="100" t="s">
        <v>957</v>
      </c>
      <c r="L476" s="98" t="s">
        <v>1056</v>
      </c>
      <c r="M476" s="98" t="s">
        <v>1056</v>
      </c>
      <c r="N476" s="98" t="s">
        <v>1031</v>
      </c>
      <c r="O476" s="98" t="s">
        <v>677</v>
      </c>
      <c r="P476" s="98" t="s">
        <v>1605</v>
      </c>
      <c r="Q476" s="98" t="s">
        <v>811</v>
      </c>
      <c r="R476" s="98" t="s">
        <v>1606</v>
      </c>
      <c r="S476" s="98" t="s">
        <v>1059</v>
      </c>
    </row>
    <row r="477" customFormat="false" ht="55" hidden="false" customHeight="true" outlineLevel="0" collapsed="false">
      <c r="C477" s="98" t="s">
        <v>1051</v>
      </c>
      <c r="D477" s="98" t="s">
        <v>1052</v>
      </c>
      <c r="E477" s="98" t="s">
        <v>1053</v>
      </c>
      <c r="F477" s="98" t="n">
        <v>46270.7484272454</v>
      </c>
      <c r="G477" s="98" t="n">
        <v>46271.5167540857</v>
      </c>
      <c r="H477" s="98" t="s">
        <v>1054</v>
      </c>
      <c r="I477" s="98" t="s">
        <v>1361</v>
      </c>
      <c r="J477" s="100" t="s">
        <v>1418</v>
      </c>
      <c r="K477" s="100" t="s">
        <v>957</v>
      </c>
      <c r="L477" s="98" t="s">
        <v>1060</v>
      </c>
      <c r="M477" s="98" t="s">
        <v>1060</v>
      </c>
      <c r="N477" s="98" t="s">
        <v>1031</v>
      </c>
      <c r="O477" s="98" t="s">
        <v>677</v>
      </c>
      <c r="P477" s="98" t="s">
        <v>1607</v>
      </c>
      <c r="Q477" s="98" t="s">
        <v>811</v>
      </c>
      <c r="R477" s="98" t="s">
        <v>1608</v>
      </c>
      <c r="S477" s="98" t="s">
        <v>1059</v>
      </c>
    </row>
    <row r="478" customFormat="false" ht="55" hidden="false" customHeight="true" outlineLevel="0" collapsed="false">
      <c r="C478" s="98" t="s">
        <v>1051</v>
      </c>
      <c r="D478" s="98" t="s">
        <v>1052</v>
      </c>
      <c r="E478" s="98" t="s">
        <v>1053</v>
      </c>
      <c r="F478" s="98" t="n">
        <v>46270.7484272454</v>
      </c>
      <c r="G478" s="98" t="n">
        <v>46271.5167540857</v>
      </c>
      <c r="H478" s="98" t="s">
        <v>1054</v>
      </c>
      <c r="I478" s="98" t="s">
        <v>1361</v>
      </c>
      <c r="J478" s="100" t="s">
        <v>1418</v>
      </c>
      <c r="K478" s="100" t="s">
        <v>958</v>
      </c>
      <c r="L478" s="98" t="s">
        <v>1056</v>
      </c>
      <c r="M478" s="98" t="s">
        <v>1056</v>
      </c>
      <c r="N478" s="98" t="s">
        <v>1031</v>
      </c>
      <c r="O478" s="98" t="s">
        <v>677</v>
      </c>
      <c r="P478" s="98" t="s">
        <v>1609</v>
      </c>
      <c r="Q478" s="98" t="s">
        <v>811</v>
      </c>
      <c r="R478" s="98" t="s">
        <v>1610</v>
      </c>
      <c r="S478" s="98" t="s">
        <v>1059</v>
      </c>
    </row>
    <row r="479" customFormat="false" ht="55" hidden="false" customHeight="true" outlineLevel="0" collapsed="false">
      <c r="C479" s="98" t="s">
        <v>1051</v>
      </c>
      <c r="D479" s="98" t="s">
        <v>1052</v>
      </c>
      <c r="E479" s="98" t="s">
        <v>1053</v>
      </c>
      <c r="F479" s="98" t="n">
        <v>46270.7484272454</v>
      </c>
      <c r="G479" s="98" t="n">
        <v>46271.5167540857</v>
      </c>
      <c r="H479" s="98" t="s">
        <v>1054</v>
      </c>
      <c r="I479" s="98" t="s">
        <v>1361</v>
      </c>
      <c r="J479" s="100" t="s">
        <v>1418</v>
      </c>
      <c r="K479" s="100" t="s">
        <v>958</v>
      </c>
      <c r="L479" s="98" t="s">
        <v>1060</v>
      </c>
      <c r="M479" s="98" t="s">
        <v>1060</v>
      </c>
      <c r="N479" s="98" t="s">
        <v>1031</v>
      </c>
      <c r="O479" s="98" t="s">
        <v>677</v>
      </c>
      <c r="P479" s="98" t="s">
        <v>1611</v>
      </c>
      <c r="Q479" s="98" t="s">
        <v>811</v>
      </c>
      <c r="R479" s="98" t="s">
        <v>1612</v>
      </c>
      <c r="S479" s="98" t="s">
        <v>1059</v>
      </c>
    </row>
    <row r="480" customFormat="false" ht="55" hidden="false" customHeight="true" outlineLevel="0" collapsed="false">
      <c r="C480" s="98" t="s">
        <v>1051</v>
      </c>
      <c r="D480" s="98" t="s">
        <v>1052</v>
      </c>
      <c r="E480" s="98" t="s">
        <v>1053</v>
      </c>
      <c r="F480" s="98" t="n">
        <v>46270.7484272454</v>
      </c>
      <c r="G480" s="98" t="n">
        <v>46271.5167540857</v>
      </c>
      <c r="H480" s="98" t="s">
        <v>1054</v>
      </c>
      <c r="I480" s="98" t="s">
        <v>1361</v>
      </c>
      <c r="J480" s="100" t="s">
        <v>1418</v>
      </c>
      <c r="K480" s="100" t="s">
        <v>959</v>
      </c>
      <c r="L480" s="98" t="s">
        <v>1056</v>
      </c>
      <c r="M480" s="98" t="s">
        <v>1056</v>
      </c>
      <c r="N480" s="98" t="s">
        <v>1031</v>
      </c>
      <c r="O480" s="98" t="s">
        <v>677</v>
      </c>
      <c r="P480" s="98" t="s">
        <v>1613</v>
      </c>
      <c r="Q480" s="98" t="s">
        <v>811</v>
      </c>
      <c r="R480" s="98" t="s">
        <v>1614</v>
      </c>
      <c r="S480" s="98" t="s">
        <v>1059</v>
      </c>
    </row>
    <row r="481" customFormat="false" ht="55" hidden="false" customHeight="true" outlineLevel="0" collapsed="false">
      <c r="C481" s="98" t="s">
        <v>1051</v>
      </c>
      <c r="D481" s="98" t="s">
        <v>1052</v>
      </c>
      <c r="E481" s="98" t="s">
        <v>1053</v>
      </c>
      <c r="F481" s="98" t="n">
        <v>46270.7484272454</v>
      </c>
      <c r="G481" s="98" t="n">
        <v>46271.5167540857</v>
      </c>
      <c r="H481" s="98" t="s">
        <v>1054</v>
      </c>
      <c r="I481" s="98" t="s">
        <v>1361</v>
      </c>
      <c r="J481" s="100" t="s">
        <v>1418</v>
      </c>
      <c r="K481" s="100" t="s">
        <v>959</v>
      </c>
      <c r="L481" s="98" t="s">
        <v>1060</v>
      </c>
      <c r="M481" s="98" t="s">
        <v>1060</v>
      </c>
      <c r="N481" s="98" t="s">
        <v>1031</v>
      </c>
      <c r="O481" s="98" t="s">
        <v>677</v>
      </c>
      <c r="P481" s="98" t="s">
        <v>1615</v>
      </c>
      <c r="Q481" s="98" t="s">
        <v>811</v>
      </c>
      <c r="R481" s="98" t="s">
        <v>1616</v>
      </c>
      <c r="S481" s="98" t="s">
        <v>1059</v>
      </c>
    </row>
    <row r="482" customFormat="false" ht="55" hidden="false" customHeight="true" outlineLevel="0" collapsed="false">
      <c r="C482" s="98" t="s">
        <v>1051</v>
      </c>
      <c r="D482" s="98" t="s">
        <v>1052</v>
      </c>
      <c r="E482" s="98" t="s">
        <v>1053</v>
      </c>
      <c r="F482" s="98" t="n">
        <v>46270.7484272454</v>
      </c>
      <c r="G482" s="98" t="n">
        <v>46271.5167540857</v>
      </c>
      <c r="H482" s="98" t="s">
        <v>1054</v>
      </c>
      <c r="I482" s="98" t="s">
        <v>1361</v>
      </c>
      <c r="J482" s="100" t="s">
        <v>1418</v>
      </c>
      <c r="K482" s="100" t="s">
        <v>960</v>
      </c>
      <c r="L482" s="98" t="s">
        <v>1056</v>
      </c>
      <c r="M482" s="98" t="s">
        <v>1056</v>
      </c>
      <c r="N482" s="98" t="s">
        <v>1031</v>
      </c>
      <c r="O482" s="98" t="s">
        <v>677</v>
      </c>
      <c r="P482" s="98" t="s">
        <v>1617</v>
      </c>
      <c r="Q482" s="98" t="s">
        <v>811</v>
      </c>
      <c r="R482" s="98" t="s">
        <v>1618</v>
      </c>
      <c r="S482" s="98" t="s">
        <v>1059</v>
      </c>
    </row>
    <row r="483" customFormat="false" ht="55" hidden="false" customHeight="true" outlineLevel="0" collapsed="false">
      <c r="C483" s="98" t="s">
        <v>1051</v>
      </c>
      <c r="D483" s="98" t="s">
        <v>1052</v>
      </c>
      <c r="E483" s="98" t="s">
        <v>1053</v>
      </c>
      <c r="F483" s="98" t="n">
        <v>46270.7484272454</v>
      </c>
      <c r="G483" s="98" t="n">
        <v>46271.5167540857</v>
      </c>
      <c r="H483" s="98" t="s">
        <v>1054</v>
      </c>
      <c r="I483" s="98" t="s">
        <v>1361</v>
      </c>
      <c r="J483" s="100" t="s">
        <v>1418</v>
      </c>
      <c r="K483" s="100" t="s">
        <v>960</v>
      </c>
      <c r="L483" s="98" t="s">
        <v>1060</v>
      </c>
      <c r="M483" s="98" t="s">
        <v>1060</v>
      </c>
      <c r="N483" s="98" t="s">
        <v>1031</v>
      </c>
      <c r="O483" s="98" t="s">
        <v>677</v>
      </c>
      <c r="P483" s="98" t="s">
        <v>1619</v>
      </c>
      <c r="Q483" s="98" t="s">
        <v>811</v>
      </c>
      <c r="R483" s="98" t="s">
        <v>1620</v>
      </c>
      <c r="S483" s="98" t="s">
        <v>1059</v>
      </c>
    </row>
    <row r="484" customFormat="false" ht="55" hidden="false" customHeight="true" outlineLevel="0" collapsed="false">
      <c r="C484" s="98" t="s">
        <v>1051</v>
      </c>
      <c r="D484" s="98" t="s">
        <v>1052</v>
      </c>
      <c r="E484" s="98" t="s">
        <v>1053</v>
      </c>
      <c r="F484" s="98" t="n">
        <v>46270.7484272454</v>
      </c>
      <c r="G484" s="98" t="n">
        <v>46271.5167540857</v>
      </c>
      <c r="H484" s="98" t="s">
        <v>1054</v>
      </c>
      <c r="I484" s="98" t="s">
        <v>1361</v>
      </c>
      <c r="J484" s="100" t="s">
        <v>1418</v>
      </c>
      <c r="K484" s="100" t="s">
        <v>961</v>
      </c>
      <c r="L484" s="98" t="s">
        <v>1056</v>
      </c>
      <c r="M484" s="98" t="s">
        <v>1056</v>
      </c>
      <c r="N484" s="98" t="s">
        <v>1031</v>
      </c>
      <c r="O484" s="98" t="s">
        <v>677</v>
      </c>
      <c r="P484" s="98" t="s">
        <v>1621</v>
      </c>
      <c r="Q484" s="98" t="s">
        <v>811</v>
      </c>
      <c r="R484" s="98" t="s">
        <v>1363</v>
      </c>
      <c r="S484" s="98" t="s">
        <v>1059</v>
      </c>
    </row>
    <row r="485" customFormat="false" ht="55" hidden="false" customHeight="true" outlineLevel="0" collapsed="false">
      <c r="C485" s="98" t="s">
        <v>1051</v>
      </c>
      <c r="D485" s="98" t="s">
        <v>1052</v>
      </c>
      <c r="E485" s="98" t="s">
        <v>1053</v>
      </c>
      <c r="F485" s="98" t="n">
        <v>46270.7484272454</v>
      </c>
      <c r="G485" s="98" t="n">
        <v>46271.5167540857</v>
      </c>
      <c r="H485" s="98" t="s">
        <v>1054</v>
      </c>
      <c r="I485" s="98" t="s">
        <v>1361</v>
      </c>
      <c r="J485" s="100" t="s">
        <v>1418</v>
      </c>
      <c r="K485" s="100" t="s">
        <v>961</v>
      </c>
      <c r="L485" s="98" t="s">
        <v>1060</v>
      </c>
      <c r="M485" s="98" t="s">
        <v>1060</v>
      </c>
      <c r="N485" s="98" t="s">
        <v>1031</v>
      </c>
      <c r="O485" s="98" t="s">
        <v>677</v>
      </c>
      <c r="P485" s="98" t="s">
        <v>1622</v>
      </c>
      <c r="Q485" s="98" t="s">
        <v>811</v>
      </c>
      <c r="R485" s="98" t="s">
        <v>1365</v>
      </c>
      <c r="S485" s="98" t="s">
        <v>1059</v>
      </c>
    </row>
    <row r="486" customFormat="false" ht="55" hidden="false" customHeight="true" outlineLevel="0" collapsed="false">
      <c r="C486" s="98" t="s">
        <v>1051</v>
      </c>
      <c r="D486" s="98" t="s">
        <v>1052</v>
      </c>
      <c r="E486" s="98" t="s">
        <v>1053</v>
      </c>
      <c r="F486" s="98" t="n">
        <v>46270.7484272454</v>
      </c>
      <c r="G486" s="98" t="n">
        <v>46271.5167540857</v>
      </c>
      <c r="H486" s="98" t="s">
        <v>1054</v>
      </c>
      <c r="I486" s="98" t="s">
        <v>1361</v>
      </c>
      <c r="J486" s="100" t="s">
        <v>1418</v>
      </c>
      <c r="K486" s="100" t="s">
        <v>962</v>
      </c>
      <c r="L486" s="98" t="s">
        <v>1056</v>
      </c>
      <c r="M486" s="98" t="s">
        <v>1056</v>
      </c>
      <c r="N486" s="98" t="s">
        <v>1031</v>
      </c>
      <c r="O486" s="98" t="s">
        <v>677</v>
      </c>
      <c r="P486" s="98"/>
      <c r="Q486" s="98" t="s">
        <v>811</v>
      </c>
      <c r="R486" s="98"/>
      <c r="S486" s="98" t="s">
        <v>1059</v>
      </c>
    </row>
    <row r="487" customFormat="false" ht="55" hidden="false" customHeight="true" outlineLevel="0" collapsed="false">
      <c r="C487" s="98" t="s">
        <v>1051</v>
      </c>
      <c r="D487" s="98" t="s">
        <v>1052</v>
      </c>
      <c r="E487" s="98" t="s">
        <v>1053</v>
      </c>
      <c r="F487" s="98" t="n">
        <v>46270.7484272454</v>
      </c>
      <c r="G487" s="98" t="n">
        <v>46271.5167540857</v>
      </c>
      <c r="H487" s="98" t="s">
        <v>1054</v>
      </c>
      <c r="I487" s="98" t="s">
        <v>1361</v>
      </c>
      <c r="J487" s="100" t="s">
        <v>1418</v>
      </c>
      <c r="K487" s="100" t="s">
        <v>962</v>
      </c>
      <c r="L487" s="98" t="s">
        <v>1060</v>
      </c>
      <c r="M487" s="98" t="s">
        <v>1060</v>
      </c>
      <c r="N487" s="98" t="s">
        <v>1031</v>
      </c>
      <c r="O487" s="98" t="s">
        <v>677</v>
      </c>
      <c r="P487" s="98"/>
      <c r="Q487" s="98" t="s">
        <v>811</v>
      </c>
      <c r="R487" s="98"/>
      <c r="S487" s="98" t="s">
        <v>1059</v>
      </c>
    </row>
    <row r="488" customFormat="false" ht="55" hidden="false" customHeight="true" outlineLevel="0" collapsed="false">
      <c r="C488" s="98" t="s">
        <v>1051</v>
      </c>
      <c r="D488" s="98" t="s">
        <v>1052</v>
      </c>
      <c r="E488" s="98" t="s">
        <v>1053</v>
      </c>
      <c r="F488" s="98" t="n">
        <v>46270.7484272454</v>
      </c>
      <c r="G488" s="98" t="n">
        <v>46271.5167540857</v>
      </c>
      <c r="H488" s="98" t="s">
        <v>1054</v>
      </c>
      <c r="I488" s="98" t="s">
        <v>1361</v>
      </c>
      <c r="J488" s="100" t="s">
        <v>1418</v>
      </c>
      <c r="K488" s="100" t="s">
        <v>963</v>
      </c>
      <c r="L488" s="98" t="s">
        <v>1056</v>
      </c>
      <c r="M488" s="98" t="s">
        <v>1056</v>
      </c>
      <c r="N488" s="98" t="s">
        <v>1031</v>
      </c>
      <c r="O488" s="98" t="s">
        <v>677</v>
      </c>
      <c r="P488" s="98"/>
      <c r="Q488" s="98" t="s">
        <v>811</v>
      </c>
      <c r="R488" s="98"/>
      <c r="S488" s="98" t="s">
        <v>1059</v>
      </c>
    </row>
    <row r="489" customFormat="false" ht="55" hidden="false" customHeight="true" outlineLevel="0" collapsed="false">
      <c r="C489" s="98" t="s">
        <v>1051</v>
      </c>
      <c r="D489" s="98" t="s">
        <v>1052</v>
      </c>
      <c r="E489" s="98" t="s">
        <v>1053</v>
      </c>
      <c r="F489" s="98" t="n">
        <v>46270.7484272454</v>
      </c>
      <c r="G489" s="98" t="n">
        <v>46271.5167540857</v>
      </c>
      <c r="H489" s="98" t="s">
        <v>1054</v>
      </c>
      <c r="I489" s="98" t="s">
        <v>1361</v>
      </c>
      <c r="J489" s="100" t="s">
        <v>1418</v>
      </c>
      <c r="K489" s="100" t="s">
        <v>963</v>
      </c>
      <c r="L489" s="98" t="s">
        <v>1060</v>
      </c>
      <c r="M489" s="98" t="s">
        <v>1060</v>
      </c>
      <c r="N489" s="98" t="s">
        <v>1031</v>
      </c>
      <c r="O489" s="98" t="s">
        <v>677</v>
      </c>
      <c r="P489" s="98"/>
      <c r="Q489" s="98" t="s">
        <v>811</v>
      </c>
      <c r="R489" s="98"/>
      <c r="S489" s="98" t="s">
        <v>1059</v>
      </c>
    </row>
    <row r="490" customFormat="false" ht="55" hidden="false" customHeight="true" outlineLevel="0" collapsed="false">
      <c r="C490" s="98" t="s">
        <v>1051</v>
      </c>
      <c r="D490" s="98" t="s">
        <v>1052</v>
      </c>
      <c r="E490" s="98" t="s">
        <v>1053</v>
      </c>
      <c r="F490" s="98" t="n">
        <v>46270.7484272454</v>
      </c>
      <c r="G490" s="98" t="n">
        <v>46271.5167540857</v>
      </c>
      <c r="H490" s="98" t="s">
        <v>1054</v>
      </c>
      <c r="I490" s="98" t="s">
        <v>1361</v>
      </c>
      <c r="J490" s="100" t="s">
        <v>1418</v>
      </c>
      <c r="K490" s="100" t="s">
        <v>964</v>
      </c>
      <c r="L490" s="98" t="s">
        <v>1056</v>
      </c>
      <c r="M490" s="98" t="s">
        <v>1056</v>
      </c>
      <c r="N490" s="98" t="s">
        <v>1031</v>
      </c>
      <c r="O490" s="98" t="s">
        <v>677</v>
      </c>
      <c r="P490" s="98" t="s">
        <v>1623</v>
      </c>
      <c r="Q490" s="98" t="s">
        <v>811</v>
      </c>
      <c r="R490" s="98" t="s">
        <v>1624</v>
      </c>
      <c r="S490" s="98" t="s">
        <v>1059</v>
      </c>
    </row>
    <row r="491" customFormat="false" ht="55" hidden="false" customHeight="true" outlineLevel="0" collapsed="false">
      <c r="C491" s="98" t="s">
        <v>1051</v>
      </c>
      <c r="D491" s="98" t="s">
        <v>1052</v>
      </c>
      <c r="E491" s="98" t="s">
        <v>1053</v>
      </c>
      <c r="F491" s="98" t="n">
        <v>46270.7484272454</v>
      </c>
      <c r="G491" s="98" t="n">
        <v>46271.5167540857</v>
      </c>
      <c r="H491" s="98" t="s">
        <v>1054</v>
      </c>
      <c r="I491" s="98" t="s">
        <v>1361</v>
      </c>
      <c r="J491" s="100" t="s">
        <v>1418</v>
      </c>
      <c r="K491" s="100" t="s">
        <v>964</v>
      </c>
      <c r="L491" s="98" t="s">
        <v>1060</v>
      </c>
      <c r="M491" s="98" t="s">
        <v>1060</v>
      </c>
      <c r="N491" s="98" t="s">
        <v>1031</v>
      </c>
      <c r="O491" s="98" t="s">
        <v>677</v>
      </c>
      <c r="P491" s="98" t="s">
        <v>1625</v>
      </c>
      <c r="Q491" s="98" t="s">
        <v>811</v>
      </c>
      <c r="R491" s="98" t="s">
        <v>1626</v>
      </c>
      <c r="S491" s="98" t="s">
        <v>1059</v>
      </c>
    </row>
    <row r="492" customFormat="false" ht="55" hidden="false" customHeight="true" outlineLevel="0" collapsed="false">
      <c r="C492" s="98" t="s">
        <v>1051</v>
      </c>
      <c r="D492" s="98" t="s">
        <v>1052</v>
      </c>
      <c r="E492" s="98" t="s">
        <v>1053</v>
      </c>
      <c r="F492" s="98" t="n">
        <v>46270.7484272454</v>
      </c>
      <c r="G492" s="98" t="n">
        <v>46271.5167540857</v>
      </c>
      <c r="H492" s="98" t="s">
        <v>1054</v>
      </c>
      <c r="I492" s="98" t="s">
        <v>1361</v>
      </c>
      <c r="J492" s="100" t="s">
        <v>1418</v>
      </c>
      <c r="K492" s="100" t="s">
        <v>966</v>
      </c>
      <c r="L492" s="98" t="s">
        <v>1056</v>
      </c>
      <c r="M492" s="98" t="s">
        <v>1056</v>
      </c>
      <c r="N492" s="98" t="s">
        <v>1031</v>
      </c>
      <c r="O492" s="98" t="s">
        <v>677</v>
      </c>
      <c r="P492" s="98" t="s">
        <v>1627</v>
      </c>
      <c r="Q492" s="98" t="s">
        <v>811</v>
      </c>
      <c r="R492" s="98" t="s">
        <v>1628</v>
      </c>
      <c r="S492" s="98" t="s">
        <v>1059</v>
      </c>
    </row>
    <row r="493" customFormat="false" ht="55" hidden="false" customHeight="true" outlineLevel="0" collapsed="false">
      <c r="C493" s="98" t="s">
        <v>1051</v>
      </c>
      <c r="D493" s="98" t="s">
        <v>1052</v>
      </c>
      <c r="E493" s="98" t="s">
        <v>1053</v>
      </c>
      <c r="F493" s="98" t="n">
        <v>46270.7484272454</v>
      </c>
      <c r="G493" s="98" t="n">
        <v>46271.5167540857</v>
      </c>
      <c r="H493" s="98" t="s">
        <v>1054</v>
      </c>
      <c r="I493" s="98" t="s">
        <v>1361</v>
      </c>
      <c r="J493" s="100" t="s">
        <v>1418</v>
      </c>
      <c r="K493" s="100" t="s">
        <v>966</v>
      </c>
      <c r="L493" s="98" t="s">
        <v>1060</v>
      </c>
      <c r="M493" s="98" t="s">
        <v>1060</v>
      </c>
      <c r="N493" s="98" t="s">
        <v>1031</v>
      </c>
      <c r="O493" s="98" t="s">
        <v>677</v>
      </c>
      <c r="P493" s="98" t="s">
        <v>1629</v>
      </c>
      <c r="Q493" s="98" t="s">
        <v>811</v>
      </c>
      <c r="R493" s="98" t="s">
        <v>1630</v>
      </c>
      <c r="S493" s="98" t="s">
        <v>1059</v>
      </c>
    </row>
    <row r="494" customFormat="false" ht="55" hidden="false" customHeight="true" outlineLevel="0" collapsed="false">
      <c r="C494" s="98" t="s">
        <v>1051</v>
      </c>
      <c r="D494" s="98" t="s">
        <v>1052</v>
      </c>
      <c r="E494" s="98" t="s">
        <v>1053</v>
      </c>
      <c r="F494" s="98" t="n">
        <v>46270.7484272454</v>
      </c>
      <c r="G494" s="98" t="n">
        <v>46271.5167540857</v>
      </c>
      <c r="H494" s="98" t="s">
        <v>1054</v>
      </c>
      <c r="I494" s="98" t="s">
        <v>1361</v>
      </c>
      <c r="J494" s="100" t="s">
        <v>1418</v>
      </c>
      <c r="K494" s="100" t="s">
        <v>967</v>
      </c>
      <c r="L494" s="98" t="s">
        <v>1056</v>
      </c>
      <c r="M494" s="98" t="s">
        <v>1056</v>
      </c>
      <c r="N494" s="98" t="s">
        <v>1031</v>
      </c>
      <c r="O494" s="98" t="s">
        <v>677</v>
      </c>
      <c r="P494" s="98"/>
      <c r="Q494" s="98" t="s">
        <v>811</v>
      </c>
      <c r="R494" s="98"/>
      <c r="S494" s="98" t="s">
        <v>1059</v>
      </c>
    </row>
    <row r="495" customFormat="false" ht="55" hidden="false" customHeight="true" outlineLevel="0" collapsed="false">
      <c r="C495" s="98" t="s">
        <v>1051</v>
      </c>
      <c r="D495" s="98" t="s">
        <v>1052</v>
      </c>
      <c r="E495" s="98" t="s">
        <v>1053</v>
      </c>
      <c r="F495" s="98" t="n">
        <v>46270.7484272454</v>
      </c>
      <c r="G495" s="98" t="n">
        <v>46271.5167540857</v>
      </c>
      <c r="H495" s="98" t="s">
        <v>1054</v>
      </c>
      <c r="I495" s="98" t="s">
        <v>1361</v>
      </c>
      <c r="J495" s="100" t="s">
        <v>1418</v>
      </c>
      <c r="K495" s="100" t="s">
        <v>967</v>
      </c>
      <c r="L495" s="98" t="s">
        <v>1060</v>
      </c>
      <c r="M495" s="98" t="s">
        <v>1060</v>
      </c>
      <c r="N495" s="98" t="s">
        <v>1031</v>
      </c>
      <c r="O495" s="98" t="s">
        <v>677</v>
      </c>
      <c r="P495" s="98"/>
      <c r="Q495" s="98" t="s">
        <v>811</v>
      </c>
      <c r="R495" s="98"/>
      <c r="S495" s="98" t="s">
        <v>1059</v>
      </c>
    </row>
    <row r="496" customFormat="false" ht="55" hidden="false" customHeight="true" outlineLevel="0" collapsed="false">
      <c r="C496" s="98" t="s">
        <v>1051</v>
      </c>
      <c r="D496" s="98" t="s">
        <v>1052</v>
      </c>
      <c r="E496" s="98" t="s">
        <v>1053</v>
      </c>
      <c r="F496" s="98" t="n">
        <v>46270.7484272454</v>
      </c>
      <c r="G496" s="98" t="n">
        <v>46271.5167540857</v>
      </c>
      <c r="H496" s="98" t="s">
        <v>1054</v>
      </c>
      <c r="I496" s="98" t="s">
        <v>1361</v>
      </c>
      <c r="J496" s="100" t="s">
        <v>1418</v>
      </c>
      <c r="K496" s="100" t="s">
        <v>969</v>
      </c>
      <c r="L496" s="98" t="s">
        <v>1056</v>
      </c>
      <c r="M496" s="98" t="s">
        <v>1056</v>
      </c>
      <c r="N496" s="98" t="s">
        <v>1031</v>
      </c>
      <c r="O496" s="98" t="s">
        <v>677</v>
      </c>
      <c r="P496" s="98" t="s">
        <v>1631</v>
      </c>
      <c r="Q496" s="98" t="s">
        <v>811</v>
      </c>
      <c r="R496" s="98" t="s">
        <v>1632</v>
      </c>
      <c r="S496" s="98" t="s">
        <v>1059</v>
      </c>
    </row>
    <row r="497" customFormat="false" ht="55" hidden="false" customHeight="true" outlineLevel="0" collapsed="false">
      <c r="C497" s="98" t="s">
        <v>1051</v>
      </c>
      <c r="D497" s="98" t="s">
        <v>1052</v>
      </c>
      <c r="E497" s="98" t="s">
        <v>1053</v>
      </c>
      <c r="F497" s="98" t="n">
        <v>46270.7484272454</v>
      </c>
      <c r="G497" s="98" t="n">
        <v>46271.5167540857</v>
      </c>
      <c r="H497" s="98" t="s">
        <v>1054</v>
      </c>
      <c r="I497" s="98" t="s">
        <v>1361</v>
      </c>
      <c r="J497" s="100" t="s">
        <v>1418</v>
      </c>
      <c r="K497" s="100" t="s">
        <v>969</v>
      </c>
      <c r="L497" s="98" t="s">
        <v>1060</v>
      </c>
      <c r="M497" s="98" t="s">
        <v>1060</v>
      </c>
      <c r="N497" s="98" t="s">
        <v>1031</v>
      </c>
      <c r="O497" s="98" t="s">
        <v>677</v>
      </c>
      <c r="P497" s="98" t="s">
        <v>1633</v>
      </c>
      <c r="Q497" s="98" t="s">
        <v>811</v>
      </c>
      <c r="R497" s="98" t="s">
        <v>1634</v>
      </c>
      <c r="S497" s="98" t="s">
        <v>1059</v>
      </c>
    </row>
    <row r="498" customFormat="false" ht="55" hidden="false" customHeight="true" outlineLevel="0" collapsed="false">
      <c r="C498" s="98" t="s">
        <v>1051</v>
      </c>
      <c r="D498" s="98" t="s">
        <v>1052</v>
      </c>
      <c r="E498" s="98" t="s">
        <v>1053</v>
      </c>
      <c r="F498" s="98" t="n">
        <v>46270.7484272454</v>
      </c>
      <c r="G498" s="98" t="n">
        <v>46271.5167540857</v>
      </c>
      <c r="H498" s="98" t="s">
        <v>1054</v>
      </c>
      <c r="I498" s="98" t="s">
        <v>1361</v>
      </c>
      <c r="J498" s="100" t="s">
        <v>1418</v>
      </c>
      <c r="K498" s="100" t="s">
        <v>970</v>
      </c>
      <c r="L498" s="98" t="s">
        <v>1056</v>
      </c>
      <c r="M498" s="98" t="s">
        <v>1056</v>
      </c>
      <c r="N498" s="98" t="s">
        <v>1031</v>
      </c>
      <c r="O498" s="98" t="s">
        <v>677</v>
      </c>
      <c r="P498" s="98" t="s">
        <v>1635</v>
      </c>
      <c r="Q498" s="98" t="s">
        <v>811</v>
      </c>
      <c r="R498" s="98" t="s">
        <v>1636</v>
      </c>
      <c r="S498" s="98" t="s">
        <v>1059</v>
      </c>
    </row>
    <row r="499" customFormat="false" ht="55" hidden="false" customHeight="true" outlineLevel="0" collapsed="false">
      <c r="C499" s="98" t="s">
        <v>1051</v>
      </c>
      <c r="D499" s="98" t="s">
        <v>1052</v>
      </c>
      <c r="E499" s="98" t="s">
        <v>1053</v>
      </c>
      <c r="F499" s="98" t="n">
        <v>46270.7484272454</v>
      </c>
      <c r="G499" s="98" t="n">
        <v>46271.5167540857</v>
      </c>
      <c r="H499" s="98" t="s">
        <v>1054</v>
      </c>
      <c r="I499" s="98" t="s">
        <v>1361</v>
      </c>
      <c r="J499" s="100" t="s">
        <v>1418</v>
      </c>
      <c r="K499" s="100" t="s">
        <v>970</v>
      </c>
      <c r="L499" s="98" t="s">
        <v>1060</v>
      </c>
      <c r="M499" s="98" t="s">
        <v>1060</v>
      </c>
      <c r="N499" s="98" t="s">
        <v>1031</v>
      </c>
      <c r="O499" s="98" t="s">
        <v>677</v>
      </c>
      <c r="P499" s="98" t="s">
        <v>1637</v>
      </c>
      <c r="Q499" s="98" t="s">
        <v>811</v>
      </c>
      <c r="R499" s="98" t="s">
        <v>1638</v>
      </c>
      <c r="S499" s="98" t="s">
        <v>1059</v>
      </c>
    </row>
    <row r="500" customFormat="false" ht="55" hidden="false" customHeight="true" outlineLevel="0" collapsed="false">
      <c r="C500" s="98" t="s">
        <v>1051</v>
      </c>
      <c r="D500" s="98" t="s">
        <v>1052</v>
      </c>
      <c r="E500" s="98" t="s">
        <v>1053</v>
      </c>
      <c r="F500" s="98" t="n">
        <v>46270.7484272454</v>
      </c>
      <c r="G500" s="98" t="n">
        <v>46271.5167540857</v>
      </c>
      <c r="H500" s="98" t="s">
        <v>1054</v>
      </c>
      <c r="I500" s="98" t="s">
        <v>1361</v>
      </c>
      <c r="J500" s="100" t="s">
        <v>1418</v>
      </c>
      <c r="K500" s="100" t="s">
        <v>971</v>
      </c>
      <c r="L500" s="98" t="s">
        <v>1056</v>
      </c>
      <c r="M500" s="98" t="s">
        <v>1056</v>
      </c>
      <c r="N500" s="98" t="s">
        <v>1031</v>
      </c>
      <c r="O500" s="98" t="s">
        <v>677</v>
      </c>
      <c r="P500" s="98" t="s">
        <v>1639</v>
      </c>
      <c r="Q500" s="98" t="s">
        <v>811</v>
      </c>
      <c r="R500" s="98" t="s">
        <v>1640</v>
      </c>
      <c r="S500" s="98" t="s">
        <v>1059</v>
      </c>
    </row>
    <row r="501" customFormat="false" ht="55" hidden="false" customHeight="true" outlineLevel="0" collapsed="false">
      <c r="C501" s="98" t="s">
        <v>1051</v>
      </c>
      <c r="D501" s="98" t="s">
        <v>1052</v>
      </c>
      <c r="E501" s="98" t="s">
        <v>1053</v>
      </c>
      <c r="F501" s="98" t="n">
        <v>46270.7484272454</v>
      </c>
      <c r="G501" s="98" t="n">
        <v>46271.5167540857</v>
      </c>
      <c r="H501" s="98" t="s">
        <v>1054</v>
      </c>
      <c r="I501" s="98" t="s">
        <v>1361</v>
      </c>
      <c r="J501" s="100" t="s">
        <v>1418</v>
      </c>
      <c r="K501" s="100" t="s">
        <v>971</v>
      </c>
      <c r="L501" s="98" t="s">
        <v>1060</v>
      </c>
      <c r="M501" s="98" t="s">
        <v>1060</v>
      </c>
      <c r="N501" s="98" t="s">
        <v>1031</v>
      </c>
      <c r="O501" s="98" t="s">
        <v>677</v>
      </c>
      <c r="P501" s="98" t="s">
        <v>1641</v>
      </c>
      <c r="Q501" s="98" t="s">
        <v>811</v>
      </c>
      <c r="R501" s="98" t="s">
        <v>1642</v>
      </c>
      <c r="S501" s="98" t="s">
        <v>1059</v>
      </c>
    </row>
    <row r="502" customFormat="false" ht="55" hidden="false" customHeight="true" outlineLevel="0" collapsed="false">
      <c r="C502" s="98" t="s">
        <v>1051</v>
      </c>
      <c r="D502" s="98" t="s">
        <v>1052</v>
      </c>
      <c r="E502" s="98" t="s">
        <v>1053</v>
      </c>
      <c r="F502" s="98" t="n">
        <v>46270.7484272454</v>
      </c>
      <c r="G502" s="98" t="n">
        <v>46271.5167540857</v>
      </c>
      <c r="H502" s="98" t="s">
        <v>1054</v>
      </c>
      <c r="I502" s="98" t="s">
        <v>1361</v>
      </c>
      <c r="J502" s="100" t="s">
        <v>1418</v>
      </c>
      <c r="K502" s="100" t="s">
        <v>972</v>
      </c>
      <c r="L502" s="98" t="s">
        <v>1056</v>
      </c>
      <c r="M502" s="98" t="s">
        <v>1056</v>
      </c>
      <c r="N502" s="98" t="s">
        <v>1031</v>
      </c>
      <c r="O502" s="98" t="s">
        <v>677</v>
      </c>
      <c r="P502" s="98"/>
      <c r="Q502" s="98" t="s">
        <v>811</v>
      </c>
      <c r="R502" s="98"/>
      <c r="S502" s="98" t="s">
        <v>1059</v>
      </c>
    </row>
    <row r="503" customFormat="false" ht="55" hidden="false" customHeight="true" outlineLevel="0" collapsed="false">
      <c r="C503" s="98" t="s">
        <v>1051</v>
      </c>
      <c r="D503" s="98" t="s">
        <v>1052</v>
      </c>
      <c r="E503" s="98" t="s">
        <v>1053</v>
      </c>
      <c r="F503" s="98" t="n">
        <v>46270.7484272454</v>
      </c>
      <c r="G503" s="98" t="n">
        <v>46271.5167540857</v>
      </c>
      <c r="H503" s="98" t="s">
        <v>1054</v>
      </c>
      <c r="I503" s="98" t="s">
        <v>1361</v>
      </c>
      <c r="J503" s="100" t="s">
        <v>1418</v>
      </c>
      <c r="K503" s="100" t="s">
        <v>972</v>
      </c>
      <c r="L503" s="98" t="s">
        <v>1060</v>
      </c>
      <c r="M503" s="98" t="s">
        <v>1060</v>
      </c>
      <c r="N503" s="98" t="s">
        <v>1031</v>
      </c>
      <c r="O503" s="98" t="s">
        <v>677</v>
      </c>
      <c r="P503" s="98"/>
      <c r="Q503" s="98" t="s">
        <v>811</v>
      </c>
      <c r="R503" s="98"/>
      <c r="S503" s="98" t="s">
        <v>1059</v>
      </c>
    </row>
    <row r="504" customFormat="false" ht="55" hidden="false" customHeight="true" outlineLevel="0" collapsed="false">
      <c r="C504" s="98" t="s">
        <v>1051</v>
      </c>
      <c r="D504" s="98" t="s">
        <v>1052</v>
      </c>
      <c r="E504" s="98" t="s">
        <v>1053</v>
      </c>
      <c r="F504" s="98" t="n">
        <v>46270.7484272454</v>
      </c>
      <c r="G504" s="98" t="n">
        <v>46271.5167540857</v>
      </c>
      <c r="H504" s="98" t="s">
        <v>1054</v>
      </c>
      <c r="I504" s="98" t="s">
        <v>1361</v>
      </c>
      <c r="J504" s="100" t="s">
        <v>1418</v>
      </c>
      <c r="K504" s="100" t="s">
        <v>973</v>
      </c>
      <c r="L504" s="98" t="s">
        <v>1056</v>
      </c>
      <c r="M504" s="98" t="s">
        <v>1056</v>
      </c>
      <c r="N504" s="98" t="s">
        <v>1031</v>
      </c>
      <c r="O504" s="98" t="s">
        <v>677</v>
      </c>
      <c r="P504" s="98"/>
      <c r="Q504" s="98" t="s">
        <v>811</v>
      </c>
      <c r="R504" s="98"/>
      <c r="S504" s="98" t="s">
        <v>1059</v>
      </c>
    </row>
    <row r="505" customFormat="false" ht="55" hidden="false" customHeight="true" outlineLevel="0" collapsed="false">
      <c r="C505" s="98" t="s">
        <v>1051</v>
      </c>
      <c r="D505" s="98" t="s">
        <v>1052</v>
      </c>
      <c r="E505" s="98" t="s">
        <v>1053</v>
      </c>
      <c r="F505" s="98" t="n">
        <v>46270.7484272454</v>
      </c>
      <c r="G505" s="98" t="n">
        <v>46271.5167540857</v>
      </c>
      <c r="H505" s="98" t="s">
        <v>1054</v>
      </c>
      <c r="I505" s="98" t="s">
        <v>1361</v>
      </c>
      <c r="J505" s="100" t="s">
        <v>1418</v>
      </c>
      <c r="K505" s="100" t="s">
        <v>973</v>
      </c>
      <c r="L505" s="98" t="s">
        <v>1060</v>
      </c>
      <c r="M505" s="98" t="s">
        <v>1060</v>
      </c>
      <c r="N505" s="98" t="s">
        <v>1031</v>
      </c>
      <c r="O505" s="98" t="s">
        <v>677</v>
      </c>
      <c r="P505" s="98"/>
      <c r="Q505" s="98" t="s">
        <v>811</v>
      </c>
      <c r="R505" s="98"/>
      <c r="S505" s="98" t="s">
        <v>1059</v>
      </c>
    </row>
    <row r="506" customFormat="false" ht="55" hidden="false" customHeight="true" outlineLevel="0" collapsed="false">
      <c r="C506" s="98" t="s">
        <v>1051</v>
      </c>
      <c r="D506" s="98" t="s">
        <v>1052</v>
      </c>
      <c r="E506" s="98" t="s">
        <v>1053</v>
      </c>
      <c r="F506" s="98" t="n">
        <v>46270.7484272454</v>
      </c>
      <c r="G506" s="98" t="n">
        <v>46271.5167540857</v>
      </c>
      <c r="H506" s="98" t="s">
        <v>1054</v>
      </c>
      <c r="I506" s="98" t="s">
        <v>1361</v>
      </c>
      <c r="J506" s="100" t="s">
        <v>1418</v>
      </c>
      <c r="K506" s="100" t="s">
        <v>974</v>
      </c>
      <c r="L506" s="98" t="s">
        <v>1056</v>
      </c>
      <c r="M506" s="98" t="s">
        <v>1056</v>
      </c>
      <c r="N506" s="98" t="s">
        <v>1031</v>
      </c>
      <c r="O506" s="98" t="s">
        <v>677</v>
      </c>
      <c r="P506" s="98"/>
      <c r="Q506" s="98" t="s">
        <v>811</v>
      </c>
      <c r="R506" s="98"/>
      <c r="S506" s="98" t="s">
        <v>1059</v>
      </c>
    </row>
    <row r="507" customFormat="false" ht="55" hidden="false" customHeight="true" outlineLevel="0" collapsed="false">
      <c r="C507" s="98" t="s">
        <v>1051</v>
      </c>
      <c r="D507" s="98" t="s">
        <v>1052</v>
      </c>
      <c r="E507" s="98" t="s">
        <v>1053</v>
      </c>
      <c r="F507" s="98" t="n">
        <v>46270.7484272454</v>
      </c>
      <c r="G507" s="98" t="n">
        <v>46271.5167540857</v>
      </c>
      <c r="H507" s="98" t="s">
        <v>1054</v>
      </c>
      <c r="I507" s="98" t="s">
        <v>1361</v>
      </c>
      <c r="J507" s="100" t="s">
        <v>1418</v>
      </c>
      <c r="K507" s="100" t="s">
        <v>974</v>
      </c>
      <c r="L507" s="98" t="s">
        <v>1060</v>
      </c>
      <c r="M507" s="98" t="s">
        <v>1060</v>
      </c>
      <c r="N507" s="98" t="s">
        <v>1031</v>
      </c>
      <c r="O507" s="98" t="s">
        <v>677</v>
      </c>
      <c r="P507" s="98"/>
      <c r="Q507" s="98" t="s">
        <v>811</v>
      </c>
      <c r="R507" s="98"/>
      <c r="S507" s="98" t="s">
        <v>1059</v>
      </c>
    </row>
    <row r="508" customFormat="false" ht="55" hidden="false" customHeight="true" outlineLevel="0" collapsed="false">
      <c r="C508" s="98" t="s">
        <v>1051</v>
      </c>
      <c r="D508" s="98" t="s">
        <v>1052</v>
      </c>
      <c r="E508" s="98" t="s">
        <v>1053</v>
      </c>
      <c r="F508" s="98" t="n">
        <v>46270.7484272454</v>
      </c>
      <c r="G508" s="98" t="n">
        <v>46271.5167540857</v>
      </c>
      <c r="H508" s="98" t="s">
        <v>1054</v>
      </c>
      <c r="I508" s="98" t="s">
        <v>1361</v>
      </c>
      <c r="J508" s="100" t="s">
        <v>1418</v>
      </c>
      <c r="K508" s="100" t="s">
        <v>975</v>
      </c>
      <c r="L508" s="98" t="s">
        <v>1056</v>
      </c>
      <c r="M508" s="98" t="s">
        <v>1056</v>
      </c>
      <c r="N508" s="98" t="s">
        <v>1031</v>
      </c>
      <c r="O508" s="98" t="s">
        <v>677</v>
      </c>
      <c r="P508" s="98" t="s">
        <v>1643</v>
      </c>
      <c r="Q508" s="98" t="s">
        <v>811</v>
      </c>
      <c r="R508" s="98" t="s">
        <v>1644</v>
      </c>
      <c r="S508" s="98" t="s">
        <v>1059</v>
      </c>
    </row>
    <row r="509" customFormat="false" ht="55" hidden="false" customHeight="true" outlineLevel="0" collapsed="false">
      <c r="C509" s="98" t="s">
        <v>1051</v>
      </c>
      <c r="D509" s="98" t="s">
        <v>1052</v>
      </c>
      <c r="E509" s="98" t="s">
        <v>1053</v>
      </c>
      <c r="F509" s="98" t="n">
        <v>46270.7484272454</v>
      </c>
      <c r="G509" s="98" t="n">
        <v>46271.5167540857</v>
      </c>
      <c r="H509" s="98" t="s">
        <v>1054</v>
      </c>
      <c r="I509" s="98" t="s">
        <v>1361</v>
      </c>
      <c r="J509" s="100" t="s">
        <v>1418</v>
      </c>
      <c r="K509" s="100" t="s">
        <v>975</v>
      </c>
      <c r="L509" s="98" t="s">
        <v>1060</v>
      </c>
      <c r="M509" s="98" t="s">
        <v>1060</v>
      </c>
      <c r="N509" s="98" t="s">
        <v>1031</v>
      </c>
      <c r="O509" s="98" t="s">
        <v>677</v>
      </c>
      <c r="P509" s="98" t="s">
        <v>1645</v>
      </c>
      <c r="Q509" s="98" t="s">
        <v>811</v>
      </c>
      <c r="R509" s="98" t="s">
        <v>1646</v>
      </c>
      <c r="S509" s="98" t="s">
        <v>1059</v>
      </c>
    </row>
    <row r="510" customFormat="false" ht="55" hidden="false" customHeight="true" outlineLevel="0" collapsed="false">
      <c r="C510" s="98" t="s">
        <v>1051</v>
      </c>
      <c r="D510" s="98" t="s">
        <v>1052</v>
      </c>
      <c r="E510" s="98" t="s">
        <v>1053</v>
      </c>
      <c r="F510" s="98" t="n">
        <v>46270.7484272454</v>
      </c>
      <c r="G510" s="98" t="n">
        <v>46271.5167540857</v>
      </c>
      <c r="H510" s="98" t="s">
        <v>1054</v>
      </c>
      <c r="I510" s="98" t="s">
        <v>1361</v>
      </c>
      <c r="J510" s="100" t="s">
        <v>1418</v>
      </c>
      <c r="K510" s="100" t="s">
        <v>976</v>
      </c>
      <c r="L510" s="98" t="s">
        <v>1056</v>
      </c>
      <c r="M510" s="98" t="s">
        <v>1056</v>
      </c>
      <c r="N510" s="98" t="s">
        <v>1031</v>
      </c>
      <c r="O510" s="98" t="s">
        <v>677</v>
      </c>
      <c r="P510" s="98" t="s">
        <v>1647</v>
      </c>
      <c r="Q510" s="98" t="s">
        <v>811</v>
      </c>
      <c r="R510" s="98" t="s">
        <v>1648</v>
      </c>
      <c r="S510" s="98" t="s">
        <v>1059</v>
      </c>
    </row>
    <row r="511" customFormat="false" ht="55" hidden="false" customHeight="true" outlineLevel="0" collapsed="false">
      <c r="C511" s="98" t="s">
        <v>1051</v>
      </c>
      <c r="D511" s="98" t="s">
        <v>1052</v>
      </c>
      <c r="E511" s="98" t="s">
        <v>1053</v>
      </c>
      <c r="F511" s="98" t="n">
        <v>46270.7484272454</v>
      </c>
      <c r="G511" s="98" t="n">
        <v>46271.5167540857</v>
      </c>
      <c r="H511" s="98" t="s">
        <v>1054</v>
      </c>
      <c r="I511" s="98" t="s">
        <v>1361</v>
      </c>
      <c r="J511" s="100" t="s">
        <v>1418</v>
      </c>
      <c r="K511" s="100" t="s">
        <v>976</v>
      </c>
      <c r="L511" s="98" t="s">
        <v>1060</v>
      </c>
      <c r="M511" s="98" t="s">
        <v>1060</v>
      </c>
      <c r="N511" s="98" t="s">
        <v>1031</v>
      </c>
      <c r="O511" s="98" t="s">
        <v>677</v>
      </c>
      <c r="P511" s="98" t="s">
        <v>1649</v>
      </c>
      <c r="Q511" s="98" t="s">
        <v>811</v>
      </c>
      <c r="R511" s="98" t="s">
        <v>1650</v>
      </c>
      <c r="S511" s="98" t="s">
        <v>1059</v>
      </c>
    </row>
    <row r="512" customFormat="false" ht="55" hidden="false" customHeight="true" outlineLevel="0" collapsed="false">
      <c r="C512" s="98" t="s">
        <v>1051</v>
      </c>
      <c r="D512" s="98" t="s">
        <v>1052</v>
      </c>
      <c r="E512" s="98" t="s">
        <v>1053</v>
      </c>
      <c r="F512" s="98" t="n">
        <v>46270.7484272454</v>
      </c>
      <c r="G512" s="98" t="n">
        <v>46271.5167540857</v>
      </c>
      <c r="H512" s="98" t="s">
        <v>1054</v>
      </c>
      <c r="I512" s="98" t="s">
        <v>1361</v>
      </c>
      <c r="J512" s="100" t="s">
        <v>1418</v>
      </c>
      <c r="K512" s="100" t="s">
        <v>977</v>
      </c>
      <c r="L512" s="98" t="s">
        <v>1056</v>
      </c>
      <c r="M512" s="98" t="s">
        <v>1056</v>
      </c>
      <c r="N512" s="98" t="s">
        <v>1031</v>
      </c>
      <c r="O512" s="98" t="s">
        <v>677</v>
      </c>
      <c r="P512" s="98" t="s">
        <v>1651</v>
      </c>
      <c r="Q512" s="98" t="s">
        <v>811</v>
      </c>
      <c r="R512" s="98" t="s">
        <v>1367</v>
      </c>
      <c r="S512" s="98" t="s">
        <v>1059</v>
      </c>
    </row>
    <row r="513" customFormat="false" ht="55" hidden="false" customHeight="true" outlineLevel="0" collapsed="false">
      <c r="C513" s="98" t="s">
        <v>1051</v>
      </c>
      <c r="D513" s="98" t="s">
        <v>1052</v>
      </c>
      <c r="E513" s="98" t="s">
        <v>1053</v>
      </c>
      <c r="F513" s="98" t="n">
        <v>46270.7484272454</v>
      </c>
      <c r="G513" s="98" t="n">
        <v>46271.5167540857</v>
      </c>
      <c r="H513" s="98" t="s">
        <v>1054</v>
      </c>
      <c r="I513" s="98" t="s">
        <v>1361</v>
      </c>
      <c r="J513" s="100" t="s">
        <v>1418</v>
      </c>
      <c r="K513" s="100" t="s">
        <v>977</v>
      </c>
      <c r="L513" s="98" t="s">
        <v>1060</v>
      </c>
      <c r="M513" s="98" t="s">
        <v>1060</v>
      </c>
      <c r="N513" s="98" t="s">
        <v>1031</v>
      </c>
      <c r="O513" s="98" t="s">
        <v>677</v>
      </c>
      <c r="P513" s="98" t="s">
        <v>1652</v>
      </c>
      <c r="Q513" s="98" t="s">
        <v>811</v>
      </c>
      <c r="R513" s="98" t="s">
        <v>1369</v>
      </c>
      <c r="S513" s="98" t="s">
        <v>1059</v>
      </c>
    </row>
    <row r="514" customFormat="false" ht="55" hidden="false" customHeight="true" outlineLevel="0" collapsed="false">
      <c r="C514" s="98" t="s">
        <v>1051</v>
      </c>
      <c r="D514" s="98" t="s">
        <v>1052</v>
      </c>
      <c r="E514" s="98" t="s">
        <v>1053</v>
      </c>
      <c r="F514" s="98" t="n">
        <v>46270.7484272454</v>
      </c>
      <c r="G514" s="98" t="n">
        <v>46271.5167540857</v>
      </c>
      <c r="H514" s="98" t="s">
        <v>1054</v>
      </c>
      <c r="I514" s="98" t="s">
        <v>1361</v>
      </c>
      <c r="J514" s="100" t="s">
        <v>1418</v>
      </c>
      <c r="K514" s="100" t="s">
        <v>978</v>
      </c>
      <c r="L514" s="98" t="s">
        <v>1056</v>
      </c>
      <c r="M514" s="98" t="s">
        <v>1056</v>
      </c>
      <c r="N514" s="98" t="s">
        <v>1031</v>
      </c>
      <c r="O514" s="98" t="s">
        <v>677</v>
      </c>
      <c r="P514" s="98"/>
      <c r="Q514" s="98" t="s">
        <v>811</v>
      </c>
      <c r="R514" s="98"/>
      <c r="S514" s="98" t="s">
        <v>1059</v>
      </c>
    </row>
    <row r="515" customFormat="false" ht="55" hidden="false" customHeight="true" outlineLevel="0" collapsed="false">
      <c r="C515" s="98" t="s">
        <v>1051</v>
      </c>
      <c r="D515" s="98" t="s">
        <v>1052</v>
      </c>
      <c r="E515" s="98" t="s">
        <v>1053</v>
      </c>
      <c r="F515" s="98" t="n">
        <v>46270.7484272454</v>
      </c>
      <c r="G515" s="98" t="n">
        <v>46271.5167540857</v>
      </c>
      <c r="H515" s="98" t="s">
        <v>1054</v>
      </c>
      <c r="I515" s="98" t="s">
        <v>1361</v>
      </c>
      <c r="J515" s="100" t="s">
        <v>1418</v>
      </c>
      <c r="K515" s="100" t="s">
        <v>978</v>
      </c>
      <c r="L515" s="98" t="s">
        <v>1060</v>
      </c>
      <c r="M515" s="98" t="s">
        <v>1060</v>
      </c>
      <c r="N515" s="98" t="s">
        <v>1031</v>
      </c>
      <c r="O515" s="98" t="s">
        <v>677</v>
      </c>
      <c r="P515" s="98"/>
      <c r="Q515" s="98" t="s">
        <v>811</v>
      </c>
      <c r="R515" s="98"/>
      <c r="S515" s="98" t="s">
        <v>1059</v>
      </c>
    </row>
    <row r="516" customFormat="false" ht="55" hidden="false" customHeight="true" outlineLevel="0" collapsed="false">
      <c r="C516" s="98" t="s">
        <v>1051</v>
      </c>
      <c r="D516" s="98" t="s">
        <v>1052</v>
      </c>
      <c r="E516" s="98" t="s">
        <v>1053</v>
      </c>
      <c r="F516" s="98" t="n">
        <v>46270.7484272454</v>
      </c>
      <c r="G516" s="98" t="n">
        <v>46271.5167540857</v>
      </c>
      <c r="H516" s="98" t="s">
        <v>1054</v>
      </c>
      <c r="I516" s="98" t="s">
        <v>1361</v>
      </c>
      <c r="J516" s="100" t="s">
        <v>1418</v>
      </c>
      <c r="K516" s="100" t="s">
        <v>979</v>
      </c>
      <c r="L516" s="98" t="s">
        <v>1056</v>
      </c>
      <c r="M516" s="98" t="s">
        <v>1056</v>
      </c>
      <c r="N516" s="98" t="s">
        <v>1031</v>
      </c>
      <c r="O516" s="98" t="s">
        <v>677</v>
      </c>
      <c r="P516" s="98" t="s">
        <v>1653</v>
      </c>
      <c r="Q516" s="98" t="s">
        <v>811</v>
      </c>
      <c r="R516" s="98" t="s">
        <v>1654</v>
      </c>
      <c r="S516" s="98" t="s">
        <v>1059</v>
      </c>
    </row>
    <row r="517" customFormat="false" ht="55" hidden="false" customHeight="true" outlineLevel="0" collapsed="false">
      <c r="C517" s="98" t="s">
        <v>1051</v>
      </c>
      <c r="D517" s="98" t="s">
        <v>1052</v>
      </c>
      <c r="E517" s="98" t="s">
        <v>1053</v>
      </c>
      <c r="F517" s="98" t="n">
        <v>46270.7484272454</v>
      </c>
      <c r="G517" s="98" t="n">
        <v>46271.5167540857</v>
      </c>
      <c r="H517" s="98" t="s">
        <v>1054</v>
      </c>
      <c r="I517" s="98" t="s">
        <v>1361</v>
      </c>
      <c r="J517" s="100" t="s">
        <v>1418</v>
      </c>
      <c r="K517" s="100" t="s">
        <v>979</v>
      </c>
      <c r="L517" s="98" t="s">
        <v>1060</v>
      </c>
      <c r="M517" s="98" t="s">
        <v>1060</v>
      </c>
      <c r="N517" s="98" t="s">
        <v>1031</v>
      </c>
      <c r="O517" s="98" t="s">
        <v>677</v>
      </c>
      <c r="P517" s="98" t="s">
        <v>1655</v>
      </c>
      <c r="Q517" s="98" t="s">
        <v>811</v>
      </c>
      <c r="R517" s="98" t="s">
        <v>1656</v>
      </c>
      <c r="S517" s="98" t="s">
        <v>1059</v>
      </c>
    </row>
    <row r="518" customFormat="false" ht="55" hidden="false" customHeight="true" outlineLevel="0" collapsed="false">
      <c r="C518" s="98" t="s">
        <v>1051</v>
      </c>
      <c r="D518" s="98" t="s">
        <v>1052</v>
      </c>
      <c r="E518" s="98" t="s">
        <v>1053</v>
      </c>
      <c r="F518" s="98" t="n">
        <v>46270.7484272454</v>
      </c>
      <c r="G518" s="98" t="n">
        <v>46271.5167540857</v>
      </c>
      <c r="H518" s="98" t="s">
        <v>1054</v>
      </c>
      <c r="I518" s="98" t="s">
        <v>1361</v>
      </c>
      <c r="J518" s="100" t="s">
        <v>1418</v>
      </c>
      <c r="K518" s="100" t="s">
        <v>994</v>
      </c>
      <c r="L518" s="98" t="s">
        <v>1056</v>
      </c>
      <c r="M518" s="98" t="s">
        <v>1056</v>
      </c>
      <c r="N518" s="98" t="s">
        <v>1031</v>
      </c>
      <c r="O518" s="98" t="s">
        <v>677</v>
      </c>
      <c r="P518" s="98"/>
      <c r="Q518" s="98" t="s">
        <v>811</v>
      </c>
      <c r="R518" s="98"/>
      <c r="S518" s="98" t="s">
        <v>1059</v>
      </c>
    </row>
    <row r="519" customFormat="false" ht="55" hidden="false" customHeight="true" outlineLevel="0" collapsed="false">
      <c r="C519" s="98" t="s">
        <v>1051</v>
      </c>
      <c r="D519" s="98" t="s">
        <v>1052</v>
      </c>
      <c r="E519" s="98" t="s">
        <v>1053</v>
      </c>
      <c r="F519" s="98" t="n">
        <v>46270.7484272454</v>
      </c>
      <c r="G519" s="98" t="n">
        <v>46271.5167540857</v>
      </c>
      <c r="H519" s="98" t="s">
        <v>1054</v>
      </c>
      <c r="I519" s="98" t="s">
        <v>1361</v>
      </c>
      <c r="J519" s="100" t="s">
        <v>1418</v>
      </c>
      <c r="K519" s="100" t="s">
        <v>994</v>
      </c>
      <c r="L519" s="98" t="s">
        <v>1060</v>
      </c>
      <c r="M519" s="98" t="s">
        <v>1060</v>
      </c>
      <c r="N519" s="98" t="s">
        <v>1031</v>
      </c>
      <c r="O519" s="98" t="s">
        <v>677</v>
      </c>
      <c r="P519" s="98"/>
      <c r="Q519" s="98" t="s">
        <v>811</v>
      </c>
      <c r="R519" s="98"/>
      <c r="S519" s="98" t="s">
        <v>1059</v>
      </c>
    </row>
    <row r="520" customFormat="false" ht="55" hidden="false" customHeight="true" outlineLevel="0" collapsed="false">
      <c r="C520" s="98" t="s">
        <v>1051</v>
      </c>
      <c r="D520" s="98" t="s">
        <v>1052</v>
      </c>
      <c r="E520" s="98" t="s">
        <v>1053</v>
      </c>
      <c r="F520" s="98" t="n">
        <v>46270.7484272454</v>
      </c>
      <c r="G520" s="98" t="n">
        <v>46271.5167540857</v>
      </c>
      <c r="H520" s="98" t="s">
        <v>1054</v>
      </c>
      <c r="I520" s="98" t="s">
        <v>1361</v>
      </c>
      <c r="J520" s="100" t="s">
        <v>1418</v>
      </c>
      <c r="K520" s="100" t="s">
        <v>981</v>
      </c>
      <c r="L520" s="98" t="s">
        <v>1056</v>
      </c>
      <c r="M520" s="98" t="s">
        <v>1056</v>
      </c>
      <c r="N520" s="98" t="s">
        <v>1031</v>
      </c>
      <c r="O520" s="98" t="s">
        <v>677</v>
      </c>
      <c r="P520" s="98" t="s">
        <v>1657</v>
      </c>
      <c r="Q520" s="98" t="s">
        <v>811</v>
      </c>
      <c r="R520" s="98" t="s">
        <v>1658</v>
      </c>
      <c r="S520" s="98" t="s">
        <v>1059</v>
      </c>
    </row>
    <row r="521" customFormat="false" ht="55" hidden="false" customHeight="true" outlineLevel="0" collapsed="false">
      <c r="C521" s="98" t="s">
        <v>1051</v>
      </c>
      <c r="D521" s="98" t="s">
        <v>1052</v>
      </c>
      <c r="E521" s="98" t="s">
        <v>1053</v>
      </c>
      <c r="F521" s="98" t="n">
        <v>46270.7484272454</v>
      </c>
      <c r="G521" s="98" t="n">
        <v>46271.5167540857</v>
      </c>
      <c r="H521" s="98" t="s">
        <v>1054</v>
      </c>
      <c r="I521" s="98" t="s">
        <v>1361</v>
      </c>
      <c r="J521" s="100" t="s">
        <v>1418</v>
      </c>
      <c r="K521" s="100" t="s">
        <v>981</v>
      </c>
      <c r="L521" s="98" t="s">
        <v>1060</v>
      </c>
      <c r="M521" s="98" t="s">
        <v>1060</v>
      </c>
      <c r="N521" s="98" t="s">
        <v>1031</v>
      </c>
      <c r="O521" s="98" t="s">
        <v>677</v>
      </c>
      <c r="P521" s="98" t="s">
        <v>1659</v>
      </c>
      <c r="Q521" s="98" t="s">
        <v>811</v>
      </c>
      <c r="R521" s="98" t="s">
        <v>1660</v>
      </c>
      <c r="S521" s="98" t="s">
        <v>1059</v>
      </c>
    </row>
    <row r="522" customFormat="false" ht="55" hidden="false" customHeight="true" outlineLevel="0" collapsed="false">
      <c r="C522" s="98" t="s">
        <v>1051</v>
      </c>
      <c r="D522" s="98" t="s">
        <v>1052</v>
      </c>
      <c r="E522" s="98" t="s">
        <v>1053</v>
      </c>
      <c r="F522" s="98" t="n">
        <v>46270.7484272454</v>
      </c>
      <c r="G522" s="98" t="n">
        <v>46271.5167540857</v>
      </c>
      <c r="H522" s="98" t="s">
        <v>1054</v>
      </c>
      <c r="I522" s="98" t="s">
        <v>1361</v>
      </c>
      <c r="J522" s="100" t="s">
        <v>1418</v>
      </c>
      <c r="K522" s="100" t="s">
        <v>982</v>
      </c>
      <c r="L522" s="98" t="s">
        <v>1056</v>
      </c>
      <c r="M522" s="98" t="s">
        <v>1056</v>
      </c>
      <c r="N522" s="98" t="s">
        <v>1031</v>
      </c>
      <c r="O522" s="98" t="s">
        <v>677</v>
      </c>
      <c r="P522" s="98"/>
      <c r="Q522" s="98" t="s">
        <v>811</v>
      </c>
      <c r="R522" s="98"/>
      <c r="S522" s="98" t="s">
        <v>1059</v>
      </c>
    </row>
    <row r="523" customFormat="false" ht="55" hidden="false" customHeight="true" outlineLevel="0" collapsed="false">
      <c r="C523" s="98" t="s">
        <v>1051</v>
      </c>
      <c r="D523" s="98" t="s">
        <v>1052</v>
      </c>
      <c r="E523" s="98" t="s">
        <v>1053</v>
      </c>
      <c r="F523" s="98" t="n">
        <v>46270.7484272454</v>
      </c>
      <c r="G523" s="98" t="n">
        <v>46271.5167540857</v>
      </c>
      <c r="H523" s="98" t="s">
        <v>1054</v>
      </c>
      <c r="I523" s="98" t="s">
        <v>1361</v>
      </c>
      <c r="J523" s="100" t="s">
        <v>1418</v>
      </c>
      <c r="K523" s="100" t="s">
        <v>982</v>
      </c>
      <c r="L523" s="98" t="s">
        <v>1060</v>
      </c>
      <c r="M523" s="98" t="s">
        <v>1060</v>
      </c>
      <c r="N523" s="98" t="s">
        <v>1031</v>
      </c>
      <c r="O523" s="98" t="s">
        <v>677</v>
      </c>
      <c r="P523" s="98"/>
      <c r="Q523" s="98" t="s">
        <v>811</v>
      </c>
      <c r="R523" s="98"/>
      <c r="S523" s="98" t="s">
        <v>1059</v>
      </c>
    </row>
    <row r="524" customFormat="false" ht="55" hidden="false" customHeight="true" outlineLevel="0" collapsed="false">
      <c r="C524" s="98" t="s">
        <v>1051</v>
      </c>
      <c r="D524" s="98" t="s">
        <v>1052</v>
      </c>
      <c r="E524" s="98" t="s">
        <v>1053</v>
      </c>
      <c r="F524" s="98" t="n">
        <v>46270.7484272454</v>
      </c>
      <c r="G524" s="98" t="n">
        <v>46271.5167540857</v>
      </c>
      <c r="H524" s="98" t="s">
        <v>1054</v>
      </c>
      <c r="I524" s="98" t="s">
        <v>1370</v>
      </c>
      <c r="J524" s="100" t="s">
        <v>1418</v>
      </c>
      <c r="K524" s="100" t="s">
        <v>983</v>
      </c>
      <c r="L524" s="98" t="s">
        <v>1056</v>
      </c>
      <c r="M524" s="98" t="s">
        <v>1056</v>
      </c>
      <c r="N524" s="98" t="s">
        <v>1031</v>
      </c>
      <c r="O524" s="98" t="s">
        <v>677</v>
      </c>
      <c r="P524" s="98" t="s">
        <v>1661</v>
      </c>
      <c r="Q524" s="98" t="s">
        <v>811</v>
      </c>
      <c r="R524" s="98" t="s">
        <v>1662</v>
      </c>
      <c r="S524" s="98" t="s">
        <v>1059</v>
      </c>
    </row>
    <row r="525" customFormat="false" ht="55" hidden="false" customHeight="true" outlineLevel="0" collapsed="false">
      <c r="C525" s="98" t="s">
        <v>1051</v>
      </c>
      <c r="D525" s="98" t="s">
        <v>1052</v>
      </c>
      <c r="E525" s="98" t="s">
        <v>1053</v>
      </c>
      <c r="F525" s="98" t="n">
        <v>46270.7484272454</v>
      </c>
      <c r="G525" s="98" t="n">
        <v>46271.5167540857</v>
      </c>
      <c r="H525" s="98" t="s">
        <v>1054</v>
      </c>
      <c r="I525" s="98" t="s">
        <v>1370</v>
      </c>
      <c r="J525" s="100" t="s">
        <v>1418</v>
      </c>
      <c r="K525" s="100" t="s">
        <v>983</v>
      </c>
      <c r="L525" s="98" t="s">
        <v>1060</v>
      </c>
      <c r="M525" s="98" t="s">
        <v>1060</v>
      </c>
      <c r="N525" s="98" t="s">
        <v>1031</v>
      </c>
      <c r="O525" s="98" t="s">
        <v>677</v>
      </c>
      <c r="P525" s="98" t="s">
        <v>1663</v>
      </c>
      <c r="Q525" s="98" t="s">
        <v>811</v>
      </c>
      <c r="R525" s="98" t="s">
        <v>1664</v>
      </c>
      <c r="S525" s="98" t="s">
        <v>1059</v>
      </c>
    </row>
    <row r="526" customFormat="false" ht="55" hidden="false" customHeight="true" outlineLevel="0" collapsed="false">
      <c r="C526" s="98" t="s">
        <v>1051</v>
      </c>
      <c r="D526" s="98" t="s">
        <v>1052</v>
      </c>
      <c r="E526" s="98" t="s">
        <v>1053</v>
      </c>
      <c r="F526" s="98" t="n">
        <v>46270.7484272454</v>
      </c>
      <c r="G526" s="98" t="n">
        <v>46271.5167540857</v>
      </c>
      <c r="H526" s="98" t="s">
        <v>1054</v>
      </c>
      <c r="I526" s="98" t="s">
        <v>1370</v>
      </c>
      <c r="J526" s="100" t="s">
        <v>1418</v>
      </c>
      <c r="K526" s="100" t="s">
        <v>985</v>
      </c>
      <c r="L526" s="98" t="s">
        <v>1056</v>
      </c>
      <c r="M526" s="98" t="s">
        <v>1056</v>
      </c>
      <c r="N526" s="98" t="s">
        <v>1031</v>
      </c>
      <c r="O526" s="98" t="s">
        <v>677</v>
      </c>
      <c r="P526" s="98" t="s">
        <v>1665</v>
      </c>
      <c r="Q526" s="98" t="s">
        <v>811</v>
      </c>
      <c r="R526" s="98" t="s">
        <v>1666</v>
      </c>
      <c r="S526" s="98" t="s">
        <v>1059</v>
      </c>
    </row>
    <row r="527" customFormat="false" ht="55" hidden="false" customHeight="true" outlineLevel="0" collapsed="false">
      <c r="C527" s="98" t="s">
        <v>1051</v>
      </c>
      <c r="D527" s="98" t="s">
        <v>1052</v>
      </c>
      <c r="E527" s="98" t="s">
        <v>1053</v>
      </c>
      <c r="F527" s="98" t="n">
        <v>46270.7484272454</v>
      </c>
      <c r="G527" s="98" t="n">
        <v>46271.5167540857</v>
      </c>
      <c r="H527" s="98" t="s">
        <v>1054</v>
      </c>
      <c r="I527" s="98" t="s">
        <v>1370</v>
      </c>
      <c r="J527" s="100" t="s">
        <v>1418</v>
      </c>
      <c r="K527" s="100" t="s">
        <v>985</v>
      </c>
      <c r="L527" s="98" t="s">
        <v>1060</v>
      </c>
      <c r="M527" s="98" t="s">
        <v>1060</v>
      </c>
      <c r="N527" s="98" t="s">
        <v>1031</v>
      </c>
      <c r="O527" s="98" t="s">
        <v>677</v>
      </c>
      <c r="P527" s="98" t="s">
        <v>1667</v>
      </c>
      <c r="Q527" s="98" t="s">
        <v>811</v>
      </c>
      <c r="R527" s="98" t="s">
        <v>1668</v>
      </c>
      <c r="S527" s="98" t="s">
        <v>1059</v>
      </c>
    </row>
    <row r="528" customFormat="false" ht="55" hidden="false" customHeight="true" outlineLevel="0" collapsed="false">
      <c r="C528" s="98" t="s">
        <v>1051</v>
      </c>
      <c r="D528" s="98" t="s">
        <v>1052</v>
      </c>
      <c r="E528" s="98" t="s">
        <v>1053</v>
      </c>
      <c r="F528" s="98" t="n">
        <v>46270.7484272454</v>
      </c>
      <c r="G528" s="98" t="n">
        <v>46271.5167540857</v>
      </c>
      <c r="H528" s="98" t="s">
        <v>1054</v>
      </c>
      <c r="I528" s="98" t="s">
        <v>1370</v>
      </c>
      <c r="J528" s="100" t="s">
        <v>1418</v>
      </c>
      <c r="K528" s="100" t="s">
        <v>986</v>
      </c>
      <c r="L528" s="98" t="s">
        <v>1056</v>
      </c>
      <c r="M528" s="98" t="s">
        <v>1056</v>
      </c>
      <c r="N528" s="98" t="s">
        <v>1031</v>
      </c>
      <c r="O528" s="98" t="s">
        <v>677</v>
      </c>
      <c r="P528" s="98" t="s">
        <v>1669</v>
      </c>
      <c r="Q528" s="98" t="s">
        <v>811</v>
      </c>
      <c r="R528" s="98" t="s">
        <v>1670</v>
      </c>
      <c r="S528" s="98" t="s">
        <v>1059</v>
      </c>
    </row>
    <row r="529" customFormat="false" ht="55" hidden="false" customHeight="true" outlineLevel="0" collapsed="false">
      <c r="C529" s="98" t="s">
        <v>1051</v>
      </c>
      <c r="D529" s="98" t="s">
        <v>1052</v>
      </c>
      <c r="E529" s="98" t="s">
        <v>1053</v>
      </c>
      <c r="F529" s="98" t="n">
        <v>46270.7484272454</v>
      </c>
      <c r="G529" s="98" t="n">
        <v>46271.5167540857</v>
      </c>
      <c r="H529" s="98" t="s">
        <v>1054</v>
      </c>
      <c r="I529" s="98" t="s">
        <v>1370</v>
      </c>
      <c r="J529" s="100" t="s">
        <v>1418</v>
      </c>
      <c r="K529" s="100" t="s">
        <v>986</v>
      </c>
      <c r="L529" s="98" t="s">
        <v>1060</v>
      </c>
      <c r="M529" s="98" t="s">
        <v>1060</v>
      </c>
      <c r="N529" s="98" t="s">
        <v>1031</v>
      </c>
      <c r="O529" s="98" t="s">
        <v>677</v>
      </c>
      <c r="P529" s="98" t="s">
        <v>1671</v>
      </c>
      <c r="Q529" s="98" t="s">
        <v>811</v>
      </c>
      <c r="R529" s="98" t="s">
        <v>1672</v>
      </c>
      <c r="S529" s="98" t="s">
        <v>1059</v>
      </c>
    </row>
    <row r="530" customFormat="false" ht="55" hidden="false" customHeight="true" outlineLevel="0" collapsed="false">
      <c r="C530" s="98" t="s">
        <v>1051</v>
      </c>
      <c r="D530" s="98" t="s">
        <v>1052</v>
      </c>
      <c r="E530" s="98" t="s">
        <v>1053</v>
      </c>
      <c r="F530" s="98" t="n">
        <v>46270.7484272454</v>
      </c>
      <c r="G530" s="98" t="n">
        <v>46271.5167540857</v>
      </c>
      <c r="H530" s="98" t="s">
        <v>1054</v>
      </c>
      <c r="I530" s="98" t="s">
        <v>1370</v>
      </c>
      <c r="J530" s="100" t="s">
        <v>1418</v>
      </c>
      <c r="K530" s="100" t="s">
        <v>996</v>
      </c>
      <c r="L530" s="98" t="s">
        <v>1056</v>
      </c>
      <c r="M530" s="98" t="s">
        <v>1056</v>
      </c>
      <c r="N530" s="98" t="s">
        <v>1031</v>
      </c>
      <c r="O530" s="98" t="s">
        <v>677</v>
      </c>
      <c r="P530" s="98"/>
      <c r="Q530" s="98" t="s">
        <v>811</v>
      </c>
      <c r="R530" s="98"/>
      <c r="S530" s="98" t="s">
        <v>1059</v>
      </c>
    </row>
    <row r="531" customFormat="false" ht="55" hidden="false" customHeight="true" outlineLevel="0" collapsed="false">
      <c r="C531" s="98" t="s">
        <v>1051</v>
      </c>
      <c r="D531" s="98" t="s">
        <v>1052</v>
      </c>
      <c r="E531" s="98" t="s">
        <v>1053</v>
      </c>
      <c r="F531" s="98" t="n">
        <v>46270.7484272454</v>
      </c>
      <c r="G531" s="98" t="n">
        <v>46271.5167540857</v>
      </c>
      <c r="H531" s="98" t="s">
        <v>1054</v>
      </c>
      <c r="I531" s="98" t="s">
        <v>1370</v>
      </c>
      <c r="J531" s="100" t="s">
        <v>1418</v>
      </c>
      <c r="K531" s="100" t="s">
        <v>996</v>
      </c>
      <c r="L531" s="98" t="s">
        <v>1060</v>
      </c>
      <c r="M531" s="98" t="s">
        <v>1060</v>
      </c>
      <c r="N531" s="98" t="s">
        <v>1031</v>
      </c>
      <c r="O531" s="98" t="s">
        <v>677</v>
      </c>
      <c r="P531" s="98"/>
      <c r="Q531" s="98" t="s">
        <v>811</v>
      </c>
      <c r="R531" s="98"/>
      <c r="S531" s="98" t="s">
        <v>1059</v>
      </c>
    </row>
    <row r="532" customFormat="false" ht="55" hidden="false" customHeight="true" outlineLevel="0" collapsed="false">
      <c r="C532" s="98" t="s">
        <v>1051</v>
      </c>
      <c r="D532" s="98" t="s">
        <v>1052</v>
      </c>
      <c r="E532" s="98" t="s">
        <v>1053</v>
      </c>
      <c r="F532" s="98" t="n">
        <v>46270.7484272454</v>
      </c>
      <c r="G532" s="98" t="n">
        <v>46271.5167540857</v>
      </c>
      <c r="H532" s="98" t="s">
        <v>1054</v>
      </c>
      <c r="I532" s="98" t="s">
        <v>1370</v>
      </c>
      <c r="J532" s="100" t="s">
        <v>1418</v>
      </c>
      <c r="K532" s="100" t="s">
        <v>987</v>
      </c>
      <c r="L532" s="98" t="s">
        <v>1056</v>
      </c>
      <c r="M532" s="98" t="s">
        <v>1056</v>
      </c>
      <c r="N532" s="98" t="s">
        <v>1031</v>
      </c>
      <c r="O532" s="98" t="s">
        <v>677</v>
      </c>
      <c r="P532" s="98" t="s">
        <v>1673</v>
      </c>
      <c r="Q532" s="98" t="s">
        <v>811</v>
      </c>
      <c r="R532" s="98" t="s">
        <v>1674</v>
      </c>
      <c r="S532" s="98" t="s">
        <v>1059</v>
      </c>
    </row>
    <row r="533" customFormat="false" ht="55" hidden="false" customHeight="true" outlineLevel="0" collapsed="false">
      <c r="C533" s="98" t="s">
        <v>1051</v>
      </c>
      <c r="D533" s="98" t="s">
        <v>1052</v>
      </c>
      <c r="E533" s="98" t="s">
        <v>1053</v>
      </c>
      <c r="F533" s="98" t="n">
        <v>46270.7484272454</v>
      </c>
      <c r="G533" s="98" t="n">
        <v>46271.5167540857</v>
      </c>
      <c r="H533" s="98" t="s">
        <v>1054</v>
      </c>
      <c r="I533" s="98" t="s">
        <v>1370</v>
      </c>
      <c r="J533" s="100" t="s">
        <v>1418</v>
      </c>
      <c r="K533" s="100" t="s">
        <v>987</v>
      </c>
      <c r="L533" s="98" t="s">
        <v>1060</v>
      </c>
      <c r="M533" s="98" t="s">
        <v>1060</v>
      </c>
      <c r="N533" s="98" t="s">
        <v>1031</v>
      </c>
      <c r="O533" s="98" t="s">
        <v>677</v>
      </c>
      <c r="P533" s="98" t="s">
        <v>1675</v>
      </c>
      <c r="Q533" s="98" t="s">
        <v>811</v>
      </c>
      <c r="R533" s="98" t="s">
        <v>1676</v>
      </c>
      <c r="S533" s="98" t="s">
        <v>1059</v>
      </c>
    </row>
    <row r="534" customFormat="false" ht="55" hidden="false" customHeight="true" outlineLevel="0" collapsed="false">
      <c r="C534" s="98" t="s">
        <v>1051</v>
      </c>
      <c r="D534" s="98" t="s">
        <v>1052</v>
      </c>
      <c r="E534" s="98" t="s">
        <v>1053</v>
      </c>
      <c r="F534" s="98" t="n">
        <v>46270.7484272454</v>
      </c>
      <c r="G534" s="98" t="n">
        <v>46271.5167540857</v>
      </c>
      <c r="H534" s="98" t="s">
        <v>1054</v>
      </c>
      <c r="I534" s="98" t="s">
        <v>1370</v>
      </c>
      <c r="J534" s="100" t="s">
        <v>1418</v>
      </c>
      <c r="K534" s="100" t="s">
        <v>988</v>
      </c>
      <c r="L534" s="98" t="s">
        <v>1056</v>
      </c>
      <c r="M534" s="98" t="s">
        <v>1056</v>
      </c>
      <c r="N534" s="98" t="s">
        <v>1031</v>
      </c>
      <c r="O534" s="98" t="s">
        <v>677</v>
      </c>
      <c r="P534" s="98" t="s">
        <v>1677</v>
      </c>
      <c r="Q534" s="98" t="s">
        <v>811</v>
      </c>
      <c r="R534" s="98" t="s">
        <v>1678</v>
      </c>
      <c r="S534" s="98" t="s">
        <v>1059</v>
      </c>
    </row>
    <row r="535" customFormat="false" ht="55" hidden="false" customHeight="true" outlineLevel="0" collapsed="false">
      <c r="C535" s="98" t="s">
        <v>1051</v>
      </c>
      <c r="D535" s="98" t="s">
        <v>1052</v>
      </c>
      <c r="E535" s="98" t="s">
        <v>1053</v>
      </c>
      <c r="F535" s="98" t="n">
        <v>46270.7484272454</v>
      </c>
      <c r="G535" s="98" t="n">
        <v>46271.5167540857</v>
      </c>
      <c r="H535" s="98" t="s">
        <v>1054</v>
      </c>
      <c r="I535" s="98" t="s">
        <v>1370</v>
      </c>
      <c r="J535" s="100" t="s">
        <v>1418</v>
      </c>
      <c r="K535" s="100" t="s">
        <v>988</v>
      </c>
      <c r="L535" s="98" t="s">
        <v>1060</v>
      </c>
      <c r="M535" s="98" t="s">
        <v>1060</v>
      </c>
      <c r="N535" s="98" t="s">
        <v>1031</v>
      </c>
      <c r="O535" s="98" t="s">
        <v>677</v>
      </c>
      <c r="P535" s="98" t="s">
        <v>1679</v>
      </c>
      <c r="Q535" s="98" t="s">
        <v>811</v>
      </c>
      <c r="R535" s="98" t="s">
        <v>1680</v>
      </c>
      <c r="S535" s="98" t="s">
        <v>1059</v>
      </c>
    </row>
    <row r="536" customFormat="false" ht="55" hidden="false" customHeight="true" outlineLevel="0" collapsed="false">
      <c r="C536" s="98" t="s">
        <v>1051</v>
      </c>
      <c r="D536" s="98" t="s">
        <v>1052</v>
      </c>
      <c r="E536" s="98" t="s">
        <v>1053</v>
      </c>
      <c r="F536" s="98" t="n">
        <v>46270.7484272454</v>
      </c>
      <c r="G536" s="98" t="n">
        <v>46271.5167540857</v>
      </c>
      <c r="H536" s="98" t="s">
        <v>1054</v>
      </c>
      <c r="I536" s="98" t="s">
        <v>1370</v>
      </c>
      <c r="J536" s="100" t="s">
        <v>1418</v>
      </c>
      <c r="K536" s="100" t="s">
        <v>989</v>
      </c>
      <c r="L536" s="98" t="s">
        <v>1056</v>
      </c>
      <c r="M536" s="98" t="s">
        <v>1056</v>
      </c>
      <c r="N536" s="98" t="s">
        <v>1031</v>
      </c>
      <c r="O536" s="98" t="s">
        <v>677</v>
      </c>
      <c r="P536" s="98" t="s">
        <v>1681</v>
      </c>
      <c r="Q536" s="98" t="s">
        <v>811</v>
      </c>
      <c r="R536" s="98" t="s">
        <v>1372</v>
      </c>
      <c r="S536" s="98" t="s">
        <v>1059</v>
      </c>
    </row>
    <row r="537" customFormat="false" ht="55" hidden="false" customHeight="true" outlineLevel="0" collapsed="false">
      <c r="C537" s="98" t="s">
        <v>1051</v>
      </c>
      <c r="D537" s="98" t="s">
        <v>1052</v>
      </c>
      <c r="E537" s="98" t="s">
        <v>1053</v>
      </c>
      <c r="F537" s="98" t="n">
        <v>46270.7484272454</v>
      </c>
      <c r="G537" s="98" t="n">
        <v>46271.5167540857</v>
      </c>
      <c r="H537" s="98" t="s">
        <v>1054</v>
      </c>
      <c r="I537" s="98" t="s">
        <v>1370</v>
      </c>
      <c r="J537" s="100" t="s">
        <v>1418</v>
      </c>
      <c r="K537" s="100" t="s">
        <v>989</v>
      </c>
      <c r="L537" s="98" t="s">
        <v>1060</v>
      </c>
      <c r="M537" s="98" t="s">
        <v>1060</v>
      </c>
      <c r="N537" s="98" t="s">
        <v>1031</v>
      </c>
      <c r="O537" s="98" t="s">
        <v>677</v>
      </c>
      <c r="P537" s="98" t="s">
        <v>1682</v>
      </c>
      <c r="Q537" s="98" t="s">
        <v>811</v>
      </c>
      <c r="R537" s="98" t="s">
        <v>1374</v>
      </c>
      <c r="S537" s="98" t="s">
        <v>1059</v>
      </c>
    </row>
    <row r="538" customFormat="false" ht="55" hidden="false" customHeight="true" outlineLevel="0" collapsed="false">
      <c r="C538" s="98" t="s">
        <v>1051</v>
      </c>
      <c r="D538" s="98" t="s">
        <v>1052</v>
      </c>
      <c r="E538" s="98" t="s">
        <v>1053</v>
      </c>
      <c r="F538" s="98" t="n">
        <v>46270.7484272454</v>
      </c>
      <c r="G538" s="98" t="n">
        <v>46271.5167540857</v>
      </c>
      <c r="H538" s="98" t="s">
        <v>1054</v>
      </c>
      <c r="I538" s="98" t="s">
        <v>1370</v>
      </c>
      <c r="J538" s="100" t="s">
        <v>1418</v>
      </c>
      <c r="K538" s="100" t="s">
        <v>990</v>
      </c>
      <c r="L538" s="98" t="s">
        <v>1056</v>
      </c>
      <c r="M538" s="98" t="s">
        <v>1056</v>
      </c>
      <c r="N538" s="98" t="s">
        <v>1031</v>
      </c>
      <c r="O538" s="98" t="s">
        <v>677</v>
      </c>
      <c r="P538" s="98" t="s">
        <v>1683</v>
      </c>
      <c r="Q538" s="98" t="s">
        <v>811</v>
      </c>
      <c r="R538" s="98" t="s">
        <v>1376</v>
      </c>
      <c r="S538" s="98" t="s">
        <v>1059</v>
      </c>
    </row>
    <row r="539" customFormat="false" ht="55" hidden="false" customHeight="true" outlineLevel="0" collapsed="false">
      <c r="C539" s="98" t="s">
        <v>1051</v>
      </c>
      <c r="D539" s="98" t="s">
        <v>1052</v>
      </c>
      <c r="E539" s="98" t="s">
        <v>1053</v>
      </c>
      <c r="F539" s="98" t="n">
        <v>46270.7484272454</v>
      </c>
      <c r="G539" s="98" t="n">
        <v>46271.5167540857</v>
      </c>
      <c r="H539" s="98" t="s">
        <v>1054</v>
      </c>
      <c r="I539" s="98" t="s">
        <v>1370</v>
      </c>
      <c r="J539" s="100" t="s">
        <v>1418</v>
      </c>
      <c r="K539" s="100" t="s">
        <v>990</v>
      </c>
      <c r="L539" s="98" t="s">
        <v>1060</v>
      </c>
      <c r="M539" s="98" t="s">
        <v>1060</v>
      </c>
      <c r="N539" s="98" t="s">
        <v>1031</v>
      </c>
      <c r="O539" s="98" t="s">
        <v>677</v>
      </c>
      <c r="P539" s="98" t="s">
        <v>1684</v>
      </c>
      <c r="Q539" s="98" t="s">
        <v>811</v>
      </c>
      <c r="R539" s="98" t="s">
        <v>1378</v>
      </c>
      <c r="S539" s="98" t="s">
        <v>1059</v>
      </c>
    </row>
    <row r="540" customFormat="false" ht="55" hidden="false" customHeight="true" outlineLevel="0" collapsed="false">
      <c r="C540" s="98" t="s">
        <v>1051</v>
      </c>
      <c r="D540" s="98" t="s">
        <v>1052</v>
      </c>
      <c r="E540" s="98" t="s">
        <v>1053</v>
      </c>
      <c r="F540" s="98" t="n">
        <v>46270.7484272454</v>
      </c>
      <c r="G540" s="98" t="n">
        <v>46271.5167540857</v>
      </c>
      <c r="H540" s="98" t="s">
        <v>1054</v>
      </c>
      <c r="I540" s="98" t="s">
        <v>1370</v>
      </c>
      <c r="J540" s="100" t="s">
        <v>1418</v>
      </c>
      <c r="K540" s="100" t="s">
        <v>991</v>
      </c>
      <c r="L540" s="98" t="s">
        <v>1056</v>
      </c>
      <c r="M540" s="98" t="s">
        <v>1056</v>
      </c>
      <c r="N540" s="98" t="s">
        <v>1031</v>
      </c>
      <c r="O540" s="98" t="s">
        <v>677</v>
      </c>
      <c r="P540" s="98" t="s">
        <v>1685</v>
      </c>
      <c r="Q540" s="98" t="s">
        <v>811</v>
      </c>
      <c r="R540" s="98" t="s">
        <v>1686</v>
      </c>
      <c r="S540" s="98" t="s">
        <v>1059</v>
      </c>
    </row>
    <row r="541" customFormat="false" ht="55" hidden="false" customHeight="true" outlineLevel="0" collapsed="false">
      <c r="C541" s="98" t="s">
        <v>1051</v>
      </c>
      <c r="D541" s="98" t="s">
        <v>1052</v>
      </c>
      <c r="E541" s="98" t="s">
        <v>1053</v>
      </c>
      <c r="F541" s="98" t="n">
        <v>46270.7484272454</v>
      </c>
      <c r="G541" s="98" t="n">
        <v>46271.5167540857</v>
      </c>
      <c r="H541" s="98" t="s">
        <v>1054</v>
      </c>
      <c r="I541" s="98" t="s">
        <v>1370</v>
      </c>
      <c r="J541" s="100" t="s">
        <v>1418</v>
      </c>
      <c r="K541" s="100" t="s">
        <v>991</v>
      </c>
      <c r="L541" s="98" t="s">
        <v>1060</v>
      </c>
      <c r="M541" s="98" t="s">
        <v>1060</v>
      </c>
      <c r="N541" s="98" t="s">
        <v>1031</v>
      </c>
      <c r="O541" s="98" t="s">
        <v>677</v>
      </c>
      <c r="P541" s="98" t="s">
        <v>1687</v>
      </c>
      <c r="Q541" s="98" t="s">
        <v>811</v>
      </c>
      <c r="R541" s="98" t="s">
        <v>1688</v>
      </c>
      <c r="S541" s="98" t="s">
        <v>1059</v>
      </c>
    </row>
    <row r="542" customFormat="false" ht="55" hidden="false" customHeight="true" outlineLevel="0" collapsed="false">
      <c r="C542" s="98" t="s">
        <v>1051</v>
      </c>
      <c r="D542" s="98" t="s">
        <v>1052</v>
      </c>
      <c r="E542" s="98" t="s">
        <v>1053</v>
      </c>
      <c r="F542" s="98" t="n">
        <v>46270.7484272454</v>
      </c>
      <c r="G542" s="98" t="n">
        <v>46271.5167540857</v>
      </c>
      <c r="H542" s="98" t="s">
        <v>1054</v>
      </c>
      <c r="I542" s="98" t="s">
        <v>1370</v>
      </c>
      <c r="J542" s="100" t="s">
        <v>1418</v>
      </c>
      <c r="K542" s="100" t="s">
        <v>992</v>
      </c>
      <c r="L542" s="98" t="s">
        <v>1056</v>
      </c>
      <c r="M542" s="98" t="s">
        <v>1056</v>
      </c>
      <c r="N542" s="98" t="s">
        <v>1031</v>
      </c>
      <c r="O542" s="98" t="s">
        <v>677</v>
      </c>
      <c r="P542" s="98" t="s">
        <v>1583</v>
      </c>
      <c r="Q542" s="98" t="s">
        <v>811</v>
      </c>
      <c r="R542" s="98" t="s">
        <v>1320</v>
      </c>
      <c r="S542" s="98" t="s">
        <v>1059</v>
      </c>
    </row>
    <row r="543" customFormat="false" ht="55" hidden="false" customHeight="true" outlineLevel="0" collapsed="false">
      <c r="C543" s="98" t="s">
        <v>1051</v>
      </c>
      <c r="D543" s="98" t="s">
        <v>1052</v>
      </c>
      <c r="E543" s="98" t="s">
        <v>1053</v>
      </c>
      <c r="F543" s="98" t="n">
        <v>46270.7484272454</v>
      </c>
      <c r="G543" s="98" t="n">
        <v>46271.5167540857</v>
      </c>
      <c r="H543" s="98" t="s">
        <v>1054</v>
      </c>
      <c r="I543" s="98" t="s">
        <v>1370</v>
      </c>
      <c r="J543" s="100" t="s">
        <v>1418</v>
      </c>
      <c r="K543" s="100" t="s">
        <v>992</v>
      </c>
      <c r="L543" s="98" t="s">
        <v>1060</v>
      </c>
      <c r="M543" s="98" t="s">
        <v>1060</v>
      </c>
      <c r="N543" s="98" t="s">
        <v>1031</v>
      </c>
      <c r="O543" s="98" t="s">
        <v>677</v>
      </c>
      <c r="P543" s="98" t="s">
        <v>1531</v>
      </c>
      <c r="Q543" s="98" t="s">
        <v>811</v>
      </c>
      <c r="R543" s="98" t="s">
        <v>1264</v>
      </c>
      <c r="S543" s="98" t="s">
        <v>1059</v>
      </c>
    </row>
    <row r="544" customFormat="false" ht="55" hidden="false" customHeight="true" outlineLevel="0" collapsed="false">
      <c r="C544" s="98" t="s">
        <v>1051</v>
      </c>
      <c r="D544" s="98" t="s">
        <v>1052</v>
      </c>
      <c r="E544" s="98" t="s">
        <v>1053</v>
      </c>
      <c r="F544" s="98" t="n">
        <v>46270.7484272454</v>
      </c>
      <c r="G544" s="98" t="n">
        <v>46271.5167540857</v>
      </c>
      <c r="H544" s="98" t="s">
        <v>1054</v>
      </c>
      <c r="I544" s="98" t="s">
        <v>1370</v>
      </c>
      <c r="J544" s="100" t="s">
        <v>1418</v>
      </c>
      <c r="K544" s="100" t="s">
        <v>993</v>
      </c>
      <c r="L544" s="98" t="s">
        <v>1056</v>
      </c>
      <c r="M544" s="98" t="s">
        <v>1056</v>
      </c>
      <c r="N544" s="98" t="s">
        <v>1031</v>
      </c>
      <c r="O544" s="98" t="s">
        <v>677</v>
      </c>
      <c r="P544" s="98" t="s">
        <v>1689</v>
      </c>
      <c r="Q544" s="98" t="s">
        <v>811</v>
      </c>
      <c r="R544" s="98" t="s">
        <v>1380</v>
      </c>
      <c r="S544" s="98" t="s">
        <v>1059</v>
      </c>
    </row>
    <row r="545" customFormat="false" ht="55" hidden="false" customHeight="true" outlineLevel="0" collapsed="false">
      <c r="C545" s="98" t="s">
        <v>1051</v>
      </c>
      <c r="D545" s="98" t="s">
        <v>1052</v>
      </c>
      <c r="E545" s="98" t="s">
        <v>1053</v>
      </c>
      <c r="F545" s="98" t="n">
        <v>46270.7484272454</v>
      </c>
      <c r="G545" s="98" t="n">
        <v>46271.5167540857</v>
      </c>
      <c r="H545" s="98" t="s">
        <v>1054</v>
      </c>
      <c r="I545" s="98" t="s">
        <v>1370</v>
      </c>
      <c r="J545" s="100" t="s">
        <v>1418</v>
      </c>
      <c r="K545" s="100" t="s">
        <v>993</v>
      </c>
      <c r="L545" s="98" t="s">
        <v>1060</v>
      </c>
      <c r="M545" s="98" t="s">
        <v>1060</v>
      </c>
      <c r="N545" s="98" t="s">
        <v>1031</v>
      </c>
      <c r="O545" s="98" t="s">
        <v>677</v>
      </c>
      <c r="P545" s="98" t="s">
        <v>1690</v>
      </c>
      <c r="Q545" s="98" t="s">
        <v>811</v>
      </c>
      <c r="R545" s="98" t="s">
        <v>1382</v>
      </c>
      <c r="S545" s="98" t="s">
        <v>1059</v>
      </c>
    </row>
  </sheetData>
  <sheetProtection sheet="1" objects="1" scenarios="1" selectLockedCells="0" selectUnlockedCells="0"/>
  <mergeCells count="2">
    <mergeCell ref="C2:K2"/>
    <mergeCell ref="C3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>
  <sheetPr filterMode="false">
    <pageSetUpPr fitToPage="false"/>
  </sheetPr>
  <dimension ref="C1:K3313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11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</row>
    <row r="2" customFormat="false" ht="33" hidden="false" customHeight="true" outlineLevel="0" collapsed="false">
      <c r="C2" s="57" t="s">
        <v>1691</v>
      </c>
      <c r="D2" s="57"/>
      <c r="E2" s="57"/>
      <c r="F2" s="57"/>
      <c r="G2" s="57"/>
      <c r="H2" s="57"/>
      <c r="I2" s="57"/>
      <c r="J2" s="57"/>
      <c r="K2" s="57"/>
    </row>
    <row r="3" customFormat="false" ht="21" hidden="false" customHeight="true" outlineLevel="0" collapsed="false">
      <c r="C3" s="58" t="s">
        <v>82</v>
      </c>
      <c r="D3" s="58"/>
      <c r="E3" s="58"/>
      <c r="F3" s="58"/>
      <c r="G3" s="58"/>
      <c r="H3" s="58"/>
      <c r="I3" s="58"/>
      <c r="J3" s="58"/>
      <c r="K3" s="58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</row>
    <row r="6" customFormat="false" ht="21" hidden="false" customHeight="true" outlineLevel="0" collapsed="false">
      <c r="C6" s="56"/>
      <c r="D6" s="56"/>
      <c r="E6" s="56"/>
      <c r="F6" s="56"/>
      <c r="G6" s="56"/>
      <c r="H6" s="56"/>
      <c r="I6" s="56"/>
      <c r="J6" s="56"/>
      <c r="K6" s="56"/>
    </row>
    <row r="7" customFormat="false" ht="21" hidden="false" customHeight="true" outlineLevel="0" collapsed="false">
      <c r="C7" s="56" t="s">
        <v>1692</v>
      </c>
      <c r="D7" s="56" t="s">
        <v>668</v>
      </c>
      <c r="E7" s="56" t="s">
        <v>807</v>
      </c>
      <c r="F7" s="56" t="s">
        <v>1693</v>
      </c>
      <c r="G7" s="56" t="s">
        <v>1694</v>
      </c>
      <c r="H7" s="56" t="s">
        <v>1695</v>
      </c>
      <c r="I7" s="56" t="s">
        <v>1696</v>
      </c>
      <c r="J7" s="56" t="s">
        <v>1697</v>
      </c>
      <c r="K7" s="56" t="s">
        <v>1698</v>
      </c>
    </row>
    <row r="8" customFormat="false" ht="64" hidden="false" customHeight="true" outlineLevel="0" collapsed="false">
      <c r="C8" s="96" t="s">
        <v>1699</v>
      </c>
      <c r="D8" s="97" t="s">
        <v>1700</v>
      </c>
      <c r="E8" s="97" t="s">
        <v>1701</v>
      </c>
      <c r="F8" s="97" t="n">
        <v>1</v>
      </c>
      <c r="G8" s="97" t="s">
        <v>1702</v>
      </c>
      <c r="H8" s="97" t="s">
        <v>1703</v>
      </c>
      <c r="I8" s="97" t="s">
        <v>1704</v>
      </c>
      <c r="J8" s="97" t="s">
        <v>1705</v>
      </c>
      <c r="K8" s="97" t="s">
        <v>1706</v>
      </c>
    </row>
    <row r="9" customFormat="false" ht="64" hidden="false" customHeight="true" outlineLevel="0" collapsed="false">
      <c r="C9" s="96" t="s">
        <v>1707</v>
      </c>
      <c r="D9" s="97" t="s">
        <v>1708</v>
      </c>
      <c r="E9" s="97" t="s">
        <v>1701</v>
      </c>
      <c r="F9" s="97" t="n">
        <v>1</v>
      </c>
      <c r="G9" s="97" t="s">
        <v>1702</v>
      </c>
      <c r="H9" s="97" t="s">
        <v>1703</v>
      </c>
      <c r="I9" s="97" t="s">
        <v>1704</v>
      </c>
      <c r="J9" s="97" t="s">
        <v>1705</v>
      </c>
      <c r="K9" s="97" t="s">
        <v>1706</v>
      </c>
    </row>
    <row r="10" customFormat="false" ht="64" hidden="false" customHeight="true" outlineLevel="0" collapsed="false">
      <c r="C10" s="96" t="s">
        <v>1709</v>
      </c>
      <c r="D10" s="97" t="s">
        <v>1710</v>
      </c>
      <c r="E10" s="97" t="s">
        <v>1701</v>
      </c>
      <c r="F10" s="97" t="n">
        <v>1</v>
      </c>
      <c r="G10" s="97" t="s">
        <v>1702</v>
      </c>
      <c r="H10" s="97" t="s">
        <v>1703</v>
      </c>
      <c r="I10" s="97" t="s">
        <v>1704</v>
      </c>
      <c r="J10" s="97" t="s">
        <v>1705</v>
      </c>
      <c r="K10" s="97" t="s">
        <v>1706</v>
      </c>
    </row>
    <row r="11" customFormat="false" ht="64" hidden="false" customHeight="true" outlineLevel="0" collapsed="false">
      <c r="C11" s="96" t="s">
        <v>1711</v>
      </c>
      <c r="D11" s="97" t="s">
        <v>1712</v>
      </c>
      <c r="E11" s="97" t="s">
        <v>1701</v>
      </c>
      <c r="F11" s="97" t="n">
        <v>1</v>
      </c>
      <c r="G11" s="97" t="s">
        <v>1702</v>
      </c>
      <c r="H11" s="97" t="s">
        <v>1703</v>
      </c>
      <c r="I11" s="97" t="s">
        <v>1704</v>
      </c>
      <c r="J11" s="97" t="s">
        <v>1705</v>
      </c>
      <c r="K11" s="97" t="s">
        <v>1706</v>
      </c>
    </row>
    <row r="12" customFormat="false" ht="64" hidden="false" customHeight="true" outlineLevel="0" collapsed="false">
      <c r="C12" s="96" t="s">
        <v>1713</v>
      </c>
      <c r="D12" s="97" t="s">
        <v>1714</v>
      </c>
      <c r="E12" s="97" t="s">
        <v>1701</v>
      </c>
      <c r="F12" s="97" t="n">
        <v>1</v>
      </c>
      <c r="G12" s="97" t="s">
        <v>1702</v>
      </c>
      <c r="H12" s="97" t="s">
        <v>1703</v>
      </c>
      <c r="I12" s="97" t="s">
        <v>1704</v>
      </c>
      <c r="J12" s="97" t="s">
        <v>1705</v>
      </c>
      <c r="K12" s="97" t="s">
        <v>1706</v>
      </c>
    </row>
    <row r="13" customFormat="false" ht="64" hidden="false" customHeight="true" outlineLevel="0" collapsed="false">
      <c r="C13" s="96" t="s">
        <v>1715</v>
      </c>
      <c r="D13" s="97" t="s">
        <v>1716</v>
      </c>
      <c r="E13" s="97" t="s">
        <v>1701</v>
      </c>
      <c r="F13" s="97" t="n">
        <v>1</v>
      </c>
      <c r="G13" s="97" t="s">
        <v>1702</v>
      </c>
      <c r="H13" s="97" t="s">
        <v>1703</v>
      </c>
      <c r="I13" s="97" t="s">
        <v>1704</v>
      </c>
      <c r="J13" s="97" t="s">
        <v>1705</v>
      </c>
      <c r="K13" s="97" t="s">
        <v>1706</v>
      </c>
    </row>
    <row r="14" customFormat="false" ht="64" hidden="false" customHeight="true" outlineLevel="0" collapsed="false">
      <c r="C14" s="96" t="s">
        <v>1717</v>
      </c>
      <c r="D14" s="97" t="s">
        <v>1718</v>
      </c>
      <c r="E14" s="97" t="s">
        <v>1701</v>
      </c>
      <c r="F14" s="97" t="n">
        <v>1</v>
      </c>
      <c r="G14" s="97" t="s">
        <v>1702</v>
      </c>
      <c r="H14" s="97" t="s">
        <v>1703</v>
      </c>
      <c r="I14" s="97" t="s">
        <v>1704</v>
      </c>
      <c r="J14" s="97" t="s">
        <v>1705</v>
      </c>
      <c r="K14" s="97" t="s">
        <v>1706</v>
      </c>
    </row>
    <row r="15" customFormat="false" ht="64" hidden="false" customHeight="true" outlineLevel="0" collapsed="false">
      <c r="C15" s="96" t="s">
        <v>1719</v>
      </c>
      <c r="D15" s="97" t="s">
        <v>1720</v>
      </c>
      <c r="E15" s="97" t="s">
        <v>1701</v>
      </c>
      <c r="F15" s="97" t="n">
        <v>1</v>
      </c>
      <c r="G15" s="97" t="s">
        <v>1702</v>
      </c>
      <c r="H15" s="97" t="s">
        <v>1703</v>
      </c>
      <c r="I15" s="97" t="s">
        <v>1704</v>
      </c>
      <c r="J15" s="97" t="s">
        <v>1705</v>
      </c>
      <c r="K15" s="97" t="s">
        <v>1706</v>
      </c>
    </row>
    <row r="16" customFormat="false" ht="64" hidden="false" customHeight="true" outlineLevel="0" collapsed="false">
      <c r="C16" s="96" t="s">
        <v>1721</v>
      </c>
      <c r="D16" s="97" t="s">
        <v>1722</v>
      </c>
      <c r="E16" s="97" t="s">
        <v>1701</v>
      </c>
      <c r="F16" s="97" t="n">
        <v>1</v>
      </c>
      <c r="G16" s="97" t="s">
        <v>1702</v>
      </c>
      <c r="H16" s="97" t="s">
        <v>1703</v>
      </c>
      <c r="I16" s="97" t="s">
        <v>1704</v>
      </c>
      <c r="J16" s="97" t="s">
        <v>1705</v>
      </c>
      <c r="K16" s="97" t="s">
        <v>1706</v>
      </c>
    </row>
    <row r="17" customFormat="false" ht="64" hidden="false" customHeight="true" outlineLevel="0" collapsed="false">
      <c r="C17" s="96" t="s">
        <v>1723</v>
      </c>
      <c r="D17" s="97" t="s">
        <v>1724</v>
      </c>
      <c r="E17" s="97" t="s">
        <v>1701</v>
      </c>
      <c r="F17" s="97" t="n">
        <v>1</v>
      </c>
      <c r="G17" s="97" t="s">
        <v>1702</v>
      </c>
      <c r="H17" s="97" t="s">
        <v>1703</v>
      </c>
      <c r="I17" s="97" t="s">
        <v>1704</v>
      </c>
      <c r="J17" s="97" t="s">
        <v>1705</v>
      </c>
      <c r="K17" s="97" t="s">
        <v>1706</v>
      </c>
    </row>
    <row r="18" customFormat="false" ht="64" hidden="false" customHeight="true" outlineLevel="0" collapsed="false">
      <c r="C18" s="96" t="s">
        <v>1725</v>
      </c>
      <c r="D18" s="97" t="s">
        <v>1726</v>
      </c>
      <c r="E18" s="97" t="s">
        <v>1701</v>
      </c>
      <c r="F18" s="97" t="n">
        <v>1</v>
      </c>
      <c r="G18" s="97" t="s">
        <v>1702</v>
      </c>
      <c r="H18" s="97" t="s">
        <v>1703</v>
      </c>
      <c r="I18" s="97" t="s">
        <v>1704</v>
      </c>
      <c r="J18" s="97" t="s">
        <v>1705</v>
      </c>
      <c r="K18" s="97" t="s">
        <v>1706</v>
      </c>
    </row>
    <row r="19" customFormat="false" ht="64" hidden="false" customHeight="true" outlineLevel="0" collapsed="false">
      <c r="C19" s="96" t="s">
        <v>1727</v>
      </c>
      <c r="D19" s="97" t="s">
        <v>1728</v>
      </c>
      <c r="E19" s="97" t="s">
        <v>1701</v>
      </c>
      <c r="F19" s="97" t="n">
        <v>1</v>
      </c>
      <c r="G19" s="97" t="s">
        <v>1702</v>
      </c>
      <c r="H19" s="97" t="s">
        <v>1703</v>
      </c>
      <c r="I19" s="97" t="s">
        <v>1704</v>
      </c>
      <c r="J19" s="97" t="s">
        <v>1705</v>
      </c>
      <c r="K19" s="97" t="s">
        <v>1706</v>
      </c>
    </row>
    <row r="20" customFormat="false" ht="64" hidden="false" customHeight="true" outlineLevel="0" collapsed="false">
      <c r="C20" s="96" t="s">
        <v>1729</v>
      </c>
      <c r="D20" s="97" t="s">
        <v>1730</v>
      </c>
      <c r="E20" s="97" t="s">
        <v>1701</v>
      </c>
      <c r="F20" s="97" t="n">
        <v>1</v>
      </c>
      <c r="G20" s="97" t="s">
        <v>1702</v>
      </c>
      <c r="H20" s="97" t="s">
        <v>1703</v>
      </c>
      <c r="I20" s="97" t="s">
        <v>1704</v>
      </c>
      <c r="J20" s="97" t="s">
        <v>1705</v>
      </c>
      <c r="K20" s="97" t="s">
        <v>1706</v>
      </c>
    </row>
    <row r="21" customFormat="false" ht="64" hidden="false" customHeight="true" outlineLevel="0" collapsed="false">
      <c r="C21" s="96" t="s">
        <v>1731</v>
      </c>
      <c r="D21" s="97" t="s">
        <v>1732</v>
      </c>
      <c r="E21" s="97" t="s">
        <v>1701</v>
      </c>
      <c r="F21" s="97" t="n">
        <v>1</v>
      </c>
      <c r="G21" s="97" t="s">
        <v>1702</v>
      </c>
      <c r="H21" s="97" t="s">
        <v>1703</v>
      </c>
      <c r="I21" s="97" t="s">
        <v>1704</v>
      </c>
      <c r="J21" s="97" t="s">
        <v>1705</v>
      </c>
      <c r="K21" s="97" t="s">
        <v>1706</v>
      </c>
    </row>
    <row r="22" customFormat="false" ht="64" hidden="false" customHeight="true" outlineLevel="0" collapsed="false">
      <c r="C22" s="96" t="s">
        <v>1733</v>
      </c>
      <c r="D22" s="97" t="s">
        <v>1734</v>
      </c>
      <c r="E22" s="97" t="s">
        <v>1701</v>
      </c>
      <c r="F22" s="97" t="n">
        <v>1</v>
      </c>
      <c r="G22" s="97" t="s">
        <v>1702</v>
      </c>
      <c r="H22" s="97" t="s">
        <v>1703</v>
      </c>
      <c r="I22" s="97" t="s">
        <v>1704</v>
      </c>
      <c r="J22" s="97" t="s">
        <v>1705</v>
      </c>
      <c r="K22" s="97" t="s">
        <v>1706</v>
      </c>
    </row>
    <row r="23" customFormat="false" ht="64" hidden="false" customHeight="true" outlineLevel="0" collapsed="false">
      <c r="C23" s="96" t="s">
        <v>1735</v>
      </c>
      <c r="D23" s="97" t="s">
        <v>1736</v>
      </c>
      <c r="E23" s="97" t="s">
        <v>1701</v>
      </c>
      <c r="F23" s="97" t="n">
        <v>1</v>
      </c>
      <c r="G23" s="97" t="s">
        <v>1702</v>
      </c>
      <c r="H23" s="97" t="s">
        <v>1703</v>
      </c>
      <c r="I23" s="97" t="s">
        <v>1704</v>
      </c>
      <c r="J23" s="97" t="s">
        <v>1705</v>
      </c>
      <c r="K23" s="97" t="s">
        <v>1706</v>
      </c>
    </row>
    <row r="24" customFormat="false" ht="64" hidden="false" customHeight="true" outlineLevel="0" collapsed="false">
      <c r="C24" s="96" t="s">
        <v>1737</v>
      </c>
      <c r="D24" s="97" t="s">
        <v>1738</v>
      </c>
      <c r="E24" s="97" t="s">
        <v>1701</v>
      </c>
      <c r="F24" s="97" t="n">
        <v>1</v>
      </c>
      <c r="G24" s="97" t="s">
        <v>1702</v>
      </c>
      <c r="H24" s="97" t="s">
        <v>1703</v>
      </c>
      <c r="I24" s="97" t="s">
        <v>1704</v>
      </c>
      <c r="J24" s="97" t="s">
        <v>1705</v>
      </c>
      <c r="K24" s="97" t="s">
        <v>1706</v>
      </c>
    </row>
    <row r="25" customFormat="false" ht="64" hidden="false" customHeight="true" outlineLevel="0" collapsed="false">
      <c r="C25" s="96" t="s">
        <v>1739</v>
      </c>
      <c r="D25" s="97" t="s">
        <v>1740</v>
      </c>
      <c r="E25" s="97" t="s">
        <v>1701</v>
      </c>
      <c r="F25" s="97" t="n">
        <v>1</v>
      </c>
      <c r="G25" s="97" t="s">
        <v>1702</v>
      </c>
      <c r="H25" s="97" t="s">
        <v>1703</v>
      </c>
      <c r="I25" s="97" t="s">
        <v>1704</v>
      </c>
      <c r="J25" s="97" t="s">
        <v>1705</v>
      </c>
      <c r="K25" s="97" t="s">
        <v>1706</v>
      </c>
    </row>
    <row r="26" customFormat="false" ht="64" hidden="false" customHeight="true" outlineLevel="0" collapsed="false">
      <c r="C26" s="96" t="s">
        <v>1741</v>
      </c>
      <c r="D26" s="97" t="s">
        <v>1742</v>
      </c>
      <c r="E26" s="97" t="s">
        <v>1701</v>
      </c>
      <c r="F26" s="97" t="n">
        <v>1</v>
      </c>
      <c r="G26" s="97" t="s">
        <v>1702</v>
      </c>
      <c r="H26" s="97" t="s">
        <v>1703</v>
      </c>
      <c r="I26" s="97" t="s">
        <v>1704</v>
      </c>
      <c r="J26" s="97" t="s">
        <v>1705</v>
      </c>
      <c r="K26" s="97" t="s">
        <v>1706</v>
      </c>
    </row>
    <row r="27" customFormat="false" ht="64" hidden="false" customHeight="true" outlineLevel="0" collapsed="false">
      <c r="C27" s="96" t="s">
        <v>1743</v>
      </c>
      <c r="D27" s="97" t="s">
        <v>1744</v>
      </c>
      <c r="E27" s="97" t="s">
        <v>1701</v>
      </c>
      <c r="F27" s="97" t="n">
        <v>1</v>
      </c>
      <c r="G27" s="97" t="s">
        <v>1702</v>
      </c>
      <c r="H27" s="97" t="s">
        <v>1703</v>
      </c>
      <c r="I27" s="97" t="s">
        <v>1704</v>
      </c>
      <c r="J27" s="97" t="s">
        <v>1705</v>
      </c>
      <c r="K27" s="97" t="s">
        <v>1706</v>
      </c>
    </row>
    <row r="28" customFormat="false" ht="64" hidden="false" customHeight="true" outlineLevel="0" collapsed="false">
      <c r="C28" s="96" t="s">
        <v>1745</v>
      </c>
      <c r="D28" s="97" t="s">
        <v>1746</v>
      </c>
      <c r="E28" s="97" t="s">
        <v>1701</v>
      </c>
      <c r="F28" s="97" t="n">
        <v>1</v>
      </c>
      <c r="G28" s="97" t="s">
        <v>1702</v>
      </c>
      <c r="H28" s="97" t="s">
        <v>1703</v>
      </c>
      <c r="I28" s="97" t="s">
        <v>1704</v>
      </c>
      <c r="J28" s="97" t="s">
        <v>1705</v>
      </c>
      <c r="K28" s="97" t="s">
        <v>1706</v>
      </c>
    </row>
    <row r="29" customFormat="false" ht="64" hidden="false" customHeight="true" outlineLevel="0" collapsed="false">
      <c r="C29" s="96" t="s">
        <v>1747</v>
      </c>
      <c r="D29" s="97" t="s">
        <v>1748</v>
      </c>
      <c r="E29" s="97" t="s">
        <v>1701</v>
      </c>
      <c r="F29" s="97" t="n">
        <v>1</v>
      </c>
      <c r="G29" s="97" t="s">
        <v>1702</v>
      </c>
      <c r="H29" s="97" t="s">
        <v>1703</v>
      </c>
      <c r="I29" s="97" t="s">
        <v>1704</v>
      </c>
      <c r="J29" s="97" t="s">
        <v>1705</v>
      </c>
      <c r="K29" s="97" t="s">
        <v>1706</v>
      </c>
    </row>
    <row r="30" customFormat="false" ht="64" hidden="false" customHeight="true" outlineLevel="0" collapsed="false">
      <c r="C30" s="96" t="s">
        <v>1749</v>
      </c>
      <c r="D30" s="97" t="s">
        <v>1750</v>
      </c>
      <c r="E30" s="97" t="s">
        <v>1701</v>
      </c>
      <c r="F30" s="97" t="n">
        <v>1</v>
      </c>
      <c r="G30" s="97" t="s">
        <v>1702</v>
      </c>
      <c r="H30" s="97" t="s">
        <v>1703</v>
      </c>
      <c r="I30" s="97" t="s">
        <v>1704</v>
      </c>
      <c r="J30" s="97" t="s">
        <v>1705</v>
      </c>
      <c r="K30" s="97" t="s">
        <v>1706</v>
      </c>
    </row>
    <row r="31" customFormat="false" ht="64" hidden="false" customHeight="true" outlineLevel="0" collapsed="false">
      <c r="C31" s="96" t="s">
        <v>1751</v>
      </c>
      <c r="D31" s="97" t="s">
        <v>1752</v>
      </c>
      <c r="E31" s="97" t="s">
        <v>1701</v>
      </c>
      <c r="F31" s="97" t="n">
        <v>1</v>
      </c>
      <c r="G31" s="97" t="s">
        <v>1702</v>
      </c>
      <c r="H31" s="97" t="s">
        <v>1703</v>
      </c>
      <c r="I31" s="97" t="s">
        <v>1704</v>
      </c>
      <c r="J31" s="97" t="s">
        <v>1705</v>
      </c>
      <c r="K31" s="97" t="s">
        <v>1706</v>
      </c>
    </row>
    <row r="32" customFormat="false" ht="64" hidden="false" customHeight="true" outlineLevel="0" collapsed="false">
      <c r="C32" s="96" t="s">
        <v>1753</v>
      </c>
      <c r="D32" s="97" t="s">
        <v>1754</v>
      </c>
      <c r="E32" s="97" t="s">
        <v>1701</v>
      </c>
      <c r="F32" s="97" t="n">
        <v>1</v>
      </c>
      <c r="G32" s="97" t="s">
        <v>1702</v>
      </c>
      <c r="H32" s="97" t="s">
        <v>1703</v>
      </c>
      <c r="I32" s="97" t="s">
        <v>1704</v>
      </c>
      <c r="J32" s="97" t="s">
        <v>1705</v>
      </c>
      <c r="K32" s="97" t="s">
        <v>1706</v>
      </c>
    </row>
    <row r="33" customFormat="false" ht="64" hidden="false" customHeight="true" outlineLevel="0" collapsed="false">
      <c r="C33" s="96" t="s">
        <v>1755</v>
      </c>
      <c r="D33" s="97" t="s">
        <v>1756</v>
      </c>
      <c r="E33" s="97" t="s">
        <v>1701</v>
      </c>
      <c r="F33" s="97" t="n">
        <v>1</v>
      </c>
      <c r="G33" s="97" t="s">
        <v>1702</v>
      </c>
      <c r="H33" s="97" t="s">
        <v>1703</v>
      </c>
      <c r="I33" s="97" t="s">
        <v>1704</v>
      </c>
      <c r="J33" s="97" t="s">
        <v>1705</v>
      </c>
      <c r="K33" s="97" t="s">
        <v>1706</v>
      </c>
    </row>
    <row r="34" customFormat="false" ht="64" hidden="false" customHeight="true" outlineLevel="0" collapsed="false">
      <c r="C34" s="96" t="s">
        <v>1757</v>
      </c>
      <c r="D34" s="97" t="s">
        <v>1758</v>
      </c>
      <c r="E34" s="97" t="s">
        <v>1701</v>
      </c>
      <c r="F34" s="97" t="n">
        <v>1</v>
      </c>
      <c r="G34" s="97" t="s">
        <v>1702</v>
      </c>
      <c r="H34" s="97" t="s">
        <v>1703</v>
      </c>
      <c r="I34" s="97" t="s">
        <v>1704</v>
      </c>
      <c r="J34" s="97" t="s">
        <v>1705</v>
      </c>
      <c r="K34" s="97" t="s">
        <v>1706</v>
      </c>
    </row>
    <row r="35" customFormat="false" ht="64" hidden="false" customHeight="true" outlineLevel="0" collapsed="false">
      <c r="C35" s="96" t="s">
        <v>1759</v>
      </c>
      <c r="D35" s="97" t="s">
        <v>1760</v>
      </c>
      <c r="E35" s="97" t="s">
        <v>1701</v>
      </c>
      <c r="F35" s="97" t="n">
        <v>1</v>
      </c>
      <c r="G35" s="97" t="s">
        <v>1702</v>
      </c>
      <c r="H35" s="97" t="s">
        <v>1703</v>
      </c>
      <c r="I35" s="97" t="s">
        <v>1704</v>
      </c>
      <c r="J35" s="97" t="s">
        <v>1705</v>
      </c>
      <c r="K35" s="97" t="s">
        <v>1706</v>
      </c>
    </row>
    <row r="36" customFormat="false" ht="64" hidden="false" customHeight="true" outlineLevel="0" collapsed="false">
      <c r="C36" s="96" t="s">
        <v>1761</v>
      </c>
      <c r="D36" s="97" t="s">
        <v>1762</v>
      </c>
      <c r="E36" s="97" t="s">
        <v>1701</v>
      </c>
      <c r="F36" s="97" t="n">
        <v>1</v>
      </c>
      <c r="G36" s="97" t="s">
        <v>1702</v>
      </c>
      <c r="H36" s="97" t="s">
        <v>1703</v>
      </c>
      <c r="I36" s="97" t="s">
        <v>1704</v>
      </c>
      <c r="J36" s="97" t="s">
        <v>1705</v>
      </c>
      <c r="K36" s="97" t="s">
        <v>1706</v>
      </c>
    </row>
    <row r="37" customFormat="false" ht="64" hidden="false" customHeight="true" outlineLevel="0" collapsed="false">
      <c r="C37" s="96" t="s">
        <v>1763</v>
      </c>
      <c r="D37" s="97" t="s">
        <v>1764</v>
      </c>
      <c r="E37" s="97" t="s">
        <v>1701</v>
      </c>
      <c r="F37" s="97" t="n">
        <v>1</v>
      </c>
      <c r="G37" s="97" t="s">
        <v>1702</v>
      </c>
      <c r="H37" s="97" t="s">
        <v>1703</v>
      </c>
      <c r="I37" s="97" t="s">
        <v>1704</v>
      </c>
      <c r="J37" s="97" t="s">
        <v>1705</v>
      </c>
      <c r="K37" s="97" t="s">
        <v>1706</v>
      </c>
    </row>
    <row r="38" customFormat="false" ht="64" hidden="false" customHeight="true" outlineLevel="0" collapsed="false">
      <c r="C38" s="96" t="s">
        <v>1765</v>
      </c>
      <c r="D38" s="97" t="s">
        <v>1700</v>
      </c>
      <c r="E38" s="97" t="s">
        <v>835</v>
      </c>
      <c r="F38" s="97" t="n">
        <v>0.02</v>
      </c>
      <c r="G38" s="97" t="s">
        <v>1766</v>
      </c>
      <c r="H38" s="97" t="s">
        <v>1767</v>
      </c>
      <c r="I38" s="97" t="s">
        <v>1704</v>
      </c>
      <c r="J38" s="97" t="s">
        <v>1705</v>
      </c>
      <c r="K38" s="97" t="s">
        <v>1706</v>
      </c>
    </row>
    <row r="39" customFormat="false" ht="64" hidden="false" customHeight="true" outlineLevel="0" collapsed="false">
      <c r="C39" s="96" t="s">
        <v>1768</v>
      </c>
      <c r="D39" s="97" t="s">
        <v>1708</v>
      </c>
      <c r="E39" s="97" t="s">
        <v>835</v>
      </c>
      <c r="F39" s="97" t="n">
        <v>0.02</v>
      </c>
      <c r="G39" s="97" t="s">
        <v>1766</v>
      </c>
      <c r="H39" s="97" t="s">
        <v>1767</v>
      </c>
      <c r="I39" s="97" t="s">
        <v>1704</v>
      </c>
      <c r="J39" s="97" t="s">
        <v>1705</v>
      </c>
      <c r="K39" s="97" t="s">
        <v>1706</v>
      </c>
    </row>
    <row r="40" customFormat="false" ht="64" hidden="false" customHeight="true" outlineLevel="0" collapsed="false">
      <c r="C40" s="96" t="s">
        <v>1769</v>
      </c>
      <c r="D40" s="97" t="s">
        <v>1710</v>
      </c>
      <c r="E40" s="97" t="s">
        <v>835</v>
      </c>
      <c r="F40" s="97" t="n">
        <v>0.02</v>
      </c>
      <c r="G40" s="97" t="s">
        <v>1766</v>
      </c>
      <c r="H40" s="97" t="s">
        <v>1767</v>
      </c>
      <c r="I40" s="97" t="s">
        <v>1704</v>
      </c>
      <c r="J40" s="97" t="s">
        <v>1705</v>
      </c>
      <c r="K40" s="97" t="s">
        <v>1706</v>
      </c>
    </row>
    <row r="41" customFormat="false" ht="64" hidden="false" customHeight="true" outlineLevel="0" collapsed="false">
      <c r="C41" s="96" t="s">
        <v>1770</v>
      </c>
      <c r="D41" s="97" t="s">
        <v>1712</v>
      </c>
      <c r="E41" s="97" t="s">
        <v>835</v>
      </c>
      <c r="F41" s="97" t="n">
        <v>0.02</v>
      </c>
      <c r="G41" s="97" t="s">
        <v>1766</v>
      </c>
      <c r="H41" s="97" t="s">
        <v>1767</v>
      </c>
      <c r="I41" s="97" t="s">
        <v>1704</v>
      </c>
      <c r="J41" s="97" t="s">
        <v>1705</v>
      </c>
      <c r="K41" s="97" t="s">
        <v>1706</v>
      </c>
    </row>
    <row r="42" customFormat="false" ht="64" hidden="false" customHeight="true" outlineLevel="0" collapsed="false">
      <c r="C42" s="96" t="s">
        <v>1771</v>
      </c>
      <c r="D42" s="97" t="s">
        <v>1714</v>
      </c>
      <c r="E42" s="97" t="s">
        <v>835</v>
      </c>
      <c r="F42" s="97" t="n">
        <v>0.02</v>
      </c>
      <c r="G42" s="97" t="s">
        <v>1766</v>
      </c>
      <c r="H42" s="97" t="s">
        <v>1767</v>
      </c>
      <c r="I42" s="97" t="s">
        <v>1704</v>
      </c>
      <c r="J42" s="97" t="s">
        <v>1705</v>
      </c>
      <c r="K42" s="97" t="s">
        <v>1706</v>
      </c>
    </row>
    <row r="43" customFormat="false" ht="64" hidden="false" customHeight="true" outlineLevel="0" collapsed="false">
      <c r="C43" s="96" t="s">
        <v>1772</v>
      </c>
      <c r="D43" s="97" t="s">
        <v>1716</v>
      </c>
      <c r="E43" s="97" t="s">
        <v>835</v>
      </c>
      <c r="F43" s="97" t="n">
        <v>0.02</v>
      </c>
      <c r="G43" s="97" t="s">
        <v>1766</v>
      </c>
      <c r="H43" s="97" t="s">
        <v>1767</v>
      </c>
      <c r="I43" s="97" t="s">
        <v>1704</v>
      </c>
      <c r="J43" s="97" t="s">
        <v>1705</v>
      </c>
      <c r="K43" s="97" t="s">
        <v>1706</v>
      </c>
    </row>
    <row r="44" customFormat="false" ht="64" hidden="false" customHeight="true" outlineLevel="0" collapsed="false">
      <c r="C44" s="96" t="s">
        <v>1773</v>
      </c>
      <c r="D44" s="97" t="s">
        <v>1718</v>
      </c>
      <c r="E44" s="97" t="s">
        <v>835</v>
      </c>
      <c r="F44" s="97" t="n">
        <v>0.02</v>
      </c>
      <c r="G44" s="97" t="s">
        <v>1766</v>
      </c>
      <c r="H44" s="97" t="s">
        <v>1767</v>
      </c>
      <c r="I44" s="97" t="s">
        <v>1704</v>
      </c>
      <c r="J44" s="97" t="s">
        <v>1705</v>
      </c>
      <c r="K44" s="97" t="s">
        <v>1706</v>
      </c>
    </row>
    <row r="45" customFormat="false" ht="64" hidden="false" customHeight="true" outlineLevel="0" collapsed="false">
      <c r="C45" s="96" t="s">
        <v>1774</v>
      </c>
      <c r="D45" s="97" t="s">
        <v>1720</v>
      </c>
      <c r="E45" s="97" t="s">
        <v>835</v>
      </c>
      <c r="F45" s="97" t="n">
        <v>0.02</v>
      </c>
      <c r="G45" s="97" t="s">
        <v>1766</v>
      </c>
      <c r="H45" s="97" t="s">
        <v>1767</v>
      </c>
      <c r="I45" s="97" t="s">
        <v>1704</v>
      </c>
      <c r="J45" s="97" t="s">
        <v>1705</v>
      </c>
      <c r="K45" s="97" t="s">
        <v>1706</v>
      </c>
    </row>
    <row r="46" customFormat="false" ht="64" hidden="false" customHeight="true" outlineLevel="0" collapsed="false">
      <c r="C46" s="96" t="s">
        <v>1775</v>
      </c>
      <c r="D46" s="97" t="s">
        <v>1722</v>
      </c>
      <c r="E46" s="97" t="s">
        <v>835</v>
      </c>
      <c r="F46" s="97" t="n">
        <v>0.02</v>
      </c>
      <c r="G46" s="97" t="s">
        <v>1766</v>
      </c>
      <c r="H46" s="97" t="s">
        <v>1767</v>
      </c>
      <c r="I46" s="97" t="s">
        <v>1704</v>
      </c>
      <c r="J46" s="97" t="s">
        <v>1705</v>
      </c>
      <c r="K46" s="97" t="s">
        <v>1706</v>
      </c>
    </row>
    <row r="47" customFormat="false" ht="64" hidden="false" customHeight="true" outlineLevel="0" collapsed="false">
      <c r="C47" s="96" t="s">
        <v>1776</v>
      </c>
      <c r="D47" s="97" t="s">
        <v>1724</v>
      </c>
      <c r="E47" s="97" t="s">
        <v>835</v>
      </c>
      <c r="F47" s="97" t="n">
        <v>0.02</v>
      </c>
      <c r="G47" s="97" t="s">
        <v>1766</v>
      </c>
      <c r="H47" s="97" t="s">
        <v>1767</v>
      </c>
      <c r="I47" s="97" t="s">
        <v>1704</v>
      </c>
      <c r="J47" s="97" t="s">
        <v>1705</v>
      </c>
      <c r="K47" s="97" t="s">
        <v>1706</v>
      </c>
    </row>
    <row r="48" customFormat="false" ht="64" hidden="false" customHeight="true" outlineLevel="0" collapsed="false">
      <c r="C48" s="96" t="s">
        <v>1777</v>
      </c>
      <c r="D48" s="97" t="s">
        <v>1726</v>
      </c>
      <c r="E48" s="97" t="s">
        <v>835</v>
      </c>
      <c r="F48" s="97" t="n">
        <v>0.02</v>
      </c>
      <c r="G48" s="97" t="s">
        <v>1766</v>
      </c>
      <c r="H48" s="97" t="s">
        <v>1767</v>
      </c>
      <c r="I48" s="97" t="s">
        <v>1704</v>
      </c>
      <c r="J48" s="97" t="s">
        <v>1705</v>
      </c>
      <c r="K48" s="97" t="s">
        <v>1706</v>
      </c>
    </row>
    <row r="49" customFormat="false" ht="64" hidden="false" customHeight="true" outlineLevel="0" collapsed="false">
      <c r="C49" s="96" t="s">
        <v>1778</v>
      </c>
      <c r="D49" s="97" t="s">
        <v>1728</v>
      </c>
      <c r="E49" s="97" t="s">
        <v>835</v>
      </c>
      <c r="F49" s="97" t="n">
        <v>0.02</v>
      </c>
      <c r="G49" s="97" t="s">
        <v>1766</v>
      </c>
      <c r="H49" s="97" t="s">
        <v>1767</v>
      </c>
      <c r="I49" s="97" t="s">
        <v>1704</v>
      </c>
      <c r="J49" s="97" t="s">
        <v>1705</v>
      </c>
      <c r="K49" s="97" t="s">
        <v>1706</v>
      </c>
    </row>
    <row r="50" customFormat="false" ht="64" hidden="false" customHeight="true" outlineLevel="0" collapsed="false">
      <c r="C50" s="96" t="s">
        <v>1779</v>
      </c>
      <c r="D50" s="97" t="s">
        <v>1730</v>
      </c>
      <c r="E50" s="97" t="s">
        <v>835</v>
      </c>
      <c r="F50" s="97" t="n">
        <v>0.02</v>
      </c>
      <c r="G50" s="97" t="s">
        <v>1766</v>
      </c>
      <c r="H50" s="97" t="s">
        <v>1767</v>
      </c>
      <c r="I50" s="97" t="s">
        <v>1704</v>
      </c>
      <c r="J50" s="97" t="s">
        <v>1705</v>
      </c>
      <c r="K50" s="97" t="s">
        <v>1706</v>
      </c>
    </row>
    <row r="51" customFormat="false" ht="64" hidden="false" customHeight="true" outlineLevel="0" collapsed="false">
      <c r="C51" s="96" t="s">
        <v>1780</v>
      </c>
      <c r="D51" s="97" t="s">
        <v>1732</v>
      </c>
      <c r="E51" s="97" t="s">
        <v>835</v>
      </c>
      <c r="F51" s="97" t="n">
        <v>0.02</v>
      </c>
      <c r="G51" s="97" t="s">
        <v>1766</v>
      </c>
      <c r="H51" s="97" t="s">
        <v>1767</v>
      </c>
      <c r="I51" s="97" t="s">
        <v>1704</v>
      </c>
      <c r="J51" s="97" t="s">
        <v>1705</v>
      </c>
      <c r="K51" s="97" t="s">
        <v>1706</v>
      </c>
    </row>
    <row r="52" customFormat="false" ht="64" hidden="false" customHeight="true" outlineLevel="0" collapsed="false">
      <c r="C52" s="96" t="s">
        <v>1781</v>
      </c>
      <c r="D52" s="97" t="s">
        <v>1734</v>
      </c>
      <c r="E52" s="97" t="s">
        <v>835</v>
      </c>
      <c r="F52" s="97" t="n">
        <v>0.02</v>
      </c>
      <c r="G52" s="97" t="s">
        <v>1766</v>
      </c>
      <c r="H52" s="97" t="s">
        <v>1767</v>
      </c>
      <c r="I52" s="97" t="s">
        <v>1704</v>
      </c>
      <c r="J52" s="97" t="s">
        <v>1705</v>
      </c>
      <c r="K52" s="97" t="s">
        <v>1706</v>
      </c>
    </row>
    <row r="53" customFormat="false" ht="64" hidden="false" customHeight="true" outlineLevel="0" collapsed="false">
      <c r="C53" s="96" t="s">
        <v>1782</v>
      </c>
      <c r="D53" s="97" t="s">
        <v>1736</v>
      </c>
      <c r="E53" s="97" t="s">
        <v>835</v>
      </c>
      <c r="F53" s="97" t="n">
        <v>0.02</v>
      </c>
      <c r="G53" s="97" t="s">
        <v>1766</v>
      </c>
      <c r="H53" s="97" t="s">
        <v>1767</v>
      </c>
      <c r="I53" s="97" t="s">
        <v>1704</v>
      </c>
      <c r="J53" s="97" t="s">
        <v>1705</v>
      </c>
      <c r="K53" s="97" t="s">
        <v>1706</v>
      </c>
    </row>
    <row r="54" customFormat="false" ht="64" hidden="false" customHeight="true" outlineLevel="0" collapsed="false">
      <c r="C54" s="96" t="s">
        <v>1783</v>
      </c>
      <c r="D54" s="97" t="s">
        <v>1738</v>
      </c>
      <c r="E54" s="97" t="s">
        <v>835</v>
      </c>
      <c r="F54" s="97" t="n">
        <v>0.02</v>
      </c>
      <c r="G54" s="97" t="s">
        <v>1766</v>
      </c>
      <c r="H54" s="97" t="s">
        <v>1767</v>
      </c>
      <c r="I54" s="97" t="s">
        <v>1704</v>
      </c>
      <c r="J54" s="97" t="s">
        <v>1705</v>
      </c>
      <c r="K54" s="97" t="s">
        <v>1706</v>
      </c>
    </row>
    <row r="55" customFormat="false" ht="64" hidden="false" customHeight="true" outlineLevel="0" collapsed="false">
      <c r="C55" s="96" t="s">
        <v>1784</v>
      </c>
      <c r="D55" s="97" t="s">
        <v>1740</v>
      </c>
      <c r="E55" s="97" t="s">
        <v>835</v>
      </c>
      <c r="F55" s="97" t="n">
        <v>0.02</v>
      </c>
      <c r="G55" s="97" t="s">
        <v>1766</v>
      </c>
      <c r="H55" s="97" t="s">
        <v>1767</v>
      </c>
      <c r="I55" s="97" t="s">
        <v>1704</v>
      </c>
      <c r="J55" s="97" t="s">
        <v>1705</v>
      </c>
      <c r="K55" s="97" t="s">
        <v>1706</v>
      </c>
    </row>
    <row r="56" customFormat="false" ht="64" hidden="false" customHeight="true" outlineLevel="0" collapsed="false">
      <c r="C56" s="96" t="s">
        <v>1785</v>
      </c>
      <c r="D56" s="97" t="s">
        <v>1742</v>
      </c>
      <c r="E56" s="97" t="s">
        <v>835</v>
      </c>
      <c r="F56" s="97" t="n">
        <v>0.02</v>
      </c>
      <c r="G56" s="97" t="s">
        <v>1766</v>
      </c>
      <c r="H56" s="97" t="s">
        <v>1767</v>
      </c>
      <c r="I56" s="97" t="s">
        <v>1704</v>
      </c>
      <c r="J56" s="97" t="s">
        <v>1705</v>
      </c>
      <c r="K56" s="97" t="s">
        <v>1706</v>
      </c>
    </row>
    <row r="57" customFormat="false" ht="64" hidden="false" customHeight="true" outlineLevel="0" collapsed="false">
      <c r="C57" s="96" t="s">
        <v>1786</v>
      </c>
      <c r="D57" s="97" t="s">
        <v>1744</v>
      </c>
      <c r="E57" s="97" t="s">
        <v>835</v>
      </c>
      <c r="F57" s="97" t="n">
        <v>0.02</v>
      </c>
      <c r="G57" s="97" t="s">
        <v>1766</v>
      </c>
      <c r="H57" s="97" t="s">
        <v>1767</v>
      </c>
      <c r="I57" s="97" t="s">
        <v>1704</v>
      </c>
      <c r="J57" s="97" t="s">
        <v>1705</v>
      </c>
      <c r="K57" s="97" t="s">
        <v>1706</v>
      </c>
    </row>
    <row r="58" customFormat="false" ht="64" hidden="false" customHeight="true" outlineLevel="0" collapsed="false">
      <c r="C58" s="96" t="s">
        <v>1787</v>
      </c>
      <c r="D58" s="97" t="s">
        <v>1746</v>
      </c>
      <c r="E58" s="97" t="s">
        <v>835</v>
      </c>
      <c r="F58" s="97" t="n">
        <v>0.02</v>
      </c>
      <c r="G58" s="97" t="s">
        <v>1766</v>
      </c>
      <c r="H58" s="97" t="s">
        <v>1767</v>
      </c>
      <c r="I58" s="97" t="s">
        <v>1704</v>
      </c>
      <c r="J58" s="97" t="s">
        <v>1705</v>
      </c>
      <c r="K58" s="97" t="s">
        <v>1706</v>
      </c>
    </row>
    <row r="59" customFormat="false" ht="64" hidden="false" customHeight="true" outlineLevel="0" collapsed="false">
      <c r="C59" s="96" t="s">
        <v>1788</v>
      </c>
      <c r="D59" s="97" t="s">
        <v>1748</v>
      </c>
      <c r="E59" s="97" t="s">
        <v>835</v>
      </c>
      <c r="F59" s="97" t="n">
        <v>0.02</v>
      </c>
      <c r="G59" s="97" t="s">
        <v>1766</v>
      </c>
      <c r="H59" s="97" t="s">
        <v>1767</v>
      </c>
      <c r="I59" s="97" t="s">
        <v>1704</v>
      </c>
      <c r="J59" s="97" t="s">
        <v>1705</v>
      </c>
      <c r="K59" s="97" t="s">
        <v>1706</v>
      </c>
    </row>
    <row r="60" customFormat="false" ht="64" hidden="false" customHeight="true" outlineLevel="0" collapsed="false">
      <c r="C60" s="96" t="s">
        <v>1789</v>
      </c>
      <c r="D60" s="97" t="s">
        <v>1750</v>
      </c>
      <c r="E60" s="97" t="s">
        <v>835</v>
      </c>
      <c r="F60" s="97" t="n">
        <v>0.02</v>
      </c>
      <c r="G60" s="97" t="s">
        <v>1766</v>
      </c>
      <c r="H60" s="97" t="s">
        <v>1767</v>
      </c>
      <c r="I60" s="97" t="s">
        <v>1704</v>
      </c>
      <c r="J60" s="97" t="s">
        <v>1705</v>
      </c>
      <c r="K60" s="97" t="s">
        <v>1706</v>
      </c>
    </row>
    <row r="61" customFormat="false" ht="64" hidden="false" customHeight="true" outlineLevel="0" collapsed="false">
      <c r="C61" s="96" t="s">
        <v>1790</v>
      </c>
      <c r="D61" s="97" t="s">
        <v>1752</v>
      </c>
      <c r="E61" s="97" t="s">
        <v>835</v>
      </c>
      <c r="F61" s="97" t="n">
        <v>0.02</v>
      </c>
      <c r="G61" s="97" t="s">
        <v>1766</v>
      </c>
      <c r="H61" s="97" t="s">
        <v>1767</v>
      </c>
      <c r="I61" s="97" t="s">
        <v>1704</v>
      </c>
      <c r="J61" s="97" t="s">
        <v>1705</v>
      </c>
      <c r="K61" s="97" t="s">
        <v>1706</v>
      </c>
    </row>
    <row r="62" customFormat="false" ht="64" hidden="false" customHeight="true" outlineLevel="0" collapsed="false">
      <c r="C62" s="96" t="s">
        <v>1791</v>
      </c>
      <c r="D62" s="97" t="s">
        <v>1754</v>
      </c>
      <c r="E62" s="97" t="s">
        <v>835</v>
      </c>
      <c r="F62" s="97" t="n">
        <v>0.02</v>
      </c>
      <c r="G62" s="97" t="s">
        <v>1766</v>
      </c>
      <c r="H62" s="97" t="s">
        <v>1767</v>
      </c>
      <c r="I62" s="97" t="s">
        <v>1704</v>
      </c>
      <c r="J62" s="97" t="s">
        <v>1705</v>
      </c>
      <c r="K62" s="97" t="s">
        <v>1706</v>
      </c>
    </row>
    <row r="63" customFormat="false" ht="64" hidden="false" customHeight="true" outlineLevel="0" collapsed="false">
      <c r="C63" s="96" t="s">
        <v>1792</v>
      </c>
      <c r="D63" s="97" t="s">
        <v>1756</v>
      </c>
      <c r="E63" s="97" t="s">
        <v>835</v>
      </c>
      <c r="F63" s="97" t="n">
        <v>0.02</v>
      </c>
      <c r="G63" s="97" t="s">
        <v>1766</v>
      </c>
      <c r="H63" s="97" t="s">
        <v>1767</v>
      </c>
      <c r="I63" s="97" t="s">
        <v>1704</v>
      </c>
      <c r="J63" s="97" t="s">
        <v>1705</v>
      </c>
      <c r="K63" s="97" t="s">
        <v>1706</v>
      </c>
    </row>
    <row r="64" customFormat="false" ht="64" hidden="false" customHeight="true" outlineLevel="0" collapsed="false">
      <c r="C64" s="96" t="s">
        <v>1793</v>
      </c>
      <c r="D64" s="97" t="s">
        <v>1758</v>
      </c>
      <c r="E64" s="97" t="s">
        <v>835</v>
      </c>
      <c r="F64" s="97" t="n">
        <v>0.02</v>
      </c>
      <c r="G64" s="97" t="s">
        <v>1766</v>
      </c>
      <c r="H64" s="97" t="s">
        <v>1767</v>
      </c>
      <c r="I64" s="97" t="s">
        <v>1704</v>
      </c>
      <c r="J64" s="97" t="s">
        <v>1705</v>
      </c>
      <c r="K64" s="97" t="s">
        <v>1706</v>
      </c>
    </row>
    <row r="65" customFormat="false" ht="64" hidden="false" customHeight="true" outlineLevel="0" collapsed="false">
      <c r="C65" s="96" t="s">
        <v>1794</v>
      </c>
      <c r="D65" s="97" t="s">
        <v>1760</v>
      </c>
      <c r="E65" s="97" t="s">
        <v>835</v>
      </c>
      <c r="F65" s="97" t="n">
        <v>0.02</v>
      </c>
      <c r="G65" s="97" t="s">
        <v>1766</v>
      </c>
      <c r="H65" s="97" t="s">
        <v>1767</v>
      </c>
      <c r="I65" s="97" t="s">
        <v>1704</v>
      </c>
      <c r="J65" s="97" t="s">
        <v>1705</v>
      </c>
      <c r="K65" s="97" t="s">
        <v>1706</v>
      </c>
    </row>
    <row r="66" customFormat="false" ht="64" hidden="false" customHeight="true" outlineLevel="0" collapsed="false">
      <c r="C66" s="96" t="s">
        <v>1795</v>
      </c>
      <c r="D66" s="97" t="s">
        <v>1762</v>
      </c>
      <c r="E66" s="97" t="s">
        <v>835</v>
      </c>
      <c r="F66" s="97" t="n">
        <v>0.02</v>
      </c>
      <c r="G66" s="97" t="s">
        <v>1766</v>
      </c>
      <c r="H66" s="97" t="s">
        <v>1767</v>
      </c>
      <c r="I66" s="97" t="s">
        <v>1704</v>
      </c>
      <c r="J66" s="97" t="s">
        <v>1705</v>
      </c>
      <c r="K66" s="97" t="s">
        <v>1706</v>
      </c>
    </row>
    <row r="67" customFormat="false" ht="64" hidden="false" customHeight="true" outlineLevel="0" collapsed="false">
      <c r="C67" s="96" t="s">
        <v>1796</v>
      </c>
      <c r="D67" s="97" t="s">
        <v>1764</v>
      </c>
      <c r="E67" s="97" t="s">
        <v>835</v>
      </c>
      <c r="F67" s="97" t="n">
        <v>0.02</v>
      </c>
      <c r="G67" s="97" t="s">
        <v>1766</v>
      </c>
      <c r="H67" s="97" t="s">
        <v>1767</v>
      </c>
      <c r="I67" s="97" t="s">
        <v>1704</v>
      </c>
      <c r="J67" s="97" t="s">
        <v>1705</v>
      </c>
      <c r="K67" s="97" t="s">
        <v>1706</v>
      </c>
    </row>
    <row r="68" customFormat="false" ht="64" hidden="false" customHeight="true" outlineLevel="0" collapsed="false">
      <c r="C68" s="96" t="s">
        <v>1797</v>
      </c>
      <c r="D68" s="97" t="s">
        <v>1700</v>
      </c>
      <c r="E68" s="97" t="s">
        <v>835</v>
      </c>
      <c r="F68" s="97" t="n">
        <v>0</v>
      </c>
      <c r="G68" s="97" t="s">
        <v>1798</v>
      </c>
      <c r="H68" s="97" t="s">
        <v>1767</v>
      </c>
      <c r="I68" s="97" t="s">
        <v>1704</v>
      </c>
      <c r="J68" s="97" t="s">
        <v>1705</v>
      </c>
      <c r="K68" s="97" t="s">
        <v>1706</v>
      </c>
    </row>
    <row r="69" customFormat="false" ht="64" hidden="false" customHeight="true" outlineLevel="0" collapsed="false">
      <c r="C69" s="96" t="s">
        <v>1799</v>
      </c>
      <c r="D69" s="97" t="s">
        <v>1708</v>
      </c>
      <c r="E69" s="97" t="s">
        <v>835</v>
      </c>
      <c r="F69" s="97" t="n">
        <v>0</v>
      </c>
      <c r="G69" s="97" t="s">
        <v>1798</v>
      </c>
      <c r="H69" s="97" t="s">
        <v>1767</v>
      </c>
      <c r="I69" s="97" t="s">
        <v>1704</v>
      </c>
      <c r="J69" s="97" t="s">
        <v>1705</v>
      </c>
      <c r="K69" s="97" t="s">
        <v>1706</v>
      </c>
    </row>
    <row r="70" customFormat="false" ht="64" hidden="false" customHeight="true" outlineLevel="0" collapsed="false">
      <c r="C70" s="96" t="s">
        <v>1800</v>
      </c>
      <c r="D70" s="97" t="s">
        <v>1710</v>
      </c>
      <c r="E70" s="97" t="s">
        <v>835</v>
      </c>
      <c r="F70" s="97" t="n">
        <v>0</v>
      </c>
      <c r="G70" s="97" t="s">
        <v>1798</v>
      </c>
      <c r="H70" s="97" t="s">
        <v>1767</v>
      </c>
      <c r="I70" s="97" t="s">
        <v>1704</v>
      </c>
      <c r="J70" s="97" t="s">
        <v>1705</v>
      </c>
      <c r="K70" s="97" t="s">
        <v>1706</v>
      </c>
    </row>
    <row r="71" customFormat="false" ht="64" hidden="false" customHeight="true" outlineLevel="0" collapsed="false">
      <c r="C71" s="96" t="s">
        <v>1801</v>
      </c>
      <c r="D71" s="97" t="s">
        <v>1712</v>
      </c>
      <c r="E71" s="97" t="s">
        <v>835</v>
      </c>
      <c r="F71" s="97" t="n">
        <v>0</v>
      </c>
      <c r="G71" s="97" t="s">
        <v>1798</v>
      </c>
      <c r="H71" s="97" t="s">
        <v>1767</v>
      </c>
      <c r="I71" s="97" t="s">
        <v>1704</v>
      </c>
      <c r="J71" s="97" t="s">
        <v>1705</v>
      </c>
      <c r="K71" s="97" t="s">
        <v>1706</v>
      </c>
    </row>
    <row r="72" customFormat="false" ht="64" hidden="false" customHeight="true" outlineLevel="0" collapsed="false">
      <c r="C72" s="96" t="s">
        <v>1802</v>
      </c>
      <c r="D72" s="97" t="s">
        <v>1714</v>
      </c>
      <c r="E72" s="97" t="s">
        <v>835</v>
      </c>
      <c r="F72" s="97" t="n">
        <v>0</v>
      </c>
      <c r="G72" s="97" t="s">
        <v>1798</v>
      </c>
      <c r="H72" s="97" t="s">
        <v>1767</v>
      </c>
      <c r="I72" s="97" t="s">
        <v>1704</v>
      </c>
      <c r="J72" s="97" t="s">
        <v>1705</v>
      </c>
      <c r="K72" s="97" t="s">
        <v>1706</v>
      </c>
    </row>
    <row r="73" customFormat="false" ht="64" hidden="false" customHeight="true" outlineLevel="0" collapsed="false">
      <c r="C73" s="96" t="s">
        <v>1803</v>
      </c>
      <c r="D73" s="97" t="s">
        <v>1716</v>
      </c>
      <c r="E73" s="97" t="s">
        <v>835</v>
      </c>
      <c r="F73" s="97" t="n">
        <v>0</v>
      </c>
      <c r="G73" s="97" t="s">
        <v>1798</v>
      </c>
      <c r="H73" s="97" t="s">
        <v>1767</v>
      </c>
      <c r="I73" s="97" t="s">
        <v>1704</v>
      </c>
      <c r="J73" s="97" t="s">
        <v>1705</v>
      </c>
      <c r="K73" s="97" t="s">
        <v>1706</v>
      </c>
    </row>
    <row r="74" customFormat="false" ht="64" hidden="false" customHeight="true" outlineLevel="0" collapsed="false">
      <c r="C74" s="96" t="s">
        <v>1804</v>
      </c>
      <c r="D74" s="97" t="s">
        <v>1718</v>
      </c>
      <c r="E74" s="97" t="s">
        <v>835</v>
      </c>
      <c r="F74" s="97" t="n">
        <v>0</v>
      </c>
      <c r="G74" s="97" t="s">
        <v>1798</v>
      </c>
      <c r="H74" s="97" t="s">
        <v>1767</v>
      </c>
      <c r="I74" s="97" t="s">
        <v>1704</v>
      </c>
      <c r="J74" s="97" t="s">
        <v>1705</v>
      </c>
      <c r="K74" s="97" t="s">
        <v>1706</v>
      </c>
    </row>
    <row r="75" customFormat="false" ht="64" hidden="false" customHeight="true" outlineLevel="0" collapsed="false">
      <c r="C75" s="96" t="s">
        <v>1805</v>
      </c>
      <c r="D75" s="97" t="s">
        <v>1720</v>
      </c>
      <c r="E75" s="97" t="s">
        <v>835</v>
      </c>
      <c r="F75" s="97" t="n">
        <v>0</v>
      </c>
      <c r="G75" s="97" t="s">
        <v>1798</v>
      </c>
      <c r="H75" s="97" t="s">
        <v>1767</v>
      </c>
      <c r="I75" s="97" t="s">
        <v>1704</v>
      </c>
      <c r="J75" s="97" t="s">
        <v>1705</v>
      </c>
      <c r="K75" s="97" t="s">
        <v>1706</v>
      </c>
    </row>
    <row r="76" customFormat="false" ht="64" hidden="false" customHeight="true" outlineLevel="0" collapsed="false">
      <c r="C76" s="96" t="s">
        <v>1806</v>
      </c>
      <c r="D76" s="97" t="s">
        <v>1722</v>
      </c>
      <c r="E76" s="97" t="s">
        <v>835</v>
      </c>
      <c r="F76" s="97" t="n">
        <v>0</v>
      </c>
      <c r="G76" s="97" t="s">
        <v>1798</v>
      </c>
      <c r="H76" s="97" t="s">
        <v>1767</v>
      </c>
      <c r="I76" s="97" t="s">
        <v>1704</v>
      </c>
      <c r="J76" s="97" t="s">
        <v>1705</v>
      </c>
      <c r="K76" s="97" t="s">
        <v>1706</v>
      </c>
    </row>
    <row r="77" customFormat="false" ht="64" hidden="false" customHeight="true" outlineLevel="0" collapsed="false">
      <c r="C77" s="96" t="s">
        <v>1807</v>
      </c>
      <c r="D77" s="97" t="s">
        <v>1724</v>
      </c>
      <c r="E77" s="97" t="s">
        <v>835</v>
      </c>
      <c r="F77" s="97" t="n">
        <v>0</v>
      </c>
      <c r="G77" s="97" t="s">
        <v>1798</v>
      </c>
      <c r="H77" s="97" t="s">
        <v>1767</v>
      </c>
      <c r="I77" s="97" t="s">
        <v>1704</v>
      </c>
      <c r="J77" s="97" t="s">
        <v>1705</v>
      </c>
      <c r="K77" s="97" t="s">
        <v>1706</v>
      </c>
    </row>
    <row r="78" customFormat="false" ht="64" hidden="false" customHeight="true" outlineLevel="0" collapsed="false">
      <c r="C78" s="96" t="s">
        <v>1808</v>
      </c>
      <c r="D78" s="97" t="s">
        <v>1726</v>
      </c>
      <c r="E78" s="97" t="s">
        <v>835</v>
      </c>
      <c r="F78" s="97" t="n">
        <v>0</v>
      </c>
      <c r="G78" s="97" t="s">
        <v>1798</v>
      </c>
      <c r="H78" s="97" t="s">
        <v>1767</v>
      </c>
      <c r="I78" s="97" t="s">
        <v>1704</v>
      </c>
      <c r="J78" s="97" t="s">
        <v>1705</v>
      </c>
      <c r="K78" s="97" t="s">
        <v>1706</v>
      </c>
    </row>
    <row r="79" customFormat="false" ht="64" hidden="false" customHeight="true" outlineLevel="0" collapsed="false">
      <c r="C79" s="96" t="s">
        <v>1809</v>
      </c>
      <c r="D79" s="97" t="s">
        <v>1728</v>
      </c>
      <c r="E79" s="97" t="s">
        <v>835</v>
      </c>
      <c r="F79" s="97" t="n">
        <v>0</v>
      </c>
      <c r="G79" s="97" t="s">
        <v>1798</v>
      </c>
      <c r="H79" s="97" t="s">
        <v>1767</v>
      </c>
      <c r="I79" s="97" t="s">
        <v>1704</v>
      </c>
      <c r="J79" s="97" t="s">
        <v>1705</v>
      </c>
      <c r="K79" s="97" t="s">
        <v>1706</v>
      </c>
    </row>
    <row r="80" customFormat="false" ht="64" hidden="false" customHeight="true" outlineLevel="0" collapsed="false">
      <c r="C80" s="96" t="s">
        <v>1810</v>
      </c>
      <c r="D80" s="97" t="s">
        <v>1730</v>
      </c>
      <c r="E80" s="97" t="s">
        <v>835</v>
      </c>
      <c r="F80" s="97" t="n">
        <v>0</v>
      </c>
      <c r="G80" s="97" t="s">
        <v>1798</v>
      </c>
      <c r="H80" s="97" t="s">
        <v>1767</v>
      </c>
      <c r="I80" s="97" t="s">
        <v>1704</v>
      </c>
      <c r="J80" s="97" t="s">
        <v>1705</v>
      </c>
      <c r="K80" s="97" t="s">
        <v>1706</v>
      </c>
    </row>
    <row r="81" customFormat="false" ht="64" hidden="false" customHeight="true" outlineLevel="0" collapsed="false">
      <c r="C81" s="96" t="s">
        <v>1811</v>
      </c>
      <c r="D81" s="97" t="s">
        <v>1732</v>
      </c>
      <c r="E81" s="97" t="s">
        <v>835</v>
      </c>
      <c r="F81" s="97" t="n">
        <v>0</v>
      </c>
      <c r="G81" s="97" t="s">
        <v>1798</v>
      </c>
      <c r="H81" s="97" t="s">
        <v>1767</v>
      </c>
      <c r="I81" s="97" t="s">
        <v>1704</v>
      </c>
      <c r="J81" s="97" t="s">
        <v>1705</v>
      </c>
      <c r="K81" s="97" t="s">
        <v>1706</v>
      </c>
    </row>
    <row r="82" customFormat="false" ht="64" hidden="false" customHeight="true" outlineLevel="0" collapsed="false">
      <c r="C82" s="96" t="s">
        <v>1812</v>
      </c>
      <c r="D82" s="97" t="s">
        <v>1734</v>
      </c>
      <c r="E82" s="97" t="s">
        <v>835</v>
      </c>
      <c r="F82" s="97" t="n">
        <v>0</v>
      </c>
      <c r="G82" s="97" t="s">
        <v>1798</v>
      </c>
      <c r="H82" s="97" t="s">
        <v>1767</v>
      </c>
      <c r="I82" s="97" t="s">
        <v>1704</v>
      </c>
      <c r="J82" s="97" t="s">
        <v>1705</v>
      </c>
      <c r="K82" s="97" t="s">
        <v>1706</v>
      </c>
    </row>
    <row r="83" customFormat="false" ht="64" hidden="false" customHeight="true" outlineLevel="0" collapsed="false">
      <c r="C83" s="96" t="s">
        <v>1813</v>
      </c>
      <c r="D83" s="97" t="s">
        <v>1736</v>
      </c>
      <c r="E83" s="97" t="s">
        <v>835</v>
      </c>
      <c r="F83" s="97" t="n">
        <v>0</v>
      </c>
      <c r="G83" s="97" t="s">
        <v>1798</v>
      </c>
      <c r="H83" s="97" t="s">
        <v>1767</v>
      </c>
      <c r="I83" s="97" t="s">
        <v>1704</v>
      </c>
      <c r="J83" s="97" t="s">
        <v>1705</v>
      </c>
      <c r="K83" s="97" t="s">
        <v>1706</v>
      </c>
    </row>
    <row r="84" customFormat="false" ht="64" hidden="false" customHeight="true" outlineLevel="0" collapsed="false">
      <c r="C84" s="96" t="s">
        <v>1814</v>
      </c>
      <c r="D84" s="97" t="s">
        <v>1738</v>
      </c>
      <c r="E84" s="97" t="s">
        <v>835</v>
      </c>
      <c r="F84" s="97" t="n">
        <v>0</v>
      </c>
      <c r="G84" s="97" t="s">
        <v>1798</v>
      </c>
      <c r="H84" s="97" t="s">
        <v>1767</v>
      </c>
      <c r="I84" s="97" t="s">
        <v>1704</v>
      </c>
      <c r="J84" s="97" t="s">
        <v>1705</v>
      </c>
      <c r="K84" s="97" t="s">
        <v>1706</v>
      </c>
    </row>
    <row r="85" customFormat="false" ht="64" hidden="false" customHeight="true" outlineLevel="0" collapsed="false">
      <c r="C85" s="96" t="s">
        <v>1815</v>
      </c>
      <c r="D85" s="97" t="s">
        <v>1740</v>
      </c>
      <c r="E85" s="97" t="s">
        <v>835</v>
      </c>
      <c r="F85" s="97" t="n">
        <v>0</v>
      </c>
      <c r="G85" s="97" t="s">
        <v>1798</v>
      </c>
      <c r="H85" s="97" t="s">
        <v>1767</v>
      </c>
      <c r="I85" s="97" t="s">
        <v>1704</v>
      </c>
      <c r="J85" s="97" t="s">
        <v>1705</v>
      </c>
      <c r="K85" s="97" t="s">
        <v>1706</v>
      </c>
    </row>
    <row r="86" customFormat="false" ht="64" hidden="false" customHeight="true" outlineLevel="0" collapsed="false">
      <c r="C86" s="96" t="s">
        <v>1816</v>
      </c>
      <c r="D86" s="97" t="s">
        <v>1742</v>
      </c>
      <c r="E86" s="97" t="s">
        <v>835</v>
      </c>
      <c r="F86" s="97" t="n">
        <v>0</v>
      </c>
      <c r="G86" s="97" t="s">
        <v>1798</v>
      </c>
      <c r="H86" s="97" t="s">
        <v>1767</v>
      </c>
      <c r="I86" s="97" t="s">
        <v>1704</v>
      </c>
      <c r="J86" s="97" t="s">
        <v>1705</v>
      </c>
      <c r="K86" s="97" t="s">
        <v>1706</v>
      </c>
    </row>
    <row r="87" customFormat="false" ht="64" hidden="false" customHeight="true" outlineLevel="0" collapsed="false">
      <c r="C87" s="96" t="s">
        <v>1817</v>
      </c>
      <c r="D87" s="97" t="s">
        <v>1744</v>
      </c>
      <c r="E87" s="97" t="s">
        <v>835</v>
      </c>
      <c r="F87" s="97" t="n">
        <v>0</v>
      </c>
      <c r="G87" s="97" t="s">
        <v>1798</v>
      </c>
      <c r="H87" s="97" t="s">
        <v>1767</v>
      </c>
      <c r="I87" s="97" t="s">
        <v>1704</v>
      </c>
      <c r="J87" s="97" t="s">
        <v>1705</v>
      </c>
      <c r="K87" s="97" t="s">
        <v>1706</v>
      </c>
    </row>
    <row r="88" customFormat="false" ht="64" hidden="false" customHeight="true" outlineLevel="0" collapsed="false">
      <c r="C88" s="96" t="s">
        <v>1818</v>
      </c>
      <c r="D88" s="97" t="s">
        <v>1746</v>
      </c>
      <c r="E88" s="97" t="s">
        <v>835</v>
      </c>
      <c r="F88" s="97" t="n">
        <v>0</v>
      </c>
      <c r="G88" s="97" t="s">
        <v>1798</v>
      </c>
      <c r="H88" s="97" t="s">
        <v>1767</v>
      </c>
      <c r="I88" s="97" t="s">
        <v>1704</v>
      </c>
      <c r="J88" s="97" t="s">
        <v>1705</v>
      </c>
      <c r="K88" s="97" t="s">
        <v>1706</v>
      </c>
    </row>
    <row r="89" customFormat="false" ht="64" hidden="false" customHeight="true" outlineLevel="0" collapsed="false">
      <c r="C89" s="96" t="s">
        <v>1819</v>
      </c>
      <c r="D89" s="97" t="s">
        <v>1748</v>
      </c>
      <c r="E89" s="97" t="s">
        <v>835</v>
      </c>
      <c r="F89" s="97" t="n">
        <v>0</v>
      </c>
      <c r="G89" s="97" t="s">
        <v>1798</v>
      </c>
      <c r="H89" s="97" t="s">
        <v>1767</v>
      </c>
      <c r="I89" s="97" t="s">
        <v>1704</v>
      </c>
      <c r="J89" s="97" t="s">
        <v>1705</v>
      </c>
      <c r="K89" s="97" t="s">
        <v>1706</v>
      </c>
    </row>
    <row r="90" customFormat="false" ht="64" hidden="false" customHeight="true" outlineLevel="0" collapsed="false">
      <c r="C90" s="96" t="s">
        <v>1820</v>
      </c>
      <c r="D90" s="97" t="s">
        <v>1750</v>
      </c>
      <c r="E90" s="97" t="s">
        <v>835</v>
      </c>
      <c r="F90" s="97" t="n">
        <v>0</v>
      </c>
      <c r="G90" s="97" t="s">
        <v>1798</v>
      </c>
      <c r="H90" s="97" t="s">
        <v>1767</v>
      </c>
      <c r="I90" s="97" t="s">
        <v>1704</v>
      </c>
      <c r="J90" s="97" t="s">
        <v>1705</v>
      </c>
      <c r="K90" s="97" t="s">
        <v>1706</v>
      </c>
    </row>
    <row r="91" customFormat="false" ht="64" hidden="false" customHeight="true" outlineLevel="0" collapsed="false">
      <c r="C91" s="96" t="s">
        <v>1821</v>
      </c>
      <c r="D91" s="97" t="s">
        <v>1752</v>
      </c>
      <c r="E91" s="97" t="s">
        <v>835</v>
      </c>
      <c r="F91" s="97" t="n">
        <v>0</v>
      </c>
      <c r="G91" s="97" t="s">
        <v>1798</v>
      </c>
      <c r="H91" s="97" t="s">
        <v>1767</v>
      </c>
      <c r="I91" s="97" t="s">
        <v>1704</v>
      </c>
      <c r="J91" s="97" t="s">
        <v>1705</v>
      </c>
      <c r="K91" s="97" t="s">
        <v>1706</v>
      </c>
    </row>
    <row r="92" customFormat="false" ht="64" hidden="false" customHeight="true" outlineLevel="0" collapsed="false">
      <c r="C92" s="96" t="s">
        <v>1822</v>
      </c>
      <c r="D92" s="97" t="s">
        <v>1754</v>
      </c>
      <c r="E92" s="97" t="s">
        <v>835</v>
      </c>
      <c r="F92" s="97" t="n">
        <v>0</v>
      </c>
      <c r="G92" s="97" t="s">
        <v>1798</v>
      </c>
      <c r="H92" s="97" t="s">
        <v>1767</v>
      </c>
      <c r="I92" s="97" t="s">
        <v>1704</v>
      </c>
      <c r="J92" s="97" t="s">
        <v>1705</v>
      </c>
      <c r="K92" s="97" t="s">
        <v>1706</v>
      </c>
    </row>
    <row r="93" customFormat="false" ht="64" hidden="false" customHeight="true" outlineLevel="0" collapsed="false">
      <c r="C93" s="96" t="s">
        <v>1823</v>
      </c>
      <c r="D93" s="97" t="s">
        <v>1756</v>
      </c>
      <c r="E93" s="97" t="s">
        <v>835</v>
      </c>
      <c r="F93" s="97" t="n">
        <v>0</v>
      </c>
      <c r="G93" s="97" t="s">
        <v>1798</v>
      </c>
      <c r="H93" s="97" t="s">
        <v>1767</v>
      </c>
      <c r="I93" s="97" t="s">
        <v>1704</v>
      </c>
      <c r="J93" s="97" t="s">
        <v>1705</v>
      </c>
      <c r="K93" s="97" t="s">
        <v>1706</v>
      </c>
    </row>
    <row r="94" customFormat="false" ht="64" hidden="false" customHeight="true" outlineLevel="0" collapsed="false">
      <c r="C94" s="96" t="s">
        <v>1824</v>
      </c>
      <c r="D94" s="97" t="s">
        <v>1758</v>
      </c>
      <c r="E94" s="97" t="s">
        <v>835</v>
      </c>
      <c r="F94" s="97" t="n">
        <v>0</v>
      </c>
      <c r="G94" s="97" t="s">
        <v>1798</v>
      </c>
      <c r="H94" s="97" t="s">
        <v>1767</v>
      </c>
      <c r="I94" s="97" t="s">
        <v>1704</v>
      </c>
      <c r="J94" s="97" t="s">
        <v>1705</v>
      </c>
      <c r="K94" s="97" t="s">
        <v>1706</v>
      </c>
    </row>
    <row r="95" customFormat="false" ht="64" hidden="false" customHeight="true" outlineLevel="0" collapsed="false">
      <c r="C95" s="96" t="s">
        <v>1825</v>
      </c>
      <c r="D95" s="97" t="s">
        <v>1760</v>
      </c>
      <c r="E95" s="97" t="s">
        <v>835</v>
      </c>
      <c r="F95" s="97" t="n">
        <v>0</v>
      </c>
      <c r="G95" s="97" t="s">
        <v>1798</v>
      </c>
      <c r="H95" s="97" t="s">
        <v>1767</v>
      </c>
      <c r="I95" s="97" t="s">
        <v>1704</v>
      </c>
      <c r="J95" s="97" t="s">
        <v>1705</v>
      </c>
      <c r="K95" s="97" t="s">
        <v>1706</v>
      </c>
    </row>
    <row r="96" customFormat="false" ht="64" hidden="false" customHeight="true" outlineLevel="0" collapsed="false">
      <c r="C96" s="96" t="s">
        <v>1826</v>
      </c>
      <c r="D96" s="97" t="s">
        <v>1762</v>
      </c>
      <c r="E96" s="97" t="s">
        <v>835</v>
      </c>
      <c r="F96" s="97" t="n">
        <v>0</v>
      </c>
      <c r="G96" s="97" t="s">
        <v>1798</v>
      </c>
      <c r="H96" s="97" t="s">
        <v>1767</v>
      </c>
      <c r="I96" s="97" t="s">
        <v>1704</v>
      </c>
      <c r="J96" s="97" t="s">
        <v>1705</v>
      </c>
      <c r="K96" s="97" t="s">
        <v>1706</v>
      </c>
    </row>
    <row r="97" customFormat="false" ht="64" hidden="false" customHeight="true" outlineLevel="0" collapsed="false">
      <c r="C97" s="96" t="s">
        <v>1827</v>
      </c>
      <c r="D97" s="97" t="s">
        <v>1764</v>
      </c>
      <c r="E97" s="97" t="s">
        <v>835</v>
      </c>
      <c r="F97" s="97" t="n">
        <v>0</v>
      </c>
      <c r="G97" s="97" t="s">
        <v>1798</v>
      </c>
      <c r="H97" s="97" t="s">
        <v>1767</v>
      </c>
      <c r="I97" s="97" t="s">
        <v>1704</v>
      </c>
      <c r="J97" s="97" t="s">
        <v>1705</v>
      </c>
      <c r="K97" s="97" t="s">
        <v>1706</v>
      </c>
    </row>
    <row r="98" customFormat="false" ht="64" hidden="false" customHeight="true" outlineLevel="0" collapsed="false">
      <c r="C98" s="96" t="s">
        <v>1828</v>
      </c>
      <c r="D98" s="97" t="s">
        <v>1829</v>
      </c>
      <c r="E98" s="97" t="s">
        <v>1830</v>
      </c>
      <c r="F98" s="97" t="n">
        <v>21.5924688547545</v>
      </c>
      <c r="G98" s="97" t="s">
        <v>1831</v>
      </c>
      <c r="H98" s="97" t="s">
        <v>1703</v>
      </c>
      <c r="I98" s="97" t="s">
        <v>1704</v>
      </c>
      <c r="J98" s="97" t="s">
        <v>1705</v>
      </c>
      <c r="K98" s="97" t="s">
        <v>1706</v>
      </c>
    </row>
    <row r="99" customFormat="false" ht="64" hidden="false" customHeight="true" outlineLevel="0" collapsed="false">
      <c r="C99" s="96" t="s">
        <v>1832</v>
      </c>
      <c r="D99" s="97" t="s">
        <v>1833</v>
      </c>
      <c r="E99" s="97" t="s">
        <v>1830</v>
      </c>
      <c r="F99" s="97" t="n">
        <v>21.5924688547545</v>
      </c>
      <c r="G99" s="97" t="s">
        <v>1831</v>
      </c>
      <c r="H99" s="97" t="s">
        <v>1703</v>
      </c>
      <c r="I99" s="97" t="s">
        <v>1704</v>
      </c>
      <c r="J99" s="97" t="s">
        <v>1705</v>
      </c>
      <c r="K99" s="97" t="s">
        <v>1706</v>
      </c>
    </row>
    <row r="100" customFormat="false" ht="64" hidden="false" customHeight="true" outlineLevel="0" collapsed="false">
      <c r="C100" s="96" t="s">
        <v>1834</v>
      </c>
      <c r="D100" s="97" t="s">
        <v>1835</v>
      </c>
      <c r="E100" s="97" t="s">
        <v>1830</v>
      </c>
      <c r="F100" s="97" t="n">
        <v>21.5924688547545</v>
      </c>
      <c r="G100" s="97" t="s">
        <v>1831</v>
      </c>
      <c r="H100" s="97" t="s">
        <v>1703</v>
      </c>
      <c r="I100" s="97" t="s">
        <v>1704</v>
      </c>
      <c r="J100" s="97" t="s">
        <v>1705</v>
      </c>
      <c r="K100" s="97" t="s">
        <v>1706</v>
      </c>
    </row>
    <row r="101" customFormat="false" ht="64" hidden="false" customHeight="true" outlineLevel="0" collapsed="false">
      <c r="C101" s="96" t="s">
        <v>1836</v>
      </c>
      <c r="D101" s="97" t="s">
        <v>1044</v>
      </c>
      <c r="E101" s="97" t="s">
        <v>1830</v>
      </c>
      <c r="F101" s="97" t="n">
        <v>21.5924688547545</v>
      </c>
      <c r="G101" s="97" t="s">
        <v>1831</v>
      </c>
      <c r="H101" s="97" t="s">
        <v>1703</v>
      </c>
      <c r="I101" s="97" t="s">
        <v>1704</v>
      </c>
      <c r="J101" s="97" t="s">
        <v>1705</v>
      </c>
      <c r="K101" s="97" t="s">
        <v>1706</v>
      </c>
    </row>
    <row r="102" customFormat="false" ht="64" hidden="false" customHeight="true" outlineLevel="0" collapsed="false">
      <c r="C102" s="96" t="s">
        <v>1837</v>
      </c>
      <c r="D102" s="97" t="s">
        <v>1838</v>
      </c>
      <c r="E102" s="97" t="s">
        <v>1830</v>
      </c>
      <c r="F102" s="97" t="n">
        <v>21.5924688547545</v>
      </c>
      <c r="G102" s="97" t="s">
        <v>1831</v>
      </c>
      <c r="H102" s="97" t="s">
        <v>1703</v>
      </c>
      <c r="I102" s="97" t="s">
        <v>1704</v>
      </c>
      <c r="J102" s="97" t="s">
        <v>1705</v>
      </c>
      <c r="K102" s="97" t="s">
        <v>1706</v>
      </c>
    </row>
    <row r="103" customFormat="false" ht="64" hidden="false" customHeight="true" outlineLevel="0" collapsed="false">
      <c r="C103" s="96" t="s">
        <v>1839</v>
      </c>
      <c r="D103" s="97" t="s">
        <v>1840</v>
      </c>
      <c r="E103" s="97" t="s">
        <v>1830</v>
      </c>
      <c r="F103" s="97" t="n">
        <v>21.5924688547545</v>
      </c>
      <c r="G103" s="97" t="s">
        <v>1831</v>
      </c>
      <c r="H103" s="97" t="s">
        <v>1703</v>
      </c>
      <c r="I103" s="97" t="s">
        <v>1704</v>
      </c>
      <c r="J103" s="97" t="s">
        <v>1705</v>
      </c>
      <c r="K103" s="97" t="s">
        <v>1706</v>
      </c>
    </row>
    <row r="104" customFormat="false" ht="64" hidden="false" customHeight="true" outlineLevel="0" collapsed="false">
      <c r="C104" s="96" t="s">
        <v>1841</v>
      </c>
      <c r="D104" s="97" t="s">
        <v>1700</v>
      </c>
      <c r="E104" s="97" t="s">
        <v>1830</v>
      </c>
      <c r="F104" s="97" t="n">
        <v>21.5924688547545</v>
      </c>
      <c r="G104" s="97" t="s">
        <v>1831</v>
      </c>
      <c r="H104" s="97" t="s">
        <v>1703</v>
      </c>
      <c r="I104" s="97" t="s">
        <v>1704</v>
      </c>
      <c r="J104" s="97" t="s">
        <v>1705</v>
      </c>
      <c r="K104" s="97" t="s">
        <v>1706</v>
      </c>
    </row>
    <row r="105" customFormat="false" ht="64" hidden="false" customHeight="true" outlineLevel="0" collapsed="false">
      <c r="C105" s="96" t="s">
        <v>1842</v>
      </c>
      <c r="D105" s="97" t="s">
        <v>1708</v>
      </c>
      <c r="E105" s="97" t="s">
        <v>1830</v>
      </c>
      <c r="F105" s="97" t="n">
        <v>21.5924688547545</v>
      </c>
      <c r="G105" s="97" t="s">
        <v>1831</v>
      </c>
      <c r="H105" s="97" t="s">
        <v>1703</v>
      </c>
      <c r="I105" s="97" t="s">
        <v>1704</v>
      </c>
      <c r="J105" s="97" t="s">
        <v>1705</v>
      </c>
      <c r="K105" s="97" t="s">
        <v>1706</v>
      </c>
    </row>
    <row r="106" customFormat="false" ht="64" hidden="false" customHeight="true" outlineLevel="0" collapsed="false">
      <c r="C106" s="96" t="s">
        <v>1843</v>
      </c>
      <c r="D106" s="97" t="s">
        <v>1710</v>
      </c>
      <c r="E106" s="97" t="s">
        <v>1830</v>
      </c>
      <c r="F106" s="97" t="n">
        <v>21.5924688547545</v>
      </c>
      <c r="G106" s="97" t="s">
        <v>1831</v>
      </c>
      <c r="H106" s="97" t="s">
        <v>1703</v>
      </c>
      <c r="I106" s="97" t="s">
        <v>1704</v>
      </c>
      <c r="J106" s="97" t="s">
        <v>1705</v>
      </c>
      <c r="K106" s="97" t="s">
        <v>1706</v>
      </c>
    </row>
    <row r="107" customFormat="false" ht="64" hidden="false" customHeight="true" outlineLevel="0" collapsed="false">
      <c r="C107" s="96" t="s">
        <v>1844</v>
      </c>
      <c r="D107" s="97" t="s">
        <v>1712</v>
      </c>
      <c r="E107" s="97" t="s">
        <v>1830</v>
      </c>
      <c r="F107" s="97" t="n">
        <v>21.5924688547545</v>
      </c>
      <c r="G107" s="97" t="s">
        <v>1831</v>
      </c>
      <c r="H107" s="97" t="s">
        <v>1703</v>
      </c>
      <c r="I107" s="97" t="s">
        <v>1704</v>
      </c>
      <c r="J107" s="97" t="s">
        <v>1705</v>
      </c>
      <c r="K107" s="97" t="s">
        <v>1706</v>
      </c>
    </row>
    <row r="108" customFormat="false" ht="64" hidden="false" customHeight="true" outlineLevel="0" collapsed="false">
      <c r="C108" s="96" t="s">
        <v>1845</v>
      </c>
      <c r="D108" s="97" t="s">
        <v>1714</v>
      </c>
      <c r="E108" s="97" t="s">
        <v>1830</v>
      </c>
      <c r="F108" s="97" t="n">
        <v>21.5924688547545</v>
      </c>
      <c r="G108" s="97" t="s">
        <v>1831</v>
      </c>
      <c r="H108" s="97" t="s">
        <v>1703</v>
      </c>
      <c r="I108" s="97" t="s">
        <v>1704</v>
      </c>
      <c r="J108" s="97" t="s">
        <v>1705</v>
      </c>
      <c r="K108" s="97" t="s">
        <v>1706</v>
      </c>
    </row>
    <row r="109" customFormat="false" ht="64" hidden="false" customHeight="true" outlineLevel="0" collapsed="false">
      <c r="C109" s="96" t="s">
        <v>1846</v>
      </c>
      <c r="D109" s="97" t="s">
        <v>1716</v>
      </c>
      <c r="E109" s="97" t="s">
        <v>1830</v>
      </c>
      <c r="F109" s="97" t="n">
        <v>21.5924688547545</v>
      </c>
      <c r="G109" s="97" t="s">
        <v>1831</v>
      </c>
      <c r="H109" s="97" t="s">
        <v>1703</v>
      </c>
      <c r="I109" s="97" t="s">
        <v>1704</v>
      </c>
      <c r="J109" s="97" t="s">
        <v>1705</v>
      </c>
      <c r="K109" s="97" t="s">
        <v>1706</v>
      </c>
    </row>
    <row r="110" customFormat="false" ht="64" hidden="false" customHeight="true" outlineLevel="0" collapsed="false">
      <c r="C110" s="96" t="s">
        <v>1847</v>
      </c>
      <c r="D110" s="97" t="s">
        <v>1718</v>
      </c>
      <c r="E110" s="97" t="s">
        <v>1830</v>
      </c>
      <c r="F110" s="97" t="n">
        <v>21.5924688547545</v>
      </c>
      <c r="G110" s="97" t="s">
        <v>1831</v>
      </c>
      <c r="H110" s="97" t="s">
        <v>1703</v>
      </c>
      <c r="I110" s="97" t="s">
        <v>1704</v>
      </c>
      <c r="J110" s="97" t="s">
        <v>1705</v>
      </c>
      <c r="K110" s="97" t="s">
        <v>1706</v>
      </c>
    </row>
    <row r="111" customFormat="false" ht="64" hidden="false" customHeight="true" outlineLevel="0" collapsed="false">
      <c r="C111" s="96" t="s">
        <v>1848</v>
      </c>
      <c r="D111" s="97" t="s">
        <v>1720</v>
      </c>
      <c r="E111" s="97" t="s">
        <v>1830</v>
      </c>
      <c r="F111" s="97" t="n">
        <v>21.5924688547545</v>
      </c>
      <c r="G111" s="97" t="s">
        <v>1831</v>
      </c>
      <c r="H111" s="97" t="s">
        <v>1703</v>
      </c>
      <c r="I111" s="97" t="s">
        <v>1704</v>
      </c>
      <c r="J111" s="97" t="s">
        <v>1705</v>
      </c>
      <c r="K111" s="97" t="s">
        <v>1706</v>
      </c>
    </row>
    <row r="112" customFormat="false" ht="64" hidden="false" customHeight="true" outlineLevel="0" collapsed="false">
      <c r="C112" s="96" t="s">
        <v>1849</v>
      </c>
      <c r="D112" s="97" t="s">
        <v>1722</v>
      </c>
      <c r="E112" s="97" t="s">
        <v>1830</v>
      </c>
      <c r="F112" s="97" t="n">
        <v>21.5924688547545</v>
      </c>
      <c r="G112" s="97" t="s">
        <v>1831</v>
      </c>
      <c r="H112" s="97" t="s">
        <v>1703</v>
      </c>
      <c r="I112" s="97" t="s">
        <v>1704</v>
      </c>
      <c r="J112" s="97" t="s">
        <v>1705</v>
      </c>
      <c r="K112" s="97" t="s">
        <v>1706</v>
      </c>
    </row>
    <row r="113" customFormat="false" ht="64" hidden="false" customHeight="true" outlineLevel="0" collapsed="false">
      <c r="C113" s="96" t="s">
        <v>1850</v>
      </c>
      <c r="D113" s="97" t="s">
        <v>1724</v>
      </c>
      <c r="E113" s="97" t="s">
        <v>1830</v>
      </c>
      <c r="F113" s="97" t="n">
        <v>21.5924688547545</v>
      </c>
      <c r="G113" s="97" t="s">
        <v>1831</v>
      </c>
      <c r="H113" s="97" t="s">
        <v>1703</v>
      </c>
      <c r="I113" s="97" t="s">
        <v>1704</v>
      </c>
      <c r="J113" s="97" t="s">
        <v>1705</v>
      </c>
      <c r="K113" s="97" t="s">
        <v>1706</v>
      </c>
    </row>
    <row r="114" customFormat="false" ht="64" hidden="false" customHeight="true" outlineLevel="0" collapsed="false">
      <c r="C114" s="96" t="s">
        <v>1851</v>
      </c>
      <c r="D114" s="97" t="s">
        <v>1726</v>
      </c>
      <c r="E114" s="97" t="s">
        <v>1830</v>
      </c>
      <c r="F114" s="97" t="n">
        <v>21.5924688547545</v>
      </c>
      <c r="G114" s="97" t="s">
        <v>1831</v>
      </c>
      <c r="H114" s="97" t="s">
        <v>1703</v>
      </c>
      <c r="I114" s="97" t="s">
        <v>1704</v>
      </c>
      <c r="J114" s="97" t="s">
        <v>1705</v>
      </c>
      <c r="K114" s="97" t="s">
        <v>1706</v>
      </c>
    </row>
    <row r="115" customFormat="false" ht="64" hidden="false" customHeight="true" outlineLevel="0" collapsed="false">
      <c r="C115" s="96" t="s">
        <v>1852</v>
      </c>
      <c r="D115" s="97" t="s">
        <v>1728</v>
      </c>
      <c r="E115" s="97" t="s">
        <v>1830</v>
      </c>
      <c r="F115" s="97" t="n">
        <v>21.5924688547545</v>
      </c>
      <c r="G115" s="97" t="s">
        <v>1831</v>
      </c>
      <c r="H115" s="97" t="s">
        <v>1703</v>
      </c>
      <c r="I115" s="97" t="s">
        <v>1704</v>
      </c>
      <c r="J115" s="97" t="s">
        <v>1705</v>
      </c>
      <c r="K115" s="97" t="s">
        <v>1706</v>
      </c>
    </row>
    <row r="116" customFormat="false" ht="64" hidden="false" customHeight="true" outlineLevel="0" collapsed="false">
      <c r="C116" s="96" t="s">
        <v>1853</v>
      </c>
      <c r="D116" s="97" t="s">
        <v>1730</v>
      </c>
      <c r="E116" s="97" t="s">
        <v>1830</v>
      </c>
      <c r="F116" s="97" t="n">
        <v>21.5924688547545</v>
      </c>
      <c r="G116" s="97" t="s">
        <v>1831</v>
      </c>
      <c r="H116" s="97" t="s">
        <v>1703</v>
      </c>
      <c r="I116" s="97" t="s">
        <v>1704</v>
      </c>
      <c r="J116" s="97" t="s">
        <v>1705</v>
      </c>
      <c r="K116" s="97" t="s">
        <v>1706</v>
      </c>
    </row>
    <row r="117" customFormat="false" ht="64" hidden="false" customHeight="true" outlineLevel="0" collapsed="false">
      <c r="C117" s="96" t="s">
        <v>1854</v>
      </c>
      <c r="D117" s="97" t="s">
        <v>1732</v>
      </c>
      <c r="E117" s="97" t="s">
        <v>1830</v>
      </c>
      <c r="F117" s="97" t="n">
        <v>21.5924688547545</v>
      </c>
      <c r="G117" s="97" t="s">
        <v>1831</v>
      </c>
      <c r="H117" s="97" t="s">
        <v>1703</v>
      </c>
      <c r="I117" s="97" t="s">
        <v>1704</v>
      </c>
      <c r="J117" s="97" t="s">
        <v>1705</v>
      </c>
      <c r="K117" s="97" t="s">
        <v>1706</v>
      </c>
    </row>
    <row r="118" customFormat="false" ht="64" hidden="false" customHeight="true" outlineLevel="0" collapsed="false">
      <c r="C118" s="96" t="s">
        <v>1855</v>
      </c>
      <c r="D118" s="97" t="s">
        <v>1734</v>
      </c>
      <c r="E118" s="97" t="s">
        <v>1830</v>
      </c>
      <c r="F118" s="97" t="n">
        <v>21.5924688547545</v>
      </c>
      <c r="G118" s="97" t="s">
        <v>1831</v>
      </c>
      <c r="H118" s="97" t="s">
        <v>1703</v>
      </c>
      <c r="I118" s="97" t="s">
        <v>1704</v>
      </c>
      <c r="J118" s="97" t="s">
        <v>1705</v>
      </c>
      <c r="K118" s="97" t="s">
        <v>1706</v>
      </c>
    </row>
    <row r="119" customFormat="false" ht="64" hidden="false" customHeight="true" outlineLevel="0" collapsed="false">
      <c r="C119" s="96" t="s">
        <v>1856</v>
      </c>
      <c r="D119" s="97" t="s">
        <v>1736</v>
      </c>
      <c r="E119" s="97" t="s">
        <v>1830</v>
      </c>
      <c r="F119" s="97" t="n">
        <v>21.5924688547545</v>
      </c>
      <c r="G119" s="97" t="s">
        <v>1831</v>
      </c>
      <c r="H119" s="97" t="s">
        <v>1703</v>
      </c>
      <c r="I119" s="97" t="s">
        <v>1704</v>
      </c>
      <c r="J119" s="97" t="s">
        <v>1705</v>
      </c>
      <c r="K119" s="97" t="s">
        <v>1706</v>
      </c>
    </row>
    <row r="120" customFormat="false" ht="64" hidden="false" customHeight="true" outlineLevel="0" collapsed="false">
      <c r="C120" s="96" t="s">
        <v>1857</v>
      </c>
      <c r="D120" s="97" t="s">
        <v>1738</v>
      </c>
      <c r="E120" s="97" t="s">
        <v>1830</v>
      </c>
      <c r="F120" s="97" t="n">
        <v>21.5924688547545</v>
      </c>
      <c r="G120" s="97" t="s">
        <v>1831</v>
      </c>
      <c r="H120" s="97" t="s">
        <v>1703</v>
      </c>
      <c r="I120" s="97" t="s">
        <v>1704</v>
      </c>
      <c r="J120" s="97" t="s">
        <v>1705</v>
      </c>
      <c r="K120" s="97" t="s">
        <v>1706</v>
      </c>
    </row>
    <row r="121" customFormat="false" ht="64" hidden="false" customHeight="true" outlineLevel="0" collapsed="false">
      <c r="C121" s="96" t="s">
        <v>1858</v>
      </c>
      <c r="D121" s="97" t="s">
        <v>1740</v>
      </c>
      <c r="E121" s="97" t="s">
        <v>1830</v>
      </c>
      <c r="F121" s="97" t="n">
        <v>21.5924688547545</v>
      </c>
      <c r="G121" s="97" t="s">
        <v>1831</v>
      </c>
      <c r="H121" s="97" t="s">
        <v>1703</v>
      </c>
      <c r="I121" s="97" t="s">
        <v>1704</v>
      </c>
      <c r="J121" s="97" t="s">
        <v>1705</v>
      </c>
      <c r="K121" s="97" t="s">
        <v>1706</v>
      </c>
    </row>
    <row r="122" customFormat="false" ht="64" hidden="false" customHeight="true" outlineLevel="0" collapsed="false">
      <c r="C122" s="96" t="s">
        <v>1859</v>
      </c>
      <c r="D122" s="97" t="s">
        <v>1742</v>
      </c>
      <c r="E122" s="97" t="s">
        <v>1830</v>
      </c>
      <c r="F122" s="97" t="n">
        <v>21.5924688547545</v>
      </c>
      <c r="G122" s="97" t="s">
        <v>1831</v>
      </c>
      <c r="H122" s="97" t="s">
        <v>1703</v>
      </c>
      <c r="I122" s="97" t="s">
        <v>1704</v>
      </c>
      <c r="J122" s="97" t="s">
        <v>1705</v>
      </c>
      <c r="K122" s="97" t="s">
        <v>1706</v>
      </c>
    </row>
    <row r="123" customFormat="false" ht="64" hidden="false" customHeight="true" outlineLevel="0" collapsed="false">
      <c r="C123" s="96" t="s">
        <v>1860</v>
      </c>
      <c r="D123" s="97" t="s">
        <v>1744</v>
      </c>
      <c r="E123" s="97" t="s">
        <v>1830</v>
      </c>
      <c r="F123" s="97" t="n">
        <v>21.5924688547545</v>
      </c>
      <c r="G123" s="97" t="s">
        <v>1831</v>
      </c>
      <c r="H123" s="97" t="s">
        <v>1703</v>
      </c>
      <c r="I123" s="97" t="s">
        <v>1704</v>
      </c>
      <c r="J123" s="97" t="s">
        <v>1705</v>
      </c>
      <c r="K123" s="97" t="s">
        <v>1706</v>
      </c>
    </row>
    <row r="124" customFormat="false" ht="64" hidden="false" customHeight="true" outlineLevel="0" collapsed="false">
      <c r="C124" s="96" t="s">
        <v>1861</v>
      </c>
      <c r="D124" s="97" t="s">
        <v>1746</v>
      </c>
      <c r="E124" s="97" t="s">
        <v>1830</v>
      </c>
      <c r="F124" s="97" t="n">
        <v>21.5924688547545</v>
      </c>
      <c r="G124" s="97" t="s">
        <v>1831</v>
      </c>
      <c r="H124" s="97" t="s">
        <v>1703</v>
      </c>
      <c r="I124" s="97" t="s">
        <v>1704</v>
      </c>
      <c r="J124" s="97" t="s">
        <v>1705</v>
      </c>
      <c r="K124" s="97" t="s">
        <v>1706</v>
      </c>
    </row>
    <row r="125" customFormat="false" ht="64" hidden="false" customHeight="true" outlineLevel="0" collapsed="false">
      <c r="C125" s="96" t="s">
        <v>1862</v>
      </c>
      <c r="D125" s="97" t="s">
        <v>1748</v>
      </c>
      <c r="E125" s="97" t="s">
        <v>1830</v>
      </c>
      <c r="F125" s="97" t="n">
        <v>21.5924688547545</v>
      </c>
      <c r="G125" s="97" t="s">
        <v>1831</v>
      </c>
      <c r="H125" s="97" t="s">
        <v>1703</v>
      </c>
      <c r="I125" s="97" t="s">
        <v>1704</v>
      </c>
      <c r="J125" s="97" t="s">
        <v>1705</v>
      </c>
      <c r="K125" s="97" t="s">
        <v>1706</v>
      </c>
    </row>
    <row r="126" customFormat="false" ht="64" hidden="false" customHeight="true" outlineLevel="0" collapsed="false">
      <c r="C126" s="96" t="s">
        <v>1863</v>
      </c>
      <c r="D126" s="97" t="s">
        <v>1750</v>
      </c>
      <c r="E126" s="97" t="s">
        <v>1830</v>
      </c>
      <c r="F126" s="97" t="n">
        <v>21.5924688547545</v>
      </c>
      <c r="G126" s="97" t="s">
        <v>1831</v>
      </c>
      <c r="H126" s="97" t="s">
        <v>1703</v>
      </c>
      <c r="I126" s="97" t="s">
        <v>1704</v>
      </c>
      <c r="J126" s="97" t="s">
        <v>1705</v>
      </c>
      <c r="K126" s="97" t="s">
        <v>1706</v>
      </c>
    </row>
    <row r="127" customFormat="false" ht="64" hidden="false" customHeight="true" outlineLevel="0" collapsed="false">
      <c r="C127" s="96" t="s">
        <v>1864</v>
      </c>
      <c r="D127" s="97" t="s">
        <v>1752</v>
      </c>
      <c r="E127" s="97" t="s">
        <v>1830</v>
      </c>
      <c r="F127" s="97" t="n">
        <v>21.5924688547545</v>
      </c>
      <c r="G127" s="97" t="s">
        <v>1831</v>
      </c>
      <c r="H127" s="97" t="s">
        <v>1703</v>
      </c>
      <c r="I127" s="97" t="s">
        <v>1704</v>
      </c>
      <c r="J127" s="97" t="s">
        <v>1705</v>
      </c>
      <c r="K127" s="97" t="s">
        <v>1706</v>
      </c>
    </row>
    <row r="128" customFormat="false" ht="64" hidden="false" customHeight="true" outlineLevel="0" collapsed="false">
      <c r="C128" s="96" t="s">
        <v>1865</v>
      </c>
      <c r="D128" s="97" t="s">
        <v>1754</v>
      </c>
      <c r="E128" s="97" t="s">
        <v>1830</v>
      </c>
      <c r="F128" s="97" t="n">
        <v>21.5924688547545</v>
      </c>
      <c r="G128" s="97" t="s">
        <v>1831</v>
      </c>
      <c r="H128" s="97" t="s">
        <v>1703</v>
      </c>
      <c r="I128" s="97" t="s">
        <v>1704</v>
      </c>
      <c r="J128" s="97" t="s">
        <v>1705</v>
      </c>
      <c r="K128" s="97" t="s">
        <v>1706</v>
      </c>
    </row>
    <row r="129" customFormat="false" ht="64" hidden="false" customHeight="true" outlineLevel="0" collapsed="false">
      <c r="C129" s="96" t="s">
        <v>1866</v>
      </c>
      <c r="D129" s="97" t="s">
        <v>1756</v>
      </c>
      <c r="E129" s="97" t="s">
        <v>1830</v>
      </c>
      <c r="F129" s="97" t="n">
        <v>21.5924688547545</v>
      </c>
      <c r="G129" s="97" t="s">
        <v>1831</v>
      </c>
      <c r="H129" s="97" t="s">
        <v>1703</v>
      </c>
      <c r="I129" s="97" t="s">
        <v>1704</v>
      </c>
      <c r="J129" s="97" t="s">
        <v>1705</v>
      </c>
      <c r="K129" s="97" t="s">
        <v>1706</v>
      </c>
    </row>
    <row r="130" customFormat="false" ht="64" hidden="false" customHeight="true" outlineLevel="0" collapsed="false">
      <c r="C130" s="96" t="s">
        <v>1867</v>
      </c>
      <c r="D130" s="97" t="s">
        <v>1758</v>
      </c>
      <c r="E130" s="97" t="s">
        <v>1830</v>
      </c>
      <c r="F130" s="97" t="n">
        <v>21.5924688547545</v>
      </c>
      <c r="G130" s="97" t="s">
        <v>1831</v>
      </c>
      <c r="H130" s="97" t="s">
        <v>1703</v>
      </c>
      <c r="I130" s="97" t="s">
        <v>1704</v>
      </c>
      <c r="J130" s="97" t="s">
        <v>1705</v>
      </c>
      <c r="K130" s="97" t="s">
        <v>1706</v>
      </c>
    </row>
    <row r="131" customFormat="false" ht="64" hidden="false" customHeight="true" outlineLevel="0" collapsed="false">
      <c r="C131" s="96" t="s">
        <v>1868</v>
      </c>
      <c r="D131" s="97" t="s">
        <v>1760</v>
      </c>
      <c r="E131" s="97" t="s">
        <v>1830</v>
      </c>
      <c r="F131" s="97" t="n">
        <v>21.5924688547545</v>
      </c>
      <c r="G131" s="97" t="s">
        <v>1831</v>
      </c>
      <c r="H131" s="97" t="s">
        <v>1703</v>
      </c>
      <c r="I131" s="97" t="s">
        <v>1704</v>
      </c>
      <c r="J131" s="97" t="s">
        <v>1705</v>
      </c>
      <c r="K131" s="97" t="s">
        <v>1706</v>
      </c>
    </row>
    <row r="132" customFormat="false" ht="64" hidden="false" customHeight="true" outlineLevel="0" collapsed="false">
      <c r="C132" s="96" t="s">
        <v>1869</v>
      </c>
      <c r="D132" s="97" t="s">
        <v>1762</v>
      </c>
      <c r="E132" s="97" t="s">
        <v>1830</v>
      </c>
      <c r="F132" s="97" t="n">
        <v>21.5924688547545</v>
      </c>
      <c r="G132" s="97" t="s">
        <v>1831</v>
      </c>
      <c r="H132" s="97" t="s">
        <v>1703</v>
      </c>
      <c r="I132" s="97" t="s">
        <v>1704</v>
      </c>
      <c r="J132" s="97" t="s">
        <v>1705</v>
      </c>
      <c r="K132" s="97" t="s">
        <v>1706</v>
      </c>
    </row>
    <row r="133" customFormat="false" ht="64" hidden="false" customHeight="true" outlineLevel="0" collapsed="false">
      <c r="C133" s="96" t="s">
        <v>1870</v>
      </c>
      <c r="D133" s="97" t="s">
        <v>1764</v>
      </c>
      <c r="E133" s="97" t="s">
        <v>1830</v>
      </c>
      <c r="F133" s="97" t="n">
        <v>21.5924688547545</v>
      </c>
      <c r="G133" s="97" t="s">
        <v>1831</v>
      </c>
      <c r="H133" s="97" t="s">
        <v>1703</v>
      </c>
      <c r="I133" s="97" t="s">
        <v>1704</v>
      </c>
      <c r="J133" s="97" t="s">
        <v>1705</v>
      </c>
      <c r="K133" s="97" t="s">
        <v>1706</v>
      </c>
    </row>
    <row r="134" customFormat="false" ht="64" hidden="false" customHeight="true" outlineLevel="0" collapsed="false">
      <c r="C134" s="96" t="s">
        <v>1871</v>
      </c>
      <c r="D134" s="97" t="s">
        <v>1700</v>
      </c>
      <c r="E134" s="97" t="s">
        <v>835</v>
      </c>
      <c r="F134" s="97" t="n">
        <v>0.03</v>
      </c>
      <c r="G134" s="97" t="s">
        <v>1766</v>
      </c>
      <c r="H134" s="97" t="s">
        <v>1767</v>
      </c>
      <c r="I134" s="97" t="s">
        <v>1704</v>
      </c>
      <c r="J134" s="97" t="s">
        <v>1705</v>
      </c>
      <c r="K134" s="97" t="s">
        <v>1706</v>
      </c>
    </row>
    <row r="135" customFormat="false" ht="64" hidden="false" customHeight="true" outlineLevel="0" collapsed="false">
      <c r="C135" s="96" t="s">
        <v>1872</v>
      </c>
      <c r="D135" s="97" t="s">
        <v>1708</v>
      </c>
      <c r="E135" s="97" t="s">
        <v>835</v>
      </c>
      <c r="F135" s="97" t="n">
        <v>0.03</v>
      </c>
      <c r="G135" s="97" t="s">
        <v>1766</v>
      </c>
      <c r="H135" s="97" t="s">
        <v>1767</v>
      </c>
      <c r="I135" s="97" t="s">
        <v>1704</v>
      </c>
      <c r="J135" s="97" t="s">
        <v>1705</v>
      </c>
      <c r="K135" s="97" t="s">
        <v>1706</v>
      </c>
    </row>
    <row r="136" customFormat="false" ht="64" hidden="false" customHeight="true" outlineLevel="0" collapsed="false">
      <c r="C136" s="96" t="s">
        <v>1873</v>
      </c>
      <c r="D136" s="97" t="s">
        <v>1710</v>
      </c>
      <c r="E136" s="97" t="s">
        <v>835</v>
      </c>
      <c r="F136" s="97" t="n">
        <v>0.03</v>
      </c>
      <c r="G136" s="97" t="s">
        <v>1766</v>
      </c>
      <c r="H136" s="97" t="s">
        <v>1767</v>
      </c>
      <c r="I136" s="97" t="s">
        <v>1704</v>
      </c>
      <c r="J136" s="97" t="s">
        <v>1705</v>
      </c>
      <c r="K136" s="97" t="s">
        <v>1706</v>
      </c>
    </row>
    <row r="137" customFormat="false" ht="64" hidden="false" customHeight="true" outlineLevel="0" collapsed="false">
      <c r="C137" s="96" t="s">
        <v>1874</v>
      </c>
      <c r="D137" s="97" t="s">
        <v>1712</v>
      </c>
      <c r="E137" s="97" t="s">
        <v>835</v>
      </c>
      <c r="F137" s="97" t="n">
        <v>0.03</v>
      </c>
      <c r="G137" s="97" t="s">
        <v>1766</v>
      </c>
      <c r="H137" s="97" t="s">
        <v>1767</v>
      </c>
      <c r="I137" s="97" t="s">
        <v>1704</v>
      </c>
      <c r="J137" s="97" t="s">
        <v>1705</v>
      </c>
      <c r="K137" s="97" t="s">
        <v>1706</v>
      </c>
    </row>
    <row r="138" customFormat="false" ht="64" hidden="false" customHeight="true" outlineLevel="0" collapsed="false">
      <c r="C138" s="96" t="s">
        <v>1875</v>
      </c>
      <c r="D138" s="97" t="s">
        <v>1714</v>
      </c>
      <c r="E138" s="97" t="s">
        <v>835</v>
      </c>
      <c r="F138" s="97" t="n">
        <v>0.03</v>
      </c>
      <c r="G138" s="97" t="s">
        <v>1766</v>
      </c>
      <c r="H138" s="97" t="s">
        <v>1767</v>
      </c>
      <c r="I138" s="97" t="s">
        <v>1704</v>
      </c>
      <c r="J138" s="97" t="s">
        <v>1705</v>
      </c>
      <c r="K138" s="97" t="s">
        <v>1706</v>
      </c>
    </row>
    <row r="139" customFormat="false" ht="64" hidden="false" customHeight="true" outlineLevel="0" collapsed="false">
      <c r="C139" s="96" t="s">
        <v>1876</v>
      </c>
      <c r="D139" s="97" t="s">
        <v>1716</v>
      </c>
      <c r="E139" s="97" t="s">
        <v>835</v>
      </c>
      <c r="F139" s="97" t="n">
        <v>0.03</v>
      </c>
      <c r="G139" s="97" t="s">
        <v>1766</v>
      </c>
      <c r="H139" s="97" t="s">
        <v>1767</v>
      </c>
      <c r="I139" s="97" t="s">
        <v>1704</v>
      </c>
      <c r="J139" s="97" t="s">
        <v>1705</v>
      </c>
      <c r="K139" s="97" t="s">
        <v>1706</v>
      </c>
    </row>
    <row r="140" customFormat="false" ht="64" hidden="false" customHeight="true" outlineLevel="0" collapsed="false">
      <c r="C140" s="96" t="s">
        <v>1877</v>
      </c>
      <c r="D140" s="97" t="s">
        <v>1718</v>
      </c>
      <c r="E140" s="97" t="s">
        <v>835</v>
      </c>
      <c r="F140" s="97" t="n">
        <v>0.03</v>
      </c>
      <c r="G140" s="97" t="s">
        <v>1766</v>
      </c>
      <c r="H140" s="97" t="s">
        <v>1767</v>
      </c>
      <c r="I140" s="97" t="s">
        <v>1704</v>
      </c>
      <c r="J140" s="97" t="s">
        <v>1705</v>
      </c>
      <c r="K140" s="97" t="s">
        <v>1706</v>
      </c>
    </row>
    <row r="141" customFormat="false" ht="64" hidden="false" customHeight="true" outlineLevel="0" collapsed="false">
      <c r="C141" s="96" t="s">
        <v>1878</v>
      </c>
      <c r="D141" s="97" t="s">
        <v>1720</v>
      </c>
      <c r="E141" s="97" t="s">
        <v>835</v>
      </c>
      <c r="F141" s="97" t="n">
        <v>0.03</v>
      </c>
      <c r="G141" s="97" t="s">
        <v>1766</v>
      </c>
      <c r="H141" s="97" t="s">
        <v>1767</v>
      </c>
      <c r="I141" s="97" t="s">
        <v>1704</v>
      </c>
      <c r="J141" s="97" t="s">
        <v>1705</v>
      </c>
      <c r="K141" s="97" t="s">
        <v>1706</v>
      </c>
    </row>
    <row r="142" customFormat="false" ht="64" hidden="false" customHeight="true" outlineLevel="0" collapsed="false">
      <c r="C142" s="96" t="s">
        <v>1879</v>
      </c>
      <c r="D142" s="97" t="s">
        <v>1722</v>
      </c>
      <c r="E142" s="97" t="s">
        <v>835</v>
      </c>
      <c r="F142" s="97" t="n">
        <v>0.03</v>
      </c>
      <c r="G142" s="97" t="s">
        <v>1766</v>
      </c>
      <c r="H142" s="97" t="s">
        <v>1767</v>
      </c>
      <c r="I142" s="97" t="s">
        <v>1704</v>
      </c>
      <c r="J142" s="97" t="s">
        <v>1705</v>
      </c>
      <c r="K142" s="97" t="s">
        <v>1706</v>
      </c>
    </row>
    <row r="143" customFormat="false" ht="64" hidden="false" customHeight="true" outlineLevel="0" collapsed="false">
      <c r="C143" s="96" t="s">
        <v>1880</v>
      </c>
      <c r="D143" s="97" t="s">
        <v>1724</v>
      </c>
      <c r="E143" s="97" t="s">
        <v>835</v>
      </c>
      <c r="F143" s="97" t="n">
        <v>0.03</v>
      </c>
      <c r="G143" s="97" t="s">
        <v>1766</v>
      </c>
      <c r="H143" s="97" t="s">
        <v>1767</v>
      </c>
      <c r="I143" s="97" t="s">
        <v>1704</v>
      </c>
      <c r="J143" s="97" t="s">
        <v>1705</v>
      </c>
      <c r="K143" s="97" t="s">
        <v>1706</v>
      </c>
    </row>
    <row r="144" customFormat="false" ht="64" hidden="false" customHeight="true" outlineLevel="0" collapsed="false">
      <c r="C144" s="96" t="s">
        <v>1881</v>
      </c>
      <c r="D144" s="97" t="s">
        <v>1726</v>
      </c>
      <c r="E144" s="97" t="s">
        <v>835</v>
      </c>
      <c r="F144" s="97" t="n">
        <v>0.03</v>
      </c>
      <c r="G144" s="97" t="s">
        <v>1766</v>
      </c>
      <c r="H144" s="97" t="s">
        <v>1767</v>
      </c>
      <c r="I144" s="97" t="s">
        <v>1704</v>
      </c>
      <c r="J144" s="97" t="s">
        <v>1705</v>
      </c>
      <c r="K144" s="97" t="s">
        <v>1706</v>
      </c>
    </row>
    <row r="145" customFormat="false" ht="64" hidden="false" customHeight="true" outlineLevel="0" collapsed="false">
      <c r="C145" s="96" t="s">
        <v>1882</v>
      </c>
      <c r="D145" s="97" t="s">
        <v>1728</v>
      </c>
      <c r="E145" s="97" t="s">
        <v>835</v>
      </c>
      <c r="F145" s="97" t="n">
        <v>0.03</v>
      </c>
      <c r="G145" s="97" t="s">
        <v>1766</v>
      </c>
      <c r="H145" s="97" t="s">
        <v>1767</v>
      </c>
      <c r="I145" s="97" t="s">
        <v>1704</v>
      </c>
      <c r="J145" s="97" t="s">
        <v>1705</v>
      </c>
      <c r="K145" s="97" t="s">
        <v>1706</v>
      </c>
    </row>
    <row r="146" customFormat="false" ht="64" hidden="false" customHeight="true" outlineLevel="0" collapsed="false">
      <c r="C146" s="96" t="s">
        <v>1883</v>
      </c>
      <c r="D146" s="97" t="s">
        <v>1730</v>
      </c>
      <c r="E146" s="97" t="s">
        <v>835</v>
      </c>
      <c r="F146" s="97" t="n">
        <v>0.03</v>
      </c>
      <c r="G146" s="97" t="s">
        <v>1766</v>
      </c>
      <c r="H146" s="97" t="s">
        <v>1767</v>
      </c>
      <c r="I146" s="97" t="s">
        <v>1704</v>
      </c>
      <c r="J146" s="97" t="s">
        <v>1705</v>
      </c>
      <c r="K146" s="97" t="s">
        <v>1706</v>
      </c>
    </row>
    <row r="147" customFormat="false" ht="64" hidden="false" customHeight="true" outlineLevel="0" collapsed="false">
      <c r="C147" s="96" t="s">
        <v>1884</v>
      </c>
      <c r="D147" s="97" t="s">
        <v>1732</v>
      </c>
      <c r="E147" s="97" t="s">
        <v>835</v>
      </c>
      <c r="F147" s="97" t="n">
        <v>0.03</v>
      </c>
      <c r="G147" s="97" t="s">
        <v>1766</v>
      </c>
      <c r="H147" s="97" t="s">
        <v>1767</v>
      </c>
      <c r="I147" s="97" t="s">
        <v>1704</v>
      </c>
      <c r="J147" s="97" t="s">
        <v>1705</v>
      </c>
      <c r="K147" s="97" t="s">
        <v>1706</v>
      </c>
    </row>
    <row r="148" customFormat="false" ht="64" hidden="false" customHeight="true" outlineLevel="0" collapsed="false">
      <c r="C148" s="96" t="s">
        <v>1885</v>
      </c>
      <c r="D148" s="97" t="s">
        <v>1734</v>
      </c>
      <c r="E148" s="97" t="s">
        <v>835</v>
      </c>
      <c r="F148" s="97" t="n">
        <v>0.03</v>
      </c>
      <c r="G148" s="97" t="s">
        <v>1766</v>
      </c>
      <c r="H148" s="97" t="s">
        <v>1767</v>
      </c>
      <c r="I148" s="97" t="s">
        <v>1704</v>
      </c>
      <c r="J148" s="97" t="s">
        <v>1705</v>
      </c>
      <c r="K148" s="97" t="s">
        <v>1706</v>
      </c>
    </row>
    <row r="149" customFormat="false" ht="64" hidden="false" customHeight="true" outlineLevel="0" collapsed="false">
      <c r="C149" s="96" t="s">
        <v>1886</v>
      </c>
      <c r="D149" s="97" t="s">
        <v>1736</v>
      </c>
      <c r="E149" s="97" t="s">
        <v>835</v>
      </c>
      <c r="F149" s="97" t="n">
        <v>0.03</v>
      </c>
      <c r="G149" s="97" t="s">
        <v>1766</v>
      </c>
      <c r="H149" s="97" t="s">
        <v>1767</v>
      </c>
      <c r="I149" s="97" t="s">
        <v>1704</v>
      </c>
      <c r="J149" s="97" t="s">
        <v>1705</v>
      </c>
      <c r="K149" s="97" t="s">
        <v>1706</v>
      </c>
    </row>
    <row r="150" customFormat="false" ht="64" hidden="false" customHeight="true" outlineLevel="0" collapsed="false">
      <c r="C150" s="96" t="s">
        <v>1887</v>
      </c>
      <c r="D150" s="97" t="s">
        <v>1738</v>
      </c>
      <c r="E150" s="97" t="s">
        <v>835</v>
      </c>
      <c r="F150" s="97" t="n">
        <v>0.03</v>
      </c>
      <c r="G150" s="97" t="s">
        <v>1766</v>
      </c>
      <c r="H150" s="97" t="s">
        <v>1767</v>
      </c>
      <c r="I150" s="97" t="s">
        <v>1704</v>
      </c>
      <c r="J150" s="97" t="s">
        <v>1705</v>
      </c>
      <c r="K150" s="97" t="s">
        <v>1706</v>
      </c>
    </row>
    <row r="151" customFormat="false" ht="64" hidden="false" customHeight="true" outlineLevel="0" collapsed="false">
      <c r="C151" s="96" t="s">
        <v>1888</v>
      </c>
      <c r="D151" s="97" t="s">
        <v>1740</v>
      </c>
      <c r="E151" s="97" t="s">
        <v>835</v>
      </c>
      <c r="F151" s="97" t="n">
        <v>0.03</v>
      </c>
      <c r="G151" s="97" t="s">
        <v>1766</v>
      </c>
      <c r="H151" s="97" t="s">
        <v>1767</v>
      </c>
      <c r="I151" s="97" t="s">
        <v>1704</v>
      </c>
      <c r="J151" s="97" t="s">
        <v>1705</v>
      </c>
      <c r="K151" s="97" t="s">
        <v>1706</v>
      </c>
    </row>
    <row r="152" customFormat="false" ht="64" hidden="false" customHeight="true" outlineLevel="0" collapsed="false">
      <c r="C152" s="96" t="s">
        <v>1889</v>
      </c>
      <c r="D152" s="97" t="s">
        <v>1742</v>
      </c>
      <c r="E152" s="97" t="s">
        <v>835</v>
      </c>
      <c r="F152" s="97" t="n">
        <v>0.03</v>
      </c>
      <c r="G152" s="97" t="s">
        <v>1766</v>
      </c>
      <c r="H152" s="97" t="s">
        <v>1767</v>
      </c>
      <c r="I152" s="97" t="s">
        <v>1704</v>
      </c>
      <c r="J152" s="97" t="s">
        <v>1705</v>
      </c>
      <c r="K152" s="97" t="s">
        <v>1706</v>
      </c>
    </row>
    <row r="153" customFormat="false" ht="64" hidden="false" customHeight="true" outlineLevel="0" collapsed="false">
      <c r="C153" s="96" t="s">
        <v>1890</v>
      </c>
      <c r="D153" s="97" t="s">
        <v>1744</v>
      </c>
      <c r="E153" s="97" t="s">
        <v>835</v>
      </c>
      <c r="F153" s="97" t="n">
        <v>0.03</v>
      </c>
      <c r="G153" s="97" t="s">
        <v>1766</v>
      </c>
      <c r="H153" s="97" t="s">
        <v>1767</v>
      </c>
      <c r="I153" s="97" t="s">
        <v>1704</v>
      </c>
      <c r="J153" s="97" t="s">
        <v>1705</v>
      </c>
      <c r="K153" s="97" t="s">
        <v>1706</v>
      </c>
    </row>
    <row r="154" customFormat="false" ht="64" hidden="false" customHeight="true" outlineLevel="0" collapsed="false">
      <c r="C154" s="96" t="s">
        <v>1891</v>
      </c>
      <c r="D154" s="97" t="s">
        <v>1746</v>
      </c>
      <c r="E154" s="97" t="s">
        <v>835</v>
      </c>
      <c r="F154" s="97" t="n">
        <v>0.03</v>
      </c>
      <c r="G154" s="97" t="s">
        <v>1766</v>
      </c>
      <c r="H154" s="97" t="s">
        <v>1767</v>
      </c>
      <c r="I154" s="97" t="s">
        <v>1704</v>
      </c>
      <c r="J154" s="97" t="s">
        <v>1705</v>
      </c>
      <c r="K154" s="97" t="s">
        <v>1706</v>
      </c>
    </row>
    <row r="155" customFormat="false" ht="64" hidden="false" customHeight="true" outlineLevel="0" collapsed="false">
      <c r="C155" s="96" t="s">
        <v>1892</v>
      </c>
      <c r="D155" s="97" t="s">
        <v>1748</v>
      </c>
      <c r="E155" s="97" t="s">
        <v>835</v>
      </c>
      <c r="F155" s="97" t="n">
        <v>0.03</v>
      </c>
      <c r="G155" s="97" t="s">
        <v>1766</v>
      </c>
      <c r="H155" s="97" t="s">
        <v>1767</v>
      </c>
      <c r="I155" s="97" t="s">
        <v>1704</v>
      </c>
      <c r="J155" s="97" t="s">
        <v>1705</v>
      </c>
      <c r="K155" s="97" t="s">
        <v>1706</v>
      </c>
    </row>
    <row r="156" customFormat="false" ht="64" hidden="false" customHeight="true" outlineLevel="0" collapsed="false">
      <c r="C156" s="96" t="s">
        <v>1893</v>
      </c>
      <c r="D156" s="97" t="s">
        <v>1750</v>
      </c>
      <c r="E156" s="97" t="s">
        <v>835</v>
      </c>
      <c r="F156" s="97" t="n">
        <v>0.03</v>
      </c>
      <c r="G156" s="97" t="s">
        <v>1766</v>
      </c>
      <c r="H156" s="97" t="s">
        <v>1767</v>
      </c>
      <c r="I156" s="97" t="s">
        <v>1704</v>
      </c>
      <c r="J156" s="97" t="s">
        <v>1705</v>
      </c>
      <c r="K156" s="97" t="s">
        <v>1706</v>
      </c>
    </row>
    <row r="157" customFormat="false" ht="64" hidden="false" customHeight="true" outlineLevel="0" collapsed="false">
      <c r="C157" s="96" t="s">
        <v>1894</v>
      </c>
      <c r="D157" s="97" t="s">
        <v>1752</v>
      </c>
      <c r="E157" s="97" t="s">
        <v>835</v>
      </c>
      <c r="F157" s="97" t="n">
        <v>0.03</v>
      </c>
      <c r="G157" s="97" t="s">
        <v>1766</v>
      </c>
      <c r="H157" s="97" t="s">
        <v>1767</v>
      </c>
      <c r="I157" s="97" t="s">
        <v>1704</v>
      </c>
      <c r="J157" s="97" t="s">
        <v>1705</v>
      </c>
      <c r="K157" s="97" t="s">
        <v>1706</v>
      </c>
    </row>
    <row r="158" customFormat="false" ht="64" hidden="false" customHeight="true" outlineLevel="0" collapsed="false">
      <c r="C158" s="96" t="s">
        <v>1895</v>
      </c>
      <c r="D158" s="97" t="s">
        <v>1754</v>
      </c>
      <c r="E158" s="97" t="s">
        <v>835</v>
      </c>
      <c r="F158" s="97" t="n">
        <v>0.03</v>
      </c>
      <c r="G158" s="97" t="s">
        <v>1766</v>
      </c>
      <c r="H158" s="97" t="s">
        <v>1767</v>
      </c>
      <c r="I158" s="97" t="s">
        <v>1704</v>
      </c>
      <c r="J158" s="97" t="s">
        <v>1705</v>
      </c>
      <c r="K158" s="97" t="s">
        <v>1706</v>
      </c>
    </row>
    <row r="159" customFormat="false" ht="64" hidden="false" customHeight="true" outlineLevel="0" collapsed="false">
      <c r="C159" s="96" t="s">
        <v>1896</v>
      </c>
      <c r="D159" s="97" t="s">
        <v>1756</v>
      </c>
      <c r="E159" s="97" t="s">
        <v>835</v>
      </c>
      <c r="F159" s="97" t="n">
        <v>0.03</v>
      </c>
      <c r="G159" s="97" t="s">
        <v>1766</v>
      </c>
      <c r="H159" s="97" t="s">
        <v>1767</v>
      </c>
      <c r="I159" s="97" t="s">
        <v>1704</v>
      </c>
      <c r="J159" s="97" t="s">
        <v>1705</v>
      </c>
      <c r="K159" s="97" t="s">
        <v>1706</v>
      </c>
    </row>
    <row r="160" customFormat="false" ht="64" hidden="false" customHeight="true" outlineLevel="0" collapsed="false">
      <c r="C160" s="96" t="s">
        <v>1897</v>
      </c>
      <c r="D160" s="97" t="s">
        <v>1758</v>
      </c>
      <c r="E160" s="97" t="s">
        <v>835</v>
      </c>
      <c r="F160" s="97" t="n">
        <v>0.03</v>
      </c>
      <c r="G160" s="97" t="s">
        <v>1766</v>
      </c>
      <c r="H160" s="97" t="s">
        <v>1767</v>
      </c>
      <c r="I160" s="97" t="s">
        <v>1704</v>
      </c>
      <c r="J160" s="97" t="s">
        <v>1705</v>
      </c>
      <c r="K160" s="97" t="s">
        <v>1706</v>
      </c>
    </row>
    <row r="161" customFormat="false" ht="64" hidden="false" customHeight="true" outlineLevel="0" collapsed="false">
      <c r="C161" s="96" t="s">
        <v>1898</v>
      </c>
      <c r="D161" s="97" t="s">
        <v>1760</v>
      </c>
      <c r="E161" s="97" t="s">
        <v>835</v>
      </c>
      <c r="F161" s="97" t="n">
        <v>0.03</v>
      </c>
      <c r="G161" s="97" t="s">
        <v>1766</v>
      </c>
      <c r="H161" s="97" t="s">
        <v>1767</v>
      </c>
      <c r="I161" s="97" t="s">
        <v>1704</v>
      </c>
      <c r="J161" s="97" t="s">
        <v>1705</v>
      </c>
      <c r="K161" s="97" t="s">
        <v>1706</v>
      </c>
    </row>
    <row r="162" customFormat="false" ht="64" hidden="false" customHeight="true" outlineLevel="0" collapsed="false">
      <c r="C162" s="96" t="s">
        <v>1899</v>
      </c>
      <c r="D162" s="97" t="s">
        <v>1762</v>
      </c>
      <c r="E162" s="97" t="s">
        <v>835</v>
      </c>
      <c r="F162" s="97" t="n">
        <v>0.03</v>
      </c>
      <c r="G162" s="97" t="s">
        <v>1766</v>
      </c>
      <c r="H162" s="97" t="s">
        <v>1767</v>
      </c>
      <c r="I162" s="97" t="s">
        <v>1704</v>
      </c>
      <c r="J162" s="97" t="s">
        <v>1705</v>
      </c>
      <c r="K162" s="97" t="s">
        <v>1706</v>
      </c>
    </row>
    <row r="163" customFormat="false" ht="64" hidden="false" customHeight="true" outlineLevel="0" collapsed="false">
      <c r="C163" s="96" t="s">
        <v>1900</v>
      </c>
      <c r="D163" s="97" t="s">
        <v>1764</v>
      </c>
      <c r="E163" s="97" t="s">
        <v>835</v>
      </c>
      <c r="F163" s="97" t="n">
        <v>0.03</v>
      </c>
      <c r="G163" s="97" t="s">
        <v>1766</v>
      </c>
      <c r="H163" s="97" t="s">
        <v>1767</v>
      </c>
      <c r="I163" s="97" t="s">
        <v>1704</v>
      </c>
      <c r="J163" s="97" t="s">
        <v>1705</v>
      </c>
      <c r="K163" s="97" t="s">
        <v>1706</v>
      </c>
    </row>
    <row r="164" customFormat="false" ht="64" hidden="false" customHeight="true" outlineLevel="0" collapsed="false">
      <c r="C164" s="96" t="s">
        <v>1901</v>
      </c>
      <c r="D164" s="97" t="s">
        <v>1700</v>
      </c>
      <c r="E164" s="97" t="s">
        <v>835</v>
      </c>
      <c r="F164" s="97" t="n">
        <v>0.01</v>
      </c>
      <c r="G164" s="97" t="s">
        <v>1798</v>
      </c>
      <c r="H164" s="97" t="s">
        <v>1767</v>
      </c>
      <c r="I164" s="97" t="s">
        <v>1704</v>
      </c>
      <c r="J164" s="97" t="s">
        <v>1705</v>
      </c>
      <c r="K164" s="97" t="s">
        <v>1706</v>
      </c>
    </row>
    <row r="165" customFormat="false" ht="64" hidden="false" customHeight="true" outlineLevel="0" collapsed="false">
      <c r="C165" s="96" t="s">
        <v>1902</v>
      </c>
      <c r="D165" s="97" t="s">
        <v>1708</v>
      </c>
      <c r="E165" s="97" t="s">
        <v>835</v>
      </c>
      <c r="F165" s="97" t="n">
        <v>0.01</v>
      </c>
      <c r="G165" s="97" t="s">
        <v>1798</v>
      </c>
      <c r="H165" s="97" t="s">
        <v>1767</v>
      </c>
      <c r="I165" s="97" t="s">
        <v>1704</v>
      </c>
      <c r="J165" s="97" t="s">
        <v>1705</v>
      </c>
      <c r="K165" s="97" t="s">
        <v>1706</v>
      </c>
    </row>
    <row r="166" customFormat="false" ht="64" hidden="false" customHeight="true" outlineLevel="0" collapsed="false">
      <c r="C166" s="96" t="s">
        <v>1903</v>
      </c>
      <c r="D166" s="97" t="s">
        <v>1710</v>
      </c>
      <c r="E166" s="97" t="s">
        <v>835</v>
      </c>
      <c r="F166" s="97" t="n">
        <v>0.01</v>
      </c>
      <c r="G166" s="97" t="s">
        <v>1798</v>
      </c>
      <c r="H166" s="97" t="s">
        <v>1767</v>
      </c>
      <c r="I166" s="97" t="s">
        <v>1704</v>
      </c>
      <c r="J166" s="97" t="s">
        <v>1705</v>
      </c>
      <c r="K166" s="97" t="s">
        <v>1706</v>
      </c>
    </row>
    <row r="167" customFormat="false" ht="64" hidden="false" customHeight="true" outlineLevel="0" collapsed="false">
      <c r="C167" s="96" t="s">
        <v>1904</v>
      </c>
      <c r="D167" s="97" t="s">
        <v>1712</v>
      </c>
      <c r="E167" s="97" t="s">
        <v>835</v>
      </c>
      <c r="F167" s="97" t="n">
        <v>0.01</v>
      </c>
      <c r="G167" s="97" t="s">
        <v>1798</v>
      </c>
      <c r="H167" s="97" t="s">
        <v>1767</v>
      </c>
      <c r="I167" s="97" t="s">
        <v>1704</v>
      </c>
      <c r="J167" s="97" t="s">
        <v>1705</v>
      </c>
      <c r="K167" s="97" t="s">
        <v>1706</v>
      </c>
    </row>
    <row r="168" customFormat="false" ht="64" hidden="false" customHeight="true" outlineLevel="0" collapsed="false">
      <c r="C168" s="96" t="s">
        <v>1905</v>
      </c>
      <c r="D168" s="97" t="s">
        <v>1714</v>
      </c>
      <c r="E168" s="97" t="s">
        <v>835</v>
      </c>
      <c r="F168" s="97" t="n">
        <v>0.01</v>
      </c>
      <c r="G168" s="97" t="s">
        <v>1798</v>
      </c>
      <c r="H168" s="97" t="s">
        <v>1767</v>
      </c>
      <c r="I168" s="97" t="s">
        <v>1704</v>
      </c>
      <c r="J168" s="97" t="s">
        <v>1705</v>
      </c>
      <c r="K168" s="97" t="s">
        <v>1706</v>
      </c>
    </row>
    <row r="169" customFormat="false" ht="64" hidden="false" customHeight="true" outlineLevel="0" collapsed="false">
      <c r="C169" s="96" t="s">
        <v>1906</v>
      </c>
      <c r="D169" s="97" t="s">
        <v>1716</v>
      </c>
      <c r="E169" s="97" t="s">
        <v>835</v>
      </c>
      <c r="F169" s="97" t="n">
        <v>0.01</v>
      </c>
      <c r="G169" s="97" t="s">
        <v>1798</v>
      </c>
      <c r="H169" s="97" t="s">
        <v>1767</v>
      </c>
      <c r="I169" s="97" t="s">
        <v>1704</v>
      </c>
      <c r="J169" s="97" t="s">
        <v>1705</v>
      </c>
      <c r="K169" s="97" t="s">
        <v>1706</v>
      </c>
    </row>
    <row r="170" customFormat="false" ht="64" hidden="false" customHeight="true" outlineLevel="0" collapsed="false">
      <c r="C170" s="96" t="s">
        <v>1907</v>
      </c>
      <c r="D170" s="97" t="s">
        <v>1718</v>
      </c>
      <c r="E170" s="97" t="s">
        <v>835</v>
      </c>
      <c r="F170" s="97" t="n">
        <v>0.01</v>
      </c>
      <c r="G170" s="97" t="s">
        <v>1798</v>
      </c>
      <c r="H170" s="97" t="s">
        <v>1767</v>
      </c>
      <c r="I170" s="97" t="s">
        <v>1704</v>
      </c>
      <c r="J170" s="97" t="s">
        <v>1705</v>
      </c>
      <c r="K170" s="97" t="s">
        <v>1706</v>
      </c>
    </row>
    <row r="171" customFormat="false" ht="64" hidden="false" customHeight="true" outlineLevel="0" collapsed="false">
      <c r="C171" s="96" t="s">
        <v>1908</v>
      </c>
      <c r="D171" s="97" t="s">
        <v>1720</v>
      </c>
      <c r="E171" s="97" t="s">
        <v>835</v>
      </c>
      <c r="F171" s="97" t="n">
        <v>0.01</v>
      </c>
      <c r="G171" s="97" t="s">
        <v>1798</v>
      </c>
      <c r="H171" s="97" t="s">
        <v>1767</v>
      </c>
      <c r="I171" s="97" t="s">
        <v>1704</v>
      </c>
      <c r="J171" s="97" t="s">
        <v>1705</v>
      </c>
      <c r="K171" s="97" t="s">
        <v>1706</v>
      </c>
    </row>
    <row r="172" customFormat="false" ht="64" hidden="false" customHeight="true" outlineLevel="0" collapsed="false">
      <c r="C172" s="96" t="s">
        <v>1909</v>
      </c>
      <c r="D172" s="97" t="s">
        <v>1722</v>
      </c>
      <c r="E172" s="97" t="s">
        <v>835</v>
      </c>
      <c r="F172" s="97" t="n">
        <v>0.01</v>
      </c>
      <c r="G172" s="97" t="s">
        <v>1798</v>
      </c>
      <c r="H172" s="97" t="s">
        <v>1767</v>
      </c>
      <c r="I172" s="97" t="s">
        <v>1704</v>
      </c>
      <c r="J172" s="97" t="s">
        <v>1705</v>
      </c>
      <c r="K172" s="97" t="s">
        <v>1706</v>
      </c>
    </row>
    <row r="173" customFormat="false" ht="64" hidden="false" customHeight="true" outlineLevel="0" collapsed="false">
      <c r="C173" s="96" t="s">
        <v>1910</v>
      </c>
      <c r="D173" s="97" t="s">
        <v>1724</v>
      </c>
      <c r="E173" s="97" t="s">
        <v>835</v>
      </c>
      <c r="F173" s="97" t="n">
        <v>0.01</v>
      </c>
      <c r="G173" s="97" t="s">
        <v>1798</v>
      </c>
      <c r="H173" s="97" t="s">
        <v>1767</v>
      </c>
      <c r="I173" s="97" t="s">
        <v>1704</v>
      </c>
      <c r="J173" s="97" t="s">
        <v>1705</v>
      </c>
      <c r="K173" s="97" t="s">
        <v>1706</v>
      </c>
    </row>
    <row r="174" customFormat="false" ht="64" hidden="false" customHeight="true" outlineLevel="0" collapsed="false">
      <c r="C174" s="96" t="s">
        <v>1911</v>
      </c>
      <c r="D174" s="97" t="s">
        <v>1726</v>
      </c>
      <c r="E174" s="97" t="s">
        <v>835</v>
      </c>
      <c r="F174" s="97" t="n">
        <v>0.01</v>
      </c>
      <c r="G174" s="97" t="s">
        <v>1798</v>
      </c>
      <c r="H174" s="97" t="s">
        <v>1767</v>
      </c>
      <c r="I174" s="97" t="s">
        <v>1704</v>
      </c>
      <c r="J174" s="97" t="s">
        <v>1705</v>
      </c>
      <c r="K174" s="97" t="s">
        <v>1706</v>
      </c>
    </row>
    <row r="175" customFormat="false" ht="64" hidden="false" customHeight="true" outlineLevel="0" collapsed="false">
      <c r="C175" s="96" t="s">
        <v>1912</v>
      </c>
      <c r="D175" s="97" t="s">
        <v>1728</v>
      </c>
      <c r="E175" s="97" t="s">
        <v>835</v>
      </c>
      <c r="F175" s="97" t="n">
        <v>0.01</v>
      </c>
      <c r="G175" s="97" t="s">
        <v>1798</v>
      </c>
      <c r="H175" s="97" t="s">
        <v>1767</v>
      </c>
      <c r="I175" s="97" t="s">
        <v>1704</v>
      </c>
      <c r="J175" s="97" t="s">
        <v>1705</v>
      </c>
      <c r="K175" s="97" t="s">
        <v>1706</v>
      </c>
    </row>
    <row r="176" customFormat="false" ht="64" hidden="false" customHeight="true" outlineLevel="0" collapsed="false">
      <c r="C176" s="96" t="s">
        <v>1913</v>
      </c>
      <c r="D176" s="97" t="s">
        <v>1730</v>
      </c>
      <c r="E176" s="97" t="s">
        <v>835</v>
      </c>
      <c r="F176" s="97" t="n">
        <v>0.01</v>
      </c>
      <c r="G176" s="97" t="s">
        <v>1798</v>
      </c>
      <c r="H176" s="97" t="s">
        <v>1767</v>
      </c>
      <c r="I176" s="97" t="s">
        <v>1704</v>
      </c>
      <c r="J176" s="97" t="s">
        <v>1705</v>
      </c>
      <c r="K176" s="97" t="s">
        <v>1706</v>
      </c>
    </row>
    <row r="177" customFormat="false" ht="64" hidden="false" customHeight="true" outlineLevel="0" collapsed="false">
      <c r="C177" s="96" t="s">
        <v>1914</v>
      </c>
      <c r="D177" s="97" t="s">
        <v>1732</v>
      </c>
      <c r="E177" s="97" t="s">
        <v>835</v>
      </c>
      <c r="F177" s="97" t="n">
        <v>0.01</v>
      </c>
      <c r="G177" s="97" t="s">
        <v>1798</v>
      </c>
      <c r="H177" s="97" t="s">
        <v>1767</v>
      </c>
      <c r="I177" s="97" t="s">
        <v>1704</v>
      </c>
      <c r="J177" s="97" t="s">
        <v>1705</v>
      </c>
      <c r="K177" s="97" t="s">
        <v>1706</v>
      </c>
    </row>
    <row r="178" customFormat="false" ht="64" hidden="false" customHeight="true" outlineLevel="0" collapsed="false">
      <c r="C178" s="96" t="s">
        <v>1915</v>
      </c>
      <c r="D178" s="97" t="s">
        <v>1734</v>
      </c>
      <c r="E178" s="97" t="s">
        <v>835</v>
      </c>
      <c r="F178" s="97" t="n">
        <v>0.01</v>
      </c>
      <c r="G178" s="97" t="s">
        <v>1798</v>
      </c>
      <c r="H178" s="97" t="s">
        <v>1767</v>
      </c>
      <c r="I178" s="97" t="s">
        <v>1704</v>
      </c>
      <c r="J178" s="97" t="s">
        <v>1705</v>
      </c>
      <c r="K178" s="97" t="s">
        <v>1706</v>
      </c>
    </row>
    <row r="179" customFormat="false" ht="64" hidden="false" customHeight="true" outlineLevel="0" collapsed="false">
      <c r="C179" s="96" t="s">
        <v>1916</v>
      </c>
      <c r="D179" s="97" t="s">
        <v>1736</v>
      </c>
      <c r="E179" s="97" t="s">
        <v>835</v>
      </c>
      <c r="F179" s="97" t="n">
        <v>0.01</v>
      </c>
      <c r="G179" s="97" t="s">
        <v>1798</v>
      </c>
      <c r="H179" s="97" t="s">
        <v>1767</v>
      </c>
      <c r="I179" s="97" t="s">
        <v>1704</v>
      </c>
      <c r="J179" s="97" t="s">
        <v>1705</v>
      </c>
      <c r="K179" s="97" t="s">
        <v>1706</v>
      </c>
    </row>
    <row r="180" customFormat="false" ht="64" hidden="false" customHeight="true" outlineLevel="0" collapsed="false">
      <c r="C180" s="96" t="s">
        <v>1917</v>
      </c>
      <c r="D180" s="97" t="s">
        <v>1738</v>
      </c>
      <c r="E180" s="97" t="s">
        <v>835</v>
      </c>
      <c r="F180" s="97" t="n">
        <v>0.01</v>
      </c>
      <c r="G180" s="97" t="s">
        <v>1798</v>
      </c>
      <c r="H180" s="97" t="s">
        <v>1767</v>
      </c>
      <c r="I180" s="97" t="s">
        <v>1704</v>
      </c>
      <c r="J180" s="97" t="s">
        <v>1705</v>
      </c>
      <c r="K180" s="97" t="s">
        <v>1706</v>
      </c>
    </row>
    <row r="181" customFormat="false" ht="64" hidden="false" customHeight="true" outlineLevel="0" collapsed="false">
      <c r="C181" s="98" t="s">
        <v>1918</v>
      </c>
      <c r="D181" s="98" t="s">
        <v>1740</v>
      </c>
      <c r="E181" s="98" t="s">
        <v>835</v>
      </c>
      <c r="F181" s="98" t="n">
        <v>0.01</v>
      </c>
      <c r="G181" s="98" t="s">
        <v>1798</v>
      </c>
      <c r="H181" s="98" t="s">
        <v>1767</v>
      </c>
      <c r="I181" s="98" t="s">
        <v>1704</v>
      </c>
      <c r="J181" s="98" t="s">
        <v>1705</v>
      </c>
      <c r="K181" s="98" t="s">
        <v>1706</v>
      </c>
    </row>
    <row r="182" customFormat="false" ht="64" hidden="false" customHeight="true" outlineLevel="0" collapsed="false">
      <c r="C182" s="98" t="s">
        <v>1919</v>
      </c>
      <c r="D182" s="98" t="s">
        <v>1742</v>
      </c>
      <c r="E182" s="98" t="s">
        <v>835</v>
      </c>
      <c r="F182" s="98" t="n">
        <v>0.01</v>
      </c>
      <c r="G182" s="98" t="s">
        <v>1798</v>
      </c>
      <c r="H182" s="98" t="s">
        <v>1767</v>
      </c>
      <c r="I182" s="98" t="s">
        <v>1704</v>
      </c>
      <c r="J182" s="98" t="s">
        <v>1705</v>
      </c>
      <c r="K182" s="98" t="s">
        <v>1706</v>
      </c>
    </row>
    <row r="183" customFormat="false" ht="64" hidden="false" customHeight="true" outlineLevel="0" collapsed="false">
      <c r="C183" s="98" t="s">
        <v>1920</v>
      </c>
      <c r="D183" s="98" t="s">
        <v>1744</v>
      </c>
      <c r="E183" s="98" t="s">
        <v>835</v>
      </c>
      <c r="F183" s="98" t="n">
        <v>0.01</v>
      </c>
      <c r="G183" s="98" t="s">
        <v>1798</v>
      </c>
      <c r="H183" s="98" t="s">
        <v>1767</v>
      </c>
      <c r="I183" s="98" t="s">
        <v>1704</v>
      </c>
      <c r="J183" s="98" t="s">
        <v>1705</v>
      </c>
      <c r="K183" s="98" t="s">
        <v>1706</v>
      </c>
    </row>
    <row r="184" customFormat="false" ht="64" hidden="false" customHeight="true" outlineLevel="0" collapsed="false">
      <c r="C184" s="98" t="s">
        <v>1921</v>
      </c>
      <c r="D184" s="98" t="s">
        <v>1746</v>
      </c>
      <c r="E184" s="98" t="s">
        <v>835</v>
      </c>
      <c r="F184" s="98" t="n">
        <v>0.01</v>
      </c>
      <c r="G184" s="98" t="s">
        <v>1798</v>
      </c>
      <c r="H184" s="98" t="s">
        <v>1767</v>
      </c>
      <c r="I184" s="98" t="s">
        <v>1704</v>
      </c>
      <c r="J184" s="98" t="s">
        <v>1705</v>
      </c>
      <c r="K184" s="98" t="s">
        <v>1706</v>
      </c>
    </row>
    <row r="185" customFormat="false" ht="64" hidden="false" customHeight="true" outlineLevel="0" collapsed="false">
      <c r="C185" s="98" t="s">
        <v>1922</v>
      </c>
      <c r="D185" s="98" t="s">
        <v>1748</v>
      </c>
      <c r="E185" s="98" t="s">
        <v>835</v>
      </c>
      <c r="F185" s="98" t="n">
        <v>0.01</v>
      </c>
      <c r="G185" s="98" t="s">
        <v>1798</v>
      </c>
      <c r="H185" s="98" t="s">
        <v>1767</v>
      </c>
      <c r="I185" s="98" t="s">
        <v>1704</v>
      </c>
      <c r="J185" s="98" t="s">
        <v>1705</v>
      </c>
      <c r="K185" s="98" t="s">
        <v>1706</v>
      </c>
    </row>
    <row r="186" customFormat="false" ht="64" hidden="false" customHeight="true" outlineLevel="0" collapsed="false">
      <c r="C186" s="98" t="s">
        <v>1923</v>
      </c>
      <c r="D186" s="98" t="s">
        <v>1750</v>
      </c>
      <c r="E186" s="98" t="s">
        <v>835</v>
      </c>
      <c r="F186" s="98" t="n">
        <v>0.01</v>
      </c>
      <c r="G186" s="98" t="s">
        <v>1798</v>
      </c>
      <c r="H186" s="98" t="s">
        <v>1767</v>
      </c>
      <c r="I186" s="98" t="s">
        <v>1704</v>
      </c>
      <c r="J186" s="98" t="s">
        <v>1705</v>
      </c>
      <c r="K186" s="98" t="s">
        <v>1706</v>
      </c>
    </row>
    <row r="187" customFormat="false" ht="64" hidden="false" customHeight="true" outlineLevel="0" collapsed="false">
      <c r="C187" s="98" t="s">
        <v>1924</v>
      </c>
      <c r="D187" s="98" t="s">
        <v>1752</v>
      </c>
      <c r="E187" s="98" t="s">
        <v>835</v>
      </c>
      <c r="F187" s="98" t="n">
        <v>0.01</v>
      </c>
      <c r="G187" s="98" t="s">
        <v>1798</v>
      </c>
      <c r="H187" s="98" t="s">
        <v>1767</v>
      </c>
      <c r="I187" s="98" t="s">
        <v>1704</v>
      </c>
      <c r="J187" s="98" t="s">
        <v>1705</v>
      </c>
      <c r="K187" s="98" t="s">
        <v>1706</v>
      </c>
    </row>
    <row r="188" customFormat="false" ht="64" hidden="false" customHeight="true" outlineLevel="0" collapsed="false">
      <c r="C188" s="98" t="s">
        <v>1925</v>
      </c>
      <c r="D188" s="98" t="s">
        <v>1754</v>
      </c>
      <c r="E188" s="98" t="s">
        <v>835</v>
      </c>
      <c r="F188" s="98" t="n">
        <v>0.01</v>
      </c>
      <c r="G188" s="98" t="s">
        <v>1798</v>
      </c>
      <c r="H188" s="98" t="s">
        <v>1767</v>
      </c>
      <c r="I188" s="98" t="s">
        <v>1704</v>
      </c>
      <c r="J188" s="98" t="s">
        <v>1705</v>
      </c>
      <c r="K188" s="98" t="s">
        <v>1706</v>
      </c>
    </row>
    <row r="189" customFormat="false" ht="64" hidden="false" customHeight="true" outlineLevel="0" collapsed="false">
      <c r="C189" s="98" t="s">
        <v>1926</v>
      </c>
      <c r="D189" s="98" t="s">
        <v>1756</v>
      </c>
      <c r="E189" s="98" t="s">
        <v>835</v>
      </c>
      <c r="F189" s="98" t="n">
        <v>0.01</v>
      </c>
      <c r="G189" s="98" t="s">
        <v>1798</v>
      </c>
      <c r="H189" s="98" t="s">
        <v>1767</v>
      </c>
      <c r="I189" s="98" t="s">
        <v>1704</v>
      </c>
      <c r="J189" s="98" t="s">
        <v>1705</v>
      </c>
      <c r="K189" s="98" t="s">
        <v>1706</v>
      </c>
    </row>
    <row r="190" customFormat="false" ht="64" hidden="false" customHeight="true" outlineLevel="0" collapsed="false">
      <c r="C190" s="98" t="s">
        <v>1927</v>
      </c>
      <c r="D190" s="98" t="s">
        <v>1758</v>
      </c>
      <c r="E190" s="98" t="s">
        <v>835</v>
      </c>
      <c r="F190" s="98" t="n">
        <v>0.01</v>
      </c>
      <c r="G190" s="98" t="s">
        <v>1798</v>
      </c>
      <c r="H190" s="98" t="s">
        <v>1767</v>
      </c>
      <c r="I190" s="98" t="s">
        <v>1704</v>
      </c>
      <c r="J190" s="98" t="s">
        <v>1705</v>
      </c>
      <c r="K190" s="98" t="s">
        <v>1706</v>
      </c>
    </row>
    <row r="191" customFormat="false" ht="64" hidden="false" customHeight="true" outlineLevel="0" collapsed="false">
      <c r="C191" s="98" t="s">
        <v>1928</v>
      </c>
      <c r="D191" s="98" t="s">
        <v>1760</v>
      </c>
      <c r="E191" s="98" t="s">
        <v>835</v>
      </c>
      <c r="F191" s="98" t="n">
        <v>0.01</v>
      </c>
      <c r="G191" s="98" t="s">
        <v>1798</v>
      </c>
      <c r="H191" s="98" t="s">
        <v>1767</v>
      </c>
      <c r="I191" s="98" t="s">
        <v>1704</v>
      </c>
      <c r="J191" s="98" t="s">
        <v>1705</v>
      </c>
      <c r="K191" s="98" t="s">
        <v>1706</v>
      </c>
    </row>
    <row r="192" customFormat="false" ht="64" hidden="false" customHeight="true" outlineLevel="0" collapsed="false">
      <c r="C192" s="98" t="s">
        <v>1929</v>
      </c>
      <c r="D192" s="98" t="s">
        <v>1762</v>
      </c>
      <c r="E192" s="98" t="s">
        <v>835</v>
      </c>
      <c r="F192" s="98" t="n">
        <v>0.01</v>
      </c>
      <c r="G192" s="98" t="s">
        <v>1798</v>
      </c>
      <c r="H192" s="98" t="s">
        <v>1767</v>
      </c>
      <c r="I192" s="98" t="s">
        <v>1704</v>
      </c>
      <c r="J192" s="98" t="s">
        <v>1705</v>
      </c>
      <c r="K192" s="98" t="s">
        <v>1706</v>
      </c>
    </row>
    <row r="193" customFormat="false" ht="64" hidden="false" customHeight="true" outlineLevel="0" collapsed="false">
      <c r="C193" s="98" t="s">
        <v>1930</v>
      </c>
      <c r="D193" s="98" t="s">
        <v>1764</v>
      </c>
      <c r="E193" s="98" t="s">
        <v>835</v>
      </c>
      <c r="F193" s="98" t="n">
        <v>0.01</v>
      </c>
      <c r="G193" s="98" t="s">
        <v>1798</v>
      </c>
      <c r="H193" s="98" t="s">
        <v>1767</v>
      </c>
      <c r="I193" s="98" t="s">
        <v>1704</v>
      </c>
      <c r="J193" s="98" t="s">
        <v>1705</v>
      </c>
      <c r="K193" s="98" t="s">
        <v>1706</v>
      </c>
    </row>
    <row r="194" customFormat="false" ht="64" hidden="false" customHeight="true" outlineLevel="0" collapsed="false">
      <c r="C194" s="98" t="s">
        <v>1931</v>
      </c>
      <c r="D194" s="98" t="s">
        <v>1829</v>
      </c>
      <c r="E194" s="98" t="s">
        <v>1830</v>
      </c>
      <c r="F194" s="98" t="n">
        <v>24.2706827058605</v>
      </c>
      <c r="G194" s="98" t="s">
        <v>1831</v>
      </c>
      <c r="H194" s="98" t="s">
        <v>1703</v>
      </c>
      <c r="I194" s="98" t="s">
        <v>1704</v>
      </c>
      <c r="J194" s="98" t="s">
        <v>1705</v>
      </c>
      <c r="K194" s="98" t="s">
        <v>1706</v>
      </c>
    </row>
    <row r="195" customFormat="false" ht="64" hidden="false" customHeight="true" outlineLevel="0" collapsed="false">
      <c r="C195" s="98" t="s">
        <v>1932</v>
      </c>
      <c r="D195" s="98" t="s">
        <v>1833</v>
      </c>
      <c r="E195" s="98" t="s">
        <v>1830</v>
      </c>
      <c r="F195" s="98" t="n">
        <v>24.2706827058605</v>
      </c>
      <c r="G195" s="98" t="s">
        <v>1831</v>
      </c>
      <c r="H195" s="98" t="s">
        <v>1703</v>
      </c>
      <c r="I195" s="98" t="s">
        <v>1704</v>
      </c>
      <c r="J195" s="98" t="s">
        <v>1705</v>
      </c>
      <c r="K195" s="98" t="s">
        <v>1706</v>
      </c>
    </row>
    <row r="196" customFormat="false" ht="64" hidden="false" customHeight="true" outlineLevel="0" collapsed="false">
      <c r="C196" s="98" t="s">
        <v>1933</v>
      </c>
      <c r="D196" s="98" t="s">
        <v>1835</v>
      </c>
      <c r="E196" s="98" t="s">
        <v>1830</v>
      </c>
      <c r="F196" s="98" t="n">
        <v>24.2706827058605</v>
      </c>
      <c r="G196" s="98" t="s">
        <v>1831</v>
      </c>
      <c r="H196" s="98" t="s">
        <v>1703</v>
      </c>
      <c r="I196" s="98" t="s">
        <v>1704</v>
      </c>
      <c r="J196" s="98" t="s">
        <v>1705</v>
      </c>
      <c r="K196" s="98" t="s">
        <v>1706</v>
      </c>
    </row>
    <row r="197" customFormat="false" ht="64" hidden="false" customHeight="true" outlineLevel="0" collapsed="false">
      <c r="C197" s="98" t="s">
        <v>1934</v>
      </c>
      <c r="D197" s="98" t="s">
        <v>1044</v>
      </c>
      <c r="E197" s="98" t="s">
        <v>1830</v>
      </c>
      <c r="F197" s="98" t="n">
        <v>24.2706827058605</v>
      </c>
      <c r="G197" s="98" t="s">
        <v>1831</v>
      </c>
      <c r="H197" s="98" t="s">
        <v>1703</v>
      </c>
      <c r="I197" s="98" t="s">
        <v>1704</v>
      </c>
      <c r="J197" s="98" t="s">
        <v>1705</v>
      </c>
      <c r="K197" s="98" t="s">
        <v>1706</v>
      </c>
    </row>
    <row r="198" customFormat="false" ht="64" hidden="false" customHeight="true" outlineLevel="0" collapsed="false">
      <c r="C198" s="98" t="s">
        <v>1935</v>
      </c>
      <c r="D198" s="98" t="s">
        <v>1838</v>
      </c>
      <c r="E198" s="98" t="s">
        <v>1830</v>
      </c>
      <c r="F198" s="98" t="n">
        <v>24.2706827058605</v>
      </c>
      <c r="G198" s="98" t="s">
        <v>1831</v>
      </c>
      <c r="H198" s="98" t="s">
        <v>1703</v>
      </c>
      <c r="I198" s="98" t="s">
        <v>1704</v>
      </c>
      <c r="J198" s="98" t="s">
        <v>1705</v>
      </c>
      <c r="K198" s="98" t="s">
        <v>1706</v>
      </c>
    </row>
    <row r="199" customFormat="false" ht="64" hidden="false" customHeight="true" outlineLevel="0" collapsed="false">
      <c r="C199" s="98" t="s">
        <v>1936</v>
      </c>
      <c r="D199" s="98" t="s">
        <v>1840</v>
      </c>
      <c r="E199" s="98" t="s">
        <v>1830</v>
      </c>
      <c r="F199" s="98" t="n">
        <v>24.2706827058605</v>
      </c>
      <c r="G199" s="98" t="s">
        <v>1831</v>
      </c>
      <c r="H199" s="98" t="s">
        <v>1703</v>
      </c>
      <c r="I199" s="98" t="s">
        <v>1704</v>
      </c>
      <c r="J199" s="98" t="s">
        <v>1705</v>
      </c>
      <c r="K199" s="98" t="s">
        <v>1706</v>
      </c>
    </row>
    <row r="200" customFormat="false" ht="64" hidden="false" customHeight="true" outlineLevel="0" collapsed="false">
      <c r="C200" s="98" t="s">
        <v>1937</v>
      </c>
      <c r="D200" s="98" t="s">
        <v>1700</v>
      </c>
      <c r="E200" s="98" t="s">
        <v>1830</v>
      </c>
      <c r="F200" s="98" t="n">
        <v>24.2706827058605</v>
      </c>
      <c r="G200" s="98" t="s">
        <v>1831</v>
      </c>
      <c r="H200" s="98" t="s">
        <v>1703</v>
      </c>
      <c r="I200" s="98" t="s">
        <v>1704</v>
      </c>
      <c r="J200" s="98" t="s">
        <v>1705</v>
      </c>
      <c r="K200" s="98" t="s">
        <v>1706</v>
      </c>
    </row>
    <row r="201" customFormat="false" ht="64" hidden="false" customHeight="true" outlineLevel="0" collapsed="false">
      <c r="C201" s="98" t="s">
        <v>1938</v>
      </c>
      <c r="D201" s="98" t="s">
        <v>1708</v>
      </c>
      <c r="E201" s="98" t="s">
        <v>1830</v>
      </c>
      <c r="F201" s="98" t="n">
        <v>24.2706827058605</v>
      </c>
      <c r="G201" s="98" t="s">
        <v>1831</v>
      </c>
      <c r="H201" s="98" t="s">
        <v>1703</v>
      </c>
      <c r="I201" s="98" t="s">
        <v>1704</v>
      </c>
      <c r="J201" s="98" t="s">
        <v>1705</v>
      </c>
      <c r="K201" s="98" t="s">
        <v>1706</v>
      </c>
    </row>
    <row r="202" customFormat="false" ht="64" hidden="false" customHeight="true" outlineLevel="0" collapsed="false">
      <c r="C202" s="98" t="s">
        <v>1939</v>
      </c>
      <c r="D202" s="98" t="s">
        <v>1710</v>
      </c>
      <c r="E202" s="98" t="s">
        <v>1830</v>
      </c>
      <c r="F202" s="98" t="n">
        <v>24.2706827058605</v>
      </c>
      <c r="G202" s="98" t="s">
        <v>1831</v>
      </c>
      <c r="H202" s="98" t="s">
        <v>1703</v>
      </c>
      <c r="I202" s="98" t="s">
        <v>1704</v>
      </c>
      <c r="J202" s="98" t="s">
        <v>1705</v>
      </c>
      <c r="K202" s="98" t="s">
        <v>1706</v>
      </c>
    </row>
    <row r="203" customFormat="false" ht="64" hidden="false" customHeight="true" outlineLevel="0" collapsed="false">
      <c r="C203" s="98" t="s">
        <v>1940</v>
      </c>
      <c r="D203" s="98" t="s">
        <v>1712</v>
      </c>
      <c r="E203" s="98" t="s">
        <v>1830</v>
      </c>
      <c r="F203" s="98" t="n">
        <v>24.2706827058605</v>
      </c>
      <c r="G203" s="98" t="s">
        <v>1831</v>
      </c>
      <c r="H203" s="98" t="s">
        <v>1703</v>
      </c>
      <c r="I203" s="98" t="s">
        <v>1704</v>
      </c>
      <c r="J203" s="98" t="s">
        <v>1705</v>
      </c>
      <c r="K203" s="98" t="s">
        <v>1706</v>
      </c>
    </row>
    <row r="204" customFormat="false" ht="64" hidden="false" customHeight="true" outlineLevel="0" collapsed="false">
      <c r="C204" s="98" t="s">
        <v>1941</v>
      </c>
      <c r="D204" s="98" t="s">
        <v>1714</v>
      </c>
      <c r="E204" s="98" t="s">
        <v>1830</v>
      </c>
      <c r="F204" s="98" t="n">
        <v>24.2706827058605</v>
      </c>
      <c r="G204" s="98" t="s">
        <v>1831</v>
      </c>
      <c r="H204" s="98" t="s">
        <v>1703</v>
      </c>
      <c r="I204" s="98" t="s">
        <v>1704</v>
      </c>
      <c r="J204" s="98" t="s">
        <v>1705</v>
      </c>
      <c r="K204" s="98" t="s">
        <v>1706</v>
      </c>
    </row>
    <row r="205" customFormat="false" ht="64" hidden="false" customHeight="true" outlineLevel="0" collapsed="false">
      <c r="C205" s="98" t="s">
        <v>1942</v>
      </c>
      <c r="D205" s="98" t="s">
        <v>1716</v>
      </c>
      <c r="E205" s="98" t="s">
        <v>1830</v>
      </c>
      <c r="F205" s="98" t="n">
        <v>24.2706827058605</v>
      </c>
      <c r="G205" s="98" t="s">
        <v>1831</v>
      </c>
      <c r="H205" s="98" t="s">
        <v>1703</v>
      </c>
      <c r="I205" s="98" t="s">
        <v>1704</v>
      </c>
      <c r="J205" s="98" t="s">
        <v>1705</v>
      </c>
      <c r="K205" s="98" t="s">
        <v>1706</v>
      </c>
    </row>
    <row r="206" customFormat="false" ht="64" hidden="false" customHeight="true" outlineLevel="0" collapsed="false">
      <c r="C206" s="98" t="s">
        <v>1943</v>
      </c>
      <c r="D206" s="98" t="s">
        <v>1718</v>
      </c>
      <c r="E206" s="98" t="s">
        <v>1830</v>
      </c>
      <c r="F206" s="98" t="n">
        <v>24.2706827058605</v>
      </c>
      <c r="G206" s="98" t="s">
        <v>1831</v>
      </c>
      <c r="H206" s="98" t="s">
        <v>1703</v>
      </c>
      <c r="I206" s="98" t="s">
        <v>1704</v>
      </c>
      <c r="J206" s="98" t="s">
        <v>1705</v>
      </c>
      <c r="K206" s="98" t="s">
        <v>1706</v>
      </c>
    </row>
    <row r="207" customFormat="false" ht="64" hidden="false" customHeight="true" outlineLevel="0" collapsed="false">
      <c r="C207" s="98" t="s">
        <v>1944</v>
      </c>
      <c r="D207" s="98" t="s">
        <v>1720</v>
      </c>
      <c r="E207" s="98" t="s">
        <v>1830</v>
      </c>
      <c r="F207" s="98" t="n">
        <v>24.2706827058605</v>
      </c>
      <c r="G207" s="98" t="s">
        <v>1831</v>
      </c>
      <c r="H207" s="98" t="s">
        <v>1703</v>
      </c>
      <c r="I207" s="98" t="s">
        <v>1704</v>
      </c>
      <c r="J207" s="98" t="s">
        <v>1705</v>
      </c>
      <c r="K207" s="98" t="s">
        <v>1706</v>
      </c>
    </row>
    <row r="208" customFormat="false" ht="64" hidden="false" customHeight="true" outlineLevel="0" collapsed="false">
      <c r="C208" s="98" t="s">
        <v>1945</v>
      </c>
      <c r="D208" s="98" t="s">
        <v>1722</v>
      </c>
      <c r="E208" s="98" t="s">
        <v>1830</v>
      </c>
      <c r="F208" s="98" t="n">
        <v>24.2706827058605</v>
      </c>
      <c r="G208" s="98" t="s">
        <v>1831</v>
      </c>
      <c r="H208" s="98" t="s">
        <v>1703</v>
      </c>
      <c r="I208" s="98" t="s">
        <v>1704</v>
      </c>
      <c r="J208" s="98" t="s">
        <v>1705</v>
      </c>
      <c r="K208" s="98" t="s">
        <v>1706</v>
      </c>
    </row>
    <row r="209" customFormat="false" ht="64" hidden="false" customHeight="true" outlineLevel="0" collapsed="false">
      <c r="C209" s="98" t="s">
        <v>1946</v>
      </c>
      <c r="D209" s="98" t="s">
        <v>1724</v>
      </c>
      <c r="E209" s="98" t="s">
        <v>1830</v>
      </c>
      <c r="F209" s="98" t="n">
        <v>24.2706827058605</v>
      </c>
      <c r="G209" s="98" t="s">
        <v>1831</v>
      </c>
      <c r="H209" s="98" t="s">
        <v>1703</v>
      </c>
      <c r="I209" s="98" t="s">
        <v>1704</v>
      </c>
      <c r="J209" s="98" t="s">
        <v>1705</v>
      </c>
      <c r="K209" s="98" t="s">
        <v>1706</v>
      </c>
    </row>
    <row r="210" customFormat="false" ht="64" hidden="false" customHeight="true" outlineLevel="0" collapsed="false">
      <c r="C210" s="98" t="s">
        <v>1947</v>
      </c>
      <c r="D210" s="98" t="s">
        <v>1726</v>
      </c>
      <c r="E210" s="98" t="s">
        <v>1830</v>
      </c>
      <c r="F210" s="98" t="n">
        <v>24.2706827058605</v>
      </c>
      <c r="G210" s="98" t="s">
        <v>1831</v>
      </c>
      <c r="H210" s="98" t="s">
        <v>1703</v>
      </c>
      <c r="I210" s="98" t="s">
        <v>1704</v>
      </c>
      <c r="J210" s="98" t="s">
        <v>1705</v>
      </c>
      <c r="K210" s="98" t="s">
        <v>1706</v>
      </c>
    </row>
    <row r="211" customFormat="false" ht="64" hidden="false" customHeight="true" outlineLevel="0" collapsed="false">
      <c r="C211" s="98" t="s">
        <v>1948</v>
      </c>
      <c r="D211" s="98" t="s">
        <v>1728</v>
      </c>
      <c r="E211" s="98" t="s">
        <v>1830</v>
      </c>
      <c r="F211" s="98" t="n">
        <v>24.2706827058605</v>
      </c>
      <c r="G211" s="98" t="s">
        <v>1831</v>
      </c>
      <c r="H211" s="98" t="s">
        <v>1703</v>
      </c>
      <c r="I211" s="98" t="s">
        <v>1704</v>
      </c>
      <c r="J211" s="98" t="s">
        <v>1705</v>
      </c>
      <c r="K211" s="98" t="s">
        <v>1706</v>
      </c>
    </row>
    <row r="212" customFormat="false" ht="64" hidden="false" customHeight="true" outlineLevel="0" collapsed="false">
      <c r="C212" s="98" t="s">
        <v>1949</v>
      </c>
      <c r="D212" s="98" t="s">
        <v>1730</v>
      </c>
      <c r="E212" s="98" t="s">
        <v>1830</v>
      </c>
      <c r="F212" s="98" t="n">
        <v>24.2706827058605</v>
      </c>
      <c r="G212" s="98" t="s">
        <v>1831</v>
      </c>
      <c r="H212" s="98" t="s">
        <v>1703</v>
      </c>
      <c r="I212" s="98" t="s">
        <v>1704</v>
      </c>
      <c r="J212" s="98" t="s">
        <v>1705</v>
      </c>
      <c r="K212" s="98" t="s">
        <v>1706</v>
      </c>
    </row>
    <row r="213" customFormat="false" ht="64" hidden="false" customHeight="true" outlineLevel="0" collapsed="false">
      <c r="C213" s="98" t="s">
        <v>1950</v>
      </c>
      <c r="D213" s="98" t="s">
        <v>1732</v>
      </c>
      <c r="E213" s="98" t="s">
        <v>1830</v>
      </c>
      <c r="F213" s="98" t="n">
        <v>24.2706827058605</v>
      </c>
      <c r="G213" s="98" t="s">
        <v>1831</v>
      </c>
      <c r="H213" s="98" t="s">
        <v>1703</v>
      </c>
      <c r="I213" s="98" t="s">
        <v>1704</v>
      </c>
      <c r="J213" s="98" t="s">
        <v>1705</v>
      </c>
      <c r="K213" s="98" t="s">
        <v>1706</v>
      </c>
    </row>
    <row r="214" customFormat="false" ht="64" hidden="false" customHeight="true" outlineLevel="0" collapsed="false">
      <c r="C214" s="98" t="s">
        <v>1951</v>
      </c>
      <c r="D214" s="98" t="s">
        <v>1734</v>
      </c>
      <c r="E214" s="98" t="s">
        <v>1830</v>
      </c>
      <c r="F214" s="98" t="n">
        <v>24.2706827058605</v>
      </c>
      <c r="G214" s="98" t="s">
        <v>1831</v>
      </c>
      <c r="H214" s="98" t="s">
        <v>1703</v>
      </c>
      <c r="I214" s="98" t="s">
        <v>1704</v>
      </c>
      <c r="J214" s="98" t="s">
        <v>1705</v>
      </c>
      <c r="K214" s="98" t="s">
        <v>1706</v>
      </c>
    </row>
    <row r="215" customFormat="false" ht="64" hidden="false" customHeight="true" outlineLevel="0" collapsed="false">
      <c r="C215" s="98" t="s">
        <v>1952</v>
      </c>
      <c r="D215" s="98" t="s">
        <v>1736</v>
      </c>
      <c r="E215" s="98" t="s">
        <v>1830</v>
      </c>
      <c r="F215" s="98" t="n">
        <v>24.2706827058605</v>
      </c>
      <c r="G215" s="98" t="s">
        <v>1831</v>
      </c>
      <c r="H215" s="98" t="s">
        <v>1703</v>
      </c>
      <c r="I215" s="98" t="s">
        <v>1704</v>
      </c>
      <c r="J215" s="98" t="s">
        <v>1705</v>
      </c>
      <c r="K215" s="98" t="s">
        <v>1706</v>
      </c>
    </row>
    <row r="216" customFormat="false" ht="64" hidden="false" customHeight="true" outlineLevel="0" collapsed="false">
      <c r="C216" s="98" t="s">
        <v>1953</v>
      </c>
      <c r="D216" s="98" t="s">
        <v>1738</v>
      </c>
      <c r="E216" s="98" t="s">
        <v>1830</v>
      </c>
      <c r="F216" s="98" t="n">
        <v>24.2706827058605</v>
      </c>
      <c r="G216" s="98" t="s">
        <v>1831</v>
      </c>
      <c r="H216" s="98" t="s">
        <v>1703</v>
      </c>
      <c r="I216" s="98" t="s">
        <v>1704</v>
      </c>
      <c r="J216" s="98" t="s">
        <v>1705</v>
      </c>
      <c r="K216" s="98" t="s">
        <v>1706</v>
      </c>
    </row>
    <row r="217" customFormat="false" ht="64" hidden="false" customHeight="true" outlineLevel="0" collapsed="false">
      <c r="C217" s="98" t="s">
        <v>1954</v>
      </c>
      <c r="D217" s="98" t="s">
        <v>1740</v>
      </c>
      <c r="E217" s="98" t="s">
        <v>1830</v>
      </c>
      <c r="F217" s="98" t="n">
        <v>24.2706827058605</v>
      </c>
      <c r="G217" s="98" t="s">
        <v>1831</v>
      </c>
      <c r="H217" s="98" t="s">
        <v>1703</v>
      </c>
      <c r="I217" s="98" t="s">
        <v>1704</v>
      </c>
      <c r="J217" s="98" t="s">
        <v>1705</v>
      </c>
      <c r="K217" s="98" t="s">
        <v>1706</v>
      </c>
    </row>
    <row r="218" customFormat="false" ht="64" hidden="false" customHeight="true" outlineLevel="0" collapsed="false">
      <c r="C218" s="98" t="s">
        <v>1955</v>
      </c>
      <c r="D218" s="98" t="s">
        <v>1742</v>
      </c>
      <c r="E218" s="98" t="s">
        <v>1830</v>
      </c>
      <c r="F218" s="98" t="n">
        <v>24.2706827058605</v>
      </c>
      <c r="G218" s="98" t="s">
        <v>1831</v>
      </c>
      <c r="H218" s="98" t="s">
        <v>1703</v>
      </c>
      <c r="I218" s="98" t="s">
        <v>1704</v>
      </c>
      <c r="J218" s="98" t="s">
        <v>1705</v>
      </c>
      <c r="K218" s="98" t="s">
        <v>1706</v>
      </c>
    </row>
    <row r="219" customFormat="false" ht="64" hidden="false" customHeight="true" outlineLevel="0" collapsed="false">
      <c r="C219" s="98" t="s">
        <v>1956</v>
      </c>
      <c r="D219" s="98" t="s">
        <v>1744</v>
      </c>
      <c r="E219" s="98" t="s">
        <v>1830</v>
      </c>
      <c r="F219" s="98" t="n">
        <v>24.2706827058605</v>
      </c>
      <c r="G219" s="98" t="s">
        <v>1831</v>
      </c>
      <c r="H219" s="98" t="s">
        <v>1703</v>
      </c>
      <c r="I219" s="98" t="s">
        <v>1704</v>
      </c>
      <c r="J219" s="98" t="s">
        <v>1705</v>
      </c>
      <c r="K219" s="98" t="s">
        <v>1706</v>
      </c>
    </row>
    <row r="220" customFormat="false" ht="64" hidden="false" customHeight="true" outlineLevel="0" collapsed="false">
      <c r="C220" s="98" t="s">
        <v>1957</v>
      </c>
      <c r="D220" s="98" t="s">
        <v>1746</v>
      </c>
      <c r="E220" s="98" t="s">
        <v>1830</v>
      </c>
      <c r="F220" s="98" t="n">
        <v>24.2706827058605</v>
      </c>
      <c r="G220" s="98" t="s">
        <v>1831</v>
      </c>
      <c r="H220" s="98" t="s">
        <v>1703</v>
      </c>
      <c r="I220" s="98" t="s">
        <v>1704</v>
      </c>
      <c r="J220" s="98" t="s">
        <v>1705</v>
      </c>
      <c r="K220" s="98" t="s">
        <v>1706</v>
      </c>
    </row>
    <row r="221" customFormat="false" ht="64" hidden="false" customHeight="true" outlineLevel="0" collapsed="false">
      <c r="C221" s="98" t="s">
        <v>1958</v>
      </c>
      <c r="D221" s="98" t="s">
        <v>1748</v>
      </c>
      <c r="E221" s="98" t="s">
        <v>1830</v>
      </c>
      <c r="F221" s="98" t="n">
        <v>24.2706827058605</v>
      </c>
      <c r="G221" s="98" t="s">
        <v>1831</v>
      </c>
      <c r="H221" s="98" t="s">
        <v>1703</v>
      </c>
      <c r="I221" s="98" t="s">
        <v>1704</v>
      </c>
      <c r="J221" s="98" t="s">
        <v>1705</v>
      </c>
      <c r="K221" s="98" t="s">
        <v>1706</v>
      </c>
    </row>
    <row r="222" customFormat="false" ht="64" hidden="false" customHeight="true" outlineLevel="0" collapsed="false">
      <c r="C222" s="98" t="s">
        <v>1959</v>
      </c>
      <c r="D222" s="98" t="s">
        <v>1750</v>
      </c>
      <c r="E222" s="98" t="s">
        <v>1830</v>
      </c>
      <c r="F222" s="98" t="n">
        <v>24.2706827058605</v>
      </c>
      <c r="G222" s="98" t="s">
        <v>1831</v>
      </c>
      <c r="H222" s="98" t="s">
        <v>1703</v>
      </c>
      <c r="I222" s="98" t="s">
        <v>1704</v>
      </c>
      <c r="J222" s="98" t="s">
        <v>1705</v>
      </c>
      <c r="K222" s="98" t="s">
        <v>1706</v>
      </c>
    </row>
    <row r="223" customFormat="false" ht="64" hidden="false" customHeight="true" outlineLevel="0" collapsed="false">
      <c r="C223" s="98" t="s">
        <v>1960</v>
      </c>
      <c r="D223" s="98" t="s">
        <v>1752</v>
      </c>
      <c r="E223" s="98" t="s">
        <v>1830</v>
      </c>
      <c r="F223" s="98" t="n">
        <v>24.2706827058605</v>
      </c>
      <c r="G223" s="98" t="s">
        <v>1831</v>
      </c>
      <c r="H223" s="98" t="s">
        <v>1703</v>
      </c>
      <c r="I223" s="98" t="s">
        <v>1704</v>
      </c>
      <c r="J223" s="98" t="s">
        <v>1705</v>
      </c>
      <c r="K223" s="98" t="s">
        <v>1706</v>
      </c>
    </row>
    <row r="224" customFormat="false" ht="64" hidden="false" customHeight="true" outlineLevel="0" collapsed="false">
      <c r="C224" s="98" t="s">
        <v>1961</v>
      </c>
      <c r="D224" s="98" t="s">
        <v>1754</v>
      </c>
      <c r="E224" s="98" t="s">
        <v>1830</v>
      </c>
      <c r="F224" s="98" t="n">
        <v>24.2706827058605</v>
      </c>
      <c r="G224" s="98" t="s">
        <v>1831</v>
      </c>
      <c r="H224" s="98" t="s">
        <v>1703</v>
      </c>
      <c r="I224" s="98" t="s">
        <v>1704</v>
      </c>
      <c r="J224" s="98" t="s">
        <v>1705</v>
      </c>
      <c r="K224" s="98" t="s">
        <v>1706</v>
      </c>
    </row>
    <row r="225" customFormat="false" ht="64" hidden="false" customHeight="true" outlineLevel="0" collapsed="false">
      <c r="C225" s="98" t="s">
        <v>1962</v>
      </c>
      <c r="D225" s="98" t="s">
        <v>1756</v>
      </c>
      <c r="E225" s="98" t="s">
        <v>1830</v>
      </c>
      <c r="F225" s="98" t="n">
        <v>24.2706827058605</v>
      </c>
      <c r="G225" s="98" t="s">
        <v>1831</v>
      </c>
      <c r="H225" s="98" t="s">
        <v>1703</v>
      </c>
      <c r="I225" s="98" t="s">
        <v>1704</v>
      </c>
      <c r="J225" s="98" t="s">
        <v>1705</v>
      </c>
      <c r="K225" s="98" t="s">
        <v>1706</v>
      </c>
    </row>
    <row r="226" customFormat="false" ht="64" hidden="false" customHeight="true" outlineLevel="0" collapsed="false">
      <c r="C226" s="98" t="s">
        <v>1963</v>
      </c>
      <c r="D226" s="98" t="s">
        <v>1758</v>
      </c>
      <c r="E226" s="98" t="s">
        <v>1830</v>
      </c>
      <c r="F226" s="98" t="n">
        <v>24.2706827058605</v>
      </c>
      <c r="G226" s="98" t="s">
        <v>1831</v>
      </c>
      <c r="H226" s="98" t="s">
        <v>1703</v>
      </c>
      <c r="I226" s="98" t="s">
        <v>1704</v>
      </c>
      <c r="J226" s="98" t="s">
        <v>1705</v>
      </c>
      <c r="K226" s="98" t="s">
        <v>1706</v>
      </c>
    </row>
    <row r="227" customFormat="false" ht="64" hidden="false" customHeight="true" outlineLevel="0" collapsed="false">
      <c r="C227" s="98" t="s">
        <v>1964</v>
      </c>
      <c r="D227" s="98" t="s">
        <v>1760</v>
      </c>
      <c r="E227" s="98" t="s">
        <v>1830</v>
      </c>
      <c r="F227" s="98" t="n">
        <v>24.2706827058605</v>
      </c>
      <c r="G227" s="98" t="s">
        <v>1831</v>
      </c>
      <c r="H227" s="98" t="s">
        <v>1703</v>
      </c>
      <c r="I227" s="98" t="s">
        <v>1704</v>
      </c>
      <c r="J227" s="98" t="s">
        <v>1705</v>
      </c>
      <c r="K227" s="98" t="s">
        <v>1706</v>
      </c>
    </row>
    <row r="228" customFormat="false" ht="64" hidden="false" customHeight="true" outlineLevel="0" collapsed="false">
      <c r="C228" s="98" t="s">
        <v>1965</v>
      </c>
      <c r="D228" s="98" t="s">
        <v>1762</v>
      </c>
      <c r="E228" s="98" t="s">
        <v>1830</v>
      </c>
      <c r="F228" s="98" t="n">
        <v>24.2706827058605</v>
      </c>
      <c r="G228" s="98" t="s">
        <v>1831</v>
      </c>
      <c r="H228" s="98" t="s">
        <v>1703</v>
      </c>
      <c r="I228" s="98" t="s">
        <v>1704</v>
      </c>
      <c r="J228" s="98" t="s">
        <v>1705</v>
      </c>
      <c r="K228" s="98" t="s">
        <v>1706</v>
      </c>
    </row>
    <row r="229" customFormat="false" ht="64" hidden="false" customHeight="true" outlineLevel="0" collapsed="false">
      <c r="C229" s="98" t="s">
        <v>1966</v>
      </c>
      <c r="D229" s="98" t="s">
        <v>1764</v>
      </c>
      <c r="E229" s="98" t="s">
        <v>1830</v>
      </c>
      <c r="F229" s="98" t="n">
        <v>24.2706827058605</v>
      </c>
      <c r="G229" s="98" t="s">
        <v>1831</v>
      </c>
      <c r="H229" s="98" t="s">
        <v>1703</v>
      </c>
      <c r="I229" s="98" t="s">
        <v>1704</v>
      </c>
      <c r="J229" s="98" t="s">
        <v>1705</v>
      </c>
      <c r="K229" s="98" t="s">
        <v>1706</v>
      </c>
    </row>
    <row r="230" customFormat="false" ht="64" hidden="false" customHeight="true" outlineLevel="0" collapsed="false">
      <c r="C230" s="98" t="s">
        <v>1967</v>
      </c>
      <c r="D230" s="98" t="s">
        <v>1700</v>
      </c>
      <c r="E230" s="98" t="s">
        <v>835</v>
      </c>
      <c r="F230" s="98" t="n">
        <v>0.15</v>
      </c>
      <c r="G230" s="98" t="s">
        <v>1766</v>
      </c>
      <c r="H230" s="98" t="s">
        <v>1767</v>
      </c>
      <c r="I230" s="98" t="s">
        <v>1704</v>
      </c>
      <c r="J230" s="98" t="s">
        <v>1705</v>
      </c>
      <c r="K230" s="98" t="s">
        <v>1706</v>
      </c>
    </row>
    <row r="231" customFormat="false" ht="64" hidden="false" customHeight="true" outlineLevel="0" collapsed="false">
      <c r="C231" s="98" t="s">
        <v>1968</v>
      </c>
      <c r="D231" s="98" t="s">
        <v>1708</v>
      </c>
      <c r="E231" s="98" t="s">
        <v>835</v>
      </c>
      <c r="F231" s="98" t="n">
        <v>0.15</v>
      </c>
      <c r="G231" s="98" t="s">
        <v>1766</v>
      </c>
      <c r="H231" s="98" t="s">
        <v>1767</v>
      </c>
      <c r="I231" s="98" t="s">
        <v>1704</v>
      </c>
      <c r="J231" s="98" t="s">
        <v>1705</v>
      </c>
      <c r="K231" s="98" t="s">
        <v>1706</v>
      </c>
    </row>
    <row r="232" customFormat="false" ht="64" hidden="false" customHeight="true" outlineLevel="0" collapsed="false">
      <c r="C232" s="98" t="s">
        <v>1969</v>
      </c>
      <c r="D232" s="98" t="s">
        <v>1710</v>
      </c>
      <c r="E232" s="98" t="s">
        <v>835</v>
      </c>
      <c r="F232" s="98" t="n">
        <v>0.15</v>
      </c>
      <c r="G232" s="98" t="s">
        <v>1766</v>
      </c>
      <c r="H232" s="98" t="s">
        <v>1767</v>
      </c>
      <c r="I232" s="98" t="s">
        <v>1704</v>
      </c>
      <c r="J232" s="98" t="s">
        <v>1705</v>
      </c>
      <c r="K232" s="98" t="s">
        <v>1706</v>
      </c>
    </row>
    <row r="233" customFormat="false" ht="64" hidden="false" customHeight="true" outlineLevel="0" collapsed="false">
      <c r="C233" s="98" t="s">
        <v>1970</v>
      </c>
      <c r="D233" s="98" t="s">
        <v>1712</v>
      </c>
      <c r="E233" s="98" t="s">
        <v>835</v>
      </c>
      <c r="F233" s="98" t="n">
        <v>0.15</v>
      </c>
      <c r="G233" s="98" t="s">
        <v>1766</v>
      </c>
      <c r="H233" s="98" t="s">
        <v>1767</v>
      </c>
      <c r="I233" s="98" t="s">
        <v>1704</v>
      </c>
      <c r="J233" s="98" t="s">
        <v>1705</v>
      </c>
      <c r="K233" s="98" t="s">
        <v>1706</v>
      </c>
    </row>
    <row r="234" customFormat="false" ht="64" hidden="false" customHeight="true" outlineLevel="0" collapsed="false">
      <c r="C234" s="98" t="s">
        <v>1971</v>
      </c>
      <c r="D234" s="98" t="s">
        <v>1714</v>
      </c>
      <c r="E234" s="98" t="s">
        <v>835</v>
      </c>
      <c r="F234" s="98" t="n">
        <v>0.15</v>
      </c>
      <c r="G234" s="98" t="s">
        <v>1766</v>
      </c>
      <c r="H234" s="98" t="s">
        <v>1767</v>
      </c>
      <c r="I234" s="98" t="s">
        <v>1704</v>
      </c>
      <c r="J234" s="98" t="s">
        <v>1705</v>
      </c>
      <c r="K234" s="98" t="s">
        <v>1706</v>
      </c>
    </row>
    <row r="235" customFormat="false" ht="64" hidden="false" customHeight="true" outlineLevel="0" collapsed="false">
      <c r="C235" s="98" t="s">
        <v>1972</v>
      </c>
      <c r="D235" s="98" t="s">
        <v>1716</v>
      </c>
      <c r="E235" s="98" t="s">
        <v>835</v>
      </c>
      <c r="F235" s="98" t="n">
        <v>0.15</v>
      </c>
      <c r="G235" s="98" t="s">
        <v>1766</v>
      </c>
      <c r="H235" s="98" t="s">
        <v>1767</v>
      </c>
      <c r="I235" s="98" t="s">
        <v>1704</v>
      </c>
      <c r="J235" s="98" t="s">
        <v>1705</v>
      </c>
      <c r="K235" s="98" t="s">
        <v>1706</v>
      </c>
    </row>
    <row r="236" customFormat="false" ht="64" hidden="false" customHeight="true" outlineLevel="0" collapsed="false">
      <c r="C236" s="98" t="s">
        <v>1973</v>
      </c>
      <c r="D236" s="98" t="s">
        <v>1718</v>
      </c>
      <c r="E236" s="98" t="s">
        <v>835</v>
      </c>
      <c r="F236" s="98" t="n">
        <v>0.15</v>
      </c>
      <c r="G236" s="98" t="s">
        <v>1766</v>
      </c>
      <c r="H236" s="98" t="s">
        <v>1767</v>
      </c>
      <c r="I236" s="98" t="s">
        <v>1704</v>
      </c>
      <c r="J236" s="98" t="s">
        <v>1705</v>
      </c>
      <c r="K236" s="98" t="s">
        <v>1706</v>
      </c>
    </row>
    <row r="237" customFormat="false" ht="64" hidden="false" customHeight="true" outlineLevel="0" collapsed="false">
      <c r="C237" s="98" t="s">
        <v>1974</v>
      </c>
      <c r="D237" s="98" t="s">
        <v>1720</v>
      </c>
      <c r="E237" s="98" t="s">
        <v>835</v>
      </c>
      <c r="F237" s="98" t="n">
        <v>0.15</v>
      </c>
      <c r="G237" s="98" t="s">
        <v>1766</v>
      </c>
      <c r="H237" s="98" t="s">
        <v>1767</v>
      </c>
      <c r="I237" s="98" t="s">
        <v>1704</v>
      </c>
      <c r="J237" s="98" t="s">
        <v>1705</v>
      </c>
      <c r="K237" s="98" t="s">
        <v>1706</v>
      </c>
    </row>
    <row r="238" customFormat="false" ht="64" hidden="false" customHeight="true" outlineLevel="0" collapsed="false">
      <c r="C238" s="98" t="s">
        <v>1975</v>
      </c>
      <c r="D238" s="98" t="s">
        <v>1722</v>
      </c>
      <c r="E238" s="98" t="s">
        <v>835</v>
      </c>
      <c r="F238" s="98" t="n">
        <v>0.15</v>
      </c>
      <c r="G238" s="98" t="s">
        <v>1766</v>
      </c>
      <c r="H238" s="98" t="s">
        <v>1767</v>
      </c>
      <c r="I238" s="98" t="s">
        <v>1704</v>
      </c>
      <c r="J238" s="98" t="s">
        <v>1705</v>
      </c>
      <c r="K238" s="98" t="s">
        <v>1706</v>
      </c>
    </row>
    <row r="239" customFormat="false" ht="64" hidden="false" customHeight="true" outlineLevel="0" collapsed="false">
      <c r="C239" s="98" t="s">
        <v>1976</v>
      </c>
      <c r="D239" s="98" t="s">
        <v>1724</v>
      </c>
      <c r="E239" s="98" t="s">
        <v>835</v>
      </c>
      <c r="F239" s="98" t="n">
        <v>0.15</v>
      </c>
      <c r="G239" s="98" t="s">
        <v>1766</v>
      </c>
      <c r="H239" s="98" t="s">
        <v>1767</v>
      </c>
      <c r="I239" s="98" t="s">
        <v>1704</v>
      </c>
      <c r="J239" s="98" t="s">
        <v>1705</v>
      </c>
      <c r="K239" s="98" t="s">
        <v>1706</v>
      </c>
    </row>
    <row r="240" customFormat="false" ht="64" hidden="false" customHeight="true" outlineLevel="0" collapsed="false">
      <c r="C240" s="98" t="s">
        <v>1977</v>
      </c>
      <c r="D240" s="98" t="s">
        <v>1726</v>
      </c>
      <c r="E240" s="98" t="s">
        <v>835</v>
      </c>
      <c r="F240" s="98" t="n">
        <v>0.15</v>
      </c>
      <c r="G240" s="98" t="s">
        <v>1766</v>
      </c>
      <c r="H240" s="98" t="s">
        <v>1767</v>
      </c>
      <c r="I240" s="98" t="s">
        <v>1704</v>
      </c>
      <c r="J240" s="98" t="s">
        <v>1705</v>
      </c>
      <c r="K240" s="98" t="s">
        <v>1706</v>
      </c>
    </row>
    <row r="241" customFormat="false" ht="64" hidden="false" customHeight="true" outlineLevel="0" collapsed="false">
      <c r="C241" s="98" t="s">
        <v>1978</v>
      </c>
      <c r="D241" s="98" t="s">
        <v>1728</v>
      </c>
      <c r="E241" s="98" t="s">
        <v>835</v>
      </c>
      <c r="F241" s="98" t="n">
        <v>0.15</v>
      </c>
      <c r="G241" s="98" t="s">
        <v>1766</v>
      </c>
      <c r="H241" s="98" t="s">
        <v>1767</v>
      </c>
      <c r="I241" s="98" t="s">
        <v>1704</v>
      </c>
      <c r="J241" s="98" t="s">
        <v>1705</v>
      </c>
      <c r="K241" s="98" t="s">
        <v>1706</v>
      </c>
    </row>
    <row r="242" customFormat="false" ht="64" hidden="false" customHeight="true" outlineLevel="0" collapsed="false">
      <c r="C242" s="98" t="s">
        <v>1979</v>
      </c>
      <c r="D242" s="98" t="s">
        <v>1730</v>
      </c>
      <c r="E242" s="98" t="s">
        <v>835</v>
      </c>
      <c r="F242" s="98" t="n">
        <v>0.15</v>
      </c>
      <c r="G242" s="98" t="s">
        <v>1766</v>
      </c>
      <c r="H242" s="98" t="s">
        <v>1767</v>
      </c>
      <c r="I242" s="98" t="s">
        <v>1704</v>
      </c>
      <c r="J242" s="98" t="s">
        <v>1705</v>
      </c>
      <c r="K242" s="98" t="s">
        <v>1706</v>
      </c>
    </row>
    <row r="243" customFormat="false" ht="64" hidden="false" customHeight="true" outlineLevel="0" collapsed="false">
      <c r="C243" s="98" t="s">
        <v>1980</v>
      </c>
      <c r="D243" s="98" t="s">
        <v>1732</v>
      </c>
      <c r="E243" s="98" t="s">
        <v>835</v>
      </c>
      <c r="F243" s="98" t="n">
        <v>0.15</v>
      </c>
      <c r="G243" s="98" t="s">
        <v>1766</v>
      </c>
      <c r="H243" s="98" t="s">
        <v>1767</v>
      </c>
      <c r="I243" s="98" t="s">
        <v>1704</v>
      </c>
      <c r="J243" s="98" t="s">
        <v>1705</v>
      </c>
      <c r="K243" s="98" t="s">
        <v>1706</v>
      </c>
    </row>
    <row r="244" customFormat="false" ht="64" hidden="false" customHeight="true" outlineLevel="0" collapsed="false">
      <c r="C244" s="98" t="s">
        <v>1981</v>
      </c>
      <c r="D244" s="98" t="s">
        <v>1734</v>
      </c>
      <c r="E244" s="98" t="s">
        <v>835</v>
      </c>
      <c r="F244" s="98" t="n">
        <v>0.15</v>
      </c>
      <c r="G244" s="98" t="s">
        <v>1766</v>
      </c>
      <c r="H244" s="98" t="s">
        <v>1767</v>
      </c>
      <c r="I244" s="98" t="s">
        <v>1704</v>
      </c>
      <c r="J244" s="98" t="s">
        <v>1705</v>
      </c>
      <c r="K244" s="98" t="s">
        <v>1706</v>
      </c>
    </row>
    <row r="245" customFormat="false" ht="64" hidden="false" customHeight="true" outlineLevel="0" collapsed="false">
      <c r="C245" s="98" t="s">
        <v>1982</v>
      </c>
      <c r="D245" s="98" t="s">
        <v>1736</v>
      </c>
      <c r="E245" s="98" t="s">
        <v>835</v>
      </c>
      <c r="F245" s="98" t="n">
        <v>0.15</v>
      </c>
      <c r="G245" s="98" t="s">
        <v>1766</v>
      </c>
      <c r="H245" s="98" t="s">
        <v>1767</v>
      </c>
      <c r="I245" s="98" t="s">
        <v>1704</v>
      </c>
      <c r="J245" s="98" t="s">
        <v>1705</v>
      </c>
      <c r="K245" s="98" t="s">
        <v>1706</v>
      </c>
    </row>
    <row r="246" customFormat="false" ht="64" hidden="false" customHeight="true" outlineLevel="0" collapsed="false">
      <c r="C246" s="98" t="s">
        <v>1983</v>
      </c>
      <c r="D246" s="98" t="s">
        <v>1738</v>
      </c>
      <c r="E246" s="98" t="s">
        <v>835</v>
      </c>
      <c r="F246" s="98" t="n">
        <v>0.15</v>
      </c>
      <c r="G246" s="98" t="s">
        <v>1766</v>
      </c>
      <c r="H246" s="98" t="s">
        <v>1767</v>
      </c>
      <c r="I246" s="98" t="s">
        <v>1704</v>
      </c>
      <c r="J246" s="98" t="s">
        <v>1705</v>
      </c>
      <c r="K246" s="98" t="s">
        <v>1706</v>
      </c>
    </row>
    <row r="247" customFormat="false" ht="64" hidden="false" customHeight="true" outlineLevel="0" collapsed="false">
      <c r="C247" s="98" t="s">
        <v>1984</v>
      </c>
      <c r="D247" s="98" t="s">
        <v>1740</v>
      </c>
      <c r="E247" s="98" t="s">
        <v>835</v>
      </c>
      <c r="F247" s="98" t="n">
        <v>0.15</v>
      </c>
      <c r="G247" s="98" t="s">
        <v>1766</v>
      </c>
      <c r="H247" s="98" t="s">
        <v>1767</v>
      </c>
      <c r="I247" s="98" t="s">
        <v>1704</v>
      </c>
      <c r="J247" s="98" t="s">
        <v>1705</v>
      </c>
      <c r="K247" s="98" t="s">
        <v>1706</v>
      </c>
    </row>
    <row r="248" customFormat="false" ht="64" hidden="false" customHeight="true" outlineLevel="0" collapsed="false">
      <c r="C248" s="98" t="s">
        <v>1985</v>
      </c>
      <c r="D248" s="98" t="s">
        <v>1742</v>
      </c>
      <c r="E248" s="98" t="s">
        <v>835</v>
      </c>
      <c r="F248" s="98" t="n">
        <v>0.15</v>
      </c>
      <c r="G248" s="98" t="s">
        <v>1766</v>
      </c>
      <c r="H248" s="98" t="s">
        <v>1767</v>
      </c>
      <c r="I248" s="98" t="s">
        <v>1704</v>
      </c>
      <c r="J248" s="98" t="s">
        <v>1705</v>
      </c>
      <c r="K248" s="98" t="s">
        <v>1706</v>
      </c>
    </row>
    <row r="249" customFormat="false" ht="64" hidden="false" customHeight="true" outlineLevel="0" collapsed="false">
      <c r="C249" s="98" t="s">
        <v>1986</v>
      </c>
      <c r="D249" s="98" t="s">
        <v>1744</v>
      </c>
      <c r="E249" s="98" t="s">
        <v>835</v>
      </c>
      <c r="F249" s="98" t="n">
        <v>0.15</v>
      </c>
      <c r="G249" s="98" t="s">
        <v>1766</v>
      </c>
      <c r="H249" s="98" t="s">
        <v>1767</v>
      </c>
      <c r="I249" s="98" t="s">
        <v>1704</v>
      </c>
      <c r="J249" s="98" t="s">
        <v>1705</v>
      </c>
      <c r="K249" s="98" t="s">
        <v>1706</v>
      </c>
    </row>
    <row r="250" customFormat="false" ht="64" hidden="false" customHeight="true" outlineLevel="0" collapsed="false">
      <c r="C250" s="98" t="s">
        <v>1987</v>
      </c>
      <c r="D250" s="98" t="s">
        <v>1746</v>
      </c>
      <c r="E250" s="98" t="s">
        <v>835</v>
      </c>
      <c r="F250" s="98" t="n">
        <v>0.15</v>
      </c>
      <c r="G250" s="98" t="s">
        <v>1766</v>
      </c>
      <c r="H250" s="98" t="s">
        <v>1767</v>
      </c>
      <c r="I250" s="98" t="s">
        <v>1704</v>
      </c>
      <c r="J250" s="98" t="s">
        <v>1705</v>
      </c>
      <c r="K250" s="98" t="s">
        <v>1706</v>
      </c>
    </row>
    <row r="251" customFormat="false" ht="64" hidden="false" customHeight="true" outlineLevel="0" collapsed="false">
      <c r="C251" s="98" t="s">
        <v>1988</v>
      </c>
      <c r="D251" s="98" t="s">
        <v>1748</v>
      </c>
      <c r="E251" s="98" t="s">
        <v>835</v>
      </c>
      <c r="F251" s="98" t="n">
        <v>0.15</v>
      </c>
      <c r="G251" s="98" t="s">
        <v>1766</v>
      </c>
      <c r="H251" s="98" t="s">
        <v>1767</v>
      </c>
      <c r="I251" s="98" t="s">
        <v>1704</v>
      </c>
      <c r="J251" s="98" t="s">
        <v>1705</v>
      </c>
      <c r="K251" s="98" t="s">
        <v>1706</v>
      </c>
    </row>
    <row r="252" customFormat="false" ht="64" hidden="false" customHeight="true" outlineLevel="0" collapsed="false">
      <c r="C252" s="98" t="s">
        <v>1989</v>
      </c>
      <c r="D252" s="98" t="s">
        <v>1750</v>
      </c>
      <c r="E252" s="98" t="s">
        <v>835</v>
      </c>
      <c r="F252" s="98" t="n">
        <v>0.15</v>
      </c>
      <c r="G252" s="98" t="s">
        <v>1766</v>
      </c>
      <c r="H252" s="98" t="s">
        <v>1767</v>
      </c>
      <c r="I252" s="98" t="s">
        <v>1704</v>
      </c>
      <c r="J252" s="98" t="s">
        <v>1705</v>
      </c>
      <c r="K252" s="98" t="s">
        <v>1706</v>
      </c>
    </row>
    <row r="253" customFormat="false" ht="64" hidden="false" customHeight="true" outlineLevel="0" collapsed="false">
      <c r="C253" s="98" t="s">
        <v>1990</v>
      </c>
      <c r="D253" s="98" t="s">
        <v>1752</v>
      </c>
      <c r="E253" s="98" t="s">
        <v>835</v>
      </c>
      <c r="F253" s="98" t="n">
        <v>0.15</v>
      </c>
      <c r="G253" s="98" t="s">
        <v>1766</v>
      </c>
      <c r="H253" s="98" t="s">
        <v>1767</v>
      </c>
      <c r="I253" s="98" t="s">
        <v>1704</v>
      </c>
      <c r="J253" s="98" t="s">
        <v>1705</v>
      </c>
      <c r="K253" s="98" t="s">
        <v>1706</v>
      </c>
    </row>
    <row r="254" customFormat="false" ht="64" hidden="false" customHeight="true" outlineLevel="0" collapsed="false">
      <c r="C254" s="98" t="s">
        <v>1991</v>
      </c>
      <c r="D254" s="98" t="s">
        <v>1754</v>
      </c>
      <c r="E254" s="98" t="s">
        <v>835</v>
      </c>
      <c r="F254" s="98" t="n">
        <v>0.15</v>
      </c>
      <c r="G254" s="98" t="s">
        <v>1766</v>
      </c>
      <c r="H254" s="98" t="s">
        <v>1767</v>
      </c>
      <c r="I254" s="98" t="s">
        <v>1704</v>
      </c>
      <c r="J254" s="98" t="s">
        <v>1705</v>
      </c>
      <c r="K254" s="98" t="s">
        <v>1706</v>
      </c>
    </row>
    <row r="255" customFormat="false" ht="64" hidden="false" customHeight="true" outlineLevel="0" collapsed="false">
      <c r="C255" s="98" t="s">
        <v>1992</v>
      </c>
      <c r="D255" s="98" t="s">
        <v>1756</v>
      </c>
      <c r="E255" s="98" t="s">
        <v>835</v>
      </c>
      <c r="F255" s="98" t="n">
        <v>0.15</v>
      </c>
      <c r="G255" s="98" t="s">
        <v>1766</v>
      </c>
      <c r="H255" s="98" t="s">
        <v>1767</v>
      </c>
      <c r="I255" s="98" t="s">
        <v>1704</v>
      </c>
      <c r="J255" s="98" t="s">
        <v>1705</v>
      </c>
      <c r="K255" s="98" t="s">
        <v>1706</v>
      </c>
    </row>
    <row r="256" customFormat="false" ht="64" hidden="false" customHeight="true" outlineLevel="0" collapsed="false">
      <c r="C256" s="98" t="s">
        <v>1993</v>
      </c>
      <c r="D256" s="98" t="s">
        <v>1758</v>
      </c>
      <c r="E256" s="98" t="s">
        <v>835</v>
      </c>
      <c r="F256" s="98" t="n">
        <v>0.15</v>
      </c>
      <c r="G256" s="98" t="s">
        <v>1766</v>
      </c>
      <c r="H256" s="98" t="s">
        <v>1767</v>
      </c>
      <c r="I256" s="98" t="s">
        <v>1704</v>
      </c>
      <c r="J256" s="98" t="s">
        <v>1705</v>
      </c>
      <c r="K256" s="98" t="s">
        <v>1706</v>
      </c>
    </row>
    <row r="257" customFormat="false" ht="64" hidden="false" customHeight="true" outlineLevel="0" collapsed="false">
      <c r="C257" s="98" t="s">
        <v>1994</v>
      </c>
      <c r="D257" s="98" t="s">
        <v>1760</v>
      </c>
      <c r="E257" s="98" t="s">
        <v>835</v>
      </c>
      <c r="F257" s="98" t="n">
        <v>0.15</v>
      </c>
      <c r="G257" s="98" t="s">
        <v>1766</v>
      </c>
      <c r="H257" s="98" t="s">
        <v>1767</v>
      </c>
      <c r="I257" s="98" t="s">
        <v>1704</v>
      </c>
      <c r="J257" s="98" t="s">
        <v>1705</v>
      </c>
      <c r="K257" s="98" t="s">
        <v>1706</v>
      </c>
    </row>
    <row r="258" customFormat="false" ht="64" hidden="false" customHeight="true" outlineLevel="0" collapsed="false">
      <c r="C258" s="98" t="s">
        <v>1995</v>
      </c>
      <c r="D258" s="98" t="s">
        <v>1762</v>
      </c>
      <c r="E258" s="98" t="s">
        <v>835</v>
      </c>
      <c r="F258" s="98" t="n">
        <v>0.15</v>
      </c>
      <c r="G258" s="98" t="s">
        <v>1766</v>
      </c>
      <c r="H258" s="98" t="s">
        <v>1767</v>
      </c>
      <c r="I258" s="98" t="s">
        <v>1704</v>
      </c>
      <c r="J258" s="98" t="s">
        <v>1705</v>
      </c>
      <c r="K258" s="98" t="s">
        <v>1706</v>
      </c>
    </row>
    <row r="259" customFormat="false" ht="64" hidden="false" customHeight="true" outlineLevel="0" collapsed="false">
      <c r="C259" s="98" t="s">
        <v>1996</v>
      </c>
      <c r="D259" s="98" t="s">
        <v>1764</v>
      </c>
      <c r="E259" s="98" t="s">
        <v>835</v>
      </c>
      <c r="F259" s="98" t="n">
        <v>0.15</v>
      </c>
      <c r="G259" s="98" t="s">
        <v>1766</v>
      </c>
      <c r="H259" s="98" t="s">
        <v>1767</v>
      </c>
      <c r="I259" s="98" t="s">
        <v>1704</v>
      </c>
      <c r="J259" s="98" t="s">
        <v>1705</v>
      </c>
      <c r="K259" s="98" t="s">
        <v>1706</v>
      </c>
    </row>
    <row r="260" customFormat="false" ht="64" hidden="false" customHeight="true" outlineLevel="0" collapsed="false">
      <c r="C260" s="98" t="s">
        <v>1997</v>
      </c>
      <c r="D260" s="98" t="s">
        <v>1700</v>
      </c>
      <c r="E260" s="98" t="s">
        <v>835</v>
      </c>
      <c r="F260" s="98" t="n">
        <v>-0.02</v>
      </c>
      <c r="G260" s="98" t="s">
        <v>1798</v>
      </c>
      <c r="H260" s="98" t="s">
        <v>1767</v>
      </c>
      <c r="I260" s="98" t="s">
        <v>1704</v>
      </c>
      <c r="J260" s="98" t="s">
        <v>1705</v>
      </c>
      <c r="K260" s="98" t="s">
        <v>1706</v>
      </c>
    </row>
    <row r="261" customFormat="false" ht="64" hidden="false" customHeight="true" outlineLevel="0" collapsed="false">
      <c r="C261" s="98" t="s">
        <v>1998</v>
      </c>
      <c r="D261" s="98" t="s">
        <v>1708</v>
      </c>
      <c r="E261" s="98" t="s">
        <v>835</v>
      </c>
      <c r="F261" s="98" t="n">
        <v>-0.02</v>
      </c>
      <c r="G261" s="98" t="s">
        <v>1798</v>
      </c>
      <c r="H261" s="98" t="s">
        <v>1767</v>
      </c>
      <c r="I261" s="98" t="s">
        <v>1704</v>
      </c>
      <c r="J261" s="98" t="s">
        <v>1705</v>
      </c>
      <c r="K261" s="98" t="s">
        <v>1706</v>
      </c>
    </row>
    <row r="262" customFormat="false" ht="64" hidden="false" customHeight="true" outlineLevel="0" collapsed="false">
      <c r="C262" s="98" t="s">
        <v>1999</v>
      </c>
      <c r="D262" s="98" t="s">
        <v>1710</v>
      </c>
      <c r="E262" s="98" t="s">
        <v>835</v>
      </c>
      <c r="F262" s="98" t="n">
        <v>-0.02</v>
      </c>
      <c r="G262" s="98" t="s">
        <v>1798</v>
      </c>
      <c r="H262" s="98" t="s">
        <v>1767</v>
      </c>
      <c r="I262" s="98" t="s">
        <v>1704</v>
      </c>
      <c r="J262" s="98" t="s">
        <v>1705</v>
      </c>
      <c r="K262" s="98" t="s">
        <v>1706</v>
      </c>
    </row>
    <row r="263" customFormat="false" ht="64" hidden="false" customHeight="true" outlineLevel="0" collapsed="false">
      <c r="C263" s="98" t="s">
        <v>2000</v>
      </c>
      <c r="D263" s="98" t="s">
        <v>1712</v>
      </c>
      <c r="E263" s="98" t="s">
        <v>835</v>
      </c>
      <c r="F263" s="98" t="n">
        <v>-0.02</v>
      </c>
      <c r="G263" s="98" t="s">
        <v>1798</v>
      </c>
      <c r="H263" s="98" t="s">
        <v>1767</v>
      </c>
      <c r="I263" s="98" t="s">
        <v>1704</v>
      </c>
      <c r="J263" s="98" t="s">
        <v>1705</v>
      </c>
      <c r="K263" s="98" t="s">
        <v>1706</v>
      </c>
    </row>
    <row r="264" customFormat="false" ht="64" hidden="false" customHeight="true" outlineLevel="0" collapsed="false">
      <c r="C264" s="98" t="s">
        <v>2001</v>
      </c>
      <c r="D264" s="98" t="s">
        <v>1714</v>
      </c>
      <c r="E264" s="98" t="s">
        <v>835</v>
      </c>
      <c r="F264" s="98" t="n">
        <v>-0.02</v>
      </c>
      <c r="G264" s="98" t="s">
        <v>1798</v>
      </c>
      <c r="H264" s="98" t="s">
        <v>1767</v>
      </c>
      <c r="I264" s="98" t="s">
        <v>1704</v>
      </c>
      <c r="J264" s="98" t="s">
        <v>1705</v>
      </c>
      <c r="K264" s="98" t="s">
        <v>1706</v>
      </c>
    </row>
    <row r="265" customFormat="false" ht="64" hidden="false" customHeight="true" outlineLevel="0" collapsed="false">
      <c r="C265" s="98" t="s">
        <v>2002</v>
      </c>
      <c r="D265" s="98" t="s">
        <v>1716</v>
      </c>
      <c r="E265" s="98" t="s">
        <v>835</v>
      </c>
      <c r="F265" s="98" t="n">
        <v>-0.02</v>
      </c>
      <c r="G265" s="98" t="s">
        <v>1798</v>
      </c>
      <c r="H265" s="98" t="s">
        <v>1767</v>
      </c>
      <c r="I265" s="98" t="s">
        <v>1704</v>
      </c>
      <c r="J265" s="98" t="s">
        <v>1705</v>
      </c>
      <c r="K265" s="98" t="s">
        <v>1706</v>
      </c>
    </row>
    <row r="266" customFormat="false" ht="64" hidden="false" customHeight="true" outlineLevel="0" collapsed="false">
      <c r="C266" s="98" t="s">
        <v>2003</v>
      </c>
      <c r="D266" s="98" t="s">
        <v>1718</v>
      </c>
      <c r="E266" s="98" t="s">
        <v>835</v>
      </c>
      <c r="F266" s="98" t="n">
        <v>-0.02</v>
      </c>
      <c r="G266" s="98" t="s">
        <v>1798</v>
      </c>
      <c r="H266" s="98" t="s">
        <v>1767</v>
      </c>
      <c r="I266" s="98" t="s">
        <v>1704</v>
      </c>
      <c r="J266" s="98" t="s">
        <v>1705</v>
      </c>
      <c r="K266" s="98" t="s">
        <v>1706</v>
      </c>
    </row>
    <row r="267" customFormat="false" ht="64" hidden="false" customHeight="true" outlineLevel="0" collapsed="false">
      <c r="C267" s="98" t="s">
        <v>2004</v>
      </c>
      <c r="D267" s="98" t="s">
        <v>1720</v>
      </c>
      <c r="E267" s="98" t="s">
        <v>835</v>
      </c>
      <c r="F267" s="98" t="n">
        <v>-0.02</v>
      </c>
      <c r="G267" s="98" t="s">
        <v>1798</v>
      </c>
      <c r="H267" s="98" t="s">
        <v>1767</v>
      </c>
      <c r="I267" s="98" t="s">
        <v>1704</v>
      </c>
      <c r="J267" s="98" t="s">
        <v>1705</v>
      </c>
      <c r="K267" s="98" t="s">
        <v>1706</v>
      </c>
    </row>
    <row r="268" customFormat="false" ht="64" hidden="false" customHeight="true" outlineLevel="0" collapsed="false">
      <c r="C268" s="98" t="s">
        <v>2005</v>
      </c>
      <c r="D268" s="98" t="s">
        <v>1722</v>
      </c>
      <c r="E268" s="98" t="s">
        <v>835</v>
      </c>
      <c r="F268" s="98" t="n">
        <v>-0.02</v>
      </c>
      <c r="G268" s="98" t="s">
        <v>1798</v>
      </c>
      <c r="H268" s="98" t="s">
        <v>1767</v>
      </c>
      <c r="I268" s="98" t="s">
        <v>1704</v>
      </c>
      <c r="J268" s="98" t="s">
        <v>1705</v>
      </c>
      <c r="K268" s="98" t="s">
        <v>1706</v>
      </c>
    </row>
    <row r="269" customFormat="false" ht="64" hidden="false" customHeight="true" outlineLevel="0" collapsed="false">
      <c r="C269" s="98" t="s">
        <v>2006</v>
      </c>
      <c r="D269" s="98" t="s">
        <v>1724</v>
      </c>
      <c r="E269" s="98" t="s">
        <v>835</v>
      </c>
      <c r="F269" s="98" t="n">
        <v>-0.02</v>
      </c>
      <c r="G269" s="98" t="s">
        <v>1798</v>
      </c>
      <c r="H269" s="98" t="s">
        <v>1767</v>
      </c>
      <c r="I269" s="98" t="s">
        <v>1704</v>
      </c>
      <c r="J269" s="98" t="s">
        <v>1705</v>
      </c>
      <c r="K269" s="98" t="s">
        <v>1706</v>
      </c>
    </row>
    <row r="270" customFormat="false" ht="64" hidden="false" customHeight="true" outlineLevel="0" collapsed="false">
      <c r="C270" s="98" t="s">
        <v>2007</v>
      </c>
      <c r="D270" s="98" t="s">
        <v>1726</v>
      </c>
      <c r="E270" s="98" t="s">
        <v>835</v>
      </c>
      <c r="F270" s="98" t="n">
        <v>-0.02</v>
      </c>
      <c r="G270" s="98" t="s">
        <v>1798</v>
      </c>
      <c r="H270" s="98" t="s">
        <v>1767</v>
      </c>
      <c r="I270" s="98" t="s">
        <v>1704</v>
      </c>
      <c r="J270" s="98" t="s">
        <v>1705</v>
      </c>
      <c r="K270" s="98" t="s">
        <v>1706</v>
      </c>
    </row>
    <row r="271" customFormat="false" ht="64" hidden="false" customHeight="true" outlineLevel="0" collapsed="false">
      <c r="C271" s="98" t="s">
        <v>2008</v>
      </c>
      <c r="D271" s="98" t="s">
        <v>1728</v>
      </c>
      <c r="E271" s="98" t="s">
        <v>835</v>
      </c>
      <c r="F271" s="98" t="n">
        <v>-0.02</v>
      </c>
      <c r="G271" s="98" t="s">
        <v>1798</v>
      </c>
      <c r="H271" s="98" t="s">
        <v>1767</v>
      </c>
      <c r="I271" s="98" t="s">
        <v>1704</v>
      </c>
      <c r="J271" s="98" t="s">
        <v>1705</v>
      </c>
      <c r="K271" s="98" t="s">
        <v>1706</v>
      </c>
    </row>
    <row r="272" customFormat="false" ht="64" hidden="false" customHeight="true" outlineLevel="0" collapsed="false">
      <c r="C272" s="98" t="s">
        <v>2009</v>
      </c>
      <c r="D272" s="98" t="s">
        <v>1730</v>
      </c>
      <c r="E272" s="98" t="s">
        <v>835</v>
      </c>
      <c r="F272" s="98" t="n">
        <v>-0.02</v>
      </c>
      <c r="G272" s="98" t="s">
        <v>1798</v>
      </c>
      <c r="H272" s="98" t="s">
        <v>1767</v>
      </c>
      <c r="I272" s="98" t="s">
        <v>1704</v>
      </c>
      <c r="J272" s="98" t="s">
        <v>1705</v>
      </c>
      <c r="K272" s="98" t="s">
        <v>1706</v>
      </c>
    </row>
    <row r="273" customFormat="false" ht="64" hidden="false" customHeight="true" outlineLevel="0" collapsed="false">
      <c r="C273" s="98" t="s">
        <v>2010</v>
      </c>
      <c r="D273" s="98" t="s">
        <v>1732</v>
      </c>
      <c r="E273" s="98" t="s">
        <v>835</v>
      </c>
      <c r="F273" s="98" t="n">
        <v>-0.02</v>
      </c>
      <c r="G273" s="98" t="s">
        <v>1798</v>
      </c>
      <c r="H273" s="98" t="s">
        <v>1767</v>
      </c>
      <c r="I273" s="98" t="s">
        <v>1704</v>
      </c>
      <c r="J273" s="98" t="s">
        <v>1705</v>
      </c>
      <c r="K273" s="98" t="s">
        <v>1706</v>
      </c>
    </row>
    <row r="274" customFormat="false" ht="64" hidden="false" customHeight="true" outlineLevel="0" collapsed="false">
      <c r="C274" s="98" t="s">
        <v>2011</v>
      </c>
      <c r="D274" s="98" t="s">
        <v>1734</v>
      </c>
      <c r="E274" s="98" t="s">
        <v>835</v>
      </c>
      <c r="F274" s="98" t="n">
        <v>-0.02</v>
      </c>
      <c r="G274" s="98" t="s">
        <v>1798</v>
      </c>
      <c r="H274" s="98" t="s">
        <v>1767</v>
      </c>
      <c r="I274" s="98" t="s">
        <v>1704</v>
      </c>
      <c r="J274" s="98" t="s">
        <v>1705</v>
      </c>
      <c r="K274" s="98" t="s">
        <v>1706</v>
      </c>
    </row>
    <row r="275" customFormat="false" ht="64" hidden="false" customHeight="true" outlineLevel="0" collapsed="false">
      <c r="C275" s="98" t="s">
        <v>2012</v>
      </c>
      <c r="D275" s="98" t="s">
        <v>1736</v>
      </c>
      <c r="E275" s="98" t="s">
        <v>835</v>
      </c>
      <c r="F275" s="98" t="n">
        <v>-0.02</v>
      </c>
      <c r="G275" s="98" t="s">
        <v>1798</v>
      </c>
      <c r="H275" s="98" t="s">
        <v>1767</v>
      </c>
      <c r="I275" s="98" t="s">
        <v>1704</v>
      </c>
      <c r="J275" s="98" t="s">
        <v>1705</v>
      </c>
      <c r="K275" s="98" t="s">
        <v>1706</v>
      </c>
    </row>
    <row r="276" customFormat="false" ht="64" hidden="false" customHeight="true" outlineLevel="0" collapsed="false">
      <c r="C276" s="98" t="s">
        <v>2013</v>
      </c>
      <c r="D276" s="98" t="s">
        <v>1738</v>
      </c>
      <c r="E276" s="98" t="s">
        <v>835</v>
      </c>
      <c r="F276" s="98" t="n">
        <v>-0.02</v>
      </c>
      <c r="G276" s="98" t="s">
        <v>1798</v>
      </c>
      <c r="H276" s="98" t="s">
        <v>1767</v>
      </c>
      <c r="I276" s="98" t="s">
        <v>1704</v>
      </c>
      <c r="J276" s="98" t="s">
        <v>1705</v>
      </c>
      <c r="K276" s="98" t="s">
        <v>1706</v>
      </c>
    </row>
    <row r="277" customFormat="false" ht="64" hidden="false" customHeight="true" outlineLevel="0" collapsed="false">
      <c r="C277" s="98" t="s">
        <v>2014</v>
      </c>
      <c r="D277" s="98" t="s">
        <v>1740</v>
      </c>
      <c r="E277" s="98" t="s">
        <v>835</v>
      </c>
      <c r="F277" s="98" t="n">
        <v>-0.02</v>
      </c>
      <c r="G277" s="98" t="s">
        <v>1798</v>
      </c>
      <c r="H277" s="98" t="s">
        <v>1767</v>
      </c>
      <c r="I277" s="98" t="s">
        <v>1704</v>
      </c>
      <c r="J277" s="98" t="s">
        <v>1705</v>
      </c>
      <c r="K277" s="98" t="s">
        <v>1706</v>
      </c>
    </row>
    <row r="278" customFormat="false" ht="64" hidden="false" customHeight="true" outlineLevel="0" collapsed="false">
      <c r="C278" s="98" t="s">
        <v>2015</v>
      </c>
      <c r="D278" s="98" t="s">
        <v>1742</v>
      </c>
      <c r="E278" s="98" t="s">
        <v>835</v>
      </c>
      <c r="F278" s="98" t="n">
        <v>-0.02</v>
      </c>
      <c r="G278" s="98" t="s">
        <v>1798</v>
      </c>
      <c r="H278" s="98" t="s">
        <v>1767</v>
      </c>
      <c r="I278" s="98" t="s">
        <v>1704</v>
      </c>
      <c r="J278" s="98" t="s">
        <v>1705</v>
      </c>
      <c r="K278" s="98" t="s">
        <v>1706</v>
      </c>
    </row>
    <row r="279" customFormat="false" ht="64" hidden="false" customHeight="true" outlineLevel="0" collapsed="false">
      <c r="C279" s="98" t="s">
        <v>2016</v>
      </c>
      <c r="D279" s="98" t="s">
        <v>1744</v>
      </c>
      <c r="E279" s="98" t="s">
        <v>835</v>
      </c>
      <c r="F279" s="98" t="n">
        <v>-0.02</v>
      </c>
      <c r="G279" s="98" t="s">
        <v>1798</v>
      </c>
      <c r="H279" s="98" t="s">
        <v>1767</v>
      </c>
      <c r="I279" s="98" t="s">
        <v>1704</v>
      </c>
      <c r="J279" s="98" t="s">
        <v>1705</v>
      </c>
      <c r="K279" s="98" t="s">
        <v>1706</v>
      </c>
    </row>
    <row r="280" customFormat="false" ht="64" hidden="false" customHeight="true" outlineLevel="0" collapsed="false">
      <c r="C280" s="98" t="s">
        <v>2017</v>
      </c>
      <c r="D280" s="98" t="s">
        <v>1746</v>
      </c>
      <c r="E280" s="98" t="s">
        <v>835</v>
      </c>
      <c r="F280" s="98" t="n">
        <v>-0.02</v>
      </c>
      <c r="G280" s="98" t="s">
        <v>1798</v>
      </c>
      <c r="H280" s="98" t="s">
        <v>1767</v>
      </c>
      <c r="I280" s="98" t="s">
        <v>1704</v>
      </c>
      <c r="J280" s="98" t="s">
        <v>1705</v>
      </c>
      <c r="K280" s="98" t="s">
        <v>1706</v>
      </c>
    </row>
    <row r="281" customFormat="false" ht="64" hidden="false" customHeight="true" outlineLevel="0" collapsed="false">
      <c r="C281" s="98" t="s">
        <v>2018</v>
      </c>
      <c r="D281" s="98" t="s">
        <v>1748</v>
      </c>
      <c r="E281" s="98" t="s">
        <v>835</v>
      </c>
      <c r="F281" s="98" t="n">
        <v>-0.02</v>
      </c>
      <c r="G281" s="98" t="s">
        <v>1798</v>
      </c>
      <c r="H281" s="98" t="s">
        <v>1767</v>
      </c>
      <c r="I281" s="98" t="s">
        <v>1704</v>
      </c>
      <c r="J281" s="98" t="s">
        <v>1705</v>
      </c>
      <c r="K281" s="98" t="s">
        <v>1706</v>
      </c>
    </row>
    <row r="282" customFormat="false" ht="64" hidden="false" customHeight="true" outlineLevel="0" collapsed="false">
      <c r="C282" s="98" t="s">
        <v>2019</v>
      </c>
      <c r="D282" s="98" t="s">
        <v>1750</v>
      </c>
      <c r="E282" s="98" t="s">
        <v>835</v>
      </c>
      <c r="F282" s="98" t="n">
        <v>-0.02</v>
      </c>
      <c r="G282" s="98" t="s">
        <v>1798</v>
      </c>
      <c r="H282" s="98" t="s">
        <v>1767</v>
      </c>
      <c r="I282" s="98" t="s">
        <v>1704</v>
      </c>
      <c r="J282" s="98" t="s">
        <v>1705</v>
      </c>
      <c r="K282" s="98" t="s">
        <v>1706</v>
      </c>
    </row>
    <row r="283" customFormat="false" ht="64" hidden="false" customHeight="true" outlineLevel="0" collapsed="false">
      <c r="C283" s="98" t="s">
        <v>2020</v>
      </c>
      <c r="D283" s="98" t="s">
        <v>1752</v>
      </c>
      <c r="E283" s="98" t="s">
        <v>835</v>
      </c>
      <c r="F283" s="98" t="n">
        <v>-0.02</v>
      </c>
      <c r="G283" s="98" t="s">
        <v>1798</v>
      </c>
      <c r="H283" s="98" t="s">
        <v>1767</v>
      </c>
      <c r="I283" s="98" t="s">
        <v>1704</v>
      </c>
      <c r="J283" s="98" t="s">
        <v>1705</v>
      </c>
      <c r="K283" s="98" t="s">
        <v>1706</v>
      </c>
    </row>
    <row r="284" customFormat="false" ht="64" hidden="false" customHeight="true" outlineLevel="0" collapsed="false">
      <c r="C284" s="98" t="s">
        <v>2021</v>
      </c>
      <c r="D284" s="98" t="s">
        <v>1754</v>
      </c>
      <c r="E284" s="98" t="s">
        <v>835</v>
      </c>
      <c r="F284" s="98" t="n">
        <v>-0.02</v>
      </c>
      <c r="G284" s="98" t="s">
        <v>1798</v>
      </c>
      <c r="H284" s="98" t="s">
        <v>1767</v>
      </c>
      <c r="I284" s="98" t="s">
        <v>1704</v>
      </c>
      <c r="J284" s="98" t="s">
        <v>1705</v>
      </c>
      <c r="K284" s="98" t="s">
        <v>1706</v>
      </c>
    </row>
    <row r="285" customFormat="false" ht="64" hidden="false" customHeight="true" outlineLevel="0" collapsed="false">
      <c r="C285" s="98" t="s">
        <v>2022</v>
      </c>
      <c r="D285" s="98" t="s">
        <v>1756</v>
      </c>
      <c r="E285" s="98" t="s">
        <v>835</v>
      </c>
      <c r="F285" s="98" t="n">
        <v>-0.02</v>
      </c>
      <c r="G285" s="98" t="s">
        <v>1798</v>
      </c>
      <c r="H285" s="98" t="s">
        <v>1767</v>
      </c>
      <c r="I285" s="98" t="s">
        <v>1704</v>
      </c>
      <c r="J285" s="98" t="s">
        <v>1705</v>
      </c>
      <c r="K285" s="98" t="s">
        <v>1706</v>
      </c>
    </row>
    <row r="286" customFormat="false" ht="64" hidden="false" customHeight="true" outlineLevel="0" collapsed="false">
      <c r="C286" s="98" t="s">
        <v>2023</v>
      </c>
      <c r="D286" s="98" t="s">
        <v>1758</v>
      </c>
      <c r="E286" s="98" t="s">
        <v>835</v>
      </c>
      <c r="F286" s="98" t="n">
        <v>-0.02</v>
      </c>
      <c r="G286" s="98" t="s">
        <v>1798</v>
      </c>
      <c r="H286" s="98" t="s">
        <v>1767</v>
      </c>
      <c r="I286" s="98" t="s">
        <v>1704</v>
      </c>
      <c r="J286" s="98" t="s">
        <v>1705</v>
      </c>
      <c r="K286" s="98" t="s">
        <v>1706</v>
      </c>
    </row>
    <row r="287" customFormat="false" ht="64" hidden="false" customHeight="true" outlineLevel="0" collapsed="false">
      <c r="C287" s="98" t="s">
        <v>2024</v>
      </c>
      <c r="D287" s="98" t="s">
        <v>1760</v>
      </c>
      <c r="E287" s="98" t="s">
        <v>835</v>
      </c>
      <c r="F287" s="98" t="n">
        <v>-0.02</v>
      </c>
      <c r="G287" s="98" t="s">
        <v>1798</v>
      </c>
      <c r="H287" s="98" t="s">
        <v>1767</v>
      </c>
      <c r="I287" s="98" t="s">
        <v>1704</v>
      </c>
      <c r="J287" s="98" t="s">
        <v>1705</v>
      </c>
      <c r="K287" s="98" t="s">
        <v>1706</v>
      </c>
    </row>
    <row r="288" customFormat="false" ht="64" hidden="false" customHeight="true" outlineLevel="0" collapsed="false">
      <c r="C288" s="98" t="s">
        <v>2025</v>
      </c>
      <c r="D288" s="98" t="s">
        <v>1762</v>
      </c>
      <c r="E288" s="98" t="s">
        <v>835</v>
      </c>
      <c r="F288" s="98" t="n">
        <v>-0.02</v>
      </c>
      <c r="G288" s="98" t="s">
        <v>1798</v>
      </c>
      <c r="H288" s="98" t="s">
        <v>1767</v>
      </c>
      <c r="I288" s="98" t="s">
        <v>1704</v>
      </c>
      <c r="J288" s="98" t="s">
        <v>1705</v>
      </c>
      <c r="K288" s="98" t="s">
        <v>1706</v>
      </c>
    </row>
    <row r="289" customFormat="false" ht="64" hidden="false" customHeight="true" outlineLevel="0" collapsed="false">
      <c r="C289" s="98" t="s">
        <v>2026</v>
      </c>
      <c r="D289" s="98" t="s">
        <v>1764</v>
      </c>
      <c r="E289" s="98" t="s">
        <v>835</v>
      </c>
      <c r="F289" s="98" t="n">
        <v>-0.02</v>
      </c>
      <c r="G289" s="98" t="s">
        <v>1798</v>
      </c>
      <c r="H289" s="98" t="s">
        <v>1767</v>
      </c>
      <c r="I289" s="98" t="s">
        <v>1704</v>
      </c>
      <c r="J289" s="98" t="s">
        <v>1705</v>
      </c>
      <c r="K289" s="98" t="s">
        <v>1706</v>
      </c>
    </row>
    <row r="290" customFormat="false" ht="64" hidden="false" customHeight="true" outlineLevel="0" collapsed="false">
      <c r="C290" s="98" t="s">
        <v>2027</v>
      </c>
      <c r="D290" s="98" t="s">
        <v>1829</v>
      </c>
      <c r="E290" s="98" t="s">
        <v>1830</v>
      </c>
      <c r="F290" s="98" t="n">
        <v>45.0304572441977</v>
      </c>
      <c r="G290" s="98" t="s">
        <v>1831</v>
      </c>
      <c r="H290" s="98" t="s">
        <v>1703</v>
      </c>
      <c r="I290" s="98" t="s">
        <v>1704</v>
      </c>
      <c r="J290" s="98" t="s">
        <v>1705</v>
      </c>
      <c r="K290" s="98" t="s">
        <v>1706</v>
      </c>
    </row>
    <row r="291" customFormat="false" ht="64" hidden="false" customHeight="true" outlineLevel="0" collapsed="false">
      <c r="C291" s="98" t="s">
        <v>2028</v>
      </c>
      <c r="D291" s="98" t="s">
        <v>1833</v>
      </c>
      <c r="E291" s="98" t="s">
        <v>1830</v>
      </c>
      <c r="F291" s="98" t="n">
        <v>45.0304572441977</v>
      </c>
      <c r="G291" s="98" t="s">
        <v>1831</v>
      </c>
      <c r="H291" s="98" t="s">
        <v>1703</v>
      </c>
      <c r="I291" s="98" t="s">
        <v>1704</v>
      </c>
      <c r="J291" s="98" t="s">
        <v>1705</v>
      </c>
      <c r="K291" s="98" t="s">
        <v>1706</v>
      </c>
    </row>
    <row r="292" customFormat="false" ht="64" hidden="false" customHeight="true" outlineLevel="0" collapsed="false">
      <c r="C292" s="98" t="s">
        <v>2029</v>
      </c>
      <c r="D292" s="98" t="s">
        <v>1835</v>
      </c>
      <c r="E292" s="98" t="s">
        <v>1830</v>
      </c>
      <c r="F292" s="98" t="n">
        <v>45.0304572441977</v>
      </c>
      <c r="G292" s="98" t="s">
        <v>1831</v>
      </c>
      <c r="H292" s="98" t="s">
        <v>1703</v>
      </c>
      <c r="I292" s="98" t="s">
        <v>1704</v>
      </c>
      <c r="J292" s="98" t="s">
        <v>1705</v>
      </c>
      <c r="K292" s="98" t="s">
        <v>1706</v>
      </c>
    </row>
    <row r="293" customFormat="false" ht="64" hidden="false" customHeight="true" outlineLevel="0" collapsed="false">
      <c r="C293" s="98" t="s">
        <v>2030</v>
      </c>
      <c r="D293" s="98" t="s">
        <v>1044</v>
      </c>
      <c r="E293" s="98" t="s">
        <v>1830</v>
      </c>
      <c r="F293" s="98" t="n">
        <v>45.0304572441977</v>
      </c>
      <c r="G293" s="98" t="s">
        <v>1831</v>
      </c>
      <c r="H293" s="98" t="s">
        <v>1703</v>
      </c>
      <c r="I293" s="98" t="s">
        <v>1704</v>
      </c>
      <c r="J293" s="98" t="s">
        <v>1705</v>
      </c>
      <c r="K293" s="98" t="s">
        <v>1706</v>
      </c>
    </row>
    <row r="294" customFormat="false" ht="64" hidden="false" customHeight="true" outlineLevel="0" collapsed="false">
      <c r="C294" s="98" t="s">
        <v>2031</v>
      </c>
      <c r="D294" s="98" t="s">
        <v>1838</v>
      </c>
      <c r="E294" s="98" t="s">
        <v>1830</v>
      </c>
      <c r="F294" s="98" t="n">
        <v>45.0304572441977</v>
      </c>
      <c r="G294" s="98" t="s">
        <v>1831</v>
      </c>
      <c r="H294" s="98" t="s">
        <v>1703</v>
      </c>
      <c r="I294" s="98" t="s">
        <v>1704</v>
      </c>
      <c r="J294" s="98" t="s">
        <v>1705</v>
      </c>
      <c r="K294" s="98" t="s">
        <v>1706</v>
      </c>
    </row>
    <row r="295" customFormat="false" ht="64" hidden="false" customHeight="true" outlineLevel="0" collapsed="false">
      <c r="C295" s="98" t="s">
        <v>2032</v>
      </c>
      <c r="D295" s="98" t="s">
        <v>1840</v>
      </c>
      <c r="E295" s="98" t="s">
        <v>1830</v>
      </c>
      <c r="F295" s="98" t="n">
        <v>45.0304572441977</v>
      </c>
      <c r="G295" s="98" t="s">
        <v>1831</v>
      </c>
      <c r="H295" s="98" t="s">
        <v>1703</v>
      </c>
      <c r="I295" s="98" t="s">
        <v>1704</v>
      </c>
      <c r="J295" s="98" t="s">
        <v>1705</v>
      </c>
      <c r="K295" s="98" t="s">
        <v>1706</v>
      </c>
    </row>
    <row r="296" customFormat="false" ht="64" hidden="false" customHeight="true" outlineLevel="0" collapsed="false">
      <c r="C296" s="98" t="s">
        <v>2033</v>
      </c>
      <c r="D296" s="98" t="s">
        <v>1700</v>
      </c>
      <c r="E296" s="98" t="s">
        <v>1830</v>
      </c>
      <c r="F296" s="98" t="n">
        <v>45.0304572441977</v>
      </c>
      <c r="G296" s="98" t="s">
        <v>1831</v>
      </c>
      <c r="H296" s="98" t="s">
        <v>1703</v>
      </c>
      <c r="I296" s="98" t="s">
        <v>1704</v>
      </c>
      <c r="J296" s="98" t="s">
        <v>1705</v>
      </c>
      <c r="K296" s="98" t="s">
        <v>1706</v>
      </c>
    </row>
    <row r="297" customFormat="false" ht="64" hidden="false" customHeight="true" outlineLevel="0" collapsed="false">
      <c r="C297" s="98" t="s">
        <v>2034</v>
      </c>
      <c r="D297" s="98" t="s">
        <v>1708</v>
      </c>
      <c r="E297" s="98" t="s">
        <v>1830</v>
      </c>
      <c r="F297" s="98" t="n">
        <v>45.0304572441977</v>
      </c>
      <c r="G297" s="98" t="s">
        <v>1831</v>
      </c>
      <c r="H297" s="98" t="s">
        <v>1703</v>
      </c>
      <c r="I297" s="98" t="s">
        <v>1704</v>
      </c>
      <c r="J297" s="98" t="s">
        <v>1705</v>
      </c>
      <c r="K297" s="98" t="s">
        <v>1706</v>
      </c>
    </row>
    <row r="298" customFormat="false" ht="64" hidden="false" customHeight="true" outlineLevel="0" collapsed="false">
      <c r="C298" s="98" t="s">
        <v>2035</v>
      </c>
      <c r="D298" s="98" t="s">
        <v>1710</v>
      </c>
      <c r="E298" s="98" t="s">
        <v>1830</v>
      </c>
      <c r="F298" s="98" t="n">
        <v>45.0304572441977</v>
      </c>
      <c r="G298" s="98" t="s">
        <v>1831</v>
      </c>
      <c r="H298" s="98" t="s">
        <v>1703</v>
      </c>
      <c r="I298" s="98" t="s">
        <v>1704</v>
      </c>
      <c r="J298" s="98" t="s">
        <v>1705</v>
      </c>
      <c r="K298" s="98" t="s">
        <v>1706</v>
      </c>
    </row>
    <row r="299" customFormat="false" ht="64" hidden="false" customHeight="true" outlineLevel="0" collapsed="false">
      <c r="C299" s="98" t="s">
        <v>2036</v>
      </c>
      <c r="D299" s="98" t="s">
        <v>1712</v>
      </c>
      <c r="E299" s="98" t="s">
        <v>1830</v>
      </c>
      <c r="F299" s="98" t="n">
        <v>45.0304572441977</v>
      </c>
      <c r="G299" s="98" t="s">
        <v>1831</v>
      </c>
      <c r="H299" s="98" t="s">
        <v>1703</v>
      </c>
      <c r="I299" s="98" t="s">
        <v>1704</v>
      </c>
      <c r="J299" s="98" t="s">
        <v>1705</v>
      </c>
      <c r="K299" s="98" t="s">
        <v>1706</v>
      </c>
    </row>
    <row r="300" customFormat="false" ht="64" hidden="false" customHeight="true" outlineLevel="0" collapsed="false">
      <c r="C300" s="98" t="s">
        <v>2037</v>
      </c>
      <c r="D300" s="98" t="s">
        <v>1714</v>
      </c>
      <c r="E300" s="98" t="s">
        <v>1830</v>
      </c>
      <c r="F300" s="98" t="n">
        <v>45.0304572441977</v>
      </c>
      <c r="G300" s="98" t="s">
        <v>1831</v>
      </c>
      <c r="H300" s="98" t="s">
        <v>1703</v>
      </c>
      <c r="I300" s="98" t="s">
        <v>1704</v>
      </c>
      <c r="J300" s="98" t="s">
        <v>1705</v>
      </c>
      <c r="K300" s="98" t="s">
        <v>1706</v>
      </c>
    </row>
    <row r="301" customFormat="false" ht="64" hidden="false" customHeight="true" outlineLevel="0" collapsed="false">
      <c r="C301" s="98" t="s">
        <v>2038</v>
      </c>
      <c r="D301" s="98" t="s">
        <v>1716</v>
      </c>
      <c r="E301" s="98" t="s">
        <v>1830</v>
      </c>
      <c r="F301" s="98" t="n">
        <v>45.0304572441977</v>
      </c>
      <c r="G301" s="98" t="s">
        <v>1831</v>
      </c>
      <c r="H301" s="98" t="s">
        <v>1703</v>
      </c>
      <c r="I301" s="98" t="s">
        <v>1704</v>
      </c>
      <c r="J301" s="98" t="s">
        <v>1705</v>
      </c>
      <c r="K301" s="98" t="s">
        <v>1706</v>
      </c>
    </row>
    <row r="302" customFormat="false" ht="64" hidden="false" customHeight="true" outlineLevel="0" collapsed="false">
      <c r="C302" s="98" t="s">
        <v>2039</v>
      </c>
      <c r="D302" s="98" t="s">
        <v>1718</v>
      </c>
      <c r="E302" s="98" t="s">
        <v>1830</v>
      </c>
      <c r="F302" s="98" t="n">
        <v>45.0304572441977</v>
      </c>
      <c r="G302" s="98" t="s">
        <v>1831</v>
      </c>
      <c r="H302" s="98" t="s">
        <v>1703</v>
      </c>
      <c r="I302" s="98" t="s">
        <v>1704</v>
      </c>
      <c r="J302" s="98" t="s">
        <v>1705</v>
      </c>
      <c r="K302" s="98" t="s">
        <v>1706</v>
      </c>
    </row>
    <row r="303" customFormat="false" ht="64" hidden="false" customHeight="true" outlineLevel="0" collapsed="false">
      <c r="C303" s="98" t="s">
        <v>2040</v>
      </c>
      <c r="D303" s="98" t="s">
        <v>1720</v>
      </c>
      <c r="E303" s="98" t="s">
        <v>1830</v>
      </c>
      <c r="F303" s="98" t="n">
        <v>45.0304572441977</v>
      </c>
      <c r="G303" s="98" t="s">
        <v>1831</v>
      </c>
      <c r="H303" s="98" t="s">
        <v>1703</v>
      </c>
      <c r="I303" s="98" t="s">
        <v>1704</v>
      </c>
      <c r="J303" s="98" t="s">
        <v>1705</v>
      </c>
      <c r="K303" s="98" t="s">
        <v>1706</v>
      </c>
    </row>
    <row r="304" customFormat="false" ht="64" hidden="false" customHeight="true" outlineLevel="0" collapsed="false">
      <c r="C304" s="98" t="s">
        <v>2041</v>
      </c>
      <c r="D304" s="98" t="s">
        <v>1722</v>
      </c>
      <c r="E304" s="98" t="s">
        <v>1830</v>
      </c>
      <c r="F304" s="98" t="n">
        <v>45.0304572441977</v>
      </c>
      <c r="G304" s="98" t="s">
        <v>1831</v>
      </c>
      <c r="H304" s="98" t="s">
        <v>1703</v>
      </c>
      <c r="I304" s="98" t="s">
        <v>1704</v>
      </c>
      <c r="J304" s="98" t="s">
        <v>1705</v>
      </c>
      <c r="K304" s="98" t="s">
        <v>1706</v>
      </c>
    </row>
    <row r="305" customFormat="false" ht="64" hidden="false" customHeight="true" outlineLevel="0" collapsed="false">
      <c r="C305" s="98" t="s">
        <v>2042</v>
      </c>
      <c r="D305" s="98" t="s">
        <v>1724</v>
      </c>
      <c r="E305" s="98" t="s">
        <v>1830</v>
      </c>
      <c r="F305" s="98" t="n">
        <v>45.0304572441977</v>
      </c>
      <c r="G305" s="98" t="s">
        <v>1831</v>
      </c>
      <c r="H305" s="98" t="s">
        <v>1703</v>
      </c>
      <c r="I305" s="98" t="s">
        <v>1704</v>
      </c>
      <c r="J305" s="98" t="s">
        <v>1705</v>
      </c>
      <c r="K305" s="98" t="s">
        <v>1706</v>
      </c>
    </row>
    <row r="306" customFormat="false" ht="64" hidden="false" customHeight="true" outlineLevel="0" collapsed="false">
      <c r="C306" s="98" t="s">
        <v>2043</v>
      </c>
      <c r="D306" s="98" t="s">
        <v>1726</v>
      </c>
      <c r="E306" s="98" t="s">
        <v>1830</v>
      </c>
      <c r="F306" s="98" t="n">
        <v>45.0304572441977</v>
      </c>
      <c r="G306" s="98" t="s">
        <v>1831</v>
      </c>
      <c r="H306" s="98" t="s">
        <v>1703</v>
      </c>
      <c r="I306" s="98" t="s">
        <v>1704</v>
      </c>
      <c r="J306" s="98" t="s">
        <v>1705</v>
      </c>
      <c r="K306" s="98" t="s">
        <v>1706</v>
      </c>
    </row>
    <row r="307" customFormat="false" ht="64" hidden="false" customHeight="true" outlineLevel="0" collapsed="false">
      <c r="C307" s="98" t="s">
        <v>2044</v>
      </c>
      <c r="D307" s="98" t="s">
        <v>1728</v>
      </c>
      <c r="E307" s="98" t="s">
        <v>1830</v>
      </c>
      <c r="F307" s="98" t="n">
        <v>45.0304572441977</v>
      </c>
      <c r="G307" s="98" t="s">
        <v>1831</v>
      </c>
      <c r="H307" s="98" t="s">
        <v>1703</v>
      </c>
      <c r="I307" s="98" t="s">
        <v>1704</v>
      </c>
      <c r="J307" s="98" t="s">
        <v>1705</v>
      </c>
      <c r="K307" s="98" t="s">
        <v>1706</v>
      </c>
    </row>
    <row r="308" customFormat="false" ht="64" hidden="false" customHeight="true" outlineLevel="0" collapsed="false">
      <c r="C308" s="98" t="s">
        <v>2045</v>
      </c>
      <c r="D308" s="98" t="s">
        <v>1730</v>
      </c>
      <c r="E308" s="98" t="s">
        <v>1830</v>
      </c>
      <c r="F308" s="98" t="n">
        <v>45.0304572441977</v>
      </c>
      <c r="G308" s="98" t="s">
        <v>1831</v>
      </c>
      <c r="H308" s="98" t="s">
        <v>1703</v>
      </c>
      <c r="I308" s="98" t="s">
        <v>1704</v>
      </c>
      <c r="J308" s="98" t="s">
        <v>1705</v>
      </c>
      <c r="K308" s="98" t="s">
        <v>1706</v>
      </c>
    </row>
    <row r="309" customFormat="false" ht="64" hidden="false" customHeight="true" outlineLevel="0" collapsed="false">
      <c r="C309" s="98" t="s">
        <v>2046</v>
      </c>
      <c r="D309" s="98" t="s">
        <v>1732</v>
      </c>
      <c r="E309" s="98" t="s">
        <v>1830</v>
      </c>
      <c r="F309" s="98" t="n">
        <v>45.0304572441977</v>
      </c>
      <c r="G309" s="98" t="s">
        <v>1831</v>
      </c>
      <c r="H309" s="98" t="s">
        <v>1703</v>
      </c>
      <c r="I309" s="98" t="s">
        <v>1704</v>
      </c>
      <c r="J309" s="98" t="s">
        <v>1705</v>
      </c>
      <c r="K309" s="98" t="s">
        <v>1706</v>
      </c>
    </row>
    <row r="310" customFormat="false" ht="64" hidden="false" customHeight="true" outlineLevel="0" collapsed="false">
      <c r="C310" s="98" t="s">
        <v>2047</v>
      </c>
      <c r="D310" s="98" t="s">
        <v>1734</v>
      </c>
      <c r="E310" s="98" t="s">
        <v>1830</v>
      </c>
      <c r="F310" s="98" t="n">
        <v>45.0304572441977</v>
      </c>
      <c r="G310" s="98" t="s">
        <v>1831</v>
      </c>
      <c r="H310" s="98" t="s">
        <v>1703</v>
      </c>
      <c r="I310" s="98" t="s">
        <v>1704</v>
      </c>
      <c r="J310" s="98" t="s">
        <v>1705</v>
      </c>
      <c r="K310" s="98" t="s">
        <v>1706</v>
      </c>
    </row>
    <row r="311" customFormat="false" ht="64" hidden="false" customHeight="true" outlineLevel="0" collapsed="false">
      <c r="C311" s="98" t="s">
        <v>2048</v>
      </c>
      <c r="D311" s="98" t="s">
        <v>1736</v>
      </c>
      <c r="E311" s="98" t="s">
        <v>1830</v>
      </c>
      <c r="F311" s="98" t="n">
        <v>45.0304572441977</v>
      </c>
      <c r="G311" s="98" t="s">
        <v>1831</v>
      </c>
      <c r="H311" s="98" t="s">
        <v>1703</v>
      </c>
      <c r="I311" s="98" t="s">
        <v>1704</v>
      </c>
      <c r="J311" s="98" t="s">
        <v>1705</v>
      </c>
      <c r="K311" s="98" t="s">
        <v>1706</v>
      </c>
    </row>
    <row r="312" customFormat="false" ht="64" hidden="false" customHeight="true" outlineLevel="0" collapsed="false">
      <c r="C312" s="98" t="s">
        <v>2049</v>
      </c>
      <c r="D312" s="98" t="s">
        <v>1738</v>
      </c>
      <c r="E312" s="98" t="s">
        <v>1830</v>
      </c>
      <c r="F312" s="98" t="n">
        <v>45.0304572441977</v>
      </c>
      <c r="G312" s="98" t="s">
        <v>1831</v>
      </c>
      <c r="H312" s="98" t="s">
        <v>1703</v>
      </c>
      <c r="I312" s="98" t="s">
        <v>1704</v>
      </c>
      <c r="J312" s="98" t="s">
        <v>1705</v>
      </c>
      <c r="K312" s="98" t="s">
        <v>1706</v>
      </c>
    </row>
    <row r="313" customFormat="false" ht="64" hidden="false" customHeight="true" outlineLevel="0" collapsed="false">
      <c r="C313" s="98" t="s">
        <v>2050</v>
      </c>
      <c r="D313" s="98" t="s">
        <v>1740</v>
      </c>
      <c r="E313" s="98" t="s">
        <v>1830</v>
      </c>
      <c r="F313" s="98" t="n">
        <v>45.0304572441977</v>
      </c>
      <c r="G313" s="98" t="s">
        <v>1831</v>
      </c>
      <c r="H313" s="98" t="s">
        <v>1703</v>
      </c>
      <c r="I313" s="98" t="s">
        <v>1704</v>
      </c>
      <c r="J313" s="98" t="s">
        <v>1705</v>
      </c>
      <c r="K313" s="98" t="s">
        <v>1706</v>
      </c>
    </row>
    <row r="314" customFormat="false" ht="64" hidden="false" customHeight="true" outlineLevel="0" collapsed="false">
      <c r="C314" s="98" t="s">
        <v>2051</v>
      </c>
      <c r="D314" s="98" t="s">
        <v>1742</v>
      </c>
      <c r="E314" s="98" t="s">
        <v>1830</v>
      </c>
      <c r="F314" s="98" t="n">
        <v>45.0304572441977</v>
      </c>
      <c r="G314" s="98" t="s">
        <v>1831</v>
      </c>
      <c r="H314" s="98" t="s">
        <v>1703</v>
      </c>
      <c r="I314" s="98" t="s">
        <v>1704</v>
      </c>
      <c r="J314" s="98" t="s">
        <v>1705</v>
      </c>
      <c r="K314" s="98" t="s">
        <v>1706</v>
      </c>
    </row>
    <row r="315" customFormat="false" ht="64" hidden="false" customHeight="true" outlineLevel="0" collapsed="false">
      <c r="C315" s="98" t="s">
        <v>2052</v>
      </c>
      <c r="D315" s="98" t="s">
        <v>1744</v>
      </c>
      <c r="E315" s="98" t="s">
        <v>1830</v>
      </c>
      <c r="F315" s="98" t="n">
        <v>45.0304572441977</v>
      </c>
      <c r="G315" s="98" t="s">
        <v>1831</v>
      </c>
      <c r="H315" s="98" t="s">
        <v>1703</v>
      </c>
      <c r="I315" s="98" t="s">
        <v>1704</v>
      </c>
      <c r="J315" s="98" t="s">
        <v>1705</v>
      </c>
      <c r="K315" s="98" t="s">
        <v>1706</v>
      </c>
    </row>
    <row r="316" customFormat="false" ht="64" hidden="false" customHeight="true" outlineLevel="0" collapsed="false">
      <c r="C316" s="98" t="s">
        <v>2053</v>
      </c>
      <c r="D316" s="98" t="s">
        <v>1746</v>
      </c>
      <c r="E316" s="98" t="s">
        <v>1830</v>
      </c>
      <c r="F316" s="98" t="n">
        <v>45.0304572441977</v>
      </c>
      <c r="G316" s="98" t="s">
        <v>1831</v>
      </c>
      <c r="H316" s="98" t="s">
        <v>1703</v>
      </c>
      <c r="I316" s="98" t="s">
        <v>1704</v>
      </c>
      <c r="J316" s="98" t="s">
        <v>1705</v>
      </c>
      <c r="K316" s="98" t="s">
        <v>1706</v>
      </c>
    </row>
    <row r="317" customFormat="false" ht="64" hidden="false" customHeight="true" outlineLevel="0" collapsed="false">
      <c r="C317" s="98" t="s">
        <v>2054</v>
      </c>
      <c r="D317" s="98" t="s">
        <v>1748</v>
      </c>
      <c r="E317" s="98" t="s">
        <v>1830</v>
      </c>
      <c r="F317" s="98" t="n">
        <v>45.0304572441977</v>
      </c>
      <c r="G317" s="98" t="s">
        <v>1831</v>
      </c>
      <c r="H317" s="98" t="s">
        <v>1703</v>
      </c>
      <c r="I317" s="98" t="s">
        <v>1704</v>
      </c>
      <c r="J317" s="98" t="s">
        <v>1705</v>
      </c>
      <c r="K317" s="98" t="s">
        <v>1706</v>
      </c>
    </row>
    <row r="318" customFormat="false" ht="64" hidden="false" customHeight="true" outlineLevel="0" collapsed="false">
      <c r="C318" s="98" t="s">
        <v>2055</v>
      </c>
      <c r="D318" s="98" t="s">
        <v>1750</v>
      </c>
      <c r="E318" s="98" t="s">
        <v>1830</v>
      </c>
      <c r="F318" s="98" t="n">
        <v>45.0304572441977</v>
      </c>
      <c r="G318" s="98" t="s">
        <v>1831</v>
      </c>
      <c r="H318" s="98" t="s">
        <v>1703</v>
      </c>
      <c r="I318" s="98" t="s">
        <v>1704</v>
      </c>
      <c r="J318" s="98" t="s">
        <v>1705</v>
      </c>
      <c r="K318" s="98" t="s">
        <v>1706</v>
      </c>
    </row>
    <row r="319" customFormat="false" ht="64" hidden="false" customHeight="true" outlineLevel="0" collapsed="false">
      <c r="C319" s="98" t="s">
        <v>2056</v>
      </c>
      <c r="D319" s="98" t="s">
        <v>1752</v>
      </c>
      <c r="E319" s="98" t="s">
        <v>1830</v>
      </c>
      <c r="F319" s="98" t="n">
        <v>45.0304572441977</v>
      </c>
      <c r="G319" s="98" t="s">
        <v>1831</v>
      </c>
      <c r="H319" s="98" t="s">
        <v>1703</v>
      </c>
      <c r="I319" s="98" t="s">
        <v>1704</v>
      </c>
      <c r="J319" s="98" t="s">
        <v>1705</v>
      </c>
      <c r="K319" s="98" t="s">
        <v>1706</v>
      </c>
    </row>
    <row r="320" customFormat="false" ht="64" hidden="false" customHeight="true" outlineLevel="0" collapsed="false">
      <c r="C320" s="98" t="s">
        <v>2057</v>
      </c>
      <c r="D320" s="98" t="s">
        <v>1754</v>
      </c>
      <c r="E320" s="98" t="s">
        <v>1830</v>
      </c>
      <c r="F320" s="98" t="n">
        <v>45.0304572441977</v>
      </c>
      <c r="G320" s="98" t="s">
        <v>1831</v>
      </c>
      <c r="H320" s="98" t="s">
        <v>1703</v>
      </c>
      <c r="I320" s="98" t="s">
        <v>1704</v>
      </c>
      <c r="J320" s="98" t="s">
        <v>1705</v>
      </c>
      <c r="K320" s="98" t="s">
        <v>1706</v>
      </c>
    </row>
    <row r="321" customFormat="false" ht="64" hidden="false" customHeight="true" outlineLevel="0" collapsed="false">
      <c r="C321" s="98" t="s">
        <v>2058</v>
      </c>
      <c r="D321" s="98" t="s">
        <v>1756</v>
      </c>
      <c r="E321" s="98" t="s">
        <v>1830</v>
      </c>
      <c r="F321" s="98" t="n">
        <v>45.0304572441977</v>
      </c>
      <c r="G321" s="98" t="s">
        <v>1831</v>
      </c>
      <c r="H321" s="98" t="s">
        <v>1703</v>
      </c>
      <c r="I321" s="98" t="s">
        <v>1704</v>
      </c>
      <c r="J321" s="98" t="s">
        <v>1705</v>
      </c>
      <c r="K321" s="98" t="s">
        <v>1706</v>
      </c>
    </row>
    <row r="322" customFormat="false" ht="64" hidden="false" customHeight="true" outlineLevel="0" collapsed="false">
      <c r="C322" s="98" t="s">
        <v>2059</v>
      </c>
      <c r="D322" s="98" t="s">
        <v>1758</v>
      </c>
      <c r="E322" s="98" t="s">
        <v>1830</v>
      </c>
      <c r="F322" s="98" t="n">
        <v>45.0304572441977</v>
      </c>
      <c r="G322" s="98" t="s">
        <v>1831</v>
      </c>
      <c r="H322" s="98" t="s">
        <v>1703</v>
      </c>
      <c r="I322" s="98" t="s">
        <v>1704</v>
      </c>
      <c r="J322" s="98" t="s">
        <v>1705</v>
      </c>
      <c r="K322" s="98" t="s">
        <v>1706</v>
      </c>
    </row>
    <row r="323" customFormat="false" ht="64" hidden="false" customHeight="true" outlineLevel="0" collapsed="false">
      <c r="C323" s="98" t="s">
        <v>2060</v>
      </c>
      <c r="D323" s="98" t="s">
        <v>1760</v>
      </c>
      <c r="E323" s="98" t="s">
        <v>1830</v>
      </c>
      <c r="F323" s="98" t="n">
        <v>45.0304572441977</v>
      </c>
      <c r="G323" s="98" t="s">
        <v>1831</v>
      </c>
      <c r="H323" s="98" t="s">
        <v>1703</v>
      </c>
      <c r="I323" s="98" t="s">
        <v>1704</v>
      </c>
      <c r="J323" s="98" t="s">
        <v>1705</v>
      </c>
      <c r="K323" s="98" t="s">
        <v>1706</v>
      </c>
    </row>
    <row r="324" customFormat="false" ht="64" hidden="false" customHeight="true" outlineLevel="0" collapsed="false">
      <c r="C324" s="98" t="s">
        <v>2061</v>
      </c>
      <c r="D324" s="98" t="s">
        <v>1762</v>
      </c>
      <c r="E324" s="98" t="s">
        <v>1830</v>
      </c>
      <c r="F324" s="98" t="n">
        <v>45.0304572441977</v>
      </c>
      <c r="G324" s="98" t="s">
        <v>1831</v>
      </c>
      <c r="H324" s="98" t="s">
        <v>1703</v>
      </c>
      <c r="I324" s="98" t="s">
        <v>1704</v>
      </c>
      <c r="J324" s="98" t="s">
        <v>1705</v>
      </c>
      <c r="K324" s="98" t="s">
        <v>1706</v>
      </c>
    </row>
    <row r="325" customFormat="false" ht="64" hidden="false" customHeight="true" outlineLevel="0" collapsed="false">
      <c r="C325" s="98" t="s">
        <v>2062</v>
      </c>
      <c r="D325" s="98" t="s">
        <v>1764</v>
      </c>
      <c r="E325" s="98" t="s">
        <v>1830</v>
      </c>
      <c r="F325" s="98" t="n">
        <v>45.0304572441977</v>
      </c>
      <c r="G325" s="98" t="s">
        <v>1831</v>
      </c>
      <c r="H325" s="98" t="s">
        <v>1703</v>
      </c>
      <c r="I325" s="98" t="s">
        <v>1704</v>
      </c>
      <c r="J325" s="98" t="s">
        <v>1705</v>
      </c>
      <c r="K325" s="98" t="s">
        <v>1706</v>
      </c>
    </row>
    <row r="326" customFormat="false" ht="64" hidden="false" customHeight="true" outlineLevel="0" collapsed="false">
      <c r="C326" s="98" t="s">
        <v>2063</v>
      </c>
      <c r="D326" s="98" t="s">
        <v>1829</v>
      </c>
      <c r="E326" s="98" t="s">
        <v>835</v>
      </c>
      <c r="F326" s="98" t="n">
        <v>0.02</v>
      </c>
      <c r="G326" s="98" t="s">
        <v>2064</v>
      </c>
      <c r="H326" s="98" t="s">
        <v>1767</v>
      </c>
      <c r="I326" s="98" t="s">
        <v>1704</v>
      </c>
      <c r="J326" s="98" t="s">
        <v>1705</v>
      </c>
      <c r="K326" s="98" t="s">
        <v>1706</v>
      </c>
    </row>
    <row r="327" customFormat="false" ht="64" hidden="false" customHeight="true" outlineLevel="0" collapsed="false">
      <c r="C327" s="98" t="s">
        <v>2065</v>
      </c>
      <c r="D327" s="98" t="s">
        <v>1833</v>
      </c>
      <c r="E327" s="98" t="s">
        <v>835</v>
      </c>
      <c r="F327" s="98" t="n">
        <v>0</v>
      </c>
      <c r="G327" s="98" t="s">
        <v>2064</v>
      </c>
      <c r="H327" s="98" t="s">
        <v>1767</v>
      </c>
      <c r="I327" s="98" t="s">
        <v>1704</v>
      </c>
      <c r="J327" s="98" t="s">
        <v>1705</v>
      </c>
      <c r="K327" s="98" t="s">
        <v>1706</v>
      </c>
    </row>
    <row r="328" customFormat="false" ht="64" hidden="false" customHeight="true" outlineLevel="0" collapsed="false">
      <c r="C328" s="98" t="s">
        <v>2066</v>
      </c>
      <c r="D328" s="98" t="s">
        <v>1835</v>
      </c>
      <c r="E328" s="98" t="s">
        <v>835</v>
      </c>
      <c r="F328" s="98" t="n">
        <v>0</v>
      </c>
      <c r="G328" s="98" t="s">
        <v>2064</v>
      </c>
      <c r="H328" s="98" t="s">
        <v>1767</v>
      </c>
      <c r="I328" s="98" t="s">
        <v>1704</v>
      </c>
      <c r="J328" s="98" t="s">
        <v>1705</v>
      </c>
      <c r="K328" s="98" t="s">
        <v>1706</v>
      </c>
    </row>
    <row r="329" customFormat="false" ht="64" hidden="false" customHeight="true" outlineLevel="0" collapsed="false">
      <c r="C329" s="98" t="s">
        <v>2067</v>
      </c>
      <c r="D329" s="98" t="s">
        <v>1044</v>
      </c>
      <c r="E329" s="98" t="s">
        <v>835</v>
      </c>
      <c r="F329" s="98" t="n">
        <v>0</v>
      </c>
      <c r="G329" s="98" t="s">
        <v>2064</v>
      </c>
      <c r="H329" s="98" t="s">
        <v>1767</v>
      </c>
      <c r="I329" s="98" t="s">
        <v>1704</v>
      </c>
      <c r="J329" s="98" t="s">
        <v>1705</v>
      </c>
      <c r="K329" s="98" t="s">
        <v>1706</v>
      </c>
    </row>
    <row r="330" customFormat="false" ht="64" hidden="false" customHeight="true" outlineLevel="0" collapsed="false">
      <c r="C330" s="98" t="s">
        <v>2068</v>
      </c>
      <c r="D330" s="98" t="s">
        <v>1838</v>
      </c>
      <c r="E330" s="98" t="s">
        <v>835</v>
      </c>
      <c r="F330" s="98" t="n">
        <v>0</v>
      </c>
      <c r="G330" s="98" t="s">
        <v>2064</v>
      </c>
      <c r="H330" s="98" t="s">
        <v>1767</v>
      </c>
      <c r="I330" s="98" t="s">
        <v>1704</v>
      </c>
      <c r="J330" s="98" t="s">
        <v>1705</v>
      </c>
      <c r="K330" s="98" t="s">
        <v>1706</v>
      </c>
    </row>
    <row r="331" customFormat="false" ht="64" hidden="false" customHeight="true" outlineLevel="0" collapsed="false">
      <c r="C331" s="98" t="s">
        <v>2069</v>
      </c>
      <c r="D331" s="98" t="s">
        <v>1840</v>
      </c>
      <c r="E331" s="98" t="s">
        <v>835</v>
      </c>
      <c r="F331" s="98" t="n">
        <v>0</v>
      </c>
      <c r="G331" s="98" t="s">
        <v>2064</v>
      </c>
      <c r="H331" s="98" t="s">
        <v>1767</v>
      </c>
      <c r="I331" s="98" t="s">
        <v>1704</v>
      </c>
      <c r="J331" s="98" t="s">
        <v>1705</v>
      </c>
      <c r="K331" s="98" t="s">
        <v>1706</v>
      </c>
    </row>
    <row r="332" customFormat="false" ht="64" hidden="false" customHeight="true" outlineLevel="0" collapsed="false">
      <c r="C332" s="98" t="s">
        <v>2070</v>
      </c>
      <c r="D332" s="98" t="s">
        <v>1700</v>
      </c>
      <c r="E332" s="98" t="s">
        <v>835</v>
      </c>
      <c r="F332" s="98" t="n">
        <v>0</v>
      </c>
      <c r="G332" s="98" t="s">
        <v>2064</v>
      </c>
      <c r="H332" s="98" t="s">
        <v>1767</v>
      </c>
      <c r="I332" s="98" t="s">
        <v>1704</v>
      </c>
      <c r="J332" s="98" t="s">
        <v>1705</v>
      </c>
      <c r="K332" s="98" t="s">
        <v>1706</v>
      </c>
    </row>
    <row r="333" customFormat="false" ht="64" hidden="false" customHeight="true" outlineLevel="0" collapsed="false">
      <c r="C333" s="98" t="s">
        <v>2071</v>
      </c>
      <c r="D333" s="98" t="s">
        <v>1708</v>
      </c>
      <c r="E333" s="98" t="s">
        <v>835</v>
      </c>
      <c r="F333" s="98" t="n">
        <v>0</v>
      </c>
      <c r="G333" s="98" t="s">
        <v>2064</v>
      </c>
      <c r="H333" s="98" t="s">
        <v>1767</v>
      </c>
      <c r="I333" s="98" t="s">
        <v>1704</v>
      </c>
      <c r="J333" s="98" t="s">
        <v>1705</v>
      </c>
      <c r="K333" s="98" t="s">
        <v>1706</v>
      </c>
    </row>
    <row r="334" customFormat="false" ht="64" hidden="false" customHeight="true" outlineLevel="0" collapsed="false">
      <c r="C334" s="98" t="s">
        <v>2072</v>
      </c>
      <c r="D334" s="98" t="s">
        <v>1710</v>
      </c>
      <c r="E334" s="98" t="s">
        <v>835</v>
      </c>
      <c r="F334" s="98" t="n">
        <v>0</v>
      </c>
      <c r="G334" s="98" t="s">
        <v>2064</v>
      </c>
      <c r="H334" s="98" t="s">
        <v>1767</v>
      </c>
      <c r="I334" s="98" t="s">
        <v>1704</v>
      </c>
      <c r="J334" s="98" t="s">
        <v>1705</v>
      </c>
      <c r="K334" s="98" t="s">
        <v>1706</v>
      </c>
    </row>
    <row r="335" customFormat="false" ht="64" hidden="false" customHeight="true" outlineLevel="0" collapsed="false">
      <c r="C335" s="98" t="s">
        <v>2073</v>
      </c>
      <c r="D335" s="98" t="s">
        <v>1712</v>
      </c>
      <c r="E335" s="98" t="s">
        <v>835</v>
      </c>
      <c r="F335" s="98" t="n">
        <v>0</v>
      </c>
      <c r="G335" s="98" t="s">
        <v>2064</v>
      </c>
      <c r="H335" s="98" t="s">
        <v>1767</v>
      </c>
      <c r="I335" s="98" t="s">
        <v>1704</v>
      </c>
      <c r="J335" s="98" t="s">
        <v>1705</v>
      </c>
      <c r="K335" s="98" t="s">
        <v>1706</v>
      </c>
    </row>
    <row r="336" customFormat="false" ht="64" hidden="false" customHeight="true" outlineLevel="0" collapsed="false">
      <c r="C336" s="98" t="s">
        <v>2074</v>
      </c>
      <c r="D336" s="98" t="s">
        <v>1714</v>
      </c>
      <c r="E336" s="98" t="s">
        <v>835</v>
      </c>
      <c r="F336" s="98" t="n">
        <v>0</v>
      </c>
      <c r="G336" s="98" t="s">
        <v>2064</v>
      </c>
      <c r="H336" s="98" t="s">
        <v>1767</v>
      </c>
      <c r="I336" s="98" t="s">
        <v>1704</v>
      </c>
      <c r="J336" s="98" t="s">
        <v>1705</v>
      </c>
      <c r="K336" s="98" t="s">
        <v>1706</v>
      </c>
    </row>
    <row r="337" customFormat="false" ht="64" hidden="false" customHeight="true" outlineLevel="0" collapsed="false">
      <c r="C337" s="98" t="s">
        <v>2075</v>
      </c>
      <c r="D337" s="98" t="s">
        <v>1716</v>
      </c>
      <c r="E337" s="98" t="s">
        <v>835</v>
      </c>
      <c r="F337" s="98" t="n">
        <v>0</v>
      </c>
      <c r="G337" s="98" t="s">
        <v>2064</v>
      </c>
      <c r="H337" s="98" t="s">
        <v>1767</v>
      </c>
      <c r="I337" s="98" t="s">
        <v>1704</v>
      </c>
      <c r="J337" s="98" t="s">
        <v>1705</v>
      </c>
      <c r="K337" s="98" t="s">
        <v>1706</v>
      </c>
    </row>
    <row r="338" customFormat="false" ht="64" hidden="false" customHeight="true" outlineLevel="0" collapsed="false">
      <c r="C338" s="98" t="s">
        <v>2076</v>
      </c>
      <c r="D338" s="98" t="s">
        <v>1718</v>
      </c>
      <c r="E338" s="98" t="s">
        <v>835</v>
      </c>
      <c r="F338" s="98" t="n">
        <v>0.02</v>
      </c>
      <c r="G338" s="98" t="s">
        <v>2064</v>
      </c>
      <c r="H338" s="98" t="s">
        <v>1767</v>
      </c>
      <c r="I338" s="98" t="s">
        <v>1704</v>
      </c>
      <c r="J338" s="98" t="s">
        <v>1705</v>
      </c>
      <c r="K338" s="98" t="s">
        <v>1706</v>
      </c>
    </row>
    <row r="339" customFormat="false" ht="64" hidden="false" customHeight="true" outlineLevel="0" collapsed="false">
      <c r="C339" s="98" t="s">
        <v>2077</v>
      </c>
      <c r="D339" s="98" t="s">
        <v>1720</v>
      </c>
      <c r="E339" s="98" t="s">
        <v>835</v>
      </c>
      <c r="F339" s="98" t="n">
        <v>0</v>
      </c>
      <c r="G339" s="98" t="s">
        <v>2064</v>
      </c>
      <c r="H339" s="98" t="s">
        <v>1767</v>
      </c>
      <c r="I339" s="98" t="s">
        <v>1704</v>
      </c>
      <c r="J339" s="98" t="s">
        <v>1705</v>
      </c>
      <c r="K339" s="98" t="s">
        <v>1706</v>
      </c>
    </row>
    <row r="340" customFormat="false" ht="64" hidden="false" customHeight="true" outlineLevel="0" collapsed="false">
      <c r="C340" s="98" t="s">
        <v>2078</v>
      </c>
      <c r="D340" s="98" t="s">
        <v>1722</v>
      </c>
      <c r="E340" s="98" t="s">
        <v>835</v>
      </c>
      <c r="F340" s="98" t="n">
        <v>0</v>
      </c>
      <c r="G340" s="98" t="s">
        <v>2064</v>
      </c>
      <c r="H340" s="98" t="s">
        <v>1767</v>
      </c>
      <c r="I340" s="98" t="s">
        <v>1704</v>
      </c>
      <c r="J340" s="98" t="s">
        <v>1705</v>
      </c>
      <c r="K340" s="98" t="s">
        <v>1706</v>
      </c>
    </row>
    <row r="341" customFormat="false" ht="64" hidden="false" customHeight="true" outlineLevel="0" collapsed="false">
      <c r="C341" s="98" t="s">
        <v>2079</v>
      </c>
      <c r="D341" s="98" t="s">
        <v>1724</v>
      </c>
      <c r="E341" s="98" t="s">
        <v>835</v>
      </c>
      <c r="F341" s="98" t="n">
        <v>0</v>
      </c>
      <c r="G341" s="98" t="s">
        <v>2064</v>
      </c>
      <c r="H341" s="98" t="s">
        <v>1767</v>
      </c>
      <c r="I341" s="98" t="s">
        <v>1704</v>
      </c>
      <c r="J341" s="98" t="s">
        <v>1705</v>
      </c>
      <c r="K341" s="98" t="s">
        <v>1706</v>
      </c>
    </row>
    <row r="342" customFormat="false" ht="64" hidden="false" customHeight="true" outlineLevel="0" collapsed="false">
      <c r="C342" s="98" t="s">
        <v>2080</v>
      </c>
      <c r="D342" s="98" t="s">
        <v>1726</v>
      </c>
      <c r="E342" s="98" t="s">
        <v>835</v>
      </c>
      <c r="F342" s="98" t="n">
        <v>0</v>
      </c>
      <c r="G342" s="98" t="s">
        <v>2064</v>
      </c>
      <c r="H342" s="98" t="s">
        <v>1767</v>
      </c>
      <c r="I342" s="98" t="s">
        <v>1704</v>
      </c>
      <c r="J342" s="98" t="s">
        <v>1705</v>
      </c>
      <c r="K342" s="98" t="s">
        <v>1706</v>
      </c>
    </row>
    <row r="343" customFormat="false" ht="64" hidden="false" customHeight="true" outlineLevel="0" collapsed="false">
      <c r="C343" s="98" t="s">
        <v>2081</v>
      </c>
      <c r="D343" s="98" t="s">
        <v>1728</v>
      </c>
      <c r="E343" s="98" t="s">
        <v>835</v>
      </c>
      <c r="F343" s="98" t="n">
        <v>0</v>
      </c>
      <c r="G343" s="98" t="s">
        <v>2064</v>
      </c>
      <c r="H343" s="98" t="s">
        <v>1767</v>
      </c>
      <c r="I343" s="98" t="s">
        <v>1704</v>
      </c>
      <c r="J343" s="98" t="s">
        <v>1705</v>
      </c>
      <c r="K343" s="98" t="s">
        <v>1706</v>
      </c>
    </row>
    <row r="344" customFormat="false" ht="64" hidden="false" customHeight="true" outlineLevel="0" collapsed="false">
      <c r="C344" s="98" t="s">
        <v>2082</v>
      </c>
      <c r="D344" s="98" t="s">
        <v>1730</v>
      </c>
      <c r="E344" s="98" t="s">
        <v>835</v>
      </c>
      <c r="F344" s="98" t="n">
        <v>0</v>
      </c>
      <c r="G344" s="98" t="s">
        <v>2064</v>
      </c>
      <c r="H344" s="98" t="s">
        <v>1767</v>
      </c>
      <c r="I344" s="98" t="s">
        <v>1704</v>
      </c>
      <c r="J344" s="98" t="s">
        <v>1705</v>
      </c>
      <c r="K344" s="98" t="s">
        <v>1706</v>
      </c>
    </row>
    <row r="345" customFormat="false" ht="64" hidden="false" customHeight="true" outlineLevel="0" collapsed="false">
      <c r="C345" s="98" t="s">
        <v>2083</v>
      </c>
      <c r="D345" s="98" t="s">
        <v>1732</v>
      </c>
      <c r="E345" s="98" t="s">
        <v>835</v>
      </c>
      <c r="F345" s="98" t="n">
        <v>0</v>
      </c>
      <c r="G345" s="98" t="s">
        <v>2064</v>
      </c>
      <c r="H345" s="98" t="s">
        <v>1767</v>
      </c>
      <c r="I345" s="98" t="s">
        <v>1704</v>
      </c>
      <c r="J345" s="98" t="s">
        <v>1705</v>
      </c>
      <c r="K345" s="98" t="s">
        <v>1706</v>
      </c>
    </row>
    <row r="346" customFormat="false" ht="64" hidden="false" customHeight="true" outlineLevel="0" collapsed="false">
      <c r="C346" s="98" t="s">
        <v>2084</v>
      </c>
      <c r="D346" s="98" t="s">
        <v>1734</v>
      </c>
      <c r="E346" s="98" t="s">
        <v>835</v>
      </c>
      <c r="F346" s="98" t="n">
        <v>0</v>
      </c>
      <c r="G346" s="98" t="s">
        <v>2064</v>
      </c>
      <c r="H346" s="98" t="s">
        <v>1767</v>
      </c>
      <c r="I346" s="98" t="s">
        <v>1704</v>
      </c>
      <c r="J346" s="98" t="s">
        <v>1705</v>
      </c>
      <c r="K346" s="98" t="s">
        <v>1706</v>
      </c>
    </row>
    <row r="347" customFormat="false" ht="64" hidden="false" customHeight="true" outlineLevel="0" collapsed="false">
      <c r="C347" s="98" t="s">
        <v>2085</v>
      </c>
      <c r="D347" s="98" t="s">
        <v>1736</v>
      </c>
      <c r="E347" s="98" t="s">
        <v>835</v>
      </c>
      <c r="F347" s="98" t="n">
        <v>0</v>
      </c>
      <c r="G347" s="98" t="s">
        <v>2064</v>
      </c>
      <c r="H347" s="98" t="s">
        <v>1767</v>
      </c>
      <c r="I347" s="98" t="s">
        <v>1704</v>
      </c>
      <c r="J347" s="98" t="s">
        <v>1705</v>
      </c>
      <c r="K347" s="98" t="s">
        <v>1706</v>
      </c>
    </row>
    <row r="348" customFormat="false" ht="64" hidden="false" customHeight="true" outlineLevel="0" collapsed="false">
      <c r="C348" s="98" t="s">
        <v>2086</v>
      </c>
      <c r="D348" s="98" t="s">
        <v>1738</v>
      </c>
      <c r="E348" s="98" t="s">
        <v>835</v>
      </c>
      <c r="F348" s="98" t="n">
        <v>0</v>
      </c>
      <c r="G348" s="98" t="s">
        <v>2064</v>
      </c>
      <c r="H348" s="98" t="s">
        <v>1767</v>
      </c>
      <c r="I348" s="98" t="s">
        <v>1704</v>
      </c>
      <c r="J348" s="98" t="s">
        <v>1705</v>
      </c>
      <c r="K348" s="98" t="s">
        <v>1706</v>
      </c>
    </row>
    <row r="349" customFormat="false" ht="64" hidden="false" customHeight="true" outlineLevel="0" collapsed="false">
      <c r="C349" s="98" t="s">
        <v>2087</v>
      </c>
      <c r="D349" s="98" t="s">
        <v>1740</v>
      </c>
      <c r="E349" s="98" t="s">
        <v>835</v>
      </c>
      <c r="F349" s="98" t="n">
        <v>0</v>
      </c>
      <c r="G349" s="98" t="s">
        <v>2064</v>
      </c>
      <c r="H349" s="98" t="s">
        <v>1767</v>
      </c>
      <c r="I349" s="98" t="s">
        <v>1704</v>
      </c>
      <c r="J349" s="98" t="s">
        <v>1705</v>
      </c>
      <c r="K349" s="98" t="s">
        <v>1706</v>
      </c>
    </row>
    <row r="350" customFormat="false" ht="64" hidden="false" customHeight="true" outlineLevel="0" collapsed="false">
      <c r="C350" s="98" t="s">
        <v>2088</v>
      </c>
      <c r="D350" s="98" t="s">
        <v>1742</v>
      </c>
      <c r="E350" s="98" t="s">
        <v>835</v>
      </c>
      <c r="F350" s="98" t="n">
        <v>0.02</v>
      </c>
      <c r="G350" s="98" t="s">
        <v>2064</v>
      </c>
      <c r="H350" s="98" t="s">
        <v>1767</v>
      </c>
      <c r="I350" s="98" t="s">
        <v>1704</v>
      </c>
      <c r="J350" s="98" t="s">
        <v>1705</v>
      </c>
      <c r="K350" s="98" t="s">
        <v>1706</v>
      </c>
    </row>
    <row r="351" customFormat="false" ht="64" hidden="false" customHeight="true" outlineLevel="0" collapsed="false">
      <c r="C351" s="98" t="s">
        <v>2089</v>
      </c>
      <c r="D351" s="98" t="s">
        <v>1744</v>
      </c>
      <c r="E351" s="98" t="s">
        <v>835</v>
      </c>
      <c r="F351" s="98" t="n">
        <v>0</v>
      </c>
      <c r="G351" s="98" t="s">
        <v>2064</v>
      </c>
      <c r="H351" s="98" t="s">
        <v>1767</v>
      </c>
      <c r="I351" s="98" t="s">
        <v>1704</v>
      </c>
      <c r="J351" s="98" t="s">
        <v>1705</v>
      </c>
      <c r="K351" s="98" t="s">
        <v>1706</v>
      </c>
    </row>
    <row r="352" customFormat="false" ht="64" hidden="false" customHeight="true" outlineLevel="0" collapsed="false">
      <c r="C352" s="98" t="s">
        <v>2090</v>
      </c>
      <c r="D352" s="98" t="s">
        <v>1746</v>
      </c>
      <c r="E352" s="98" t="s">
        <v>835</v>
      </c>
      <c r="F352" s="98" t="n">
        <v>0</v>
      </c>
      <c r="G352" s="98" t="s">
        <v>2064</v>
      </c>
      <c r="H352" s="98" t="s">
        <v>1767</v>
      </c>
      <c r="I352" s="98" t="s">
        <v>1704</v>
      </c>
      <c r="J352" s="98" t="s">
        <v>1705</v>
      </c>
      <c r="K352" s="98" t="s">
        <v>1706</v>
      </c>
    </row>
    <row r="353" customFormat="false" ht="64" hidden="false" customHeight="true" outlineLevel="0" collapsed="false">
      <c r="C353" s="98" t="s">
        <v>2091</v>
      </c>
      <c r="D353" s="98" t="s">
        <v>1748</v>
      </c>
      <c r="E353" s="98" t="s">
        <v>835</v>
      </c>
      <c r="F353" s="98" t="n">
        <v>0</v>
      </c>
      <c r="G353" s="98" t="s">
        <v>2064</v>
      </c>
      <c r="H353" s="98" t="s">
        <v>1767</v>
      </c>
      <c r="I353" s="98" t="s">
        <v>1704</v>
      </c>
      <c r="J353" s="98" t="s">
        <v>1705</v>
      </c>
      <c r="K353" s="98" t="s">
        <v>1706</v>
      </c>
    </row>
    <row r="354" customFormat="false" ht="64" hidden="false" customHeight="true" outlineLevel="0" collapsed="false">
      <c r="C354" s="98" t="s">
        <v>2092</v>
      </c>
      <c r="D354" s="98" t="s">
        <v>1750</v>
      </c>
      <c r="E354" s="98" t="s">
        <v>835</v>
      </c>
      <c r="F354" s="98" t="n">
        <v>0</v>
      </c>
      <c r="G354" s="98" t="s">
        <v>2064</v>
      </c>
      <c r="H354" s="98" t="s">
        <v>1767</v>
      </c>
      <c r="I354" s="98" t="s">
        <v>1704</v>
      </c>
      <c r="J354" s="98" t="s">
        <v>1705</v>
      </c>
      <c r="K354" s="98" t="s">
        <v>1706</v>
      </c>
    </row>
    <row r="355" customFormat="false" ht="64" hidden="false" customHeight="true" outlineLevel="0" collapsed="false">
      <c r="C355" s="98" t="s">
        <v>2093</v>
      </c>
      <c r="D355" s="98" t="s">
        <v>1752</v>
      </c>
      <c r="E355" s="98" t="s">
        <v>835</v>
      </c>
      <c r="F355" s="98" t="n">
        <v>0</v>
      </c>
      <c r="G355" s="98" t="s">
        <v>2064</v>
      </c>
      <c r="H355" s="98" t="s">
        <v>1767</v>
      </c>
      <c r="I355" s="98" t="s">
        <v>1704</v>
      </c>
      <c r="J355" s="98" t="s">
        <v>1705</v>
      </c>
      <c r="K355" s="98" t="s">
        <v>1706</v>
      </c>
    </row>
    <row r="356" customFormat="false" ht="64" hidden="false" customHeight="true" outlineLevel="0" collapsed="false">
      <c r="C356" s="98" t="s">
        <v>2094</v>
      </c>
      <c r="D356" s="98" t="s">
        <v>1754</v>
      </c>
      <c r="E356" s="98" t="s">
        <v>835</v>
      </c>
      <c r="F356" s="98" t="n">
        <v>0</v>
      </c>
      <c r="G356" s="98" t="s">
        <v>2064</v>
      </c>
      <c r="H356" s="98" t="s">
        <v>1767</v>
      </c>
      <c r="I356" s="98" t="s">
        <v>1704</v>
      </c>
      <c r="J356" s="98" t="s">
        <v>1705</v>
      </c>
      <c r="K356" s="98" t="s">
        <v>1706</v>
      </c>
    </row>
    <row r="357" customFormat="false" ht="64" hidden="false" customHeight="true" outlineLevel="0" collapsed="false">
      <c r="C357" s="98" t="s">
        <v>2095</v>
      </c>
      <c r="D357" s="98" t="s">
        <v>1756</v>
      </c>
      <c r="E357" s="98" t="s">
        <v>835</v>
      </c>
      <c r="F357" s="98" t="n">
        <v>0</v>
      </c>
      <c r="G357" s="98" t="s">
        <v>2064</v>
      </c>
      <c r="H357" s="98" t="s">
        <v>1767</v>
      </c>
      <c r="I357" s="98" t="s">
        <v>1704</v>
      </c>
      <c r="J357" s="98" t="s">
        <v>1705</v>
      </c>
      <c r="K357" s="98" t="s">
        <v>1706</v>
      </c>
    </row>
    <row r="358" customFormat="false" ht="64" hidden="false" customHeight="true" outlineLevel="0" collapsed="false">
      <c r="C358" s="98" t="s">
        <v>2096</v>
      </c>
      <c r="D358" s="98" t="s">
        <v>1758</v>
      </c>
      <c r="E358" s="98" t="s">
        <v>835</v>
      </c>
      <c r="F358" s="98" t="n">
        <v>0</v>
      </c>
      <c r="G358" s="98" t="s">
        <v>2064</v>
      </c>
      <c r="H358" s="98" t="s">
        <v>1767</v>
      </c>
      <c r="I358" s="98" t="s">
        <v>1704</v>
      </c>
      <c r="J358" s="98" t="s">
        <v>1705</v>
      </c>
      <c r="K358" s="98" t="s">
        <v>1706</v>
      </c>
    </row>
    <row r="359" customFormat="false" ht="64" hidden="false" customHeight="true" outlineLevel="0" collapsed="false">
      <c r="C359" s="98" t="s">
        <v>2097</v>
      </c>
      <c r="D359" s="98" t="s">
        <v>1760</v>
      </c>
      <c r="E359" s="98" t="s">
        <v>835</v>
      </c>
      <c r="F359" s="98" t="n">
        <v>0</v>
      </c>
      <c r="G359" s="98" t="s">
        <v>2064</v>
      </c>
      <c r="H359" s="98" t="s">
        <v>1767</v>
      </c>
      <c r="I359" s="98" t="s">
        <v>1704</v>
      </c>
      <c r="J359" s="98" t="s">
        <v>1705</v>
      </c>
      <c r="K359" s="98" t="s">
        <v>1706</v>
      </c>
    </row>
    <row r="360" customFormat="false" ht="64" hidden="false" customHeight="true" outlineLevel="0" collapsed="false">
      <c r="C360" s="98" t="s">
        <v>2098</v>
      </c>
      <c r="D360" s="98" t="s">
        <v>1762</v>
      </c>
      <c r="E360" s="98" t="s">
        <v>835</v>
      </c>
      <c r="F360" s="98" t="n">
        <v>0</v>
      </c>
      <c r="G360" s="98" t="s">
        <v>2064</v>
      </c>
      <c r="H360" s="98" t="s">
        <v>1767</v>
      </c>
      <c r="I360" s="98" t="s">
        <v>1704</v>
      </c>
      <c r="J360" s="98" t="s">
        <v>1705</v>
      </c>
      <c r="K360" s="98" t="s">
        <v>1706</v>
      </c>
    </row>
    <row r="361" customFormat="false" ht="64" hidden="false" customHeight="true" outlineLevel="0" collapsed="false">
      <c r="C361" s="98" t="s">
        <v>2099</v>
      </c>
      <c r="D361" s="98" t="s">
        <v>1764</v>
      </c>
      <c r="E361" s="98" t="s">
        <v>835</v>
      </c>
      <c r="F361" s="98" t="n">
        <v>0</v>
      </c>
      <c r="G361" s="98" t="s">
        <v>2064</v>
      </c>
      <c r="H361" s="98" t="s">
        <v>1767</v>
      </c>
      <c r="I361" s="98" t="s">
        <v>1704</v>
      </c>
      <c r="J361" s="98" t="s">
        <v>1705</v>
      </c>
      <c r="K361" s="98" t="s">
        <v>1706</v>
      </c>
    </row>
    <row r="362" customFormat="false" ht="64" hidden="false" customHeight="true" outlineLevel="0" collapsed="false">
      <c r="C362" s="98" t="s">
        <v>2100</v>
      </c>
      <c r="D362" s="98" t="s">
        <v>1829</v>
      </c>
      <c r="E362" s="98" t="s">
        <v>835</v>
      </c>
      <c r="F362" s="98" t="n">
        <v>0.02</v>
      </c>
      <c r="G362" s="98" t="s">
        <v>2101</v>
      </c>
      <c r="H362" s="98" t="s">
        <v>1767</v>
      </c>
      <c r="I362" s="98" t="s">
        <v>1704</v>
      </c>
      <c r="J362" s="98" t="s">
        <v>1705</v>
      </c>
      <c r="K362" s="98" t="s">
        <v>1706</v>
      </c>
    </row>
    <row r="363" customFormat="false" ht="64" hidden="false" customHeight="true" outlineLevel="0" collapsed="false">
      <c r="C363" s="98" t="s">
        <v>2102</v>
      </c>
      <c r="D363" s="98" t="s">
        <v>1833</v>
      </c>
      <c r="E363" s="98" t="s">
        <v>835</v>
      </c>
      <c r="F363" s="98" t="n">
        <v>0</v>
      </c>
      <c r="G363" s="98" t="s">
        <v>2101</v>
      </c>
      <c r="H363" s="98" t="s">
        <v>1767</v>
      </c>
      <c r="I363" s="98" t="s">
        <v>1704</v>
      </c>
      <c r="J363" s="98" t="s">
        <v>1705</v>
      </c>
      <c r="K363" s="98" t="s">
        <v>1706</v>
      </c>
    </row>
    <row r="364" customFormat="false" ht="64" hidden="false" customHeight="true" outlineLevel="0" collapsed="false">
      <c r="C364" s="98" t="s">
        <v>2103</v>
      </c>
      <c r="D364" s="98" t="s">
        <v>1835</v>
      </c>
      <c r="E364" s="98" t="s">
        <v>835</v>
      </c>
      <c r="F364" s="98" t="n">
        <v>0</v>
      </c>
      <c r="G364" s="98" t="s">
        <v>2101</v>
      </c>
      <c r="H364" s="98" t="s">
        <v>1767</v>
      </c>
      <c r="I364" s="98" t="s">
        <v>1704</v>
      </c>
      <c r="J364" s="98" t="s">
        <v>1705</v>
      </c>
      <c r="K364" s="98" t="s">
        <v>1706</v>
      </c>
    </row>
    <row r="365" customFormat="false" ht="64" hidden="false" customHeight="true" outlineLevel="0" collapsed="false">
      <c r="C365" s="98" t="s">
        <v>2104</v>
      </c>
      <c r="D365" s="98" t="s">
        <v>1044</v>
      </c>
      <c r="E365" s="98" t="s">
        <v>835</v>
      </c>
      <c r="F365" s="98" t="n">
        <v>0</v>
      </c>
      <c r="G365" s="98" t="s">
        <v>2101</v>
      </c>
      <c r="H365" s="98" t="s">
        <v>1767</v>
      </c>
      <c r="I365" s="98" t="s">
        <v>1704</v>
      </c>
      <c r="J365" s="98" t="s">
        <v>1705</v>
      </c>
      <c r="K365" s="98" t="s">
        <v>1706</v>
      </c>
    </row>
    <row r="366" customFormat="false" ht="64" hidden="false" customHeight="true" outlineLevel="0" collapsed="false">
      <c r="C366" s="98" t="s">
        <v>2105</v>
      </c>
      <c r="D366" s="98" t="s">
        <v>1838</v>
      </c>
      <c r="E366" s="98" t="s">
        <v>835</v>
      </c>
      <c r="F366" s="98" t="n">
        <v>0</v>
      </c>
      <c r="G366" s="98" t="s">
        <v>2101</v>
      </c>
      <c r="H366" s="98" t="s">
        <v>1767</v>
      </c>
      <c r="I366" s="98" t="s">
        <v>1704</v>
      </c>
      <c r="J366" s="98" t="s">
        <v>1705</v>
      </c>
      <c r="K366" s="98" t="s">
        <v>1706</v>
      </c>
    </row>
    <row r="367" customFormat="false" ht="64" hidden="false" customHeight="true" outlineLevel="0" collapsed="false">
      <c r="C367" s="98" t="s">
        <v>2106</v>
      </c>
      <c r="D367" s="98" t="s">
        <v>1840</v>
      </c>
      <c r="E367" s="98" t="s">
        <v>835</v>
      </c>
      <c r="F367" s="98" t="n">
        <v>0</v>
      </c>
      <c r="G367" s="98" t="s">
        <v>2101</v>
      </c>
      <c r="H367" s="98" t="s">
        <v>1767</v>
      </c>
      <c r="I367" s="98" t="s">
        <v>1704</v>
      </c>
      <c r="J367" s="98" t="s">
        <v>1705</v>
      </c>
      <c r="K367" s="98" t="s">
        <v>1706</v>
      </c>
    </row>
    <row r="368" customFormat="false" ht="64" hidden="false" customHeight="true" outlineLevel="0" collapsed="false">
      <c r="C368" s="98" t="s">
        <v>2107</v>
      </c>
      <c r="D368" s="98" t="s">
        <v>1700</v>
      </c>
      <c r="E368" s="98" t="s">
        <v>835</v>
      </c>
      <c r="F368" s="98" t="n">
        <v>0</v>
      </c>
      <c r="G368" s="98" t="s">
        <v>2101</v>
      </c>
      <c r="H368" s="98" t="s">
        <v>1767</v>
      </c>
      <c r="I368" s="98" t="s">
        <v>1704</v>
      </c>
      <c r="J368" s="98" t="s">
        <v>1705</v>
      </c>
      <c r="K368" s="98" t="s">
        <v>1706</v>
      </c>
    </row>
    <row r="369" customFormat="false" ht="64" hidden="false" customHeight="true" outlineLevel="0" collapsed="false">
      <c r="C369" s="98" t="s">
        <v>2108</v>
      </c>
      <c r="D369" s="98" t="s">
        <v>1708</v>
      </c>
      <c r="E369" s="98" t="s">
        <v>835</v>
      </c>
      <c r="F369" s="98" t="n">
        <v>0</v>
      </c>
      <c r="G369" s="98" t="s">
        <v>2101</v>
      </c>
      <c r="H369" s="98" t="s">
        <v>1767</v>
      </c>
      <c r="I369" s="98" t="s">
        <v>1704</v>
      </c>
      <c r="J369" s="98" t="s">
        <v>1705</v>
      </c>
      <c r="K369" s="98" t="s">
        <v>1706</v>
      </c>
    </row>
    <row r="370" customFormat="false" ht="64" hidden="false" customHeight="true" outlineLevel="0" collapsed="false">
      <c r="C370" s="98" t="s">
        <v>2109</v>
      </c>
      <c r="D370" s="98" t="s">
        <v>1710</v>
      </c>
      <c r="E370" s="98" t="s">
        <v>835</v>
      </c>
      <c r="F370" s="98" t="n">
        <v>0</v>
      </c>
      <c r="G370" s="98" t="s">
        <v>2101</v>
      </c>
      <c r="H370" s="98" t="s">
        <v>1767</v>
      </c>
      <c r="I370" s="98" t="s">
        <v>1704</v>
      </c>
      <c r="J370" s="98" t="s">
        <v>1705</v>
      </c>
      <c r="K370" s="98" t="s">
        <v>1706</v>
      </c>
    </row>
    <row r="371" customFormat="false" ht="64" hidden="false" customHeight="true" outlineLevel="0" collapsed="false">
      <c r="C371" s="98" t="s">
        <v>2110</v>
      </c>
      <c r="D371" s="98" t="s">
        <v>1712</v>
      </c>
      <c r="E371" s="98" t="s">
        <v>835</v>
      </c>
      <c r="F371" s="98" t="n">
        <v>0</v>
      </c>
      <c r="G371" s="98" t="s">
        <v>2101</v>
      </c>
      <c r="H371" s="98" t="s">
        <v>1767</v>
      </c>
      <c r="I371" s="98" t="s">
        <v>1704</v>
      </c>
      <c r="J371" s="98" t="s">
        <v>1705</v>
      </c>
      <c r="K371" s="98" t="s">
        <v>1706</v>
      </c>
    </row>
    <row r="372" customFormat="false" ht="64" hidden="false" customHeight="true" outlineLevel="0" collapsed="false">
      <c r="C372" s="98" t="s">
        <v>2111</v>
      </c>
      <c r="D372" s="98" t="s">
        <v>1714</v>
      </c>
      <c r="E372" s="98" t="s">
        <v>835</v>
      </c>
      <c r="F372" s="98" t="n">
        <v>0</v>
      </c>
      <c r="G372" s="98" t="s">
        <v>2101</v>
      </c>
      <c r="H372" s="98" t="s">
        <v>1767</v>
      </c>
      <c r="I372" s="98" t="s">
        <v>1704</v>
      </c>
      <c r="J372" s="98" t="s">
        <v>1705</v>
      </c>
      <c r="K372" s="98" t="s">
        <v>1706</v>
      </c>
    </row>
    <row r="373" customFormat="false" ht="64" hidden="false" customHeight="true" outlineLevel="0" collapsed="false">
      <c r="C373" s="98" t="s">
        <v>2112</v>
      </c>
      <c r="D373" s="98" t="s">
        <v>1716</v>
      </c>
      <c r="E373" s="98" t="s">
        <v>835</v>
      </c>
      <c r="F373" s="98" t="n">
        <v>0</v>
      </c>
      <c r="G373" s="98" t="s">
        <v>2101</v>
      </c>
      <c r="H373" s="98" t="s">
        <v>1767</v>
      </c>
      <c r="I373" s="98" t="s">
        <v>1704</v>
      </c>
      <c r="J373" s="98" t="s">
        <v>1705</v>
      </c>
      <c r="K373" s="98" t="s">
        <v>1706</v>
      </c>
    </row>
    <row r="374" customFormat="false" ht="64" hidden="false" customHeight="true" outlineLevel="0" collapsed="false">
      <c r="C374" s="98" t="s">
        <v>2113</v>
      </c>
      <c r="D374" s="98" t="s">
        <v>1718</v>
      </c>
      <c r="E374" s="98" t="s">
        <v>835</v>
      </c>
      <c r="F374" s="98" t="n">
        <v>0.02</v>
      </c>
      <c r="G374" s="98" t="s">
        <v>2101</v>
      </c>
      <c r="H374" s="98" t="s">
        <v>1767</v>
      </c>
      <c r="I374" s="98" t="s">
        <v>1704</v>
      </c>
      <c r="J374" s="98" t="s">
        <v>1705</v>
      </c>
      <c r="K374" s="98" t="s">
        <v>1706</v>
      </c>
    </row>
    <row r="375" customFormat="false" ht="64" hidden="false" customHeight="true" outlineLevel="0" collapsed="false">
      <c r="C375" s="98" t="s">
        <v>2114</v>
      </c>
      <c r="D375" s="98" t="s">
        <v>1720</v>
      </c>
      <c r="E375" s="98" t="s">
        <v>835</v>
      </c>
      <c r="F375" s="98" t="n">
        <v>0</v>
      </c>
      <c r="G375" s="98" t="s">
        <v>2101</v>
      </c>
      <c r="H375" s="98" t="s">
        <v>1767</v>
      </c>
      <c r="I375" s="98" t="s">
        <v>1704</v>
      </c>
      <c r="J375" s="98" t="s">
        <v>1705</v>
      </c>
      <c r="K375" s="98" t="s">
        <v>1706</v>
      </c>
    </row>
    <row r="376" customFormat="false" ht="64" hidden="false" customHeight="true" outlineLevel="0" collapsed="false">
      <c r="C376" s="98" t="s">
        <v>2115</v>
      </c>
      <c r="D376" s="98" t="s">
        <v>1722</v>
      </c>
      <c r="E376" s="98" t="s">
        <v>835</v>
      </c>
      <c r="F376" s="98" t="n">
        <v>0</v>
      </c>
      <c r="G376" s="98" t="s">
        <v>2101</v>
      </c>
      <c r="H376" s="98" t="s">
        <v>1767</v>
      </c>
      <c r="I376" s="98" t="s">
        <v>1704</v>
      </c>
      <c r="J376" s="98" t="s">
        <v>1705</v>
      </c>
      <c r="K376" s="98" t="s">
        <v>1706</v>
      </c>
    </row>
    <row r="377" customFormat="false" ht="64" hidden="false" customHeight="true" outlineLevel="0" collapsed="false">
      <c r="C377" s="98" t="s">
        <v>2116</v>
      </c>
      <c r="D377" s="98" t="s">
        <v>1724</v>
      </c>
      <c r="E377" s="98" t="s">
        <v>835</v>
      </c>
      <c r="F377" s="98" t="n">
        <v>0</v>
      </c>
      <c r="G377" s="98" t="s">
        <v>2101</v>
      </c>
      <c r="H377" s="98" t="s">
        <v>1767</v>
      </c>
      <c r="I377" s="98" t="s">
        <v>1704</v>
      </c>
      <c r="J377" s="98" t="s">
        <v>1705</v>
      </c>
      <c r="K377" s="98" t="s">
        <v>1706</v>
      </c>
    </row>
    <row r="378" customFormat="false" ht="64" hidden="false" customHeight="true" outlineLevel="0" collapsed="false">
      <c r="C378" s="98" t="s">
        <v>2117</v>
      </c>
      <c r="D378" s="98" t="s">
        <v>1726</v>
      </c>
      <c r="E378" s="98" t="s">
        <v>835</v>
      </c>
      <c r="F378" s="98" t="n">
        <v>0</v>
      </c>
      <c r="G378" s="98" t="s">
        <v>2101</v>
      </c>
      <c r="H378" s="98" t="s">
        <v>1767</v>
      </c>
      <c r="I378" s="98" t="s">
        <v>1704</v>
      </c>
      <c r="J378" s="98" t="s">
        <v>1705</v>
      </c>
      <c r="K378" s="98" t="s">
        <v>1706</v>
      </c>
    </row>
    <row r="379" customFormat="false" ht="64" hidden="false" customHeight="true" outlineLevel="0" collapsed="false">
      <c r="C379" s="98" t="s">
        <v>2118</v>
      </c>
      <c r="D379" s="98" t="s">
        <v>1728</v>
      </c>
      <c r="E379" s="98" t="s">
        <v>835</v>
      </c>
      <c r="F379" s="98" t="n">
        <v>0</v>
      </c>
      <c r="G379" s="98" t="s">
        <v>2101</v>
      </c>
      <c r="H379" s="98" t="s">
        <v>1767</v>
      </c>
      <c r="I379" s="98" t="s">
        <v>1704</v>
      </c>
      <c r="J379" s="98" t="s">
        <v>1705</v>
      </c>
      <c r="K379" s="98" t="s">
        <v>1706</v>
      </c>
    </row>
    <row r="380" customFormat="false" ht="64" hidden="false" customHeight="true" outlineLevel="0" collapsed="false">
      <c r="C380" s="98" t="s">
        <v>2119</v>
      </c>
      <c r="D380" s="98" t="s">
        <v>1730</v>
      </c>
      <c r="E380" s="98" t="s">
        <v>835</v>
      </c>
      <c r="F380" s="98" t="n">
        <v>0</v>
      </c>
      <c r="G380" s="98" t="s">
        <v>2101</v>
      </c>
      <c r="H380" s="98" t="s">
        <v>1767</v>
      </c>
      <c r="I380" s="98" t="s">
        <v>1704</v>
      </c>
      <c r="J380" s="98" t="s">
        <v>1705</v>
      </c>
      <c r="K380" s="98" t="s">
        <v>1706</v>
      </c>
    </row>
    <row r="381" customFormat="false" ht="64" hidden="false" customHeight="true" outlineLevel="0" collapsed="false">
      <c r="C381" s="98" t="s">
        <v>2120</v>
      </c>
      <c r="D381" s="98" t="s">
        <v>1732</v>
      </c>
      <c r="E381" s="98" t="s">
        <v>835</v>
      </c>
      <c r="F381" s="98" t="n">
        <v>0</v>
      </c>
      <c r="G381" s="98" t="s">
        <v>2101</v>
      </c>
      <c r="H381" s="98" t="s">
        <v>1767</v>
      </c>
      <c r="I381" s="98" t="s">
        <v>1704</v>
      </c>
      <c r="J381" s="98" t="s">
        <v>1705</v>
      </c>
      <c r="K381" s="98" t="s">
        <v>1706</v>
      </c>
    </row>
    <row r="382" customFormat="false" ht="64" hidden="false" customHeight="true" outlineLevel="0" collapsed="false">
      <c r="C382" s="98" t="s">
        <v>2121</v>
      </c>
      <c r="D382" s="98" t="s">
        <v>1734</v>
      </c>
      <c r="E382" s="98" t="s">
        <v>835</v>
      </c>
      <c r="F382" s="98" t="n">
        <v>0</v>
      </c>
      <c r="G382" s="98" t="s">
        <v>2101</v>
      </c>
      <c r="H382" s="98" t="s">
        <v>1767</v>
      </c>
      <c r="I382" s="98" t="s">
        <v>1704</v>
      </c>
      <c r="J382" s="98" t="s">
        <v>1705</v>
      </c>
      <c r="K382" s="98" t="s">
        <v>1706</v>
      </c>
    </row>
    <row r="383" customFormat="false" ht="64" hidden="false" customHeight="true" outlineLevel="0" collapsed="false">
      <c r="C383" s="98" t="s">
        <v>2122</v>
      </c>
      <c r="D383" s="98" t="s">
        <v>1736</v>
      </c>
      <c r="E383" s="98" t="s">
        <v>835</v>
      </c>
      <c r="F383" s="98" t="n">
        <v>0</v>
      </c>
      <c r="G383" s="98" t="s">
        <v>2101</v>
      </c>
      <c r="H383" s="98" t="s">
        <v>1767</v>
      </c>
      <c r="I383" s="98" t="s">
        <v>1704</v>
      </c>
      <c r="J383" s="98" t="s">
        <v>1705</v>
      </c>
      <c r="K383" s="98" t="s">
        <v>1706</v>
      </c>
    </row>
    <row r="384" customFormat="false" ht="64" hidden="false" customHeight="true" outlineLevel="0" collapsed="false">
      <c r="C384" s="98" t="s">
        <v>2123</v>
      </c>
      <c r="D384" s="98" t="s">
        <v>1738</v>
      </c>
      <c r="E384" s="98" t="s">
        <v>835</v>
      </c>
      <c r="F384" s="98" t="n">
        <v>0</v>
      </c>
      <c r="G384" s="98" t="s">
        <v>2101</v>
      </c>
      <c r="H384" s="98" t="s">
        <v>1767</v>
      </c>
      <c r="I384" s="98" t="s">
        <v>1704</v>
      </c>
      <c r="J384" s="98" t="s">
        <v>1705</v>
      </c>
      <c r="K384" s="98" t="s">
        <v>1706</v>
      </c>
    </row>
    <row r="385" customFormat="false" ht="64" hidden="false" customHeight="true" outlineLevel="0" collapsed="false">
      <c r="C385" s="98" t="s">
        <v>2124</v>
      </c>
      <c r="D385" s="98" t="s">
        <v>1740</v>
      </c>
      <c r="E385" s="98" t="s">
        <v>835</v>
      </c>
      <c r="F385" s="98" t="n">
        <v>0</v>
      </c>
      <c r="G385" s="98" t="s">
        <v>2101</v>
      </c>
      <c r="H385" s="98" t="s">
        <v>1767</v>
      </c>
      <c r="I385" s="98" t="s">
        <v>1704</v>
      </c>
      <c r="J385" s="98" t="s">
        <v>1705</v>
      </c>
      <c r="K385" s="98" t="s">
        <v>1706</v>
      </c>
    </row>
    <row r="386" customFormat="false" ht="64" hidden="false" customHeight="true" outlineLevel="0" collapsed="false">
      <c r="C386" s="98" t="s">
        <v>2125</v>
      </c>
      <c r="D386" s="98" t="s">
        <v>1742</v>
      </c>
      <c r="E386" s="98" t="s">
        <v>835</v>
      </c>
      <c r="F386" s="98" t="n">
        <v>0.02</v>
      </c>
      <c r="G386" s="98" t="s">
        <v>2101</v>
      </c>
      <c r="H386" s="98" t="s">
        <v>1767</v>
      </c>
      <c r="I386" s="98" t="s">
        <v>1704</v>
      </c>
      <c r="J386" s="98" t="s">
        <v>1705</v>
      </c>
      <c r="K386" s="98" t="s">
        <v>1706</v>
      </c>
    </row>
    <row r="387" customFormat="false" ht="64" hidden="false" customHeight="true" outlineLevel="0" collapsed="false">
      <c r="C387" s="98" t="s">
        <v>2126</v>
      </c>
      <c r="D387" s="98" t="s">
        <v>1744</v>
      </c>
      <c r="E387" s="98" t="s">
        <v>835</v>
      </c>
      <c r="F387" s="98" t="n">
        <v>0</v>
      </c>
      <c r="G387" s="98" t="s">
        <v>2101</v>
      </c>
      <c r="H387" s="98" t="s">
        <v>1767</v>
      </c>
      <c r="I387" s="98" t="s">
        <v>1704</v>
      </c>
      <c r="J387" s="98" t="s">
        <v>1705</v>
      </c>
      <c r="K387" s="98" t="s">
        <v>1706</v>
      </c>
    </row>
    <row r="388" customFormat="false" ht="64" hidden="false" customHeight="true" outlineLevel="0" collapsed="false">
      <c r="C388" s="98" t="s">
        <v>2127</v>
      </c>
      <c r="D388" s="98" t="s">
        <v>1746</v>
      </c>
      <c r="E388" s="98" t="s">
        <v>835</v>
      </c>
      <c r="F388" s="98" t="n">
        <v>0</v>
      </c>
      <c r="G388" s="98" t="s">
        <v>2101</v>
      </c>
      <c r="H388" s="98" t="s">
        <v>1767</v>
      </c>
      <c r="I388" s="98" t="s">
        <v>1704</v>
      </c>
      <c r="J388" s="98" t="s">
        <v>1705</v>
      </c>
      <c r="K388" s="98" t="s">
        <v>1706</v>
      </c>
    </row>
    <row r="389" customFormat="false" ht="64" hidden="false" customHeight="true" outlineLevel="0" collapsed="false">
      <c r="C389" s="98" t="s">
        <v>2128</v>
      </c>
      <c r="D389" s="98" t="s">
        <v>1748</v>
      </c>
      <c r="E389" s="98" t="s">
        <v>835</v>
      </c>
      <c r="F389" s="98" t="n">
        <v>0</v>
      </c>
      <c r="G389" s="98" t="s">
        <v>2101</v>
      </c>
      <c r="H389" s="98" t="s">
        <v>1767</v>
      </c>
      <c r="I389" s="98" t="s">
        <v>1704</v>
      </c>
      <c r="J389" s="98" t="s">
        <v>1705</v>
      </c>
      <c r="K389" s="98" t="s">
        <v>1706</v>
      </c>
    </row>
    <row r="390" customFormat="false" ht="64" hidden="false" customHeight="true" outlineLevel="0" collapsed="false">
      <c r="C390" s="98" t="s">
        <v>2129</v>
      </c>
      <c r="D390" s="98" t="s">
        <v>1750</v>
      </c>
      <c r="E390" s="98" t="s">
        <v>835</v>
      </c>
      <c r="F390" s="98" t="n">
        <v>0</v>
      </c>
      <c r="G390" s="98" t="s">
        <v>2101</v>
      </c>
      <c r="H390" s="98" t="s">
        <v>1767</v>
      </c>
      <c r="I390" s="98" t="s">
        <v>1704</v>
      </c>
      <c r="J390" s="98" t="s">
        <v>1705</v>
      </c>
      <c r="K390" s="98" t="s">
        <v>1706</v>
      </c>
    </row>
    <row r="391" customFormat="false" ht="64" hidden="false" customHeight="true" outlineLevel="0" collapsed="false">
      <c r="C391" s="98" t="s">
        <v>2130</v>
      </c>
      <c r="D391" s="98" t="s">
        <v>1752</v>
      </c>
      <c r="E391" s="98" t="s">
        <v>835</v>
      </c>
      <c r="F391" s="98" t="n">
        <v>0</v>
      </c>
      <c r="G391" s="98" t="s">
        <v>2101</v>
      </c>
      <c r="H391" s="98" t="s">
        <v>1767</v>
      </c>
      <c r="I391" s="98" t="s">
        <v>1704</v>
      </c>
      <c r="J391" s="98" t="s">
        <v>1705</v>
      </c>
      <c r="K391" s="98" t="s">
        <v>1706</v>
      </c>
    </row>
    <row r="392" customFormat="false" ht="64" hidden="false" customHeight="true" outlineLevel="0" collapsed="false">
      <c r="C392" s="98" t="s">
        <v>2131</v>
      </c>
      <c r="D392" s="98" t="s">
        <v>1754</v>
      </c>
      <c r="E392" s="98" t="s">
        <v>835</v>
      </c>
      <c r="F392" s="98" t="n">
        <v>0</v>
      </c>
      <c r="G392" s="98" t="s">
        <v>2101</v>
      </c>
      <c r="H392" s="98" t="s">
        <v>1767</v>
      </c>
      <c r="I392" s="98" t="s">
        <v>1704</v>
      </c>
      <c r="J392" s="98" t="s">
        <v>1705</v>
      </c>
      <c r="K392" s="98" t="s">
        <v>1706</v>
      </c>
    </row>
    <row r="393" customFormat="false" ht="64" hidden="false" customHeight="true" outlineLevel="0" collapsed="false">
      <c r="C393" s="98" t="s">
        <v>2132</v>
      </c>
      <c r="D393" s="98" t="s">
        <v>1756</v>
      </c>
      <c r="E393" s="98" t="s">
        <v>835</v>
      </c>
      <c r="F393" s="98" t="n">
        <v>0</v>
      </c>
      <c r="G393" s="98" t="s">
        <v>2101</v>
      </c>
      <c r="H393" s="98" t="s">
        <v>1767</v>
      </c>
      <c r="I393" s="98" t="s">
        <v>1704</v>
      </c>
      <c r="J393" s="98" t="s">
        <v>1705</v>
      </c>
      <c r="K393" s="98" t="s">
        <v>1706</v>
      </c>
    </row>
    <row r="394" customFormat="false" ht="64" hidden="false" customHeight="true" outlineLevel="0" collapsed="false">
      <c r="C394" s="98" t="s">
        <v>2133</v>
      </c>
      <c r="D394" s="98" t="s">
        <v>1758</v>
      </c>
      <c r="E394" s="98" t="s">
        <v>835</v>
      </c>
      <c r="F394" s="98" t="n">
        <v>0</v>
      </c>
      <c r="G394" s="98" t="s">
        <v>2101</v>
      </c>
      <c r="H394" s="98" t="s">
        <v>1767</v>
      </c>
      <c r="I394" s="98" t="s">
        <v>1704</v>
      </c>
      <c r="J394" s="98" t="s">
        <v>1705</v>
      </c>
      <c r="K394" s="98" t="s">
        <v>1706</v>
      </c>
    </row>
    <row r="395" customFormat="false" ht="64" hidden="false" customHeight="true" outlineLevel="0" collapsed="false">
      <c r="C395" s="98" t="s">
        <v>2134</v>
      </c>
      <c r="D395" s="98" t="s">
        <v>1760</v>
      </c>
      <c r="E395" s="98" t="s">
        <v>835</v>
      </c>
      <c r="F395" s="98" t="n">
        <v>0</v>
      </c>
      <c r="G395" s="98" t="s">
        <v>2101</v>
      </c>
      <c r="H395" s="98" t="s">
        <v>1767</v>
      </c>
      <c r="I395" s="98" t="s">
        <v>1704</v>
      </c>
      <c r="J395" s="98" t="s">
        <v>1705</v>
      </c>
      <c r="K395" s="98" t="s">
        <v>1706</v>
      </c>
    </row>
    <row r="396" customFormat="false" ht="64" hidden="false" customHeight="true" outlineLevel="0" collapsed="false">
      <c r="C396" s="98" t="s">
        <v>2135</v>
      </c>
      <c r="D396" s="98" t="s">
        <v>1762</v>
      </c>
      <c r="E396" s="98" t="s">
        <v>835</v>
      </c>
      <c r="F396" s="98" t="n">
        <v>0</v>
      </c>
      <c r="G396" s="98" t="s">
        <v>2101</v>
      </c>
      <c r="H396" s="98" t="s">
        <v>1767</v>
      </c>
      <c r="I396" s="98" t="s">
        <v>1704</v>
      </c>
      <c r="J396" s="98" t="s">
        <v>1705</v>
      </c>
      <c r="K396" s="98" t="s">
        <v>1706</v>
      </c>
    </row>
    <row r="397" customFormat="false" ht="64" hidden="false" customHeight="true" outlineLevel="0" collapsed="false">
      <c r="C397" s="98" t="s">
        <v>2136</v>
      </c>
      <c r="D397" s="98" t="s">
        <v>1764</v>
      </c>
      <c r="E397" s="98" t="s">
        <v>835</v>
      </c>
      <c r="F397" s="98" t="n">
        <v>0</v>
      </c>
      <c r="G397" s="98" t="s">
        <v>2101</v>
      </c>
      <c r="H397" s="98" t="s">
        <v>1767</v>
      </c>
      <c r="I397" s="98" t="s">
        <v>1704</v>
      </c>
      <c r="J397" s="98" t="s">
        <v>1705</v>
      </c>
      <c r="K397" s="98" t="s">
        <v>1706</v>
      </c>
    </row>
    <row r="398" customFormat="false" ht="64" hidden="false" customHeight="true" outlineLevel="0" collapsed="false">
      <c r="C398" s="98" t="s">
        <v>2137</v>
      </c>
      <c r="D398" s="98" t="s">
        <v>1829</v>
      </c>
      <c r="E398" s="98" t="s">
        <v>835</v>
      </c>
      <c r="F398" s="98" t="n">
        <v>0.03</v>
      </c>
      <c r="G398" s="98" t="s">
        <v>2138</v>
      </c>
      <c r="H398" s="98" t="s">
        <v>1767</v>
      </c>
      <c r="I398" s="98" t="s">
        <v>1704</v>
      </c>
      <c r="J398" s="98" t="s">
        <v>1705</v>
      </c>
      <c r="K398" s="98" t="s">
        <v>1706</v>
      </c>
    </row>
    <row r="399" customFormat="false" ht="64" hidden="false" customHeight="true" outlineLevel="0" collapsed="false">
      <c r="C399" s="98" t="s">
        <v>2139</v>
      </c>
      <c r="D399" s="98" t="s">
        <v>1833</v>
      </c>
      <c r="E399" s="98" t="s">
        <v>835</v>
      </c>
      <c r="F399" s="98" t="n">
        <v>0</v>
      </c>
      <c r="G399" s="98" t="s">
        <v>2138</v>
      </c>
      <c r="H399" s="98" t="s">
        <v>1767</v>
      </c>
      <c r="I399" s="98" t="s">
        <v>1704</v>
      </c>
      <c r="J399" s="98" t="s">
        <v>1705</v>
      </c>
      <c r="K399" s="98" t="s">
        <v>1706</v>
      </c>
    </row>
    <row r="400" customFormat="false" ht="64" hidden="false" customHeight="true" outlineLevel="0" collapsed="false">
      <c r="C400" s="98" t="s">
        <v>2140</v>
      </c>
      <c r="D400" s="98" t="s">
        <v>1835</v>
      </c>
      <c r="E400" s="98" t="s">
        <v>835</v>
      </c>
      <c r="F400" s="98" t="n">
        <v>0</v>
      </c>
      <c r="G400" s="98" t="s">
        <v>2138</v>
      </c>
      <c r="H400" s="98" t="s">
        <v>1767</v>
      </c>
      <c r="I400" s="98" t="s">
        <v>1704</v>
      </c>
      <c r="J400" s="98" t="s">
        <v>1705</v>
      </c>
      <c r="K400" s="98" t="s">
        <v>1706</v>
      </c>
    </row>
    <row r="401" customFormat="false" ht="64" hidden="false" customHeight="true" outlineLevel="0" collapsed="false">
      <c r="C401" s="98" t="s">
        <v>2141</v>
      </c>
      <c r="D401" s="98" t="s">
        <v>1044</v>
      </c>
      <c r="E401" s="98" t="s">
        <v>835</v>
      </c>
      <c r="F401" s="98" t="n">
        <v>0</v>
      </c>
      <c r="G401" s="98" t="s">
        <v>2138</v>
      </c>
      <c r="H401" s="98" t="s">
        <v>1767</v>
      </c>
      <c r="I401" s="98" t="s">
        <v>1704</v>
      </c>
      <c r="J401" s="98" t="s">
        <v>1705</v>
      </c>
      <c r="K401" s="98" t="s">
        <v>1706</v>
      </c>
    </row>
    <row r="402" customFormat="false" ht="64" hidden="false" customHeight="true" outlineLevel="0" collapsed="false">
      <c r="C402" s="98" t="s">
        <v>2142</v>
      </c>
      <c r="D402" s="98" t="s">
        <v>1838</v>
      </c>
      <c r="E402" s="98" t="s">
        <v>835</v>
      </c>
      <c r="F402" s="98" t="n">
        <v>0</v>
      </c>
      <c r="G402" s="98" t="s">
        <v>2138</v>
      </c>
      <c r="H402" s="98" t="s">
        <v>1767</v>
      </c>
      <c r="I402" s="98" t="s">
        <v>1704</v>
      </c>
      <c r="J402" s="98" t="s">
        <v>1705</v>
      </c>
      <c r="K402" s="98" t="s">
        <v>1706</v>
      </c>
    </row>
    <row r="403" customFormat="false" ht="64" hidden="false" customHeight="true" outlineLevel="0" collapsed="false">
      <c r="C403" s="98" t="s">
        <v>2143</v>
      </c>
      <c r="D403" s="98" t="s">
        <v>1840</v>
      </c>
      <c r="E403" s="98" t="s">
        <v>835</v>
      </c>
      <c r="F403" s="98" t="n">
        <v>0</v>
      </c>
      <c r="G403" s="98" t="s">
        <v>2138</v>
      </c>
      <c r="H403" s="98" t="s">
        <v>1767</v>
      </c>
      <c r="I403" s="98" t="s">
        <v>1704</v>
      </c>
      <c r="J403" s="98" t="s">
        <v>1705</v>
      </c>
      <c r="K403" s="98" t="s">
        <v>1706</v>
      </c>
    </row>
    <row r="404" customFormat="false" ht="64" hidden="false" customHeight="true" outlineLevel="0" collapsed="false">
      <c r="C404" s="98" t="s">
        <v>2144</v>
      </c>
      <c r="D404" s="98" t="s">
        <v>1700</v>
      </c>
      <c r="E404" s="98" t="s">
        <v>835</v>
      </c>
      <c r="F404" s="98" t="n">
        <v>0</v>
      </c>
      <c r="G404" s="98" t="s">
        <v>2138</v>
      </c>
      <c r="H404" s="98" t="s">
        <v>1767</v>
      </c>
      <c r="I404" s="98" t="s">
        <v>1704</v>
      </c>
      <c r="J404" s="98" t="s">
        <v>1705</v>
      </c>
      <c r="K404" s="98" t="s">
        <v>1706</v>
      </c>
    </row>
    <row r="405" customFormat="false" ht="64" hidden="false" customHeight="true" outlineLevel="0" collapsed="false">
      <c r="C405" s="98" t="s">
        <v>2145</v>
      </c>
      <c r="D405" s="98" t="s">
        <v>1708</v>
      </c>
      <c r="E405" s="98" t="s">
        <v>835</v>
      </c>
      <c r="F405" s="98" t="n">
        <v>0</v>
      </c>
      <c r="G405" s="98" t="s">
        <v>2138</v>
      </c>
      <c r="H405" s="98" t="s">
        <v>1767</v>
      </c>
      <c r="I405" s="98" t="s">
        <v>1704</v>
      </c>
      <c r="J405" s="98" t="s">
        <v>1705</v>
      </c>
      <c r="K405" s="98" t="s">
        <v>1706</v>
      </c>
    </row>
    <row r="406" customFormat="false" ht="64" hidden="false" customHeight="true" outlineLevel="0" collapsed="false">
      <c r="C406" s="98" t="s">
        <v>2146</v>
      </c>
      <c r="D406" s="98" t="s">
        <v>1710</v>
      </c>
      <c r="E406" s="98" t="s">
        <v>835</v>
      </c>
      <c r="F406" s="98" t="n">
        <v>0</v>
      </c>
      <c r="G406" s="98" t="s">
        <v>2138</v>
      </c>
      <c r="H406" s="98" t="s">
        <v>1767</v>
      </c>
      <c r="I406" s="98" t="s">
        <v>1704</v>
      </c>
      <c r="J406" s="98" t="s">
        <v>1705</v>
      </c>
      <c r="K406" s="98" t="s">
        <v>1706</v>
      </c>
    </row>
    <row r="407" customFormat="false" ht="64" hidden="false" customHeight="true" outlineLevel="0" collapsed="false">
      <c r="C407" s="98" t="s">
        <v>2147</v>
      </c>
      <c r="D407" s="98" t="s">
        <v>1712</v>
      </c>
      <c r="E407" s="98" t="s">
        <v>835</v>
      </c>
      <c r="F407" s="98" t="n">
        <v>0</v>
      </c>
      <c r="G407" s="98" t="s">
        <v>2138</v>
      </c>
      <c r="H407" s="98" t="s">
        <v>1767</v>
      </c>
      <c r="I407" s="98" t="s">
        <v>1704</v>
      </c>
      <c r="J407" s="98" t="s">
        <v>1705</v>
      </c>
      <c r="K407" s="98" t="s">
        <v>1706</v>
      </c>
    </row>
    <row r="408" customFormat="false" ht="64" hidden="false" customHeight="true" outlineLevel="0" collapsed="false">
      <c r="C408" s="98" t="s">
        <v>2148</v>
      </c>
      <c r="D408" s="98" t="s">
        <v>1714</v>
      </c>
      <c r="E408" s="98" t="s">
        <v>835</v>
      </c>
      <c r="F408" s="98" t="n">
        <v>0</v>
      </c>
      <c r="G408" s="98" t="s">
        <v>2138</v>
      </c>
      <c r="H408" s="98" t="s">
        <v>1767</v>
      </c>
      <c r="I408" s="98" t="s">
        <v>1704</v>
      </c>
      <c r="J408" s="98" t="s">
        <v>1705</v>
      </c>
      <c r="K408" s="98" t="s">
        <v>1706</v>
      </c>
    </row>
    <row r="409" customFormat="false" ht="64" hidden="false" customHeight="true" outlineLevel="0" collapsed="false">
      <c r="C409" s="98" t="s">
        <v>2149</v>
      </c>
      <c r="D409" s="98" t="s">
        <v>1716</v>
      </c>
      <c r="E409" s="98" t="s">
        <v>835</v>
      </c>
      <c r="F409" s="98" t="n">
        <v>0</v>
      </c>
      <c r="G409" s="98" t="s">
        <v>2138</v>
      </c>
      <c r="H409" s="98" t="s">
        <v>1767</v>
      </c>
      <c r="I409" s="98" t="s">
        <v>1704</v>
      </c>
      <c r="J409" s="98" t="s">
        <v>1705</v>
      </c>
      <c r="K409" s="98" t="s">
        <v>1706</v>
      </c>
    </row>
    <row r="410" customFormat="false" ht="64" hidden="false" customHeight="true" outlineLevel="0" collapsed="false">
      <c r="C410" s="98" t="s">
        <v>2150</v>
      </c>
      <c r="D410" s="98" t="s">
        <v>1718</v>
      </c>
      <c r="E410" s="98" t="s">
        <v>835</v>
      </c>
      <c r="F410" s="98" t="n">
        <v>0.03</v>
      </c>
      <c r="G410" s="98" t="s">
        <v>2138</v>
      </c>
      <c r="H410" s="98" t="s">
        <v>1767</v>
      </c>
      <c r="I410" s="98" t="s">
        <v>1704</v>
      </c>
      <c r="J410" s="98" t="s">
        <v>1705</v>
      </c>
      <c r="K410" s="98" t="s">
        <v>1706</v>
      </c>
    </row>
    <row r="411" customFormat="false" ht="64" hidden="false" customHeight="true" outlineLevel="0" collapsed="false">
      <c r="C411" s="98" t="s">
        <v>2151</v>
      </c>
      <c r="D411" s="98" t="s">
        <v>1720</v>
      </c>
      <c r="E411" s="98" t="s">
        <v>835</v>
      </c>
      <c r="F411" s="98" t="n">
        <v>0</v>
      </c>
      <c r="G411" s="98" t="s">
        <v>2138</v>
      </c>
      <c r="H411" s="98" t="s">
        <v>1767</v>
      </c>
      <c r="I411" s="98" t="s">
        <v>1704</v>
      </c>
      <c r="J411" s="98" t="s">
        <v>1705</v>
      </c>
      <c r="K411" s="98" t="s">
        <v>1706</v>
      </c>
    </row>
    <row r="412" customFormat="false" ht="64" hidden="false" customHeight="true" outlineLevel="0" collapsed="false">
      <c r="C412" s="98" t="s">
        <v>2152</v>
      </c>
      <c r="D412" s="98" t="s">
        <v>1722</v>
      </c>
      <c r="E412" s="98" t="s">
        <v>835</v>
      </c>
      <c r="F412" s="98" t="n">
        <v>0</v>
      </c>
      <c r="G412" s="98" t="s">
        <v>2138</v>
      </c>
      <c r="H412" s="98" t="s">
        <v>1767</v>
      </c>
      <c r="I412" s="98" t="s">
        <v>1704</v>
      </c>
      <c r="J412" s="98" t="s">
        <v>1705</v>
      </c>
      <c r="K412" s="98" t="s">
        <v>1706</v>
      </c>
    </row>
    <row r="413" customFormat="false" ht="64" hidden="false" customHeight="true" outlineLevel="0" collapsed="false">
      <c r="C413" s="98" t="s">
        <v>2153</v>
      </c>
      <c r="D413" s="98" t="s">
        <v>1724</v>
      </c>
      <c r="E413" s="98" t="s">
        <v>835</v>
      </c>
      <c r="F413" s="98" t="n">
        <v>0</v>
      </c>
      <c r="G413" s="98" t="s">
        <v>2138</v>
      </c>
      <c r="H413" s="98" t="s">
        <v>1767</v>
      </c>
      <c r="I413" s="98" t="s">
        <v>1704</v>
      </c>
      <c r="J413" s="98" t="s">
        <v>1705</v>
      </c>
      <c r="K413" s="98" t="s">
        <v>1706</v>
      </c>
    </row>
    <row r="414" customFormat="false" ht="64" hidden="false" customHeight="true" outlineLevel="0" collapsed="false">
      <c r="C414" s="98" t="s">
        <v>2154</v>
      </c>
      <c r="D414" s="98" t="s">
        <v>1726</v>
      </c>
      <c r="E414" s="98" t="s">
        <v>835</v>
      </c>
      <c r="F414" s="98" t="n">
        <v>0</v>
      </c>
      <c r="G414" s="98" t="s">
        <v>2138</v>
      </c>
      <c r="H414" s="98" t="s">
        <v>1767</v>
      </c>
      <c r="I414" s="98" t="s">
        <v>1704</v>
      </c>
      <c r="J414" s="98" t="s">
        <v>1705</v>
      </c>
      <c r="K414" s="98" t="s">
        <v>1706</v>
      </c>
    </row>
    <row r="415" customFormat="false" ht="64" hidden="false" customHeight="true" outlineLevel="0" collapsed="false">
      <c r="C415" s="98" t="s">
        <v>2155</v>
      </c>
      <c r="D415" s="98" t="s">
        <v>1728</v>
      </c>
      <c r="E415" s="98" t="s">
        <v>835</v>
      </c>
      <c r="F415" s="98" t="n">
        <v>0</v>
      </c>
      <c r="G415" s="98" t="s">
        <v>2138</v>
      </c>
      <c r="H415" s="98" t="s">
        <v>1767</v>
      </c>
      <c r="I415" s="98" t="s">
        <v>1704</v>
      </c>
      <c r="J415" s="98" t="s">
        <v>1705</v>
      </c>
      <c r="K415" s="98" t="s">
        <v>1706</v>
      </c>
    </row>
    <row r="416" customFormat="false" ht="64" hidden="false" customHeight="true" outlineLevel="0" collapsed="false">
      <c r="C416" s="98" t="s">
        <v>2156</v>
      </c>
      <c r="D416" s="98" t="s">
        <v>1730</v>
      </c>
      <c r="E416" s="98" t="s">
        <v>835</v>
      </c>
      <c r="F416" s="98" t="n">
        <v>0</v>
      </c>
      <c r="G416" s="98" t="s">
        <v>2138</v>
      </c>
      <c r="H416" s="98" t="s">
        <v>1767</v>
      </c>
      <c r="I416" s="98" t="s">
        <v>1704</v>
      </c>
      <c r="J416" s="98" t="s">
        <v>1705</v>
      </c>
      <c r="K416" s="98" t="s">
        <v>1706</v>
      </c>
    </row>
    <row r="417" customFormat="false" ht="64" hidden="false" customHeight="true" outlineLevel="0" collapsed="false">
      <c r="C417" s="98" t="s">
        <v>2157</v>
      </c>
      <c r="D417" s="98" t="s">
        <v>1732</v>
      </c>
      <c r="E417" s="98" t="s">
        <v>835</v>
      </c>
      <c r="F417" s="98" t="n">
        <v>0</v>
      </c>
      <c r="G417" s="98" t="s">
        <v>2138</v>
      </c>
      <c r="H417" s="98" t="s">
        <v>1767</v>
      </c>
      <c r="I417" s="98" t="s">
        <v>1704</v>
      </c>
      <c r="J417" s="98" t="s">
        <v>1705</v>
      </c>
      <c r="K417" s="98" t="s">
        <v>1706</v>
      </c>
    </row>
    <row r="418" customFormat="false" ht="64" hidden="false" customHeight="true" outlineLevel="0" collapsed="false">
      <c r="C418" s="98" t="s">
        <v>2158</v>
      </c>
      <c r="D418" s="98" t="s">
        <v>1734</v>
      </c>
      <c r="E418" s="98" t="s">
        <v>835</v>
      </c>
      <c r="F418" s="98" t="n">
        <v>0</v>
      </c>
      <c r="G418" s="98" t="s">
        <v>2138</v>
      </c>
      <c r="H418" s="98" t="s">
        <v>1767</v>
      </c>
      <c r="I418" s="98" t="s">
        <v>1704</v>
      </c>
      <c r="J418" s="98" t="s">
        <v>1705</v>
      </c>
      <c r="K418" s="98" t="s">
        <v>1706</v>
      </c>
    </row>
    <row r="419" customFormat="false" ht="64" hidden="false" customHeight="true" outlineLevel="0" collapsed="false">
      <c r="C419" s="98" t="s">
        <v>2159</v>
      </c>
      <c r="D419" s="98" t="s">
        <v>1736</v>
      </c>
      <c r="E419" s="98" t="s">
        <v>835</v>
      </c>
      <c r="F419" s="98" t="n">
        <v>0</v>
      </c>
      <c r="G419" s="98" t="s">
        <v>2138</v>
      </c>
      <c r="H419" s="98" t="s">
        <v>1767</v>
      </c>
      <c r="I419" s="98" t="s">
        <v>1704</v>
      </c>
      <c r="J419" s="98" t="s">
        <v>1705</v>
      </c>
      <c r="K419" s="98" t="s">
        <v>1706</v>
      </c>
    </row>
    <row r="420" customFormat="false" ht="64" hidden="false" customHeight="true" outlineLevel="0" collapsed="false">
      <c r="C420" s="98" t="s">
        <v>2160</v>
      </c>
      <c r="D420" s="98" t="s">
        <v>1738</v>
      </c>
      <c r="E420" s="98" t="s">
        <v>835</v>
      </c>
      <c r="F420" s="98" t="n">
        <v>0</v>
      </c>
      <c r="G420" s="98" t="s">
        <v>2138</v>
      </c>
      <c r="H420" s="98" t="s">
        <v>1767</v>
      </c>
      <c r="I420" s="98" t="s">
        <v>1704</v>
      </c>
      <c r="J420" s="98" t="s">
        <v>1705</v>
      </c>
      <c r="K420" s="98" t="s">
        <v>1706</v>
      </c>
    </row>
    <row r="421" customFormat="false" ht="64" hidden="false" customHeight="true" outlineLevel="0" collapsed="false">
      <c r="C421" s="98" t="s">
        <v>2161</v>
      </c>
      <c r="D421" s="98" t="s">
        <v>1740</v>
      </c>
      <c r="E421" s="98" t="s">
        <v>835</v>
      </c>
      <c r="F421" s="98" t="n">
        <v>0</v>
      </c>
      <c r="G421" s="98" t="s">
        <v>2138</v>
      </c>
      <c r="H421" s="98" t="s">
        <v>1767</v>
      </c>
      <c r="I421" s="98" t="s">
        <v>1704</v>
      </c>
      <c r="J421" s="98" t="s">
        <v>1705</v>
      </c>
      <c r="K421" s="98" t="s">
        <v>1706</v>
      </c>
    </row>
    <row r="422" customFormat="false" ht="64" hidden="false" customHeight="true" outlineLevel="0" collapsed="false">
      <c r="C422" s="98" t="s">
        <v>2162</v>
      </c>
      <c r="D422" s="98" t="s">
        <v>1742</v>
      </c>
      <c r="E422" s="98" t="s">
        <v>835</v>
      </c>
      <c r="F422" s="98" t="n">
        <v>0.03</v>
      </c>
      <c r="G422" s="98" t="s">
        <v>2138</v>
      </c>
      <c r="H422" s="98" t="s">
        <v>1767</v>
      </c>
      <c r="I422" s="98" t="s">
        <v>1704</v>
      </c>
      <c r="J422" s="98" t="s">
        <v>1705</v>
      </c>
      <c r="K422" s="98" t="s">
        <v>1706</v>
      </c>
    </row>
    <row r="423" customFormat="false" ht="64" hidden="false" customHeight="true" outlineLevel="0" collapsed="false">
      <c r="C423" s="98" t="s">
        <v>2163</v>
      </c>
      <c r="D423" s="98" t="s">
        <v>1744</v>
      </c>
      <c r="E423" s="98" t="s">
        <v>835</v>
      </c>
      <c r="F423" s="98" t="n">
        <v>0</v>
      </c>
      <c r="G423" s="98" t="s">
        <v>2138</v>
      </c>
      <c r="H423" s="98" t="s">
        <v>1767</v>
      </c>
      <c r="I423" s="98" t="s">
        <v>1704</v>
      </c>
      <c r="J423" s="98" t="s">
        <v>1705</v>
      </c>
      <c r="K423" s="98" t="s">
        <v>1706</v>
      </c>
    </row>
    <row r="424" customFormat="false" ht="64" hidden="false" customHeight="true" outlineLevel="0" collapsed="false">
      <c r="C424" s="98" t="s">
        <v>2164</v>
      </c>
      <c r="D424" s="98" t="s">
        <v>1746</v>
      </c>
      <c r="E424" s="98" t="s">
        <v>835</v>
      </c>
      <c r="F424" s="98" t="n">
        <v>0</v>
      </c>
      <c r="G424" s="98" t="s">
        <v>2138</v>
      </c>
      <c r="H424" s="98" t="s">
        <v>1767</v>
      </c>
      <c r="I424" s="98" t="s">
        <v>1704</v>
      </c>
      <c r="J424" s="98" t="s">
        <v>1705</v>
      </c>
      <c r="K424" s="98" t="s">
        <v>1706</v>
      </c>
    </row>
    <row r="425" customFormat="false" ht="64" hidden="false" customHeight="true" outlineLevel="0" collapsed="false">
      <c r="C425" s="98" t="s">
        <v>2165</v>
      </c>
      <c r="D425" s="98" t="s">
        <v>1748</v>
      </c>
      <c r="E425" s="98" t="s">
        <v>835</v>
      </c>
      <c r="F425" s="98" t="n">
        <v>0</v>
      </c>
      <c r="G425" s="98" t="s">
        <v>2138</v>
      </c>
      <c r="H425" s="98" t="s">
        <v>1767</v>
      </c>
      <c r="I425" s="98" t="s">
        <v>1704</v>
      </c>
      <c r="J425" s="98" t="s">
        <v>1705</v>
      </c>
      <c r="K425" s="98" t="s">
        <v>1706</v>
      </c>
    </row>
    <row r="426" customFormat="false" ht="64" hidden="false" customHeight="true" outlineLevel="0" collapsed="false">
      <c r="C426" s="98" t="s">
        <v>2166</v>
      </c>
      <c r="D426" s="98" t="s">
        <v>1750</v>
      </c>
      <c r="E426" s="98" t="s">
        <v>835</v>
      </c>
      <c r="F426" s="98" t="n">
        <v>0</v>
      </c>
      <c r="G426" s="98" t="s">
        <v>2138</v>
      </c>
      <c r="H426" s="98" t="s">
        <v>1767</v>
      </c>
      <c r="I426" s="98" t="s">
        <v>1704</v>
      </c>
      <c r="J426" s="98" t="s">
        <v>1705</v>
      </c>
      <c r="K426" s="98" t="s">
        <v>1706</v>
      </c>
    </row>
    <row r="427" customFormat="false" ht="64" hidden="false" customHeight="true" outlineLevel="0" collapsed="false">
      <c r="C427" s="98" t="s">
        <v>2167</v>
      </c>
      <c r="D427" s="98" t="s">
        <v>1752</v>
      </c>
      <c r="E427" s="98" t="s">
        <v>835</v>
      </c>
      <c r="F427" s="98" t="n">
        <v>0</v>
      </c>
      <c r="G427" s="98" t="s">
        <v>2138</v>
      </c>
      <c r="H427" s="98" t="s">
        <v>1767</v>
      </c>
      <c r="I427" s="98" t="s">
        <v>1704</v>
      </c>
      <c r="J427" s="98" t="s">
        <v>1705</v>
      </c>
      <c r="K427" s="98" t="s">
        <v>1706</v>
      </c>
    </row>
    <row r="428" customFormat="false" ht="64" hidden="false" customHeight="true" outlineLevel="0" collapsed="false">
      <c r="C428" s="98" t="s">
        <v>2168</v>
      </c>
      <c r="D428" s="98" t="s">
        <v>1754</v>
      </c>
      <c r="E428" s="98" t="s">
        <v>835</v>
      </c>
      <c r="F428" s="98" t="n">
        <v>0</v>
      </c>
      <c r="G428" s="98" t="s">
        <v>2138</v>
      </c>
      <c r="H428" s="98" t="s">
        <v>1767</v>
      </c>
      <c r="I428" s="98" t="s">
        <v>1704</v>
      </c>
      <c r="J428" s="98" t="s">
        <v>1705</v>
      </c>
      <c r="K428" s="98" t="s">
        <v>1706</v>
      </c>
    </row>
    <row r="429" customFormat="false" ht="64" hidden="false" customHeight="true" outlineLevel="0" collapsed="false">
      <c r="C429" s="98" t="s">
        <v>2169</v>
      </c>
      <c r="D429" s="98" t="s">
        <v>1756</v>
      </c>
      <c r="E429" s="98" t="s">
        <v>835</v>
      </c>
      <c r="F429" s="98" t="n">
        <v>0</v>
      </c>
      <c r="G429" s="98" t="s">
        <v>2138</v>
      </c>
      <c r="H429" s="98" t="s">
        <v>1767</v>
      </c>
      <c r="I429" s="98" t="s">
        <v>1704</v>
      </c>
      <c r="J429" s="98" t="s">
        <v>1705</v>
      </c>
      <c r="K429" s="98" t="s">
        <v>1706</v>
      </c>
    </row>
    <row r="430" customFormat="false" ht="64" hidden="false" customHeight="true" outlineLevel="0" collapsed="false">
      <c r="C430" s="98" t="s">
        <v>2170</v>
      </c>
      <c r="D430" s="98" t="s">
        <v>1758</v>
      </c>
      <c r="E430" s="98" t="s">
        <v>835</v>
      </c>
      <c r="F430" s="98" t="n">
        <v>0</v>
      </c>
      <c r="G430" s="98" t="s">
        <v>2138</v>
      </c>
      <c r="H430" s="98" t="s">
        <v>1767</v>
      </c>
      <c r="I430" s="98" t="s">
        <v>1704</v>
      </c>
      <c r="J430" s="98" t="s">
        <v>1705</v>
      </c>
      <c r="K430" s="98" t="s">
        <v>1706</v>
      </c>
    </row>
    <row r="431" customFormat="false" ht="64" hidden="false" customHeight="true" outlineLevel="0" collapsed="false">
      <c r="C431" s="98" t="s">
        <v>2171</v>
      </c>
      <c r="D431" s="98" t="s">
        <v>1760</v>
      </c>
      <c r="E431" s="98" t="s">
        <v>835</v>
      </c>
      <c r="F431" s="98" t="n">
        <v>0</v>
      </c>
      <c r="G431" s="98" t="s">
        <v>2138</v>
      </c>
      <c r="H431" s="98" t="s">
        <v>1767</v>
      </c>
      <c r="I431" s="98" t="s">
        <v>1704</v>
      </c>
      <c r="J431" s="98" t="s">
        <v>1705</v>
      </c>
      <c r="K431" s="98" t="s">
        <v>1706</v>
      </c>
    </row>
    <row r="432" customFormat="false" ht="64" hidden="false" customHeight="true" outlineLevel="0" collapsed="false">
      <c r="C432" s="98" t="s">
        <v>2172</v>
      </c>
      <c r="D432" s="98" t="s">
        <v>1762</v>
      </c>
      <c r="E432" s="98" t="s">
        <v>835</v>
      </c>
      <c r="F432" s="98" t="n">
        <v>0</v>
      </c>
      <c r="G432" s="98" t="s">
        <v>2138</v>
      </c>
      <c r="H432" s="98" t="s">
        <v>1767</v>
      </c>
      <c r="I432" s="98" t="s">
        <v>1704</v>
      </c>
      <c r="J432" s="98" t="s">
        <v>1705</v>
      </c>
      <c r="K432" s="98" t="s">
        <v>1706</v>
      </c>
    </row>
    <row r="433" customFormat="false" ht="64" hidden="false" customHeight="true" outlineLevel="0" collapsed="false">
      <c r="C433" s="98" t="s">
        <v>2173</v>
      </c>
      <c r="D433" s="98" t="s">
        <v>1764</v>
      </c>
      <c r="E433" s="98" t="s">
        <v>835</v>
      </c>
      <c r="F433" s="98" t="n">
        <v>0</v>
      </c>
      <c r="G433" s="98" t="s">
        <v>2138</v>
      </c>
      <c r="H433" s="98" t="s">
        <v>1767</v>
      </c>
      <c r="I433" s="98" t="s">
        <v>1704</v>
      </c>
      <c r="J433" s="98" t="s">
        <v>1705</v>
      </c>
      <c r="K433" s="98" t="s">
        <v>1706</v>
      </c>
    </row>
    <row r="434" customFormat="false" ht="64" hidden="false" customHeight="true" outlineLevel="0" collapsed="false">
      <c r="C434" s="98" t="s">
        <v>2174</v>
      </c>
      <c r="D434" s="98" t="s">
        <v>1829</v>
      </c>
      <c r="E434" s="98" t="s">
        <v>1830</v>
      </c>
      <c r="F434" s="98" t="n">
        <v>4.74942035102921</v>
      </c>
      <c r="G434" s="98" t="s">
        <v>2175</v>
      </c>
      <c r="H434" s="98" t="s">
        <v>1703</v>
      </c>
      <c r="I434" s="98" t="s">
        <v>1704</v>
      </c>
      <c r="J434" s="98" t="s">
        <v>1705</v>
      </c>
      <c r="K434" s="98" t="s">
        <v>1706</v>
      </c>
    </row>
    <row r="435" customFormat="false" ht="64" hidden="false" customHeight="true" outlineLevel="0" collapsed="false">
      <c r="C435" s="98" t="s">
        <v>2176</v>
      </c>
      <c r="D435" s="98" t="s">
        <v>1833</v>
      </c>
      <c r="E435" s="98" t="s">
        <v>1830</v>
      </c>
      <c r="F435" s="98" t="n">
        <v>4.74942035102921</v>
      </c>
      <c r="G435" s="98" t="s">
        <v>2175</v>
      </c>
      <c r="H435" s="98" t="s">
        <v>1703</v>
      </c>
      <c r="I435" s="98" t="s">
        <v>1704</v>
      </c>
      <c r="J435" s="98" t="s">
        <v>1705</v>
      </c>
      <c r="K435" s="98" t="s">
        <v>1706</v>
      </c>
    </row>
    <row r="436" customFormat="false" ht="64" hidden="false" customHeight="true" outlineLevel="0" collapsed="false">
      <c r="C436" s="98" t="s">
        <v>2177</v>
      </c>
      <c r="D436" s="98" t="s">
        <v>1835</v>
      </c>
      <c r="E436" s="98" t="s">
        <v>1830</v>
      </c>
      <c r="F436" s="98" t="n">
        <v>4.74942035102921</v>
      </c>
      <c r="G436" s="98" t="s">
        <v>2175</v>
      </c>
      <c r="H436" s="98" t="s">
        <v>1703</v>
      </c>
      <c r="I436" s="98" t="s">
        <v>1704</v>
      </c>
      <c r="J436" s="98" t="s">
        <v>1705</v>
      </c>
      <c r="K436" s="98" t="s">
        <v>1706</v>
      </c>
    </row>
    <row r="437" customFormat="false" ht="64" hidden="false" customHeight="true" outlineLevel="0" collapsed="false">
      <c r="C437" s="98" t="s">
        <v>2178</v>
      </c>
      <c r="D437" s="98" t="s">
        <v>1044</v>
      </c>
      <c r="E437" s="98" t="s">
        <v>1830</v>
      </c>
      <c r="F437" s="98" t="n">
        <v>4.74942035102921</v>
      </c>
      <c r="G437" s="98" t="s">
        <v>2175</v>
      </c>
      <c r="H437" s="98" t="s">
        <v>1703</v>
      </c>
      <c r="I437" s="98" t="s">
        <v>1704</v>
      </c>
      <c r="J437" s="98" t="s">
        <v>1705</v>
      </c>
      <c r="K437" s="98" t="s">
        <v>1706</v>
      </c>
    </row>
    <row r="438" customFormat="false" ht="64" hidden="false" customHeight="true" outlineLevel="0" collapsed="false">
      <c r="C438" s="98" t="s">
        <v>2179</v>
      </c>
      <c r="D438" s="98" t="s">
        <v>1838</v>
      </c>
      <c r="E438" s="98" t="s">
        <v>1830</v>
      </c>
      <c r="F438" s="98" t="n">
        <v>4.74942035102921</v>
      </c>
      <c r="G438" s="98" t="s">
        <v>2175</v>
      </c>
      <c r="H438" s="98" t="s">
        <v>1703</v>
      </c>
      <c r="I438" s="98" t="s">
        <v>1704</v>
      </c>
      <c r="J438" s="98" t="s">
        <v>1705</v>
      </c>
      <c r="K438" s="98" t="s">
        <v>1706</v>
      </c>
    </row>
    <row r="439" customFormat="false" ht="64" hidden="false" customHeight="true" outlineLevel="0" collapsed="false">
      <c r="C439" s="98" t="s">
        <v>2180</v>
      </c>
      <c r="D439" s="98" t="s">
        <v>1840</v>
      </c>
      <c r="E439" s="98" t="s">
        <v>1830</v>
      </c>
      <c r="F439" s="98" t="n">
        <v>4.74942035102921</v>
      </c>
      <c r="G439" s="98" t="s">
        <v>2175</v>
      </c>
      <c r="H439" s="98" t="s">
        <v>1703</v>
      </c>
      <c r="I439" s="98" t="s">
        <v>1704</v>
      </c>
      <c r="J439" s="98" t="s">
        <v>1705</v>
      </c>
      <c r="K439" s="98" t="s">
        <v>1706</v>
      </c>
    </row>
    <row r="440" customFormat="false" ht="64" hidden="false" customHeight="true" outlineLevel="0" collapsed="false">
      <c r="C440" s="98" t="s">
        <v>2181</v>
      </c>
      <c r="D440" s="98" t="s">
        <v>1700</v>
      </c>
      <c r="E440" s="98" t="s">
        <v>1830</v>
      </c>
      <c r="F440" s="98" t="n">
        <v>4.74942035102921</v>
      </c>
      <c r="G440" s="98" t="s">
        <v>2175</v>
      </c>
      <c r="H440" s="98" t="s">
        <v>1703</v>
      </c>
      <c r="I440" s="98" t="s">
        <v>1704</v>
      </c>
      <c r="J440" s="98" t="s">
        <v>1705</v>
      </c>
      <c r="K440" s="98" t="s">
        <v>1706</v>
      </c>
    </row>
    <row r="441" customFormat="false" ht="64" hidden="false" customHeight="true" outlineLevel="0" collapsed="false">
      <c r="C441" s="98" t="s">
        <v>2182</v>
      </c>
      <c r="D441" s="98" t="s">
        <v>1708</v>
      </c>
      <c r="E441" s="98" t="s">
        <v>1830</v>
      </c>
      <c r="F441" s="98" t="n">
        <v>4.74942035102921</v>
      </c>
      <c r="G441" s="98" t="s">
        <v>2175</v>
      </c>
      <c r="H441" s="98" t="s">
        <v>1703</v>
      </c>
      <c r="I441" s="98" t="s">
        <v>1704</v>
      </c>
      <c r="J441" s="98" t="s">
        <v>1705</v>
      </c>
      <c r="K441" s="98" t="s">
        <v>1706</v>
      </c>
    </row>
    <row r="442" customFormat="false" ht="64" hidden="false" customHeight="true" outlineLevel="0" collapsed="false">
      <c r="C442" s="98" t="s">
        <v>2183</v>
      </c>
      <c r="D442" s="98" t="s">
        <v>1710</v>
      </c>
      <c r="E442" s="98" t="s">
        <v>1830</v>
      </c>
      <c r="F442" s="98" t="n">
        <v>4.74942035102921</v>
      </c>
      <c r="G442" s="98" t="s">
        <v>2175</v>
      </c>
      <c r="H442" s="98" t="s">
        <v>1703</v>
      </c>
      <c r="I442" s="98" t="s">
        <v>1704</v>
      </c>
      <c r="J442" s="98" t="s">
        <v>1705</v>
      </c>
      <c r="K442" s="98" t="s">
        <v>1706</v>
      </c>
    </row>
    <row r="443" customFormat="false" ht="64" hidden="false" customHeight="true" outlineLevel="0" collapsed="false">
      <c r="C443" s="98" t="s">
        <v>2184</v>
      </c>
      <c r="D443" s="98" t="s">
        <v>1712</v>
      </c>
      <c r="E443" s="98" t="s">
        <v>1830</v>
      </c>
      <c r="F443" s="98" t="n">
        <v>4.74942035102921</v>
      </c>
      <c r="G443" s="98" t="s">
        <v>2175</v>
      </c>
      <c r="H443" s="98" t="s">
        <v>1703</v>
      </c>
      <c r="I443" s="98" t="s">
        <v>1704</v>
      </c>
      <c r="J443" s="98" t="s">
        <v>1705</v>
      </c>
      <c r="K443" s="98" t="s">
        <v>1706</v>
      </c>
    </row>
    <row r="444" customFormat="false" ht="64" hidden="false" customHeight="true" outlineLevel="0" collapsed="false">
      <c r="C444" s="98" t="s">
        <v>2185</v>
      </c>
      <c r="D444" s="98" t="s">
        <v>1714</v>
      </c>
      <c r="E444" s="98" t="s">
        <v>1830</v>
      </c>
      <c r="F444" s="98" t="n">
        <v>4.74942035102921</v>
      </c>
      <c r="G444" s="98" t="s">
        <v>2175</v>
      </c>
      <c r="H444" s="98" t="s">
        <v>1703</v>
      </c>
      <c r="I444" s="98" t="s">
        <v>1704</v>
      </c>
      <c r="J444" s="98" t="s">
        <v>1705</v>
      </c>
      <c r="K444" s="98" t="s">
        <v>1706</v>
      </c>
    </row>
    <row r="445" customFormat="false" ht="64" hidden="false" customHeight="true" outlineLevel="0" collapsed="false">
      <c r="C445" s="98" t="s">
        <v>2186</v>
      </c>
      <c r="D445" s="98" t="s">
        <v>1716</v>
      </c>
      <c r="E445" s="98" t="s">
        <v>1830</v>
      </c>
      <c r="F445" s="98" t="n">
        <v>4.74942035102921</v>
      </c>
      <c r="G445" s="98" t="s">
        <v>2175</v>
      </c>
      <c r="H445" s="98" t="s">
        <v>1703</v>
      </c>
      <c r="I445" s="98" t="s">
        <v>1704</v>
      </c>
      <c r="J445" s="98" t="s">
        <v>1705</v>
      </c>
      <c r="K445" s="98" t="s">
        <v>1706</v>
      </c>
    </row>
    <row r="446" customFormat="false" ht="64" hidden="false" customHeight="true" outlineLevel="0" collapsed="false">
      <c r="C446" s="98" t="s">
        <v>2187</v>
      </c>
      <c r="D446" s="98" t="s">
        <v>1718</v>
      </c>
      <c r="E446" s="98" t="s">
        <v>1830</v>
      </c>
      <c r="F446" s="98" t="n">
        <v>4.74942035102921</v>
      </c>
      <c r="G446" s="98" t="s">
        <v>2175</v>
      </c>
      <c r="H446" s="98" t="s">
        <v>1703</v>
      </c>
      <c r="I446" s="98" t="s">
        <v>1704</v>
      </c>
      <c r="J446" s="98" t="s">
        <v>1705</v>
      </c>
      <c r="K446" s="98" t="s">
        <v>1706</v>
      </c>
    </row>
    <row r="447" customFormat="false" ht="64" hidden="false" customHeight="true" outlineLevel="0" collapsed="false">
      <c r="C447" s="98" t="s">
        <v>2188</v>
      </c>
      <c r="D447" s="98" t="s">
        <v>1720</v>
      </c>
      <c r="E447" s="98" t="s">
        <v>1830</v>
      </c>
      <c r="F447" s="98" t="n">
        <v>4.74942035102921</v>
      </c>
      <c r="G447" s="98" t="s">
        <v>2175</v>
      </c>
      <c r="H447" s="98" t="s">
        <v>1703</v>
      </c>
      <c r="I447" s="98" t="s">
        <v>1704</v>
      </c>
      <c r="J447" s="98" t="s">
        <v>1705</v>
      </c>
      <c r="K447" s="98" t="s">
        <v>1706</v>
      </c>
    </row>
    <row r="448" customFormat="false" ht="64" hidden="false" customHeight="true" outlineLevel="0" collapsed="false">
      <c r="C448" s="98" t="s">
        <v>2189</v>
      </c>
      <c r="D448" s="98" t="s">
        <v>1722</v>
      </c>
      <c r="E448" s="98" t="s">
        <v>1830</v>
      </c>
      <c r="F448" s="98" t="n">
        <v>4.74942035102921</v>
      </c>
      <c r="G448" s="98" t="s">
        <v>2175</v>
      </c>
      <c r="H448" s="98" t="s">
        <v>1703</v>
      </c>
      <c r="I448" s="98" t="s">
        <v>1704</v>
      </c>
      <c r="J448" s="98" t="s">
        <v>1705</v>
      </c>
      <c r="K448" s="98" t="s">
        <v>1706</v>
      </c>
    </row>
    <row r="449" customFormat="false" ht="64" hidden="false" customHeight="true" outlineLevel="0" collapsed="false">
      <c r="C449" s="98" t="s">
        <v>2190</v>
      </c>
      <c r="D449" s="98" t="s">
        <v>1724</v>
      </c>
      <c r="E449" s="98" t="s">
        <v>1830</v>
      </c>
      <c r="F449" s="98" t="n">
        <v>4.74942035102921</v>
      </c>
      <c r="G449" s="98" t="s">
        <v>2175</v>
      </c>
      <c r="H449" s="98" t="s">
        <v>1703</v>
      </c>
      <c r="I449" s="98" t="s">
        <v>1704</v>
      </c>
      <c r="J449" s="98" t="s">
        <v>1705</v>
      </c>
      <c r="K449" s="98" t="s">
        <v>1706</v>
      </c>
    </row>
    <row r="450" customFormat="false" ht="64" hidden="false" customHeight="true" outlineLevel="0" collapsed="false">
      <c r="C450" s="98" t="s">
        <v>2191</v>
      </c>
      <c r="D450" s="98" t="s">
        <v>1726</v>
      </c>
      <c r="E450" s="98" t="s">
        <v>1830</v>
      </c>
      <c r="F450" s="98" t="n">
        <v>4.74942035102921</v>
      </c>
      <c r="G450" s="98" t="s">
        <v>2175</v>
      </c>
      <c r="H450" s="98" t="s">
        <v>1703</v>
      </c>
      <c r="I450" s="98" t="s">
        <v>1704</v>
      </c>
      <c r="J450" s="98" t="s">
        <v>1705</v>
      </c>
      <c r="K450" s="98" t="s">
        <v>1706</v>
      </c>
    </row>
    <row r="451" customFormat="false" ht="64" hidden="false" customHeight="true" outlineLevel="0" collapsed="false">
      <c r="C451" s="98" t="s">
        <v>2192</v>
      </c>
      <c r="D451" s="98" t="s">
        <v>1728</v>
      </c>
      <c r="E451" s="98" t="s">
        <v>1830</v>
      </c>
      <c r="F451" s="98" t="n">
        <v>4.74942035102921</v>
      </c>
      <c r="G451" s="98" t="s">
        <v>2175</v>
      </c>
      <c r="H451" s="98" t="s">
        <v>1703</v>
      </c>
      <c r="I451" s="98" t="s">
        <v>1704</v>
      </c>
      <c r="J451" s="98" t="s">
        <v>1705</v>
      </c>
      <c r="K451" s="98" t="s">
        <v>1706</v>
      </c>
    </row>
    <row r="452" customFormat="false" ht="64" hidden="false" customHeight="true" outlineLevel="0" collapsed="false">
      <c r="C452" s="98" t="s">
        <v>2193</v>
      </c>
      <c r="D452" s="98" t="s">
        <v>1730</v>
      </c>
      <c r="E452" s="98" t="s">
        <v>1830</v>
      </c>
      <c r="F452" s="98" t="n">
        <v>4.74942035102921</v>
      </c>
      <c r="G452" s="98" t="s">
        <v>2175</v>
      </c>
      <c r="H452" s="98" t="s">
        <v>1703</v>
      </c>
      <c r="I452" s="98" t="s">
        <v>1704</v>
      </c>
      <c r="J452" s="98" t="s">
        <v>1705</v>
      </c>
      <c r="K452" s="98" t="s">
        <v>1706</v>
      </c>
    </row>
    <row r="453" customFormat="false" ht="64" hidden="false" customHeight="true" outlineLevel="0" collapsed="false">
      <c r="C453" s="98" t="s">
        <v>2194</v>
      </c>
      <c r="D453" s="98" t="s">
        <v>1732</v>
      </c>
      <c r="E453" s="98" t="s">
        <v>1830</v>
      </c>
      <c r="F453" s="98" t="n">
        <v>4.74942035102921</v>
      </c>
      <c r="G453" s="98" t="s">
        <v>2175</v>
      </c>
      <c r="H453" s="98" t="s">
        <v>1703</v>
      </c>
      <c r="I453" s="98" t="s">
        <v>1704</v>
      </c>
      <c r="J453" s="98" t="s">
        <v>1705</v>
      </c>
      <c r="K453" s="98" t="s">
        <v>1706</v>
      </c>
    </row>
    <row r="454" customFormat="false" ht="64" hidden="false" customHeight="true" outlineLevel="0" collapsed="false">
      <c r="C454" s="98" t="s">
        <v>2195</v>
      </c>
      <c r="D454" s="98" t="s">
        <v>1734</v>
      </c>
      <c r="E454" s="98" t="s">
        <v>1830</v>
      </c>
      <c r="F454" s="98" t="n">
        <v>4.74942035102921</v>
      </c>
      <c r="G454" s="98" t="s">
        <v>2175</v>
      </c>
      <c r="H454" s="98" t="s">
        <v>1703</v>
      </c>
      <c r="I454" s="98" t="s">
        <v>1704</v>
      </c>
      <c r="J454" s="98" t="s">
        <v>1705</v>
      </c>
      <c r="K454" s="98" t="s">
        <v>1706</v>
      </c>
    </row>
    <row r="455" customFormat="false" ht="64" hidden="false" customHeight="true" outlineLevel="0" collapsed="false">
      <c r="C455" s="98" t="s">
        <v>2196</v>
      </c>
      <c r="D455" s="98" t="s">
        <v>1736</v>
      </c>
      <c r="E455" s="98" t="s">
        <v>1830</v>
      </c>
      <c r="F455" s="98" t="n">
        <v>4.74942035102921</v>
      </c>
      <c r="G455" s="98" t="s">
        <v>2175</v>
      </c>
      <c r="H455" s="98" t="s">
        <v>1703</v>
      </c>
      <c r="I455" s="98" t="s">
        <v>1704</v>
      </c>
      <c r="J455" s="98" t="s">
        <v>1705</v>
      </c>
      <c r="K455" s="98" t="s">
        <v>1706</v>
      </c>
    </row>
    <row r="456" customFormat="false" ht="64" hidden="false" customHeight="true" outlineLevel="0" collapsed="false">
      <c r="C456" s="98" t="s">
        <v>2197</v>
      </c>
      <c r="D456" s="98" t="s">
        <v>1738</v>
      </c>
      <c r="E456" s="98" t="s">
        <v>1830</v>
      </c>
      <c r="F456" s="98" t="n">
        <v>4.74942035102921</v>
      </c>
      <c r="G456" s="98" t="s">
        <v>2175</v>
      </c>
      <c r="H456" s="98" t="s">
        <v>1703</v>
      </c>
      <c r="I456" s="98" t="s">
        <v>1704</v>
      </c>
      <c r="J456" s="98" t="s">
        <v>1705</v>
      </c>
      <c r="K456" s="98" t="s">
        <v>1706</v>
      </c>
    </row>
    <row r="457" customFormat="false" ht="64" hidden="false" customHeight="true" outlineLevel="0" collapsed="false">
      <c r="C457" s="98" t="s">
        <v>2198</v>
      </c>
      <c r="D457" s="98" t="s">
        <v>1740</v>
      </c>
      <c r="E457" s="98" t="s">
        <v>1830</v>
      </c>
      <c r="F457" s="98" t="n">
        <v>4.74942035102921</v>
      </c>
      <c r="G457" s="98" t="s">
        <v>2175</v>
      </c>
      <c r="H457" s="98" t="s">
        <v>1703</v>
      </c>
      <c r="I457" s="98" t="s">
        <v>1704</v>
      </c>
      <c r="J457" s="98" t="s">
        <v>1705</v>
      </c>
      <c r="K457" s="98" t="s">
        <v>1706</v>
      </c>
    </row>
    <row r="458" customFormat="false" ht="64" hidden="false" customHeight="true" outlineLevel="0" collapsed="false">
      <c r="C458" s="98" t="s">
        <v>2199</v>
      </c>
      <c r="D458" s="98" t="s">
        <v>1742</v>
      </c>
      <c r="E458" s="98" t="s">
        <v>1830</v>
      </c>
      <c r="F458" s="98" t="n">
        <v>4.74942035102921</v>
      </c>
      <c r="G458" s="98" t="s">
        <v>2175</v>
      </c>
      <c r="H458" s="98" t="s">
        <v>1703</v>
      </c>
      <c r="I458" s="98" t="s">
        <v>1704</v>
      </c>
      <c r="J458" s="98" t="s">
        <v>1705</v>
      </c>
      <c r="K458" s="98" t="s">
        <v>1706</v>
      </c>
    </row>
    <row r="459" customFormat="false" ht="64" hidden="false" customHeight="true" outlineLevel="0" collapsed="false">
      <c r="C459" s="98" t="s">
        <v>2200</v>
      </c>
      <c r="D459" s="98" t="s">
        <v>1744</v>
      </c>
      <c r="E459" s="98" t="s">
        <v>1830</v>
      </c>
      <c r="F459" s="98" t="n">
        <v>4.74942035102921</v>
      </c>
      <c r="G459" s="98" t="s">
        <v>2175</v>
      </c>
      <c r="H459" s="98" t="s">
        <v>1703</v>
      </c>
      <c r="I459" s="98" t="s">
        <v>1704</v>
      </c>
      <c r="J459" s="98" t="s">
        <v>1705</v>
      </c>
      <c r="K459" s="98" t="s">
        <v>1706</v>
      </c>
    </row>
    <row r="460" customFormat="false" ht="64" hidden="false" customHeight="true" outlineLevel="0" collapsed="false">
      <c r="C460" s="98" t="s">
        <v>2201</v>
      </c>
      <c r="D460" s="98" t="s">
        <v>1746</v>
      </c>
      <c r="E460" s="98" t="s">
        <v>1830</v>
      </c>
      <c r="F460" s="98" t="n">
        <v>4.74942035102921</v>
      </c>
      <c r="G460" s="98" t="s">
        <v>2175</v>
      </c>
      <c r="H460" s="98" t="s">
        <v>1703</v>
      </c>
      <c r="I460" s="98" t="s">
        <v>1704</v>
      </c>
      <c r="J460" s="98" t="s">
        <v>1705</v>
      </c>
      <c r="K460" s="98" t="s">
        <v>1706</v>
      </c>
    </row>
    <row r="461" customFormat="false" ht="64" hidden="false" customHeight="true" outlineLevel="0" collapsed="false">
      <c r="C461" s="98" t="s">
        <v>2202</v>
      </c>
      <c r="D461" s="98" t="s">
        <v>1748</v>
      </c>
      <c r="E461" s="98" t="s">
        <v>1830</v>
      </c>
      <c r="F461" s="98" t="n">
        <v>4.74942035102921</v>
      </c>
      <c r="G461" s="98" t="s">
        <v>2175</v>
      </c>
      <c r="H461" s="98" t="s">
        <v>1703</v>
      </c>
      <c r="I461" s="98" t="s">
        <v>1704</v>
      </c>
      <c r="J461" s="98" t="s">
        <v>1705</v>
      </c>
      <c r="K461" s="98" t="s">
        <v>1706</v>
      </c>
    </row>
    <row r="462" customFormat="false" ht="64" hidden="false" customHeight="true" outlineLevel="0" collapsed="false">
      <c r="C462" s="98" t="s">
        <v>2203</v>
      </c>
      <c r="D462" s="98" t="s">
        <v>1750</v>
      </c>
      <c r="E462" s="98" t="s">
        <v>1830</v>
      </c>
      <c r="F462" s="98" t="n">
        <v>4.74942035102921</v>
      </c>
      <c r="G462" s="98" t="s">
        <v>2175</v>
      </c>
      <c r="H462" s="98" t="s">
        <v>1703</v>
      </c>
      <c r="I462" s="98" t="s">
        <v>1704</v>
      </c>
      <c r="J462" s="98" t="s">
        <v>1705</v>
      </c>
      <c r="K462" s="98" t="s">
        <v>1706</v>
      </c>
    </row>
    <row r="463" customFormat="false" ht="64" hidden="false" customHeight="true" outlineLevel="0" collapsed="false">
      <c r="C463" s="98" t="s">
        <v>2204</v>
      </c>
      <c r="D463" s="98" t="s">
        <v>1752</v>
      </c>
      <c r="E463" s="98" t="s">
        <v>1830</v>
      </c>
      <c r="F463" s="98" t="n">
        <v>4.74942035102921</v>
      </c>
      <c r="G463" s="98" t="s">
        <v>2175</v>
      </c>
      <c r="H463" s="98" t="s">
        <v>1703</v>
      </c>
      <c r="I463" s="98" t="s">
        <v>1704</v>
      </c>
      <c r="J463" s="98" t="s">
        <v>1705</v>
      </c>
      <c r="K463" s="98" t="s">
        <v>1706</v>
      </c>
    </row>
    <row r="464" customFormat="false" ht="64" hidden="false" customHeight="true" outlineLevel="0" collapsed="false">
      <c r="C464" s="98" t="s">
        <v>2205</v>
      </c>
      <c r="D464" s="98" t="s">
        <v>1754</v>
      </c>
      <c r="E464" s="98" t="s">
        <v>1830</v>
      </c>
      <c r="F464" s="98" t="n">
        <v>4.74942035102921</v>
      </c>
      <c r="G464" s="98" t="s">
        <v>2175</v>
      </c>
      <c r="H464" s="98" t="s">
        <v>1703</v>
      </c>
      <c r="I464" s="98" t="s">
        <v>1704</v>
      </c>
      <c r="J464" s="98" t="s">
        <v>1705</v>
      </c>
      <c r="K464" s="98" t="s">
        <v>1706</v>
      </c>
    </row>
    <row r="465" customFormat="false" ht="64" hidden="false" customHeight="true" outlineLevel="0" collapsed="false">
      <c r="C465" s="98" t="s">
        <v>2206</v>
      </c>
      <c r="D465" s="98" t="s">
        <v>1756</v>
      </c>
      <c r="E465" s="98" t="s">
        <v>1830</v>
      </c>
      <c r="F465" s="98" t="n">
        <v>4.74942035102921</v>
      </c>
      <c r="G465" s="98" t="s">
        <v>2175</v>
      </c>
      <c r="H465" s="98" t="s">
        <v>1703</v>
      </c>
      <c r="I465" s="98" t="s">
        <v>1704</v>
      </c>
      <c r="J465" s="98" t="s">
        <v>1705</v>
      </c>
      <c r="K465" s="98" t="s">
        <v>1706</v>
      </c>
    </row>
    <row r="466" customFormat="false" ht="64" hidden="false" customHeight="true" outlineLevel="0" collapsed="false">
      <c r="C466" s="98" t="s">
        <v>2207</v>
      </c>
      <c r="D466" s="98" t="s">
        <v>1758</v>
      </c>
      <c r="E466" s="98" t="s">
        <v>1830</v>
      </c>
      <c r="F466" s="98" t="n">
        <v>4.74942035102921</v>
      </c>
      <c r="G466" s="98" t="s">
        <v>2175</v>
      </c>
      <c r="H466" s="98" t="s">
        <v>1703</v>
      </c>
      <c r="I466" s="98" t="s">
        <v>1704</v>
      </c>
      <c r="J466" s="98" t="s">
        <v>1705</v>
      </c>
      <c r="K466" s="98" t="s">
        <v>1706</v>
      </c>
    </row>
    <row r="467" customFormat="false" ht="64" hidden="false" customHeight="true" outlineLevel="0" collapsed="false">
      <c r="C467" s="98" t="s">
        <v>2208</v>
      </c>
      <c r="D467" s="98" t="s">
        <v>1760</v>
      </c>
      <c r="E467" s="98" t="s">
        <v>1830</v>
      </c>
      <c r="F467" s="98" t="n">
        <v>4.74942035102921</v>
      </c>
      <c r="G467" s="98" t="s">
        <v>2175</v>
      </c>
      <c r="H467" s="98" t="s">
        <v>1703</v>
      </c>
      <c r="I467" s="98" t="s">
        <v>1704</v>
      </c>
      <c r="J467" s="98" t="s">
        <v>1705</v>
      </c>
      <c r="K467" s="98" t="s">
        <v>1706</v>
      </c>
    </row>
    <row r="468" customFormat="false" ht="64" hidden="false" customHeight="true" outlineLevel="0" collapsed="false">
      <c r="C468" s="98" t="s">
        <v>2209</v>
      </c>
      <c r="D468" s="98" t="s">
        <v>1762</v>
      </c>
      <c r="E468" s="98" t="s">
        <v>1830</v>
      </c>
      <c r="F468" s="98" t="n">
        <v>4.74942035102921</v>
      </c>
      <c r="G468" s="98" t="s">
        <v>2175</v>
      </c>
      <c r="H468" s="98" t="s">
        <v>1703</v>
      </c>
      <c r="I468" s="98" t="s">
        <v>1704</v>
      </c>
      <c r="J468" s="98" t="s">
        <v>1705</v>
      </c>
      <c r="K468" s="98" t="s">
        <v>1706</v>
      </c>
    </row>
    <row r="469" customFormat="false" ht="64" hidden="false" customHeight="true" outlineLevel="0" collapsed="false">
      <c r="C469" s="98" t="s">
        <v>2210</v>
      </c>
      <c r="D469" s="98" t="s">
        <v>1764</v>
      </c>
      <c r="E469" s="98" t="s">
        <v>1830</v>
      </c>
      <c r="F469" s="98" t="n">
        <v>4.74942035102921</v>
      </c>
      <c r="G469" s="98" t="s">
        <v>2175</v>
      </c>
      <c r="H469" s="98" t="s">
        <v>1703</v>
      </c>
      <c r="I469" s="98" t="s">
        <v>1704</v>
      </c>
      <c r="J469" s="98" t="s">
        <v>1705</v>
      </c>
      <c r="K469" s="98" t="s">
        <v>1706</v>
      </c>
    </row>
    <row r="470" customFormat="false" ht="64" hidden="false" customHeight="true" outlineLevel="0" collapsed="false">
      <c r="C470" s="98" t="s">
        <v>2211</v>
      </c>
      <c r="D470" s="98" t="s">
        <v>1829</v>
      </c>
      <c r="E470" s="98" t="s">
        <v>1830</v>
      </c>
      <c r="F470" s="98" t="n">
        <v>7.61898432720929</v>
      </c>
      <c r="G470" s="98" t="s">
        <v>2212</v>
      </c>
      <c r="H470" s="98" t="s">
        <v>1703</v>
      </c>
      <c r="I470" s="98" t="s">
        <v>1704</v>
      </c>
      <c r="J470" s="98" t="s">
        <v>1705</v>
      </c>
      <c r="K470" s="98" t="s">
        <v>1706</v>
      </c>
    </row>
    <row r="471" customFormat="false" ht="64" hidden="false" customHeight="true" outlineLevel="0" collapsed="false">
      <c r="C471" s="98" t="s">
        <v>2213</v>
      </c>
      <c r="D471" s="98" t="s">
        <v>1833</v>
      </c>
      <c r="E471" s="98" t="s">
        <v>1830</v>
      </c>
      <c r="F471" s="98" t="n">
        <v>7.61898432720929</v>
      </c>
      <c r="G471" s="98" t="s">
        <v>2212</v>
      </c>
      <c r="H471" s="98" t="s">
        <v>1703</v>
      </c>
      <c r="I471" s="98" t="s">
        <v>1704</v>
      </c>
      <c r="J471" s="98" t="s">
        <v>1705</v>
      </c>
      <c r="K471" s="98" t="s">
        <v>1706</v>
      </c>
    </row>
    <row r="472" customFormat="false" ht="64" hidden="false" customHeight="true" outlineLevel="0" collapsed="false">
      <c r="C472" s="98" t="s">
        <v>2214</v>
      </c>
      <c r="D472" s="98" t="s">
        <v>1835</v>
      </c>
      <c r="E472" s="98" t="s">
        <v>1830</v>
      </c>
      <c r="F472" s="98" t="n">
        <v>7.61898432720929</v>
      </c>
      <c r="G472" s="98" t="s">
        <v>2212</v>
      </c>
      <c r="H472" s="98" t="s">
        <v>1703</v>
      </c>
      <c r="I472" s="98" t="s">
        <v>1704</v>
      </c>
      <c r="J472" s="98" t="s">
        <v>1705</v>
      </c>
      <c r="K472" s="98" t="s">
        <v>1706</v>
      </c>
    </row>
    <row r="473" customFormat="false" ht="64" hidden="false" customHeight="true" outlineLevel="0" collapsed="false">
      <c r="C473" s="98" t="s">
        <v>2215</v>
      </c>
      <c r="D473" s="98" t="s">
        <v>1044</v>
      </c>
      <c r="E473" s="98" t="s">
        <v>1830</v>
      </c>
      <c r="F473" s="98" t="n">
        <v>7.61898432720929</v>
      </c>
      <c r="G473" s="98" t="s">
        <v>2212</v>
      </c>
      <c r="H473" s="98" t="s">
        <v>1703</v>
      </c>
      <c r="I473" s="98" t="s">
        <v>1704</v>
      </c>
      <c r="J473" s="98" t="s">
        <v>1705</v>
      </c>
      <c r="K473" s="98" t="s">
        <v>1706</v>
      </c>
    </row>
    <row r="474" customFormat="false" ht="64" hidden="false" customHeight="true" outlineLevel="0" collapsed="false">
      <c r="C474" s="98" t="s">
        <v>2216</v>
      </c>
      <c r="D474" s="98" t="s">
        <v>1838</v>
      </c>
      <c r="E474" s="98" t="s">
        <v>1830</v>
      </c>
      <c r="F474" s="98" t="n">
        <v>7.61898432720929</v>
      </c>
      <c r="G474" s="98" t="s">
        <v>2212</v>
      </c>
      <c r="H474" s="98" t="s">
        <v>1703</v>
      </c>
      <c r="I474" s="98" t="s">
        <v>1704</v>
      </c>
      <c r="J474" s="98" t="s">
        <v>1705</v>
      </c>
      <c r="K474" s="98" t="s">
        <v>1706</v>
      </c>
    </row>
    <row r="475" customFormat="false" ht="64" hidden="false" customHeight="true" outlineLevel="0" collapsed="false">
      <c r="C475" s="98" t="s">
        <v>2217</v>
      </c>
      <c r="D475" s="98" t="s">
        <v>1840</v>
      </c>
      <c r="E475" s="98" t="s">
        <v>1830</v>
      </c>
      <c r="F475" s="98" t="n">
        <v>7.61898432720929</v>
      </c>
      <c r="G475" s="98" t="s">
        <v>2212</v>
      </c>
      <c r="H475" s="98" t="s">
        <v>1703</v>
      </c>
      <c r="I475" s="98" t="s">
        <v>1704</v>
      </c>
      <c r="J475" s="98" t="s">
        <v>1705</v>
      </c>
      <c r="K475" s="98" t="s">
        <v>1706</v>
      </c>
    </row>
    <row r="476" customFormat="false" ht="64" hidden="false" customHeight="true" outlineLevel="0" collapsed="false">
      <c r="C476" s="98" t="s">
        <v>2218</v>
      </c>
      <c r="D476" s="98" t="s">
        <v>1700</v>
      </c>
      <c r="E476" s="98" t="s">
        <v>1830</v>
      </c>
      <c r="F476" s="98" t="n">
        <v>7.61898432720929</v>
      </c>
      <c r="G476" s="98" t="s">
        <v>2212</v>
      </c>
      <c r="H476" s="98" t="s">
        <v>1703</v>
      </c>
      <c r="I476" s="98" t="s">
        <v>1704</v>
      </c>
      <c r="J476" s="98" t="s">
        <v>1705</v>
      </c>
      <c r="K476" s="98" t="s">
        <v>1706</v>
      </c>
    </row>
    <row r="477" customFormat="false" ht="64" hidden="false" customHeight="true" outlineLevel="0" collapsed="false">
      <c r="C477" s="98" t="s">
        <v>2219</v>
      </c>
      <c r="D477" s="98" t="s">
        <v>1708</v>
      </c>
      <c r="E477" s="98" t="s">
        <v>1830</v>
      </c>
      <c r="F477" s="98" t="n">
        <v>7.61898432720929</v>
      </c>
      <c r="G477" s="98" t="s">
        <v>2212</v>
      </c>
      <c r="H477" s="98" t="s">
        <v>1703</v>
      </c>
      <c r="I477" s="98" t="s">
        <v>1704</v>
      </c>
      <c r="J477" s="98" t="s">
        <v>1705</v>
      </c>
      <c r="K477" s="98" t="s">
        <v>1706</v>
      </c>
    </row>
    <row r="478" customFormat="false" ht="64" hidden="false" customHeight="true" outlineLevel="0" collapsed="false">
      <c r="C478" s="98" t="s">
        <v>2220</v>
      </c>
      <c r="D478" s="98" t="s">
        <v>1710</v>
      </c>
      <c r="E478" s="98" t="s">
        <v>1830</v>
      </c>
      <c r="F478" s="98" t="n">
        <v>7.61898432720929</v>
      </c>
      <c r="G478" s="98" t="s">
        <v>2212</v>
      </c>
      <c r="H478" s="98" t="s">
        <v>1703</v>
      </c>
      <c r="I478" s="98" t="s">
        <v>1704</v>
      </c>
      <c r="J478" s="98" t="s">
        <v>1705</v>
      </c>
      <c r="K478" s="98" t="s">
        <v>1706</v>
      </c>
    </row>
    <row r="479" customFormat="false" ht="64" hidden="false" customHeight="true" outlineLevel="0" collapsed="false">
      <c r="C479" s="98" t="s">
        <v>2221</v>
      </c>
      <c r="D479" s="98" t="s">
        <v>1712</v>
      </c>
      <c r="E479" s="98" t="s">
        <v>1830</v>
      </c>
      <c r="F479" s="98" t="n">
        <v>7.61898432720929</v>
      </c>
      <c r="G479" s="98" t="s">
        <v>2212</v>
      </c>
      <c r="H479" s="98" t="s">
        <v>1703</v>
      </c>
      <c r="I479" s="98" t="s">
        <v>1704</v>
      </c>
      <c r="J479" s="98" t="s">
        <v>1705</v>
      </c>
      <c r="K479" s="98" t="s">
        <v>1706</v>
      </c>
    </row>
    <row r="480" customFormat="false" ht="64" hidden="false" customHeight="true" outlineLevel="0" collapsed="false">
      <c r="C480" s="98" t="s">
        <v>2222</v>
      </c>
      <c r="D480" s="98" t="s">
        <v>1714</v>
      </c>
      <c r="E480" s="98" t="s">
        <v>1830</v>
      </c>
      <c r="F480" s="98" t="n">
        <v>7.61898432720929</v>
      </c>
      <c r="G480" s="98" t="s">
        <v>2212</v>
      </c>
      <c r="H480" s="98" t="s">
        <v>1703</v>
      </c>
      <c r="I480" s="98" t="s">
        <v>1704</v>
      </c>
      <c r="J480" s="98" t="s">
        <v>1705</v>
      </c>
      <c r="K480" s="98" t="s">
        <v>1706</v>
      </c>
    </row>
    <row r="481" customFormat="false" ht="64" hidden="false" customHeight="true" outlineLevel="0" collapsed="false">
      <c r="C481" s="98" t="s">
        <v>2223</v>
      </c>
      <c r="D481" s="98" t="s">
        <v>1716</v>
      </c>
      <c r="E481" s="98" t="s">
        <v>1830</v>
      </c>
      <c r="F481" s="98" t="n">
        <v>7.61898432720929</v>
      </c>
      <c r="G481" s="98" t="s">
        <v>2212</v>
      </c>
      <c r="H481" s="98" t="s">
        <v>1703</v>
      </c>
      <c r="I481" s="98" t="s">
        <v>1704</v>
      </c>
      <c r="J481" s="98" t="s">
        <v>1705</v>
      </c>
      <c r="K481" s="98" t="s">
        <v>1706</v>
      </c>
    </row>
    <row r="482" customFormat="false" ht="64" hidden="false" customHeight="true" outlineLevel="0" collapsed="false">
      <c r="C482" s="98" t="s">
        <v>2224</v>
      </c>
      <c r="D482" s="98" t="s">
        <v>1718</v>
      </c>
      <c r="E482" s="98" t="s">
        <v>1830</v>
      </c>
      <c r="F482" s="98" t="n">
        <v>7.61898432720929</v>
      </c>
      <c r="G482" s="98" t="s">
        <v>2212</v>
      </c>
      <c r="H482" s="98" t="s">
        <v>1703</v>
      </c>
      <c r="I482" s="98" t="s">
        <v>1704</v>
      </c>
      <c r="J482" s="98" t="s">
        <v>1705</v>
      </c>
      <c r="K482" s="98" t="s">
        <v>1706</v>
      </c>
    </row>
    <row r="483" customFormat="false" ht="64" hidden="false" customHeight="true" outlineLevel="0" collapsed="false">
      <c r="C483" s="98" t="s">
        <v>2225</v>
      </c>
      <c r="D483" s="98" t="s">
        <v>1720</v>
      </c>
      <c r="E483" s="98" t="s">
        <v>1830</v>
      </c>
      <c r="F483" s="98" t="n">
        <v>7.61898432720929</v>
      </c>
      <c r="G483" s="98" t="s">
        <v>2212</v>
      </c>
      <c r="H483" s="98" t="s">
        <v>1703</v>
      </c>
      <c r="I483" s="98" t="s">
        <v>1704</v>
      </c>
      <c r="J483" s="98" t="s">
        <v>1705</v>
      </c>
      <c r="K483" s="98" t="s">
        <v>1706</v>
      </c>
    </row>
    <row r="484" customFormat="false" ht="64" hidden="false" customHeight="true" outlineLevel="0" collapsed="false">
      <c r="C484" s="98" t="s">
        <v>2226</v>
      </c>
      <c r="D484" s="98" t="s">
        <v>1722</v>
      </c>
      <c r="E484" s="98" t="s">
        <v>1830</v>
      </c>
      <c r="F484" s="98" t="n">
        <v>7.61898432720929</v>
      </c>
      <c r="G484" s="98" t="s">
        <v>2212</v>
      </c>
      <c r="H484" s="98" t="s">
        <v>1703</v>
      </c>
      <c r="I484" s="98" t="s">
        <v>1704</v>
      </c>
      <c r="J484" s="98" t="s">
        <v>1705</v>
      </c>
      <c r="K484" s="98" t="s">
        <v>1706</v>
      </c>
    </row>
    <row r="485" customFormat="false" ht="64" hidden="false" customHeight="true" outlineLevel="0" collapsed="false">
      <c r="C485" s="98" t="s">
        <v>2227</v>
      </c>
      <c r="D485" s="98" t="s">
        <v>1724</v>
      </c>
      <c r="E485" s="98" t="s">
        <v>1830</v>
      </c>
      <c r="F485" s="98" t="n">
        <v>7.61898432720929</v>
      </c>
      <c r="G485" s="98" t="s">
        <v>2212</v>
      </c>
      <c r="H485" s="98" t="s">
        <v>1703</v>
      </c>
      <c r="I485" s="98" t="s">
        <v>1704</v>
      </c>
      <c r="J485" s="98" t="s">
        <v>1705</v>
      </c>
      <c r="K485" s="98" t="s">
        <v>1706</v>
      </c>
    </row>
    <row r="486" customFormat="false" ht="64" hidden="false" customHeight="true" outlineLevel="0" collapsed="false">
      <c r="C486" s="98" t="s">
        <v>2228</v>
      </c>
      <c r="D486" s="98" t="s">
        <v>1726</v>
      </c>
      <c r="E486" s="98" t="s">
        <v>1830</v>
      </c>
      <c r="F486" s="98" t="n">
        <v>7.61898432720929</v>
      </c>
      <c r="G486" s="98" t="s">
        <v>2212</v>
      </c>
      <c r="H486" s="98" t="s">
        <v>1703</v>
      </c>
      <c r="I486" s="98" t="s">
        <v>1704</v>
      </c>
      <c r="J486" s="98" t="s">
        <v>1705</v>
      </c>
      <c r="K486" s="98" t="s">
        <v>1706</v>
      </c>
    </row>
    <row r="487" customFormat="false" ht="64" hidden="false" customHeight="true" outlineLevel="0" collapsed="false">
      <c r="C487" s="98" t="s">
        <v>2229</v>
      </c>
      <c r="D487" s="98" t="s">
        <v>1728</v>
      </c>
      <c r="E487" s="98" t="s">
        <v>1830</v>
      </c>
      <c r="F487" s="98" t="n">
        <v>7.61898432720929</v>
      </c>
      <c r="G487" s="98" t="s">
        <v>2212</v>
      </c>
      <c r="H487" s="98" t="s">
        <v>1703</v>
      </c>
      <c r="I487" s="98" t="s">
        <v>1704</v>
      </c>
      <c r="J487" s="98" t="s">
        <v>1705</v>
      </c>
      <c r="K487" s="98" t="s">
        <v>1706</v>
      </c>
    </row>
    <row r="488" customFormat="false" ht="64" hidden="false" customHeight="true" outlineLevel="0" collapsed="false">
      <c r="C488" s="98" t="s">
        <v>2230</v>
      </c>
      <c r="D488" s="98" t="s">
        <v>1730</v>
      </c>
      <c r="E488" s="98" t="s">
        <v>1830</v>
      </c>
      <c r="F488" s="98" t="n">
        <v>7.61898432720929</v>
      </c>
      <c r="G488" s="98" t="s">
        <v>2212</v>
      </c>
      <c r="H488" s="98" t="s">
        <v>1703</v>
      </c>
      <c r="I488" s="98" t="s">
        <v>1704</v>
      </c>
      <c r="J488" s="98" t="s">
        <v>1705</v>
      </c>
      <c r="K488" s="98" t="s">
        <v>1706</v>
      </c>
    </row>
    <row r="489" customFormat="false" ht="64" hidden="false" customHeight="true" outlineLevel="0" collapsed="false">
      <c r="C489" s="98" t="s">
        <v>2231</v>
      </c>
      <c r="D489" s="98" t="s">
        <v>1732</v>
      </c>
      <c r="E489" s="98" t="s">
        <v>1830</v>
      </c>
      <c r="F489" s="98" t="n">
        <v>7.61898432720929</v>
      </c>
      <c r="G489" s="98" t="s">
        <v>2212</v>
      </c>
      <c r="H489" s="98" t="s">
        <v>1703</v>
      </c>
      <c r="I489" s="98" t="s">
        <v>1704</v>
      </c>
      <c r="J489" s="98" t="s">
        <v>1705</v>
      </c>
      <c r="K489" s="98" t="s">
        <v>1706</v>
      </c>
    </row>
    <row r="490" customFormat="false" ht="64" hidden="false" customHeight="true" outlineLevel="0" collapsed="false">
      <c r="C490" s="98" t="s">
        <v>2232</v>
      </c>
      <c r="D490" s="98" t="s">
        <v>1734</v>
      </c>
      <c r="E490" s="98" t="s">
        <v>1830</v>
      </c>
      <c r="F490" s="98" t="n">
        <v>7.61898432720929</v>
      </c>
      <c r="G490" s="98" t="s">
        <v>2212</v>
      </c>
      <c r="H490" s="98" t="s">
        <v>1703</v>
      </c>
      <c r="I490" s="98" t="s">
        <v>1704</v>
      </c>
      <c r="J490" s="98" t="s">
        <v>1705</v>
      </c>
      <c r="K490" s="98" t="s">
        <v>1706</v>
      </c>
    </row>
    <row r="491" customFormat="false" ht="64" hidden="false" customHeight="true" outlineLevel="0" collapsed="false">
      <c r="C491" s="98" t="s">
        <v>2233</v>
      </c>
      <c r="D491" s="98" t="s">
        <v>1736</v>
      </c>
      <c r="E491" s="98" t="s">
        <v>1830</v>
      </c>
      <c r="F491" s="98" t="n">
        <v>7.61898432720929</v>
      </c>
      <c r="G491" s="98" t="s">
        <v>2212</v>
      </c>
      <c r="H491" s="98" t="s">
        <v>1703</v>
      </c>
      <c r="I491" s="98" t="s">
        <v>1704</v>
      </c>
      <c r="J491" s="98" t="s">
        <v>1705</v>
      </c>
      <c r="K491" s="98" t="s">
        <v>1706</v>
      </c>
    </row>
    <row r="492" customFormat="false" ht="64" hidden="false" customHeight="true" outlineLevel="0" collapsed="false">
      <c r="C492" s="98" t="s">
        <v>2234</v>
      </c>
      <c r="D492" s="98" t="s">
        <v>1738</v>
      </c>
      <c r="E492" s="98" t="s">
        <v>1830</v>
      </c>
      <c r="F492" s="98" t="n">
        <v>7.61898432720929</v>
      </c>
      <c r="G492" s="98" t="s">
        <v>2212</v>
      </c>
      <c r="H492" s="98" t="s">
        <v>1703</v>
      </c>
      <c r="I492" s="98" t="s">
        <v>1704</v>
      </c>
      <c r="J492" s="98" t="s">
        <v>1705</v>
      </c>
      <c r="K492" s="98" t="s">
        <v>1706</v>
      </c>
    </row>
    <row r="493" customFormat="false" ht="64" hidden="false" customHeight="true" outlineLevel="0" collapsed="false">
      <c r="C493" s="98" t="s">
        <v>2235</v>
      </c>
      <c r="D493" s="98" t="s">
        <v>1740</v>
      </c>
      <c r="E493" s="98" t="s">
        <v>1830</v>
      </c>
      <c r="F493" s="98" t="n">
        <v>7.61898432720929</v>
      </c>
      <c r="G493" s="98" t="s">
        <v>2212</v>
      </c>
      <c r="H493" s="98" t="s">
        <v>1703</v>
      </c>
      <c r="I493" s="98" t="s">
        <v>1704</v>
      </c>
      <c r="J493" s="98" t="s">
        <v>1705</v>
      </c>
      <c r="K493" s="98" t="s">
        <v>1706</v>
      </c>
    </row>
    <row r="494" customFormat="false" ht="64" hidden="false" customHeight="true" outlineLevel="0" collapsed="false">
      <c r="C494" s="98" t="s">
        <v>2236</v>
      </c>
      <c r="D494" s="98" t="s">
        <v>1742</v>
      </c>
      <c r="E494" s="98" t="s">
        <v>1830</v>
      </c>
      <c r="F494" s="98" t="n">
        <v>7.61898432720929</v>
      </c>
      <c r="G494" s="98" t="s">
        <v>2212</v>
      </c>
      <c r="H494" s="98" t="s">
        <v>1703</v>
      </c>
      <c r="I494" s="98" t="s">
        <v>1704</v>
      </c>
      <c r="J494" s="98" t="s">
        <v>1705</v>
      </c>
      <c r="K494" s="98" t="s">
        <v>1706</v>
      </c>
    </row>
    <row r="495" customFormat="false" ht="64" hidden="false" customHeight="true" outlineLevel="0" collapsed="false">
      <c r="C495" s="98" t="s">
        <v>2237</v>
      </c>
      <c r="D495" s="98" t="s">
        <v>1744</v>
      </c>
      <c r="E495" s="98" t="s">
        <v>1830</v>
      </c>
      <c r="F495" s="98" t="n">
        <v>7.61898432720929</v>
      </c>
      <c r="G495" s="98" t="s">
        <v>2212</v>
      </c>
      <c r="H495" s="98" t="s">
        <v>1703</v>
      </c>
      <c r="I495" s="98" t="s">
        <v>1704</v>
      </c>
      <c r="J495" s="98" t="s">
        <v>1705</v>
      </c>
      <c r="K495" s="98" t="s">
        <v>1706</v>
      </c>
    </row>
    <row r="496" customFormat="false" ht="64" hidden="false" customHeight="true" outlineLevel="0" collapsed="false">
      <c r="C496" s="98" t="s">
        <v>2238</v>
      </c>
      <c r="D496" s="98" t="s">
        <v>1746</v>
      </c>
      <c r="E496" s="98" t="s">
        <v>1830</v>
      </c>
      <c r="F496" s="98" t="n">
        <v>7.61898432720929</v>
      </c>
      <c r="G496" s="98" t="s">
        <v>2212</v>
      </c>
      <c r="H496" s="98" t="s">
        <v>1703</v>
      </c>
      <c r="I496" s="98" t="s">
        <v>1704</v>
      </c>
      <c r="J496" s="98" t="s">
        <v>1705</v>
      </c>
      <c r="K496" s="98" t="s">
        <v>1706</v>
      </c>
    </row>
    <row r="497" customFormat="false" ht="64" hidden="false" customHeight="true" outlineLevel="0" collapsed="false">
      <c r="C497" s="98" t="s">
        <v>2239</v>
      </c>
      <c r="D497" s="98" t="s">
        <v>1748</v>
      </c>
      <c r="E497" s="98" t="s">
        <v>1830</v>
      </c>
      <c r="F497" s="98" t="n">
        <v>7.61898432720929</v>
      </c>
      <c r="G497" s="98" t="s">
        <v>2212</v>
      </c>
      <c r="H497" s="98" t="s">
        <v>1703</v>
      </c>
      <c r="I497" s="98" t="s">
        <v>1704</v>
      </c>
      <c r="J497" s="98" t="s">
        <v>1705</v>
      </c>
      <c r="K497" s="98" t="s">
        <v>1706</v>
      </c>
    </row>
    <row r="498" customFormat="false" ht="64" hidden="false" customHeight="true" outlineLevel="0" collapsed="false">
      <c r="C498" s="98" t="s">
        <v>2240</v>
      </c>
      <c r="D498" s="98" t="s">
        <v>1750</v>
      </c>
      <c r="E498" s="98" t="s">
        <v>1830</v>
      </c>
      <c r="F498" s="98" t="n">
        <v>7.61898432720929</v>
      </c>
      <c r="G498" s="98" t="s">
        <v>2212</v>
      </c>
      <c r="H498" s="98" t="s">
        <v>1703</v>
      </c>
      <c r="I498" s="98" t="s">
        <v>1704</v>
      </c>
      <c r="J498" s="98" t="s">
        <v>1705</v>
      </c>
      <c r="K498" s="98" t="s">
        <v>1706</v>
      </c>
    </row>
    <row r="499" customFormat="false" ht="64" hidden="false" customHeight="true" outlineLevel="0" collapsed="false">
      <c r="C499" s="98" t="s">
        <v>2241</v>
      </c>
      <c r="D499" s="98" t="s">
        <v>1752</v>
      </c>
      <c r="E499" s="98" t="s">
        <v>1830</v>
      </c>
      <c r="F499" s="98" t="n">
        <v>7.61898432720929</v>
      </c>
      <c r="G499" s="98" t="s">
        <v>2212</v>
      </c>
      <c r="H499" s="98" t="s">
        <v>1703</v>
      </c>
      <c r="I499" s="98" t="s">
        <v>1704</v>
      </c>
      <c r="J499" s="98" t="s">
        <v>1705</v>
      </c>
      <c r="K499" s="98" t="s">
        <v>1706</v>
      </c>
    </row>
    <row r="500" customFormat="false" ht="64" hidden="false" customHeight="true" outlineLevel="0" collapsed="false">
      <c r="C500" s="98" t="s">
        <v>2242</v>
      </c>
      <c r="D500" s="98" t="s">
        <v>1754</v>
      </c>
      <c r="E500" s="98" t="s">
        <v>1830</v>
      </c>
      <c r="F500" s="98" t="n">
        <v>7.61898432720929</v>
      </c>
      <c r="G500" s="98" t="s">
        <v>2212</v>
      </c>
      <c r="H500" s="98" t="s">
        <v>1703</v>
      </c>
      <c r="I500" s="98" t="s">
        <v>1704</v>
      </c>
      <c r="J500" s="98" t="s">
        <v>1705</v>
      </c>
      <c r="K500" s="98" t="s">
        <v>1706</v>
      </c>
    </row>
    <row r="501" customFormat="false" ht="64" hidden="false" customHeight="true" outlineLevel="0" collapsed="false">
      <c r="C501" s="98" t="s">
        <v>2243</v>
      </c>
      <c r="D501" s="98" t="s">
        <v>1756</v>
      </c>
      <c r="E501" s="98" t="s">
        <v>1830</v>
      </c>
      <c r="F501" s="98" t="n">
        <v>7.61898432720929</v>
      </c>
      <c r="G501" s="98" t="s">
        <v>2212</v>
      </c>
      <c r="H501" s="98" t="s">
        <v>1703</v>
      </c>
      <c r="I501" s="98" t="s">
        <v>1704</v>
      </c>
      <c r="J501" s="98" t="s">
        <v>1705</v>
      </c>
      <c r="K501" s="98" t="s">
        <v>1706</v>
      </c>
    </row>
    <row r="502" customFormat="false" ht="64" hidden="false" customHeight="true" outlineLevel="0" collapsed="false">
      <c r="C502" s="98" t="s">
        <v>2244</v>
      </c>
      <c r="D502" s="98" t="s">
        <v>1758</v>
      </c>
      <c r="E502" s="98" t="s">
        <v>1830</v>
      </c>
      <c r="F502" s="98" t="n">
        <v>7.61898432720929</v>
      </c>
      <c r="G502" s="98" t="s">
        <v>2212</v>
      </c>
      <c r="H502" s="98" t="s">
        <v>1703</v>
      </c>
      <c r="I502" s="98" t="s">
        <v>1704</v>
      </c>
      <c r="J502" s="98" t="s">
        <v>1705</v>
      </c>
      <c r="K502" s="98" t="s">
        <v>1706</v>
      </c>
    </row>
    <row r="503" customFormat="false" ht="64" hidden="false" customHeight="true" outlineLevel="0" collapsed="false">
      <c r="C503" s="98" t="s">
        <v>2245</v>
      </c>
      <c r="D503" s="98" t="s">
        <v>1760</v>
      </c>
      <c r="E503" s="98" t="s">
        <v>1830</v>
      </c>
      <c r="F503" s="98" t="n">
        <v>7.61898432720929</v>
      </c>
      <c r="G503" s="98" t="s">
        <v>2212</v>
      </c>
      <c r="H503" s="98" t="s">
        <v>1703</v>
      </c>
      <c r="I503" s="98" t="s">
        <v>1704</v>
      </c>
      <c r="J503" s="98" t="s">
        <v>1705</v>
      </c>
      <c r="K503" s="98" t="s">
        <v>1706</v>
      </c>
    </row>
    <row r="504" customFormat="false" ht="64" hidden="false" customHeight="true" outlineLevel="0" collapsed="false">
      <c r="C504" s="98" t="s">
        <v>2246</v>
      </c>
      <c r="D504" s="98" t="s">
        <v>1762</v>
      </c>
      <c r="E504" s="98" t="s">
        <v>1830</v>
      </c>
      <c r="F504" s="98" t="n">
        <v>7.61898432720929</v>
      </c>
      <c r="G504" s="98" t="s">
        <v>2212</v>
      </c>
      <c r="H504" s="98" t="s">
        <v>1703</v>
      </c>
      <c r="I504" s="98" t="s">
        <v>1704</v>
      </c>
      <c r="J504" s="98" t="s">
        <v>1705</v>
      </c>
      <c r="K504" s="98" t="s">
        <v>1706</v>
      </c>
    </row>
    <row r="505" customFormat="false" ht="64" hidden="false" customHeight="true" outlineLevel="0" collapsed="false">
      <c r="C505" s="98" t="s">
        <v>2247</v>
      </c>
      <c r="D505" s="98" t="s">
        <v>1764</v>
      </c>
      <c r="E505" s="98" t="s">
        <v>1830</v>
      </c>
      <c r="F505" s="98" t="n">
        <v>7.61898432720929</v>
      </c>
      <c r="G505" s="98" t="s">
        <v>2212</v>
      </c>
      <c r="H505" s="98" t="s">
        <v>1703</v>
      </c>
      <c r="I505" s="98" t="s">
        <v>1704</v>
      </c>
      <c r="J505" s="98" t="s">
        <v>1705</v>
      </c>
      <c r="K505" s="98" t="s">
        <v>1706</v>
      </c>
    </row>
    <row r="506" customFormat="false" ht="64" hidden="false" customHeight="true" outlineLevel="0" collapsed="false">
      <c r="C506" s="98" t="s">
        <v>2248</v>
      </c>
      <c r="D506" s="98" t="s">
        <v>1829</v>
      </c>
      <c r="E506" s="98" t="s">
        <v>835</v>
      </c>
      <c r="F506" s="98" t="n">
        <v>0.0813724026946397</v>
      </c>
      <c r="G506" s="98" t="s">
        <v>2249</v>
      </c>
      <c r="H506" s="98" t="s">
        <v>2250</v>
      </c>
      <c r="I506" s="98" t="s">
        <v>1704</v>
      </c>
      <c r="J506" s="98" t="s">
        <v>1705</v>
      </c>
      <c r="K506" s="98" t="s">
        <v>1706</v>
      </c>
    </row>
    <row r="507" customFormat="false" ht="64" hidden="false" customHeight="true" outlineLevel="0" collapsed="false">
      <c r="C507" s="98" t="s">
        <v>2251</v>
      </c>
      <c r="D507" s="98" t="s">
        <v>1833</v>
      </c>
      <c r="E507" s="98" t="s">
        <v>835</v>
      </c>
      <c r="F507" s="98" t="n">
        <v>0.0813724026946397</v>
      </c>
      <c r="G507" s="98" t="s">
        <v>2249</v>
      </c>
      <c r="H507" s="98" t="s">
        <v>2250</v>
      </c>
      <c r="I507" s="98" t="s">
        <v>1704</v>
      </c>
      <c r="J507" s="98" t="s">
        <v>1705</v>
      </c>
      <c r="K507" s="98" t="s">
        <v>1706</v>
      </c>
    </row>
    <row r="508" customFormat="false" ht="64" hidden="false" customHeight="true" outlineLevel="0" collapsed="false">
      <c r="C508" s="98" t="s">
        <v>2252</v>
      </c>
      <c r="D508" s="98" t="s">
        <v>1835</v>
      </c>
      <c r="E508" s="98" t="s">
        <v>835</v>
      </c>
      <c r="F508" s="98" t="n">
        <v>0.0813724026946397</v>
      </c>
      <c r="G508" s="98" t="s">
        <v>2249</v>
      </c>
      <c r="H508" s="98" t="s">
        <v>2250</v>
      </c>
      <c r="I508" s="98" t="s">
        <v>1704</v>
      </c>
      <c r="J508" s="98" t="s">
        <v>1705</v>
      </c>
      <c r="K508" s="98" t="s">
        <v>1706</v>
      </c>
    </row>
    <row r="509" customFormat="false" ht="64" hidden="false" customHeight="true" outlineLevel="0" collapsed="false">
      <c r="C509" s="98" t="s">
        <v>2253</v>
      </c>
      <c r="D509" s="98" t="s">
        <v>1044</v>
      </c>
      <c r="E509" s="98" t="s">
        <v>835</v>
      </c>
      <c r="F509" s="98" t="n">
        <v>0.0813724026946397</v>
      </c>
      <c r="G509" s="98" t="s">
        <v>2249</v>
      </c>
      <c r="H509" s="98" t="s">
        <v>2250</v>
      </c>
      <c r="I509" s="98" t="s">
        <v>1704</v>
      </c>
      <c r="J509" s="98" t="s">
        <v>1705</v>
      </c>
      <c r="K509" s="98" t="s">
        <v>1706</v>
      </c>
    </row>
    <row r="510" customFormat="false" ht="64" hidden="false" customHeight="true" outlineLevel="0" collapsed="false">
      <c r="C510" s="98" t="s">
        <v>2254</v>
      </c>
      <c r="D510" s="98" t="s">
        <v>1838</v>
      </c>
      <c r="E510" s="98" t="s">
        <v>835</v>
      </c>
      <c r="F510" s="98" t="n">
        <v>0.0813724026946397</v>
      </c>
      <c r="G510" s="98" t="s">
        <v>2249</v>
      </c>
      <c r="H510" s="98" t="s">
        <v>2250</v>
      </c>
      <c r="I510" s="98" t="s">
        <v>1704</v>
      </c>
      <c r="J510" s="98" t="s">
        <v>1705</v>
      </c>
      <c r="K510" s="98" t="s">
        <v>1706</v>
      </c>
    </row>
    <row r="511" customFormat="false" ht="64" hidden="false" customHeight="true" outlineLevel="0" collapsed="false">
      <c r="C511" s="98" t="s">
        <v>2255</v>
      </c>
      <c r="D511" s="98" t="s">
        <v>1840</v>
      </c>
      <c r="E511" s="98" t="s">
        <v>835</v>
      </c>
      <c r="F511" s="98" t="n">
        <v>0.0813724026946397</v>
      </c>
      <c r="G511" s="98" t="s">
        <v>2249</v>
      </c>
      <c r="H511" s="98" t="s">
        <v>2250</v>
      </c>
      <c r="I511" s="98" t="s">
        <v>1704</v>
      </c>
      <c r="J511" s="98" t="s">
        <v>1705</v>
      </c>
      <c r="K511" s="98" t="s">
        <v>1706</v>
      </c>
    </row>
    <row r="512" customFormat="false" ht="64" hidden="false" customHeight="true" outlineLevel="0" collapsed="false">
      <c r="C512" s="98" t="s">
        <v>2256</v>
      </c>
      <c r="D512" s="98" t="s">
        <v>1700</v>
      </c>
      <c r="E512" s="98" t="s">
        <v>835</v>
      </c>
      <c r="F512" s="98" t="n">
        <v>0.0813724026946397</v>
      </c>
      <c r="G512" s="98" t="s">
        <v>2249</v>
      </c>
      <c r="H512" s="98" t="s">
        <v>2250</v>
      </c>
      <c r="I512" s="98" t="s">
        <v>1704</v>
      </c>
      <c r="J512" s="98" t="s">
        <v>1705</v>
      </c>
      <c r="K512" s="98" t="s">
        <v>1706</v>
      </c>
    </row>
    <row r="513" customFormat="false" ht="64" hidden="false" customHeight="true" outlineLevel="0" collapsed="false">
      <c r="C513" s="98" t="s">
        <v>2257</v>
      </c>
      <c r="D513" s="98" t="s">
        <v>1708</v>
      </c>
      <c r="E513" s="98" t="s">
        <v>835</v>
      </c>
      <c r="F513" s="98" t="n">
        <v>0.0813724026946397</v>
      </c>
      <c r="G513" s="98" t="s">
        <v>2249</v>
      </c>
      <c r="H513" s="98" t="s">
        <v>2250</v>
      </c>
      <c r="I513" s="98" t="s">
        <v>1704</v>
      </c>
      <c r="J513" s="98" t="s">
        <v>1705</v>
      </c>
      <c r="K513" s="98" t="s">
        <v>1706</v>
      </c>
    </row>
    <row r="514" customFormat="false" ht="64" hidden="false" customHeight="true" outlineLevel="0" collapsed="false">
      <c r="C514" s="98" t="s">
        <v>2258</v>
      </c>
      <c r="D514" s="98" t="s">
        <v>1710</v>
      </c>
      <c r="E514" s="98" t="s">
        <v>835</v>
      </c>
      <c r="F514" s="98" t="n">
        <v>0.0813724026946397</v>
      </c>
      <c r="G514" s="98" t="s">
        <v>2249</v>
      </c>
      <c r="H514" s="98" t="s">
        <v>2250</v>
      </c>
      <c r="I514" s="98" t="s">
        <v>1704</v>
      </c>
      <c r="J514" s="98" t="s">
        <v>1705</v>
      </c>
      <c r="K514" s="98" t="s">
        <v>1706</v>
      </c>
    </row>
    <row r="515" customFormat="false" ht="64" hidden="false" customHeight="true" outlineLevel="0" collapsed="false">
      <c r="C515" s="98" t="s">
        <v>2259</v>
      </c>
      <c r="D515" s="98" t="s">
        <v>1712</v>
      </c>
      <c r="E515" s="98" t="s">
        <v>835</v>
      </c>
      <c r="F515" s="98" t="n">
        <v>0.0813724026946397</v>
      </c>
      <c r="G515" s="98" t="s">
        <v>2249</v>
      </c>
      <c r="H515" s="98" t="s">
        <v>2250</v>
      </c>
      <c r="I515" s="98" t="s">
        <v>1704</v>
      </c>
      <c r="J515" s="98" t="s">
        <v>1705</v>
      </c>
      <c r="K515" s="98" t="s">
        <v>1706</v>
      </c>
    </row>
    <row r="516" customFormat="false" ht="64" hidden="false" customHeight="true" outlineLevel="0" collapsed="false">
      <c r="C516" s="98" t="s">
        <v>2260</v>
      </c>
      <c r="D516" s="98" t="s">
        <v>1714</v>
      </c>
      <c r="E516" s="98" t="s">
        <v>835</v>
      </c>
      <c r="F516" s="98" t="n">
        <v>0.0813724026946397</v>
      </c>
      <c r="G516" s="98" t="s">
        <v>2249</v>
      </c>
      <c r="H516" s="98" t="s">
        <v>2250</v>
      </c>
      <c r="I516" s="98" t="s">
        <v>1704</v>
      </c>
      <c r="J516" s="98" t="s">
        <v>1705</v>
      </c>
      <c r="K516" s="98" t="s">
        <v>1706</v>
      </c>
    </row>
    <row r="517" customFormat="false" ht="64" hidden="false" customHeight="true" outlineLevel="0" collapsed="false">
      <c r="C517" s="98" t="s">
        <v>2261</v>
      </c>
      <c r="D517" s="98" t="s">
        <v>1716</v>
      </c>
      <c r="E517" s="98" t="s">
        <v>835</v>
      </c>
      <c r="F517" s="98" t="n">
        <v>0.0813724026946397</v>
      </c>
      <c r="G517" s="98" t="s">
        <v>2249</v>
      </c>
      <c r="H517" s="98" t="s">
        <v>2250</v>
      </c>
      <c r="I517" s="98" t="s">
        <v>1704</v>
      </c>
      <c r="J517" s="98" t="s">
        <v>1705</v>
      </c>
      <c r="K517" s="98" t="s">
        <v>1706</v>
      </c>
    </row>
    <row r="518" customFormat="false" ht="64" hidden="false" customHeight="true" outlineLevel="0" collapsed="false">
      <c r="C518" s="98" t="s">
        <v>2262</v>
      </c>
      <c r="D518" s="98" t="s">
        <v>1718</v>
      </c>
      <c r="E518" s="98" t="s">
        <v>835</v>
      </c>
      <c r="F518" s="98" t="n">
        <v>0.0813724026946397</v>
      </c>
      <c r="G518" s="98" t="s">
        <v>2249</v>
      </c>
      <c r="H518" s="98" t="s">
        <v>2250</v>
      </c>
      <c r="I518" s="98" t="s">
        <v>1704</v>
      </c>
      <c r="J518" s="98" t="s">
        <v>1705</v>
      </c>
      <c r="K518" s="98" t="s">
        <v>1706</v>
      </c>
    </row>
    <row r="519" customFormat="false" ht="64" hidden="false" customHeight="true" outlineLevel="0" collapsed="false">
      <c r="C519" s="98" t="s">
        <v>2263</v>
      </c>
      <c r="D519" s="98" t="s">
        <v>1720</v>
      </c>
      <c r="E519" s="98" t="s">
        <v>835</v>
      </c>
      <c r="F519" s="98" t="n">
        <v>0.0813724026946397</v>
      </c>
      <c r="G519" s="98" t="s">
        <v>2249</v>
      </c>
      <c r="H519" s="98" t="s">
        <v>2250</v>
      </c>
      <c r="I519" s="98" t="s">
        <v>1704</v>
      </c>
      <c r="J519" s="98" t="s">
        <v>1705</v>
      </c>
      <c r="K519" s="98" t="s">
        <v>1706</v>
      </c>
    </row>
    <row r="520" customFormat="false" ht="64" hidden="false" customHeight="true" outlineLevel="0" collapsed="false">
      <c r="C520" s="98" t="s">
        <v>2264</v>
      </c>
      <c r="D520" s="98" t="s">
        <v>1722</v>
      </c>
      <c r="E520" s="98" t="s">
        <v>835</v>
      </c>
      <c r="F520" s="98" t="n">
        <v>0.0813724026946397</v>
      </c>
      <c r="G520" s="98" t="s">
        <v>2249</v>
      </c>
      <c r="H520" s="98" t="s">
        <v>2250</v>
      </c>
      <c r="I520" s="98" t="s">
        <v>1704</v>
      </c>
      <c r="J520" s="98" t="s">
        <v>1705</v>
      </c>
      <c r="K520" s="98" t="s">
        <v>1706</v>
      </c>
    </row>
    <row r="521" customFormat="false" ht="64" hidden="false" customHeight="true" outlineLevel="0" collapsed="false">
      <c r="C521" s="98" t="s">
        <v>2265</v>
      </c>
      <c r="D521" s="98" t="s">
        <v>1724</v>
      </c>
      <c r="E521" s="98" t="s">
        <v>835</v>
      </c>
      <c r="F521" s="98" t="n">
        <v>0.0813724026946397</v>
      </c>
      <c r="G521" s="98" t="s">
        <v>2249</v>
      </c>
      <c r="H521" s="98" t="s">
        <v>2250</v>
      </c>
      <c r="I521" s="98" t="s">
        <v>1704</v>
      </c>
      <c r="J521" s="98" t="s">
        <v>1705</v>
      </c>
      <c r="K521" s="98" t="s">
        <v>1706</v>
      </c>
    </row>
    <row r="522" customFormat="false" ht="64" hidden="false" customHeight="true" outlineLevel="0" collapsed="false">
      <c r="C522" s="98" t="s">
        <v>2266</v>
      </c>
      <c r="D522" s="98" t="s">
        <v>1726</v>
      </c>
      <c r="E522" s="98" t="s">
        <v>835</v>
      </c>
      <c r="F522" s="98" t="n">
        <v>0.0813724026946397</v>
      </c>
      <c r="G522" s="98" t="s">
        <v>2249</v>
      </c>
      <c r="H522" s="98" t="s">
        <v>2250</v>
      </c>
      <c r="I522" s="98" t="s">
        <v>1704</v>
      </c>
      <c r="J522" s="98" t="s">
        <v>1705</v>
      </c>
      <c r="K522" s="98" t="s">
        <v>1706</v>
      </c>
    </row>
    <row r="523" customFormat="false" ht="64" hidden="false" customHeight="true" outlineLevel="0" collapsed="false">
      <c r="C523" s="98" t="s">
        <v>2267</v>
      </c>
      <c r="D523" s="98" t="s">
        <v>1728</v>
      </c>
      <c r="E523" s="98" t="s">
        <v>835</v>
      </c>
      <c r="F523" s="98" t="n">
        <v>0.0813724026946397</v>
      </c>
      <c r="G523" s="98" t="s">
        <v>2249</v>
      </c>
      <c r="H523" s="98" t="s">
        <v>2250</v>
      </c>
      <c r="I523" s="98" t="s">
        <v>1704</v>
      </c>
      <c r="J523" s="98" t="s">
        <v>1705</v>
      </c>
      <c r="K523" s="98" t="s">
        <v>1706</v>
      </c>
    </row>
    <row r="524" customFormat="false" ht="64" hidden="false" customHeight="true" outlineLevel="0" collapsed="false">
      <c r="C524" s="98" t="s">
        <v>2268</v>
      </c>
      <c r="D524" s="98" t="s">
        <v>1730</v>
      </c>
      <c r="E524" s="98" t="s">
        <v>835</v>
      </c>
      <c r="F524" s="98" t="n">
        <v>0.0813724026946397</v>
      </c>
      <c r="G524" s="98" t="s">
        <v>2249</v>
      </c>
      <c r="H524" s="98" t="s">
        <v>2250</v>
      </c>
      <c r="I524" s="98" t="s">
        <v>1704</v>
      </c>
      <c r="J524" s="98" t="s">
        <v>1705</v>
      </c>
      <c r="K524" s="98" t="s">
        <v>1706</v>
      </c>
    </row>
    <row r="525" customFormat="false" ht="64" hidden="false" customHeight="true" outlineLevel="0" collapsed="false">
      <c r="C525" s="98" t="s">
        <v>2269</v>
      </c>
      <c r="D525" s="98" t="s">
        <v>1732</v>
      </c>
      <c r="E525" s="98" t="s">
        <v>835</v>
      </c>
      <c r="F525" s="98" t="n">
        <v>0.0813724026946397</v>
      </c>
      <c r="G525" s="98" t="s">
        <v>2249</v>
      </c>
      <c r="H525" s="98" t="s">
        <v>2250</v>
      </c>
      <c r="I525" s="98" t="s">
        <v>1704</v>
      </c>
      <c r="J525" s="98" t="s">
        <v>1705</v>
      </c>
      <c r="K525" s="98" t="s">
        <v>1706</v>
      </c>
    </row>
    <row r="526" customFormat="false" ht="64" hidden="false" customHeight="true" outlineLevel="0" collapsed="false">
      <c r="C526" s="98" t="s">
        <v>2270</v>
      </c>
      <c r="D526" s="98" t="s">
        <v>1734</v>
      </c>
      <c r="E526" s="98" t="s">
        <v>835</v>
      </c>
      <c r="F526" s="98" t="n">
        <v>0.0813724026946397</v>
      </c>
      <c r="G526" s="98" t="s">
        <v>2249</v>
      </c>
      <c r="H526" s="98" t="s">
        <v>2250</v>
      </c>
      <c r="I526" s="98" t="s">
        <v>1704</v>
      </c>
      <c r="J526" s="98" t="s">
        <v>1705</v>
      </c>
      <c r="K526" s="98" t="s">
        <v>1706</v>
      </c>
    </row>
    <row r="527" customFormat="false" ht="64" hidden="false" customHeight="true" outlineLevel="0" collapsed="false">
      <c r="C527" s="98" t="s">
        <v>2271</v>
      </c>
      <c r="D527" s="98" t="s">
        <v>1736</v>
      </c>
      <c r="E527" s="98" t="s">
        <v>835</v>
      </c>
      <c r="F527" s="98" t="n">
        <v>0.0813724026946397</v>
      </c>
      <c r="G527" s="98" t="s">
        <v>2249</v>
      </c>
      <c r="H527" s="98" t="s">
        <v>2250</v>
      </c>
      <c r="I527" s="98" t="s">
        <v>1704</v>
      </c>
      <c r="J527" s="98" t="s">
        <v>1705</v>
      </c>
      <c r="K527" s="98" t="s">
        <v>1706</v>
      </c>
    </row>
    <row r="528" customFormat="false" ht="64" hidden="false" customHeight="true" outlineLevel="0" collapsed="false">
      <c r="C528" s="98" t="s">
        <v>2272</v>
      </c>
      <c r="D528" s="98" t="s">
        <v>1738</v>
      </c>
      <c r="E528" s="98" t="s">
        <v>835</v>
      </c>
      <c r="F528" s="98" t="n">
        <v>0.0813724026946397</v>
      </c>
      <c r="G528" s="98" t="s">
        <v>2249</v>
      </c>
      <c r="H528" s="98" t="s">
        <v>2250</v>
      </c>
      <c r="I528" s="98" t="s">
        <v>1704</v>
      </c>
      <c r="J528" s="98" t="s">
        <v>1705</v>
      </c>
      <c r="K528" s="98" t="s">
        <v>1706</v>
      </c>
    </row>
    <row r="529" customFormat="false" ht="64" hidden="false" customHeight="true" outlineLevel="0" collapsed="false">
      <c r="C529" s="98" t="s">
        <v>2273</v>
      </c>
      <c r="D529" s="98" t="s">
        <v>1740</v>
      </c>
      <c r="E529" s="98" t="s">
        <v>835</v>
      </c>
      <c r="F529" s="98" t="n">
        <v>0.0813724026946397</v>
      </c>
      <c r="G529" s="98" t="s">
        <v>2249</v>
      </c>
      <c r="H529" s="98" t="s">
        <v>2250</v>
      </c>
      <c r="I529" s="98" t="s">
        <v>1704</v>
      </c>
      <c r="J529" s="98" t="s">
        <v>1705</v>
      </c>
      <c r="K529" s="98" t="s">
        <v>1706</v>
      </c>
    </row>
    <row r="530" customFormat="false" ht="64" hidden="false" customHeight="true" outlineLevel="0" collapsed="false">
      <c r="C530" s="98" t="s">
        <v>2274</v>
      </c>
      <c r="D530" s="98" t="s">
        <v>1742</v>
      </c>
      <c r="E530" s="98" t="s">
        <v>835</v>
      </c>
      <c r="F530" s="98" t="n">
        <v>0.0813724026946397</v>
      </c>
      <c r="G530" s="98" t="s">
        <v>2249</v>
      </c>
      <c r="H530" s="98" t="s">
        <v>2250</v>
      </c>
      <c r="I530" s="98" t="s">
        <v>1704</v>
      </c>
      <c r="J530" s="98" t="s">
        <v>1705</v>
      </c>
      <c r="K530" s="98" t="s">
        <v>1706</v>
      </c>
    </row>
    <row r="531" customFormat="false" ht="64" hidden="false" customHeight="true" outlineLevel="0" collapsed="false">
      <c r="C531" s="98" t="s">
        <v>2275</v>
      </c>
      <c r="D531" s="98" t="s">
        <v>1744</v>
      </c>
      <c r="E531" s="98" t="s">
        <v>835</v>
      </c>
      <c r="F531" s="98" t="n">
        <v>0.0813724026946397</v>
      </c>
      <c r="G531" s="98" t="s">
        <v>2249</v>
      </c>
      <c r="H531" s="98" t="s">
        <v>2250</v>
      </c>
      <c r="I531" s="98" t="s">
        <v>1704</v>
      </c>
      <c r="J531" s="98" t="s">
        <v>1705</v>
      </c>
      <c r="K531" s="98" t="s">
        <v>1706</v>
      </c>
    </row>
    <row r="532" customFormat="false" ht="64" hidden="false" customHeight="true" outlineLevel="0" collapsed="false">
      <c r="C532" s="98" t="s">
        <v>2276</v>
      </c>
      <c r="D532" s="98" t="s">
        <v>1746</v>
      </c>
      <c r="E532" s="98" t="s">
        <v>835</v>
      </c>
      <c r="F532" s="98" t="n">
        <v>0.0813724026946397</v>
      </c>
      <c r="G532" s="98" t="s">
        <v>2249</v>
      </c>
      <c r="H532" s="98" t="s">
        <v>2250</v>
      </c>
      <c r="I532" s="98" t="s">
        <v>1704</v>
      </c>
      <c r="J532" s="98" t="s">
        <v>1705</v>
      </c>
      <c r="K532" s="98" t="s">
        <v>1706</v>
      </c>
    </row>
    <row r="533" customFormat="false" ht="64" hidden="false" customHeight="true" outlineLevel="0" collapsed="false">
      <c r="C533" s="98" t="s">
        <v>2277</v>
      </c>
      <c r="D533" s="98" t="s">
        <v>1748</v>
      </c>
      <c r="E533" s="98" t="s">
        <v>835</v>
      </c>
      <c r="F533" s="98" t="n">
        <v>0.0813724026946397</v>
      </c>
      <c r="G533" s="98" t="s">
        <v>2249</v>
      </c>
      <c r="H533" s="98" t="s">
        <v>2250</v>
      </c>
      <c r="I533" s="98" t="s">
        <v>1704</v>
      </c>
      <c r="J533" s="98" t="s">
        <v>1705</v>
      </c>
      <c r="K533" s="98" t="s">
        <v>1706</v>
      </c>
    </row>
    <row r="534" customFormat="false" ht="64" hidden="false" customHeight="true" outlineLevel="0" collapsed="false">
      <c r="C534" s="98" t="s">
        <v>2278</v>
      </c>
      <c r="D534" s="98" t="s">
        <v>1750</v>
      </c>
      <c r="E534" s="98" t="s">
        <v>835</v>
      </c>
      <c r="F534" s="98" t="n">
        <v>0.0813724026946397</v>
      </c>
      <c r="G534" s="98" t="s">
        <v>2249</v>
      </c>
      <c r="H534" s="98" t="s">
        <v>2250</v>
      </c>
      <c r="I534" s="98" t="s">
        <v>1704</v>
      </c>
      <c r="J534" s="98" t="s">
        <v>1705</v>
      </c>
      <c r="K534" s="98" t="s">
        <v>1706</v>
      </c>
    </row>
    <row r="535" customFormat="false" ht="64" hidden="false" customHeight="true" outlineLevel="0" collapsed="false">
      <c r="C535" s="98" t="s">
        <v>2279</v>
      </c>
      <c r="D535" s="98" t="s">
        <v>1752</v>
      </c>
      <c r="E535" s="98" t="s">
        <v>835</v>
      </c>
      <c r="F535" s="98" t="n">
        <v>0.0813724026946397</v>
      </c>
      <c r="G535" s="98" t="s">
        <v>2249</v>
      </c>
      <c r="H535" s="98" t="s">
        <v>2250</v>
      </c>
      <c r="I535" s="98" t="s">
        <v>1704</v>
      </c>
      <c r="J535" s="98" t="s">
        <v>1705</v>
      </c>
      <c r="K535" s="98" t="s">
        <v>1706</v>
      </c>
    </row>
    <row r="536" customFormat="false" ht="64" hidden="false" customHeight="true" outlineLevel="0" collapsed="false">
      <c r="C536" s="98" t="s">
        <v>2280</v>
      </c>
      <c r="D536" s="98" t="s">
        <v>1754</v>
      </c>
      <c r="E536" s="98" t="s">
        <v>835</v>
      </c>
      <c r="F536" s="98" t="n">
        <v>0.0813724026946397</v>
      </c>
      <c r="G536" s="98" t="s">
        <v>2249</v>
      </c>
      <c r="H536" s="98" t="s">
        <v>2250</v>
      </c>
      <c r="I536" s="98" t="s">
        <v>1704</v>
      </c>
      <c r="J536" s="98" t="s">
        <v>1705</v>
      </c>
      <c r="K536" s="98" t="s">
        <v>1706</v>
      </c>
    </row>
    <row r="537" customFormat="false" ht="64" hidden="false" customHeight="true" outlineLevel="0" collapsed="false">
      <c r="C537" s="98" t="s">
        <v>2281</v>
      </c>
      <c r="D537" s="98" t="s">
        <v>1756</v>
      </c>
      <c r="E537" s="98" t="s">
        <v>835</v>
      </c>
      <c r="F537" s="98" t="n">
        <v>0.0813724026946397</v>
      </c>
      <c r="G537" s="98" t="s">
        <v>2249</v>
      </c>
      <c r="H537" s="98" t="s">
        <v>2250</v>
      </c>
      <c r="I537" s="98" t="s">
        <v>1704</v>
      </c>
      <c r="J537" s="98" t="s">
        <v>1705</v>
      </c>
      <c r="K537" s="98" t="s">
        <v>1706</v>
      </c>
    </row>
    <row r="538" customFormat="false" ht="64" hidden="false" customHeight="true" outlineLevel="0" collapsed="false">
      <c r="C538" s="98" t="s">
        <v>2282</v>
      </c>
      <c r="D538" s="98" t="s">
        <v>1758</v>
      </c>
      <c r="E538" s="98" t="s">
        <v>835</v>
      </c>
      <c r="F538" s="98" t="n">
        <v>0.0813724026946397</v>
      </c>
      <c r="G538" s="98" t="s">
        <v>2249</v>
      </c>
      <c r="H538" s="98" t="s">
        <v>2250</v>
      </c>
      <c r="I538" s="98" t="s">
        <v>1704</v>
      </c>
      <c r="J538" s="98" t="s">
        <v>1705</v>
      </c>
      <c r="K538" s="98" t="s">
        <v>1706</v>
      </c>
    </row>
    <row r="539" customFormat="false" ht="64" hidden="false" customHeight="true" outlineLevel="0" collapsed="false">
      <c r="C539" s="98" t="s">
        <v>2283</v>
      </c>
      <c r="D539" s="98" t="s">
        <v>1760</v>
      </c>
      <c r="E539" s="98" t="s">
        <v>835</v>
      </c>
      <c r="F539" s="98" t="n">
        <v>0.0813724026946397</v>
      </c>
      <c r="G539" s="98" t="s">
        <v>2249</v>
      </c>
      <c r="H539" s="98" t="s">
        <v>2250</v>
      </c>
      <c r="I539" s="98" t="s">
        <v>1704</v>
      </c>
      <c r="J539" s="98" t="s">
        <v>1705</v>
      </c>
      <c r="K539" s="98" t="s">
        <v>1706</v>
      </c>
    </row>
    <row r="540" customFormat="false" ht="64" hidden="false" customHeight="true" outlineLevel="0" collapsed="false">
      <c r="C540" s="98" t="s">
        <v>2284</v>
      </c>
      <c r="D540" s="98" t="s">
        <v>1762</v>
      </c>
      <c r="E540" s="98" t="s">
        <v>835</v>
      </c>
      <c r="F540" s="98" t="n">
        <v>0.0813724026946397</v>
      </c>
      <c r="G540" s="98" t="s">
        <v>2249</v>
      </c>
      <c r="H540" s="98" t="s">
        <v>2250</v>
      </c>
      <c r="I540" s="98" t="s">
        <v>1704</v>
      </c>
      <c r="J540" s="98" t="s">
        <v>1705</v>
      </c>
      <c r="K540" s="98" t="s">
        <v>1706</v>
      </c>
    </row>
    <row r="541" customFormat="false" ht="64" hidden="false" customHeight="true" outlineLevel="0" collapsed="false">
      <c r="C541" s="98" t="s">
        <v>2285</v>
      </c>
      <c r="D541" s="98" t="s">
        <v>1764</v>
      </c>
      <c r="E541" s="98" t="s">
        <v>835</v>
      </c>
      <c r="F541" s="98" t="n">
        <v>0.0813724026946397</v>
      </c>
      <c r="G541" s="98" t="s">
        <v>2249</v>
      </c>
      <c r="H541" s="98" t="s">
        <v>2250</v>
      </c>
      <c r="I541" s="98" t="s">
        <v>1704</v>
      </c>
      <c r="J541" s="98" t="s">
        <v>1705</v>
      </c>
      <c r="K541" s="98" t="s">
        <v>1706</v>
      </c>
    </row>
    <row r="542" customFormat="false" ht="64" hidden="false" customHeight="true" outlineLevel="0" collapsed="false">
      <c r="C542" s="98" t="s">
        <v>2286</v>
      </c>
      <c r="D542" s="98" t="s">
        <v>1829</v>
      </c>
      <c r="E542" s="98" t="s">
        <v>1830</v>
      </c>
      <c r="F542" s="98" t="n">
        <v>108.237856301742</v>
      </c>
      <c r="G542" s="98" t="s">
        <v>2287</v>
      </c>
      <c r="H542" s="98" t="s">
        <v>1703</v>
      </c>
      <c r="I542" s="98" t="s">
        <v>1704</v>
      </c>
      <c r="J542" s="98" t="s">
        <v>1705</v>
      </c>
      <c r="K542" s="98" t="s">
        <v>1706</v>
      </c>
    </row>
    <row r="543" customFormat="false" ht="64" hidden="false" customHeight="true" outlineLevel="0" collapsed="false">
      <c r="C543" s="98" t="s">
        <v>2288</v>
      </c>
      <c r="D543" s="98" t="s">
        <v>1833</v>
      </c>
      <c r="E543" s="98" t="s">
        <v>1830</v>
      </c>
      <c r="F543" s="98" t="n">
        <v>108.237856301742</v>
      </c>
      <c r="G543" s="98" t="s">
        <v>2287</v>
      </c>
      <c r="H543" s="98" t="s">
        <v>1703</v>
      </c>
      <c r="I543" s="98" t="s">
        <v>1704</v>
      </c>
      <c r="J543" s="98" t="s">
        <v>1705</v>
      </c>
      <c r="K543" s="98" t="s">
        <v>1706</v>
      </c>
    </row>
    <row r="544" customFormat="false" ht="64" hidden="false" customHeight="true" outlineLevel="0" collapsed="false">
      <c r="C544" s="98" t="s">
        <v>2289</v>
      </c>
      <c r="D544" s="98" t="s">
        <v>1835</v>
      </c>
      <c r="E544" s="98" t="s">
        <v>1830</v>
      </c>
      <c r="F544" s="98" t="n">
        <v>108.237856301742</v>
      </c>
      <c r="G544" s="98" t="s">
        <v>2287</v>
      </c>
      <c r="H544" s="98" t="s">
        <v>1703</v>
      </c>
      <c r="I544" s="98" t="s">
        <v>1704</v>
      </c>
      <c r="J544" s="98" t="s">
        <v>1705</v>
      </c>
      <c r="K544" s="98" t="s">
        <v>1706</v>
      </c>
    </row>
    <row r="545" customFormat="false" ht="64" hidden="false" customHeight="true" outlineLevel="0" collapsed="false">
      <c r="C545" s="98" t="s">
        <v>2290</v>
      </c>
      <c r="D545" s="98" t="s">
        <v>1044</v>
      </c>
      <c r="E545" s="98" t="s">
        <v>1830</v>
      </c>
      <c r="F545" s="98" t="n">
        <v>108.237856301742</v>
      </c>
      <c r="G545" s="98" t="s">
        <v>2287</v>
      </c>
      <c r="H545" s="98" t="s">
        <v>1703</v>
      </c>
      <c r="I545" s="98" t="s">
        <v>1704</v>
      </c>
      <c r="J545" s="98" t="s">
        <v>1705</v>
      </c>
      <c r="K545" s="98" t="s">
        <v>1706</v>
      </c>
    </row>
    <row r="546" customFormat="false" ht="64" hidden="false" customHeight="true" outlineLevel="0" collapsed="false">
      <c r="C546" s="98" t="s">
        <v>2291</v>
      </c>
      <c r="D546" s="98" t="s">
        <v>1838</v>
      </c>
      <c r="E546" s="98" t="s">
        <v>1830</v>
      </c>
      <c r="F546" s="98" t="n">
        <v>108.237856301742</v>
      </c>
      <c r="G546" s="98" t="s">
        <v>2287</v>
      </c>
      <c r="H546" s="98" t="s">
        <v>1703</v>
      </c>
      <c r="I546" s="98" t="s">
        <v>1704</v>
      </c>
      <c r="J546" s="98" t="s">
        <v>1705</v>
      </c>
      <c r="K546" s="98" t="s">
        <v>1706</v>
      </c>
    </row>
    <row r="547" customFormat="false" ht="64" hidden="false" customHeight="true" outlineLevel="0" collapsed="false">
      <c r="C547" s="98" t="s">
        <v>2292</v>
      </c>
      <c r="D547" s="98" t="s">
        <v>1840</v>
      </c>
      <c r="E547" s="98" t="s">
        <v>1830</v>
      </c>
      <c r="F547" s="98" t="n">
        <v>108.237856301742</v>
      </c>
      <c r="G547" s="98" t="s">
        <v>2287</v>
      </c>
      <c r="H547" s="98" t="s">
        <v>1703</v>
      </c>
      <c r="I547" s="98" t="s">
        <v>1704</v>
      </c>
      <c r="J547" s="98" t="s">
        <v>1705</v>
      </c>
      <c r="K547" s="98" t="s">
        <v>1706</v>
      </c>
    </row>
    <row r="548" customFormat="false" ht="64" hidden="false" customHeight="true" outlineLevel="0" collapsed="false">
      <c r="C548" s="98" t="s">
        <v>2293</v>
      </c>
      <c r="D548" s="98" t="s">
        <v>1700</v>
      </c>
      <c r="E548" s="98" t="s">
        <v>1830</v>
      </c>
      <c r="F548" s="98" t="n">
        <v>108.237856301742</v>
      </c>
      <c r="G548" s="98" t="s">
        <v>2287</v>
      </c>
      <c r="H548" s="98" t="s">
        <v>1703</v>
      </c>
      <c r="I548" s="98" t="s">
        <v>1704</v>
      </c>
      <c r="J548" s="98" t="s">
        <v>1705</v>
      </c>
      <c r="K548" s="98" t="s">
        <v>1706</v>
      </c>
    </row>
    <row r="549" customFormat="false" ht="64" hidden="false" customHeight="true" outlineLevel="0" collapsed="false">
      <c r="C549" s="98" t="s">
        <v>2294</v>
      </c>
      <c r="D549" s="98" t="s">
        <v>1708</v>
      </c>
      <c r="E549" s="98" t="s">
        <v>1830</v>
      </c>
      <c r="F549" s="98" t="n">
        <v>108.237856301742</v>
      </c>
      <c r="G549" s="98" t="s">
        <v>2287</v>
      </c>
      <c r="H549" s="98" t="s">
        <v>1703</v>
      </c>
      <c r="I549" s="98" t="s">
        <v>1704</v>
      </c>
      <c r="J549" s="98" t="s">
        <v>1705</v>
      </c>
      <c r="K549" s="98" t="s">
        <v>1706</v>
      </c>
    </row>
    <row r="550" customFormat="false" ht="64" hidden="false" customHeight="true" outlineLevel="0" collapsed="false">
      <c r="C550" s="98" t="s">
        <v>2295</v>
      </c>
      <c r="D550" s="98" t="s">
        <v>1710</v>
      </c>
      <c r="E550" s="98" t="s">
        <v>1830</v>
      </c>
      <c r="F550" s="98" t="n">
        <v>108.237856301742</v>
      </c>
      <c r="G550" s="98" t="s">
        <v>2287</v>
      </c>
      <c r="H550" s="98" t="s">
        <v>1703</v>
      </c>
      <c r="I550" s="98" t="s">
        <v>1704</v>
      </c>
      <c r="J550" s="98" t="s">
        <v>1705</v>
      </c>
      <c r="K550" s="98" t="s">
        <v>1706</v>
      </c>
    </row>
    <row r="551" customFormat="false" ht="64" hidden="false" customHeight="true" outlineLevel="0" collapsed="false">
      <c r="C551" s="98" t="s">
        <v>2296</v>
      </c>
      <c r="D551" s="98" t="s">
        <v>1712</v>
      </c>
      <c r="E551" s="98" t="s">
        <v>1830</v>
      </c>
      <c r="F551" s="98" t="n">
        <v>108.237856301742</v>
      </c>
      <c r="G551" s="98" t="s">
        <v>2287</v>
      </c>
      <c r="H551" s="98" t="s">
        <v>1703</v>
      </c>
      <c r="I551" s="98" t="s">
        <v>1704</v>
      </c>
      <c r="J551" s="98" t="s">
        <v>1705</v>
      </c>
      <c r="K551" s="98" t="s">
        <v>1706</v>
      </c>
    </row>
    <row r="552" customFormat="false" ht="64" hidden="false" customHeight="true" outlineLevel="0" collapsed="false">
      <c r="C552" s="98" t="s">
        <v>2297</v>
      </c>
      <c r="D552" s="98" t="s">
        <v>1714</v>
      </c>
      <c r="E552" s="98" t="s">
        <v>1830</v>
      </c>
      <c r="F552" s="98" t="n">
        <v>108.237856301742</v>
      </c>
      <c r="G552" s="98" t="s">
        <v>2287</v>
      </c>
      <c r="H552" s="98" t="s">
        <v>1703</v>
      </c>
      <c r="I552" s="98" t="s">
        <v>1704</v>
      </c>
      <c r="J552" s="98" t="s">
        <v>1705</v>
      </c>
      <c r="K552" s="98" t="s">
        <v>1706</v>
      </c>
    </row>
    <row r="553" customFormat="false" ht="64" hidden="false" customHeight="true" outlineLevel="0" collapsed="false">
      <c r="C553" s="98" t="s">
        <v>2298</v>
      </c>
      <c r="D553" s="98" t="s">
        <v>1716</v>
      </c>
      <c r="E553" s="98" t="s">
        <v>1830</v>
      </c>
      <c r="F553" s="98" t="n">
        <v>108.237856301742</v>
      </c>
      <c r="G553" s="98" t="s">
        <v>2287</v>
      </c>
      <c r="H553" s="98" t="s">
        <v>1703</v>
      </c>
      <c r="I553" s="98" t="s">
        <v>1704</v>
      </c>
      <c r="J553" s="98" t="s">
        <v>1705</v>
      </c>
      <c r="K553" s="98" t="s">
        <v>1706</v>
      </c>
    </row>
    <row r="554" customFormat="false" ht="64" hidden="false" customHeight="true" outlineLevel="0" collapsed="false">
      <c r="C554" s="98" t="s">
        <v>2299</v>
      </c>
      <c r="D554" s="98" t="s">
        <v>1718</v>
      </c>
      <c r="E554" s="98" t="s">
        <v>1830</v>
      </c>
      <c r="F554" s="98" t="n">
        <v>108.237856301742</v>
      </c>
      <c r="G554" s="98" t="s">
        <v>2287</v>
      </c>
      <c r="H554" s="98" t="s">
        <v>1703</v>
      </c>
      <c r="I554" s="98" t="s">
        <v>1704</v>
      </c>
      <c r="J554" s="98" t="s">
        <v>1705</v>
      </c>
      <c r="K554" s="98" t="s">
        <v>1706</v>
      </c>
    </row>
    <row r="555" customFormat="false" ht="64" hidden="false" customHeight="true" outlineLevel="0" collapsed="false">
      <c r="C555" s="98" t="s">
        <v>2300</v>
      </c>
      <c r="D555" s="98" t="s">
        <v>1720</v>
      </c>
      <c r="E555" s="98" t="s">
        <v>1830</v>
      </c>
      <c r="F555" s="98" t="n">
        <v>108.237856301742</v>
      </c>
      <c r="G555" s="98" t="s">
        <v>2287</v>
      </c>
      <c r="H555" s="98" t="s">
        <v>1703</v>
      </c>
      <c r="I555" s="98" t="s">
        <v>1704</v>
      </c>
      <c r="J555" s="98" t="s">
        <v>1705</v>
      </c>
      <c r="K555" s="98" t="s">
        <v>1706</v>
      </c>
    </row>
    <row r="556" customFormat="false" ht="64" hidden="false" customHeight="true" outlineLevel="0" collapsed="false">
      <c r="C556" s="98" t="s">
        <v>2301</v>
      </c>
      <c r="D556" s="98" t="s">
        <v>1722</v>
      </c>
      <c r="E556" s="98" t="s">
        <v>1830</v>
      </c>
      <c r="F556" s="98" t="n">
        <v>108.237856301742</v>
      </c>
      <c r="G556" s="98" t="s">
        <v>2287</v>
      </c>
      <c r="H556" s="98" t="s">
        <v>1703</v>
      </c>
      <c r="I556" s="98" t="s">
        <v>1704</v>
      </c>
      <c r="J556" s="98" t="s">
        <v>1705</v>
      </c>
      <c r="K556" s="98" t="s">
        <v>1706</v>
      </c>
    </row>
    <row r="557" customFormat="false" ht="64" hidden="false" customHeight="true" outlineLevel="0" collapsed="false">
      <c r="C557" s="98" t="s">
        <v>2302</v>
      </c>
      <c r="D557" s="98" t="s">
        <v>1724</v>
      </c>
      <c r="E557" s="98" t="s">
        <v>1830</v>
      </c>
      <c r="F557" s="98" t="n">
        <v>108.237856301742</v>
      </c>
      <c r="G557" s="98" t="s">
        <v>2287</v>
      </c>
      <c r="H557" s="98" t="s">
        <v>1703</v>
      </c>
      <c r="I557" s="98" t="s">
        <v>1704</v>
      </c>
      <c r="J557" s="98" t="s">
        <v>1705</v>
      </c>
      <c r="K557" s="98" t="s">
        <v>1706</v>
      </c>
    </row>
    <row r="558" customFormat="false" ht="64" hidden="false" customHeight="true" outlineLevel="0" collapsed="false">
      <c r="C558" s="98" t="s">
        <v>2303</v>
      </c>
      <c r="D558" s="98" t="s">
        <v>1726</v>
      </c>
      <c r="E558" s="98" t="s">
        <v>1830</v>
      </c>
      <c r="F558" s="98" t="n">
        <v>108.237856301742</v>
      </c>
      <c r="G558" s="98" t="s">
        <v>2287</v>
      </c>
      <c r="H558" s="98" t="s">
        <v>1703</v>
      </c>
      <c r="I558" s="98" t="s">
        <v>1704</v>
      </c>
      <c r="J558" s="98" t="s">
        <v>1705</v>
      </c>
      <c r="K558" s="98" t="s">
        <v>1706</v>
      </c>
    </row>
    <row r="559" customFormat="false" ht="64" hidden="false" customHeight="true" outlineLevel="0" collapsed="false">
      <c r="C559" s="98" t="s">
        <v>2304</v>
      </c>
      <c r="D559" s="98" t="s">
        <v>1728</v>
      </c>
      <c r="E559" s="98" t="s">
        <v>1830</v>
      </c>
      <c r="F559" s="98" t="n">
        <v>108.237856301742</v>
      </c>
      <c r="G559" s="98" t="s">
        <v>2287</v>
      </c>
      <c r="H559" s="98" t="s">
        <v>1703</v>
      </c>
      <c r="I559" s="98" t="s">
        <v>1704</v>
      </c>
      <c r="J559" s="98" t="s">
        <v>1705</v>
      </c>
      <c r="K559" s="98" t="s">
        <v>1706</v>
      </c>
    </row>
    <row r="560" customFormat="false" ht="64" hidden="false" customHeight="true" outlineLevel="0" collapsed="false">
      <c r="C560" s="98" t="s">
        <v>2305</v>
      </c>
      <c r="D560" s="98" t="s">
        <v>1730</v>
      </c>
      <c r="E560" s="98" t="s">
        <v>1830</v>
      </c>
      <c r="F560" s="98" t="n">
        <v>108.237856301742</v>
      </c>
      <c r="G560" s="98" t="s">
        <v>2287</v>
      </c>
      <c r="H560" s="98" t="s">
        <v>1703</v>
      </c>
      <c r="I560" s="98" t="s">
        <v>1704</v>
      </c>
      <c r="J560" s="98" t="s">
        <v>1705</v>
      </c>
      <c r="K560" s="98" t="s">
        <v>1706</v>
      </c>
    </row>
    <row r="561" customFormat="false" ht="64" hidden="false" customHeight="true" outlineLevel="0" collapsed="false">
      <c r="C561" s="98" t="s">
        <v>2306</v>
      </c>
      <c r="D561" s="98" t="s">
        <v>1732</v>
      </c>
      <c r="E561" s="98" t="s">
        <v>1830</v>
      </c>
      <c r="F561" s="98" t="n">
        <v>108.237856301742</v>
      </c>
      <c r="G561" s="98" t="s">
        <v>2287</v>
      </c>
      <c r="H561" s="98" t="s">
        <v>1703</v>
      </c>
      <c r="I561" s="98" t="s">
        <v>1704</v>
      </c>
      <c r="J561" s="98" t="s">
        <v>1705</v>
      </c>
      <c r="K561" s="98" t="s">
        <v>1706</v>
      </c>
    </row>
    <row r="562" customFormat="false" ht="64" hidden="false" customHeight="true" outlineLevel="0" collapsed="false">
      <c r="C562" s="98" t="s">
        <v>2307</v>
      </c>
      <c r="D562" s="98" t="s">
        <v>1734</v>
      </c>
      <c r="E562" s="98" t="s">
        <v>1830</v>
      </c>
      <c r="F562" s="98" t="n">
        <v>108.237856301742</v>
      </c>
      <c r="G562" s="98" t="s">
        <v>2287</v>
      </c>
      <c r="H562" s="98" t="s">
        <v>1703</v>
      </c>
      <c r="I562" s="98" t="s">
        <v>1704</v>
      </c>
      <c r="J562" s="98" t="s">
        <v>1705</v>
      </c>
      <c r="K562" s="98" t="s">
        <v>1706</v>
      </c>
    </row>
    <row r="563" customFormat="false" ht="64" hidden="false" customHeight="true" outlineLevel="0" collapsed="false">
      <c r="C563" s="98" t="s">
        <v>2308</v>
      </c>
      <c r="D563" s="98" t="s">
        <v>1736</v>
      </c>
      <c r="E563" s="98" t="s">
        <v>1830</v>
      </c>
      <c r="F563" s="98" t="n">
        <v>108.237856301742</v>
      </c>
      <c r="G563" s="98" t="s">
        <v>2287</v>
      </c>
      <c r="H563" s="98" t="s">
        <v>1703</v>
      </c>
      <c r="I563" s="98" t="s">
        <v>1704</v>
      </c>
      <c r="J563" s="98" t="s">
        <v>1705</v>
      </c>
      <c r="K563" s="98" t="s">
        <v>1706</v>
      </c>
    </row>
    <row r="564" customFormat="false" ht="64" hidden="false" customHeight="true" outlineLevel="0" collapsed="false">
      <c r="C564" s="98" t="s">
        <v>2309</v>
      </c>
      <c r="D564" s="98" t="s">
        <v>1738</v>
      </c>
      <c r="E564" s="98" t="s">
        <v>1830</v>
      </c>
      <c r="F564" s="98" t="n">
        <v>108.237856301742</v>
      </c>
      <c r="G564" s="98" t="s">
        <v>2287</v>
      </c>
      <c r="H564" s="98" t="s">
        <v>1703</v>
      </c>
      <c r="I564" s="98" t="s">
        <v>1704</v>
      </c>
      <c r="J564" s="98" t="s">
        <v>1705</v>
      </c>
      <c r="K564" s="98" t="s">
        <v>1706</v>
      </c>
    </row>
    <row r="565" customFormat="false" ht="64" hidden="false" customHeight="true" outlineLevel="0" collapsed="false">
      <c r="C565" s="98" t="s">
        <v>2310</v>
      </c>
      <c r="D565" s="98" t="s">
        <v>1740</v>
      </c>
      <c r="E565" s="98" t="s">
        <v>1830</v>
      </c>
      <c r="F565" s="98" t="n">
        <v>108.237856301742</v>
      </c>
      <c r="G565" s="98" t="s">
        <v>2287</v>
      </c>
      <c r="H565" s="98" t="s">
        <v>1703</v>
      </c>
      <c r="I565" s="98" t="s">
        <v>1704</v>
      </c>
      <c r="J565" s="98" t="s">
        <v>1705</v>
      </c>
      <c r="K565" s="98" t="s">
        <v>1706</v>
      </c>
    </row>
    <row r="566" customFormat="false" ht="64" hidden="false" customHeight="true" outlineLevel="0" collapsed="false">
      <c r="C566" s="98" t="s">
        <v>2311</v>
      </c>
      <c r="D566" s="98" t="s">
        <v>1742</v>
      </c>
      <c r="E566" s="98" t="s">
        <v>1830</v>
      </c>
      <c r="F566" s="98" t="n">
        <v>108.237856301742</v>
      </c>
      <c r="G566" s="98" t="s">
        <v>2287</v>
      </c>
      <c r="H566" s="98" t="s">
        <v>1703</v>
      </c>
      <c r="I566" s="98" t="s">
        <v>1704</v>
      </c>
      <c r="J566" s="98" t="s">
        <v>1705</v>
      </c>
      <c r="K566" s="98" t="s">
        <v>1706</v>
      </c>
    </row>
    <row r="567" customFormat="false" ht="64" hidden="false" customHeight="true" outlineLevel="0" collapsed="false">
      <c r="C567" s="98" t="s">
        <v>2312</v>
      </c>
      <c r="D567" s="98" t="s">
        <v>1744</v>
      </c>
      <c r="E567" s="98" t="s">
        <v>1830</v>
      </c>
      <c r="F567" s="98" t="n">
        <v>108.237856301742</v>
      </c>
      <c r="G567" s="98" t="s">
        <v>2287</v>
      </c>
      <c r="H567" s="98" t="s">
        <v>1703</v>
      </c>
      <c r="I567" s="98" t="s">
        <v>1704</v>
      </c>
      <c r="J567" s="98" t="s">
        <v>1705</v>
      </c>
      <c r="K567" s="98" t="s">
        <v>1706</v>
      </c>
    </row>
    <row r="568" customFormat="false" ht="64" hidden="false" customHeight="true" outlineLevel="0" collapsed="false">
      <c r="C568" s="98" t="s">
        <v>2313</v>
      </c>
      <c r="D568" s="98" t="s">
        <v>1746</v>
      </c>
      <c r="E568" s="98" t="s">
        <v>1830</v>
      </c>
      <c r="F568" s="98" t="n">
        <v>108.237856301742</v>
      </c>
      <c r="G568" s="98" t="s">
        <v>2287</v>
      </c>
      <c r="H568" s="98" t="s">
        <v>1703</v>
      </c>
      <c r="I568" s="98" t="s">
        <v>1704</v>
      </c>
      <c r="J568" s="98" t="s">
        <v>1705</v>
      </c>
      <c r="K568" s="98" t="s">
        <v>1706</v>
      </c>
    </row>
    <row r="569" customFormat="false" ht="64" hidden="false" customHeight="true" outlineLevel="0" collapsed="false">
      <c r="C569" s="98" t="s">
        <v>2314</v>
      </c>
      <c r="D569" s="98" t="s">
        <v>1748</v>
      </c>
      <c r="E569" s="98" t="s">
        <v>1830</v>
      </c>
      <c r="F569" s="98" t="n">
        <v>108.237856301742</v>
      </c>
      <c r="G569" s="98" t="s">
        <v>2287</v>
      </c>
      <c r="H569" s="98" t="s">
        <v>1703</v>
      </c>
      <c r="I569" s="98" t="s">
        <v>1704</v>
      </c>
      <c r="J569" s="98" t="s">
        <v>1705</v>
      </c>
      <c r="K569" s="98" t="s">
        <v>1706</v>
      </c>
    </row>
    <row r="570" customFormat="false" ht="64" hidden="false" customHeight="true" outlineLevel="0" collapsed="false">
      <c r="C570" s="98" t="s">
        <v>2315</v>
      </c>
      <c r="D570" s="98" t="s">
        <v>1750</v>
      </c>
      <c r="E570" s="98" t="s">
        <v>1830</v>
      </c>
      <c r="F570" s="98" t="n">
        <v>108.237856301742</v>
      </c>
      <c r="G570" s="98" t="s">
        <v>2287</v>
      </c>
      <c r="H570" s="98" t="s">
        <v>1703</v>
      </c>
      <c r="I570" s="98" t="s">
        <v>1704</v>
      </c>
      <c r="J570" s="98" t="s">
        <v>1705</v>
      </c>
      <c r="K570" s="98" t="s">
        <v>1706</v>
      </c>
    </row>
    <row r="571" customFormat="false" ht="64" hidden="false" customHeight="true" outlineLevel="0" collapsed="false">
      <c r="C571" s="98" t="s">
        <v>2316</v>
      </c>
      <c r="D571" s="98" t="s">
        <v>1752</v>
      </c>
      <c r="E571" s="98" t="s">
        <v>1830</v>
      </c>
      <c r="F571" s="98" t="n">
        <v>108.237856301742</v>
      </c>
      <c r="G571" s="98" t="s">
        <v>2287</v>
      </c>
      <c r="H571" s="98" t="s">
        <v>1703</v>
      </c>
      <c r="I571" s="98" t="s">
        <v>1704</v>
      </c>
      <c r="J571" s="98" t="s">
        <v>1705</v>
      </c>
      <c r="K571" s="98" t="s">
        <v>1706</v>
      </c>
    </row>
    <row r="572" customFormat="false" ht="64" hidden="false" customHeight="true" outlineLevel="0" collapsed="false">
      <c r="C572" s="98" t="s">
        <v>2317</v>
      </c>
      <c r="D572" s="98" t="s">
        <v>1754</v>
      </c>
      <c r="E572" s="98" t="s">
        <v>1830</v>
      </c>
      <c r="F572" s="98" t="n">
        <v>108.237856301742</v>
      </c>
      <c r="G572" s="98" t="s">
        <v>2287</v>
      </c>
      <c r="H572" s="98" t="s">
        <v>1703</v>
      </c>
      <c r="I572" s="98" t="s">
        <v>1704</v>
      </c>
      <c r="J572" s="98" t="s">
        <v>1705</v>
      </c>
      <c r="K572" s="98" t="s">
        <v>1706</v>
      </c>
    </row>
    <row r="573" customFormat="false" ht="64" hidden="false" customHeight="true" outlineLevel="0" collapsed="false">
      <c r="C573" s="98" t="s">
        <v>2318</v>
      </c>
      <c r="D573" s="98" t="s">
        <v>1756</v>
      </c>
      <c r="E573" s="98" t="s">
        <v>1830</v>
      </c>
      <c r="F573" s="98" t="n">
        <v>108.237856301742</v>
      </c>
      <c r="G573" s="98" t="s">
        <v>2287</v>
      </c>
      <c r="H573" s="98" t="s">
        <v>1703</v>
      </c>
      <c r="I573" s="98" t="s">
        <v>1704</v>
      </c>
      <c r="J573" s="98" t="s">
        <v>1705</v>
      </c>
      <c r="K573" s="98" t="s">
        <v>1706</v>
      </c>
    </row>
    <row r="574" customFormat="false" ht="64" hidden="false" customHeight="true" outlineLevel="0" collapsed="false">
      <c r="C574" s="98" t="s">
        <v>2319</v>
      </c>
      <c r="D574" s="98" t="s">
        <v>1758</v>
      </c>
      <c r="E574" s="98" t="s">
        <v>1830</v>
      </c>
      <c r="F574" s="98" t="n">
        <v>108.237856301742</v>
      </c>
      <c r="G574" s="98" t="s">
        <v>2287</v>
      </c>
      <c r="H574" s="98" t="s">
        <v>1703</v>
      </c>
      <c r="I574" s="98" t="s">
        <v>1704</v>
      </c>
      <c r="J574" s="98" t="s">
        <v>1705</v>
      </c>
      <c r="K574" s="98" t="s">
        <v>1706</v>
      </c>
    </row>
    <row r="575" customFormat="false" ht="64" hidden="false" customHeight="true" outlineLevel="0" collapsed="false">
      <c r="C575" s="98" t="s">
        <v>2320</v>
      </c>
      <c r="D575" s="98" t="s">
        <v>1760</v>
      </c>
      <c r="E575" s="98" t="s">
        <v>1830</v>
      </c>
      <c r="F575" s="98" t="n">
        <v>108.237856301742</v>
      </c>
      <c r="G575" s="98" t="s">
        <v>2287</v>
      </c>
      <c r="H575" s="98" t="s">
        <v>1703</v>
      </c>
      <c r="I575" s="98" t="s">
        <v>1704</v>
      </c>
      <c r="J575" s="98" t="s">
        <v>1705</v>
      </c>
      <c r="K575" s="98" t="s">
        <v>1706</v>
      </c>
    </row>
    <row r="576" customFormat="false" ht="64" hidden="false" customHeight="true" outlineLevel="0" collapsed="false">
      <c r="C576" s="98" t="s">
        <v>2321</v>
      </c>
      <c r="D576" s="98" t="s">
        <v>1762</v>
      </c>
      <c r="E576" s="98" t="s">
        <v>1830</v>
      </c>
      <c r="F576" s="98" t="n">
        <v>108.237856301742</v>
      </c>
      <c r="G576" s="98" t="s">
        <v>2287</v>
      </c>
      <c r="H576" s="98" t="s">
        <v>1703</v>
      </c>
      <c r="I576" s="98" t="s">
        <v>1704</v>
      </c>
      <c r="J576" s="98" t="s">
        <v>1705</v>
      </c>
      <c r="K576" s="98" t="s">
        <v>1706</v>
      </c>
    </row>
    <row r="577" customFormat="false" ht="64" hidden="false" customHeight="true" outlineLevel="0" collapsed="false">
      <c r="C577" s="98" t="s">
        <v>2322</v>
      </c>
      <c r="D577" s="98" t="s">
        <v>1764</v>
      </c>
      <c r="E577" s="98" t="s">
        <v>1830</v>
      </c>
      <c r="F577" s="98" t="n">
        <v>108.237856301742</v>
      </c>
      <c r="G577" s="98" t="s">
        <v>2287</v>
      </c>
      <c r="H577" s="98" t="s">
        <v>1703</v>
      </c>
      <c r="I577" s="98" t="s">
        <v>1704</v>
      </c>
      <c r="J577" s="98" t="s">
        <v>1705</v>
      </c>
      <c r="K577" s="98" t="s">
        <v>1706</v>
      </c>
    </row>
    <row r="578" customFormat="false" ht="64" hidden="false" customHeight="true" outlineLevel="0" collapsed="false">
      <c r="C578" s="98" t="s">
        <v>2323</v>
      </c>
      <c r="D578" s="98" t="s">
        <v>1829</v>
      </c>
      <c r="E578" s="98" t="s">
        <v>811</v>
      </c>
      <c r="F578" s="98" t="n">
        <v>0</v>
      </c>
      <c r="G578" s="98" t="s">
        <v>2324</v>
      </c>
      <c r="H578" s="98" t="s">
        <v>1703</v>
      </c>
      <c r="I578" s="98" t="s">
        <v>1704</v>
      </c>
      <c r="J578" s="98" t="s">
        <v>1705</v>
      </c>
      <c r="K578" s="98" t="s">
        <v>1706</v>
      </c>
    </row>
    <row r="579" customFormat="false" ht="64" hidden="false" customHeight="true" outlineLevel="0" collapsed="false">
      <c r="C579" s="98" t="s">
        <v>2325</v>
      </c>
      <c r="D579" s="98" t="s">
        <v>1833</v>
      </c>
      <c r="E579" s="98" t="s">
        <v>811</v>
      </c>
      <c r="F579" s="98" t="n">
        <v>0</v>
      </c>
      <c r="G579" s="98" t="s">
        <v>2324</v>
      </c>
      <c r="H579" s="98" t="s">
        <v>1703</v>
      </c>
      <c r="I579" s="98" t="s">
        <v>1704</v>
      </c>
      <c r="J579" s="98" t="s">
        <v>1705</v>
      </c>
      <c r="K579" s="98" t="s">
        <v>1706</v>
      </c>
    </row>
    <row r="580" customFormat="false" ht="64" hidden="false" customHeight="true" outlineLevel="0" collapsed="false">
      <c r="C580" s="98" t="s">
        <v>2326</v>
      </c>
      <c r="D580" s="98" t="s">
        <v>1835</v>
      </c>
      <c r="E580" s="98" t="s">
        <v>811</v>
      </c>
      <c r="F580" s="98" t="n">
        <v>0</v>
      </c>
      <c r="G580" s="98" t="s">
        <v>2324</v>
      </c>
      <c r="H580" s="98" t="s">
        <v>1703</v>
      </c>
      <c r="I580" s="98" t="s">
        <v>1704</v>
      </c>
      <c r="J580" s="98" t="s">
        <v>1705</v>
      </c>
      <c r="K580" s="98" t="s">
        <v>1706</v>
      </c>
    </row>
    <row r="581" customFormat="false" ht="64" hidden="false" customHeight="true" outlineLevel="0" collapsed="false">
      <c r="C581" s="98" t="s">
        <v>2327</v>
      </c>
      <c r="D581" s="98" t="s">
        <v>1044</v>
      </c>
      <c r="E581" s="98" t="s">
        <v>811</v>
      </c>
      <c r="F581" s="98" t="n">
        <v>0</v>
      </c>
      <c r="G581" s="98" t="s">
        <v>2324</v>
      </c>
      <c r="H581" s="98" t="s">
        <v>1703</v>
      </c>
      <c r="I581" s="98" t="s">
        <v>1704</v>
      </c>
      <c r="J581" s="98" t="s">
        <v>1705</v>
      </c>
      <c r="K581" s="98" t="s">
        <v>1706</v>
      </c>
    </row>
    <row r="582" customFormat="false" ht="64" hidden="false" customHeight="true" outlineLevel="0" collapsed="false">
      <c r="C582" s="98" t="s">
        <v>2328</v>
      </c>
      <c r="D582" s="98" t="s">
        <v>1838</v>
      </c>
      <c r="E582" s="98" t="s">
        <v>811</v>
      </c>
      <c r="F582" s="98" t="n">
        <v>0</v>
      </c>
      <c r="G582" s="98" t="s">
        <v>2324</v>
      </c>
      <c r="H582" s="98" t="s">
        <v>1703</v>
      </c>
      <c r="I582" s="98" t="s">
        <v>1704</v>
      </c>
      <c r="J582" s="98" t="s">
        <v>1705</v>
      </c>
      <c r="K582" s="98" t="s">
        <v>1706</v>
      </c>
    </row>
    <row r="583" customFormat="false" ht="64" hidden="false" customHeight="true" outlineLevel="0" collapsed="false">
      <c r="C583" s="98" t="s">
        <v>2329</v>
      </c>
      <c r="D583" s="98" t="s">
        <v>1840</v>
      </c>
      <c r="E583" s="98" t="s">
        <v>811</v>
      </c>
      <c r="F583" s="98" t="n">
        <v>0</v>
      </c>
      <c r="G583" s="98" t="s">
        <v>2324</v>
      </c>
      <c r="H583" s="98" t="s">
        <v>1703</v>
      </c>
      <c r="I583" s="98" t="s">
        <v>1704</v>
      </c>
      <c r="J583" s="98" t="s">
        <v>1705</v>
      </c>
      <c r="K583" s="98" t="s">
        <v>1706</v>
      </c>
    </row>
    <row r="584" customFormat="false" ht="64" hidden="false" customHeight="true" outlineLevel="0" collapsed="false">
      <c r="C584" s="98" t="s">
        <v>2330</v>
      </c>
      <c r="D584" s="98" t="s">
        <v>1700</v>
      </c>
      <c r="E584" s="98" t="s">
        <v>811</v>
      </c>
      <c r="F584" s="98" t="n">
        <v>0</v>
      </c>
      <c r="G584" s="98" t="s">
        <v>2324</v>
      </c>
      <c r="H584" s="98" t="s">
        <v>1703</v>
      </c>
      <c r="I584" s="98" t="s">
        <v>1704</v>
      </c>
      <c r="J584" s="98" t="s">
        <v>1705</v>
      </c>
      <c r="K584" s="98" t="s">
        <v>1706</v>
      </c>
    </row>
    <row r="585" customFormat="false" ht="64" hidden="false" customHeight="true" outlineLevel="0" collapsed="false">
      <c r="C585" s="98" t="s">
        <v>2331</v>
      </c>
      <c r="D585" s="98" t="s">
        <v>1708</v>
      </c>
      <c r="E585" s="98" t="s">
        <v>811</v>
      </c>
      <c r="F585" s="98" t="n">
        <v>0</v>
      </c>
      <c r="G585" s="98" t="s">
        <v>2324</v>
      </c>
      <c r="H585" s="98" t="s">
        <v>1703</v>
      </c>
      <c r="I585" s="98" t="s">
        <v>1704</v>
      </c>
      <c r="J585" s="98" t="s">
        <v>1705</v>
      </c>
      <c r="K585" s="98" t="s">
        <v>1706</v>
      </c>
    </row>
    <row r="586" customFormat="false" ht="64" hidden="false" customHeight="true" outlineLevel="0" collapsed="false">
      <c r="C586" s="98" t="s">
        <v>2332</v>
      </c>
      <c r="D586" s="98" t="s">
        <v>1710</v>
      </c>
      <c r="E586" s="98" t="s">
        <v>811</v>
      </c>
      <c r="F586" s="98" t="n">
        <v>0</v>
      </c>
      <c r="G586" s="98" t="s">
        <v>2324</v>
      </c>
      <c r="H586" s="98" t="s">
        <v>1703</v>
      </c>
      <c r="I586" s="98" t="s">
        <v>1704</v>
      </c>
      <c r="J586" s="98" t="s">
        <v>1705</v>
      </c>
      <c r="K586" s="98" t="s">
        <v>1706</v>
      </c>
    </row>
    <row r="587" customFormat="false" ht="64" hidden="false" customHeight="true" outlineLevel="0" collapsed="false">
      <c r="C587" s="98" t="s">
        <v>2333</v>
      </c>
      <c r="D587" s="98" t="s">
        <v>1712</v>
      </c>
      <c r="E587" s="98" t="s">
        <v>811</v>
      </c>
      <c r="F587" s="98" t="n">
        <v>0</v>
      </c>
      <c r="G587" s="98" t="s">
        <v>2324</v>
      </c>
      <c r="H587" s="98" t="s">
        <v>1703</v>
      </c>
      <c r="I587" s="98" t="s">
        <v>1704</v>
      </c>
      <c r="J587" s="98" t="s">
        <v>1705</v>
      </c>
      <c r="K587" s="98" t="s">
        <v>1706</v>
      </c>
    </row>
    <row r="588" customFormat="false" ht="64" hidden="false" customHeight="true" outlineLevel="0" collapsed="false">
      <c r="C588" s="98" t="s">
        <v>2334</v>
      </c>
      <c r="D588" s="98" t="s">
        <v>1714</v>
      </c>
      <c r="E588" s="98" t="s">
        <v>811</v>
      </c>
      <c r="F588" s="98" t="n">
        <v>0</v>
      </c>
      <c r="G588" s="98" t="s">
        <v>2324</v>
      </c>
      <c r="H588" s="98" t="s">
        <v>1703</v>
      </c>
      <c r="I588" s="98" t="s">
        <v>1704</v>
      </c>
      <c r="J588" s="98" t="s">
        <v>1705</v>
      </c>
      <c r="K588" s="98" t="s">
        <v>1706</v>
      </c>
    </row>
    <row r="589" customFormat="false" ht="64" hidden="false" customHeight="true" outlineLevel="0" collapsed="false">
      <c r="C589" s="98" t="s">
        <v>2335</v>
      </c>
      <c r="D589" s="98" t="s">
        <v>1716</v>
      </c>
      <c r="E589" s="98" t="s">
        <v>811</v>
      </c>
      <c r="F589" s="98" t="n">
        <v>0</v>
      </c>
      <c r="G589" s="98" t="s">
        <v>2324</v>
      </c>
      <c r="H589" s="98" t="s">
        <v>1703</v>
      </c>
      <c r="I589" s="98" t="s">
        <v>1704</v>
      </c>
      <c r="J589" s="98" t="s">
        <v>1705</v>
      </c>
      <c r="K589" s="98" t="s">
        <v>1706</v>
      </c>
    </row>
    <row r="590" customFormat="false" ht="64" hidden="false" customHeight="true" outlineLevel="0" collapsed="false">
      <c r="C590" s="98" t="s">
        <v>2336</v>
      </c>
      <c r="D590" s="98" t="s">
        <v>1718</v>
      </c>
      <c r="E590" s="98" t="s">
        <v>811</v>
      </c>
      <c r="F590" s="98" t="n">
        <v>0</v>
      </c>
      <c r="G590" s="98" t="s">
        <v>2324</v>
      </c>
      <c r="H590" s="98" t="s">
        <v>1703</v>
      </c>
      <c r="I590" s="98" t="s">
        <v>1704</v>
      </c>
      <c r="J590" s="98" t="s">
        <v>1705</v>
      </c>
      <c r="K590" s="98" t="s">
        <v>1706</v>
      </c>
    </row>
    <row r="591" customFormat="false" ht="64" hidden="false" customHeight="true" outlineLevel="0" collapsed="false">
      <c r="C591" s="98" t="s">
        <v>2337</v>
      </c>
      <c r="D591" s="98" t="s">
        <v>1720</v>
      </c>
      <c r="E591" s="98" t="s">
        <v>811</v>
      </c>
      <c r="F591" s="98" t="n">
        <v>0</v>
      </c>
      <c r="G591" s="98" t="s">
        <v>2324</v>
      </c>
      <c r="H591" s="98" t="s">
        <v>1703</v>
      </c>
      <c r="I591" s="98" t="s">
        <v>1704</v>
      </c>
      <c r="J591" s="98" t="s">
        <v>1705</v>
      </c>
      <c r="K591" s="98" t="s">
        <v>1706</v>
      </c>
    </row>
    <row r="592" customFormat="false" ht="64" hidden="false" customHeight="true" outlineLevel="0" collapsed="false">
      <c r="C592" s="98" t="s">
        <v>2338</v>
      </c>
      <c r="D592" s="98" t="s">
        <v>1722</v>
      </c>
      <c r="E592" s="98" t="s">
        <v>811</v>
      </c>
      <c r="F592" s="98" t="n">
        <v>0</v>
      </c>
      <c r="G592" s="98" t="s">
        <v>2324</v>
      </c>
      <c r="H592" s="98" t="s">
        <v>1703</v>
      </c>
      <c r="I592" s="98" t="s">
        <v>1704</v>
      </c>
      <c r="J592" s="98" t="s">
        <v>1705</v>
      </c>
      <c r="K592" s="98" t="s">
        <v>1706</v>
      </c>
    </row>
    <row r="593" customFormat="false" ht="64" hidden="false" customHeight="true" outlineLevel="0" collapsed="false">
      <c r="C593" s="98" t="s">
        <v>2339</v>
      </c>
      <c r="D593" s="98" t="s">
        <v>1724</v>
      </c>
      <c r="E593" s="98" t="s">
        <v>811</v>
      </c>
      <c r="F593" s="98" t="n">
        <v>0</v>
      </c>
      <c r="G593" s="98" t="s">
        <v>2324</v>
      </c>
      <c r="H593" s="98" t="s">
        <v>1703</v>
      </c>
      <c r="I593" s="98" t="s">
        <v>1704</v>
      </c>
      <c r="J593" s="98" t="s">
        <v>1705</v>
      </c>
      <c r="K593" s="98" t="s">
        <v>1706</v>
      </c>
    </row>
    <row r="594" customFormat="false" ht="64" hidden="false" customHeight="true" outlineLevel="0" collapsed="false">
      <c r="C594" s="98" t="s">
        <v>2340</v>
      </c>
      <c r="D594" s="98" t="s">
        <v>1726</v>
      </c>
      <c r="E594" s="98" t="s">
        <v>811</v>
      </c>
      <c r="F594" s="98" t="n">
        <v>0</v>
      </c>
      <c r="G594" s="98" t="s">
        <v>2324</v>
      </c>
      <c r="H594" s="98" t="s">
        <v>1703</v>
      </c>
      <c r="I594" s="98" t="s">
        <v>1704</v>
      </c>
      <c r="J594" s="98" t="s">
        <v>1705</v>
      </c>
      <c r="K594" s="98" t="s">
        <v>1706</v>
      </c>
    </row>
    <row r="595" customFormat="false" ht="64" hidden="false" customHeight="true" outlineLevel="0" collapsed="false">
      <c r="C595" s="98" t="s">
        <v>2341</v>
      </c>
      <c r="D595" s="98" t="s">
        <v>1728</v>
      </c>
      <c r="E595" s="98" t="s">
        <v>811</v>
      </c>
      <c r="F595" s="98" t="n">
        <v>0</v>
      </c>
      <c r="G595" s="98" t="s">
        <v>2324</v>
      </c>
      <c r="H595" s="98" t="s">
        <v>1703</v>
      </c>
      <c r="I595" s="98" t="s">
        <v>1704</v>
      </c>
      <c r="J595" s="98" t="s">
        <v>1705</v>
      </c>
      <c r="K595" s="98" t="s">
        <v>1706</v>
      </c>
    </row>
    <row r="596" customFormat="false" ht="64" hidden="false" customHeight="true" outlineLevel="0" collapsed="false">
      <c r="C596" s="98" t="s">
        <v>2342</v>
      </c>
      <c r="D596" s="98" t="s">
        <v>1730</v>
      </c>
      <c r="E596" s="98" t="s">
        <v>811</v>
      </c>
      <c r="F596" s="98" t="n">
        <v>0</v>
      </c>
      <c r="G596" s="98" t="s">
        <v>2324</v>
      </c>
      <c r="H596" s="98" t="s">
        <v>1703</v>
      </c>
      <c r="I596" s="98" t="s">
        <v>1704</v>
      </c>
      <c r="J596" s="98" t="s">
        <v>1705</v>
      </c>
      <c r="K596" s="98" t="s">
        <v>1706</v>
      </c>
    </row>
    <row r="597" customFormat="false" ht="64" hidden="false" customHeight="true" outlineLevel="0" collapsed="false">
      <c r="C597" s="98" t="s">
        <v>2343</v>
      </c>
      <c r="D597" s="98" t="s">
        <v>1732</v>
      </c>
      <c r="E597" s="98" t="s">
        <v>811</v>
      </c>
      <c r="F597" s="98" t="n">
        <v>0</v>
      </c>
      <c r="G597" s="98" t="s">
        <v>2324</v>
      </c>
      <c r="H597" s="98" t="s">
        <v>1703</v>
      </c>
      <c r="I597" s="98" t="s">
        <v>1704</v>
      </c>
      <c r="J597" s="98" t="s">
        <v>1705</v>
      </c>
      <c r="K597" s="98" t="s">
        <v>1706</v>
      </c>
    </row>
    <row r="598" customFormat="false" ht="64" hidden="false" customHeight="true" outlineLevel="0" collapsed="false">
      <c r="C598" s="98" t="s">
        <v>2344</v>
      </c>
      <c r="D598" s="98" t="s">
        <v>1734</v>
      </c>
      <c r="E598" s="98" t="s">
        <v>811</v>
      </c>
      <c r="F598" s="98" t="n">
        <v>0</v>
      </c>
      <c r="G598" s="98" t="s">
        <v>2324</v>
      </c>
      <c r="H598" s="98" t="s">
        <v>1703</v>
      </c>
      <c r="I598" s="98" t="s">
        <v>1704</v>
      </c>
      <c r="J598" s="98" t="s">
        <v>1705</v>
      </c>
      <c r="K598" s="98" t="s">
        <v>1706</v>
      </c>
    </row>
    <row r="599" customFormat="false" ht="64" hidden="false" customHeight="true" outlineLevel="0" collapsed="false">
      <c r="C599" s="98" t="s">
        <v>2345</v>
      </c>
      <c r="D599" s="98" t="s">
        <v>1736</v>
      </c>
      <c r="E599" s="98" t="s">
        <v>811</v>
      </c>
      <c r="F599" s="98" t="n">
        <v>0</v>
      </c>
      <c r="G599" s="98" t="s">
        <v>2324</v>
      </c>
      <c r="H599" s="98" t="s">
        <v>1703</v>
      </c>
      <c r="I599" s="98" t="s">
        <v>1704</v>
      </c>
      <c r="J599" s="98" t="s">
        <v>1705</v>
      </c>
      <c r="K599" s="98" t="s">
        <v>1706</v>
      </c>
    </row>
    <row r="600" customFormat="false" ht="64" hidden="false" customHeight="true" outlineLevel="0" collapsed="false">
      <c r="C600" s="98" t="s">
        <v>2346</v>
      </c>
      <c r="D600" s="98" t="s">
        <v>1738</v>
      </c>
      <c r="E600" s="98" t="s">
        <v>811</v>
      </c>
      <c r="F600" s="98" t="n">
        <v>0</v>
      </c>
      <c r="G600" s="98" t="s">
        <v>2324</v>
      </c>
      <c r="H600" s="98" t="s">
        <v>1703</v>
      </c>
      <c r="I600" s="98" t="s">
        <v>1704</v>
      </c>
      <c r="J600" s="98" t="s">
        <v>1705</v>
      </c>
      <c r="K600" s="98" t="s">
        <v>1706</v>
      </c>
    </row>
    <row r="601" customFormat="false" ht="64" hidden="false" customHeight="true" outlineLevel="0" collapsed="false">
      <c r="C601" s="98" t="s">
        <v>2347</v>
      </c>
      <c r="D601" s="98" t="s">
        <v>1740</v>
      </c>
      <c r="E601" s="98" t="s">
        <v>811</v>
      </c>
      <c r="F601" s="98" t="n">
        <v>0</v>
      </c>
      <c r="G601" s="98" t="s">
        <v>2324</v>
      </c>
      <c r="H601" s="98" t="s">
        <v>1703</v>
      </c>
      <c r="I601" s="98" t="s">
        <v>1704</v>
      </c>
      <c r="J601" s="98" t="s">
        <v>1705</v>
      </c>
      <c r="K601" s="98" t="s">
        <v>1706</v>
      </c>
    </row>
    <row r="602" customFormat="false" ht="64" hidden="false" customHeight="true" outlineLevel="0" collapsed="false">
      <c r="C602" s="98" t="s">
        <v>2348</v>
      </c>
      <c r="D602" s="98" t="s">
        <v>1742</v>
      </c>
      <c r="E602" s="98" t="s">
        <v>811</v>
      </c>
      <c r="F602" s="98" t="n">
        <v>0</v>
      </c>
      <c r="G602" s="98" t="s">
        <v>2324</v>
      </c>
      <c r="H602" s="98" t="s">
        <v>1703</v>
      </c>
      <c r="I602" s="98" t="s">
        <v>1704</v>
      </c>
      <c r="J602" s="98" t="s">
        <v>1705</v>
      </c>
      <c r="K602" s="98" t="s">
        <v>1706</v>
      </c>
    </row>
    <row r="603" customFormat="false" ht="64" hidden="false" customHeight="true" outlineLevel="0" collapsed="false">
      <c r="C603" s="98" t="s">
        <v>2349</v>
      </c>
      <c r="D603" s="98" t="s">
        <v>1744</v>
      </c>
      <c r="E603" s="98" t="s">
        <v>811</v>
      </c>
      <c r="F603" s="98" t="n">
        <v>0</v>
      </c>
      <c r="G603" s="98" t="s">
        <v>2324</v>
      </c>
      <c r="H603" s="98" t="s">
        <v>1703</v>
      </c>
      <c r="I603" s="98" t="s">
        <v>1704</v>
      </c>
      <c r="J603" s="98" t="s">
        <v>1705</v>
      </c>
      <c r="K603" s="98" t="s">
        <v>1706</v>
      </c>
    </row>
    <row r="604" customFormat="false" ht="64" hidden="false" customHeight="true" outlineLevel="0" collapsed="false">
      <c r="C604" s="98" t="s">
        <v>2350</v>
      </c>
      <c r="D604" s="98" t="s">
        <v>1746</v>
      </c>
      <c r="E604" s="98" t="s">
        <v>811</v>
      </c>
      <c r="F604" s="98" t="n">
        <v>0</v>
      </c>
      <c r="G604" s="98" t="s">
        <v>2324</v>
      </c>
      <c r="H604" s="98" t="s">
        <v>1703</v>
      </c>
      <c r="I604" s="98" t="s">
        <v>1704</v>
      </c>
      <c r="J604" s="98" t="s">
        <v>1705</v>
      </c>
      <c r="K604" s="98" t="s">
        <v>1706</v>
      </c>
    </row>
    <row r="605" customFormat="false" ht="64" hidden="false" customHeight="true" outlineLevel="0" collapsed="false">
      <c r="C605" s="98" t="s">
        <v>2351</v>
      </c>
      <c r="D605" s="98" t="s">
        <v>1748</v>
      </c>
      <c r="E605" s="98" t="s">
        <v>811</v>
      </c>
      <c r="F605" s="98" t="n">
        <v>0</v>
      </c>
      <c r="G605" s="98" t="s">
        <v>2324</v>
      </c>
      <c r="H605" s="98" t="s">
        <v>1703</v>
      </c>
      <c r="I605" s="98" t="s">
        <v>1704</v>
      </c>
      <c r="J605" s="98" t="s">
        <v>1705</v>
      </c>
      <c r="K605" s="98" t="s">
        <v>1706</v>
      </c>
    </row>
    <row r="606" customFormat="false" ht="64" hidden="false" customHeight="true" outlineLevel="0" collapsed="false">
      <c r="C606" s="98" t="s">
        <v>2352</v>
      </c>
      <c r="D606" s="98" t="s">
        <v>1750</v>
      </c>
      <c r="E606" s="98" t="s">
        <v>811</v>
      </c>
      <c r="F606" s="98" t="n">
        <v>0</v>
      </c>
      <c r="G606" s="98" t="s">
        <v>2324</v>
      </c>
      <c r="H606" s="98" t="s">
        <v>1703</v>
      </c>
      <c r="I606" s="98" t="s">
        <v>1704</v>
      </c>
      <c r="J606" s="98" t="s">
        <v>1705</v>
      </c>
      <c r="K606" s="98" t="s">
        <v>1706</v>
      </c>
    </row>
    <row r="607" customFormat="false" ht="64" hidden="false" customHeight="true" outlineLevel="0" collapsed="false">
      <c r="C607" s="98" t="s">
        <v>2353</v>
      </c>
      <c r="D607" s="98" t="s">
        <v>1752</v>
      </c>
      <c r="E607" s="98" t="s">
        <v>811</v>
      </c>
      <c r="F607" s="98" t="n">
        <v>0</v>
      </c>
      <c r="G607" s="98" t="s">
        <v>2324</v>
      </c>
      <c r="H607" s="98" t="s">
        <v>1703</v>
      </c>
      <c r="I607" s="98" t="s">
        <v>1704</v>
      </c>
      <c r="J607" s="98" t="s">
        <v>1705</v>
      </c>
      <c r="K607" s="98" t="s">
        <v>1706</v>
      </c>
    </row>
    <row r="608" customFormat="false" ht="64" hidden="false" customHeight="true" outlineLevel="0" collapsed="false">
      <c r="C608" s="98" t="s">
        <v>2354</v>
      </c>
      <c r="D608" s="98" t="s">
        <v>1754</v>
      </c>
      <c r="E608" s="98" t="s">
        <v>811</v>
      </c>
      <c r="F608" s="98" t="n">
        <v>0</v>
      </c>
      <c r="G608" s="98" t="s">
        <v>2324</v>
      </c>
      <c r="H608" s="98" t="s">
        <v>1703</v>
      </c>
      <c r="I608" s="98" t="s">
        <v>1704</v>
      </c>
      <c r="J608" s="98" t="s">
        <v>1705</v>
      </c>
      <c r="K608" s="98" t="s">
        <v>1706</v>
      </c>
    </row>
    <row r="609" customFormat="false" ht="64" hidden="false" customHeight="true" outlineLevel="0" collapsed="false">
      <c r="C609" s="98" t="s">
        <v>2355</v>
      </c>
      <c r="D609" s="98" t="s">
        <v>1756</v>
      </c>
      <c r="E609" s="98" t="s">
        <v>811</v>
      </c>
      <c r="F609" s="98" t="n">
        <v>0</v>
      </c>
      <c r="G609" s="98" t="s">
        <v>2324</v>
      </c>
      <c r="H609" s="98" t="s">
        <v>1703</v>
      </c>
      <c r="I609" s="98" t="s">
        <v>1704</v>
      </c>
      <c r="J609" s="98" t="s">
        <v>1705</v>
      </c>
      <c r="K609" s="98" t="s">
        <v>1706</v>
      </c>
    </row>
    <row r="610" customFormat="false" ht="64" hidden="false" customHeight="true" outlineLevel="0" collapsed="false">
      <c r="C610" s="98" t="s">
        <v>2356</v>
      </c>
      <c r="D610" s="98" t="s">
        <v>1758</v>
      </c>
      <c r="E610" s="98" t="s">
        <v>811</v>
      </c>
      <c r="F610" s="98" t="n">
        <v>0</v>
      </c>
      <c r="G610" s="98" t="s">
        <v>2324</v>
      </c>
      <c r="H610" s="98" t="s">
        <v>1703</v>
      </c>
      <c r="I610" s="98" t="s">
        <v>1704</v>
      </c>
      <c r="J610" s="98" t="s">
        <v>1705</v>
      </c>
      <c r="K610" s="98" t="s">
        <v>1706</v>
      </c>
    </row>
    <row r="611" customFormat="false" ht="64" hidden="false" customHeight="true" outlineLevel="0" collapsed="false">
      <c r="C611" s="98" t="s">
        <v>2357</v>
      </c>
      <c r="D611" s="98" t="s">
        <v>1760</v>
      </c>
      <c r="E611" s="98" t="s">
        <v>811</v>
      </c>
      <c r="F611" s="98" t="n">
        <v>0</v>
      </c>
      <c r="G611" s="98" t="s">
        <v>2324</v>
      </c>
      <c r="H611" s="98" t="s">
        <v>1703</v>
      </c>
      <c r="I611" s="98" t="s">
        <v>1704</v>
      </c>
      <c r="J611" s="98" t="s">
        <v>1705</v>
      </c>
      <c r="K611" s="98" t="s">
        <v>1706</v>
      </c>
    </row>
    <row r="612" customFormat="false" ht="64" hidden="false" customHeight="true" outlineLevel="0" collapsed="false">
      <c r="C612" s="98" t="s">
        <v>2358</v>
      </c>
      <c r="D612" s="98" t="s">
        <v>1762</v>
      </c>
      <c r="E612" s="98" t="s">
        <v>811</v>
      </c>
      <c r="F612" s="98" t="n">
        <v>0</v>
      </c>
      <c r="G612" s="98" t="s">
        <v>2324</v>
      </c>
      <c r="H612" s="98" t="s">
        <v>1703</v>
      </c>
      <c r="I612" s="98" t="s">
        <v>1704</v>
      </c>
      <c r="J612" s="98" t="s">
        <v>1705</v>
      </c>
      <c r="K612" s="98" t="s">
        <v>1706</v>
      </c>
    </row>
    <row r="613" customFormat="false" ht="64" hidden="false" customHeight="true" outlineLevel="0" collapsed="false">
      <c r="C613" s="98" t="s">
        <v>2359</v>
      </c>
      <c r="D613" s="98" t="s">
        <v>1764</v>
      </c>
      <c r="E613" s="98" t="s">
        <v>811</v>
      </c>
      <c r="F613" s="98" t="n">
        <v>0</v>
      </c>
      <c r="G613" s="98" t="s">
        <v>2324</v>
      </c>
      <c r="H613" s="98" t="s">
        <v>1703</v>
      </c>
      <c r="I613" s="98" t="s">
        <v>1704</v>
      </c>
      <c r="J613" s="98" t="s">
        <v>1705</v>
      </c>
      <c r="K613" s="98" t="s">
        <v>1706</v>
      </c>
    </row>
    <row r="614" customFormat="false" ht="64" hidden="false" customHeight="true" outlineLevel="0" collapsed="false">
      <c r="C614" s="98" t="s">
        <v>2360</v>
      </c>
      <c r="D614" s="98" t="s">
        <v>1829</v>
      </c>
      <c r="E614" s="98" t="s">
        <v>811</v>
      </c>
      <c r="F614" s="98" t="n">
        <v>0</v>
      </c>
      <c r="G614" s="98" t="s">
        <v>2361</v>
      </c>
      <c r="H614" s="98" t="s">
        <v>1703</v>
      </c>
      <c r="I614" s="98" t="s">
        <v>1704</v>
      </c>
      <c r="J614" s="98" t="s">
        <v>1705</v>
      </c>
      <c r="K614" s="98" t="s">
        <v>1706</v>
      </c>
    </row>
    <row r="615" customFormat="false" ht="64" hidden="false" customHeight="true" outlineLevel="0" collapsed="false">
      <c r="C615" s="98" t="s">
        <v>2362</v>
      </c>
      <c r="D615" s="98" t="s">
        <v>1833</v>
      </c>
      <c r="E615" s="98" t="s">
        <v>811</v>
      </c>
      <c r="F615" s="98" t="n">
        <v>0</v>
      </c>
      <c r="G615" s="98" t="s">
        <v>2361</v>
      </c>
      <c r="H615" s="98" t="s">
        <v>1703</v>
      </c>
      <c r="I615" s="98" t="s">
        <v>1704</v>
      </c>
      <c r="J615" s="98" t="s">
        <v>1705</v>
      </c>
      <c r="K615" s="98" t="s">
        <v>1706</v>
      </c>
    </row>
    <row r="616" customFormat="false" ht="64" hidden="false" customHeight="true" outlineLevel="0" collapsed="false">
      <c r="C616" s="98" t="s">
        <v>2363</v>
      </c>
      <c r="D616" s="98" t="s">
        <v>1835</v>
      </c>
      <c r="E616" s="98" t="s">
        <v>811</v>
      </c>
      <c r="F616" s="98" t="n">
        <v>0</v>
      </c>
      <c r="G616" s="98" t="s">
        <v>2361</v>
      </c>
      <c r="H616" s="98" t="s">
        <v>1703</v>
      </c>
      <c r="I616" s="98" t="s">
        <v>1704</v>
      </c>
      <c r="J616" s="98" t="s">
        <v>1705</v>
      </c>
      <c r="K616" s="98" t="s">
        <v>1706</v>
      </c>
    </row>
    <row r="617" customFormat="false" ht="64" hidden="false" customHeight="true" outlineLevel="0" collapsed="false">
      <c r="C617" s="98" t="s">
        <v>2364</v>
      </c>
      <c r="D617" s="98" t="s">
        <v>1044</v>
      </c>
      <c r="E617" s="98" t="s">
        <v>811</v>
      </c>
      <c r="F617" s="98" t="n">
        <v>0</v>
      </c>
      <c r="G617" s="98" t="s">
        <v>2361</v>
      </c>
      <c r="H617" s="98" t="s">
        <v>1703</v>
      </c>
      <c r="I617" s="98" t="s">
        <v>1704</v>
      </c>
      <c r="J617" s="98" t="s">
        <v>1705</v>
      </c>
      <c r="K617" s="98" t="s">
        <v>1706</v>
      </c>
    </row>
    <row r="618" customFormat="false" ht="64" hidden="false" customHeight="true" outlineLevel="0" collapsed="false">
      <c r="C618" s="98" t="s">
        <v>2365</v>
      </c>
      <c r="D618" s="98" t="s">
        <v>1838</v>
      </c>
      <c r="E618" s="98" t="s">
        <v>811</v>
      </c>
      <c r="F618" s="98" t="n">
        <v>0</v>
      </c>
      <c r="G618" s="98" t="s">
        <v>2361</v>
      </c>
      <c r="H618" s="98" t="s">
        <v>1703</v>
      </c>
      <c r="I618" s="98" t="s">
        <v>1704</v>
      </c>
      <c r="J618" s="98" t="s">
        <v>1705</v>
      </c>
      <c r="K618" s="98" t="s">
        <v>1706</v>
      </c>
    </row>
    <row r="619" customFormat="false" ht="64" hidden="false" customHeight="true" outlineLevel="0" collapsed="false">
      <c r="C619" s="98" t="s">
        <v>2366</v>
      </c>
      <c r="D619" s="98" t="s">
        <v>1840</v>
      </c>
      <c r="E619" s="98" t="s">
        <v>811</v>
      </c>
      <c r="F619" s="98" t="n">
        <v>0</v>
      </c>
      <c r="G619" s="98" t="s">
        <v>2361</v>
      </c>
      <c r="H619" s="98" t="s">
        <v>1703</v>
      </c>
      <c r="I619" s="98" t="s">
        <v>1704</v>
      </c>
      <c r="J619" s="98" t="s">
        <v>1705</v>
      </c>
      <c r="K619" s="98" t="s">
        <v>1706</v>
      </c>
    </row>
    <row r="620" customFormat="false" ht="64" hidden="false" customHeight="true" outlineLevel="0" collapsed="false">
      <c r="C620" s="98" t="s">
        <v>2367</v>
      </c>
      <c r="D620" s="98" t="s">
        <v>1700</v>
      </c>
      <c r="E620" s="98" t="s">
        <v>811</v>
      </c>
      <c r="F620" s="98" t="n">
        <v>0</v>
      </c>
      <c r="G620" s="98" t="s">
        <v>2361</v>
      </c>
      <c r="H620" s="98" t="s">
        <v>1703</v>
      </c>
      <c r="I620" s="98" t="s">
        <v>1704</v>
      </c>
      <c r="J620" s="98" t="s">
        <v>1705</v>
      </c>
      <c r="K620" s="98" t="s">
        <v>1706</v>
      </c>
    </row>
    <row r="621" customFormat="false" ht="64" hidden="false" customHeight="true" outlineLevel="0" collapsed="false">
      <c r="C621" s="98" t="s">
        <v>2368</v>
      </c>
      <c r="D621" s="98" t="s">
        <v>1708</v>
      </c>
      <c r="E621" s="98" t="s">
        <v>811</v>
      </c>
      <c r="F621" s="98" t="n">
        <v>0</v>
      </c>
      <c r="G621" s="98" t="s">
        <v>2361</v>
      </c>
      <c r="H621" s="98" t="s">
        <v>1703</v>
      </c>
      <c r="I621" s="98" t="s">
        <v>1704</v>
      </c>
      <c r="J621" s="98" t="s">
        <v>1705</v>
      </c>
      <c r="K621" s="98" t="s">
        <v>1706</v>
      </c>
    </row>
    <row r="622" customFormat="false" ht="64" hidden="false" customHeight="true" outlineLevel="0" collapsed="false">
      <c r="C622" s="98" t="s">
        <v>2369</v>
      </c>
      <c r="D622" s="98" t="s">
        <v>1710</v>
      </c>
      <c r="E622" s="98" t="s">
        <v>811</v>
      </c>
      <c r="F622" s="98" t="n">
        <v>0</v>
      </c>
      <c r="G622" s="98" t="s">
        <v>2361</v>
      </c>
      <c r="H622" s="98" t="s">
        <v>1703</v>
      </c>
      <c r="I622" s="98" t="s">
        <v>1704</v>
      </c>
      <c r="J622" s="98" t="s">
        <v>1705</v>
      </c>
      <c r="K622" s="98" t="s">
        <v>1706</v>
      </c>
    </row>
    <row r="623" customFormat="false" ht="64" hidden="false" customHeight="true" outlineLevel="0" collapsed="false">
      <c r="C623" s="98" t="s">
        <v>2370</v>
      </c>
      <c r="D623" s="98" t="s">
        <v>1712</v>
      </c>
      <c r="E623" s="98" t="s">
        <v>811</v>
      </c>
      <c r="F623" s="98" t="n">
        <v>0</v>
      </c>
      <c r="G623" s="98" t="s">
        <v>2361</v>
      </c>
      <c r="H623" s="98" t="s">
        <v>1703</v>
      </c>
      <c r="I623" s="98" t="s">
        <v>1704</v>
      </c>
      <c r="J623" s="98" t="s">
        <v>1705</v>
      </c>
      <c r="K623" s="98" t="s">
        <v>1706</v>
      </c>
    </row>
    <row r="624" customFormat="false" ht="64" hidden="false" customHeight="true" outlineLevel="0" collapsed="false">
      <c r="C624" s="98" t="s">
        <v>2371</v>
      </c>
      <c r="D624" s="98" t="s">
        <v>1714</v>
      </c>
      <c r="E624" s="98" t="s">
        <v>811</v>
      </c>
      <c r="F624" s="98" t="n">
        <v>0</v>
      </c>
      <c r="G624" s="98" t="s">
        <v>2361</v>
      </c>
      <c r="H624" s="98" t="s">
        <v>1703</v>
      </c>
      <c r="I624" s="98" t="s">
        <v>1704</v>
      </c>
      <c r="J624" s="98" t="s">
        <v>1705</v>
      </c>
      <c r="K624" s="98" t="s">
        <v>1706</v>
      </c>
    </row>
    <row r="625" customFormat="false" ht="64" hidden="false" customHeight="true" outlineLevel="0" collapsed="false">
      <c r="C625" s="98" t="s">
        <v>2372</v>
      </c>
      <c r="D625" s="98" t="s">
        <v>1716</v>
      </c>
      <c r="E625" s="98" t="s">
        <v>811</v>
      </c>
      <c r="F625" s="98" t="n">
        <v>0</v>
      </c>
      <c r="G625" s="98" t="s">
        <v>2361</v>
      </c>
      <c r="H625" s="98" t="s">
        <v>1703</v>
      </c>
      <c r="I625" s="98" t="s">
        <v>1704</v>
      </c>
      <c r="J625" s="98" t="s">
        <v>1705</v>
      </c>
      <c r="K625" s="98" t="s">
        <v>1706</v>
      </c>
    </row>
    <row r="626" customFormat="false" ht="64" hidden="false" customHeight="true" outlineLevel="0" collapsed="false">
      <c r="C626" s="98" t="s">
        <v>2373</v>
      </c>
      <c r="D626" s="98" t="s">
        <v>1718</v>
      </c>
      <c r="E626" s="98" t="s">
        <v>811</v>
      </c>
      <c r="F626" s="98" t="n">
        <v>0</v>
      </c>
      <c r="G626" s="98" t="s">
        <v>2361</v>
      </c>
      <c r="H626" s="98" t="s">
        <v>1703</v>
      </c>
      <c r="I626" s="98" t="s">
        <v>1704</v>
      </c>
      <c r="J626" s="98" t="s">
        <v>1705</v>
      </c>
      <c r="K626" s="98" t="s">
        <v>1706</v>
      </c>
    </row>
    <row r="627" customFormat="false" ht="64" hidden="false" customHeight="true" outlineLevel="0" collapsed="false">
      <c r="C627" s="98" t="s">
        <v>2374</v>
      </c>
      <c r="D627" s="98" t="s">
        <v>1720</v>
      </c>
      <c r="E627" s="98" t="s">
        <v>811</v>
      </c>
      <c r="F627" s="98" t="n">
        <v>0</v>
      </c>
      <c r="G627" s="98" t="s">
        <v>2361</v>
      </c>
      <c r="H627" s="98" t="s">
        <v>1703</v>
      </c>
      <c r="I627" s="98" t="s">
        <v>1704</v>
      </c>
      <c r="J627" s="98" t="s">
        <v>1705</v>
      </c>
      <c r="K627" s="98" t="s">
        <v>1706</v>
      </c>
    </row>
    <row r="628" customFormat="false" ht="64" hidden="false" customHeight="true" outlineLevel="0" collapsed="false">
      <c r="C628" s="98" t="s">
        <v>2375</v>
      </c>
      <c r="D628" s="98" t="s">
        <v>1722</v>
      </c>
      <c r="E628" s="98" t="s">
        <v>811</v>
      </c>
      <c r="F628" s="98" t="n">
        <v>0</v>
      </c>
      <c r="G628" s="98" t="s">
        <v>2361</v>
      </c>
      <c r="H628" s="98" t="s">
        <v>1703</v>
      </c>
      <c r="I628" s="98" t="s">
        <v>1704</v>
      </c>
      <c r="J628" s="98" t="s">
        <v>1705</v>
      </c>
      <c r="K628" s="98" t="s">
        <v>1706</v>
      </c>
    </row>
    <row r="629" customFormat="false" ht="64" hidden="false" customHeight="true" outlineLevel="0" collapsed="false">
      <c r="C629" s="98" t="s">
        <v>2376</v>
      </c>
      <c r="D629" s="98" t="s">
        <v>1724</v>
      </c>
      <c r="E629" s="98" t="s">
        <v>811</v>
      </c>
      <c r="F629" s="98" t="n">
        <v>0</v>
      </c>
      <c r="G629" s="98" t="s">
        <v>2361</v>
      </c>
      <c r="H629" s="98" t="s">
        <v>1703</v>
      </c>
      <c r="I629" s="98" t="s">
        <v>1704</v>
      </c>
      <c r="J629" s="98" t="s">
        <v>1705</v>
      </c>
      <c r="K629" s="98" t="s">
        <v>1706</v>
      </c>
    </row>
    <row r="630" customFormat="false" ht="64" hidden="false" customHeight="true" outlineLevel="0" collapsed="false">
      <c r="C630" s="98" t="s">
        <v>2377</v>
      </c>
      <c r="D630" s="98" t="s">
        <v>1726</v>
      </c>
      <c r="E630" s="98" t="s">
        <v>811</v>
      </c>
      <c r="F630" s="98" t="n">
        <v>0</v>
      </c>
      <c r="G630" s="98" t="s">
        <v>2361</v>
      </c>
      <c r="H630" s="98" t="s">
        <v>1703</v>
      </c>
      <c r="I630" s="98" t="s">
        <v>1704</v>
      </c>
      <c r="J630" s="98" t="s">
        <v>1705</v>
      </c>
      <c r="K630" s="98" t="s">
        <v>1706</v>
      </c>
    </row>
    <row r="631" customFormat="false" ht="64" hidden="false" customHeight="true" outlineLevel="0" collapsed="false">
      <c r="C631" s="98" t="s">
        <v>2378</v>
      </c>
      <c r="D631" s="98" t="s">
        <v>1728</v>
      </c>
      <c r="E631" s="98" t="s">
        <v>811</v>
      </c>
      <c r="F631" s="98" t="n">
        <v>0</v>
      </c>
      <c r="G631" s="98" t="s">
        <v>2361</v>
      </c>
      <c r="H631" s="98" t="s">
        <v>1703</v>
      </c>
      <c r="I631" s="98" t="s">
        <v>1704</v>
      </c>
      <c r="J631" s="98" t="s">
        <v>1705</v>
      </c>
      <c r="K631" s="98" t="s">
        <v>1706</v>
      </c>
    </row>
    <row r="632" customFormat="false" ht="64" hidden="false" customHeight="true" outlineLevel="0" collapsed="false">
      <c r="C632" s="98" t="s">
        <v>2379</v>
      </c>
      <c r="D632" s="98" t="s">
        <v>1730</v>
      </c>
      <c r="E632" s="98" t="s">
        <v>811</v>
      </c>
      <c r="F632" s="98" t="n">
        <v>0</v>
      </c>
      <c r="G632" s="98" t="s">
        <v>2361</v>
      </c>
      <c r="H632" s="98" t="s">
        <v>1703</v>
      </c>
      <c r="I632" s="98" t="s">
        <v>1704</v>
      </c>
      <c r="J632" s="98" t="s">
        <v>1705</v>
      </c>
      <c r="K632" s="98" t="s">
        <v>1706</v>
      </c>
    </row>
    <row r="633" customFormat="false" ht="64" hidden="false" customHeight="true" outlineLevel="0" collapsed="false">
      <c r="C633" s="98" t="s">
        <v>2380</v>
      </c>
      <c r="D633" s="98" t="s">
        <v>1732</v>
      </c>
      <c r="E633" s="98" t="s">
        <v>811</v>
      </c>
      <c r="F633" s="98" t="n">
        <v>0</v>
      </c>
      <c r="G633" s="98" t="s">
        <v>2361</v>
      </c>
      <c r="H633" s="98" t="s">
        <v>1703</v>
      </c>
      <c r="I633" s="98" t="s">
        <v>1704</v>
      </c>
      <c r="J633" s="98" t="s">
        <v>1705</v>
      </c>
      <c r="K633" s="98" t="s">
        <v>1706</v>
      </c>
    </row>
    <row r="634" customFormat="false" ht="64" hidden="false" customHeight="true" outlineLevel="0" collapsed="false">
      <c r="C634" s="98" t="s">
        <v>2381</v>
      </c>
      <c r="D634" s="98" t="s">
        <v>1734</v>
      </c>
      <c r="E634" s="98" t="s">
        <v>811</v>
      </c>
      <c r="F634" s="98" t="n">
        <v>0</v>
      </c>
      <c r="G634" s="98" t="s">
        <v>2361</v>
      </c>
      <c r="H634" s="98" t="s">
        <v>1703</v>
      </c>
      <c r="I634" s="98" t="s">
        <v>1704</v>
      </c>
      <c r="J634" s="98" t="s">
        <v>1705</v>
      </c>
      <c r="K634" s="98" t="s">
        <v>1706</v>
      </c>
    </row>
    <row r="635" customFormat="false" ht="64" hidden="false" customHeight="true" outlineLevel="0" collapsed="false">
      <c r="C635" s="98" t="s">
        <v>2382</v>
      </c>
      <c r="D635" s="98" t="s">
        <v>1736</v>
      </c>
      <c r="E635" s="98" t="s">
        <v>811</v>
      </c>
      <c r="F635" s="98" t="n">
        <v>0</v>
      </c>
      <c r="G635" s="98" t="s">
        <v>2361</v>
      </c>
      <c r="H635" s="98" t="s">
        <v>1703</v>
      </c>
      <c r="I635" s="98" t="s">
        <v>1704</v>
      </c>
      <c r="J635" s="98" t="s">
        <v>1705</v>
      </c>
      <c r="K635" s="98" t="s">
        <v>1706</v>
      </c>
    </row>
    <row r="636" customFormat="false" ht="64" hidden="false" customHeight="true" outlineLevel="0" collapsed="false">
      <c r="C636" s="98" t="s">
        <v>2383</v>
      </c>
      <c r="D636" s="98" t="s">
        <v>1738</v>
      </c>
      <c r="E636" s="98" t="s">
        <v>811</v>
      </c>
      <c r="F636" s="98" t="n">
        <v>0</v>
      </c>
      <c r="G636" s="98" t="s">
        <v>2361</v>
      </c>
      <c r="H636" s="98" t="s">
        <v>1703</v>
      </c>
      <c r="I636" s="98" t="s">
        <v>1704</v>
      </c>
      <c r="J636" s="98" t="s">
        <v>1705</v>
      </c>
      <c r="K636" s="98" t="s">
        <v>1706</v>
      </c>
    </row>
    <row r="637" customFormat="false" ht="64" hidden="false" customHeight="true" outlineLevel="0" collapsed="false">
      <c r="C637" s="98" t="s">
        <v>2384</v>
      </c>
      <c r="D637" s="98" t="s">
        <v>1740</v>
      </c>
      <c r="E637" s="98" t="s">
        <v>811</v>
      </c>
      <c r="F637" s="98" t="n">
        <v>0</v>
      </c>
      <c r="G637" s="98" t="s">
        <v>2361</v>
      </c>
      <c r="H637" s="98" t="s">
        <v>1703</v>
      </c>
      <c r="I637" s="98" t="s">
        <v>1704</v>
      </c>
      <c r="J637" s="98" t="s">
        <v>1705</v>
      </c>
      <c r="K637" s="98" t="s">
        <v>1706</v>
      </c>
    </row>
    <row r="638" customFormat="false" ht="64" hidden="false" customHeight="true" outlineLevel="0" collapsed="false">
      <c r="C638" s="98" t="s">
        <v>2385</v>
      </c>
      <c r="D638" s="98" t="s">
        <v>1742</v>
      </c>
      <c r="E638" s="98" t="s">
        <v>811</v>
      </c>
      <c r="F638" s="98" t="n">
        <v>0</v>
      </c>
      <c r="G638" s="98" t="s">
        <v>2361</v>
      </c>
      <c r="H638" s="98" t="s">
        <v>1703</v>
      </c>
      <c r="I638" s="98" t="s">
        <v>1704</v>
      </c>
      <c r="J638" s="98" t="s">
        <v>1705</v>
      </c>
      <c r="K638" s="98" t="s">
        <v>1706</v>
      </c>
    </row>
    <row r="639" customFormat="false" ht="64" hidden="false" customHeight="true" outlineLevel="0" collapsed="false">
      <c r="C639" s="98" t="s">
        <v>2386</v>
      </c>
      <c r="D639" s="98" t="s">
        <v>1744</v>
      </c>
      <c r="E639" s="98" t="s">
        <v>811</v>
      </c>
      <c r="F639" s="98" t="n">
        <v>0</v>
      </c>
      <c r="G639" s="98" t="s">
        <v>2361</v>
      </c>
      <c r="H639" s="98" t="s">
        <v>1703</v>
      </c>
      <c r="I639" s="98" t="s">
        <v>1704</v>
      </c>
      <c r="J639" s="98" t="s">
        <v>1705</v>
      </c>
      <c r="K639" s="98" t="s">
        <v>1706</v>
      </c>
    </row>
    <row r="640" customFormat="false" ht="64" hidden="false" customHeight="true" outlineLevel="0" collapsed="false">
      <c r="C640" s="98" t="s">
        <v>2387</v>
      </c>
      <c r="D640" s="98" t="s">
        <v>1746</v>
      </c>
      <c r="E640" s="98" t="s">
        <v>811</v>
      </c>
      <c r="F640" s="98" t="n">
        <v>0</v>
      </c>
      <c r="G640" s="98" t="s">
        <v>2361</v>
      </c>
      <c r="H640" s="98" t="s">
        <v>1703</v>
      </c>
      <c r="I640" s="98" t="s">
        <v>1704</v>
      </c>
      <c r="J640" s="98" t="s">
        <v>1705</v>
      </c>
      <c r="K640" s="98" t="s">
        <v>1706</v>
      </c>
    </row>
    <row r="641" customFormat="false" ht="64" hidden="false" customHeight="true" outlineLevel="0" collapsed="false">
      <c r="C641" s="98" t="s">
        <v>2388</v>
      </c>
      <c r="D641" s="98" t="s">
        <v>1748</v>
      </c>
      <c r="E641" s="98" t="s">
        <v>811</v>
      </c>
      <c r="F641" s="98" t="n">
        <v>0</v>
      </c>
      <c r="G641" s="98" t="s">
        <v>2361</v>
      </c>
      <c r="H641" s="98" t="s">
        <v>1703</v>
      </c>
      <c r="I641" s="98" t="s">
        <v>1704</v>
      </c>
      <c r="J641" s="98" t="s">
        <v>1705</v>
      </c>
      <c r="K641" s="98" t="s">
        <v>1706</v>
      </c>
    </row>
    <row r="642" customFormat="false" ht="64" hidden="false" customHeight="true" outlineLevel="0" collapsed="false">
      <c r="C642" s="98" t="s">
        <v>2389</v>
      </c>
      <c r="D642" s="98" t="s">
        <v>1750</v>
      </c>
      <c r="E642" s="98" t="s">
        <v>811</v>
      </c>
      <c r="F642" s="98" t="n">
        <v>0</v>
      </c>
      <c r="G642" s="98" t="s">
        <v>2361</v>
      </c>
      <c r="H642" s="98" t="s">
        <v>1703</v>
      </c>
      <c r="I642" s="98" t="s">
        <v>1704</v>
      </c>
      <c r="J642" s="98" t="s">
        <v>1705</v>
      </c>
      <c r="K642" s="98" t="s">
        <v>1706</v>
      </c>
    </row>
    <row r="643" customFormat="false" ht="64" hidden="false" customHeight="true" outlineLevel="0" collapsed="false">
      <c r="C643" s="98" t="s">
        <v>2390</v>
      </c>
      <c r="D643" s="98" t="s">
        <v>1752</v>
      </c>
      <c r="E643" s="98" t="s">
        <v>811</v>
      </c>
      <c r="F643" s="98" t="n">
        <v>0</v>
      </c>
      <c r="G643" s="98" t="s">
        <v>2361</v>
      </c>
      <c r="H643" s="98" t="s">
        <v>1703</v>
      </c>
      <c r="I643" s="98" t="s">
        <v>1704</v>
      </c>
      <c r="J643" s="98" t="s">
        <v>1705</v>
      </c>
      <c r="K643" s="98" t="s">
        <v>1706</v>
      </c>
    </row>
    <row r="644" customFormat="false" ht="64" hidden="false" customHeight="true" outlineLevel="0" collapsed="false">
      <c r="C644" s="98" t="s">
        <v>2391</v>
      </c>
      <c r="D644" s="98" t="s">
        <v>1754</v>
      </c>
      <c r="E644" s="98" t="s">
        <v>811</v>
      </c>
      <c r="F644" s="98" t="n">
        <v>0</v>
      </c>
      <c r="G644" s="98" t="s">
        <v>2361</v>
      </c>
      <c r="H644" s="98" t="s">
        <v>1703</v>
      </c>
      <c r="I644" s="98" t="s">
        <v>1704</v>
      </c>
      <c r="J644" s="98" t="s">
        <v>1705</v>
      </c>
      <c r="K644" s="98" t="s">
        <v>1706</v>
      </c>
    </row>
    <row r="645" customFormat="false" ht="64" hidden="false" customHeight="true" outlineLevel="0" collapsed="false">
      <c r="C645" s="98" t="s">
        <v>2392</v>
      </c>
      <c r="D645" s="98" t="s">
        <v>1756</v>
      </c>
      <c r="E645" s="98" t="s">
        <v>811</v>
      </c>
      <c r="F645" s="98" t="n">
        <v>0</v>
      </c>
      <c r="G645" s="98" t="s">
        <v>2361</v>
      </c>
      <c r="H645" s="98" t="s">
        <v>1703</v>
      </c>
      <c r="I645" s="98" t="s">
        <v>1704</v>
      </c>
      <c r="J645" s="98" t="s">
        <v>1705</v>
      </c>
      <c r="K645" s="98" t="s">
        <v>1706</v>
      </c>
    </row>
    <row r="646" customFormat="false" ht="64" hidden="false" customHeight="true" outlineLevel="0" collapsed="false">
      <c r="C646" s="98" t="s">
        <v>2393</v>
      </c>
      <c r="D646" s="98" t="s">
        <v>1758</v>
      </c>
      <c r="E646" s="98" t="s">
        <v>811</v>
      </c>
      <c r="F646" s="98" t="n">
        <v>0</v>
      </c>
      <c r="G646" s="98" t="s">
        <v>2361</v>
      </c>
      <c r="H646" s="98" t="s">
        <v>1703</v>
      </c>
      <c r="I646" s="98" t="s">
        <v>1704</v>
      </c>
      <c r="J646" s="98" t="s">
        <v>1705</v>
      </c>
      <c r="K646" s="98" t="s">
        <v>1706</v>
      </c>
    </row>
    <row r="647" customFormat="false" ht="64" hidden="false" customHeight="true" outlineLevel="0" collapsed="false">
      <c r="C647" s="98" t="s">
        <v>2394</v>
      </c>
      <c r="D647" s="98" t="s">
        <v>1760</v>
      </c>
      <c r="E647" s="98" t="s">
        <v>811</v>
      </c>
      <c r="F647" s="98" t="n">
        <v>0</v>
      </c>
      <c r="G647" s="98" t="s">
        <v>2361</v>
      </c>
      <c r="H647" s="98" t="s">
        <v>1703</v>
      </c>
      <c r="I647" s="98" t="s">
        <v>1704</v>
      </c>
      <c r="J647" s="98" t="s">
        <v>1705</v>
      </c>
      <c r="K647" s="98" t="s">
        <v>1706</v>
      </c>
    </row>
    <row r="648" customFormat="false" ht="64" hidden="false" customHeight="true" outlineLevel="0" collapsed="false">
      <c r="C648" s="98" t="s">
        <v>2395</v>
      </c>
      <c r="D648" s="98" t="s">
        <v>1762</v>
      </c>
      <c r="E648" s="98" t="s">
        <v>811</v>
      </c>
      <c r="F648" s="98" t="n">
        <v>0</v>
      </c>
      <c r="G648" s="98" t="s">
        <v>2361</v>
      </c>
      <c r="H648" s="98" t="s">
        <v>1703</v>
      </c>
      <c r="I648" s="98" t="s">
        <v>1704</v>
      </c>
      <c r="J648" s="98" t="s">
        <v>1705</v>
      </c>
      <c r="K648" s="98" t="s">
        <v>1706</v>
      </c>
    </row>
    <row r="649" customFormat="false" ht="64" hidden="false" customHeight="true" outlineLevel="0" collapsed="false">
      <c r="C649" s="98" t="s">
        <v>2396</v>
      </c>
      <c r="D649" s="98" t="s">
        <v>1764</v>
      </c>
      <c r="E649" s="98" t="s">
        <v>811</v>
      </c>
      <c r="F649" s="98" t="n">
        <v>0</v>
      </c>
      <c r="G649" s="98" t="s">
        <v>2361</v>
      </c>
      <c r="H649" s="98" t="s">
        <v>1703</v>
      </c>
      <c r="I649" s="98" t="s">
        <v>1704</v>
      </c>
      <c r="J649" s="98" t="s">
        <v>1705</v>
      </c>
      <c r="K649" s="98" t="s">
        <v>1706</v>
      </c>
    </row>
    <row r="650" customFormat="false" ht="64" hidden="false" customHeight="true" outlineLevel="0" collapsed="false">
      <c r="C650" s="98" t="s">
        <v>2397</v>
      </c>
      <c r="D650" s="98" t="s">
        <v>1829</v>
      </c>
      <c r="E650" s="98" t="s">
        <v>835</v>
      </c>
      <c r="F650" s="98" t="n">
        <v>0.17564135747907</v>
      </c>
      <c r="G650" s="98" t="s">
        <v>2398</v>
      </c>
      <c r="H650" s="98" t="s">
        <v>2250</v>
      </c>
      <c r="I650" s="98" t="s">
        <v>1704</v>
      </c>
      <c r="J650" s="98" t="s">
        <v>1705</v>
      </c>
      <c r="K650" s="98" t="s">
        <v>1706</v>
      </c>
    </row>
    <row r="651" customFormat="false" ht="64" hidden="false" customHeight="true" outlineLevel="0" collapsed="false">
      <c r="C651" s="98" t="s">
        <v>2399</v>
      </c>
      <c r="D651" s="98" t="s">
        <v>1833</v>
      </c>
      <c r="E651" s="98" t="s">
        <v>835</v>
      </c>
      <c r="F651" s="98" t="n">
        <v>0.17564135747907</v>
      </c>
      <c r="G651" s="98" t="s">
        <v>2398</v>
      </c>
      <c r="H651" s="98" t="s">
        <v>2250</v>
      </c>
      <c r="I651" s="98" t="s">
        <v>1704</v>
      </c>
      <c r="J651" s="98" t="s">
        <v>1705</v>
      </c>
      <c r="K651" s="98" t="s">
        <v>1706</v>
      </c>
    </row>
    <row r="652" customFormat="false" ht="64" hidden="false" customHeight="true" outlineLevel="0" collapsed="false">
      <c r="C652" s="98" t="s">
        <v>2400</v>
      </c>
      <c r="D652" s="98" t="s">
        <v>1835</v>
      </c>
      <c r="E652" s="98" t="s">
        <v>835</v>
      </c>
      <c r="F652" s="98" t="n">
        <v>0.17564135747907</v>
      </c>
      <c r="G652" s="98" t="s">
        <v>2398</v>
      </c>
      <c r="H652" s="98" t="s">
        <v>2250</v>
      </c>
      <c r="I652" s="98" t="s">
        <v>1704</v>
      </c>
      <c r="J652" s="98" t="s">
        <v>1705</v>
      </c>
      <c r="K652" s="98" t="s">
        <v>1706</v>
      </c>
    </row>
    <row r="653" customFormat="false" ht="64" hidden="false" customHeight="true" outlineLevel="0" collapsed="false">
      <c r="C653" s="98" t="s">
        <v>2401</v>
      </c>
      <c r="D653" s="98" t="s">
        <v>1044</v>
      </c>
      <c r="E653" s="98" t="s">
        <v>835</v>
      </c>
      <c r="F653" s="98" t="n">
        <v>0.17564135747907</v>
      </c>
      <c r="G653" s="98" t="s">
        <v>2398</v>
      </c>
      <c r="H653" s="98" t="s">
        <v>2250</v>
      </c>
      <c r="I653" s="98" t="s">
        <v>1704</v>
      </c>
      <c r="J653" s="98" t="s">
        <v>1705</v>
      </c>
      <c r="K653" s="98" t="s">
        <v>1706</v>
      </c>
    </row>
    <row r="654" customFormat="false" ht="64" hidden="false" customHeight="true" outlineLevel="0" collapsed="false">
      <c r="C654" s="98" t="s">
        <v>2402</v>
      </c>
      <c r="D654" s="98" t="s">
        <v>1838</v>
      </c>
      <c r="E654" s="98" t="s">
        <v>835</v>
      </c>
      <c r="F654" s="98" t="n">
        <v>0.17564135747907</v>
      </c>
      <c r="G654" s="98" t="s">
        <v>2398</v>
      </c>
      <c r="H654" s="98" t="s">
        <v>2250</v>
      </c>
      <c r="I654" s="98" t="s">
        <v>1704</v>
      </c>
      <c r="J654" s="98" t="s">
        <v>1705</v>
      </c>
      <c r="K654" s="98" t="s">
        <v>1706</v>
      </c>
    </row>
    <row r="655" customFormat="false" ht="64" hidden="false" customHeight="true" outlineLevel="0" collapsed="false">
      <c r="C655" s="98" t="s">
        <v>2403</v>
      </c>
      <c r="D655" s="98" t="s">
        <v>1840</v>
      </c>
      <c r="E655" s="98" t="s">
        <v>835</v>
      </c>
      <c r="F655" s="98" t="n">
        <v>0.17564135747907</v>
      </c>
      <c r="G655" s="98" t="s">
        <v>2398</v>
      </c>
      <c r="H655" s="98" t="s">
        <v>2250</v>
      </c>
      <c r="I655" s="98" t="s">
        <v>1704</v>
      </c>
      <c r="J655" s="98" t="s">
        <v>1705</v>
      </c>
      <c r="K655" s="98" t="s">
        <v>1706</v>
      </c>
    </row>
    <row r="656" customFormat="false" ht="64" hidden="false" customHeight="true" outlineLevel="0" collapsed="false">
      <c r="C656" s="98" t="s">
        <v>2404</v>
      </c>
      <c r="D656" s="98" t="s">
        <v>1700</v>
      </c>
      <c r="E656" s="98" t="s">
        <v>835</v>
      </c>
      <c r="F656" s="98" t="n">
        <v>0.17564135747907</v>
      </c>
      <c r="G656" s="98" t="s">
        <v>2398</v>
      </c>
      <c r="H656" s="98" t="s">
        <v>2250</v>
      </c>
      <c r="I656" s="98" t="s">
        <v>1704</v>
      </c>
      <c r="J656" s="98" t="s">
        <v>1705</v>
      </c>
      <c r="K656" s="98" t="s">
        <v>1706</v>
      </c>
    </row>
    <row r="657" customFormat="false" ht="64" hidden="false" customHeight="true" outlineLevel="0" collapsed="false">
      <c r="C657" s="98" t="s">
        <v>2405</v>
      </c>
      <c r="D657" s="98" t="s">
        <v>1708</v>
      </c>
      <c r="E657" s="98" t="s">
        <v>835</v>
      </c>
      <c r="F657" s="98" t="n">
        <v>0.17564135747907</v>
      </c>
      <c r="G657" s="98" t="s">
        <v>2398</v>
      </c>
      <c r="H657" s="98" t="s">
        <v>2250</v>
      </c>
      <c r="I657" s="98" t="s">
        <v>1704</v>
      </c>
      <c r="J657" s="98" t="s">
        <v>1705</v>
      </c>
      <c r="K657" s="98" t="s">
        <v>1706</v>
      </c>
    </row>
    <row r="658" customFormat="false" ht="64" hidden="false" customHeight="true" outlineLevel="0" collapsed="false">
      <c r="C658" s="98" t="s">
        <v>2406</v>
      </c>
      <c r="D658" s="98" t="s">
        <v>1710</v>
      </c>
      <c r="E658" s="98" t="s">
        <v>835</v>
      </c>
      <c r="F658" s="98" t="n">
        <v>0.17564135747907</v>
      </c>
      <c r="G658" s="98" t="s">
        <v>2398</v>
      </c>
      <c r="H658" s="98" t="s">
        <v>2250</v>
      </c>
      <c r="I658" s="98" t="s">
        <v>1704</v>
      </c>
      <c r="J658" s="98" t="s">
        <v>1705</v>
      </c>
      <c r="K658" s="98" t="s">
        <v>1706</v>
      </c>
    </row>
    <row r="659" customFormat="false" ht="64" hidden="false" customHeight="true" outlineLevel="0" collapsed="false">
      <c r="C659" s="98" t="s">
        <v>2407</v>
      </c>
      <c r="D659" s="98" t="s">
        <v>1712</v>
      </c>
      <c r="E659" s="98" t="s">
        <v>835</v>
      </c>
      <c r="F659" s="98" t="n">
        <v>0.17564135747907</v>
      </c>
      <c r="G659" s="98" t="s">
        <v>2398</v>
      </c>
      <c r="H659" s="98" t="s">
        <v>2250</v>
      </c>
      <c r="I659" s="98" t="s">
        <v>1704</v>
      </c>
      <c r="J659" s="98" t="s">
        <v>1705</v>
      </c>
      <c r="K659" s="98" t="s">
        <v>1706</v>
      </c>
    </row>
    <row r="660" customFormat="false" ht="64" hidden="false" customHeight="true" outlineLevel="0" collapsed="false">
      <c r="C660" s="98" t="s">
        <v>2408</v>
      </c>
      <c r="D660" s="98" t="s">
        <v>1714</v>
      </c>
      <c r="E660" s="98" t="s">
        <v>835</v>
      </c>
      <c r="F660" s="98" t="n">
        <v>0.17564135747907</v>
      </c>
      <c r="G660" s="98" t="s">
        <v>2398</v>
      </c>
      <c r="H660" s="98" t="s">
        <v>2250</v>
      </c>
      <c r="I660" s="98" t="s">
        <v>1704</v>
      </c>
      <c r="J660" s="98" t="s">
        <v>1705</v>
      </c>
      <c r="K660" s="98" t="s">
        <v>1706</v>
      </c>
    </row>
    <row r="661" customFormat="false" ht="64" hidden="false" customHeight="true" outlineLevel="0" collapsed="false">
      <c r="C661" s="98" t="s">
        <v>2409</v>
      </c>
      <c r="D661" s="98" t="s">
        <v>1716</v>
      </c>
      <c r="E661" s="98" t="s">
        <v>835</v>
      </c>
      <c r="F661" s="98" t="n">
        <v>0.17564135747907</v>
      </c>
      <c r="G661" s="98" t="s">
        <v>2398</v>
      </c>
      <c r="H661" s="98" t="s">
        <v>2250</v>
      </c>
      <c r="I661" s="98" t="s">
        <v>1704</v>
      </c>
      <c r="J661" s="98" t="s">
        <v>1705</v>
      </c>
      <c r="K661" s="98" t="s">
        <v>1706</v>
      </c>
    </row>
    <row r="662" customFormat="false" ht="64" hidden="false" customHeight="true" outlineLevel="0" collapsed="false">
      <c r="C662" s="98" t="s">
        <v>2410</v>
      </c>
      <c r="D662" s="98" t="s">
        <v>1718</v>
      </c>
      <c r="E662" s="98" t="s">
        <v>835</v>
      </c>
      <c r="F662" s="98" t="n">
        <v>0.17564135747907</v>
      </c>
      <c r="G662" s="98" t="s">
        <v>2398</v>
      </c>
      <c r="H662" s="98" t="s">
        <v>2250</v>
      </c>
      <c r="I662" s="98" t="s">
        <v>1704</v>
      </c>
      <c r="J662" s="98" t="s">
        <v>1705</v>
      </c>
      <c r="K662" s="98" t="s">
        <v>1706</v>
      </c>
    </row>
    <row r="663" customFormat="false" ht="64" hidden="false" customHeight="true" outlineLevel="0" collapsed="false">
      <c r="C663" s="98" t="s">
        <v>2411</v>
      </c>
      <c r="D663" s="98" t="s">
        <v>1720</v>
      </c>
      <c r="E663" s="98" t="s">
        <v>835</v>
      </c>
      <c r="F663" s="98" t="n">
        <v>0.17564135747907</v>
      </c>
      <c r="G663" s="98" t="s">
        <v>2398</v>
      </c>
      <c r="H663" s="98" t="s">
        <v>2250</v>
      </c>
      <c r="I663" s="98" t="s">
        <v>1704</v>
      </c>
      <c r="J663" s="98" t="s">
        <v>1705</v>
      </c>
      <c r="K663" s="98" t="s">
        <v>1706</v>
      </c>
    </row>
    <row r="664" customFormat="false" ht="64" hidden="false" customHeight="true" outlineLevel="0" collapsed="false">
      <c r="C664" s="98" t="s">
        <v>2412</v>
      </c>
      <c r="D664" s="98" t="s">
        <v>1722</v>
      </c>
      <c r="E664" s="98" t="s">
        <v>835</v>
      </c>
      <c r="F664" s="98" t="n">
        <v>0.17564135747907</v>
      </c>
      <c r="G664" s="98" t="s">
        <v>2398</v>
      </c>
      <c r="H664" s="98" t="s">
        <v>2250</v>
      </c>
      <c r="I664" s="98" t="s">
        <v>1704</v>
      </c>
      <c r="J664" s="98" t="s">
        <v>1705</v>
      </c>
      <c r="K664" s="98" t="s">
        <v>1706</v>
      </c>
    </row>
    <row r="665" customFormat="false" ht="64" hidden="false" customHeight="true" outlineLevel="0" collapsed="false">
      <c r="C665" s="98" t="s">
        <v>2413</v>
      </c>
      <c r="D665" s="98" t="s">
        <v>1724</v>
      </c>
      <c r="E665" s="98" t="s">
        <v>835</v>
      </c>
      <c r="F665" s="98" t="n">
        <v>0.17564135747907</v>
      </c>
      <c r="G665" s="98" t="s">
        <v>2398</v>
      </c>
      <c r="H665" s="98" t="s">
        <v>2250</v>
      </c>
      <c r="I665" s="98" t="s">
        <v>1704</v>
      </c>
      <c r="J665" s="98" t="s">
        <v>1705</v>
      </c>
      <c r="K665" s="98" t="s">
        <v>1706</v>
      </c>
    </row>
    <row r="666" customFormat="false" ht="64" hidden="false" customHeight="true" outlineLevel="0" collapsed="false">
      <c r="C666" s="98" t="s">
        <v>2414</v>
      </c>
      <c r="D666" s="98" t="s">
        <v>1726</v>
      </c>
      <c r="E666" s="98" t="s">
        <v>835</v>
      </c>
      <c r="F666" s="98" t="n">
        <v>0.17564135747907</v>
      </c>
      <c r="G666" s="98" t="s">
        <v>2398</v>
      </c>
      <c r="H666" s="98" t="s">
        <v>2250</v>
      </c>
      <c r="I666" s="98" t="s">
        <v>1704</v>
      </c>
      <c r="J666" s="98" t="s">
        <v>1705</v>
      </c>
      <c r="K666" s="98" t="s">
        <v>1706</v>
      </c>
    </row>
    <row r="667" customFormat="false" ht="64" hidden="false" customHeight="true" outlineLevel="0" collapsed="false">
      <c r="C667" s="98" t="s">
        <v>2415</v>
      </c>
      <c r="D667" s="98" t="s">
        <v>1728</v>
      </c>
      <c r="E667" s="98" t="s">
        <v>835</v>
      </c>
      <c r="F667" s="98" t="n">
        <v>0.17564135747907</v>
      </c>
      <c r="G667" s="98" t="s">
        <v>2398</v>
      </c>
      <c r="H667" s="98" t="s">
        <v>2250</v>
      </c>
      <c r="I667" s="98" t="s">
        <v>1704</v>
      </c>
      <c r="J667" s="98" t="s">
        <v>1705</v>
      </c>
      <c r="K667" s="98" t="s">
        <v>1706</v>
      </c>
    </row>
    <row r="668" customFormat="false" ht="64" hidden="false" customHeight="true" outlineLevel="0" collapsed="false">
      <c r="C668" s="98" t="s">
        <v>2416</v>
      </c>
      <c r="D668" s="98" t="s">
        <v>1730</v>
      </c>
      <c r="E668" s="98" t="s">
        <v>835</v>
      </c>
      <c r="F668" s="98" t="n">
        <v>0.17564135747907</v>
      </c>
      <c r="G668" s="98" t="s">
        <v>2398</v>
      </c>
      <c r="H668" s="98" t="s">
        <v>2250</v>
      </c>
      <c r="I668" s="98" t="s">
        <v>1704</v>
      </c>
      <c r="J668" s="98" t="s">
        <v>1705</v>
      </c>
      <c r="K668" s="98" t="s">
        <v>1706</v>
      </c>
    </row>
    <row r="669" customFormat="false" ht="64" hidden="false" customHeight="true" outlineLevel="0" collapsed="false">
      <c r="C669" s="98" t="s">
        <v>2417</v>
      </c>
      <c r="D669" s="98" t="s">
        <v>1732</v>
      </c>
      <c r="E669" s="98" t="s">
        <v>835</v>
      </c>
      <c r="F669" s="98" t="n">
        <v>0.17564135747907</v>
      </c>
      <c r="G669" s="98" t="s">
        <v>2398</v>
      </c>
      <c r="H669" s="98" t="s">
        <v>2250</v>
      </c>
      <c r="I669" s="98" t="s">
        <v>1704</v>
      </c>
      <c r="J669" s="98" t="s">
        <v>1705</v>
      </c>
      <c r="K669" s="98" t="s">
        <v>1706</v>
      </c>
    </row>
    <row r="670" customFormat="false" ht="64" hidden="false" customHeight="true" outlineLevel="0" collapsed="false">
      <c r="C670" s="98" t="s">
        <v>2418</v>
      </c>
      <c r="D670" s="98" t="s">
        <v>1734</v>
      </c>
      <c r="E670" s="98" t="s">
        <v>835</v>
      </c>
      <c r="F670" s="98" t="n">
        <v>0.17564135747907</v>
      </c>
      <c r="G670" s="98" t="s">
        <v>2398</v>
      </c>
      <c r="H670" s="98" t="s">
        <v>2250</v>
      </c>
      <c r="I670" s="98" t="s">
        <v>1704</v>
      </c>
      <c r="J670" s="98" t="s">
        <v>1705</v>
      </c>
      <c r="K670" s="98" t="s">
        <v>1706</v>
      </c>
    </row>
    <row r="671" customFormat="false" ht="64" hidden="false" customHeight="true" outlineLevel="0" collapsed="false">
      <c r="C671" s="98" t="s">
        <v>2419</v>
      </c>
      <c r="D671" s="98" t="s">
        <v>1736</v>
      </c>
      <c r="E671" s="98" t="s">
        <v>835</v>
      </c>
      <c r="F671" s="98" t="n">
        <v>0.17564135747907</v>
      </c>
      <c r="G671" s="98" t="s">
        <v>2398</v>
      </c>
      <c r="H671" s="98" t="s">
        <v>2250</v>
      </c>
      <c r="I671" s="98" t="s">
        <v>1704</v>
      </c>
      <c r="J671" s="98" t="s">
        <v>1705</v>
      </c>
      <c r="K671" s="98" t="s">
        <v>1706</v>
      </c>
    </row>
    <row r="672" customFormat="false" ht="64" hidden="false" customHeight="true" outlineLevel="0" collapsed="false">
      <c r="C672" s="98" t="s">
        <v>2420</v>
      </c>
      <c r="D672" s="98" t="s">
        <v>1738</v>
      </c>
      <c r="E672" s="98" t="s">
        <v>835</v>
      </c>
      <c r="F672" s="98" t="n">
        <v>0.17564135747907</v>
      </c>
      <c r="G672" s="98" t="s">
        <v>2398</v>
      </c>
      <c r="H672" s="98" t="s">
        <v>2250</v>
      </c>
      <c r="I672" s="98" t="s">
        <v>1704</v>
      </c>
      <c r="J672" s="98" t="s">
        <v>1705</v>
      </c>
      <c r="K672" s="98" t="s">
        <v>1706</v>
      </c>
    </row>
    <row r="673" customFormat="false" ht="64" hidden="false" customHeight="true" outlineLevel="0" collapsed="false">
      <c r="C673" s="98" t="s">
        <v>2421</v>
      </c>
      <c r="D673" s="98" t="s">
        <v>1740</v>
      </c>
      <c r="E673" s="98" t="s">
        <v>835</v>
      </c>
      <c r="F673" s="98" t="n">
        <v>0.17564135747907</v>
      </c>
      <c r="G673" s="98" t="s">
        <v>2398</v>
      </c>
      <c r="H673" s="98" t="s">
        <v>2250</v>
      </c>
      <c r="I673" s="98" t="s">
        <v>1704</v>
      </c>
      <c r="J673" s="98" t="s">
        <v>1705</v>
      </c>
      <c r="K673" s="98" t="s">
        <v>1706</v>
      </c>
    </row>
    <row r="674" customFormat="false" ht="64" hidden="false" customHeight="true" outlineLevel="0" collapsed="false">
      <c r="C674" s="98" t="s">
        <v>2422</v>
      </c>
      <c r="D674" s="98" t="s">
        <v>1742</v>
      </c>
      <c r="E674" s="98" t="s">
        <v>835</v>
      </c>
      <c r="F674" s="98" t="n">
        <v>0.17564135747907</v>
      </c>
      <c r="G674" s="98" t="s">
        <v>2398</v>
      </c>
      <c r="H674" s="98" t="s">
        <v>2250</v>
      </c>
      <c r="I674" s="98" t="s">
        <v>1704</v>
      </c>
      <c r="J674" s="98" t="s">
        <v>1705</v>
      </c>
      <c r="K674" s="98" t="s">
        <v>1706</v>
      </c>
    </row>
    <row r="675" customFormat="false" ht="64" hidden="false" customHeight="true" outlineLevel="0" collapsed="false">
      <c r="C675" s="98" t="s">
        <v>2423</v>
      </c>
      <c r="D675" s="98" t="s">
        <v>1744</v>
      </c>
      <c r="E675" s="98" t="s">
        <v>835</v>
      </c>
      <c r="F675" s="98" t="n">
        <v>0.17564135747907</v>
      </c>
      <c r="G675" s="98" t="s">
        <v>2398</v>
      </c>
      <c r="H675" s="98" t="s">
        <v>2250</v>
      </c>
      <c r="I675" s="98" t="s">
        <v>1704</v>
      </c>
      <c r="J675" s="98" t="s">
        <v>1705</v>
      </c>
      <c r="K675" s="98" t="s">
        <v>1706</v>
      </c>
    </row>
    <row r="676" customFormat="false" ht="64" hidden="false" customHeight="true" outlineLevel="0" collapsed="false">
      <c r="C676" s="98" t="s">
        <v>2424</v>
      </c>
      <c r="D676" s="98" t="s">
        <v>1746</v>
      </c>
      <c r="E676" s="98" t="s">
        <v>835</v>
      </c>
      <c r="F676" s="98" t="n">
        <v>0.17564135747907</v>
      </c>
      <c r="G676" s="98" t="s">
        <v>2398</v>
      </c>
      <c r="H676" s="98" t="s">
        <v>2250</v>
      </c>
      <c r="I676" s="98" t="s">
        <v>1704</v>
      </c>
      <c r="J676" s="98" t="s">
        <v>1705</v>
      </c>
      <c r="K676" s="98" t="s">
        <v>1706</v>
      </c>
    </row>
    <row r="677" customFormat="false" ht="64" hidden="false" customHeight="true" outlineLevel="0" collapsed="false">
      <c r="C677" s="98" t="s">
        <v>2425</v>
      </c>
      <c r="D677" s="98" t="s">
        <v>1748</v>
      </c>
      <c r="E677" s="98" t="s">
        <v>835</v>
      </c>
      <c r="F677" s="98" t="n">
        <v>0.17564135747907</v>
      </c>
      <c r="G677" s="98" t="s">
        <v>2398</v>
      </c>
      <c r="H677" s="98" t="s">
        <v>2250</v>
      </c>
      <c r="I677" s="98" t="s">
        <v>1704</v>
      </c>
      <c r="J677" s="98" t="s">
        <v>1705</v>
      </c>
      <c r="K677" s="98" t="s">
        <v>1706</v>
      </c>
    </row>
    <row r="678" customFormat="false" ht="64" hidden="false" customHeight="true" outlineLevel="0" collapsed="false">
      <c r="C678" s="98" t="s">
        <v>2426</v>
      </c>
      <c r="D678" s="98" t="s">
        <v>1750</v>
      </c>
      <c r="E678" s="98" t="s">
        <v>835</v>
      </c>
      <c r="F678" s="98" t="n">
        <v>0.17564135747907</v>
      </c>
      <c r="G678" s="98" t="s">
        <v>2398</v>
      </c>
      <c r="H678" s="98" t="s">
        <v>2250</v>
      </c>
      <c r="I678" s="98" t="s">
        <v>1704</v>
      </c>
      <c r="J678" s="98" t="s">
        <v>1705</v>
      </c>
      <c r="K678" s="98" t="s">
        <v>1706</v>
      </c>
    </row>
    <row r="679" customFormat="false" ht="64" hidden="false" customHeight="true" outlineLevel="0" collapsed="false">
      <c r="C679" s="98" t="s">
        <v>2427</v>
      </c>
      <c r="D679" s="98" t="s">
        <v>1752</v>
      </c>
      <c r="E679" s="98" t="s">
        <v>835</v>
      </c>
      <c r="F679" s="98" t="n">
        <v>0.17564135747907</v>
      </c>
      <c r="G679" s="98" t="s">
        <v>2398</v>
      </c>
      <c r="H679" s="98" t="s">
        <v>2250</v>
      </c>
      <c r="I679" s="98" t="s">
        <v>1704</v>
      </c>
      <c r="J679" s="98" t="s">
        <v>1705</v>
      </c>
      <c r="K679" s="98" t="s">
        <v>1706</v>
      </c>
    </row>
    <row r="680" customFormat="false" ht="64" hidden="false" customHeight="true" outlineLevel="0" collapsed="false">
      <c r="C680" s="98" t="s">
        <v>2428</v>
      </c>
      <c r="D680" s="98" t="s">
        <v>1754</v>
      </c>
      <c r="E680" s="98" t="s">
        <v>835</v>
      </c>
      <c r="F680" s="98" t="n">
        <v>0.17564135747907</v>
      </c>
      <c r="G680" s="98" t="s">
        <v>2398</v>
      </c>
      <c r="H680" s="98" t="s">
        <v>2250</v>
      </c>
      <c r="I680" s="98" t="s">
        <v>1704</v>
      </c>
      <c r="J680" s="98" t="s">
        <v>1705</v>
      </c>
      <c r="K680" s="98" t="s">
        <v>1706</v>
      </c>
    </row>
    <row r="681" customFormat="false" ht="64" hidden="false" customHeight="true" outlineLevel="0" collapsed="false">
      <c r="C681" s="98" t="s">
        <v>2429</v>
      </c>
      <c r="D681" s="98" t="s">
        <v>1756</v>
      </c>
      <c r="E681" s="98" t="s">
        <v>835</v>
      </c>
      <c r="F681" s="98" t="n">
        <v>0.17564135747907</v>
      </c>
      <c r="G681" s="98" t="s">
        <v>2398</v>
      </c>
      <c r="H681" s="98" t="s">
        <v>2250</v>
      </c>
      <c r="I681" s="98" t="s">
        <v>1704</v>
      </c>
      <c r="J681" s="98" t="s">
        <v>1705</v>
      </c>
      <c r="K681" s="98" t="s">
        <v>1706</v>
      </c>
    </row>
    <row r="682" customFormat="false" ht="64" hidden="false" customHeight="true" outlineLevel="0" collapsed="false">
      <c r="C682" s="98" t="s">
        <v>2430</v>
      </c>
      <c r="D682" s="98" t="s">
        <v>1758</v>
      </c>
      <c r="E682" s="98" t="s">
        <v>835</v>
      </c>
      <c r="F682" s="98" t="n">
        <v>0.17564135747907</v>
      </c>
      <c r="G682" s="98" t="s">
        <v>2398</v>
      </c>
      <c r="H682" s="98" t="s">
        <v>2250</v>
      </c>
      <c r="I682" s="98" t="s">
        <v>1704</v>
      </c>
      <c r="J682" s="98" t="s">
        <v>1705</v>
      </c>
      <c r="K682" s="98" t="s">
        <v>1706</v>
      </c>
    </row>
    <row r="683" customFormat="false" ht="64" hidden="false" customHeight="true" outlineLevel="0" collapsed="false">
      <c r="C683" s="98" t="s">
        <v>2431</v>
      </c>
      <c r="D683" s="98" t="s">
        <v>1760</v>
      </c>
      <c r="E683" s="98" t="s">
        <v>835</v>
      </c>
      <c r="F683" s="98" t="n">
        <v>0.17564135747907</v>
      </c>
      <c r="G683" s="98" t="s">
        <v>2398</v>
      </c>
      <c r="H683" s="98" t="s">
        <v>2250</v>
      </c>
      <c r="I683" s="98" t="s">
        <v>1704</v>
      </c>
      <c r="J683" s="98" t="s">
        <v>1705</v>
      </c>
      <c r="K683" s="98" t="s">
        <v>1706</v>
      </c>
    </row>
    <row r="684" customFormat="false" ht="64" hidden="false" customHeight="true" outlineLevel="0" collapsed="false">
      <c r="C684" s="98" t="s">
        <v>2432</v>
      </c>
      <c r="D684" s="98" t="s">
        <v>1762</v>
      </c>
      <c r="E684" s="98" t="s">
        <v>835</v>
      </c>
      <c r="F684" s="98" t="n">
        <v>0.17564135747907</v>
      </c>
      <c r="G684" s="98" t="s">
        <v>2398</v>
      </c>
      <c r="H684" s="98" t="s">
        <v>2250</v>
      </c>
      <c r="I684" s="98" t="s">
        <v>1704</v>
      </c>
      <c r="J684" s="98" t="s">
        <v>1705</v>
      </c>
      <c r="K684" s="98" t="s">
        <v>1706</v>
      </c>
    </row>
    <row r="685" customFormat="false" ht="64" hidden="false" customHeight="true" outlineLevel="0" collapsed="false">
      <c r="C685" s="98" t="s">
        <v>2433</v>
      </c>
      <c r="D685" s="98" t="s">
        <v>1764</v>
      </c>
      <c r="E685" s="98" t="s">
        <v>835</v>
      </c>
      <c r="F685" s="98" t="n">
        <v>0.17564135747907</v>
      </c>
      <c r="G685" s="98" t="s">
        <v>2398</v>
      </c>
      <c r="H685" s="98" t="s">
        <v>2250</v>
      </c>
      <c r="I685" s="98" t="s">
        <v>1704</v>
      </c>
      <c r="J685" s="98" t="s">
        <v>1705</v>
      </c>
      <c r="K685" s="98" t="s">
        <v>1706</v>
      </c>
    </row>
    <row r="686" customFormat="false" ht="64" hidden="false" customHeight="true" outlineLevel="0" collapsed="false">
      <c r="C686" s="98" t="s">
        <v>2434</v>
      </c>
      <c r="D686" s="98" t="s">
        <v>1829</v>
      </c>
      <c r="E686" s="98" t="s">
        <v>835</v>
      </c>
      <c r="F686" s="98" t="n">
        <v>0</v>
      </c>
      <c r="G686" s="98" t="s">
        <v>2435</v>
      </c>
      <c r="H686" s="98" t="s">
        <v>2250</v>
      </c>
      <c r="I686" s="98" t="s">
        <v>1704</v>
      </c>
      <c r="J686" s="98" t="s">
        <v>1705</v>
      </c>
      <c r="K686" s="98" t="s">
        <v>1706</v>
      </c>
    </row>
    <row r="687" customFormat="false" ht="64" hidden="false" customHeight="true" outlineLevel="0" collapsed="false">
      <c r="C687" s="98" t="s">
        <v>2436</v>
      </c>
      <c r="D687" s="98" t="s">
        <v>1833</v>
      </c>
      <c r="E687" s="98" t="s">
        <v>835</v>
      </c>
      <c r="F687" s="98" t="n">
        <v>0</v>
      </c>
      <c r="G687" s="98" t="s">
        <v>2435</v>
      </c>
      <c r="H687" s="98" t="s">
        <v>2250</v>
      </c>
      <c r="I687" s="98" t="s">
        <v>1704</v>
      </c>
      <c r="J687" s="98" t="s">
        <v>1705</v>
      </c>
      <c r="K687" s="98" t="s">
        <v>1706</v>
      </c>
    </row>
    <row r="688" customFormat="false" ht="64" hidden="false" customHeight="true" outlineLevel="0" collapsed="false">
      <c r="C688" s="98" t="s">
        <v>2437</v>
      </c>
      <c r="D688" s="98" t="s">
        <v>1835</v>
      </c>
      <c r="E688" s="98" t="s">
        <v>835</v>
      </c>
      <c r="F688" s="98" t="n">
        <v>1</v>
      </c>
      <c r="G688" s="98" t="s">
        <v>2435</v>
      </c>
      <c r="H688" s="98" t="s">
        <v>2250</v>
      </c>
      <c r="I688" s="98" t="s">
        <v>1704</v>
      </c>
      <c r="J688" s="98" t="s">
        <v>1705</v>
      </c>
      <c r="K688" s="98" t="s">
        <v>1706</v>
      </c>
    </row>
    <row r="689" customFormat="false" ht="64" hidden="false" customHeight="true" outlineLevel="0" collapsed="false">
      <c r="C689" s="98" t="s">
        <v>2438</v>
      </c>
      <c r="D689" s="98" t="s">
        <v>1044</v>
      </c>
      <c r="E689" s="98" t="s">
        <v>835</v>
      </c>
      <c r="F689" s="98" t="n">
        <v>0</v>
      </c>
      <c r="G689" s="98" t="s">
        <v>2435</v>
      </c>
      <c r="H689" s="98" t="s">
        <v>2250</v>
      </c>
      <c r="I689" s="98" t="s">
        <v>1704</v>
      </c>
      <c r="J689" s="98" t="s">
        <v>1705</v>
      </c>
      <c r="K689" s="98" t="s">
        <v>1706</v>
      </c>
    </row>
    <row r="690" customFormat="false" ht="64" hidden="false" customHeight="true" outlineLevel="0" collapsed="false">
      <c r="C690" s="98" t="s">
        <v>2439</v>
      </c>
      <c r="D690" s="98" t="s">
        <v>1838</v>
      </c>
      <c r="E690" s="98" t="s">
        <v>835</v>
      </c>
      <c r="F690" s="98" t="n">
        <v>0</v>
      </c>
      <c r="G690" s="98" t="s">
        <v>2435</v>
      </c>
      <c r="H690" s="98" t="s">
        <v>2250</v>
      </c>
      <c r="I690" s="98" t="s">
        <v>1704</v>
      </c>
      <c r="J690" s="98" t="s">
        <v>1705</v>
      </c>
      <c r="K690" s="98" t="s">
        <v>1706</v>
      </c>
    </row>
    <row r="691" customFormat="false" ht="64" hidden="false" customHeight="true" outlineLevel="0" collapsed="false">
      <c r="C691" s="98" t="s">
        <v>2440</v>
      </c>
      <c r="D691" s="98" t="s">
        <v>1840</v>
      </c>
      <c r="E691" s="98" t="s">
        <v>835</v>
      </c>
      <c r="F691" s="98" t="n">
        <v>1</v>
      </c>
      <c r="G691" s="98" t="s">
        <v>2435</v>
      </c>
      <c r="H691" s="98" t="s">
        <v>2250</v>
      </c>
      <c r="I691" s="98" t="s">
        <v>1704</v>
      </c>
      <c r="J691" s="98" t="s">
        <v>1705</v>
      </c>
      <c r="K691" s="98" t="s">
        <v>1706</v>
      </c>
    </row>
    <row r="692" customFormat="false" ht="64" hidden="false" customHeight="true" outlineLevel="0" collapsed="false">
      <c r="C692" s="98" t="s">
        <v>2441</v>
      </c>
      <c r="D692" s="98" t="s">
        <v>1700</v>
      </c>
      <c r="E692" s="98" t="s">
        <v>835</v>
      </c>
      <c r="F692" s="98" t="n">
        <v>0</v>
      </c>
      <c r="G692" s="98" t="s">
        <v>2435</v>
      </c>
      <c r="H692" s="98" t="s">
        <v>2250</v>
      </c>
      <c r="I692" s="98" t="s">
        <v>1704</v>
      </c>
      <c r="J692" s="98" t="s">
        <v>1705</v>
      </c>
      <c r="K692" s="98" t="s">
        <v>1706</v>
      </c>
    </row>
    <row r="693" customFormat="false" ht="64" hidden="false" customHeight="true" outlineLevel="0" collapsed="false">
      <c r="C693" s="98" t="s">
        <v>2442</v>
      </c>
      <c r="D693" s="98" t="s">
        <v>1708</v>
      </c>
      <c r="E693" s="98" t="s">
        <v>835</v>
      </c>
      <c r="F693" s="98" t="n">
        <v>0</v>
      </c>
      <c r="G693" s="98" t="s">
        <v>2435</v>
      </c>
      <c r="H693" s="98" t="s">
        <v>2250</v>
      </c>
      <c r="I693" s="98" t="s">
        <v>1704</v>
      </c>
      <c r="J693" s="98" t="s">
        <v>1705</v>
      </c>
      <c r="K693" s="98" t="s">
        <v>1706</v>
      </c>
    </row>
    <row r="694" customFormat="false" ht="64" hidden="false" customHeight="true" outlineLevel="0" collapsed="false">
      <c r="C694" s="98" t="s">
        <v>2443</v>
      </c>
      <c r="D694" s="98" t="s">
        <v>1710</v>
      </c>
      <c r="E694" s="98" t="s">
        <v>835</v>
      </c>
      <c r="F694" s="98" t="n">
        <v>1</v>
      </c>
      <c r="G694" s="98" t="s">
        <v>2435</v>
      </c>
      <c r="H694" s="98" t="s">
        <v>2250</v>
      </c>
      <c r="I694" s="98" t="s">
        <v>1704</v>
      </c>
      <c r="J694" s="98" t="s">
        <v>1705</v>
      </c>
      <c r="K694" s="98" t="s">
        <v>1706</v>
      </c>
    </row>
    <row r="695" customFormat="false" ht="64" hidden="false" customHeight="true" outlineLevel="0" collapsed="false">
      <c r="C695" s="98" t="s">
        <v>2444</v>
      </c>
      <c r="D695" s="98" t="s">
        <v>1712</v>
      </c>
      <c r="E695" s="98" t="s">
        <v>835</v>
      </c>
      <c r="F695" s="98" t="n">
        <v>0</v>
      </c>
      <c r="G695" s="98" t="s">
        <v>2435</v>
      </c>
      <c r="H695" s="98" t="s">
        <v>2250</v>
      </c>
      <c r="I695" s="98" t="s">
        <v>1704</v>
      </c>
      <c r="J695" s="98" t="s">
        <v>1705</v>
      </c>
      <c r="K695" s="98" t="s">
        <v>1706</v>
      </c>
    </row>
    <row r="696" customFormat="false" ht="64" hidden="false" customHeight="true" outlineLevel="0" collapsed="false">
      <c r="C696" s="98" t="s">
        <v>2445</v>
      </c>
      <c r="D696" s="98" t="s">
        <v>1714</v>
      </c>
      <c r="E696" s="98" t="s">
        <v>835</v>
      </c>
      <c r="F696" s="98" t="n">
        <v>0</v>
      </c>
      <c r="G696" s="98" t="s">
        <v>2435</v>
      </c>
      <c r="H696" s="98" t="s">
        <v>2250</v>
      </c>
      <c r="I696" s="98" t="s">
        <v>1704</v>
      </c>
      <c r="J696" s="98" t="s">
        <v>1705</v>
      </c>
      <c r="K696" s="98" t="s">
        <v>1706</v>
      </c>
    </row>
    <row r="697" customFormat="false" ht="64" hidden="false" customHeight="true" outlineLevel="0" collapsed="false">
      <c r="C697" s="98" t="s">
        <v>2446</v>
      </c>
      <c r="D697" s="98" t="s">
        <v>1716</v>
      </c>
      <c r="E697" s="98" t="s">
        <v>835</v>
      </c>
      <c r="F697" s="98" t="n">
        <v>1</v>
      </c>
      <c r="G697" s="98" t="s">
        <v>2435</v>
      </c>
      <c r="H697" s="98" t="s">
        <v>2250</v>
      </c>
      <c r="I697" s="98" t="s">
        <v>1704</v>
      </c>
      <c r="J697" s="98" t="s">
        <v>1705</v>
      </c>
      <c r="K697" s="98" t="s">
        <v>1706</v>
      </c>
    </row>
    <row r="698" customFormat="false" ht="64" hidden="false" customHeight="true" outlineLevel="0" collapsed="false">
      <c r="C698" s="98" t="s">
        <v>2447</v>
      </c>
      <c r="D698" s="98" t="s">
        <v>1718</v>
      </c>
      <c r="E698" s="98" t="s">
        <v>835</v>
      </c>
      <c r="F698" s="98" t="n">
        <v>0</v>
      </c>
      <c r="G698" s="98" t="s">
        <v>2435</v>
      </c>
      <c r="H698" s="98" t="s">
        <v>2250</v>
      </c>
      <c r="I698" s="98" t="s">
        <v>1704</v>
      </c>
      <c r="J698" s="98" t="s">
        <v>1705</v>
      </c>
      <c r="K698" s="98" t="s">
        <v>1706</v>
      </c>
    </row>
    <row r="699" customFormat="false" ht="64" hidden="false" customHeight="true" outlineLevel="0" collapsed="false">
      <c r="C699" s="98" t="s">
        <v>2448</v>
      </c>
      <c r="D699" s="98" t="s">
        <v>1720</v>
      </c>
      <c r="E699" s="98" t="s">
        <v>835</v>
      </c>
      <c r="F699" s="98" t="n">
        <v>0</v>
      </c>
      <c r="G699" s="98" t="s">
        <v>2435</v>
      </c>
      <c r="H699" s="98" t="s">
        <v>2250</v>
      </c>
      <c r="I699" s="98" t="s">
        <v>1704</v>
      </c>
      <c r="J699" s="98" t="s">
        <v>1705</v>
      </c>
      <c r="K699" s="98" t="s">
        <v>1706</v>
      </c>
    </row>
    <row r="700" customFormat="false" ht="64" hidden="false" customHeight="true" outlineLevel="0" collapsed="false">
      <c r="C700" s="98" t="s">
        <v>2449</v>
      </c>
      <c r="D700" s="98" t="s">
        <v>1722</v>
      </c>
      <c r="E700" s="98" t="s">
        <v>835</v>
      </c>
      <c r="F700" s="98" t="n">
        <v>1</v>
      </c>
      <c r="G700" s="98" t="s">
        <v>2435</v>
      </c>
      <c r="H700" s="98" t="s">
        <v>2250</v>
      </c>
      <c r="I700" s="98" t="s">
        <v>1704</v>
      </c>
      <c r="J700" s="98" t="s">
        <v>1705</v>
      </c>
      <c r="K700" s="98" t="s">
        <v>1706</v>
      </c>
    </row>
    <row r="701" customFormat="false" ht="64" hidden="false" customHeight="true" outlineLevel="0" collapsed="false">
      <c r="C701" s="98" t="s">
        <v>2450</v>
      </c>
      <c r="D701" s="98" t="s">
        <v>1724</v>
      </c>
      <c r="E701" s="98" t="s">
        <v>835</v>
      </c>
      <c r="F701" s="98" t="n">
        <v>0</v>
      </c>
      <c r="G701" s="98" t="s">
        <v>2435</v>
      </c>
      <c r="H701" s="98" t="s">
        <v>2250</v>
      </c>
      <c r="I701" s="98" t="s">
        <v>1704</v>
      </c>
      <c r="J701" s="98" t="s">
        <v>1705</v>
      </c>
      <c r="K701" s="98" t="s">
        <v>1706</v>
      </c>
    </row>
    <row r="702" customFormat="false" ht="64" hidden="false" customHeight="true" outlineLevel="0" collapsed="false">
      <c r="C702" s="98" t="s">
        <v>2451</v>
      </c>
      <c r="D702" s="98" t="s">
        <v>1726</v>
      </c>
      <c r="E702" s="98" t="s">
        <v>835</v>
      </c>
      <c r="F702" s="98" t="n">
        <v>0</v>
      </c>
      <c r="G702" s="98" t="s">
        <v>2435</v>
      </c>
      <c r="H702" s="98" t="s">
        <v>2250</v>
      </c>
      <c r="I702" s="98" t="s">
        <v>1704</v>
      </c>
      <c r="J702" s="98" t="s">
        <v>1705</v>
      </c>
      <c r="K702" s="98" t="s">
        <v>1706</v>
      </c>
    </row>
    <row r="703" customFormat="false" ht="64" hidden="false" customHeight="true" outlineLevel="0" collapsed="false">
      <c r="C703" s="98" t="s">
        <v>2452</v>
      </c>
      <c r="D703" s="98" t="s">
        <v>1728</v>
      </c>
      <c r="E703" s="98" t="s">
        <v>835</v>
      </c>
      <c r="F703" s="98" t="n">
        <v>1</v>
      </c>
      <c r="G703" s="98" t="s">
        <v>2435</v>
      </c>
      <c r="H703" s="98" t="s">
        <v>2250</v>
      </c>
      <c r="I703" s="98" t="s">
        <v>1704</v>
      </c>
      <c r="J703" s="98" t="s">
        <v>1705</v>
      </c>
      <c r="K703" s="98" t="s">
        <v>1706</v>
      </c>
    </row>
    <row r="704" customFormat="false" ht="64" hidden="false" customHeight="true" outlineLevel="0" collapsed="false">
      <c r="C704" s="98" t="s">
        <v>2453</v>
      </c>
      <c r="D704" s="98" t="s">
        <v>1730</v>
      </c>
      <c r="E704" s="98" t="s">
        <v>835</v>
      </c>
      <c r="F704" s="98" t="n">
        <v>0</v>
      </c>
      <c r="G704" s="98" t="s">
        <v>2435</v>
      </c>
      <c r="H704" s="98" t="s">
        <v>2250</v>
      </c>
      <c r="I704" s="98" t="s">
        <v>1704</v>
      </c>
      <c r="J704" s="98" t="s">
        <v>1705</v>
      </c>
      <c r="K704" s="98" t="s">
        <v>1706</v>
      </c>
    </row>
    <row r="705" customFormat="false" ht="64" hidden="false" customHeight="true" outlineLevel="0" collapsed="false">
      <c r="C705" s="98" t="s">
        <v>2454</v>
      </c>
      <c r="D705" s="98" t="s">
        <v>1732</v>
      </c>
      <c r="E705" s="98" t="s">
        <v>835</v>
      </c>
      <c r="F705" s="98" t="n">
        <v>0</v>
      </c>
      <c r="G705" s="98" t="s">
        <v>2435</v>
      </c>
      <c r="H705" s="98" t="s">
        <v>2250</v>
      </c>
      <c r="I705" s="98" t="s">
        <v>1704</v>
      </c>
      <c r="J705" s="98" t="s">
        <v>1705</v>
      </c>
      <c r="K705" s="98" t="s">
        <v>1706</v>
      </c>
    </row>
    <row r="706" customFormat="false" ht="64" hidden="false" customHeight="true" outlineLevel="0" collapsed="false">
      <c r="C706" s="98" t="s">
        <v>2455</v>
      </c>
      <c r="D706" s="98" t="s">
        <v>1734</v>
      </c>
      <c r="E706" s="98" t="s">
        <v>835</v>
      </c>
      <c r="F706" s="98" t="n">
        <v>1</v>
      </c>
      <c r="G706" s="98" t="s">
        <v>2435</v>
      </c>
      <c r="H706" s="98" t="s">
        <v>2250</v>
      </c>
      <c r="I706" s="98" t="s">
        <v>1704</v>
      </c>
      <c r="J706" s="98" t="s">
        <v>1705</v>
      </c>
      <c r="K706" s="98" t="s">
        <v>1706</v>
      </c>
    </row>
    <row r="707" customFormat="false" ht="64" hidden="false" customHeight="true" outlineLevel="0" collapsed="false">
      <c r="C707" s="98" t="s">
        <v>2456</v>
      </c>
      <c r="D707" s="98" t="s">
        <v>1736</v>
      </c>
      <c r="E707" s="98" t="s">
        <v>835</v>
      </c>
      <c r="F707" s="98" t="n">
        <v>0</v>
      </c>
      <c r="G707" s="98" t="s">
        <v>2435</v>
      </c>
      <c r="H707" s="98" t="s">
        <v>2250</v>
      </c>
      <c r="I707" s="98" t="s">
        <v>1704</v>
      </c>
      <c r="J707" s="98" t="s">
        <v>1705</v>
      </c>
      <c r="K707" s="98" t="s">
        <v>1706</v>
      </c>
    </row>
    <row r="708" customFormat="false" ht="64" hidden="false" customHeight="true" outlineLevel="0" collapsed="false">
      <c r="C708" s="98" t="s">
        <v>2457</v>
      </c>
      <c r="D708" s="98" t="s">
        <v>1738</v>
      </c>
      <c r="E708" s="98" t="s">
        <v>835</v>
      </c>
      <c r="F708" s="98" t="n">
        <v>0</v>
      </c>
      <c r="G708" s="98" t="s">
        <v>2435</v>
      </c>
      <c r="H708" s="98" t="s">
        <v>2250</v>
      </c>
      <c r="I708" s="98" t="s">
        <v>1704</v>
      </c>
      <c r="J708" s="98" t="s">
        <v>1705</v>
      </c>
      <c r="K708" s="98" t="s">
        <v>1706</v>
      </c>
    </row>
    <row r="709" customFormat="false" ht="64" hidden="false" customHeight="true" outlineLevel="0" collapsed="false">
      <c r="C709" s="98" t="s">
        <v>2458</v>
      </c>
      <c r="D709" s="98" t="s">
        <v>1740</v>
      </c>
      <c r="E709" s="98" t="s">
        <v>835</v>
      </c>
      <c r="F709" s="98" t="n">
        <v>1</v>
      </c>
      <c r="G709" s="98" t="s">
        <v>2435</v>
      </c>
      <c r="H709" s="98" t="s">
        <v>2250</v>
      </c>
      <c r="I709" s="98" t="s">
        <v>1704</v>
      </c>
      <c r="J709" s="98" t="s">
        <v>1705</v>
      </c>
      <c r="K709" s="98" t="s">
        <v>1706</v>
      </c>
    </row>
    <row r="710" customFormat="false" ht="64" hidden="false" customHeight="true" outlineLevel="0" collapsed="false">
      <c r="C710" s="98" t="s">
        <v>2459</v>
      </c>
      <c r="D710" s="98" t="s">
        <v>1742</v>
      </c>
      <c r="E710" s="98" t="s">
        <v>835</v>
      </c>
      <c r="F710" s="98" t="n">
        <v>0</v>
      </c>
      <c r="G710" s="98" t="s">
        <v>2435</v>
      </c>
      <c r="H710" s="98" t="s">
        <v>2250</v>
      </c>
      <c r="I710" s="98" t="s">
        <v>1704</v>
      </c>
      <c r="J710" s="98" t="s">
        <v>1705</v>
      </c>
      <c r="K710" s="98" t="s">
        <v>1706</v>
      </c>
    </row>
    <row r="711" customFormat="false" ht="64" hidden="false" customHeight="true" outlineLevel="0" collapsed="false">
      <c r="C711" s="98" t="s">
        <v>2460</v>
      </c>
      <c r="D711" s="98" t="s">
        <v>1744</v>
      </c>
      <c r="E711" s="98" t="s">
        <v>835</v>
      </c>
      <c r="F711" s="98" t="n">
        <v>0</v>
      </c>
      <c r="G711" s="98" t="s">
        <v>2435</v>
      </c>
      <c r="H711" s="98" t="s">
        <v>2250</v>
      </c>
      <c r="I711" s="98" t="s">
        <v>1704</v>
      </c>
      <c r="J711" s="98" t="s">
        <v>1705</v>
      </c>
      <c r="K711" s="98" t="s">
        <v>1706</v>
      </c>
    </row>
    <row r="712" customFormat="false" ht="64" hidden="false" customHeight="true" outlineLevel="0" collapsed="false">
      <c r="C712" s="98" t="s">
        <v>2461</v>
      </c>
      <c r="D712" s="98" t="s">
        <v>1746</v>
      </c>
      <c r="E712" s="98" t="s">
        <v>835</v>
      </c>
      <c r="F712" s="98" t="n">
        <v>1</v>
      </c>
      <c r="G712" s="98" t="s">
        <v>2435</v>
      </c>
      <c r="H712" s="98" t="s">
        <v>2250</v>
      </c>
      <c r="I712" s="98" t="s">
        <v>1704</v>
      </c>
      <c r="J712" s="98" t="s">
        <v>1705</v>
      </c>
      <c r="K712" s="98" t="s">
        <v>1706</v>
      </c>
    </row>
    <row r="713" customFormat="false" ht="64" hidden="false" customHeight="true" outlineLevel="0" collapsed="false">
      <c r="C713" s="98" t="s">
        <v>2462</v>
      </c>
      <c r="D713" s="98" t="s">
        <v>1748</v>
      </c>
      <c r="E713" s="98" t="s">
        <v>835</v>
      </c>
      <c r="F713" s="98" t="n">
        <v>0</v>
      </c>
      <c r="G713" s="98" t="s">
        <v>2435</v>
      </c>
      <c r="H713" s="98" t="s">
        <v>2250</v>
      </c>
      <c r="I713" s="98" t="s">
        <v>1704</v>
      </c>
      <c r="J713" s="98" t="s">
        <v>1705</v>
      </c>
      <c r="K713" s="98" t="s">
        <v>1706</v>
      </c>
    </row>
    <row r="714" customFormat="false" ht="64" hidden="false" customHeight="true" outlineLevel="0" collapsed="false">
      <c r="C714" s="98" t="s">
        <v>2463</v>
      </c>
      <c r="D714" s="98" t="s">
        <v>1750</v>
      </c>
      <c r="E714" s="98" t="s">
        <v>835</v>
      </c>
      <c r="F714" s="98" t="n">
        <v>0</v>
      </c>
      <c r="G714" s="98" t="s">
        <v>2435</v>
      </c>
      <c r="H714" s="98" t="s">
        <v>2250</v>
      </c>
      <c r="I714" s="98" t="s">
        <v>1704</v>
      </c>
      <c r="J714" s="98" t="s">
        <v>1705</v>
      </c>
      <c r="K714" s="98" t="s">
        <v>1706</v>
      </c>
    </row>
    <row r="715" customFormat="false" ht="64" hidden="false" customHeight="true" outlineLevel="0" collapsed="false">
      <c r="C715" s="98" t="s">
        <v>2464</v>
      </c>
      <c r="D715" s="98" t="s">
        <v>1752</v>
      </c>
      <c r="E715" s="98" t="s">
        <v>835</v>
      </c>
      <c r="F715" s="98" t="n">
        <v>1</v>
      </c>
      <c r="G715" s="98" t="s">
        <v>2435</v>
      </c>
      <c r="H715" s="98" t="s">
        <v>2250</v>
      </c>
      <c r="I715" s="98" t="s">
        <v>1704</v>
      </c>
      <c r="J715" s="98" t="s">
        <v>1705</v>
      </c>
      <c r="K715" s="98" t="s">
        <v>1706</v>
      </c>
    </row>
    <row r="716" customFormat="false" ht="64" hidden="false" customHeight="true" outlineLevel="0" collapsed="false">
      <c r="C716" s="98" t="s">
        <v>2465</v>
      </c>
      <c r="D716" s="98" t="s">
        <v>1754</v>
      </c>
      <c r="E716" s="98" t="s">
        <v>835</v>
      </c>
      <c r="F716" s="98" t="n">
        <v>0</v>
      </c>
      <c r="G716" s="98" t="s">
        <v>2435</v>
      </c>
      <c r="H716" s="98" t="s">
        <v>2250</v>
      </c>
      <c r="I716" s="98" t="s">
        <v>1704</v>
      </c>
      <c r="J716" s="98" t="s">
        <v>1705</v>
      </c>
      <c r="K716" s="98" t="s">
        <v>1706</v>
      </c>
    </row>
    <row r="717" customFormat="false" ht="64" hidden="false" customHeight="true" outlineLevel="0" collapsed="false">
      <c r="C717" s="98" t="s">
        <v>2466</v>
      </c>
      <c r="D717" s="98" t="s">
        <v>1756</v>
      </c>
      <c r="E717" s="98" t="s">
        <v>835</v>
      </c>
      <c r="F717" s="98" t="n">
        <v>0</v>
      </c>
      <c r="G717" s="98" t="s">
        <v>2435</v>
      </c>
      <c r="H717" s="98" t="s">
        <v>2250</v>
      </c>
      <c r="I717" s="98" t="s">
        <v>1704</v>
      </c>
      <c r="J717" s="98" t="s">
        <v>1705</v>
      </c>
      <c r="K717" s="98" t="s">
        <v>1706</v>
      </c>
    </row>
    <row r="718" customFormat="false" ht="64" hidden="false" customHeight="true" outlineLevel="0" collapsed="false">
      <c r="C718" s="98" t="s">
        <v>2467</v>
      </c>
      <c r="D718" s="98" t="s">
        <v>1758</v>
      </c>
      <c r="E718" s="98" t="s">
        <v>835</v>
      </c>
      <c r="F718" s="98" t="n">
        <v>1</v>
      </c>
      <c r="G718" s="98" t="s">
        <v>2435</v>
      </c>
      <c r="H718" s="98" t="s">
        <v>2250</v>
      </c>
      <c r="I718" s="98" t="s">
        <v>1704</v>
      </c>
      <c r="J718" s="98" t="s">
        <v>1705</v>
      </c>
      <c r="K718" s="98" t="s">
        <v>1706</v>
      </c>
    </row>
    <row r="719" customFormat="false" ht="64" hidden="false" customHeight="true" outlineLevel="0" collapsed="false">
      <c r="C719" s="98" t="s">
        <v>2468</v>
      </c>
      <c r="D719" s="98" t="s">
        <v>1760</v>
      </c>
      <c r="E719" s="98" t="s">
        <v>835</v>
      </c>
      <c r="F719" s="98" t="n">
        <v>0</v>
      </c>
      <c r="G719" s="98" t="s">
        <v>2435</v>
      </c>
      <c r="H719" s="98" t="s">
        <v>2250</v>
      </c>
      <c r="I719" s="98" t="s">
        <v>1704</v>
      </c>
      <c r="J719" s="98" t="s">
        <v>1705</v>
      </c>
      <c r="K719" s="98" t="s">
        <v>1706</v>
      </c>
    </row>
    <row r="720" customFormat="false" ht="64" hidden="false" customHeight="true" outlineLevel="0" collapsed="false">
      <c r="C720" s="98" t="s">
        <v>2469</v>
      </c>
      <c r="D720" s="98" t="s">
        <v>1762</v>
      </c>
      <c r="E720" s="98" t="s">
        <v>835</v>
      </c>
      <c r="F720" s="98" t="n">
        <v>0</v>
      </c>
      <c r="G720" s="98" t="s">
        <v>2435</v>
      </c>
      <c r="H720" s="98" t="s">
        <v>2250</v>
      </c>
      <c r="I720" s="98" t="s">
        <v>1704</v>
      </c>
      <c r="J720" s="98" t="s">
        <v>1705</v>
      </c>
      <c r="K720" s="98" t="s">
        <v>1706</v>
      </c>
    </row>
    <row r="721" customFormat="false" ht="64" hidden="false" customHeight="true" outlineLevel="0" collapsed="false">
      <c r="C721" s="98" t="s">
        <v>2470</v>
      </c>
      <c r="D721" s="98" t="s">
        <v>1764</v>
      </c>
      <c r="E721" s="98" t="s">
        <v>835</v>
      </c>
      <c r="F721" s="98" t="n">
        <v>1</v>
      </c>
      <c r="G721" s="98" t="s">
        <v>2435</v>
      </c>
      <c r="H721" s="98" t="s">
        <v>2250</v>
      </c>
      <c r="I721" s="98" t="s">
        <v>1704</v>
      </c>
      <c r="J721" s="98" t="s">
        <v>1705</v>
      </c>
      <c r="K721" s="98" t="s">
        <v>1706</v>
      </c>
    </row>
    <row r="722" customFormat="false" ht="64" hidden="false" customHeight="true" outlineLevel="0" collapsed="false">
      <c r="C722" s="98" t="s">
        <v>2471</v>
      </c>
      <c r="D722" s="98" t="s">
        <v>1829</v>
      </c>
      <c r="E722" s="98" t="s">
        <v>835</v>
      </c>
      <c r="F722" s="98" t="n">
        <v>0</v>
      </c>
      <c r="G722" s="98" t="s">
        <v>2472</v>
      </c>
      <c r="H722" s="98" t="s">
        <v>2250</v>
      </c>
      <c r="I722" s="98" t="s">
        <v>1704</v>
      </c>
      <c r="J722" s="98" t="s">
        <v>1705</v>
      </c>
      <c r="K722" s="98" t="s">
        <v>1706</v>
      </c>
    </row>
    <row r="723" customFormat="false" ht="64" hidden="false" customHeight="true" outlineLevel="0" collapsed="false">
      <c r="C723" s="98" t="s">
        <v>2473</v>
      </c>
      <c r="D723" s="98" t="s">
        <v>1833</v>
      </c>
      <c r="E723" s="98" t="s">
        <v>835</v>
      </c>
      <c r="F723" s="98" t="n">
        <v>0</v>
      </c>
      <c r="G723" s="98" t="s">
        <v>2472</v>
      </c>
      <c r="H723" s="98" t="s">
        <v>2250</v>
      </c>
      <c r="I723" s="98" t="s">
        <v>1704</v>
      </c>
      <c r="J723" s="98" t="s">
        <v>1705</v>
      </c>
      <c r="K723" s="98" t="s">
        <v>1706</v>
      </c>
    </row>
    <row r="724" customFormat="false" ht="64" hidden="false" customHeight="true" outlineLevel="0" collapsed="false">
      <c r="C724" s="98" t="s">
        <v>2474</v>
      </c>
      <c r="D724" s="98" t="s">
        <v>1835</v>
      </c>
      <c r="E724" s="98" t="s">
        <v>835</v>
      </c>
      <c r="F724" s="98" t="n">
        <v>0</v>
      </c>
      <c r="G724" s="98" t="s">
        <v>2472</v>
      </c>
      <c r="H724" s="98" t="s">
        <v>2250</v>
      </c>
      <c r="I724" s="98" t="s">
        <v>1704</v>
      </c>
      <c r="J724" s="98" t="s">
        <v>1705</v>
      </c>
      <c r="K724" s="98" t="s">
        <v>1706</v>
      </c>
    </row>
    <row r="725" customFormat="false" ht="64" hidden="false" customHeight="true" outlineLevel="0" collapsed="false">
      <c r="C725" s="98" t="s">
        <v>2475</v>
      </c>
      <c r="D725" s="98" t="s">
        <v>1044</v>
      </c>
      <c r="E725" s="98" t="s">
        <v>835</v>
      </c>
      <c r="F725" s="98" t="n">
        <v>0</v>
      </c>
      <c r="G725" s="98" t="s">
        <v>2472</v>
      </c>
      <c r="H725" s="98" t="s">
        <v>2250</v>
      </c>
      <c r="I725" s="98" t="s">
        <v>1704</v>
      </c>
      <c r="J725" s="98" t="s">
        <v>1705</v>
      </c>
      <c r="K725" s="98" t="s">
        <v>1706</v>
      </c>
    </row>
    <row r="726" customFormat="false" ht="64" hidden="false" customHeight="true" outlineLevel="0" collapsed="false">
      <c r="C726" s="98" t="s">
        <v>2476</v>
      </c>
      <c r="D726" s="98" t="s">
        <v>1838</v>
      </c>
      <c r="E726" s="98" t="s">
        <v>835</v>
      </c>
      <c r="F726" s="98" t="n">
        <v>0</v>
      </c>
      <c r="G726" s="98" t="s">
        <v>2472</v>
      </c>
      <c r="H726" s="98" t="s">
        <v>2250</v>
      </c>
      <c r="I726" s="98" t="s">
        <v>1704</v>
      </c>
      <c r="J726" s="98" t="s">
        <v>1705</v>
      </c>
      <c r="K726" s="98" t="s">
        <v>1706</v>
      </c>
    </row>
    <row r="727" customFormat="false" ht="64" hidden="false" customHeight="true" outlineLevel="0" collapsed="false">
      <c r="C727" s="98" t="s">
        <v>2477</v>
      </c>
      <c r="D727" s="98" t="s">
        <v>1840</v>
      </c>
      <c r="E727" s="98" t="s">
        <v>835</v>
      </c>
      <c r="F727" s="98" t="n">
        <v>0.9</v>
      </c>
      <c r="G727" s="98" t="s">
        <v>2472</v>
      </c>
      <c r="H727" s="98" t="s">
        <v>2250</v>
      </c>
      <c r="I727" s="98" t="s">
        <v>1704</v>
      </c>
      <c r="J727" s="98" t="s">
        <v>1705</v>
      </c>
      <c r="K727" s="98" t="s">
        <v>1706</v>
      </c>
    </row>
    <row r="728" customFormat="false" ht="64" hidden="false" customHeight="true" outlineLevel="0" collapsed="false">
      <c r="C728" s="98" t="s">
        <v>2478</v>
      </c>
      <c r="D728" s="98" t="s">
        <v>1700</v>
      </c>
      <c r="E728" s="98" t="s">
        <v>835</v>
      </c>
      <c r="F728" s="98" t="n">
        <v>0</v>
      </c>
      <c r="G728" s="98" t="s">
        <v>2472</v>
      </c>
      <c r="H728" s="98" t="s">
        <v>2250</v>
      </c>
      <c r="I728" s="98" t="s">
        <v>1704</v>
      </c>
      <c r="J728" s="98" t="s">
        <v>1705</v>
      </c>
      <c r="K728" s="98" t="s">
        <v>1706</v>
      </c>
    </row>
    <row r="729" customFormat="false" ht="64" hidden="false" customHeight="true" outlineLevel="0" collapsed="false">
      <c r="C729" s="98" t="s">
        <v>2479</v>
      </c>
      <c r="D729" s="98" t="s">
        <v>1708</v>
      </c>
      <c r="E729" s="98" t="s">
        <v>835</v>
      </c>
      <c r="F729" s="98" t="n">
        <v>0</v>
      </c>
      <c r="G729" s="98" t="s">
        <v>2472</v>
      </c>
      <c r="H729" s="98" t="s">
        <v>2250</v>
      </c>
      <c r="I729" s="98" t="s">
        <v>1704</v>
      </c>
      <c r="J729" s="98" t="s">
        <v>1705</v>
      </c>
      <c r="K729" s="98" t="s">
        <v>1706</v>
      </c>
    </row>
    <row r="730" customFormat="false" ht="64" hidden="false" customHeight="true" outlineLevel="0" collapsed="false">
      <c r="C730" s="98" t="s">
        <v>2480</v>
      </c>
      <c r="D730" s="98" t="s">
        <v>1710</v>
      </c>
      <c r="E730" s="98" t="s">
        <v>835</v>
      </c>
      <c r="F730" s="98" t="n">
        <v>0</v>
      </c>
      <c r="G730" s="98" t="s">
        <v>2472</v>
      </c>
      <c r="H730" s="98" t="s">
        <v>2250</v>
      </c>
      <c r="I730" s="98" t="s">
        <v>1704</v>
      </c>
      <c r="J730" s="98" t="s">
        <v>1705</v>
      </c>
      <c r="K730" s="98" t="s">
        <v>1706</v>
      </c>
    </row>
    <row r="731" customFormat="false" ht="64" hidden="false" customHeight="true" outlineLevel="0" collapsed="false">
      <c r="C731" s="98" t="s">
        <v>2481</v>
      </c>
      <c r="D731" s="98" t="s">
        <v>1712</v>
      </c>
      <c r="E731" s="98" t="s">
        <v>835</v>
      </c>
      <c r="F731" s="98" t="n">
        <v>0</v>
      </c>
      <c r="G731" s="98" t="s">
        <v>2472</v>
      </c>
      <c r="H731" s="98" t="s">
        <v>2250</v>
      </c>
      <c r="I731" s="98" t="s">
        <v>1704</v>
      </c>
      <c r="J731" s="98" t="s">
        <v>1705</v>
      </c>
      <c r="K731" s="98" t="s">
        <v>1706</v>
      </c>
    </row>
    <row r="732" customFormat="false" ht="64" hidden="false" customHeight="true" outlineLevel="0" collapsed="false">
      <c r="C732" s="98" t="s">
        <v>2482</v>
      </c>
      <c r="D732" s="98" t="s">
        <v>1714</v>
      </c>
      <c r="E732" s="98" t="s">
        <v>835</v>
      </c>
      <c r="F732" s="98" t="n">
        <v>0</v>
      </c>
      <c r="G732" s="98" t="s">
        <v>2472</v>
      </c>
      <c r="H732" s="98" t="s">
        <v>2250</v>
      </c>
      <c r="I732" s="98" t="s">
        <v>1704</v>
      </c>
      <c r="J732" s="98" t="s">
        <v>1705</v>
      </c>
      <c r="K732" s="98" t="s">
        <v>1706</v>
      </c>
    </row>
    <row r="733" customFormat="false" ht="64" hidden="false" customHeight="true" outlineLevel="0" collapsed="false">
      <c r="C733" s="98" t="s">
        <v>2483</v>
      </c>
      <c r="D733" s="98" t="s">
        <v>1716</v>
      </c>
      <c r="E733" s="98" t="s">
        <v>835</v>
      </c>
      <c r="F733" s="98" t="n">
        <v>0</v>
      </c>
      <c r="G733" s="98" t="s">
        <v>2472</v>
      </c>
      <c r="H733" s="98" t="s">
        <v>2250</v>
      </c>
      <c r="I733" s="98" t="s">
        <v>1704</v>
      </c>
      <c r="J733" s="98" t="s">
        <v>1705</v>
      </c>
      <c r="K733" s="98" t="s">
        <v>1706</v>
      </c>
    </row>
    <row r="734" customFormat="false" ht="64" hidden="false" customHeight="true" outlineLevel="0" collapsed="false">
      <c r="C734" s="98" t="s">
        <v>2484</v>
      </c>
      <c r="D734" s="98" t="s">
        <v>1718</v>
      </c>
      <c r="E734" s="98" t="s">
        <v>835</v>
      </c>
      <c r="F734" s="98" t="n">
        <v>0</v>
      </c>
      <c r="G734" s="98" t="s">
        <v>2472</v>
      </c>
      <c r="H734" s="98" t="s">
        <v>2250</v>
      </c>
      <c r="I734" s="98" t="s">
        <v>1704</v>
      </c>
      <c r="J734" s="98" t="s">
        <v>1705</v>
      </c>
      <c r="K734" s="98" t="s">
        <v>1706</v>
      </c>
    </row>
    <row r="735" customFormat="false" ht="64" hidden="false" customHeight="true" outlineLevel="0" collapsed="false">
      <c r="C735" s="98" t="s">
        <v>2485</v>
      </c>
      <c r="D735" s="98" t="s">
        <v>1720</v>
      </c>
      <c r="E735" s="98" t="s">
        <v>835</v>
      </c>
      <c r="F735" s="98" t="n">
        <v>0</v>
      </c>
      <c r="G735" s="98" t="s">
        <v>2472</v>
      </c>
      <c r="H735" s="98" t="s">
        <v>2250</v>
      </c>
      <c r="I735" s="98" t="s">
        <v>1704</v>
      </c>
      <c r="J735" s="98" t="s">
        <v>1705</v>
      </c>
      <c r="K735" s="98" t="s">
        <v>1706</v>
      </c>
    </row>
    <row r="736" customFormat="false" ht="64" hidden="false" customHeight="true" outlineLevel="0" collapsed="false">
      <c r="C736" s="98" t="s">
        <v>2486</v>
      </c>
      <c r="D736" s="98" t="s">
        <v>1722</v>
      </c>
      <c r="E736" s="98" t="s">
        <v>835</v>
      </c>
      <c r="F736" s="98" t="n">
        <v>0</v>
      </c>
      <c r="G736" s="98" t="s">
        <v>2472</v>
      </c>
      <c r="H736" s="98" t="s">
        <v>2250</v>
      </c>
      <c r="I736" s="98" t="s">
        <v>1704</v>
      </c>
      <c r="J736" s="98" t="s">
        <v>1705</v>
      </c>
      <c r="K736" s="98" t="s">
        <v>1706</v>
      </c>
    </row>
    <row r="737" customFormat="false" ht="64" hidden="false" customHeight="true" outlineLevel="0" collapsed="false">
      <c r="C737" s="98" t="s">
        <v>2487</v>
      </c>
      <c r="D737" s="98" t="s">
        <v>1724</v>
      </c>
      <c r="E737" s="98" t="s">
        <v>835</v>
      </c>
      <c r="F737" s="98" t="n">
        <v>0</v>
      </c>
      <c r="G737" s="98" t="s">
        <v>2472</v>
      </c>
      <c r="H737" s="98" t="s">
        <v>2250</v>
      </c>
      <c r="I737" s="98" t="s">
        <v>1704</v>
      </c>
      <c r="J737" s="98" t="s">
        <v>1705</v>
      </c>
      <c r="K737" s="98" t="s">
        <v>1706</v>
      </c>
    </row>
    <row r="738" customFormat="false" ht="64" hidden="false" customHeight="true" outlineLevel="0" collapsed="false">
      <c r="C738" s="98" t="s">
        <v>2488</v>
      </c>
      <c r="D738" s="98" t="s">
        <v>1726</v>
      </c>
      <c r="E738" s="98" t="s">
        <v>835</v>
      </c>
      <c r="F738" s="98" t="n">
        <v>0</v>
      </c>
      <c r="G738" s="98" t="s">
        <v>2472</v>
      </c>
      <c r="H738" s="98" t="s">
        <v>2250</v>
      </c>
      <c r="I738" s="98" t="s">
        <v>1704</v>
      </c>
      <c r="J738" s="98" t="s">
        <v>1705</v>
      </c>
      <c r="K738" s="98" t="s">
        <v>1706</v>
      </c>
    </row>
    <row r="739" customFormat="false" ht="64" hidden="false" customHeight="true" outlineLevel="0" collapsed="false">
      <c r="C739" s="98" t="s">
        <v>2489</v>
      </c>
      <c r="D739" s="98" t="s">
        <v>1728</v>
      </c>
      <c r="E739" s="98" t="s">
        <v>835</v>
      </c>
      <c r="F739" s="98" t="n">
        <v>0.9</v>
      </c>
      <c r="G739" s="98" t="s">
        <v>2472</v>
      </c>
      <c r="H739" s="98" t="s">
        <v>2250</v>
      </c>
      <c r="I739" s="98" t="s">
        <v>1704</v>
      </c>
      <c r="J739" s="98" t="s">
        <v>1705</v>
      </c>
      <c r="K739" s="98" t="s">
        <v>1706</v>
      </c>
    </row>
    <row r="740" customFormat="false" ht="64" hidden="false" customHeight="true" outlineLevel="0" collapsed="false">
      <c r="C740" s="98" t="s">
        <v>2490</v>
      </c>
      <c r="D740" s="98" t="s">
        <v>1730</v>
      </c>
      <c r="E740" s="98" t="s">
        <v>835</v>
      </c>
      <c r="F740" s="98" t="n">
        <v>0</v>
      </c>
      <c r="G740" s="98" t="s">
        <v>2472</v>
      </c>
      <c r="H740" s="98" t="s">
        <v>2250</v>
      </c>
      <c r="I740" s="98" t="s">
        <v>1704</v>
      </c>
      <c r="J740" s="98" t="s">
        <v>1705</v>
      </c>
      <c r="K740" s="98" t="s">
        <v>1706</v>
      </c>
    </row>
    <row r="741" customFormat="false" ht="64" hidden="false" customHeight="true" outlineLevel="0" collapsed="false">
      <c r="C741" s="98" t="s">
        <v>2491</v>
      </c>
      <c r="D741" s="98" t="s">
        <v>1732</v>
      </c>
      <c r="E741" s="98" t="s">
        <v>835</v>
      </c>
      <c r="F741" s="98" t="n">
        <v>0</v>
      </c>
      <c r="G741" s="98" t="s">
        <v>2472</v>
      </c>
      <c r="H741" s="98" t="s">
        <v>2250</v>
      </c>
      <c r="I741" s="98" t="s">
        <v>1704</v>
      </c>
      <c r="J741" s="98" t="s">
        <v>1705</v>
      </c>
      <c r="K741" s="98" t="s">
        <v>1706</v>
      </c>
    </row>
    <row r="742" customFormat="false" ht="64" hidden="false" customHeight="true" outlineLevel="0" collapsed="false">
      <c r="C742" s="98" t="s">
        <v>2492</v>
      </c>
      <c r="D742" s="98" t="s">
        <v>1734</v>
      </c>
      <c r="E742" s="98" t="s">
        <v>835</v>
      </c>
      <c r="F742" s="98" t="n">
        <v>0</v>
      </c>
      <c r="G742" s="98" t="s">
        <v>2472</v>
      </c>
      <c r="H742" s="98" t="s">
        <v>2250</v>
      </c>
      <c r="I742" s="98" t="s">
        <v>1704</v>
      </c>
      <c r="J742" s="98" t="s">
        <v>1705</v>
      </c>
      <c r="K742" s="98" t="s">
        <v>1706</v>
      </c>
    </row>
    <row r="743" customFormat="false" ht="64" hidden="false" customHeight="true" outlineLevel="0" collapsed="false">
      <c r="C743" s="98" t="s">
        <v>2493</v>
      </c>
      <c r="D743" s="98" t="s">
        <v>1736</v>
      </c>
      <c r="E743" s="98" t="s">
        <v>835</v>
      </c>
      <c r="F743" s="98" t="n">
        <v>0</v>
      </c>
      <c r="G743" s="98" t="s">
        <v>2472</v>
      </c>
      <c r="H743" s="98" t="s">
        <v>2250</v>
      </c>
      <c r="I743" s="98" t="s">
        <v>1704</v>
      </c>
      <c r="J743" s="98" t="s">
        <v>1705</v>
      </c>
      <c r="K743" s="98" t="s">
        <v>1706</v>
      </c>
    </row>
    <row r="744" customFormat="false" ht="64" hidden="false" customHeight="true" outlineLevel="0" collapsed="false">
      <c r="C744" s="98" t="s">
        <v>2494</v>
      </c>
      <c r="D744" s="98" t="s">
        <v>1738</v>
      </c>
      <c r="E744" s="98" t="s">
        <v>835</v>
      </c>
      <c r="F744" s="98" t="n">
        <v>0</v>
      </c>
      <c r="G744" s="98" t="s">
        <v>2472</v>
      </c>
      <c r="H744" s="98" t="s">
        <v>2250</v>
      </c>
      <c r="I744" s="98" t="s">
        <v>1704</v>
      </c>
      <c r="J744" s="98" t="s">
        <v>1705</v>
      </c>
      <c r="K744" s="98" t="s">
        <v>1706</v>
      </c>
    </row>
    <row r="745" customFormat="false" ht="64" hidden="false" customHeight="true" outlineLevel="0" collapsed="false">
      <c r="C745" s="98" t="s">
        <v>2495</v>
      </c>
      <c r="D745" s="98" t="s">
        <v>1740</v>
      </c>
      <c r="E745" s="98" t="s">
        <v>835</v>
      </c>
      <c r="F745" s="98" t="n">
        <v>0</v>
      </c>
      <c r="G745" s="98" t="s">
        <v>2472</v>
      </c>
      <c r="H745" s="98" t="s">
        <v>2250</v>
      </c>
      <c r="I745" s="98" t="s">
        <v>1704</v>
      </c>
      <c r="J745" s="98" t="s">
        <v>1705</v>
      </c>
      <c r="K745" s="98" t="s">
        <v>1706</v>
      </c>
    </row>
    <row r="746" customFormat="false" ht="64" hidden="false" customHeight="true" outlineLevel="0" collapsed="false">
      <c r="C746" s="98" t="s">
        <v>2496</v>
      </c>
      <c r="D746" s="98" t="s">
        <v>1742</v>
      </c>
      <c r="E746" s="98" t="s">
        <v>835</v>
      </c>
      <c r="F746" s="98" t="n">
        <v>0</v>
      </c>
      <c r="G746" s="98" t="s">
        <v>2472</v>
      </c>
      <c r="H746" s="98" t="s">
        <v>2250</v>
      </c>
      <c r="I746" s="98" t="s">
        <v>1704</v>
      </c>
      <c r="J746" s="98" t="s">
        <v>1705</v>
      </c>
      <c r="K746" s="98" t="s">
        <v>1706</v>
      </c>
    </row>
    <row r="747" customFormat="false" ht="64" hidden="false" customHeight="true" outlineLevel="0" collapsed="false">
      <c r="C747" s="98" t="s">
        <v>2497</v>
      </c>
      <c r="D747" s="98" t="s">
        <v>1744</v>
      </c>
      <c r="E747" s="98" t="s">
        <v>835</v>
      </c>
      <c r="F747" s="98" t="n">
        <v>0</v>
      </c>
      <c r="G747" s="98" t="s">
        <v>2472</v>
      </c>
      <c r="H747" s="98" t="s">
        <v>2250</v>
      </c>
      <c r="I747" s="98" t="s">
        <v>1704</v>
      </c>
      <c r="J747" s="98" t="s">
        <v>1705</v>
      </c>
      <c r="K747" s="98" t="s">
        <v>1706</v>
      </c>
    </row>
    <row r="748" customFormat="false" ht="64" hidden="false" customHeight="true" outlineLevel="0" collapsed="false">
      <c r="C748" s="98" t="s">
        <v>2498</v>
      </c>
      <c r="D748" s="98" t="s">
        <v>1746</v>
      </c>
      <c r="E748" s="98" t="s">
        <v>835</v>
      </c>
      <c r="F748" s="98" t="n">
        <v>0</v>
      </c>
      <c r="G748" s="98" t="s">
        <v>2472</v>
      </c>
      <c r="H748" s="98" t="s">
        <v>2250</v>
      </c>
      <c r="I748" s="98" t="s">
        <v>1704</v>
      </c>
      <c r="J748" s="98" t="s">
        <v>1705</v>
      </c>
      <c r="K748" s="98" t="s">
        <v>1706</v>
      </c>
    </row>
    <row r="749" customFormat="false" ht="64" hidden="false" customHeight="true" outlineLevel="0" collapsed="false">
      <c r="C749" s="98" t="s">
        <v>2499</v>
      </c>
      <c r="D749" s="98" t="s">
        <v>1748</v>
      </c>
      <c r="E749" s="98" t="s">
        <v>835</v>
      </c>
      <c r="F749" s="98" t="n">
        <v>0</v>
      </c>
      <c r="G749" s="98" t="s">
        <v>2472</v>
      </c>
      <c r="H749" s="98" t="s">
        <v>2250</v>
      </c>
      <c r="I749" s="98" t="s">
        <v>1704</v>
      </c>
      <c r="J749" s="98" t="s">
        <v>1705</v>
      </c>
      <c r="K749" s="98" t="s">
        <v>1706</v>
      </c>
    </row>
    <row r="750" customFormat="false" ht="64" hidden="false" customHeight="true" outlineLevel="0" collapsed="false">
      <c r="C750" s="98" t="s">
        <v>2500</v>
      </c>
      <c r="D750" s="98" t="s">
        <v>1750</v>
      </c>
      <c r="E750" s="98" t="s">
        <v>835</v>
      </c>
      <c r="F750" s="98" t="n">
        <v>0</v>
      </c>
      <c r="G750" s="98" t="s">
        <v>2472</v>
      </c>
      <c r="H750" s="98" t="s">
        <v>2250</v>
      </c>
      <c r="I750" s="98" t="s">
        <v>1704</v>
      </c>
      <c r="J750" s="98" t="s">
        <v>1705</v>
      </c>
      <c r="K750" s="98" t="s">
        <v>1706</v>
      </c>
    </row>
    <row r="751" customFormat="false" ht="64" hidden="false" customHeight="true" outlineLevel="0" collapsed="false">
      <c r="C751" s="98" t="s">
        <v>2501</v>
      </c>
      <c r="D751" s="98" t="s">
        <v>1752</v>
      </c>
      <c r="E751" s="98" t="s">
        <v>835</v>
      </c>
      <c r="F751" s="98" t="n">
        <v>0.9</v>
      </c>
      <c r="G751" s="98" t="s">
        <v>2472</v>
      </c>
      <c r="H751" s="98" t="s">
        <v>2250</v>
      </c>
      <c r="I751" s="98" t="s">
        <v>1704</v>
      </c>
      <c r="J751" s="98" t="s">
        <v>1705</v>
      </c>
      <c r="K751" s="98" t="s">
        <v>1706</v>
      </c>
    </row>
    <row r="752" customFormat="false" ht="64" hidden="false" customHeight="true" outlineLevel="0" collapsed="false">
      <c r="C752" s="98" t="s">
        <v>2502</v>
      </c>
      <c r="D752" s="98" t="s">
        <v>1754</v>
      </c>
      <c r="E752" s="98" t="s">
        <v>835</v>
      </c>
      <c r="F752" s="98" t="n">
        <v>0</v>
      </c>
      <c r="G752" s="98" t="s">
        <v>2472</v>
      </c>
      <c r="H752" s="98" t="s">
        <v>2250</v>
      </c>
      <c r="I752" s="98" t="s">
        <v>1704</v>
      </c>
      <c r="J752" s="98" t="s">
        <v>1705</v>
      </c>
      <c r="K752" s="98" t="s">
        <v>1706</v>
      </c>
    </row>
    <row r="753" customFormat="false" ht="64" hidden="false" customHeight="true" outlineLevel="0" collapsed="false">
      <c r="C753" s="98" t="s">
        <v>2503</v>
      </c>
      <c r="D753" s="98" t="s">
        <v>1756</v>
      </c>
      <c r="E753" s="98" t="s">
        <v>835</v>
      </c>
      <c r="F753" s="98" t="n">
        <v>0</v>
      </c>
      <c r="G753" s="98" t="s">
        <v>2472</v>
      </c>
      <c r="H753" s="98" t="s">
        <v>2250</v>
      </c>
      <c r="I753" s="98" t="s">
        <v>1704</v>
      </c>
      <c r="J753" s="98" t="s">
        <v>1705</v>
      </c>
      <c r="K753" s="98" t="s">
        <v>1706</v>
      </c>
    </row>
    <row r="754" customFormat="false" ht="64" hidden="false" customHeight="true" outlineLevel="0" collapsed="false">
      <c r="C754" s="98" t="s">
        <v>2504</v>
      </c>
      <c r="D754" s="98" t="s">
        <v>1758</v>
      </c>
      <c r="E754" s="98" t="s">
        <v>835</v>
      </c>
      <c r="F754" s="98" t="n">
        <v>0</v>
      </c>
      <c r="G754" s="98" t="s">
        <v>2472</v>
      </c>
      <c r="H754" s="98" t="s">
        <v>2250</v>
      </c>
      <c r="I754" s="98" t="s">
        <v>1704</v>
      </c>
      <c r="J754" s="98" t="s">
        <v>1705</v>
      </c>
      <c r="K754" s="98" t="s">
        <v>1706</v>
      </c>
    </row>
    <row r="755" customFormat="false" ht="64" hidden="false" customHeight="true" outlineLevel="0" collapsed="false">
      <c r="C755" s="98" t="s">
        <v>2505</v>
      </c>
      <c r="D755" s="98" t="s">
        <v>1760</v>
      </c>
      <c r="E755" s="98" t="s">
        <v>835</v>
      </c>
      <c r="F755" s="98" t="n">
        <v>0</v>
      </c>
      <c r="G755" s="98" t="s">
        <v>2472</v>
      </c>
      <c r="H755" s="98" t="s">
        <v>2250</v>
      </c>
      <c r="I755" s="98" t="s">
        <v>1704</v>
      </c>
      <c r="J755" s="98" t="s">
        <v>1705</v>
      </c>
      <c r="K755" s="98" t="s">
        <v>1706</v>
      </c>
    </row>
    <row r="756" customFormat="false" ht="64" hidden="false" customHeight="true" outlineLevel="0" collapsed="false">
      <c r="C756" s="98" t="s">
        <v>2506</v>
      </c>
      <c r="D756" s="98" t="s">
        <v>1762</v>
      </c>
      <c r="E756" s="98" t="s">
        <v>835</v>
      </c>
      <c r="F756" s="98" t="n">
        <v>0</v>
      </c>
      <c r="G756" s="98" t="s">
        <v>2472</v>
      </c>
      <c r="H756" s="98" t="s">
        <v>2250</v>
      </c>
      <c r="I756" s="98" t="s">
        <v>1704</v>
      </c>
      <c r="J756" s="98" t="s">
        <v>1705</v>
      </c>
      <c r="K756" s="98" t="s">
        <v>1706</v>
      </c>
    </row>
    <row r="757" customFormat="false" ht="64" hidden="false" customHeight="true" outlineLevel="0" collapsed="false">
      <c r="C757" s="98" t="s">
        <v>2507</v>
      </c>
      <c r="D757" s="98" t="s">
        <v>1764</v>
      </c>
      <c r="E757" s="98" t="s">
        <v>835</v>
      </c>
      <c r="F757" s="98" t="n">
        <v>0</v>
      </c>
      <c r="G757" s="98" t="s">
        <v>2472</v>
      </c>
      <c r="H757" s="98" t="s">
        <v>2250</v>
      </c>
      <c r="I757" s="98" t="s">
        <v>1704</v>
      </c>
      <c r="J757" s="98" t="s">
        <v>1705</v>
      </c>
      <c r="K757" s="98" t="s">
        <v>1706</v>
      </c>
    </row>
    <row r="758" customFormat="false" ht="64" hidden="false" customHeight="true" outlineLevel="0" collapsed="false">
      <c r="C758" s="98" t="s">
        <v>2508</v>
      </c>
      <c r="D758" s="98" t="s">
        <v>1829</v>
      </c>
      <c r="E758" s="98" t="s">
        <v>811</v>
      </c>
      <c r="F758" s="98" t="n">
        <v>0</v>
      </c>
      <c r="G758" s="98" t="s">
        <v>2509</v>
      </c>
      <c r="H758" s="98" t="s">
        <v>1703</v>
      </c>
      <c r="I758" s="98" t="s">
        <v>1704</v>
      </c>
      <c r="J758" s="98" t="s">
        <v>1705</v>
      </c>
      <c r="K758" s="98" t="s">
        <v>1706</v>
      </c>
    </row>
    <row r="759" customFormat="false" ht="64" hidden="false" customHeight="true" outlineLevel="0" collapsed="false">
      <c r="C759" s="98" t="s">
        <v>2510</v>
      </c>
      <c r="D759" s="98" t="s">
        <v>1833</v>
      </c>
      <c r="E759" s="98" t="s">
        <v>811</v>
      </c>
      <c r="F759" s="98" t="n">
        <v>0</v>
      </c>
      <c r="G759" s="98" t="s">
        <v>2509</v>
      </c>
      <c r="H759" s="98" t="s">
        <v>1703</v>
      </c>
      <c r="I759" s="98" t="s">
        <v>1704</v>
      </c>
      <c r="J759" s="98" t="s">
        <v>1705</v>
      </c>
      <c r="K759" s="98" t="s">
        <v>1706</v>
      </c>
    </row>
    <row r="760" customFormat="false" ht="64" hidden="false" customHeight="true" outlineLevel="0" collapsed="false">
      <c r="C760" s="98" t="s">
        <v>2511</v>
      </c>
      <c r="D760" s="98" t="s">
        <v>1835</v>
      </c>
      <c r="E760" s="98" t="s">
        <v>811</v>
      </c>
      <c r="F760" s="98" t="n">
        <v>0</v>
      </c>
      <c r="G760" s="98" t="s">
        <v>2509</v>
      </c>
      <c r="H760" s="98" t="s">
        <v>1703</v>
      </c>
      <c r="I760" s="98" t="s">
        <v>1704</v>
      </c>
      <c r="J760" s="98" t="s">
        <v>1705</v>
      </c>
      <c r="K760" s="98" t="s">
        <v>1706</v>
      </c>
    </row>
    <row r="761" customFormat="false" ht="64" hidden="false" customHeight="true" outlineLevel="0" collapsed="false">
      <c r="C761" s="98" t="s">
        <v>2512</v>
      </c>
      <c r="D761" s="98" t="s">
        <v>1044</v>
      </c>
      <c r="E761" s="98" t="s">
        <v>811</v>
      </c>
      <c r="F761" s="98" t="n">
        <v>0</v>
      </c>
      <c r="G761" s="98" t="s">
        <v>2509</v>
      </c>
      <c r="H761" s="98" t="s">
        <v>1703</v>
      </c>
      <c r="I761" s="98" t="s">
        <v>1704</v>
      </c>
      <c r="J761" s="98" t="s">
        <v>1705</v>
      </c>
      <c r="K761" s="98" t="s">
        <v>1706</v>
      </c>
    </row>
    <row r="762" customFormat="false" ht="64" hidden="false" customHeight="true" outlineLevel="0" collapsed="false">
      <c r="C762" s="98" t="s">
        <v>2513</v>
      </c>
      <c r="D762" s="98" t="s">
        <v>1838</v>
      </c>
      <c r="E762" s="98" t="s">
        <v>811</v>
      </c>
      <c r="F762" s="98" t="n">
        <v>0</v>
      </c>
      <c r="G762" s="98" t="s">
        <v>2509</v>
      </c>
      <c r="H762" s="98" t="s">
        <v>1703</v>
      </c>
      <c r="I762" s="98" t="s">
        <v>1704</v>
      </c>
      <c r="J762" s="98" t="s">
        <v>1705</v>
      </c>
      <c r="K762" s="98" t="s">
        <v>1706</v>
      </c>
    </row>
    <row r="763" customFormat="false" ht="64" hidden="false" customHeight="true" outlineLevel="0" collapsed="false">
      <c r="C763" s="98" t="s">
        <v>2514</v>
      </c>
      <c r="D763" s="98" t="s">
        <v>1840</v>
      </c>
      <c r="E763" s="98" t="s">
        <v>811</v>
      </c>
      <c r="F763" s="98" t="n">
        <v>0</v>
      </c>
      <c r="G763" s="98" t="s">
        <v>2509</v>
      </c>
      <c r="H763" s="98" t="s">
        <v>1703</v>
      </c>
      <c r="I763" s="98" t="s">
        <v>1704</v>
      </c>
      <c r="J763" s="98" t="s">
        <v>1705</v>
      </c>
      <c r="K763" s="98" t="s">
        <v>1706</v>
      </c>
    </row>
    <row r="764" customFormat="false" ht="64" hidden="false" customHeight="true" outlineLevel="0" collapsed="false">
      <c r="C764" s="98" t="s">
        <v>2515</v>
      </c>
      <c r="D764" s="98" t="s">
        <v>1700</v>
      </c>
      <c r="E764" s="98" t="s">
        <v>811</v>
      </c>
      <c r="F764" s="98" t="n">
        <v>0</v>
      </c>
      <c r="G764" s="98" t="s">
        <v>2509</v>
      </c>
      <c r="H764" s="98" t="s">
        <v>1703</v>
      </c>
      <c r="I764" s="98" t="s">
        <v>1704</v>
      </c>
      <c r="J764" s="98" t="s">
        <v>1705</v>
      </c>
      <c r="K764" s="98" t="s">
        <v>1706</v>
      </c>
    </row>
    <row r="765" customFormat="false" ht="64" hidden="false" customHeight="true" outlineLevel="0" collapsed="false">
      <c r="C765" s="98" t="s">
        <v>2516</v>
      </c>
      <c r="D765" s="98" t="s">
        <v>1708</v>
      </c>
      <c r="E765" s="98" t="s">
        <v>811</v>
      </c>
      <c r="F765" s="98" t="n">
        <v>0</v>
      </c>
      <c r="G765" s="98" t="s">
        <v>2509</v>
      </c>
      <c r="H765" s="98" t="s">
        <v>1703</v>
      </c>
      <c r="I765" s="98" t="s">
        <v>1704</v>
      </c>
      <c r="J765" s="98" t="s">
        <v>1705</v>
      </c>
      <c r="K765" s="98" t="s">
        <v>1706</v>
      </c>
    </row>
    <row r="766" customFormat="false" ht="64" hidden="false" customHeight="true" outlineLevel="0" collapsed="false">
      <c r="C766" s="98" t="s">
        <v>2517</v>
      </c>
      <c r="D766" s="98" t="s">
        <v>1710</v>
      </c>
      <c r="E766" s="98" t="s">
        <v>811</v>
      </c>
      <c r="F766" s="98" t="n">
        <v>0</v>
      </c>
      <c r="G766" s="98" t="s">
        <v>2509</v>
      </c>
      <c r="H766" s="98" t="s">
        <v>1703</v>
      </c>
      <c r="I766" s="98" t="s">
        <v>1704</v>
      </c>
      <c r="J766" s="98" t="s">
        <v>1705</v>
      </c>
      <c r="K766" s="98" t="s">
        <v>1706</v>
      </c>
    </row>
    <row r="767" customFormat="false" ht="64" hidden="false" customHeight="true" outlineLevel="0" collapsed="false">
      <c r="C767" s="98" t="s">
        <v>2518</v>
      </c>
      <c r="D767" s="98" t="s">
        <v>1712</v>
      </c>
      <c r="E767" s="98" t="s">
        <v>811</v>
      </c>
      <c r="F767" s="98" t="n">
        <v>0</v>
      </c>
      <c r="G767" s="98" t="s">
        <v>2509</v>
      </c>
      <c r="H767" s="98" t="s">
        <v>1703</v>
      </c>
      <c r="I767" s="98" t="s">
        <v>1704</v>
      </c>
      <c r="J767" s="98" t="s">
        <v>1705</v>
      </c>
      <c r="K767" s="98" t="s">
        <v>1706</v>
      </c>
    </row>
    <row r="768" customFormat="false" ht="64" hidden="false" customHeight="true" outlineLevel="0" collapsed="false">
      <c r="C768" s="98" t="s">
        <v>2519</v>
      </c>
      <c r="D768" s="98" t="s">
        <v>1714</v>
      </c>
      <c r="E768" s="98" t="s">
        <v>811</v>
      </c>
      <c r="F768" s="98" t="n">
        <v>0</v>
      </c>
      <c r="G768" s="98" t="s">
        <v>2509</v>
      </c>
      <c r="H768" s="98" t="s">
        <v>1703</v>
      </c>
      <c r="I768" s="98" t="s">
        <v>1704</v>
      </c>
      <c r="J768" s="98" t="s">
        <v>1705</v>
      </c>
      <c r="K768" s="98" t="s">
        <v>1706</v>
      </c>
    </row>
    <row r="769" customFormat="false" ht="64" hidden="false" customHeight="true" outlineLevel="0" collapsed="false">
      <c r="C769" s="98" t="s">
        <v>2520</v>
      </c>
      <c r="D769" s="98" t="s">
        <v>1716</v>
      </c>
      <c r="E769" s="98" t="s">
        <v>811</v>
      </c>
      <c r="F769" s="98" t="n">
        <v>0</v>
      </c>
      <c r="G769" s="98" t="s">
        <v>2509</v>
      </c>
      <c r="H769" s="98" t="s">
        <v>1703</v>
      </c>
      <c r="I769" s="98" t="s">
        <v>1704</v>
      </c>
      <c r="J769" s="98" t="s">
        <v>1705</v>
      </c>
      <c r="K769" s="98" t="s">
        <v>1706</v>
      </c>
    </row>
    <row r="770" customFormat="false" ht="64" hidden="false" customHeight="true" outlineLevel="0" collapsed="false">
      <c r="C770" s="98" t="s">
        <v>2521</v>
      </c>
      <c r="D770" s="98" t="s">
        <v>1718</v>
      </c>
      <c r="E770" s="98" t="s">
        <v>811</v>
      </c>
      <c r="F770" s="98" t="n">
        <v>0</v>
      </c>
      <c r="G770" s="98" t="s">
        <v>2509</v>
      </c>
      <c r="H770" s="98" t="s">
        <v>1703</v>
      </c>
      <c r="I770" s="98" t="s">
        <v>1704</v>
      </c>
      <c r="J770" s="98" t="s">
        <v>1705</v>
      </c>
      <c r="K770" s="98" t="s">
        <v>1706</v>
      </c>
    </row>
    <row r="771" customFormat="false" ht="64" hidden="false" customHeight="true" outlineLevel="0" collapsed="false">
      <c r="C771" s="98" t="s">
        <v>2522</v>
      </c>
      <c r="D771" s="98" t="s">
        <v>1720</v>
      </c>
      <c r="E771" s="98" t="s">
        <v>811</v>
      </c>
      <c r="F771" s="98" t="n">
        <v>0</v>
      </c>
      <c r="G771" s="98" t="s">
        <v>2509</v>
      </c>
      <c r="H771" s="98" t="s">
        <v>1703</v>
      </c>
      <c r="I771" s="98" t="s">
        <v>1704</v>
      </c>
      <c r="J771" s="98" t="s">
        <v>1705</v>
      </c>
      <c r="K771" s="98" t="s">
        <v>1706</v>
      </c>
    </row>
    <row r="772" customFormat="false" ht="64" hidden="false" customHeight="true" outlineLevel="0" collapsed="false">
      <c r="C772" s="98" t="s">
        <v>2523</v>
      </c>
      <c r="D772" s="98" t="s">
        <v>1722</v>
      </c>
      <c r="E772" s="98" t="s">
        <v>811</v>
      </c>
      <c r="F772" s="98" t="n">
        <v>0</v>
      </c>
      <c r="G772" s="98" t="s">
        <v>2509</v>
      </c>
      <c r="H772" s="98" t="s">
        <v>1703</v>
      </c>
      <c r="I772" s="98" t="s">
        <v>1704</v>
      </c>
      <c r="J772" s="98" t="s">
        <v>1705</v>
      </c>
      <c r="K772" s="98" t="s">
        <v>1706</v>
      </c>
    </row>
    <row r="773" customFormat="false" ht="64" hidden="false" customHeight="true" outlineLevel="0" collapsed="false">
      <c r="C773" s="98" t="s">
        <v>2524</v>
      </c>
      <c r="D773" s="98" t="s">
        <v>1724</v>
      </c>
      <c r="E773" s="98" t="s">
        <v>811</v>
      </c>
      <c r="F773" s="98" t="n">
        <v>0</v>
      </c>
      <c r="G773" s="98" t="s">
        <v>2509</v>
      </c>
      <c r="H773" s="98" t="s">
        <v>1703</v>
      </c>
      <c r="I773" s="98" t="s">
        <v>1704</v>
      </c>
      <c r="J773" s="98" t="s">
        <v>1705</v>
      </c>
      <c r="K773" s="98" t="s">
        <v>1706</v>
      </c>
    </row>
    <row r="774" customFormat="false" ht="64" hidden="false" customHeight="true" outlineLevel="0" collapsed="false">
      <c r="C774" s="98" t="s">
        <v>2525</v>
      </c>
      <c r="D774" s="98" t="s">
        <v>1726</v>
      </c>
      <c r="E774" s="98" t="s">
        <v>811</v>
      </c>
      <c r="F774" s="98" t="n">
        <v>0</v>
      </c>
      <c r="G774" s="98" t="s">
        <v>2509</v>
      </c>
      <c r="H774" s="98" t="s">
        <v>1703</v>
      </c>
      <c r="I774" s="98" t="s">
        <v>1704</v>
      </c>
      <c r="J774" s="98" t="s">
        <v>1705</v>
      </c>
      <c r="K774" s="98" t="s">
        <v>1706</v>
      </c>
    </row>
    <row r="775" customFormat="false" ht="64" hidden="false" customHeight="true" outlineLevel="0" collapsed="false">
      <c r="C775" s="98" t="s">
        <v>2526</v>
      </c>
      <c r="D775" s="98" t="s">
        <v>1728</v>
      </c>
      <c r="E775" s="98" t="s">
        <v>811</v>
      </c>
      <c r="F775" s="98" t="n">
        <v>0</v>
      </c>
      <c r="G775" s="98" t="s">
        <v>2509</v>
      </c>
      <c r="H775" s="98" t="s">
        <v>1703</v>
      </c>
      <c r="I775" s="98" t="s">
        <v>1704</v>
      </c>
      <c r="J775" s="98" t="s">
        <v>1705</v>
      </c>
      <c r="K775" s="98" t="s">
        <v>1706</v>
      </c>
    </row>
    <row r="776" customFormat="false" ht="64" hidden="false" customHeight="true" outlineLevel="0" collapsed="false">
      <c r="C776" s="98" t="s">
        <v>2527</v>
      </c>
      <c r="D776" s="98" t="s">
        <v>1730</v>
      </c>
      <c r="E776" s="98" t="s">
        <v>811</v>
      </c>
      <c r="F776" s="98" t="n">
        <v>0</v>
      </c>
      <c r="G776" s="98" t="s">
        <v>2509</v>
      </c>
      <c r="H776" s="98" t="s">
        <v>1703</v>
      </c>
      <c r="I776" s="98" t="s">
        <v>1704</v>
      </c>
      <c r="J776" s="98" t="s">
        <v>1705</v>
      </c>
      <c r="K776" s="98" t="s">
        <v>1706</v>
      </c>
    </row>
    <row r="777" customFormat="false" ht="64" hidden="false" customHeight="true" outlineLevel="0" collapsed="false">
      <c r="C777" s="98" t="s">
        <v>2528</v>
      </c>
      <c r="D777" s="98" t="s">
        <v>1732</v>
      </c>
      <c r="E777" s="98" t="s">
        <v>811</v>
      </c>
      <c r="F777" s="98" t="n">
        <v>0</v>
      </c>
      <c r="G777" s="98" t="s">
        <v>2509</v>
      </c>
      <c r="H777" s="98" t="s">
        <v>1703</v>
      </c>
      <c r="I777" s="98" t="s">
        <v>1704</v>
      </c>
      <c r="J777" s="98" t="s">
        <v>1705</v>
      </c>
      <c r="K777" s="98" t="s">
        <v>1706</v>
      </c>
    </row>
    <row r="778" customFormat="false" ht="64" hidden="false" customHeight="true" outlineLevel="0" collapsed="false">
      <c r="C778" s="98" t="s">
        <v>2529</v>
      </c>
      <c r="D778" s="98" t="s">
        <v>1734</v>
      </c>
      <c r="E778" s="98" t="s">
        <v>811</v>
      </c>
      <c r="F778" s="98" t="n">
        <v>0</v>
      </c>
      <c r="G778" s="98" t="s">
        <v>2509</v>
      </c>
      <c r="H778" s="98" t="s">
        <v>1703</v>
      </c>
      <c r="I778" s="98" t="s">
        <v>1704</v>
      </c>
      <c r="J778" s="98" t="s">
        <v>1705</v>
      </c>
      <c r="K778" s="98" t="s">
        <v>1706</v>
      </c>
    </row>
    <row r="779" customFormat="false" ht="64" hidden="false" customHeight="true" outlineLevel="0" collapsed="false">
      <c r="C779" s="98" t="s">
        <v>2530</v>
      </c>
      <c r="D779" s="98" t="s">
        <v>1736</v>
      </c>
      <c r="E779" s="98" t="s">
        <v>811</v>
      </c>
      <c r="F779" s="98" t="n">
        <v>0</v>
      </c>
      <c r="G779" s="98" t="s">
        <v>2509</v>
      </c>
      <c r="H779" s="98" t="s">
        <v>1703</v>
      </c>
      <c r="I779" s="98" t="s">
        <v>1704</v>
      </c>
      <c r="J779" s="98" t="s">
        <v>1705</v>
      </c>
      <c r="K779" s="98" t="s">
        <v>1706</v>
      </c>
    </row>
    <row r="780" customFormat="false" ht="64" hidden="false" customHeight="true" outlineLevel="0" collapsed="false">
      <c r="C780" s="98" t="s">
        <v>2531</v>
      </c>
      <c r="D780" s="98" t="s">
        <v>1738</v>
      </c>
      <c r="E780" s="98" t="s">
        <v>811</v>
      </c>
      <c r="F780" s="98" t="n">
        <v>0</v>
      </c>
      <c r="G780" s="98" t="s">
        <v>2509</v>
      </c>
      <c r="H780" s="98" t="s">
        <v>1703</v>
      </c>
      <c r="I780" s="98" t="s">
        <v>1704</v>
      </c>
      <c r="J780" s="98" t="s">
        <v>1705</v>
      </c>
      <c r="K780" s="98" t="s">
        <v>1706</v>
      </c>
    </row>
    <row r="781" customFormat="false" ht="64" hidden="false" customHeight="true" outlineLevel="0" collapsed="false">
      <c r="C781" s="98" t="s">
        <v>2532</v>
      </c>
      <c r="D781" s="98" t="s">
        <v>1740</v>
      </c>
      <c r="E781" s="98" t="s">
        <v>811</v>
      </c>
      <c r="F781" s="98" t="n">
        <v>0</v>
      </c>
      <c r="G781" s="98" t="s">
        <v>2509</v>
      </c>
      <c r="H781" s="98" t="s">
        <v>1703</v>
      </c>
      <c r="I781" s="98" t="s">
        <v>1704</v>
      </c>
      <c r="J781" s="98" t="s">
        <v>1705</v>
      </c>
      <c r="K781" s="98" t="s">
        <v>1706</v>
      </c>
    </row>
    <row r="782" customFormat="false" ht="64" hidden="false" customHeight="true" outlineLevel="0" collapsed="false">
      <c r="C782" s="98" t="s">
        <v>2533</v>
      </c>
      <c r="D782" s="98" t="s">
        <v>1742</v>
      </c>
      <c r="E782" s="98" t="s">
        <v>811</v>
      </c>
      <c r="F782" s="98" t="n">
        <v>0</v>
      </c>
      <c r="G782" s="98" t="s">
        <v>2509</v>
      </c>
      <c r="H782" s="98" t="s">
        <v>1703</v>
      </c>
      <c r="I782" s="98" t="s">
        <v>1704</v>
      </c>
      <c r="J782" s="98" t="s">
        <v>1705</v>
      </c>
      <c r="K782" s="98" t="s">
        <v>1706</v>
      </c>
    </row>
    <row r="783" customFormat="false" ht="64" hidden="false" customHeight="true" outlineLevel="0" collapsed="false">
      <c r="C783" s="98" t="s">
        <v>2534</v>
      </c>
      <c r="D783" s="98" t="s">
        <v>1744</v>
      </c>
      <c r="E783" s="98" t="s">
        <v>811</v>
      </c>
      <c r="F783" s="98" t="n">
        <v>0</v>
      </c>
      <c r="G783" s="98" t="s">
        <v>2509</v>
      </c>
      <c r="H783" s="98" t="s">
        <v>1703</v>
      </c>
      <c r="I783" s="98" t="s">
        <v>1704</v>
      </c>
      <c r="J783" s="98" t="s">
        <v>1705</v>
      </c>
      <c r="K783" s="98" t="s">
        <v>1706</v>
      </c>
    </row>
    <row r="784" customFormat="false" ht="64" hidden="false" customHeight="true" outlineLevel="0" collapsed="false">
      <c r="C784" s="98" t="s">
        <v>2535</v>
      </c>
      <c r="D784" s="98" t="s">
        <v>1746</v>
      </c>
      <c r="E784" s="98" t="s">
        <v>811</v>
      </c>
      <c r="F784" s="98" t="n">
        <v>0</v>
      </c>
      <c r="G784" s="98" t="s">
        <v>2509</v>
      </c>
      <c r="H784" s="98" t="s">
        <v>1703</v>
      </c>
      <c r="I784" s="98" t="s">
        <v>1704</v>
      </c>
      <c r="J784" s="98" t="s">
        <v>1705</v>
      </c>
      <c r="K784" s="98" t="s">
        <v>1706</v>
      </c>
    </row>
    <row r="785" customFormat="false" ht="64" hidden="false" customHeight="true" outlineLevel="0" collapsed="false">
      <c r="C785" s="98" t="s">
        <v>2536</v>
      </c>
      <c r="D785" s="98" t="s">
        <v>1748</v>
      </c>
      <c r="E785" s="98" t="s">
        <v>811</v>
      </c>
      <c r="F785" s="98" t="n">
        <v>0</v>
      </c>
      <c r="G785" s="98" t="s">
        <v>2509</v>
      </c>
      <c r="H785" s="98" t="s">
        <v>1703</v>
      </c>
      <c r="I785" s="98" t="s">
        <v>1704</v>
      </c>
      <c r="J785" s="98" t="s">
        <v>1705</v>
      </c>
      <c r="K785" s="98" t="s">
        <v>1706</v>
      </c>
    </row>
    <row r="786" customFormat="false" ht="64" hidden="false" customHeight="true" outlineLevel="0" collapsed="false">
      <c r="C786" s="98" t="s">
        <v>2537</v>
      </c>
      <c r="D786" s="98" t="s">
        <v>1750</v>
      </c>
      <c r="E786" s="98" t="s">
        <v>811</v>
      </c>
      <c r="F786" s="98" t="n">
        <v>0</v>
      </c>
      <c r="G786" s="98" t="s">
        <v>2509</v>
      </c>
      <c r="H786" s="98" t="s">
        <v>1703</v>
      </c>
      <c r="I786" s="98" t="s">
        <v>1704</v>
      </c>
      <c r="J786" s="98" t="s">
        <v>1705</v>
      </c>
      <c r="K786" s="98" t="s">
        <v>1706</v>
      </c>
    </row>
    <row r="787" customFormat="false" ht="64" hidden="false" customHeight="true" outlineLevel="0" collapsed="false">
      <c r="C787" s="98" t="s">
        <v>2538</v>
      </c>
      <c r="D787" s="98" t="s">
        <v>1752</v>
      </c>
      <c r="E787" s="98" t="s">
        <v>811</v>
      </c>
      <c r="F787" s="98" t="n">
        <v>0</v>
      </c>
      <c r="G787" s="98" t="s">
        <v>2509</v>
      </c>
      <c r="H787" s="98" t="s">
        <v>1703</v>
      </c>
      <c r="I787" s="98" t="s">
        <v>1704</v>
      </c>
      <c r="J787" s="98" t="s">
        <v>1705</v>
      </c>
      <c r="K787" s="98" t="s">
        <v>1706</v>
      </c>
    </row>
    <row r="788" customFormat="false" ht="64" hidden="false" customHeight="true" outlineLevel="0" collapsed="false">
      <c r="C788" s="98" t="s">
        <v>2539</v>
      </c>
      <c r="D788" s="98" t="s">
        <v>1754</v>
      </c>
      <c r="E788" s="98" t="s">
        <v>811</v>
      </c>
      <c r="F788" s="98" t="n">
        <v>0</v>
      </c>
      <c r="G788" s="98" t="s">
        <v>2509</v>
      </c>
      <c r="H788" s="98" t="s">
        <v>1703</v>
      </c>
      <c r="I788" s="98" t="s">
        <v>1704</v>
      </c>
      <c r="J788" s="98" t="s">
        <v>1705</v>
      </c>
      <c r="K788" s="98" t="s">
        <v>1706</v>
      </c>
    </row>
    <row r="789" customFormat="false" ht="64" hidden="false" customHeight="true" outlineLevel="0" collapsed="false">
      <c r="C789" s="98" t="s">
        <v>2540</v>
      </c>
      <c r="D789" s="98" t="s">
        <v>1756</v>
      </c>
      <c r="E789" s="98" t="s">
        <v>811</v>
      </c>
      <c r="F789" s="98" t="n">
        <v>0</v>
      </c>
      <c r="G789" s="98" t="s">
        <v>2509</v>
      </c>
      <c r="H789" s="98" t="s">
        <v>1703</v>
      </c>
      <c r="I789" s="98" t="s">
        <v>1704</v>
      </c>
      <c r="J789" s="98" t="s">
        <v>1705</v>
      </c>
      <c r="K789" s="98" t="s">
        <v>1706</v>
      </c>
    </row>
    <row r="790" customFormat="false" ht="64" hidden="false" customHeight="true" outlineLevel="0" collapsed="false">
      <c r="C790" s="98" t="s">
        <v>2541</v>
      </c>
      <c r="D790" s="98" t="s">
        <v>1758</v>
      </c>
      <c r="E790" s="98" t="s">
        <v>811</v>
      </c>
      <c r="F790" s="98" t="n">
        <v>0</v>
      </c>
      <c r="G790" s="98" t="s">
        <v>2509</v>
      </c>
      <c r="H790" s="98" t="s">
        <v>1703</v>
      </c>
      <c r="I790" s="98" t="s">
        <v>1704</v>
      </c>
      <c r="J790" s="98" t="s">
        <v>1705</v>
      </c>
      <c r="K790" s="98" t="s">
        <v>1706</v>
      </c>
    </row>
    <row r="791" customFormat="false" ht="64" hidden="false" customHeight="true" outlineLevel="0" collapsed="false">
      <c r="C791" s="98" t="s">
        <v>2542</v>
      </c>
      <c r="D791" s="98" t="s">
        <v>1760</v>
      </c>
      <c r="E791" s="98" t="s">
        <v>811</v>
      </c>
      <c r="F791" s="98" t="n">
        <v>0</v>
      </c>
      <c r="G791" s="98" t="s">
        <v>2509</v>
      </c>
      <c r="H791" s="98" t="s">
        <v>1703</v>
      </c>
      <c r="I791" s="98" t="s">
        <v>1704</v>
      </c>
      <c r="J791" s="98" t="s">
        <v>1705</v>
      </c>
      <c r="K791" s="98" t="s">
        <v>1706</v>
      </c>
    </row>
    <row r="792" customFormat="false" ht="64" hidden="false" customHeight="true" outlineLevel="0" collapsed="false">
      <c r="C792" s="98" t="s">
        <v>2543</v>
      </c>
      <c r="D792" s="98" t="s">
        <v>1762</v>
      </c>
      <c r="E792" s="98" t="s">
        <v>811</v>
      </c>
      <c r="F792" s="98" t="n">
        <v>0</v>
      </c>
      <c r="G792" s="98" t="s">
        <v>2509</v>
      </c>
      <c r="H792" s="98" t="s">
        <v>1703</v>
      </c>
      <c r="I792" s="98" t="s">
        <v>1704</v>
      </c>
      <c r="J792" s="98" t="s">
        <v>1705</v>
      </c>
      <c r="K792" s="98" t="s">
        <v>1706</v>
      </c>
    </row>
    <row r="793" customFormat="false" ht="64" hidden="false" customHeight="true" outlineLevel="0" collapsed="false">
      <c r="C793" s="98" t="s">
        <v>2544</v>
      </c>
      <c r="D793" s="98" t="s">
        <v>1764</v>
      </c>
      <c r="E793" s="98" t="s">
        <v>811</v>
      </c>
      <c r="F793" s="98" t="n">
        <v>0</v>
      </c>
      <c r="G793" s="98" t="s">
        <v>2509</v>
      </c>
      <c r="H793" s="98" t="s">
        <v>1703</v>
      </c>
      <c r="I793" s="98" t="s">
        <v>1704</v>
      </c>
      <c r="J793" s="98" t="s">
        <v>1705</v>
      </c>
      <c r="K793" s="98" t="s">
        <v>1706</v>
      </c>
    </row>
    <row r="794" customFormat="false" ht="64" hidden="false" customHeight="true" outlineLevel="0" collapsed="false">
      <c r="C794" s="98" t="s">
        <v>2545</v>
      </c>
      <c r="D794" s="98" t="s">
        <v>1829</v>
      </c>
      <c r="E794" s="98" t="s">
        <v>811</v>
      </c>
      <c r="F794" s="98" t="n">
        <v>0</v>
      </c>
      <c r="G794" s="98" t="s">
        <v>2546</v>
      </c>
      <c r="H794" s="98" t="s">
        <v>1703</v>
      </c>
      <c r="I794" s="98" t="s">
        <v>1704</v>
      </c>
      <c r="J794" s="98" t="s">
        <v>1705</v>
      </c>
      <c r="K794" s="98" t="s">
        <v>1706</v>
      </c>
    </row>
    <row r="795" customFormat="false" ht="64" hidden="false" customHeight="true" outlineLevel="0" collapsed="false">
      <c r="C795" s="98" t="s">
        <v>2547</v>
      </c>
      <c r="D795" s="98" t="s">
        <v>1833</v>
      </c>
      <c r="E795" s="98" t="s">
        <v>811</v>
      </c>
      <c r="F795" s="98" t="n">
        <v>0</v>
      </c>
      <c r="G795" s="98" t="s">
        <v>2546</v>
      </c>
      <c r="H795" s="98" t="s">
        <v>1703</v>
      </c>
      <c r="I795" s="98" t="s">
        <v>1704</v>
      </c>
      <c r="J795" s="98" t="s">
        <v>1705</v>
      </c>
      <c r="K795" s="98" t="s">
        <v>1706</v>
      </c>
    </row>
    <row r="796" customFormat="false" ht="64" hidden="false" customHeight="true" outlineLevel="0" collapsed="false">
      <c r="C796" s="98" t="s">
        <v>2548</v>
      </c>
      <c r="D796" s="98" t="s">
        <v>1835</v>
      </c>
      <c r="E796" s="98" t="s">
        <v>811</v>
      </c>
      <c r="F796" s="98" t="n">
        <v>0</v>
      </c>
      <c r="G796" s="98" t="s">
        <v>2546</v>
      </c>
      <c r="H796" s="98" t="s">
        <v>1703</v>
      </c>
      <c r="I796" s="98" t="s">
        <v>1704</v>
      </c>
      <c r="J796" s="98" t="s">
        <v>1705</v>
      </c>
      <c r="K796" s="98" t="s">
        <v>1706</v>
      </c>
    </row>
    <row r="797" customFormat="false" ht="64" hidden="false" customHeight="true" outlineLevel="0" collapsed="false">
      <c r="C797" s="98" t="s">
        <v>2549</v>
      </c>
      <c r="D797" s="98" t="s">
        <v>1044</v>
      </c>
      <c r="E797" s="98" t="s">
        <v>811</v>
      </c>
      <c r="F797" s="98" t="n">
        <v>0</v>
      </c>
      <c r="G797" s="98" t="s">
        <v>2546</v>
      </c>
      <c r="H797" s="98" t="s">
        <v>1703</v>
      </c>
      <c r="I797" s="98" t="s">
        <v>1704</v>
      </c>
      <c r="J797" s="98" t="s">
        <v>1705</v>
      </c>
      <c r="K797" s="98" t="s">
        <v>1706</v>
      </c>
    </row>
    <row r="798" customFormat="false" ht="64" hidden="false" customHeight="true" outlineLevel="0" collapsed="false">
      <c r="C798" s="98" t="s">
        <v>2550</v>
      </c>
      <c r="D798" s="98" t="s">
        <v>1838</v>
      </c>
      <c r="E798" s="98" t="s">
        <v>811</v>
      </c>
      <c r="F798" s="98" t="n">
        <v>0</v>
      </c>
      <c r="G798" s="98" t="s">
        <v>2546</v>
      </c>
      <c r="H798" s="98" t="s">
        <v>1703</v>
      </c>
      <c r="I798" s="98" t="s">
        <v>1704</v>
      </c>
      <c r="J798" s="98" t="s">
        <v>1705</v>
      </c>
      <c r="K798" s="98" t="s">
        <v>1706</v>
      </c>
    </row>
    <row r="799" customFormat="false" ht="64" hidden="false" customHeight="true" outlineLevel="0" collapsed="false">
      <c r="C799" s="98" t="s">
        <v>2551</v>
      </c>
      <c r="D799" s="98" t="s">
        <v>1840</v>
      </c>
      <c r="E799" s="98" t="s">
        <v>811</v>
      </c>
      <c r="F799" s="98" t="n">
        <v>0</v>
      </c>
      <c r="G799" s="98" t="s">
        <v>2546</v>
      </c>
      <c r="H799" s="98" t="s">
        <v>1703</v>
      </c>
      <c r="I799" s="98" t="s">
        <v>1704</v>
      </c>
      <c r="J799" s="98" t="s">
        <v>1705</v>
      </c>
      <c r="K799" s="98" t="s">
        <v>1706</v>
      </c>
    </row>
    <row r="800" customFormat="false" ht="64" hidden="false" customHeight="true" outlineLevel="0" collapsed="false">
      <c r="C800" s="98" t="s">
        <v>2552</v>
      </c>
      <c r="D800" s="98" t="s">
        <v>1700</v>
      </c>
      <c r="E800" s="98" t="s">
        <v>811</v>
      </c>
      <c r="F800" s="98" t="n">
        <v>0</v>
      </c>
      <c r="G800" s="98" t="s">
        <v>2546</v>
      </c>
      <c r="H800" s="98" t="s">
        <v>1703</v>
      </c>
      <c r="I800" s="98" t="s">
        <v>1704</v>
      </c>
      <c r="J800" s="98" t="s">
        <v>1705</v>
      </c>
      <c r="K800" s="98" t="s">
        <v>1706</v>
      </c>
    </row>
    <row r="801" customFormat="false" ht="64" hidden="false" customHeight="true" outlineLevel="0" collapsed="false">
      <c r="C801" s="98" t="s">
        <v>2553</v>
      </c>
      <c r="D801" s="98" t="s">
        <v>1708</v>
      </c>
      <c r="E801" s="98" t="s">
        <v>811</v>
      </c>
      <c r="F801" s="98" t="n">
        <v>0</v>
      </c>
      <c r="G801" s="98" t="s">
        <v>2546</v>
      </c>
      <c r="H801" s="98" t="s">
        <v>1703</v>
      </c>
      <c r="I801" s="98" t="s">
        <v>1704</v>
      </c>
      <c r="J801" s="98" t="s">
        <v>1705</v>
      </c>
      <c r="K801" s="98" t="s">
        <v>1706</v>
      </c>
    </row>
    <row r="802" customFormat="false" ht="64" hidden="false" customHeight="true" outlineLevel="0" collapsed="false">
      <c r="C802" s="98" t="s">
        <v>2554</v>
      </c>
      <c r="D802" s="98" t="s">
        <v>1710</v>
      </c>
      <c r="E802" s="98" t="s">
        <v>811</v>
      </c>
      <c r="F802" s="98" t="n">
        <v>0</v>
      </c>
      <c r="G802" s="98" t="s">
        <v>2546</v>
      </c>
      <c r="H802" s="98" t="s">
        <v>1703</v>
      </c>
      <c r="I802" s="98" t="s">
        <v>1704</v>
      </c>
      <c r="J802" s="98" t="s">
        <v>1705</v>
      </c>
      <c r="K802" s="98" t="s">
        <v>1706</v>
      </c>
    </row>
    <row r="803" customFormat="false" ht="64" hidden="false" customHeight="true" outlineLevel="0" collapsed="false">
      <c r="C803" s="98" t="s">
        <v>2555</v>
      </c>
      <c r="D803" s="98" t="s">
        <v>1712</v>
      </c>
      <c r="E803" s="98" t="s">
        <v>811</v>
      </c>
      <c r="F803" s="98" t="n">
        <v>0</v>
      </c>
      <c r="G803" s="98" t="s">
        <v>2546</v>
      </c>
      <c r="H803" s="98" t="s">
        <v>1703</v>
      </c>
      <c r="I803" s="98" t="s">
        <v>1704</v>
      </c>
      <c r="J803" s="98" t="s">
        <v>1705</v>
      </c>
      <c r="K803" s="98" t="s">
        <v>1706</v>
      </c>
    </row>
    <row r="804" customFormat="false" ht="64" hidden="false" customHeight="true" outlineLevel="0" collapsed="false">
      <c r="C804" s="98" t="s">
        <v>2556</v>
      </c>
      <c r="D804" s="98" t="s">
        <v>1714</v>
      </c>
      <c r="E804" s="98" t="s">
        <v>811</v>
      </c>
      <c r="F804" s="98" t="n">
        <v>0</v>
      </c>
      <c r="G804" s="98" t="s">
        <v>2546</v>
      </c>
      <c r="H804" s="98" t="s">
        <v>1703</v>
      </c>
      <c r="I804" s="98" t="s">
        <v>1704</v>
      </c>
      <c r="J804" s="98" t="s">
        <v>1705</v>
      </c>
      <c r="K804" s="98" t="s">
        <v>1706</v>
      </c>
    </row>
    <row r="805" customFormat="false" ht="64" hidden="false" customHeight="true" outlineLevel="0" collapsed="false">
      <c r="C805" s="98" t="s">
        <v>2557</v>
      </c>
      <c r="D805" s="98" t="s">
        <v>1716</v>
      </c>
      <c r="E805" s="98" t="s">
        <v>811</v>
      </c>
      <c r="F805" s="98" t="n">
        <v>0</v>
      </c>
      <c r="G805" s="98" t="s">
        <v>2546</v>
      </c>
      <c r="H805" s="98" t="s">
        <v>1703</v>
      </c>
      <c r="I805" s="98" t="s">
        <v>1704</v>
      </c>
      <c r="J805" s="98" t="s">
        <v>1705</v>
      </c>
      <c r="K805" s="98" t="s">
        <v>1706</v>
      </c>
    </row>
    <row r="806" customFormat="false" ht="64" hidden="false" customHeight="true" outlineLevel="0" collapsed="false">
      <c r="C806" s="98" t="s">
        <v>2558</v>
      </c>
      <c r="D806" s="98" t="s">
        <v>1718</v>
      </c>
      <c r="E806" s="98" t="s">
        <v>811</v>
      </c>
      <c r="F806" s="98" t="n">
        <v>0</v>
      </c>
      <c r="G806" s="98" t="s">
        <v>2546</v>
      </c>
      <c r="H806" s="98" t="s">
        <v>1703</v>
      </c>
      <c r="I806" s="98" t="s">
        <v>1704</v>
      </c>
      <c r="J806" s="98" t="s">
        <v>1705</v>
      </c>
      <c r="K806" s="98" t="s">
        <v>1706</v>
      </c>
    </row>
    <row r="807" customFormat="false" ht="64" hidden="false" customHeight="true" outlineLevel="0" collapsed="false">
      <c r="C807" s="98" t="s">
        <v>2559</v>
      </c>
      <c r="D807" s="98" t="s">
        <v>1720</v>
      </c>
      <c r="E807" s="98" t="s">
        <v>811</v>
      </c>
      <c r="F807" s="98" t="n">
        <v>0</v>
      </c>
      <c r="G807" s="98" t="s">
        <v>2546</v>
      </c>
      <c r="H807" s="98" t="s">
        <v>1703</v>
      </c>
      <c r="I807" s="98" t="s">
        <v>1704</v>
      </c>
      <c r="J807" s="98" t="s">
        <v>1705</v>
      </c>
      <c r="K807" s="98" t="s">
        <v>1706</v>
      </c>
    </row>
    <row r="808" customFormat="false" ht="64" hidden="false" customHeight="true" outlineLevel="0" collapsed="false">
      <c r="C808" s="98" t="s">
        <v>2560</v>
      </c>
      <c r="D808" s="98" t="s">
        <v>1722</v>
      </c>
      <c r="E808" s="98" t="s">
        <v>811</v>
      </c>
      <c r="F808" s="98" t="n">
        <v>0</v>
      </c>
      <c r="G808" s="98" t="s">
        <v>2546</v>
      </c>
      <c r="H808" s="98" t="s">
        <v>1703</v>
      </c>
      <c r="I808" s="98" t="s">
        <v>1704</v>
      </c>
      <c r="J808" s="98" t="s">
        <v>1705</v>
      </c>
      <c r="K808" s="98" t="s">
        <v>1706</v>
      </c>
    </row>
    <row r="809" customFormat="false" ht="64" hidden="false" customHeight="true" outlineLevel="0" collapsed="false">
      <c r="C809" s="98" t="s">
        <v>2561</v>
      </c>
      <c r="D809" s="98" t="s">
        <v>1724</v>
      </c>
      <c r="E809" s="98" t="s">
        <v>811</v>
      </c>
      <c r="F809" s="98" t="n">
        <v>0</v>
      </c>
      <c r="G809" s="98" t="s">
        <v>2546</v>
      </c>
      <c r="H809" s="98" t="s">
        <v>1703</v>
      </c>
      <c r="I809" s="98" t="s">
        <v>1704</v>
      </c>
      <c r="J809" s="98" t="s">
        <v>1705</v>
      </c>
      <c r="K809" s="98" t="s">
        <v>1706</v>
      </c>
    </row>
    <row r="810" customFormat="false" ht="64" hidden="false" customHeight="true" outlineLevel="0" collapsed="false">
      <c r="C810" s="98" t="s">
        <v>2562</v>
      </c>
      <c r="D810" s="98" t="s">
        <v>1726</v>
      </c>
      <c r="E810" s="98" t="s">
        <v>811</v>
      </c>
      <c r="F810" s="98" t="n">
        <v>0</v>
      </c>
      <c r="G810" s="98" t="s">
        <v>2546</v>
      </c>
      <c r="H810" s="98" t="s">
        <v>1703</v>
      </c>
      <c r="I810" s="98" t="s">
        <v>1704</v>
      </c>
      <c r="J810" s="98" t="s">
        <v>1705</v>
      </c>
      <c r="K810" s="98" t="s">
        <v>1706</v>
      </c>
    </row>
    <row r="811" customFormat="false" ht="64" hidden="false" customHeight="true" outlineLevel="0" collapsed="false">
      <c r="C811" s="98" t="s">
        <v>2563</v>
      </c>
      <c r="D811" s="98" t="s">
        <v>1728</v>
      </c>
      <c r="E811" s="98" t="s">
        <v>811</v>
      </c>
      <c r="F811" s="98" t="n">
        <v>0</v>
      </c>
      <c r="G811" s="98" t="s">
        <v>2546</v>
      </c>
      <c r="H811" s="98" t="s">
        <v>1703</v>
      </c>
      <c r="I811" s="98" t="s">
        <v>1704</v>
      </c>
      <c r="J811" s="98" t="s">
        <v>1705</v>
      </c>
      <c r="K811" s="98" t="s">
        <v>1706</v>
      </c>
    </row>
    <row r="812" customFormat="false" ht="64" hidden="false" customHeight="true" outlineLevel="0" collapsed="false">
      <c r="C812" s="98" t="s">
        <v>2564</v>
      </c>
      <c r="D812" s="98" t="s">
        <v>1730</v>
      </c>
      <c r="E812" s="98" t="s">
        <v>811</v>
      </c>
      <c r="F812" s="98" t="n">
        <v>0</v>
      </c>
      <c r="G812" s="98" t="s">
        <v>2546</v>
      </c>
      <c r="H812" s="98" t="s">
        <v>1703</v>
      </c>
      <c r="I812" s="98" t="s">
        <v>1704</v>
      </c>
      <c r="J812" s="98" t="s">
        <v>1705</v>
      </c>
      <c r="K812" s="98" t="s">
        <v>1706</v>
      </c>
    </row>
    <row r="813" customFormat="false" ht="64" hidden="false" customHeight="true" outlineLevel="0" collapsed="false">
      <c r="C813" s="98" t="s">
        <v>2565</v>
      </c>
      <c r="D813" s="98" t="s">
        <v>1732</v>
      </c>
      <c r="E813" s="98" t="s">
        <v>811</v>
      </c>
      <c r="F813" s="98" t="n">
        <v>0</v>
      </c>
      <c r="G813" s="98" t="s">
        <v>2546</v>
      </c>
      <c r="H813" s="98" t="s">
        <v>1703</v>
      </c>
      <c r="I813" s="98" t="s">
        <v>1704</v>
      </c>
      <c r="J813" s="98" t="s">
        <v>1705</v>
      </c>
      <c r="K813" s="98" t="s">
        <v>1706</v>
      </c>
    </row>
    <row r="814" customFormat="false" ht="64" hidden="false" customHeight="true" outlineLevel="0" collapsed="false">
      <c r="C814" s="98" t="s">
        <v>2566</v>
      </c>
      <c r="D814" s="98" t="s">
        <v>1734</v>
      </c>
      <c r="E814" s="98" t="s">
        <v>811</v>
      </c>
      <c r="F814" s="98" t="n">
        <v>0</v>
      </c>
      <c r="G814" s="98" t="s">
        <v>2546</v>
      </c>
      <c r="H814" s="98" t="s">
        <v>1703</v>
      </c>
      <c r="I814" s="98" t="s">
        <v>1704</v>
      </c>
      <c r="J814" s="98" t="s">
        <v>1705</v>
      </c>
      <c r="K814" s="98" t="s">
        <v>1706</v>
      </c>
    </row>
    <row r="815" customFormat="false" ht="64" hidden="false" customHeight="true" outlineLevel="0" collapsed="false">
      <c r="C815" s="98" t="s">
        <v>2567</v>
      </c>
      <c r="D815" s="98" t="s">
        <v>1736</v>
      </c>
      <c r="E815" s="98" t="s">
        <v>811</v>
      </c>
      <c r="F815" s="98" t="n">
        <v>0</v>
      </c>
      <c r="G815" s="98" t="s">
        <v>2546</v>
      </c>
      <c r="H815" s="98" t="s">
        <v>1703</v>
      </c>
      <c r="I815" s="98" t="s">
        <v>1704</v>
      </c>
      <c r="J815" s="98" t="s">
        <v>1705</v>
      </c>
      <c r="K815" s="98" t="s">
        <v>1706</v>
      </c>
    </row>
    <row r="816" customFormat="false" ht="64" hidden="false" customHeight="true" outlineLevel="0" collapsed="false">
      <c r="C816" s="98" t="s">
        <v>2568</v>
      </c>
      <c r="D816" s="98" t="s">
        <v>1738</v>
      </c>
      <c r="E816" s="98" t="s">
        <v>811</v>
      </c>
      <c r="F816" s="98" t="n">
        <v>0</v>
      </c>
      <c r="G816" s="98" t="s">
        <v>2546</v>
      </c>
      <c r="H816" s="98" t="s">
        <v>1703</v>
      </c>
      <c r="I816" s="98" t="s">
        <v>1704</v>
      </c>
      <c r="J816" s="98" t="s">
        <v>1705</v>
      </c>
      <c r="K816" s="98" t="s">
        <v>1706</v>
      </c>
    </row>
    <row r="817" customFormat="false" ht="64" hidden="false" customHeight="true" outlineLevel="0" collapsed="false">
      <c r="C817" s="98" t="s">
        <v>2569</v>
      </c>
      <c r="D817" s="98" t="s">
        <v>1740</v>
      </c>
      <c r="E817" s="98" t="s">
        <v>811</v>
      </c>
      <c r="F817" s="98" t="n">
        <v>0</v>
      </c>
      <c r="G817" s="98" t="s">
        <v>2546</v>
      </c>
      <c r="H817" s="98" t="s">
        <v>1703</v>
      </c>
      <c r="I817" s="98" t="s">
        <v>1704</v>
      </c>
      <c r="J817" s="98" t="s">
        <v>1705</v>
      </c>
      <c r="K817" s="98" t="s">
        <v>1706</v>
      </c>
    </row>
    <row r="818" customFormat="false" ht="64" hidden="false" customHeight="true" outlineLevel="0" collapsed="false">
      <c r="C818" s="98" t="s">
        <v>2570</v>
      </c>
      <c r="D818" s="98" t="s">
        <v>1742</v>
      </c>
      <c r="E818" s="98" t="s">
        <v>811</v>
      </c>
      <c r="F818" s="98" t="n">
        <v>0</v>
      </c>
      <c r="G818" s="98" t="s">
        <v>2546</v>
      </c>
      <c r="H818" s="98" t="s">
        <v>1703</v>
      </c>
      <c r="I818" s="98" t="s">
        <v>1704</v>
      </c>
      <c r="J818" s="98" t="s">
        <v>1705</v>
      </c>
      <c r="K818" s="98" t="s">
        <v>1706</v>
      </c>
    </row>
    <row r="819" customFormat="false" ht="64" hidden="false" customHeight="true" outlineLevel="0" collapsed="false">
      <c r="C819" s="98" t="s">
        <v>2571</v>
      </c>
      <c r="D819" s="98" t="s">
        <v>1744</v>
      </c>
      <c r="E819" s="98" t="s">
        <v>811</v>
      </c>
      <c r="F819" s="98" t="n">
        <v>0</v>
      </c>
      <c r="G819" s="98" t="s">
        <v>2546</v>
      </c>
      <c r="H819" s="98" t="s">
        <v>1703</v>
      </c>
      <c r="I819" s="98" t="s">
        <v>1704</v>
      </c>
      <c r="J819" s="98" t="s">
        <v>1705</v>
      </c>
      <c r="K819" s="98" t="s">
        <v>1706</v>
      </c>
    </row>
    <row r="820" customFormat="false" ht="64" hidden="false" customHeight="true" outlineLevel="0" collapsed="false">
      <c r="C820" s="98" t="s">
        <v>2572</v>
      </c>
      <c r="D820" s="98" t="s">
        <v>1746</v>
      </c>
      <c r="E820" s="98" t="s">
        <v>811</v>
      </c>
      <c r="F820" s="98" t="n">
        <v>0</v>
      </c>
      <c r="G820" s="98" t="s">
        <v>2546</v>
      </c>
      <c r="H820" s="98" t="s">
        <v>1703</v>
      </c>
      <c r="I820" s="98" t="s">
        <v>1704</v>
      </c>
      <c r="J820" s="98" t="s">
        <v>1705</v>
      </c>
      <c r="K820" s="98" t="s">
        <v>1706</v>
      </c>
    </row>
    <row r="821" customFormat="false" ht="64" hidden="false" customHeight="true" outlineLevel="0" collapsed="false">
      <c r="C821" s="98" t="s">
        <v>2573</v>
      </c>
      <c r="D821" s="98" t="s">
        <v>1748</v>
      </c>
      <c r="E821" s="98" t="s">
        <v>811</v>
      </c>
      <c r="F821" s="98" t="n">
        <v>0</v>
      </c>
      <c r="G821" s="98" t="s">
        <v>2546</v>
      </c>
      <c r="H821" s="98" t="s">
        <v>1703</v>
      </c>
      <c r="I821" s="98" t="s">
        <v>1704</v>
      </c>
      <c r="J821" s="98" t="s">
        <v>1705</v>
      </c>
      <c r="K821" s="98" t="s">
        <v>1706</v>
      </c>
    </row>
    <row r="822" customFormat="false" ht="64" hidden="false" customHeight="true" outlineLevel="0" collapsed="false">
      <c r="C822" s="98" t="s">
        <v>2574</v>
      </c>
      <c r="D822" s="98" t="s">
        <v>1750</v>
      </c>
      <c r="E822" s="98" t="s">
        <v>811</v>
      </c>
      <c r="F822" s="98" t="n">
        <v>0</v>
      </c>
      <c r="G822" s="98" t="s">
        <v>2546</v>
      </c>
      <c r="H822" s="98" t="s">
        <v>1703</v>
      </c>
      <c r="I822" s="98" t="s">
        <v>1704</v>
      </c>
      <c r="J822" s="98" t="s">
        <v>1705</v>
      </c>
      <c r="K822" s="98" t="s">
        <v>1706</v>
      </c>
    </row>
    <row r="823" customFormat="false" ht="64" hidden="false" customHeight="true" outlineLevel="0" collapsed="false">
      <c r="C823" s="98" t="s">
        <v>2575</v>
      </c>
      <c r="D823" s="98" t="s">
        <v>1752</v>
      </c>
      <c r="E823" s="98" t="s">
        <v>811</v>
      </c>
      <c r="F823" s="98" t="n">
        <v>0</v>
      </c>
      <c r="G823" s="98" t="s">
        <v>2546</v>
      </c>
      <c r="H823" s="98" t="s">
        <v>1703</v>
      </c>
      <c r="I823" s="98" t="s">
        <v>1704</v>
      </c>
      <c r="J823" s="98" t="s">
        <v>1705</v>
      </c>
      <c r="K823" s="98" t="s">
        <v>1706</v>
      </c>
    </row>
    <row r="824" customFormat="false" ht="64" hidden="false" customHeight="true" outlineLevel="0" collapsed="false">
      <c r="C824" s="98" t="s">
        <v>2576</v>
      </c>
      <c r="D824" s="98" t="s">
        <v>1754</v>
      </c>
      <c r="E824" s="98" t="s">
        <v>811</v>
      </c>
      <c r="F824" s="98" t="n">
        <v>0</v>
      </c>
      <c r="G824" s="98" t="s">
        <v>2546</v>
      </c>
      <c r="H824" s="98" t="s">
        <v>1703</v>
      </c>
      <c r="I824" s="98" t="s">
        <v>1704</v>
      </c>
      <c r="J824" s="98" t="s">
        <v>1705</v>
      </c>
      <c r="K824" s="98" t="s">
        <v>1706</v>
      </c>
    </row>
    <row r="825" customFormat="false" ht="64" hidden="false" customHeight="true" outlineLevel="0" collapsed="false">
      <c r="C825" s="98" t="s">
        <v>2577</v>
      </c>
      <c r="D825" s="98" t="s">
        <v>1756</v>
      </c>
      <c r="E825" s="98" t="s">
        <v>811</v>
      </c>
      <c r="F825" s="98" t="n">
        <v>0</v>
      </c>
      <c r="G825" s="98" t="s">
        <v>2546</v>
      </c>
      <c r="H825" s="98" t="s">
        <v>1703</v>
      </c>
      <c r="I825" s="98" t="s">
        <v>1704</v>
      </c>
      <c r="J825" s="98" t="s">
        <v>1705</v>
      </c>
      <c r="K825" s="98" t="s">
        <v>1706</v>
      </c>
    </row>
    <row r="826" customFormat="false" ht="64" hidden="false" customHeight="true" outlineLevel="0" collapsed="false">
      <c r="C826" s="98" t="s">
        <v>2578</v>
      </c>
      <c r="D826" s="98" t="s">
        <v>1758</v>
      </c>
      <c r="E826" s="98" t="s">
        <v>811</v>
      </c>
      <c r="F826" s="98" t="n">
        <v>0</v>
      </c>
      <c r="G826" s="98" t="s">
        <v>2546</v>
      </c>
      <c r="H826" s="98" t="s">
        <v>1703</v>
      </c>
      <c r="I826" s="98" t="s">
        <v>1704</v>
      </c>
      <c r="J826" s="98" t="s">
        <v>1705</v>
      </c>
      <c r="K826" s="98" t="s">
        <v>1706</v>
      </c>
    </row>
    <row r="827" customFormat="false" ht="64" hidden="false" customHeight="true" outlineLevel="0" collapsed="false">
      <c r="C827" s="98" t="s">
        <v>2579</v>
      </c>
      <c r="D827" s="98" t="s">
        <v>1760</v>
      </c>
      <c r="E827" s="98" t="s">
        <v>811</v>
      </c>
      <c r="F827" s="98" t="n">
        <v>0</v>
      </c>
      <c r="G827" s="98" t="s">
        <v>2546</v>
      </c>
      <c r="H827" s="98" t="s">
        <v>1703</v>
      </c>
      <c r="I827" s="98" t="s">
        <v>1704</v>
      </c>
      <c r="J827" s="98" t="s">
        <v>1705</v>
      </c>
      <c r="K827" s="98" t="s">
        <v>1706</v>
      </c>
    </row>
    <row r="828" customFormat="false" ht="64" hidden="false" customHeight="true" outlineLevel="0" collapsed="false">
      <c r="C828" s="98" t="s">
        <v>2580</v>
      </c>
      <c r="D828" s="98" t="s">
        <v>1762</v>
      </c>
      <c r="E828" s="98" t="s">
        <v>811</v>
      </c>
      <c r="F828" s="98" t="n">
        <v>0</v>
      </c>
      <c r="G828" s="98" t="s">
        <v>2546</v>
      </c>
      <c r="H828" s="98" t="s">
        <v>1703</v>
      </c>
      <c r="I828" s="98" t="s">
        <v>1704</v>
      </c>
      <c r="J828" s="98" t="s">
        <v>1705</v>
      </c>
      <c r="K828" s="98" t="s">
        <v>1706</v>
      </c>
    </row>
    <row r="829" customFormat="false" ht="64" hidden="false" customHeight="true" outlineLevel="0" collapsed="false">
      <c r="C829" s="98" t="s">
        <v>2581</v>
      </c>
      <c r="D829" s="98" t="s">
        <v>1764</v>
      </c>
      <c r="E829" s="98" t="s">
        <v>811</v>
      </c>
      <c r="F829" s="98" t="n">
        <v>0</v>
      </c>
      <c r="G829" s="98" t="s">
        <v>2546</v>
      </c>
      <c r="H829" s="98" t="s">
        <v>1703</v>
      </c>
      <c r="I829" s="98" t="s">
        <v>1704</v>
      </c>
      <c r="J829" s="98" t="s">
        <v>1705</v>
      </c>
      <c r="K829" s="98" t="s">
        <v>1706</v>
      </c>
    </row>
    <row r="830" customFormat="false" ht="64" hidden="false" customHeight="true" outlineLevel="0" collapsed="false">
      <c r="C830" s="98" t="s">
        <v>2582</v>
      </c>
      <c r="D830" s="98" t="s">
        <v>1829</v>
      </c>
      <c r="E830" s="98" t="s">
        <v>811</v>
      </c>
      <c r="F830" s="98" t="n">
        <v>0</v>
      </c>
      <c r="G830" s="98" t="s">
        <v>2583</v>
      </c>
      <c r="H830" s="98" t="s">
        <v>1703</v>
      </c>
      <c r="I830" s="98" t="s">
        <v>1704</v>
      </c>
      <c r="J830" s="98" t="s">
        <v>1705</v>
      </c>
      <c r="K830" s="98" t="s">
        <v>1706</v>
      </c>
    </row>
    <row r="831" customFormat="false" ht="64" hidden="false" customHeight="true" outlineLevel="0" collapsed="false">
      <c r="C831" s="98" t="s">
        <v>2584</v>
      </c>
      <c r="D831" s="98" t="s">
        <v>1833</v>
      </c>
      <c r="E831" s="98" t="s">
        <v>811</v>
      </c>
      <c r="F831" s="98" t="n">
        <v>0</v>
      </c>
      <c r="G831" s="98" t="s">
        <v>2583</v>
      </c>
      <c r="H831" s="98" t="s">
        <v>1703</v>
      </c>
      <c r="I831" s="98" t="s">
        <v>1704</v>
      </c>
      <c r="J831" s="98" t="s">
        <v>1705</v>
      </c>
      <c r="K831" s="98" t="s">
        <v>1706</v>
      </c>
    </row>
    <row r="832" customFormat="false" ht="64" hidden="false" customHeight="true" outlineLevel="0" collapsed="false">
      <c r="C832" s="98" t="s">
        <v>2585</v>
      </c>
      <c r="D832" s="98" t="s">
        <v>1835</v>
      </c>
      <c r="E832" s="98" t="s">
        <v>811</v>
      </c>
      <c r="F832" s="98" t="n">
        <v>0</v>
      </c>
      <c r="G832" s="98" t="s">
        <v>2583</v>
      </c>
      <c r="H832" s="98" t="s">
        <v>1703</v>
      </c>
      <c r="I832" s="98" t="s">
        <v>1704</v>
      </c>
      <c r="J832" s="98" t="s">
        <v>1705</v>
      </c>
      <c r="K832" s="98" t="s">
        <v>1706</v>
      </c>
    </row>
    <row r="833" customFormat="false" ht="64" hidden="false" customHeight="true" outlineLevel="0" collapsed="false">
      <c r="C833" s="98" t="s">
        <v>2586</v>
      </c>
      <c r="D833" s="98" t="s">
        <v>1044</v>
      </c>
      <c r="E833" s="98" t="s">
        <v>811</v>
      </c>
      <c r="F833" s="98" t="n">
        <v>0</v>
      </c>
      <c r="G833" s="98" t="s">
        <v>2583</v>
      </c>
      <c r="H833" s="98" t="s">
        <v>1703</v>
      </c>
      <c r="I833" s="98" t="s">
        <v>1704</v>
      </c>
      <c r="J833" s="98" t="s">
        <v>1705</v>
      </c>
      <c r="K833" s="98" t="s">
        <v>1706</v>
      </c>
    </row>
    <row r="834" customFormat="false" ht="64" hidden="false" customHeight="true" outlineLevel="0" collapsed="false">
      <c r="C834" s="98" t="s">
        <v>2587</v>
      </c>
      <c r="D834" s="98" t="s">
        <v>1838</v>
      </c>
      <c r="E834" s="98" t="s">
        <v>811</v>
      </c>
      <c r="F834" s="98" t="n">
        <v>0</v>
      </c>
      <c r="G834" s="98" t="s">
        <v>2583</v>
      </c>
      <c r="H834" s="98" t="s">
        <v>1703</v>
      </c>
      <c r="I834" s="98" t="s">
        <v>1704</v>
      </c>
      <c r="J834" s="98" t="s">
        <v>1705</v>
      </c>
      <c r="K834" s="98" t="s">
        <v>1706</v>
      </c>
    </row>
    <row r="835" customFormat="false" ht="64" hidden="false" customHeight="true" outlineLevel="0" collapsed="false">
      <c r="C835" s="98" t="s">
        <v>2588</v>
      </c>
      <c r="D835" s="98" t="s">
        <v>1840</v>
      </c>
      <c r="E835" s="98" t="s">
        <v>811</v>
      </c>
      <c r="F835" s="98" t="n">
        <v>50</v>
      </c>
      <c r="G835" s="98" t="s">
        <v>2583</v>
      </c>
      <c r="H835" s="98" t="s">
        <v>1703</v>
      </c>
      <c r="I835" s="98" t="s">
        <v>1704</v>
      </c>
      <c r="J835" s="98" t="s">
        <v>1705</v>
      </c>
      <c r="K835" s="98" t="s">
        <v>1706</v>
      </c>
    </row>
    <row r="836" customFormat="false" ht="64" hidden="false" customHeight="true" outlineLevel="0" collapsed="false">
      <c r="C836" s="98" t="s">
        <v>2589</v>
      </c>
      <c r="D836" s="98" t="s">
        <v>1700</v>
      </c>
      <c r="E836" s="98" t="s">
        <v>811</v>
      </c>
      <c r="F836" s="98" t="n">
        <v>0</v>
      </c>
      <c r="G836" s="98" t="s">
        <v>2583</v>
      </c>
      <c r="H836" s="98" t="s">
        <v>1703</v>
      </c>
      <c r="I836" s="98" t="s">
        <v>1704</v>
      </c>
      <c r="J836" s="98" t="s">
        <v>1705</v>
      </c>
      <c r="K836" s="98" t="s">
        <v>1706</v>
      </c>
    </row>
    <row r="837" customFormat="false" ht="64" hidden="false" customHeight="true" outlineLevel="0" collapsed="false">
      <c r="C837" s="98" t="s">
        <v>2590</v>
      </c>
      <c r="D837" s="98" t="s">
        <v>1708</v>
      </c>
      <c r="E837" s="98" t="s">
        <v>811</v>
      </c>
      <c r="F837" s="98" t="n">
        <v>0</v>
      </c>
      <c r="G837" s="98" t="s">
        <v>2583</v>
      </c>
      <c r="H837" s="98" t="s">
        <v>1703</v>
      </c>
      <c r="I837" s="98" t="s">
        <v>1704</v>
      </c>
      <c r="J837" s="98" t="s">
        <v>1705</v>
      </c>
      <c r="K837" s="98" t="s">
        <v>1706</v>
      </c>
    </row>
    <row r="838" customFormat="false" ht="64" hidden="false" customHeight="true" outlineLevel="0" collapsed="false">
      <c r="C838" s="98" t="s">
        <v>2591</v>
      </c>
      <c r="D838" s="98" t="s">
        <v>1710</v>
      </c>
      <c r="E838" s="98" t="s">
        <v>811</v>
      </c>
      <c r="F838" s="98" t="n">
        <v>0</v>
      </c>
      <c r="G838" s="98" t="s">
        <v>2583</v>
      </c>
      <c r="H838" s="98" t="s">
        <v>1703</v>
      </c>
      <c r="I838" s="98" t="s">
        <v>1704</v>
      </c>
      <c r="J838" s="98" t="s">
        <v>1705</v>
      </c>
      <c r="K838" s="98" t="s">
        <v>1706</v>
      </c>
    </row>
    <row r="839" customFormat="false" ht="64" hidden="false" customHeight="true" outlineLevel="0" collapsed="false">
      <c r="C839" s="98" t="s">
        <v>2592</v>
      </c>
      <c r="D839" s="98" t="s">
        <v>1712</v>
      </c>
      <c r="E839" s="98" t="s">
        <v>811</v>
      </c>
      <c r="F839" s="98" t="n">
        <v>0</v>
      </c>
      <c r="G839" s="98" t="s">
        <v>2583</v>
      </c>
      <c r="H839" s="98" t="s">
        <v>1703</v>
      </c>
      <c r="I839" s="98" t="s">
        <v>1704</v>
      </c>
      <c r="J839" s="98" t="s">
        <v>1705</v>
      </c>
      <c r="K839" s="98" t="s">
        <v>1706</v>
      </c>
    </row>
    <row r="840" customFormat="false" ht="64" hidden="false" customHeight="true" outlineLevel="0" collapsed="false">
      <c r="C840" s="98" t="s">
        <v>2593</v>
      </c>
      <c r="D840" s="98" t="s">
        <v>1714</v>
      </c>
      <c r="E840" s="98" t="s">
        <v>811</v>
      </c>
      <c r="F840" s="98" t="n">
        <v>0</v>
      </c>
      <c r="G840" s="98" t="s">
        <v>2583</v>
      </c>
      <c r="H840" s="98" t="s">
        <v>1703</v>
      </c>
      <c r="I840" s="98" t="s">
        <v>1704</v>
      </c>
      <c r="J840" s="98" t="s">
        <v>1705</v>
      </c>
      <c r="K840" s="98" t="s">
        <v>1706</v>
      </c>
    </row>
    <row r="841" customFormat="false" ht="64" hidden="false" customHeight="true" outlineLevel="0" collapsed="false">
      <c r="C841" s="98" t="s">
        <v>2594</v>
      </c>
      <c r="D841" s="98" t="s">
        <v>1716</v>
      </c>
      <c r="E841" s="98" t="s">
        <v>811</v>
      </c>
      <c r="F841" s="98" t="n">
        <v>0</v>
      </c>
      <c r="G841" s="98" t="s">
        <v>2583</v>
      </c>
      <c r="H841" s="98" t="s">
        <v>1703</v>
      </c>
      <c r="I841" s="98" t="s">
        <v>1704</v>
      </c>
      <c r="J841" s="98" t="s">
        <v>1705</v>
      </c>
      <c r="K841" s="98" t="s">
        <v>1706</v>
      </c>
    </row>
    <row r="842" customFormat="false" ht="64" hidden="false" customHeight="true" outlineLevel="0" collapsed="false">
      <c r="C842" s="98" t="s">
        <v>2595</v>
      </c>
      <c r="D842" s="98" t="s">
        <v>1718</v>
      </c>
      <c r="E842" s="98" t="s">
        <v>811</v>
      </c>
      <c r="F842" s="98" t="n">
        <v>0</v>
      </c>
      <c r="G842" s="98" t="s">
        <v>2583</v>
      </c>
      <c r="H842" s="98" t="s">
        <v>1703</v>
      </c>
      <c r="I842" s="98" t="s">
        <v>1704</v>
      </c>
      <c r="J842" s="98" t="s">
        <v>1705</v>
      </c>
      <c r="K842" s="98" t="s">
        <v>1706</v>
      </c>
    </row>
    <row r="843" customFormat="false" ht="64" hidden="false" customHeight="true" outlineLevel="0" collapsed="false">
      <c r="C843" s="98" t="s">
        <v>2596</v>
      </c>
      <c r="D843" s="98" t="s">
        <v>1720</v>
      </c>
      <c r="E843" s="98" t="s">
        <v>811</v>
      </c>
      <c r="F843" s="98" t="n">
        <v>0</v>
      </c>
      <c r="G843" s="98" t="s">
        <v>2583</v>
      </c>
      <c r="H843" s="98" t="s">
        <v>1703</v>
      </c>
      <c r="I843" s="98" t="s">
        <v>1704</v>
      </c>
      <c r="J843" s="98" t="s">
        <v>1705</v>
      </c>
      <c r="K843" s="98" t="s">
        <v>1706</v>
      </c>
    </row>
    <row r="844" customFormat="false" ht="64" hidden="false" customHeight="true" outlineLevel="0" collapsed="false">
      <c r="C844" s="98" t="s">
        <v>2597</v>
      </c>
      <c r="D844" s="98" t="s">
        <v>1722</v>
      </c>
      <c r="E844" s="98" t="s">
        <v>811</v>
      </c>
      <c r="F844" s="98" t="n">
        <v>0</v>
      </c>
      <c r="G844" s="98" t="s">
        <v>2583</v>
      </c>
      <c r="H844" s="98" t="s">
        <v>1703</v>
      </c>
      <c r="I844" s="98" t="s">
        <v>1704</v>
      </c>
      <c r="J844" s="98" t="s">
        <v>1705</v>
      </c>
      <c r="K844" s="98" t="s">
        <v>1706</v>
      </c>
    </row>
    <row r="845" customFormat="false" ht="64" hidden="false" customHeight="true" outlineLevel="0" collapsed="false">
      <c r="C845" s="98" t="s">
        <v>2598</v>
      </c>
      <c r="D845" s="98" t="s">
        <v>1724</v>
      </c>
      <c r="E845" s="98" t="s">
        <v>811</v>
      </c>
      <c r="F845" s="98" t="n">
        <v>0</v>
      </c>
      <c r="G845" s="98" t="s">
        <v>2583</v>
      </c>
      <c r="H845" s="98" t="s">
        <v>1703</v>
      </c>
      <c r="I845" s="98" t="s">
        <v>1704</v>
      </c>
      <c r="J845" s="98" t="s">
        <v>1705</v>
      </c>
      <c r="K845" s="98" t="s">
        <v>1706</v>
      </c>
    </row>
    <row r="846" customFormat="false" ht="64" hidden="false" customHeight="true" outlineLevel="0" collapsed="false">
      <c r="C846" s="98" t="s">
        <v>2599</v>
      </c>
      <c r="D846" s="98" t="s">
        <v>1726</v>
      </c>
      <c r="E846" s="98" t="s">
        <v>811</v>
      </c>
      <c r="F846" s="98" t="n">
        <v>0</v>
      </c>
      <c r="G846" s="98" t="s">
        <v>2583</v>
      </c>
      <c r="H846" s="98" t="s">
        <v>1703</v>
      </c>
      <c r="I846" s="98" t="s">
        <v>1704</v>
      </c>
      <c r="J846" s="98" t="s">
        <v>1705</v>
      </c>
      <c r="K846" s="98" t="s">
        <v>1706</v>
      </c>
    </row>
    <row r="847" customFormat="false" ht="64" hidden="false" customHeight="true" outlineLevel="0" collapsed="false">
      <c r="C847" s="98" t="s">
        <v>2600</v>
      </c>
      <c r="D847" s="98" t="s">
        <v>1728</v>
      </c>
      <c r="E847" s="98" t="s">
        <v>811</v>
      </c>
      <c r="F847" s="98" t="n">
        <v>50</v>
      </c>
      <c r="G847" s="98" t="s">
        <v>2583</v>
      </c>
      <c r="H847" s="98" t="s">
        <v>1703</v>
      </c>
      <c r="I847" s="98" t="s">
        <v>1704</v>
      </c>
      <c r="J847" s="98" t="s">
        <v>1705</v>
      </c>
      <c r="K847" s="98" t="s">
        <v>1706</v>
      </c>
    </row>
    <row r="848" customFormat="false" ht="64" hidden="false" customHeight="true" outlineLevel="0" collapsed="false">
      <c r="C848" s="98" t="s">
        <v>2601</v>
      </c>
      <c r="D848" s="98" t="s">
        <v>1730</v>
      </c>
      <c r="E848" s="98" t="s">
        <v>811</v>
      </c>
      <c r="F848" s="98" t="n">
        <v>0</v>
      </c>
      <c r="G848" s="98" t="s">
        <v>2583</v>
      </c>
      <c r="H848" s="98" t="s">
        <v>1703</v>
      </c>
      <c r="I848" s="98" t="s">
        <v>1704</v>
      </c>
      <c r="J848" s="98" t="s">
        <v>1705</v>
      </c>
      <c r="K848" s="98" t="s">
        <v>1706</v>
      </c>
    </row>
    <row r="849" customFormat="false" ht="64" hidden="false" customHeight="true" outlineLevel="0" collapsed="false">
      <c r="C849" s="98" t="s">
        <v>2602</v>
      </c>
      <c r="D849" s="98" t="s">
        <v>1732</v>
      </c>
      <c r="E849" s="98" t="s">
        <v>811</v>
      </c>
      <c r="F849" s="98" t="n">
        <v>0</v>
      </c>
      <c r="G849" s="98" t="s">
        <v>2583</v>
      </c>
      <c r="H849" s="98" t="s">
        <v>1703</v>
      </c>
      <c r="I849" s="98" t="s">
        <v>1704</v>
      </c>
      <c r="J849" s="98" t="s">
        <v>1705</v>
      </c>
      <c r="K849" s="98" t="s">
        <v>1706</v>
      </c>
    </row>
    <row r="850" customFormat="false" ht="64" hidden="false" customHeight="true" outlineLevel="0" collapsed="false">
      <c r="C850" s="98" t="s">
        <v>2603</v>
      </c>
      <c r="D850" s="98" t="s">
        <v>1734</v>
      </c>
      <c r="E850" s="98" t="s">
        <v>811</v>
      </c>
      <c r="F850" s="98" t="n">
        <v>0</v>
      </c>
      <c r="G850" s="98" t="s">
        <v>2583</v>
      </c>
      <c r="H850" s="98" t="s">
        <v>1703</v>
      </c>
      <c r="I850" s="98" t="s">
        <v>1704</v>
      </c>
      <c r="J850" s="98" t="s">
        <v>1705</v>
      </c>
      <c r="K850" s="98" t="s">
        <v>1706</v>
      </c>
    </row>
    <row r="851" customFormat="false" ht="64" hidden="false" customHeight="true" outlineLevel="0" collapsed="false">
      <c r="C851" s="98" t="s">
        <v>2604</v>
      </c>
      <c r="D851" s="98" t="s">
        <v>1736</v>
      </c>
      <c r="E851" s="98" t="s">
        <v>811</v>
      </c>
      <c r="F851" s="98" t="n">
        <v>0</v>
      </c>
      <c r="G851" s="98" t="s">
        <v>2583</v>
      </c>
      <c r="H851" s="98" t="s">
        <v>1703</v>
      </c>
      <c r="I851" s="98" t="s">
        <v>1704</v>
      </c>
      <c r="J851" s="98" t="s">
        <v>1705</v>
      </c>
      <c r="K851" s="98" t="s">
        <v>1706</v>
      </c>
    </row>
    <row r="852" customFormat="false" ht="64" hidden="false" customHeight="true" outlineLevel="0" collapsed="false">
      <c r="C852" s="98" t="s">
        <v>2605</v>
      </c>
      <c r="D852" s="98" t="s">
        <v>1738</v>
      </c>
      <c r="E852" s="98" t="s">
        <v>811</v>
      </c>
      <c r="F852" s="98" t="n">
        <v>0</v>
      </c>
      <c r="G852" s="98" t="s">
        <v>2583</v>
      </c>
      <c r="H852" s="98" t="s">
        <v>1703</v>
      </c>
      <c r="I852" s="98" t="s">
        <v>1704</v>
      </c>
      <c r="J852" s="98" t="s">
        <v>1705</v>
      </c>
      <c r="K852" s="98" t="s">
        <v>1706</v>
      </c>
    </row>
    <row r="853" customFormat="false" ht="64" hidden="false" customHeight="true" outlineLevel="0" collapsed="false">
      <c r="C853" s="98" t="s">
        <v>2606</v>
      </c>
      <c r="D853" s="98" t="s">
        <v>1740</v>
      </c>
      <c r="E853" s="98" t="s">
        <v>811</v>
      </c>
      <c r="F853" s="98" t="n">
        <v>0</v>
      </c>
      <c r="G853" s="98" t="s">
        <v>2583</v>
      </c>
      <c r="H853" s="98" t="s">
        <v>1703</v>
      </c>
      <c r="I853" s="98" t="s">
        <v>1704</v>
      </c>
      <c r="J853" s="98" t="s">
        <v>1705</v>
      </c>
      <c r="K853" s="98" t="s">
        <v>1706</v>
      </c>
    </row>
    <row r="854" customFormat="false" ht="64" hidden="false" customHeight="true" outlineLevel="0" collapsed="false">
      <c r="C854" s="98" t="s">
        <v>2607</v>
      </c>
      <c r="D854" s="98" t="s">
        <v>1742</v>
      </c>
      <c r="E854" s="98" t="s">
        <v>811</v>
      </c>
      <c r="F854" s="98" t="n">
        <v>0</v>
      </c>
      <c r="G854" s="98" t="s">
        <v>2583</v>
      </c>
      <c r="H854" s="98" t="s">
        <v>1703</v>
      </c>
      <c r="I854" s="98" t="s">
        <v>1704</v>
      </c>
      <c r="J854" s="98" t="s">
        <v>1705</v>
      </c>
      <c r="K854" s="98" t="s">
        <v>1706</v>
      </c>
    </row>
    <row r="855" customFormat="false" ht="64" hidden="false" customHeight="true" outlineLevel="0" collapsed="false">
      <c r="C855" s="98" t="s">
        <v>2608</v>
      </c>
      <c r="D855" s="98" t="s">
        <v>1744</v>
      </c>
      <c r="E855" s="98" t="s">
        <v>811</v>
      </c>
      <c r="F855" s="98" t="n">
        <v>0</v>
      </c>
      <c r="G855" s="98" t="s">
        <v>2583</v>
      </c>
      <c r="H855" s="98" t="s">
        <v>1703</v>
      </c>
      <c r="I855" s="98" t="s">
        <v>1704</v>
      </c>
      <c r="J855" s="98" t="s">
        <v>1705</v>
      </c>
      <c r="K855" s="98" t="s">
        <v>1706</v>
      </c>
    </row>
    <row r="856" customFormat="false" ht="64" hidden="false" customHeight="true" outlineLevel="0" collapsed="false">
      <c r="C856" s="98" t="s">
        <v>2609</v>
      </c>
      <c r="D856" s="98" t="s">
        <v>1746</v>
      </c>
      <c r="E856" s="98" t="s">
        <v>811</v>
      </c>
      <c r="F856" s="98" t="n">
        <v>0</v>
      </c>
      <c r="G856" s="98" t="s">
        <v>2583</v>
      </c>
      <c r="H856" s="98" t="s">
        <v>1703</v>
      </c>
      <c r="I856" s="98" t="s">
        <v>1704</v>
      </c>
      <c r="J856" s="98" t="s">
        <v>1705</v>
      </c>
      <c r="K856" s="98" t="s">
        <v>1706</v>
      </c>
    </row>
    <row r="857" customFormat="false" ht="64" hidden="false" customHeight="true" outlineLevel="0" collapsed="false">
      <c r="C857" s="98" t="s">
        <v>2610</v>
      </c>
      <c r="D857" s="98" t="s">
        <v>1748</v>
      </c>
      <c r="E857" s="98" t="s">
        <v>811</v>
      </c>
      <c r="F857" s="98" t="n">
        <v>0</v>
      </c>
      <c r="G857" s="98" t="s">
        <v>2583</v>
      </c>
      <c r="H857" s="98" t="s">
        <v>1703</v>
      </c>
      <c r="I857" s="98" t="s">
        <v>1704</v>
      </c>
      <c r="J857" s="98" t="s">
        <v>1705</v>
      </c>
      <c r="K857" s="98" t="s">
        <v>1706</v>
      </c>
    </row>
    <row r="858" customFormat="false" ht="64" hidden="false" customHeight="true" outlineLevel="0" collapsed="false">
      <c r="C858" s="98" t="s">
        <v>2611</v>
      </c>
      <c r="D858" s="98" t="s">
        <v>1750</v>
      </c>
      <c r="E858" s="98" t="s">
        <v>811</v>
      </c>
      <c r="F858" s="98" t="n">
        <v>0</v>
      </c>
      <c r="G858" s="98" t="s">
        <v>2583</v>
      </c>
      <c r="H858" s="98" t="s">
        <v>1703</v>
      </c>
      <c r="I858" s="98" t="s">
        <v>1704</v>
      </c>
      <c r="J858" s="98" t="s">
        <v>1705</v>
      </c>
      <c r="K858" s="98" t="s">
        <v>1706</v>
      </c>
    </row>
    <row r="859" customFormat="false" ht="64" hidden="false" customHeight="true" outlineLevel="0" collapsed="false">
      <c r="C859" s="98" t="s">
        <v>2612</v>
      </c>
      <c r="D859" s="98" t="s">
        <v>1752</v>
      </c>
      <c r="E859" s="98" t="s">
        <v>811</v>
      </c>
      <c r="F859" s="98" t="n">
        <v>50</v>
      </c>
      <c r="G859" s="98" t="s">
        <v>2583</v>
      </c>
      <c r="H859" s="98" t="s">
        <v>1703</v>
      </c>
      <c r="I859" s="98" t="s">
        <v>1704</v>
      </c>
      <c r="J859" s="98" t="s">
        <v>1705</v>
      </c>
      <c r="K859" s="98" t="s">
        <v>1706</v>
      </c>
    </row>
    <row r="860" customFormat="false" ht="64" hidden="false" customHeight="true" outlineLevel="0" collapsed="false">
      <c r="C860" s="98" t="s">
        <v>2613</v>
      </c>
      <c r="D860" s="98" t="s">
        <v>1754</v>
      </c>
      <c r="E860" s="98" t="s">
        <v>811</v>
      </c>
      <c r="F860" s="98" t="n">
        <v>0</v>
      </c>
      <c r="G860" s="98" t="s">
        <v>2583</v>
      </c>
      <c r="H860" s="98" t="s">
        <v>1703</v>
      </c>
      <c r="I860" s="98" t="s">
        <v>1704</v>
      </c>
      <c r="J860" s="98" t="s">
        <v>1705</v>
      </c>
      <c r="K860" s="98" t="s">
        <v>1706</v>
      </c>
    </row>
    <row r="861" customFormat="false" ht="64" hidden="false" customHeight="true" outlineLevel="0" collapsed="false">
      <c r="C861" s="98" t="s">
        <v>2614</v>
      </c>
      <c r="D861" s="98" t="s">
        <v>1756</v>
      </c>
      <c r="E861" s="98" t="s">
        <v>811</v>
      </c>
      <c r="F861" s="98" t="n">
        <v>0</v>
      </c>
      <c r="G861" s="98" t="s">
        <v>2583</v>
      </c>
      <c r="H861" s="98" t="s">
        <v>1703</v>
      </c>
      <c r="I861" s="98" t="s">
        <v>1704</v>
      </c>
      <c r="J861" s="98" t="s">
        <v>1705</v>
      </c>
      <c r="K861" s="98" t="s">
        <v>1706</v>
      </c>
    </row>
    <row r="862" customFormat="false" ht="64" hidden="false" customHeight="true" outlineLevel="0" collapsed="false">
      <c r="C862" s="98" t="s">
        <v>2615</v>
      </c>
      <c r="D862" s="98" t="s">
        <v>1758</v>
      </c>
      <c r="E862" s="98" t="s">
        <v>811</v>
      </c>
      <c r="F862" s="98" t="n">
        <v>0</v>
      </c>
      <c r="G862" s="98" t="s">
        <v>2583</v>
      </c>
      <c r="H862" s="98" t="s">
        <v>1703</v>
      </c>
      <c r="I862" s="98" t="s">
        <v>1704</v>
      </c>
      <c r="J862" s="98" t="s">
        <v>1705</v>
      </c>
      <c r="K862" s="98" t="s">
        <v>1706</v>
      </c>
    </row>
    <row r="863" customFormat="false" ht="64" hidden="false" customHeight="true" outlineLevel="0" collapsed="false">
      <c r="C863" s="98" t="s">
        <v>2616</v>
      </c>
      <c r="D863" s="98" t="s">
        <v>1760</v>
      </c>
      <c r="E863" s="98" t="s">
        <v>811</v>
      </c>
      <c r="F863" s="98" t="n">
        <v>0</v>
      </c>
      <c r="G863" s="98" t="s">
        <v>2583</v>
      </c>
      <c r="H863" s="98" t="s">
        <v>1703</v>
      </c>
      <c r="I863" s="98" t="s">
        <v>1704</v>
      </c>
      <c r="J863" s="98" t="s">
        <v>1705</v>
      </c>
      <c r="K863" s="98" t="s">
        <v>1706</v>
      </c>
    </row>
    <row r="864" customFormat="false" ht="64" hidden="false" customHeight="true" outlineLevel="0" collapsed="false">
      <c r="C864" s="98" t="s">
        <v>2617</v>
      </c>
      <c r="D864" s="98" t="s">
        <v>1762</v>
      </c>
      <c r="E864" s="98" t="s">
        <v>811</v>
      </c>
      <c r="F864" s="98" t="n">
        <v>0</v>
      </c>
      <c r="G864" s="98" t="s">
        <v>2583</v>
      </c>
      <c r="H864" s="98" t="s">
        <v>1703</v>
      </c>
      <c r="I864" s="98" t="s">
        <v>1704</v>
      </c>
      <c r="J864" s="98" t="s">
        <v>1705</v>
      </c>
      <c r="K864" s="98" t="s">
        <v>1706</v>
      </c>
    </row>
    <row r="865" customFormat="false" ht="64" hidden="false" customHeight="true" outlineLevel="0" collapsed="false">
      <c r="C865" s="98" t="s">
        <v>2618</v>
      </c>
      <c r="D865" s="98" t="s">
        <v>1764</v>
      </c>
      <c r="E865" s="98" t="s">
        <v>811</v>
      </c>
      <c r="F865" s="98" t="n">
        <v>0</v>
      </c>
      <c r="G865" s="98" t="s">
        <v>2583</v>
      </c>
      <c r="H865" s="98" t="s">
        <v>1703</v>
      </c>
      <c r="I865" s="98" t="s">
        <v>1704</v>
      </c>
      <c r="J865" s="98" t="s">
        <v>1705</v>
      </c>
      <c r="K865" s="98" t="s">
        <v>1706</v>
      </c>
    </row>
    <row r="866" customFormat="false" ht="64" hidden="false" customHeight="true" outlineLevel="0" collapsed="false">
      <c r="C866" s="98" t="s">
        <v>2619</v>
      </c>
      <c r="D866" s="98" t="s">
        <v>1829</v>
      </c>
      <c r="E866" s="98" t="s">
        <v>811</v>
      </c>
      <c r="F866" s="98" t="n">
        <v>0</v>
      </c>
      <c r="G866" s="98" t="s">
        <v>2546</v>
      </c>
      <c r="H866" s="98" t="s">
        <v>1703</v>
      </c>
      <c r="I866" s="98" t="s">
        <v>1704</v>
      </c>
      <c r="J866" s="98" t="s">
        <v>1705</v>
      </c>
      <c r="K866" s="98" t="s">
        <v>1706</v>
      </c>
    </row>
    <row r="867" customFormat="false" ht="64" hidden="false" customHeight="true" outlineLevel="0" collapsed="false">
      <c r="C867" s="98" t="s">
        <v>2620</v>
      </c>
      <c r="D867" s="98" t="s">
        <v>1833</v>
      </c>
      <c r="E867" s="98" t="s">
        <v>811</v>
      </c>
      <c r="F867" s="98" t="n">
        <v>0</v>
      </c>
      <c r="G867" s="98" t="s">
        <v>2546</v>
      </c>
      <c r="H867" s="98" t="s">
        <v>1703</v>
      </c>
      <c r="I867" s="98" t="s">
        <v>1704</v>
      </c>
      <c r="J867" s="98" t="s">
        <v>1705</v>
      </c>
      <c r="K867" s="98" t="s">
        <v>1706</v>
      </c>
    </row>
    <row r="868" customFormat="false" ht="64" hidden="false" customHeight="true" outlineLevel="0" collapsed="false">
      <c r="C868" s="98" t="s">
        <v>2621</v>
      </c>
      <c r="D868" s="98" t="s">
        <v>1835</v>
      </c>
      <c r="E868" s="98" t="s">
        <v>811</v>
      </c>
      <c r="F868" s="98" t="n">
        <v>0</v>
      </c>
      <c r="G868" s="98" t="s">
        <v>2546</v>
      </c>
      <c r="H868" s="98" t="s">
        <v>1703</v>
      </c>
      <c r="I868" s="98" t="s">
        <v>1704</v>
      </c>
      <c r="J868" s="98" t="s">
        <v>1705</v>
      </c>
      <c r="K868" s="98" t="s">
        <v>1706</v>
      </c>
    </row>
    <row r="869" customFormat="false" ht="64" hidden="false" customHeight="true" outlineLevel="0" collapsed="false">
      <c r="C869" s="98" t="s">
        <v>2622</v>
      </c>
      <c r="D869" s="98" t="s">
        <v>1044</v>
      </c>
      <c r="E869" s="98" t="s">
        <v>811</v>
      </c>
      <c r="F869" s="98" t="n">
        <v>0</v>
      </c>
      <c r="G869" s="98" t="s">
        <v>2546</v>
      </c>
      <c r="H869" s="98" t="s">
        <v>1703</v>
      </c>
      <c r="I869" s="98" t="s">
        <v>1704</v>
      </c>
      <c r="J869" s="98" t="s">
        <v>1705</v>
      </c>
      <c r="K869" s="98" t="s">
        <v>1706</v>
      </c>
    </row>
    <row r="870" customFormat="false" ht="64" hidden="false" customHeight="true" outlineLevel="0" collapsed="false">
      <c r="C870" s="98" t="s">
        <v>2623</v>
      </c>
      <c r="D870" s="98" t="s">
        <v>1838</v>
      </c>
      <c r="E870" s="98" t="s">
        <v>811</v>
      </c>
      <c r="F870" s="98" t="n">
        <v>0</v>
      </c>
      <c r="G870" s="98" t="s">
        <v>2546</v>
      </c>
      <c r="H870" s="98" t="s">
        <v>1703</v>
      </c>
      <c r="I870" s="98" t="s">
        <v>1704</v>
      </c>
      <c r="J870" s="98" t="s">
        <v>1705</v>
      </c>
      <c r="K870" s="98" t="s">
        <v>1706</v>
      </c>
    </row>
    <row r="871" customFormat="false" ht="64" hidden="false" customHeight="true" outlineLevel="0" collapsed="false">
      <c r="C871" s="98" t="s">
        <v>2624</v>
      </c>
      <c r="D871" s="98" t="s">
        <v>1840</v>
      </c>
      <c r="E871" s="98" t="s">
        <v>811</v>
      </c>
      <c r="F871" s="98" t="n">
        <v>0</v>
      </c>
      <c r="G871" s="98" t="s">
        <v>2546</v>
      </c>
      <c r="H871" s="98" t="s">
        <v>1703</v>
      </c>
      <c r="I871" s="98" t="s">
        <v>1704</v>
      </c>
      <c r="J871" s="98" t="s">
        <v>1705</v>
      </c>
      <c r="K871" s="98" t="s">
        <v>1706</v>
      </c>
    </row>
    <row r="872" customFormat="false" ht="64" hidden="false" customHeight="true" outlineLevel="0" collapsed="false">
      <c r="C872" s="98" t="s">
        <v>2625</v>
      </c>
      <c r="D872" s="98" t="s">
        <v>1700</v>
      </c>
      <c r="E872" s="98" t="s">
        <v>811</v>
      </c>
      <c r="F872" s="98" t="n">
        <v>0</v>
      </c>
      <c r="G872" s="98" t="s">
        <v>2546</v>
      </c>
      <c r="H872" s="98" t="s">
        <v>1703</v>
      </c>
      <c r="I872" s="98" t="s">
        <v>1704</v>
      </c>
      <c r="J872" s="98" t="s">
        <v>1705</v>
      </c>
      <c r="K872" s="98" t="s">
        <v>1706</v>
      </c>
    </row>
    <row r="873" customFormat="false" ht="64" hidden="false" customHeight="true" outlineLevel="0" collapsed="false">
      <c r="C873" s="98" t="s">
        <v>2626</v>
      </c>
      <c r="D873" s="98" t="s">
        <v>1708</v>
      </c>
      <c r="E873" s="98" t="s">
        <v>811</v>
      </c>
      <c r="F873" s="98" t="n">
        <v>0</v>
      </c>
      <c r="G873" s="98" t="s">
        <v>2546</v>
      </c>
      <c r="H873" s="98" t="s">
        <v>1703</v>
      </c>
      <c r="I873" s="98" t="s">
        <v>1704</v>
      </c>
      <c r="J873" s="98" t="s">
        <v>1705</v>
      </c>
      <c r="K873" s="98" t="s">
        <v>1706</v>
      </c>
    </row>
    <row r="874" customFormat="false" ht="64" hidden="false" customHeight="true" outlineLevel="0" collapsed="false">
      <c r="C874" s="98" t="s">
        <v>2627</v>
      </c>
      <c r="D874" s="98" t="s">
        <v>1710</v>
      </c>
      <c r="E874" s="98" t="s">
        <v>811</v>
      </c>
      <c r="F874" s="98" t="n">
        <v>0</v>
      </c>
      <c r="G874" s="98" t="s">
        <v>2546</v>
      </c>
      <c r="H874" s="98" t="s">
        <v>1703</v>
      </c>
      <c r="I874" s="98" t="s">
        <v>1704</v>
      </c>
      <c r="J874" s="98" t="s">
        <v>1705</v>
      </c>
      <c r="K874" s="98" t="s">
        <v>1706</v>
      </c>
    </row>
    <row r="875" customFormat="false" ht="64" hidden="false" customHeight="true" outlineLevel="0" collapsed="false">
      <c r="C875" s="98" t="s">
        <v>2628</v>
      </c>
      <c r="D875" s="98" t="s">
        <v>1712</v>
      </c>
      <c r="E875" s="98" t="s">
        <v>811</v>
      </c>
      <c r="F875" s="98" t="n">
        <v>0</v>
      </c>
      <c r="G875" s="98" t="s">
        <v>2546</v>
      </c>
      <c r="H875" s="98" t="s">
        <v>1703</v>
      </c>
      <c r="I875" s="98" t="s">
        <v>1704</v>
      </c>
      <c r="J875" s="98" t="s">
        <v>1705</v>
      </c>
      <c r="K875" s="98" t="s">
        <v>1706</v>
      </c>
    </row>
    <row r="876" customFormat="false" ht="64" hidden="false" customHeight="true" outlineLevel="0" collapsed="false">
      <c r="C876" s="98" t="s">
        <v>2629</v>
      </c>
      <c r="D876" s="98" t="s">
        <v>1714</v>
      </c>
      <c r="E876" s="98" t="s">
        <v>811</v>
      </c>
      <c r="F876" s="98" t="n">
        <v>0</v>
      </c>
      <c r="G876" s="98" t="s">
        <v>2546</v>
      </c>
      <c r="H876" s="98" t="s">
        <v>1703</v>
      </c>
      <c r="I876" s="98" t="s">
        <v>1704</v>
      </c>
      <c r="J876" s="98" t="s">
        <v>1705</v>
      </c>
      <c r="K876" s="98" t="s">
        <v>1706</v>
      </c>
    </row>
    <row r="877" customFormat="false" ht="64" hidden="false" customHeight="true" outlineLevel="0" collapsed="false">
      <c r="C877" s="98" t="s">
        <v>2630</v>
      </c>
      <c r="D877" s="98" t="s">
        <v>1716</v>
      </c>
      <c r="E877" s="98" t="s">
        <v>811</v>
      </c>
      <c r="F877" s="98" t="n">
        <v>0</v>
      </c>
      <c r="G877" s="98" t="s">
        <v>2546</v>
      </c>
      <c r="H877" s="98" t="s">
        <v>1703</v>
      </c>
      <c r="I877" s="98" t="s">
        <v>1704</v>
      </c>
      <c r="J877" s="98" t="s">
        <v>1705</v>
      </c>
      <c r="K877" s="98" t="s">
        <v>1706</v>
      </c>
    </row>
    <row r="878" customFormat="false" ht="64" hidden="false" customHeight="true" outlineLevel="0" collapsed="false">
      <c r="C878" s="98" t="s">
        <v>2631</v>
      </c>
      <c r="D878" s="98" t="s">
        <v>1718</v>
      </c>
      <c r="E878" s="98" t="s">
        <v>811</v>
      </c>
      <c r="F878" s="98" t="n">
        <v>0</v>
      </c>
      <c r="G878" s="98" t="s">
        <v>2546</v>
      </c>
      <c r="H878" s="98" t="s">
        <v>1703</v>
      </c>
      <c r="I878" s="98" t="s">
        <v>1704</v>
      </c>
      <c r="J878" s="98" t="s">
        <v>1705</v>
      </c>
      <c r="K878" s="98" t="s">
        <v>1706</v>
      </c>
    </row>
    <row r="879" customFormat="false" ht="64" hidden="false" customHeight="true" outlineLevel="0" collapsed="false">
      <c r="C879" s="98" t="s">
        <v>2632</v>
      </c>
      <c r="D879" s="98" t="s">
        <v>1720</v>
      </c>
      <c r="E879" s="98" t="s">
        <v>811</v>
      </c>
      <c r="F879" s="98" t="n">
        <v>0</v>
      </c>
      <c r="G879" s="98" t="s">
        <v>2546</v>
      </c>
      <c r="H879" s="98" t="s">
        <v>1703</v>
      </c>
      <c r="I879" s="98" t="s">
        <v>1704</v>
      </c>
      <c r="J879" s="98" t="s">
        <v>1705</v>
      </c>
      <c r="K879" s="98" t="s">
        <v>1706</v>
      </c>
    </row>
    <row r="880" customFormat="false" ht="64" hidden="false" customHeight="true" outlineLevel="0" collapsed="false">
      <c r="C880" s="98" t="s">
        <v>2633</v>
      </c>
      <c r="D880" s="98" t="s">
        <v>1722</v>
      </c>
      <c r="E880" s="98" t="s">
        <v>811</v>
      </c>
      <c r="F880" s="98" t="n">
        <v>0</v>
      </c>
      <c r="G880" s="98" t="s">
        <v>2546</v>
      </c>
      <c r="H880" s="98" t="s">
        <v>1703</v>
      </c>
      <c r="I880" s="98" t="s">
        <v>1704</v>
      </c>
      <c r="J880" s="98" t="s">
        <v>1705</v>
      </c>
      <c r="K880" s="98" t="s">
        <v>1706</v>
      </c>
    </row>
    <row r="881" customFormat="false" ht="64" hidden="false" customHeight="true" outlineLevel="0" collapsed="false">
      <c r="C881" s="98" t="s">
        <v>2634</v>
      </c>
      <c r="D881" s="98" t="s">
        <v>1724</v>
      </c>
      <c r="E881" s="98" t="s">
        <v>811</v>
      </c>
      <c r="F881" s="98" t="n">
        <v>0</v>
      </c>
      <c r="G881" s="98" t="s">
        <v>2546</v>
      </c>
      <c r="H881" s="98" t="s">
        <v>1703</v>
      </c>
      <c r="I881" s="98" t="s">
        <v>1704</v>
      </c>
      <c r="J881" s="98" t="s">
        <v>1705</v>
      </c>
      <c r="K881" s="98" t="s">
        <v>1706</v>
      </c>
    </row>
    <row r="882" customFormat="false" ht="64" hidden="false" customHeight="true" outlineLevel="0" collapsed="false">
      <c r="C882" s="98" t="s">
        <v>2635</v>
      </c>
      <c r="D882" s="98" t="s">
        <v>1726</v>
      </c>
      <c r="E882" s="98" t="s">
        <v>811</v>
      </c>
      <c r="F882" s="98" t="n">
        <v>0</v>
      </c>
      <c r="G882" s="98" t="s">
        <v>2546</v>
      </c>
      <c r="H882" s="98" t="s">
        <v>1703</v>
      </c>
      <c r="I882" s="98" t="s">
        <v>1704</v>
      </c>
      <c r="J882" s="98" t="s">
        <v>1705</v>
      </c>
      <c r="K882" s="98" t="s">
        <v>1706</v>
      </c>
    </row>
    <row r="883" customFormat="false" ht="64" hidden="false" customHeight="true" outlineLevel="0" collapsed="false">
      <c r="C883" s="98" t="s">
        <v>2636</v>
      </c>
      <c r="D883" s="98" t="s">
        <v>1728</v>
      </c>
      <c r="E883" s="98" t="s">
        <v>811</v>
      </c>
      <c r="F883" s="98" t="n">
        <v>0</v>
      </c>
      <c r="G883" s="98" t="s">
        <v>2546</v>
      </c>
      <c r="H883" s="98" t="s">
        <v>1703</v>
      </c>
      <c r="I883" s="98" t="s">
        <v>1704</v>
      </c>
      <c r="J883" s="98" t="s">
        <v>1705</v>
      </c>
      <c r="K883" s="98" t="s">
        <v>1706</v>
      </c>
    </row>
    <row r="884" customFormat="false" ht="64" hidden="false" customHeight="true" outlineLevel="0" collapsed="false">
      <c r="C884" s="98" t="s">
        <v>2637</v>
      </c>
      <c r="D884" s="98" t="s">
        <v>1730</v>
      </c>
      <c r="E884" s="98" t="s">
        <v>811</v>
      </c>
      <c r="F884" s="98" t="n">
        <v>0</v>
      </c>
      <c r="G884" s="98" t="s">
        <v>2546</v>
      </c>
      <c r="H884" s="98" t="s">
        <v>1703</v>
      </c>
      <c r="I884" s="98" t="s">
        <v>1704</v>
      </c>
      <c r="J884" s="98" t="s">
        <v>1705</v>
      </c>
      <c r="K884" s="98" t="s">
        <v>1706</v>
      </c>
    </row>
    <row r="885" customFormat="false" ht="64" hidden="false" customHeight="true" outlineLevel="0" collapsed="false">
      <c r="C885" s="98" t="s">
        <v>2638</v>
      </c>
      <c r="D885" s="98" t="s">
        <v>1732</v>
      </c>
      <c r="E885" s="98" t="s">
        <v>811</v>
      </c>
      <c r="F885" s="98" t="n">
        <v>0</v>
      </c>
      <c r="G885" s="98" t="s">
        <v>2546</v>
      </c>
      <c r="H885" s="98" t="s">
        <v>1703</v>
      </c>
      <c r="I885" s="98" t="s">
        <v>1704</v>
      </c>
      <c r="J885" s="98" t="s">
        <v>1705</v>
      </c>
      <c r="K885" s="98" t="s">
        <v>1706</v>
      </c>
    </row>
    <row r="886" customFormat="false" ht="64" hidden="false" customHeight="true" outlineLevel="0" collapsed="false">
      <c r="C886" s="98" t="s">
        <v>2639</v>
      </c>
      <c r="D886" s="98" t="s">
        <v>1734</v>
      </c>
      <c r="E886" s="98" t="s">
        <v>811</v>
      </c>
      <c r="F886" s="98" t="n">
        <v>0</v>
      </c>
      <c r="G886" s="98" t="s">
        <v>2546</v>
      </c>
      <c r="H886" s="98" t="s">
        <v>1703</v>
      </c>
      <c r="I886" s="98" t="s">
        <v>1704</v>
      </c>
      <c r="J886" s="98" t="s">
        <v>1705</v>
      </c>
      <c r="K886" s="98" t="s">
        <v>1706</v>
      </c>
    </row>
    <row r="887" customFormat="false" ht="64" hidden="false" customHeight="true" outlineLevel="0" collapsed="false">
      <c r="C887" s="98" t="s">
        <v>2640</v>
      </c>
      <c r="D887" s="98" t="s">
        <v>1736</v>
      </c>
      <c r="E887" s="98" t="s">
        <v>811</v>
      </c>
      <c r="F887" s="98" t="n">
        <v>0</v>
      </c>
      <c r="G887" s="98" t="s">
        <v>2546</v>
      </c>
      <c r="H887" s="98" t="s">
        <v>1703</v>
      </c>
      <c r="I887" s="98" t="s">
        <v>1704</v>
      </c>
      <c r="J887" s="98" t="s">
        <v>1705</v>
      </c>
      <c r="K887" s="98" t="s">
        <v>1706</v>
      </c>
    </row>
    <row r="888" customFormat="false" ht="64" hidden="false" customHeight="true" outlineLevel="0" collapsed="false">
      <c r="C888" s="98" t="s">
        <v>2641</v>
      </c>
      <c r="D888" s="98" t="s">
        <v>1738</v>
      </c>
      <c r="E888" s="98" t="s">
        <v>811</v>
      </c>
      <c r="F888" s="98" t="n">
        <v>0</v>
      </c>
      <c r="G888" s="98" t="s">
        <v>2546</v>
      </c>
      <c r="H888" s="98" t="s">
        <v>1703</v>
      </c>
      <c r="I888" s="98" t="s">
        <v>1704</v>
      </c>
      <c r="J888" s="98" t="s">
        <v>1705</v>
      </c>
      <c r="K888" s="98" t="s">
        <v>1706</v>
      </c>
    </row>
    <row r="889" customFormat="false" ht="64" hidden="false" customHeight="true" outlineLevel="0" collapsed="false">
      <c r="C889" s="98" t="s">
        <v>2642</v>
      </c>
      <c r="D889" s="98" t="s">
        <v>1740</v>
      </c>
      <c r="E889" s="98" t="s">
        <v>811</v>
      </c>
      <c r="F889" s="98" t="n">
        <v>0</v>
      </c>
      <c r="G889" s="98" t="s">
        <v>2546</v>
      </c>
      <c r="H889" s="98" t="s">
        <v>1703</v>
      </c>
      <c r="I889" s="98" t="s">
        <v>1704</v>
      </c>
      <c r="J889" s="98" t="s">
        <v>1705</v>
      </c>
      <c r="K889" s="98" t="s">
        <v>1706</v>
      </c>
    </row>
    <row r="890" customFormat="false" ht="64" hidden="false" customHeight="true" outlineLevel="0" collapsed="false">
      <c r="C890" s="98" t="s">
        <v>2643</v>
      </c>
      <c r="D890" s="98" t="s">
        <v>1742</v>
      </c>
      <c r="E890" s="98" t="s">
        <v>811</v>
      </c>
      <c r="F890" s="98" t="n">
        <v>0</v>
      </c>
      <c r="G890" s="98" t="s">
        <v>2546</v>
      </c>
      <c r="H890" s="98" t="s">
        <v>1703</v>
      </c>
      <c r="I890" s="98" t="s">
        <v>1704</v>
      </c>
      <c r="J890" s="98" t="s">
        <v>1705</v>
      </c>
      <c r="K890" s="98" t="s">
        <v>1706</v>
      </c>
    </row>
    <row r="891" customFormat="false" ht="64" hidden="false" customHeight="true" outlineLevel="0" collapsed="false">
      <c r="C891" s="98" t="s">
        <v>2644</v>
      </c>
      <c r="D891" s="98" t="s">
        <v>1744</v>
      </c>
      <c r="E891" s="98" t="s">
        <v>811</v>
      </c>
      <c r="F891" s="98" t="n">
        <v>0</v>
      </c>
      <c r="G891" s="98" t="s">
        <v>2546</v>
      </c>
      <c r="H891" s="98" t="s">
        <v>1703</v>
      </c>
      <c r="I891" s="98" t="s">
        <v>1704</v>
      </c>
      <c r="J891" s="98" t="s">
        <v>1705</v>
      </c>
      <c r="K891" s="98" t="s">
        <v>1706</v>
      </c>
    </row>
    <row r="892" customFormat="false" ht="64" hidden="false" customHeight="true" outlineLevel="0" collapsed="false">
      <c r="C892" s="98" t="s">
        <v>2645</v>
      </c>
      <c r="D892" s="98" t="s">
        <v>1746</v>
      </c>
      <c r="E892" s="98" t="s">
        <v>811</v>
      </c>
      <c r="F892" s="98" t="n">
        <v>0</v>
      </c>
      <c r="G892" s="98" t="s">
        <v>2546</v>
      </c>
      <c r="H892" s="98" t="s">
        <v>1703</v>
      </c>
      <c r="I892" s="98" t="s">
        <v>1704</v>
      </c>
      <c r="J892" s="98" t="s">
        <v>1705</v>
      </c>
      <c r="K892" s="98" t="s">
        <v>1706</v>
      </c>
    </row>
    <row r="893" customFormat="false" ht="64" hidden="false" customHeight="true" outlineLevel="0" collapsed="false">
      <c r="C893" s="98" t="s">
        <v>2646</v>
      </c>
      <c r="D893" s="98" t="s">
        <v>1748</v>
      </c>
      <c r="E893" s="98" t="s">
        <v>811</v>
      </c>
      <c r="F893" s="98" t="n">
        <v>0</v>
      </c>
      <c r="G893" s="98" t="s">
        <v>2546</v>
      </c>
      <c r="H893" s="98" t="s">
        <v>1703</v>
      </c>
      <c r="I893" s="98" t="s">
        <v>1704</v>
      </c>
      <c r="J893" s="98" t="s">
        <v>1705</v>
      </c>
      <c r="K893" s="98" t="s">
        <v>1706</v>
      </c>
    </row>
    <row r="894" customFormat="false" ht="64" hidden="false" customHeight="true" outlineLevel="0" collapsed="false">
      <c r="C894" s="98" t="s">
        <v>2647</v>
      </c>
      <c r="D894" s="98" t="s">
        <v>1750</v>
      </c>
      <c r="E894" s="98" t="s">
        <v>811</v>
      </c>
      <c r="F894" s="98" t="n">
        <v>0</v>
      </c>
      <c r="G894" s="98" t="s">
        <v>2546</v>
      </c>
      <c r="H894" s="98" t="s">
        <v>1703</v>
      </c>
      <c r="I894" s="98" t="s">
        <v>1704</v>
      </c>
      <c r="J894" s="98" t="s">
        <v>1705</v>
      </c>
      <c r="K894" s="98" t="s">
        <v>1706</v>
      </c>
    </row>
    <row r="895" customFormat="false" ht="64" hidden="false" customHeight="true" outlineLevel="0" collapsed="false">
      <c r="C895" s="98" t="s">
        <v>2648</v>
      </c>
      <c r="D895" s="98" t="s">
        <v>1752</v>
      </c>
      <c r="E895" s="98" t="s">
        <v>811</v>
      </c>
      <c r="F895" s="98" t="n">
        <v>0</v>
      </c>
      <c r="G895" s="98" t="s">
        <v>2546</v>
      </c>
      <c r="H895" s="98" t="s">
        <v>1703</v>
      </c>
      <c r="I895" s="98" t="s">
        <v>1704</v>
      </c>
      <c r="J895" s="98" t="s">
        <v>1705</v>
      </c>
      <c r="K895" s="98" t="s">
        <v>1706</v>
      </c>
    </row>
    <row r="896" customFormat="false" ht="64" hidden="false" customHeight="true" outlineLevel="0" collapsed="false">
      <c r="C896" s="98" t="s">
        <v>2649</v>
      </c>
      <c r="D896" s="98" t="s">
        <v>1754</v>
      </c>
      <c r="E896" s="98" t="s">
        <v>811</v>
      </c>
      <c r="F896" s="98" t="n">
        <v>0</v>
      </c>
      <c r="G896" s="98" t="s">
        <v>2546</v>
      </c>
      <c r="H896" s="98" t="s">
        <v>1703</v>
      </c>
      <c r="I896" s="98" t="s">
        <v>1704</v>
      </c>
      <c r="J896" s="98" t="s">
        <v>1705</v>
      </c>
      <c r="K896" s="98" t="s">
        <v>1706</v>
      </c>
    </row>
    <row r="897" customFormat="false" ht="64" hidden="false" customHeight="true" outlineLevel="0" collapsed="false">
      <c r="C897" s="98" t="s">
        <v>2650</v>
      </c>
      <c r="D897" s="98" t="s">
        <v>1756</v>
      </c>
      <c r="E897" s="98" t="s">
        <v>811</v>
      </c>
      <c r="F897" s="98" t="n">
        <v>0</v>
      </c>
      <c r="G897" s="98" t="s">
        <v>2546</v>
      </c>
      <c r="H897" s="98" t="s">
        <v>1703</v>
      </c>
      <c r="I897" s="98" t="s">
        <v>1704</v>
      </c>
      <c r="J897" s="98" t="s">
        <v>1705</v>
      </c>
      <c r="K897" s="98" t="s">
        <v>1706</v>
      </c>
    </row>
    <row r="898" customFormat="false" ht="64" hidden="false" customHeight="true" outlineLevel="0" collapsed="false">
      <c r="C898" s="98" t="s">
        <v>2651</v>
      </c>
      <c r="D898" s="98" t="s">
        <v>1758</v>
      </c>
      <c r="E898" s="98" t="s">
        <v>811</v>
      </c>
      <c r="F898" s="98" t="n">
        <v>0</v>
      </c>
      <c r="G898" s="98" t="s">
        <v>2546</v>
      </c>
      <c r="H898" s="98" t="s">
        <v>1703</v>
      </c>
      <c r="I898" s="98" t="s">
        <v>1704</v>
      </c>
      <c r="J898" s="98" t="s">
        <v>1705</v>
      </c>
      <c r="K898" s="98" t="s">
        <v>1706</v>
      </c>
    </row>
    <row r="899" customFormat="false" ht="64" hidden="false" customHeight="true" outlineLevel="0" collapsed="false">
      <c r="C899" s="98" t="s">
        <v>2652</v>
      </c>
      <c r="D899" s="98" t="s">
        <v>1760</v>
      </c>
      <c r="E899" s="98" t="s">
        <v>811</v>
      </c>
      <c r="F899" s="98" t="n">
        <v>0</v>
      </c>
      <c r="G899" s="98" t="s">
        <v>2546</v>
      </c>
      <c r="H899" s="98" t="s">
        <v>1703</v>
      </c>
      <c r="I899" s="98" t="s">
        <v>1704</v>
      </c>
      <c r="J899" s="98" t="s">
        <v>1705</v>
      </c>
      <c r="K899" s="98" t="s">
        <v>1706</v>
      </c>
    </row>
    <row r="900" customFormat="false" ht="64" hidden="false" customHeight="true" outlineLevel="0" collapsed="false">
      <c r="C900" s="98" t="s">
        <v>2653</v>
      </c>
      <c r="D900" s="98" t="s">
        <v>1762</v>
      </c>
      <c r="E900" s="98" t="s">
        <v>811</v>
      </c>
      <c r="F900" s="98" t="n">
        <v>0</v>
      </c>
      <c r="G900" s="98" t="s">
        <v>2546</v>
      </c>
      <c r="H900" s="98" t="s">
        <v>1703</v>
      </c>
      <c r="I900" s="98" t="s">
        <v>1704</v>
      </c>
      <c r="J900" s="98" t="s">
        <v>1705</v>
      </c>
      <c r="K900" s="98" t="s">
        <v>1706</v>
      </c>
    </row>
    <row r="901" customFormat="false" ht="64" hidden="false" customHeight="true" outlineLevel="0" collapsed="false">
      <c r="C901" s="98" t="s">
        <v>2654</v>
      </c>
      <c r="D901" s="98" t="s">
        <v>1764</v>
      </c>
      <c r="E901" s="98" t="s">
        <v>811</v>
      </c>
      <c r="F901" s="98" t="n">
        <v>0</v>
      </c>
      <c r="G901" s="98" t="s">
        <v>2546</v>
      </c>
      <c r="H901" s="98" t="s">
        <v>1703</v>
      </c>
      <c r="I901" s="98" t="s">
        <v>1704</v>
      </c>
      <c r="J901" s="98" t="s">
        <v>1705</v>
      </c>
      <c r="K901" s="98" t="s">
        <v>1706</v>
      </c>
    </row>
    <row r="902" customFormat="false" ht="64" hidden="false" customHeight="true" outlineLevel="0" collapsed="false">
      <c r="C902" s="98" t="s">
        <v>2655</v>
      </c>
      <c r="D902" s="98" t="s">
        <v>1829</v>
      </c>
      <c r="E902" s="98" t="s">
        <v>811</v>
      </c>
      <c r="F902" s="98" t="n">
        <v>0</v>
      </c>
      <c r="G902" s="98" t="s">
        <v>2583</v>
      </c>
      <c r="H902" s="98" t="s">
        <v>1703</v>
      </c>
      <c r="I902" s="98" t="s">
        <v>1704</v>
      </c>
      <c r="J902" s="98" t="s">
        <v>1705</v>
      </c>
      <c r="K902" s="98" t="s">
        <v>1706</v>
      </c>
    </row>
    <row r="903" customFormat="false" ht="64" hidden="false" customHeight="true" outlineLevel="0" collapsed="false">
      <c r="C903" s="98" t="s">
        <v>2656</v>
      </c>
      <c r="D903" s="98" t="s">
        <v>1833</v>
      </c>
      <c r="E903" s="98" t="s">
        <v>811</v>
      </c>
      <c r="F903" s="98" t="n">
        <v>0</v>
      </c>
      <c r="G903" s="98" t="s">
        <v>2583</v>
      </c>
      <c r="H903" s="98" t="s">
        <v>1703</v>
      </c>
      <c r="I903" s="98" t="s">
        <v>1704</v>
      </c>
      <c r="J903" s="98" t="s">
        <v>1705</v>
      </c>
      <c r="K903" s="98" t="s">
        <v>1706</v>
      </c>
    </row>
    <row r="904" customFormat="false" ht="64" hidden="false" customHeight="true" outlineLevel="0" collapsed="false">
      <c r="C904" s="98" t="s">
        <v>2657</v>
      </c>
      <c r="D904" s="98" t="s">
        <v>1835</v>
      </c>
      <c r="E904" s="98" t="s">
        <v>811</v>
      </c>
      <c r="F904" s="98" t="n">
        <v>0</v>
      </c>
      <c r="G904" s="98" t="s">
        <v>2583</v>
      </c>
      <c r="H904" s="98" t="s">
        <v>1703</v>
      </c>
      <c r="I904" s="98" t="s">
        <v>1704</v>
      </c>
      <c r="J904" s="98" t="s">
        <v>1705</v>
      </c>
      <c r="K904" s="98" t="s">
        <v>1706</v>
      </c>
    </row>
    <row r="905" customFormat="false" ht="64" hidden="false" customHeight="true" outlineLevel="0" collapsed="false">
      <c r="C905" s="98" t="s">
        <v>2658</v>
      </c>
      <c r="D905" s="98" t="s">
        <v>1044</v>
      </c>
      <c r="E905" s="98" t="s">
        <v>811</v>
      </c>
      <c r="F905" s="98" t="n">
        <v>0</v>
      </c>
      <c r="G905" s="98" t="s">
        <v>2583</v>
      </c>
      <c r="H905" s="98" t="s">
        <v>1703</v>
      </c>
      <c r="I905" s="98" t="s">
        <v>1704</v>
      </c>
      <c r="J905" s="98" t="s">
        <v>1705</v>
      </c>
      <c r="K905" s="98" t="s">
        <v>1706</v>
      </c>
    </row>
    <row r="906" customFormat="false" ht="64" hidden="false" customHeight="true" outlineLevel="0" collapsed="false">
      <c r="C906" s="98" t="s">
        <v>2659</v>
      </c>
      <c r="D906" s="98" t="s">
        <v>1838</v>
      </c>
      <c r="E906" s="98" t="s">
        <v>811</v>
      </c>
      <c r="F906" s="98" t="n">
        <v>0</v>
      </c>
      <c r="G906" s="98" t="s">
        <v>2583</v>
      </c>
      <c r="H906" s="98" t="s">
        <v>1703</v>
      </c>
      <c r="I906" s="98" t="s">
        <v>1704</v>
      </c>
      <c r="J906" s="98" t="s">
        <v>1705</v>
      </c>
      <c r="K906" s="98" t="s">
        <v>1706</v>
      </c>
    </row>
    <row r="907" customFormat="false" ht="64" hidden="false" customHeight="true" outlineLevel="0" collapsed="false">
      <c r="C907" s="98" t="s">
        <v>2660</v>
      </c>
      <c r="D907" s="98" t="s">
        <v>1840</v>
      </c>
      <c r="E907" s="98" t="s">
        <v>811</v>
      </c>
      <c r="F907" s="98" t="n">
        <v>59.99</v>
      </c>
      <c r="G907" s="98" t="s">
        <v>2583</v>
      </c>
      <c r="H907" s="98" t="s">
        <v>1703</v>
      </c>
      <c r="I907" s="98" t="s">
        <v>1704</v>
      </c>
      <c r="J907" s="98" t="s">
        <v>1705</v>
      </c>
      <c r="K907" s="98" t="s">
        <v>1706</v>
      </c>
    </row>
    <row r="908" customFormat="false" ht="64" hidden="false" customHeight="true" outlineLevel="0" collapsed="false">
      <c r="C908" s="98" t="s">
        <v>2661</v>
      </c>
      <c r="D908" s="98" t="s">
        <v>1700</v>
      </c>
      <c r="E908" s="98" t="s">
        <v>811</v>
      </c>
      <c r="F908" s="98" t="n">
        <v>0</v>
      </c>
      <c r="G908" s="98" t="s">
        <v>2583</v>
      </c>
      <c r="H908" s="98" t="s">
        <v>1703</v>
      </c>
      <c r="I908" s="98" t="s">
        <v>1704</v>
      </c>
      <c r="J908" s="98" t="s">
        <v>1705</v>
      </c>
      <c r="K908" s="98" t="s">
        <v>1706</v>
      </c>
    </row>
    <row r="909" customFormat="false" ht="64" hidden="false" customHeight="true" outlineLevel="0" collapsed="false">
      <c r="C909" s="98" t="s">
        <v>2662</v>
      </c>
      <c r="D909" s="98" t="s">
        <v>1708</v>
      </c>
      <c r="E909" s="98" t="s">
        <v>811</v>
      </c>
      <c r="F909" s="98" t="n">
        <v>0</v>
      </c>
      <c r="G909" s="98" t="s">
        <v>2583</v>
      </c>
      <c r="H909" s="98" t="s">
        <v>1703</v>
      </c>
      <c r="I909" s="98" t="s">
        <v>1704</v>
      </c>
      <c r="J909" s="98" t="s">
        <v>1705</v>
      </c>
      <c r="K909" s="98" t="s">
        <v>1706</v>
      </c>
    </row>
    <row r="910" customFormat="false" ht="64" hidden="false" customHeight="true" outlineLevel="0" collapsed="false">
      <c r="C910" s="98" t="s">
        <v>2663</v>
      </c>
      <c r="D910" s="98" t="s">
        <v>1710</v>
      </c>
      <c r="E910" s="98" t="s">
        <v>811</v>
      </c>
      <c r="F910" s="98" t="n">
        <v>0</v>
      </c>
      <c r="G910" s="98" t="s">
        <v>2583</v>
      </c>
      <c r="H910" s="98" t="s">
        <v>1703</v>
      </c>
      <c r="I910" s="98" t="s">
        <v>1704</v>
      </c>
      <c r="J910" s="98" t="s">
        <v>1705</v>
      </c>
      <c r="K910" s="98" t="s">
        <v>1706</v>
      </c>
    </row>
    <row r="911" customFormat="false" ht="64" hidden="false" customHeight="true" outlineLevel="0" collapsed="false">
      <c r="C911" s="98" t="s">
        <v>2664</v>
      </c>
      <c r="D911" s="98" t="s">
        <v>1712</v>
      </c>
      <c r="E911" s="98" t="s">
        <v>811</v>
      </c>
      <c r="F911" s="98" t="n">
        <v>0</v>
      </c>
      <c r="G911" s="98" t="s">
        <v>2583</v>
      </c>
      <c r="H911" s="98" t="s">
        <v>1703</v>
      </c>
      <c r="I911" s="98" t="s">
        <v>1704</v>
      </c>
      <c r="J911" s="98" t="s">
        <v>1705</v>
      </c>
      <c r="K911" s="98" t="s">
        <v>1706</v>
      </c>
    </row>
    <row r="912" customFormat="false" ht="64" hidden="false" customHeight="true" outlineLevel="0" collapsed="false">
      <c r="C912" s="98" t="s">
        <v>2665</v>
      </c>
      <c r="D912" s="98" t="s">
        <v>1714</v>
      </c>
      <c r="E912" s="98" t="s">
        <v>811</v>
      </c>
      <c r="F912" s="98" t="n">
        <v>0</v>
      </c>
      <c r="G912" s="98" t="s">
        <v>2583</v>
      </c>
      <c r="H912" s="98" t="s">
        <v>1703</v>
      </c>
      <c r="I912" s="98" t="s">
        <v>1704</v>
      </c>
      <c r="J912" s="98" t="s">
        <v>1705</v>
      </c>
      <c r="K912" s="98" t="s">
        <v>1706</v>
      </c>
    </row>
    <row r="913" customFormat="false" ht="64" hidden="false" customHeight="true" outlineLevel="0" collapsed="false">
      <c r="C913" s="98" t="s">
        <v>2666</v>
      </c>
      <c r="D913" s="98" t="s">
        <v>1716</v>
      </c>
      <c r="E913" s="98" t="s">
        <v>811</v>
      </c>
      <c r="F913" s="98" t="n">
        <v>0</v>
      </c>
      <c r="G913" s="98" t="s">
        <v>2583</v>
      </c>
      <c r="H913" s="98" t="s">
        <v>1703</v>
      </c>
      <c r="I913" s="98" t="s">
        <v>1704</v>
      </c>
      <c r="J913" s="98" t="s">
        <v>1705</v>
      </c>
      <c r="K913" s="98" t="s">
        <v>1706</v>
      </c>
    </row>
    <row r="914" customFormat="false" ht="64" hidden="false" customHeight="true" outlineLevel="0" collapsed="false">
      <c r="C914" s="98" t="s">
        <v>2667</v>
      </c>
      <c r="D914" s="98" t="s">
        <v>1718</v>
      </c>
      <c r="E914" s="98" t="s">
        <v>811</v>
      </c>
      <c r="F914" s="98" t="n">
        <v>0</v>
      </c>
      <c r="G914" s="98" t="s">
        <v>2583</v>
      </c>
      <c r="H914" s="98" t="s">
        <v>1703</v>
      </c>
      <c r="I914" s="98" t="s">
        <v>1704</v>
      </c>
      <c r="J914" s="98" t="s">
        <v>1705</v>
      </c>
      <c r="K914" s="98" t="s">
        <v>1706</v>
      </c>
    </row>
    <row r="915" customFormat="false" ht="64" hidden="false" customHeight="true" outlineLevel="0" collapsed="false">
      <c r="C915" s="98" t="s">
        <v>2668</v>
      </c>
      <c r="D915" s="98" t="s">
        <v>1720</v>
      </c>
      <c r="E915" s="98" t="s">
        <v>811</v>
      </c>
      <c r="F915" s="98" t="n">
        <v>0</v>
      </c>
      <c r="G915" s="98" t="s">
        <v>2583</v>
      </c>
      <c r="H915" s="98" t="s">
        <v>1703</v>
      </c>
      <c r="I915" s="98" t="s">
        <v>1704</v>
      </c>
      <c r="J915" s="98" t="s">
        <v>1705</v>
      </c>
      <c r="K915" s="98" t="s">
        <v>1706</v>
      </c>
    </row>
    <row r="916" customFormat="false" ht="64" hidden="false" customHeight="true" outlineLevel="0" collapsed="false">
      <c r="C916" s="98" t="s">
        <v>2669</v>
      </c>
      <c r="D916" s="98" t="s">
        <v>1722</v>
      </c>
      <c r="E916" s="98" t="s">
        <v>811</v>
      </c>
      <c r="F916" s="98" t="n">
        <v>0</v>
      </c>
      <c r="G916" s="98" t="s">
        <v>2583</v>
      </c>
      <c r="H916" s="98" t="s">
        <v>1703</v>
      </c>
      <c r="I916" s="98" t="s">
        <v>1704</v>
      </c>
      <c r="J916" s="98" t="s">
        <v>1705</v>
      </c>
      <c r="K916" s="98" t="s">
        <v>1706</v>
      </c>
    </row>
    <row r="917" customFormat="false" ht="64" hidden="false" customHeight="true" outlineLevel="0" collapsed="false">
      <c r="C917" s="98" t="s">
        <v>2670</v>
      </c>
      <c r="D917" s="98" t="s">
        <v>1724</v>
      </c>
      <c r="E917" s="98" t="s">
        <v>811</v>
      </c>
      <c r="F917" s="98" t="n">
        <v>0</v>
      </c>
      <c r="G917" s="98" t="s">
        <v>2583</v>
      </c>
      <c r="H917" s="98" t="s">
        <v>1703</v>
      </c>
      <c r="I917" s="98" t="s">
        <v>1704</v>
      </c>
      <c r="J917" s="98" t="s">
        <v>1705</v>
      </c>
      <c r="K917" s="98" t="s">
        <v>1706</v>
      </c>
    </row>
    <row r="918" customFormat="false" ht="64" hidden="false" customHeight="true" outlineLevel="0" collapsed="false">
      <c r="C918" s="98" t="s">
        <v>2671</v>
      </c>
      <c r="D918" s="98" t="s">
        <v>1726</v>
      </c>
      <c r="E918" s="98" t="s">
        <v>811</v>
      </c>
      <c r="F918" s="98" t="n">
        <v>0</v>
      </c>
      <c r="G918" s="98" t="s">
        <v>2583</v>
      </c>
      <c r="H918" s="98" t="s">
        <v>1703</v>
      </c>
      <c r="I918" s="98" t="s">
        <v>1704</v>
      </c>
      <c r="J918" s="98" t="s">
        <v>1705</v>
      </c>
      <c r="K918" s="98" t="s">
        <v>1706</v>
      </c>
    </row>
    <row r="919" customFormat="false" ht="64" hidden="false" customHeight="true" outlineLevel="0" collapsed="false">
      <c r="C919" s="98" t="s">
        <v>2672</v>
      </c>
      <c r="D919" s="98" t="s">
        <v>1728</v>
      </c>
      <c r="E919" s="98" t="s">
        <v>811</v>
      </c>
      <c r="F919" s="98" t="n">
        <v>59.99</v>
      </c>
      <c r="G919" s="98" t="s">
        <v>2583</v>
      </c>
      <c r="H919" s="98" t="s">
        <v>1703</v>
      </c>
      <c r="I919" s="98" t="s">
        <v>1704</v>
      </c>
      <c r="J919" s="98" t="s">
        <v>1705</v>
      </c>
      <c r="K919" s="98" t="s">
        <v>1706</v>
      </c>
    </row>
    <row r="920" customFormat="false" ht="64" hidden="false" customHeight="true" outlineLevel="0" collapsed="false">
      <c r="C920" s="98" t="s">
        <v>2673</v>
      </c>
      <c r="D920" s="98" t="s">
        <v>1730</v>
      </c>
      <c r="E920" s="98" t="s">
        <v>811</v>
      </c>
      <c r="F920" s="98" t="n">
        <v>0</v>
      </c>
      <c r="G920" s="98" t="s">
        <v>2583</v>
      </c>
      <c r="H920" s="98" t="s">
        <v>1703</v>
      </c>
      <c r="I920" s="98" t="s">
        <v>1704</v>
      </c>
      <c r="J920" s="98" t="s">
        <v>1705</v>
      </c>
      <c r="K920" s="98" t="s">
        <v>1706</v>
      </c>
    </row>
    <row r="921" customFormat="false" ht="64" hidden="false" customHeight="true" outlineLevel="0" collapsed="false">
      <c r="C921" s="98" t="s">
        <v>2674</v>
      </c>
      <c r="D921" s="98" t="s">
        <v>1732</v>
      </c>
      <c r="E921" s="98" t="s">
        <v>811</v>
      </c>
      <c r="F921" s="98" t="n">
        <v>0</v>
      </c>
      <c r="G921" s="98" t="s">
        <v>2583</v>
      </c>
      <c r="H921" s="98" t="s">
        <v>1703</v>
      </c>
      <c r="I921" s="98" t="s">
        <v>1704</v>
      </c>
      <c r="J921" s="98" t="s">
        <v>1705</v>
      </c>
      <c r="K921" s="98" t="s">
        <v>1706</v>
      </c>
    </row>
    <row r="922" customFormat="false" ht="64" hidden="false" customHeight="true" outlineLevel="0" collapsed="false">
      <c r="C922" s="98" t="s">
        <v>2675</v>
      </c>
      <c r="D922" s="98" t="s">
        <v>1734</v>
      </c>
      <c r="E922" s="98" t="s">
        <v>811</v>
      </c>
      <c r="F922" s="98" t="n">
        <v>0</v>
      </c>
      <c r="G922" s="98" t="s">
        <v>2583</v>
      </c>
      <c r="H922" s="98" t="s">
        <v>1703</v>
      </c>
      <c r="I922" s="98" t="s">
        <v>1704</v>
      </c>
      <c r="J922" s="98" t="s">
        <v>1705</v>
      </c>
      <c r="K922" s="98" t="s">
        <v>1706</v>
      </c>
    </row>
    <row r="923" customFormat="false" ht="64" hidden="false" customHeight="true" outlineLevel="0" collapsed="false">
      <c r="C923" s="98" t="s">
        <v>2676</v>
      </c>
      <c r="D923" s="98" t="s">
        <v>1736</v>
      </c>
      <c r="E923" s="98" t="s">
        <v>811</v>
      </c>
      <c r="F923" s="98" t="n">
        <v>0</v>
      </c>
      <c r="G923" s="98" t="s">
        <v>2583</v>
      </c>
      <c r="H923" s="98" t="s">
        <v>1703</v>
      </c>
      <c r="I923" s="98" t="s">
        <v>1704</v>
      </c>
      <c r="J923" s="98" t="s">
        <v>1705</v>
      </c>
      <c r="K923" s="98" t="s">
        <v>1706</v>
      </c>
    </row>
    <row r="924" customFormat="false" ht="64" hidden="false" customHeight="true" outlineLevel="0" collapsed="false">
      <c r="C924" s="98" t="s">
        <v>2677</v>
      </c>
      <c r="D924" s="98" t="s">
        <v>1738</v>
      </c>
      <c r="E924" s="98" t="s">
        <v>811</v>
      </c>
      <c r="F924" s="98" t="n">
        <v>0</v>
      </c>
      <c r="G924" s="98" t="s">
        <v>2583</v>
      </c>
      <c r="H924" s="98" t="s">
        <v>1703</v>
      </c>
      <c r="I924" s="98" t="s">
        <v>1704</v>
      </c>
      <c r="J924" s="98" t="s">
        <v>1705</v>
      </c>
      <c r="K924" s="98" t="s">
        <v>1706</v>
      </c>
    </row>
    <row r="925" customFormat="false" ht="64" hidden="false" customHeight="true" outlineLevel="0" collapsed="false">
      <c r="C925" s="98" t="s">
        <v>2678</v>
      </c>
      <c r="D925" s="98" t="s">
        <v>1740</v>
      </c>
      <c r="E925" s="98" t="s">
        <v>811</v>
      </c>
      <c r="F925" s="98" t="n">
        <v>0</v>
      </c>
      <c r="G925" s="98" t="s">
        <v>2583</v>
      </c>
      <c r="H925" s="98" t="s">
        <v>1703</v>
      </c>
      <c r="I925" s="98" t="s">
        <v>1704</v>
      </c>
      <c r="J925" s="98" t="s">
        <v>1705</v>
      </c>
      <c r="K925" s="98" t="s">
        <v>1706</v>
      </c>
    </row>
    <row r="926" customFormat="false" ht="64" hidden="false" customHeight="true" outlineLevel="0" collapsed="false">
      <c r="C926" s="98" t="s">
        <v>2679</v>
      </c>
      <c r="D926" s="98" t="s">
        <v>1742</v>
      </c>
      <c r="E926" s="98" t="s">
        <v>811</v>
      </c>
      <c r="F926" s="98" t="n">
        <v>0</v>
      </c>
      <c r="G926" s="98" t="s">
        <v>2583</v>
      </c>
      <c r="H926" s="98" t="s">
        <v>1703</v>
      </c>
      <c r="I926" s="98" t="s">
        <v>1704</v>
      </c>
      <c r="J926" s="98" t="s">
        <v>1705</v>
      </c>
      <c r="K926" s="98" t="s">
        <v>1706</v>
      </c>
    </row>
    <row r="927" customFormat="false" ht="64" hidden="false" customHeight="true" outlineLevel="0" collapsed="false">
      <c r="C927" s="98" t="s">
        <v>2680</v>
      </c>
      <c r="D927" s="98" t="s">
        <v>1744</v>
      </c>
      <c r="E927" s="98" t="s">
        <v>811</v>
      </c>
      <c r="F927" s="98" t="n">
        <v>0</v>
      </c>
      <c r="G927" s="98" t="s">
        <v>2583</v>
      </c>
      <c r="H927" s="98" t="s">
        <v>1703</v>
      </c>
      <c r="I927" s="98" t="s">
        <v>1704</v>
      </c>
      <c r="J927" s="98" t="s">
        <v>1705</v>
      </c>
      <c r="K927" s="98" t="s">
        <v>1706</v>
      </c>
    </row>
    <row r="928" customFormat="false" ht="64" hidden="false" customHeight="true" outlineLevel="0" collapsed="false">
      <c r="C928" s="98" t="s">
        <v>2681</v>
      </c>
      <c r="D928" s="98" t="s">
        <v>1746</v>
      </c>
      <c r="E928" s="98" t="s">
        <v>811</v>
      </c>
      <c r="F928" s="98" t="n">
        <v>0</v>
      </c>
      <c r="G928" s="98" t="s">
        <v>2583</v>
      </c>
      <c r="H928" s="98" t="s">
        <v>1703</v>
      </c>
      <c r="I928" s="98" t="s">
        <v>1704</v>
      </c>
      <c r="J928" s="98" t="s">
        <v>1705</v>
      </c>
      <c r="K928" s="98" t="s">
        <v>1706</v>
      </c>
    </row>
    <row r="929" customFormat="false" ht="64" hidden="false" customHeight="true" outlineLevel="0" collapsed="false">
      <c r="C929" s="98" t="s">
        <v>2682</v>
      </c>
      <c r="D929" s="98" t="s">
        <v>1748</v>
      </c>
      <c r="E929" s="98" t="s">
        <v>811</v>
      </c>
      <c r="F929" s="98" t="n">
        <v>0</v>
      </c>
      <c r="G929" s="98" t="s">
        <v>2583</v>
      </c>
      <c r="H929" s="98" t="s">
        <v>1703</v>
      </c>
      <c r="I929" s="98" t="s">
        <v>1704</v>
      </c>
      <c r="J929" s="98" t="s">
        <v>1705</v>
      </c>
      <c r="K929" s="98" t="s">
        <v>1706</v>
      </c>
    </row>
    <row r="930" customFormat="false" ht="64" hidden="false" customHeight="true" outlineLevel="0" collapsed="false">
      <c r="C930" s="98" t="s">
        <v>2683</v>
      </c>
      <c r="D930" s="98" t="s">
        <v>1750</v>
      </c>
      <c r="E930" s="98" t="s">
        <v>811</v>
      </c>
      <c r="F930" s="98" t="n">
        <v>0</v>
      </c>
      <c r="G930" s="98" t="s">
        <v>2583</v>
      </c>
      <c r="H930" s="98" t="s">
        <v>1703</v>
      </c>
      <c r="I930" s="98" t="s">
        <v>1704</v>
      </c>
      <c r="J930" s="98" t="s">
        <v>1705</v>
      </c>
      <c r="K930" s="98" t="s">
        <v>1706</v>
      </c>
    </row>
    <row r="931" customFormat="false" ht="64" hidden="false" customHeight="true" outlineLevel="0" collapsed="false">
      <c r="C931" s="98" t="s">
        <v>2684</v>
      </c>
      <c r="D931" s="98" t="s">
        <v>1752</v>
      </c>
      <c r="E931" s="98" t="s">
        <v>811</v>
      </c>
      <c r="F931" s="98" t="n">
        <v>59.99</v>
      </c>
      <c r="G931" s="98" t="s">
        <v>2583</v>
      </c>
      <c r="H931" s="98" t="s">
        <v>1703</v>
      </c>
      <c r="I931" s="98" t="s">
        <v>1704</v>
      </c>
      <c r="J931" s="98" t="s">
        <v>1705</v>
      </c>
      <c r="K931" s="98" t="s">
        <v>1706</v>
      </c>
    </row>
    <row r="932" customFormat="false" ht="64" hidden="false" customHeight="true" outlineLevel="0" collapsed="false">
      <c r="C932" s="98" t="s">
        <v>2685</v>
      </c>
      <c r="D932" s="98" t="s">
        <v>1754</v>
      </c>
      <c r="E932" s="98" t="s">
        <v>811</v>
      </c>
      <c r="F932" s="98" t="n">
        <v>0</v>
      </c>
      <c r="G932" s="98" t="s">
        <v>2583</v>
      </c>
      <c r="H932" s="98" t="s">
        <v>1703</v>
      </c>
      <c r="I932" s="98" t="s">
        <v>1704</v>
      </c>
      <c r="J932" s="98" t="s">
        <v>1705</v>
      </c>
      <c r="K932" s="98" t="s">
        <v>1706</v>
      </c>
    </row>
    <row r="933" customFormat="false" ht="64" hidden="false" customHeight="true" outlineLevel="0" collapsed="false">
      <c r="C933" s="98" t="s">
        <v>2686</v>
      </c>
      <c r="D933" s="98" t="s">
        <v>1756</v>
      </c>
      <c r="E933" s="98" t="s">
        <v>811</v>
      </c>
      <c r="F933" s="98" t="n">
        <v>0</v>
      </c>
      <c r="G933" s="98" t="s">
        <v>2583</v>
      </c>
      <c r="H933" s="98" t="s">
        <v>1703</v>
      </c>
      <c r="I933" s="98" t="s">
        <v>1704</v>
      </c>
      <c r="J933" s="98" t="s">
        <v>1705</v>
      </c>
      <c r="K933" s="98" t="s">
        <v>1706</v>
      </c>
    </row>
    <row r="934" customFormat="false" ht="64" hidden="false" customHeight="true" outlineLevel="0" collapsed="false">
      <c r="C934" s="98" t="s">
        <v>2687</v>
      </c>
      <c r="D934" s="98" t="s">
        <v>1758</v>
      </c>
      <c r="E934" s="98" t="s">
        <v>811</v>
      </c>
      <c r="F934" s="98" t="n">
        <v>0</v>
      </c>
      <c r="G934" s="98" t="s">
        <v>2583</v>
      </c>
      <c r="H934" s="98" t="s">
        <v>1703</v>
      </c>
      <c r="I934" s="98" t="s">
        <v>1704</v>
      </c>
      <c r="J934" s="98" t="s">
        <v>1705</v>
      </c>
      <c r="K934" s="98" t="s">
        <v>1706</v>
      </c>
    </row>
    <row r="935" customFormat="false" ht="64" hidden="false" customHeight="true" outlineLevel="0" collapsed="false">
      <c r="C935" s="98" t="s">
        <v>2688</v>
      </c>
      <c r="D935" s="98" t="s">
        <v>1760</v>
      </c>
      <c r="E935" s="98" t="s">
        <v>811</v>
      </c>
      <c r="F935" s="98" t="n">
        <v>0</v>
      </c>
      <c r="G935" s="98" t="s">
        <v>2583</v>
      </c>
      <c r="H935" s="98" t="s">
        <v>1703</v>
      </c>
      <c r="I935" s="98" t="s">
        <v>1704</v>
      </c>
      <c r="J935" s="98" t="s">
        <v>1705</v>
      </c>
      <c r="K935" s="98" t="s">
        <v>1706</v>
      </c>
    </row>
    <row r="936" customFormat="false" ht="64" hidden="false" customHeight="true" outlineLevel="0" collapsed="false">
      <c r="C936" s="98" t="s">
        <v>2689</v>
      </c>
      <c r="D936" s="98" t="s">
        <v>1762</v>
      </c>
      <c r="E936" s="98" t="s">
        <v>811</v>
      </c>
      <c r="F936" s="98" t="n">
        <v>0</v>
      </c>
      <c r="G936" s="98" t="s">
        <v>2583</v>
      </c>
      <c r="H936" s="98" t="s">
        <v>1703</v>
      </c>
      <c r="I936" s="98" t="s">
        <v>1704</v>
      </c>
      <c r="J936" s="98" t="s">
        <v>1705</v>
      </c>
      <c r="K936" s="98" t="s">
        <v>1706</v>
      </c>
    </row>
    <row r="937" customFormat="false" ht="64" hidden="false" customHeight="true" outlineLevel="0" collapsed="false">
      <c r="C937" s="98" t="s">
        <v>2690</v>
      </c>
      <c r="D937" s="98" t="s">
        <v>1764</v>
      </c>
      <c r="E937" s="98" t="s">
        <v>811</v>
      </c>
      <c r="F937" s="98" t="n">
        <v>0</v>
      </c>
      <c r="G937" s="98" t="s">
        <v>2583</v>
      </c>
      <c r="H937" s="98" t="s">
        <v>1703</v>
      </c>
      <c r="I937" s="98" t="s">
        <v>1704</v>
      </c>
      <c r="J937" s="98" t="s">
        <v>1705</v>
      </c>
      <c r="K937" s="98" t="s">
        <v>1706</v>
      </c>
    </row>
    <row r="938" customFormat="false" ht="64" hidden="false" customHeight="true" outlineLevel="0" collapsed="false">
      <c r="C938" s="98" t="s">
        <v>2691</v>
      </c>
      <c r="D938" s="98" t="s">
        <v>1829</v>
      </c>
      <c r="E938" s="98" t="s">
        <v>811</v>
      </c>
      <c r="F938" s="98" t="n">
        <v>0</v>
      </c>
      <c r="G938" s="98" t="s">
        <v>2546</v>
      </c>
      <c r="H938" s="98" t="s">
        <v>1703</v>
      </c>
      <c r="I938" s="98" t="s">
        <v>1704</v>
      </c>
      <c r="J938" s="98" t="s">
        <v>1705</v>
      </c>
      <c r="K938" s="98" t="s">
        <v>1706</v>
      </c>
    </row>
    <row r="939" customFormat="false" ht="64" hidden="false" customHeight="true" outlineLevel="0" collapsed="false">
      <c r="C939" s="98" t="s">
        <v>2692</v>
      </c>
      <c r="D939" s="98" t="s">
        <v>1833</v>
      </c>
      <c r="E939" s="98" t="s">
        <v>811</v>
      </c>
      <c r="F939" s="98" t="n">
        <v>0</v>
      </c>
      <c r="G939" s="98" t="s">
        <v>2546</v>
      </c>
      <c r="H939" s="98" t="s">
        <v>1703</v>
      </c>
      <c r="I939" s="98" t="s">
        <v>1704</v>
      </c>
      <c r="J939" s="98" t="s">
        <v>1705</v>
      </c>
      <c r="K939" s="98" t="s">
        <v>1706</v>
      </c>
    </row>
    <row r="940" customFormat="false" ht="64" hidden="false" customHeight="true" outlineLevel="0" collapsed="false">
      <c r="C940" s="98" t="s">
        <v>2693</v>
      </c>
      <c r="D940" s="98" t="s">
        <v>1835</v>
      </c>
      <c r="E940" s="98" t="s">
        <v>811</v>
      </c>
      <c r="F940" s="98" t="n">
        <v>0</v>
      </c>
      <c r="G940" s="98" t="s">
        <v>2546</v>
      </c>
      <c r="H940" s="98" t="s">
        <v>1703</v>
      </c>
      <c r="I940" s="98" t="s">
        <v>1704</v>
      </c>
      <c r="J940" s="98" t="s">
        <v>1705</v>
      </c>
      <c r="K940" s="98" t="s">
        <v>1706</v>
      </c>
    </row>
    <row r="941" customFormat="false" ht="64" hidden="false" customHeight="true" outlineLevel="0" collapsed="false">
      <c r="C941" s="98" t="s">
        <v>2694</v>
      </c>
      <c r="D941" s="98" t="s">
        <v>1044</v>
      </c>
      <c r="E941" s="98" t="s">
        <v>811</v>
      </c>
      <c r="F941" s="98" t="n">
        <v>0</v>
      </c>
      <c r="G941" s="98" t="s">
        <v>2546</v>
      </c>
      <c r="H941" s="98" t="s">
        <v>1703</v>
      </c>
      <c r="I941" s="98" t="s">
        <v>1704</v>
      </c>
      <c r="J941" s="98" t="s">
        <v>1705</v>
      </c>
      <c r="K941" s="98" t="s">
        <v>1706</v>
      </c>
    </row>
    <row r="942" customFormat="false" ht="64" hidden="false" customHeight="true" outlineLevel="0" collapsed="false">
      <c r="C942" s="98" t="s">
        <v>2695</v>
      </c>
      <c r="D942" s="98" t="s">
        <v>1838</v>
      </c>
      <c r="E942" s="98" t="s">
        <v>811</v>
      </c>
      <c r="F942" s="98" t="n">
        <v>0</v>
      </c>
      <c r="G942" s="98" t="s">
        <v>2546</v>
      </c>
      <c r="H942" s="98" t="s">
        <v>1703</v>
      </c>
      <c r="I942" s="98" t="s">
        <v>1704</v>
      </c>
      <c r="J942" s="98" t="s">
        <v>1705</v>
      </c>
      <c r="K942" s="98" t="s">
        <v>1706</v>
      </c>
    </row>
    <row r="943" customFormat="false" ht="64" hidden="false" customHeight="true" outlineLevel="0" collapsed="false">
      <c r="C943" s="98" t="s">
        <v>2696</v>
      </c>
      <c r="D943" s="98" t="s">
        <v>1840</v>
      </c>
      <c r="E943" s="98" t="s">
        <v>811</v>
      </c>
      <c r="F943" s="98" t="n">
        <v>0</v>
      </c>
      <c r="G943" s="98" t="s">
        <v>2546</v>
      </c>
      <c r="H943" s="98" t="s">
        <v>1703</v>
      </c>
      <c r="I943" s="98" t="s">
        <v>1704</v>
      </c>
      <c r="J943" s="98" t="s">
        <v>1705</v>
      </c>
      <c r="K943" s="98" t="s">
        <v>1706</v>
      </c>
    </row>
    <row r="944" customFormat="false" ht="64" hidden="false" customHeight="true" outlineLevel="0" collapsed="false">
      <c r="C944" s="98" t="s">
        <v>2697</v>
      </c>
      <c r="D944" s="98" t="s">
        <v>1700</v>
      </c>
      <c r="E944" s="98" t="s">
        <v>811</v>
      </c>
      <c r="F944" s="98" t="n">
        <v>0</v>
      </c>
      <c r="G944" s="98" t="s">
        <v>2546</v>
      </c>
      <c r="H944" s="98" t="s">
        <v>1703</v>
      </c>
      <c r="I944" s="98" t="s">
        <v>1704</v>
      </c>
      <c r="J944" s="98" t="s">
        <v>1705</v>
      </c>
      <c r="K944" s="98" t="s">
        <v>1706</v>
      </c>
    </row>
    <row r="945" customFormat="false" ht="64" hidden="false" customHeight="true" outlineLevel="0" collapsed="false">
      <c r="C945" s="98" t="s">
        <v>2698</v>
      </c>
      <c r="D945" s="98" t="s">
        <v>1708</v>
      </c>
      <c r="E945" s="98" t="s">
        <v>811</v>
      </c>
      <c r="F945" s="98" t="n">
        <v>0</v>
      </c>
      <c r="G945" s="98" t="s">
        <v>2546</v>
      </c>
      <c r="H945" s="98" t="s">
        <v>1703</v>
      </c>
      <c r="I945" s="98" t="s">
        <v>1704</v>
      </c>
      <c r="J945" s="98" t="s">
        <v>1705</v>
      </c>
      <c r="K945" s="98" t="s">
        <v>1706</v>
      </c>
    </row>
    <row r="946" customFormat="false" ht="64" hidden="false" customHeight="true" outlineLevel="0" collapsed="false">
      <c r="C946" s="98" t="s">
        <v>2699</v>
      </c>
      <c r="D946" s="98" t="s">
        <v>1710</v>
      </c>
      <c r="E946" s="98" t="s">
        <v>811</v>
      </c>
      <c r="F946" s="98" t="n">
        <v>0</v>
      </c>
      <c r="G946" s="98" t="s">
        <v>2546</v>
      </c>
      <c r="H946" s="98" t="s">
        <v>1703</v>
      </c>
      <c r="I946" s="98" t="s">
        <v>1704</v>
      </c>
      <c r="J946" s="98" t="s">
        <v>1705</v>
      </c>
      <c r="K946" s="98" t="s">
        <v>1706</v>
      </c>
    </row>
    <row r="947" customFormat="false" ht="64" hidden="false" customHeight="true" outlineLevel="0" collapsed="false">
      <c r="C947" s="98" t="s">
        <v>2700</v>
      </c>
      <c r="D947" s="98" t="s">
        <v>1712</v>
      </c>
      <c r="E947" s="98" t="s">
        <v>811</v>
      </c>
      <c r="F947" s="98" t="n">
        <v>0</v>
      </c>
      <c r="G947" s="98" t="s">
        <v>2546</v>
      </c>
      <c r="H947" s="98" t="s">
        <v>1703</v>
      </c>
      <c r="I947" s="98" t="s">
        <v>1704</v>
      </c>
      <c r="J947" s="98" t="s">
        <v>1705</v>
      </c>
      <c r="K947" s="98" t="s">
        <v>1706</v>
      </c>
    </row>
    <row r="948" customFormat="false" ht="64" hidden="false" customHeight="true" outlineLevel="0" collapsed="false">
      <c r="C948" s="98" t="s">
        <v>2701</v>
      </c>
      <c r="D948" s="98" t="s">
        <v>1714</v>
      </c>
      <c r="E948" s="98" t="s">
        <v>811</v>
      </c>
      <c r="F948" s="98" t="n">
        <v>0</v>
      </c>
      <c r="G948" s="98" t="s">
        <v>2546</v>
      </c>
      <c r="H948" s="98" t="s">
        <v>1703</v>
      </c>
      <c r="I948" s="98" t="s">
        <v>1704</v>
      </c>
      <c r="J948" s="98" t="s">
        <v>1705</v>
      </c>
      <c r="K948" s="98" t="s">
        <v>1706</v>
      </c>
    </row>
    <row r="949" customFormat="false" ht="64" hidden="false" customHeight="true" outlineLevel="0" collapsed="false">
      <c r="C949" s="98" t="s">
        <v>2702</v>
      </c>
      <c r="D949" s="98" t="s">
        <v>1716</v>
      </c>
      <c r="E949" s="98" t="s">
        <v>811</v>
      </c>
      <c r="F949" s="98" t="n">
        <v>0</v>
      </c>
      <c r="G949" s="98" t="s">
        <v>2546</v>
      </c>
      <c r="H949" s="98" t="s">
        <v>1703</v>
      </c>
      <c r="I949" s="98" t="s">
        <v>1704</v>
      </c>
      <c r="J949" s="98" t="s">
        <v>1705</v>
      </c>
      <c r="K949" s="98" t="s">
        <v>1706</v>
      </c>
    </row>
    <row r="950" customFormat="false" ht="64" hidden="false" customHeight="true" outlineLevel="0" collapsed="false">
      <c r="C950" s="98" t="s">
        <v>2703</v>
      </c>
      <c r="D950" s="98" t="s">
        <v>1718</v>
      </c>
      <c r="E950" s="98" t="s">
        <v>811</v>
      </c>
      <c r="F950" s="98" t="n">
        <v>0</v>
      </c>
      <c r="G950" s="98" t="s">
        <v>2546</v>
      </c>
      <c r="H950" s="98" t="s">
        <v>1703</v>
      </c>
      <c r="I950" s="98" t="s">
        <v>1704</v>
      </c>
      <c r="J950" s="98" t="s">
        <v>1705</v>
      </c>
      <c r="K950" s="98" t="s">
        <v>1706</v>
      </c>
    </row>
    <row r="951" customFormat="false" ht="64" hidden="false" customHeight="true" outlineLevel="0" collapsed="false">
      <c r="C951" s="98" t="s">
        <v>2704</v>
      </c>
      <c r="D951" s="98" t="s">
        <v>1720</v>
      </c>
      <c r="E951" s="98" t="s">
        <v>811</v>
      </c>
      <c r="F951" s="98" t="n">
        <v>0</v>
      </c>
      <c r="G951" s="98" t="s">
        <v>2546</v>
      </c>
      <c r="H951" s="98" t="s">
        <v>1703</v>
      </c>
      <c r="I951" s="98" t="s">
        <v>1704</v>
      </c>
      <c r="J951" s="98" t="s">
        <v>1705</v>
      </c>
      <c r="K951" s="98" t="s">
        <v>1706</v>
      </c>
    </row>
    <row r="952" customFormat="false" ht="64" hidden="false" customHeight="true" outlineLevel="0" collapsed="false">
      <c r="C952" s="98" t="s">
        <v>2705</v>
      </c>
      <c r="D952" s="98" t="s">
        <v>1722</v>
      </c>
      <c r="E952" s="98" t="s">
        <v>811</v>
      </c>
      <c r="F952" s="98" t="n">
        <v>0</v>
      </c>
      <c r="G952" s="98" t="s">
        <v>2546</v>
      </c>
      <c r="H952" s="98" t="s">
        <v>1703</v>
      </c>
      <c r="I952" s="98" t="s">
        <v>1704</v>
      </c>
      <c r="J952" s="98" t="s">
        <v>1705</v>
      </c>
      <c r="K952" s="98" t="s">
        <v>1706</v>
      </c>
    </row>
    <row r="953" customFormat="false" ht="64" hidden="false" customHeight="true" outlineLevel="0" collapsed="false">
      <c r="C953" s="98" t="s">
        <v>2706</v>
      </c>
      <c r="D953" s="98" t="s">
        <v>1724</v>
      </c>
      <c r="E953" s="98" t="s">
        <v>811</v>
      </c>
      <c r="F953" s="98" t="n">
        <v>0</v>
      </c>
      <c r="G953" s="98" t="s">
        <v>2546</v>
      </c>
      <c r="H953" s="98" t="s">
        <v>1703</v>
      </c>
      <c r="I953" s="98" t="s">
        <v>1704</v>
      </c>
      <c r="J953" s="98" t="s">
        <v>1705</v>
      </c>
      <c r="K953" s="98" t="s">
        <v>1706</v>
      </c>
    </row>
    <row r="954" customFormat="false" ht="64" hidden="false" customHeight="true" outlineLevel="0" collapsed="false">
      <c r="C954" s="98" t="s">
        <v>2707</v>
      </c>
      <c r="D954" s="98" t="s">
        <v>1726</v>
      </c>
      <c r="E954" s="98" t="s">
        <v>811</v>
      </c>
      <c r="F954" s="98" t="n">
        <v>0</v>
      </c>
      <c r="G954" s="98" t="s">
        <v>2546</v>
      </c>
      <c r="H954" s="98" t="s">
        <v>1703</v>
      </c>
      <c r="I954" s="98" t="s">
        <v>1704</v>
      </c>
      <c r="J954" s="98" t="s">
        <v>1705</v>
      </c>
      <c r="K954" s="98" t="s">
        <v>1706</v>
      </c>
    </row>
    <row r="955" customFormat="false" ht="64" hidden="false" customHeight="true" outlineLevel="0" collapsed="false">
      <c r="C955" s="98" t="s">
        <v>2708</v>
      </c>
      <c r="D955" s="98" t="s">
        <v>1728</v>
      </c>
      <c r="E955" s="98" t="s">
        <v>811</v>
      </c>
      <c r="F955" s="98" t="n">
        <v>0</v>
      </c>
      <c r="G955" s="98" t="s">
        <v>2546</v>
      </c>
      <c r="H955" s="98" t="s">
        <v>1703</v>
      </c>
      <c r="I955" s="98" t="s">
        <v>1704</v>
      </c>
      <c r="J955" s="98" t="s">
        <v>1705</v>
      </c>
      <c r="K955" s="98" t="s">
        <v>1706</v>
      </c>
    </row>
    <row r="956" customFormat="false" ht="64" hidden="false" customHeight="true" outlineLevel="0" collapsed="false">
      <c r="C956" s="98" t="s">
        <v>2709</v>
      </c>
      <c r="D956" s="98" t="s">
        <v>1730</v>
      </c>
      <c r="E956" s="98" t="s">
        <v>811</v>
      </c>
      <c r="F956" s="98" t="n">
        <v>0</v>
      </c>
      <c r="G956" s="98" t="s">
        <v>2546</v>
      </c>
      <c r="H956" s="98" t="s">
        <v>1703</v>
      </c>
      <c r="I956" s="98" t="s">
        <v>1704</v>
      </c>
      <c r="J956" s="98" t="s">
        <v>1705</v>
      </c>
      <c r="K956" s="98" t="s">
        <v>1706</v>
      </c>
    </row>
    <row r="957" customFormat="false" ht="64" hidden="false" customHeight="true" outlineLevel="0" collapsed="false">
      <c r="C957" s="98" t="s">
        <v>2710</v>
      </c>
      <c r="D957" s="98" t="s">
        <v>1732</v>
      </c>
      <c r="E957" s="98" t="s">
        <v>811</v>
      </c>
      <c r="F957" s="98" t="n">
        <v>0</v>
      </c>
      <c r="G957" s="98" t="s">
        <v>2546</v>
      </c>
      <c r="H957" s="98" t="s">
        <v>1703</v>
      </c>
      <c r="I957" s="98" t="s">
        <v>1704</v>
      </c>
      <c r="J957" s="98" t="s">
        <v>1705</v>
      </c>
      <c r="K957" s="98" t="s">
        <v>1706</v>
      </c>
    </row>
    <row r="958" customFormat="false" ht="64" hidden="false" customHeight="true" outlineLevel="0" collapsed="false">
      <c r="C958" s="98" t="s">
        <v>2711</v>
      </c>
      <c r="D958" s="98" t="s">
        <v>1734</v>
      </c>
      <c r="E958" s="98" t="s">
        <v>811</v>
      </c>
      <c r="F958" s="98" t="n">
        <v>0</v>
      </c>
      <c r="G958" s="98" t="s">
        <v>2546</v>
      </c>
      <c r="H958" s="98" t="s">
        <v>1703</v>
      </c>
      <c r="I958" s="98" t="s">
        <v>1704</v>
      </c>
      <c r="J958" s="98" t="s">
        <v>1705</v>
      </c>
      <c r="K958" s="98" t="s">
        <v>1706</v>
      </c>
    </row>
    <row r="959" customFormat="false" ht="64" hidden="false" customHeight="true" outlineLevel="0" collapsed="false">
      <c r="C959" s="98" t="s">
        <v>2712</v>
      </c>
      <c r="D959" s="98" t="s">
        <v>1736</v>
      </c>
      <c r="E959" s="98" t="s">
        <v>811</v>
      </c>
      <c r="F959" s="98" t="n">
        <v>0</v>
      </c>
      <c r="G959" s="98" t="s">
        <v>2546</v>
      </c>
      <c r="H959" s="98" t="s">
        <v>1703</v>
      </c>
      <c r="I959" s="98" t="s">
        <v>1704</v>
      </c>
      <c r="J959" s="98" t="s">
        <v>1705</v>
      </c>
      <c r="K959" s="98" t="s">
        <v>1706</v>
      </c>
    </row>
    <row r="960" customFormat="false" ht="64" hidden="false" customHeight="true" outlineLevel="0" collapsed="false">
      <c r="C960" s="98" t="s">
        <v>2713</v>
      </c>
      <c r="D960" s="98" t="s">
        <v>1738</v>
      </c>
      <c r="E960" s="98" t="s">
        <v>811</v>
      </c>
      <c r="F960" s="98" t="n">
        <v>0</v>
      </c>
      <c r="G960" s="98" t="s">
        <v>2546</v>
      </c>
      <c r="H960" s="98" t="s">
        <v>1703</v>
      </c>
      <c r="I960" s="98" t="s">
        <v>1704</v>
      </c>
      <c r="J960" s="98" t="s">
        <v>1705</v>
      </c>
      <c r="K960" s="98" t="s">
        <v>1706</v>
      </c>
    </row>
    <row r="961" customFormat="false" ht="64" hidden="false" customHeight="true" outlineLevel="0" collapsed="false">
      <c r="C961" s="98" t="s">
        <v>2714</v>
      </c>
      <c r="D961" s="98" t="s">
        <v>1740</v>
      </c>
      <c r="E961" s="98" t="s">
        <v>811</v>
      </c>
      <c r="F961" s="98" t="n">
        <v>0</v>
      </c>
      <c r="G961" s="98" t="s">
        <v>2546</v>
      </c>
      <c r="H961" s="98" t="s">
        <v>1703</v>
      </c>
      <c r="I961" s="98" t="s">
        <v>1704</v>
      </c>
      <c r="J961" s="98" t="s">
        <v>1705</v>
      </c>
      <c r="K961" s="98" t="s">
        <v>1706</v>
      </c>
    </row>
    <row r="962" customFormat="false" ht="64" hidden="false" customHeight="true" outlineLevel="0" collapsed="false">
      <c r="C962" s="98" t="s">
        <v>2715</v>
      </c>
      <c r="D962" s="98" t="s">
        <v>1742</v>
      </c>
      <c r="E962" s="98" t="s">
        <v>811</v>
      </c>
      <c r="F962" s="98" t="n">
        <v>0</v>
      </c>
      <c r="G962" s="98" t="s">
        <v>2546</v>
      </c>
      <c r="H962" s="98" t="s">
        <v>1703</v>
      </c>
      <c r="I962" s="98" t="s">
        <v>1704</v>
      </c>
      <c r="J962" s="98" t="s">
        <v>1705</v>
      </c>
      <c r="K962" s="98" t="s">
        <v>1706</v>
      </c>
    </row>
    <row r="963" customFormat="false" ht="64" hidden="false" customHeight="true" outlineLevel="0" collapsed="false">
      <c r="C963" s="98" t="s">
        <v>2716</v>
      </c>
      <c r="D963" s="98" t="s">
        <v>1744</v>
      </c>
      <c r="E963" s="98" t="s">
        <v>811</v>
      </c>
      <c r="F963" s="98" t="n">
        <v>0</v>
      </c>
      <c r="G963" s="98" t="s">
        <v>2546</v>
      </c>
      <c r="H963" s="98" t="s">
        <v>1703</v>
      </c>
      <c r="I963" s="98" t="s">
        <v>1704</v>
      </c>
      <c r="J963" s="98" t="s">
        <v>1705</v>
      </c>
      <c r="K963" s="98" t="s">
        <v>1706</v>
      </c>
    </row>
    <row r="964" customFormat="false" ht="64" hidden="false" customHeight="true" outlineLevel="0" collapsed="false">
      <c r="C964" s="98" t="s">
        <v>2717</v>
      </c>
      <c r="D964" s="98" t="s">
        <v>1746</v>
      </c>
      <c r="E964" s="98" t="s">
        <v>811</v>
      </c>
      <c r="F964" s="98" t="n">
        <v>0</v>
      </c>
      <c r="G964" s="98" t="s">
        <v>2546</v>
      </c>
      <c r="H964" s="98" t="s">
        <v>1703</v>
      </c>
      <c r="I964" s="98" t="s">
        <v>1704</v>
      </c>
      <c r="J964" s="98" t="s">
        <v>1705</v>
      </c>
      <c r="K964" s="98" t="s">
        <v>1706</v>
      </c>
    </row>
    <row r="965" customFormat="false" ht="64" hidden="false" customHeight="true" outlineLevel="0" collapsed="false">
      <c r="C965" s="98" t="s">
        <v>2718</v>
      </c>
      <c r="D965" s="98" t="s">
        <v>1748</v>
      </c>
      <c r="E965" s="98" t="s">
        <v>811</v>
      </c>
      <c r="F965" s="98" t="n">
        <v>0</v>
      </c>
      <c r="G965" s="98" t="s">
        <v>2546</v>
      </c>
      <c r="H965" s="98" t="s">
        <v>1703</v>
      </c>
      <c r="I965" s="98" t="s">
        <v>1704</v>
      </c>
      <c r="J965" s="98" t="s">
        <v>1705</v>
      </c>
      <c r="K965" s="98" t="s">
        <v>1706</v>
      </c>
    </row>
    <row r="966" customFormat="false" ht="64" hidden="false" customHeight="true" outlineLevel="0" collapsed="false">
      <c r="C966" s="98" t="s">
        <v>2719</v>
      </c>
      <c r="D966" s="98" t="s">
        <v>1750</v>
      </c>
      <c r="E966" s="98" t="s">
        <v>811</v>
      </c>
      <c r="F966" s="98" t="n">
        <v>0</v>
      </c>
      <c r="G966" s="98" t="s">
        <v>2546</v>
      </c>
      <c r="H966" s="98" t="s">
        <v>1703</v>
      </c>
      <c r="I966" s="98" t="s">
        <v>1704</v>
      </c>
      <c r="J966" s="98" t="s">
        <v>1705</v>
      </c>
      <c r="K966" s="98" t="s">
        <v>1706</v>
      </c>
    </row>
    <row r="967" customFormat="false" ht="64" hidden="false" customHeight="true" outlineLevel="0" collapsed="false">
      <c r="C967" s="98" t="s">
        <v>2720</v>
      </c>
      <c r="D967" s="98" t="s">
        <v>1752</v>
      </c>
      <c r="E967" s="98" t="s">
        <v>811</v>
      </c>
      <c r="F967" s="98" t="n">
        <v>0</v>
      </c>
      <c r="G967" s="98" t="s">
        <v>2546</v>
      </c>
      <c r="H967" s="98" t="s">
        <v>1703</v>
      </c>
      <c r="I967" s="98" t="s">
        <v>1704</v>
      </c>
      <c r="J967" s="98" t="s">
        <v>1705</v>
      </c>
      <c r="K967" s="98" t="s">
        <v>1706</v>
      </c>
    </row>
    <row r="968" customFormat="false" ht="64" hidden="false" customHeight="true" outlineLevel="0" collapsed="false">
      <c r="C968" s="98" t="s">
        <v>2721</v>
      </c>
      <c r="D968" s="98" t="s">
        <v>1754</v>
      </c>
      <c r="E968" s="98" t="s">
        <v>811</v>
      </c>
      <c r="F968" s="98" t="n">
        <v>0</v>
      </c>
      <c r="G968" s="98" t="s">
        <v>2546</v>
      </c>
      <c r="H968" s="98" t="s">
        <v>1703</v>
      </c>
      <c r="I968" s="98" t="s">
        <v>1704</v>
      </c>
      <c r="J968" s="98" t="s">
        <v>1705</v>
      </c>
      <c r="K968" s="98" t="s">
        <v>1706</v>
      </c>
    </row>
    <row r="969" customFormat="false" ht="64" hidden="false" customHeight="true" outlineLevel="0" collapsed="false">
      <c r="C969" s="98" t="s">
        <v>2722</v>
      </c>
      <c r="D969" s="98" t="s">
        <v>1756</v>
      </c>
      <c r="E969" s="98" t="s">
        <v>811</v>
      </c>
      <c r="F969" s="98" t="n">
        <v>0</v>
      </c>
      <c r="G969" s="98" t="s">
        <v>2546</v>
      </c>
      <c r="H969" s="98" t="s">
        <v>1703</v>
      </c>
      <c r="I969" s="98" t="s">
        <v>1704</v>
      </c>
      <c r="J969" s="98" t="s">
        <v>1705</v>
      </c>
      <c r="K969" s="98" t="s">
        <v>1706</v>
      </c>
    </row>
    <row r="970" customFormat="false" ht="64" hidden="false" customHeight="true" outlineLevel="0" collapsed="false">
      <c r="C970" s="98" t="s">
        <v>2723</v>
      </c>
      <c r="D970" s="98" t="s">
        <v>1758</v>
      </c>
      <c r="E970" s="98" t="s">
        <v>811</v>
      </c>
      <c r="F970" s="98" t="n">
        <v>0</v>
      </c>
      <c r="G970" s="98" t="s">
        <v>2546</v>
      </c>
      <c r="H970" s="98" t="s">
        <v>1703</v>
      </c>
      <c r="I970" s="98" t="s">
        <v>1704</v>
      </c>
      <c r="J970" s="98" t="s">
        <v>1705</v>
      </c>
      <c r="K970" s="98" t="s">
        <v>1706</v>
      </c>
    </row>
    <row r="971" customFormat="false" ht="64" hidden="false" customHeight="true" outlineLevel="0" collapsed="false">
      <c r="C971" s="98" t="s">
        <v>2724</v>
      </c>
      <c r="D971" s="98" t="s">
        <v>1760</v>
      </c>
      <c r="E971" s="98" t="s">
        <v>811</v>
      </c>
      <c r="F971" s="98" t="n">
        <v>0</v>
      </c>
      <c r="G971" s="98" t="s">
        <v>2546</v>
      </c>
      <c r="H971" s="98" t="s">
        <v>1703</v>
      </c>
      <c r="I971" s="98" t="s">
        <v>1704</v>
      </c>
      <c r="J971" s="98" t="s">
        <v>1705</v>
      </c>
      <c r="K971" s="98" t="s">
        <v>1706</v>
      </c>
    </row>
    <row r="972" customFormat="false" ht="64" hidden="false" customHeight="true" outlineLevel="0" collapsed="false">
      <c r="C972" s="98" t="s">
        <v>2725</v>
      </c>
      <c r="D972" s="98" t="s">
        <v>1762</v>
      </c>
      <c r="E972" s="98" t="s">
        <v>811</v>
      </c>
      <c r="F972" s="98" t="n">
        <v>0</v>
      </c>
      <c r="G972" s="98" t="s">
        <v>2546</v>
      </c>
      <c r="H972" s="98" t="s">
        <v>1703</v>
      </c>
      <c r="I972" s="98" t="s">
        <v>1704</v>
      </c>
      <c r="J972" s="98" t="s">
        <v>1705</v>
      </c>
      <c r="K972" s="98" t="s">
        <v>1706</v>
      </c>
    </row>
    <row r="973" customFormat="false" ht="64" hidden="false" customHeight="true" outlineLevel="0" collapsed="false">
      <c r="C973" s="98" t="s">
        <v>2726</v>
      </c>
      <c r="D973" s="98" t="s">
        <v>1764</v>
      </c>
      <c r="E973" s="98" t="s">
        <v>811</v>
      </c>
      <c r="F973" s="98" t="n">
        <v>0</v>
      </c>
      <c r="G973" s="98" t="s">
        <v>2546</v>
      </c>
      <c r="H973" s="98" t="s">
        <v>1703</v>
      </c>
      <c r="I973" s="98" t="s">
        <v>1704</v>
      </c>
      <c r="J973" s="98" t="s">
        <v>1705</v>
      </c>
      <c r="K973" s="98" t="s">
        <v>1706</v>
      </c>
    </row>
    <row r="974" customFormat="false" ht="64" hidden="false" customHeight="true" outlineLevel="0" collapsed="false">
      <c r="C974" s="98" t="s">
        <v>2727</v>
      </c>
      <c r="D974" s="98" t="s">
        <v>1829</v>
      </c>
      <c r="E974" s="98" t="s">
        <v>811</v>
      </c>
      <c r="F974" s="98" t="n">
        <v>0</v>
      </c>
      <c r="G974" s="98" t="s">
        <v>2583</v>
      </c>
      <c r="H974" s="98" t="s">
        <v>1703</v>
      </c>
      <c r="I974" s="98" t="s">
        <v>1704</v>
      </c>
      <c r="J974" s="98" t="s">
        <v>1705</v>
      </c>
      <c r="K974" s="98" t="s">
        <v>1706</v>
      </c>
    </row>
    <row r="975" customFormat="false" ht="64" hidden="false" customHeight="true" outlineLevel="0" collapsed="false">
      <c r="C975" s="98" t="s">
        <v>2728</v>
      </c>
      <c r="D975" s="98" t="s">
        <v>1833</v>
      </c>
      <c r="E975" s="98" t="s">
        <v>811</v>
      </c>
      <c r="F975" s="98" t="n">
        <v>0</v>
      </c>
      <c r="G975" s="98" t="s">
        <v>2583</v>
      </c>
      <c r="H975" s="98" t="s">
        <v>1703</v>
      </c>
      <c r="I975" s="98" t="s">
        <v>1704</v>
      </c>
      <c r="J975" s="98" t="s">
        <v>1705</v>
      </c>
      <c r="K975" s="98" t="s">
        <v>1706</v>
      </c>
    </row>
    <row r="976" customFormat="false" ht="64" hidden="false" customHeight="true" outlineLevel="0" collapsed="false">
      <c r="C976" s="98" t="s">
        <v>2729</v>
      </c>
      <c r="D976" s="98" t="s">
        <v>1835</v>
      </c>
      <c r="E976" s="98" t="s">
        <v>811</v>
      </c>
      <c r="F976" s="98" t="n">
        <v>0</v>
      </c>
      <c r="G976" s="98" t="s">
        <v>2583</v>
      </c>
      <c r="H976" s="98" t="s">
        <v>1703</v>
      </c>
      <c r="I976" s="98" t="s">
        <v>1704</v>
      </c>
      <c r="J976" s="98" t="s">
        <v>1705</v>
      </c>
      <c r="K976" s="98" t="s">
        <v>1706</v>
      </c>
    </row>
    <row r="977" customFormat="false" ht="64" hidden="false" customHeight="true" outlineLevel="0" collapsed="false">
      <c r="C977" s="98" t="s">
        <v>2730</v>
      </c>
      <c r="D977" s="98" t="s">
        <v>1044</v>
      </c>
      <c r="E977" s="98" t="s">
        <v>811</v>
      </c>
      <c r="F977" s="98" t="n">
        <v>0</v>
      </c>
      <c r="G977" s="98" t="s">
        <v>2583</v>
      </c>
      <c r="H977" s="98" t="s">
        <v>1703</v>
      </c>
      <c r="I977" s="98" t="s">
        <v>1704</v>
      </c>
      <c r="J977" s="98" t="s">
        <v>1705</v>
      </c>
      <c r="K977" s="98" t="s">
        <v>1706</v>
      </c>
    </row>
    <row r="978" customFormat="false" ht="64" hidden="false" customHeight="true" outlineLevel="0" collapsed="false">
      <c r="C978" s="98" t="s">
        <v>2731</v>
      </c>
      <c r="D978" s="98" t="s">
        <v>1838</v>
      </c>
      <c r="E978" s="98" t="s">
        <v>811</v>
      </c>
      <c r="F978" s="98" t="n">
        <v>0</v>
      </c>
      <c r="G978" s="98" t="s">
        <v>2583</v>
      </c>
      <c r="H978" s="98" t="s">
        <v>1703</v>
      </c>
      <c r="I978" s="98" t="s">
        <v>1704</v>
      </c>
      <c r="J978" s="98" t="s">
        <v>1705</v>
      </c>
      <c r="K978" s="98" t="s">
        <v>1706</v>
      </c>
    </row>
    <row r="979" customFormat="false" ht="64" hidden="false" customHeight="true" outlineLevel="0" collapsed="false">
      <c r="C979" s="98" t="s">
        <v>2732</v>
      </c>
      <c r="D979" s="98" t="s">
        <v>1840</v>
      </c>
      <c r="E979" s="98" t="s">
        <v>811</v>
      </c>
      <c r="F979" s="98" t="n">
        <v>45.0252</v>
      </c>
      <c r="G979" s="98" t="s">
        <v>2583</v>
      </c>
      <c r="H979" s="98" t="s">
        <v>1703</v>
      </c>
      <c r="I979" s="98" t="s">
        <v>1704</v>
      </c>
      <c r="J979" s="98" t="s">
        <v>1705</v>
      </c>
      <c r="K979" s="98" t="s">
        <v>1706</v>
      </c>
    </row>
    <row r="980" customFormat="false" ht="64" hidden="false" customHeight="true" outlineLevel="0" collapsed="false">
      <c r="C980" s="98" t="s">
        <v>2733</v>
      </c>
      <c r="D980" s="98" t="s">
        <v>1700</v>
      </c>
      <c r="E980" s="98" t="s">
        <v>811</v>
      </c>
      <c r="F980" s="98" t="n">
        <v>0</v>
      </c>
      <c r="G980" s="98" t="s">
        <v>2583</v>
      </c>
      <c r="H980" s="98" t="s">
        <v>1703</v>
      </c>
      <c r="I980" s="98" t="s">
        <v>1704</v>
      </c>
      <c r="J980" s="98" t="s">
        <v>1705</v>
      </c>
      <c r="K980" s="98" t="s">
        <v>1706</v>
      </c>
    </row>
    <row r="981" customFormat="false" ht="64" hidden="false" customHeight="true" outlineLevel="0" collapsed="false">
      <c r="C981" s="98" t="s">
        <v>2734</v>
      </c>
      <c r="D981" s="98" t="s">
        <v>1708</v>
      </c>
      <c r="E981" s="98" t="s">
        <v>811</v>
      </c>
      <c r="F981" s="98" t="n">
        <v>0</v>
      </c>
      <c r="G981" s="98" t="s">
        <v>2583</v>
      </c>
      <c r="H981" s="98" t="s">
        <v>1703</v>
      </c>
      <c r="I981" s="98" t="s">
        <v>1704</v>
      </c>
      <c r="J981" s="98" t="s">
        <v>1705</v>
      </c>
      <c r="K981" s="98" t="s">
        <v>1706</v>
      </c>
    </row>
    <row r="982" customFormat="false" ht="64" hidden="false" customHeight="true" outlineLevel="0" collapsed="false">
      <c r="C982" s="98" t="s">
        <v>2735</v>
      </c>
      <c r="D982" s="98" t="s">
        <v>1710</v>
      </c>
      <c r="E982" s="98" t="s">
        <v>811</v>
      </c>
      <c r="F982" s="98" t="n">
        <v>0</v>
      </c>
      <c r="G982" s="98" t="s">
        <v>2583</v>
      </c>
      <c r="H982" s="98" t="s">
        <v>1703</v>
      </c>
      <c r="I982" s="98" t="s">
        <v>1704</v>
      </c>
      <c r="J982" s="98" t="s">
        <v>1705</v>
      </c>
      <c r="K982" s="98" t="s">
        <v>1706</v>
      </c>
    </row>
    <row r="983" customFormat="false" ht="64" hidden="false" customHeight="true" outlineLevel="0" collapsed="false">
      <c r="C983" s="98" t="s">
        <v>2736</v>
      </c>
      <c r="D983" s="98" t="s">
        <v>1712</v>
      </c>
      <c r="E983" s="98" t="s">
        <v>811</v>
      </c>
      <c r="F983" s="98" t="n">
        <v>0</v>
      </c>
      <c r="G983" s="98" t="s">
        <v>2583</v>
      </c>
      <c r="H983" s="98" t="s">
        <v>1703</v>
      </c>
      <c r="I983" s="98" t="s">
        <v>1704</v>
      </c>
      <c r="J983" s="98" t="s">
        <v>1705</v>
      </c>
      <c r="K983" s="98" t="s">
        <v>1706</v>
      </c>
    </row>
    <row r="984" customFormat="false" ht="64" hidden="false" customHeight="true" outlineLevel="0" collapsed="false">
      <c r="C984" s="98" t="s">
        <v>2737</v>
      </c>
      <c r="D984" s="98" t="s">
        <v>1714</v>
      </c>
      <c r="E984" s="98" t="s">
        <v>811</v>
      </c>
      <c r="F984" s="98" t="n">
        <v>0</v>
      </c>
      <c r="G984" s="98" t="s">
        <v>2583</v>
      </c>
      <c r="H984" s="98" t="s">
        <v>1703</v>
      </c>
      <c r="I984" s="98" t="s">
        <v>1704</v>
      </c>
      <c r="J984" s="98" t="s">
        <v>1705</v>
      </c>
      <c r="K984" s="98" t="s">
        <v>1706</v>
      </c>
    </row>
    <row r="985" customFormat="false" ht="64" hidden="false" customHeight="true" outlineLevel="0" collapsed="false">
      <c r="C985" s="98" t="s">
        <v>2738</v>
      </c>
      <c r="D985" s="98" t="s">
        <v>1716</v>
      </c>
      <c r="E985" s="98" t="s">
        <v>811</v>
      </c>
      <c r="F985" s="98" t="n">
        <v>0</v>
      </c>
      <c r="G985" s="98" t="s">
        <v>2583</v>
      </c>
      <c r="H985" s="98" t="s">
        <v>1703</v>
      </c>
      <c r="I985" s="98" t="s">
        <v>1704</v>
      </c>
      <c r="J985" s="98" t="s">
        <v>1705</v>
      </c>
      <c r="K985" s="98" t="s">
        <v>1706</v>
      </c>
    </row>
    <row r="986" customFormat="false" ht="64" hidden="false" customHeight="true" outlineLevel="0" collapsed="false">
      <c r="C986" s="98" t="s">
        <v>2739</v>
      </c>
      <c r="D986" s="98" t="s">
        <v>1718</v>
      </c>
      <c r="E986" s="98" t="s">
        <v>811</v>
      </c>
      <c r="F986" s="98" t="n">
        <v>0</v>
      </c>
      <c r="G986" s="98" t="s">
        <v>2583</v>
      </c>
      <c r="H986" s="98" t="s">
        <v>1703</v>
      </c>
      <c r="I986" s="98" t="s">
        <v>1704</v>
      </c>
      <c r="J986" s="98" t="s">
        <v>1705</v>
      </c>
      <c r="K986" s="98" t="s">
        <v>1706</v>
      </c>
    </row>
    <row r="987" customFormat="false" ht="64" hidden="false" customHeight="true" outlineLevel="0" collapsed="false">
      <c r="C987" s="98" t="s">
        <v>2740</v>
      </c>
      <c r="D987" s="98" t="s">
        <v>1720</v>
      </c>
      <c r="E987" s="98" t="s">
        <v>811</v>
      </c>
      <c r="F987" s="98" t="n">
        <v>0</v>
      </c>
      <c r="G987" s="98" t="s">
        <v>2583</v>
      </c>
      <c r="H987" s="98" t="s">
        <v>1703</v>
      </c>
      <c r="I987" s="98" t="s">
        <v>1704</v>
      </c>
      <c r="J987" s="98" t="s">
        <v>1705</v>
      </c>
      <c r="K987" s="98" t="s">
        <v>1706</v>
      </c>
    </row>
    <row r="988" customFormat="false" ht="64" hidden="false" customHeight="true" outlineLevel="0" collapsed="false">
      <c r="C988" s="98" t="s">
        <v>2741</v>
      </c>
      <c r="D988" s="98" t="s">
        <v>1722</v>
      </c>
      <c r="E988" s="98" t="s">
        <v>811</v>
      </c>
      <c r="F988" s="98" t="n">
        <v>0</v>
      </c>
      <c r="G988" s="98" t="s">
        <v>2583</v>
      </c>
      <c r="H988" s="98" t="s">
        <v>1703</v>
      </c>
      <c r="I988" s="98" t="s">
        <v>1704</v>
      </c>
      <c r="J988" s="98" t="s">
        <v>1705</v>
      </c>
      <c r="K988" s="98" t="s">
        <v>1706</v>
      </c>
    </row>
    <row r="989" customFormat="false" ht="64" hidden="false" customHeight="true" outlineLevel="0" collapsed="false">
      <c r="C989" s="98" t="s">
        <v>2742</v>
      </c>
      <c r="D989" s="98" t="s">
        <v>1724</v>
      </c>
      <c r="E989" s="98" t="s">
        <v>811</v>
      </c>
      <c r="F989" s="98" t="n">
        <v>0</v>
      </c>
      <c r="G989" s="98" t="s">
        <v>2583</v>
      </c>
      <c r="H989" s="98" t="s">
        <v>1703</v>
      </c>
      <c r="I989" s="98" t="s">
        <v>1704</v>
      </c>
      <c r="J989" s="98" t="s">
        <v>1705</v>
      </c>
      <c r="K989" s="98" t="s">
        <v>1706</v>
      </c>
    </row>
    <row r="990" customFormat="false" ht="64" hidden="false" customHeight="true" outlineLevel="0" collapsed="false">
      <c r="C990" s="98" t="s">
        <v>2743</v>
      </c>
      <c r="D990" s="98" t="s">
        <v>1726</v>
      </c>
      <c r="E990" s="98" t="s">
        <v>811</v>
      </c>
      <c r="F990" s="98" t="n">
        <v>0</v>
      </c>
      <c r="G990" s="98" t="s">
        <v>2583</v>
      </c>
      <c r="H990" s="98" t="s">
        <v>1703</v>
      </c>
      <c r="I990" s="98" t="s">
        <v>1704</v>
      </c>
      <c r="J990" s="98" t="s">
        <v>1705</v>
      </c>
      <c r="K990" s="98" t="s">
        <v>1706</v>
      </c>
    </row>
    <row r="991" customFormat="false" ht="64" hidden="false" customHeight="true" outlineLevel="0" collapsed="false">
      <c r="C991" s="98" t="s">
        <v>2744</v>
      </c>
      <c r="D991" s="98" t="s">
        <v>1728</v>
      </c>
      <c r="E991" s="98" t="s">
        <v>811</v>
      </c>
      <c r="F991" s="98" t="n">
        <v>45.0252</v>
      </c>
      <c r="G991" s="98" t="s">
        <v>2583</v>
      </c>
      <c r="H991" s="98" t="s">
        <v>1703</v>
      </c>
      <c r="I991" s="98" t="s">
        <v>1704</v>
      </c>
      <c r="J991" s="98" t="s">
        <v>1705</v>
      </c>
      <c r="K991" s="98" t="s">
        <v>1706</v>
      </c>
    </row>
    <row r="992" customFormat="false" ht="64" hidden="false" customHeight="true" outlineLevel="0" collapsed="false">
      <c r="C992" s="98" t="s">
        <v>2745</v>
      </c>
      <c r="D992" s="98" t="s">
        <v>1730</v>
      </c>
      <c r="E992" s="98" t="s">
        <v>811</v>
      </c>
      <c r="F992" s="98" t="n">
        <v>0</v>
      </c>
      <c r="G992" s="98" t="s">
        <v>2583</v>
      </c>
      <c r="H992" s="98" t="s">
        <v>1703</v>
      </c>
      <c r="I992" s="98" t="s">
        <v>1704</v>
      </c>
      <c r="J992" s="98" t="s">
        <v>1705</v>
      </c>
      <c r="K992" s="98" t="s">
        <v>1706</v>
      </c>
    </row>
    <row r="993" customFormat="false" ht="64" hidden="false" customHeight="true" outlineLevel="0" collapsed="false">
      <c r="C993" s="98" t="s">
        <v>2746</v>
      </c>
      <c r="D993" s="98" t="s">
        <v>1732</v>
      </c>
      <c r="E993" s="98" t="s">
        <v>811</v>
      </c>
      <c r="F993" s="98" t="n">
        <v>0</v>
      </c>
      <c r="G993" s="98" t="s">
        <v>2583</v>
      </c>
      <c r="H993" s="98" t="s">
        <v>1703</v>
      </c>
      <c r="I993" s="98" t="s">
        <v>1704</v>
      </c>
      <c r="J993" s="98" t="s">
        <v>1705</v>
      </c>
      <c r="K993" s="98" t="s">
        <v>1706</v>
      </c>
    </row>
    <row r="994" customFormat="false" ht="64" hidden="false" customHeight="true" outlineLevel="0" collapsed="false">
      <c r="C994" s="98" t="s">
        <v>2747</v>
      </c>
      <c r="D994" s="98" t="s">
        <v>1734</v>
      </c>
      <c r="E994" s="98" t="s">
        <v>811</v>
      </c>
      <c r="F994" s="98" t="n">
        <v>0</v>
      </c>
      <c r="G994" s="98" t="s">
        <v>2583</v>
      </c>
      <c r="H994" s="98" t="s">
        <v>1703</v>
      </c>
      <c r="I994" s="98" t="s">
        <v>1704</v>
      </c>
      <c r="J994" s="98" t="s">
        <v>1705</v>
      </c>
      <c r="K994" s="98" t="s">
        <v>1706</v>
      </c>
    </row>
    <row r="995" customFormat="false" ht="64" hidden="false" customHeight="true" outlineLevel="0" collapsed="false">
      <c r="C995" s="98" t="s">
        <v>2748</v>
      </c>
      <c r="D995" s="98" t="s">
        <v>1736</v>
      </c>
      <c r="E995" s="98" t="s">
        <v>811</v>
      </c>
      <c r="F995" s="98" t="n">
        <v>0</v>
      </c>
      <c r="G995" s="98" t="s">
        <v>2583</v>
      </c>
      <c r="H995" s="98" t="s">
        <v>1703</v>
      </c>
      <c r="I995" s="98" t="s">
        <v>1704</v>
      </c>
      <c r="J995" s="98" t="s">
        <v>1705</v>
      </c>
      <c r="K995" s="98" t="s">
        <v>1706</v>
      </c>
    </row>
    <row r="996" customFormat="false" ht="64" hidden="false" customHeight="true" outlineLevel="0" collapsed="false">
      <c r="C996" s="98" t="s">
        <v>2749</v>
      </c>
      <c r="D996" s="98" t="s">
        <v>1738</v>
      </c>
      <c r="E996" s="98" t="s">
        <v>811</v>
      </c>
      <c r="F996" s="98" t="n">
        <v>0</v>
      </c>
      <c r="G996" s="98" t="s">
        <v>2583</v>
      </c>
      <c r="H996" s="98" t="s">
        <v>1703</v>
      </c>
      <c r="I996" s="98" t="s">
        <v>1704</v>
      </c>
      <c r="J996" s="98" t="s">
        <v>1705</v>
      </c>
      <c r="K996" s="98" t="s">
        <v>1706</v>
      </c>
    </row>
    <row r="997" customFormat="false" ht="64" hidden="false" customHeight="true" outlineLevel="0" collapsed="false">
      <c r="C997" s="98" t="s">
        <v>2750</v>
      </c>
      <c r="D997" s="98" t="s">
        <v>1740</v>
      </c>
      <c r="E997" s="98" t="s">
        <v>811</v>
      </c>
      <c r="F997" s="98" t="n">
        <v>0</v>
      </c>
      <c r="G997" s="98" t="s">
        <v>2583</v>
      </c>
      <c r="H997" s="98" t="s">
        <v>1703</v>
      </c>
      <c r="I997" s="98" t="s">
        <v>1704</v>
      </c>
      <c r="J997" s="98" t="s">
        <v>1705</v>
      </c>
      <c r="K997" s="98" t="s">
        <v>1706</v>
      </c>
    </row>
    <row r="998" customFormat="false" ht="64" hidden="false" customHeight="true" outlineLevel="0" collapsed="false">
      <c r="C998" s="98" t="s">
        <v>2751</v>
      </c>
      <c r="D998" s="98" t="s">
        <v>1742</v>
      </c>
      <c r="E998" s="98" t="s">
        <v>811</v>
      </c>
      <c r="F998" s="98" t="n">
        <v>0</v>
      </c>
      <c r="G998" s="98" t="s">
        <v>2583</v>
      </c>
      <c r="H998" s="98" t="s">
        <v>1703</v>
      </c>
      <c r="I998" s="98" t="s">
        <v>1704</v>
      </c>
      <c r="J998" s="98" t="s">
        <v>1705</v>
      </c>
      <c r="K998" s="98" t="s">
        <v>1706</v>
      </c>
    </row>
    <row r="999" customFormat="false" ht="64" hidden="false" customHeight="true" outlineLevel="0" collapsed="false">
      <c r="C999" s="98" t="s">
        <v>2752</v>
      </c>
      <c r="D999" s="98" t="s">
        <v>1744</v>
      </c>
      <c r="E999" s="98" t="s">
        <v>811</v>
      </c>
      <c r="F999" s="98" t="n">
        <v>0</v>
      </c>
      <c r="G999" s="98" t="s">
        <v>2583</v>
      </c>
      <c r="H999" s="98" t="s">
        <v>1703</v>
      </c>
      <c r="I999" s="98" t="s">
        <v>1704</v>
      </c>
      <c r="J999" s="98" t="s">
        <v>1705</v>
      </c>
      <c r="K999" s="98" t="s">
        <v>1706</v>
      </c>
    </row>
    <row r="1000" customFormat="false" ht="64" hidden="false" customHeight="true" outlineLevel="0" collapsed="false">
      <c r="C1000" s="98" t="s">
        <v>2753</v>
      </c>
      <c r="D1000" s="98" t="s">
        <v>1746</v>
      </c>
      <c r="E1000" s="98" t="s">
        <v>811</v>
      </c>
      <c r="F1000" s="98" t="n">
        <v>0</v>
      </c>
      <c r="G1000" s="98" t="s">
        <v>2583</v>
      </c>
      <c r="H1000" s="98" t="s">
        <v>1703</v>
      </c>
      <c r="I1000" s="98" t="s">
        <v>1704</v>
      </c>
      <c r="J1000" s="98" t="s">
        <v>1705</v>
      </c>
      <c r="K1000" s="98" t="s">
        <v>1706</v>
      </c>
    </row>
    <row r="1001" customFormat="false" ht="64" hidden="false" customHeight="true" outlineLevel="0" collapsed="false">
      <c r="C1001" s="98" t="s">
        <v>2754</v>
      </c>
      <c r="D1001" s="98" t="s">
        <v>1748</v>
      </c>
      <c r="E1001" s="98" t="s">
        <v>811</v>
      </c>
      <c r="F1001" s="98" t="n">
        <v>0</v>
      </c>
      <c r="G1001" s="98" t="s">
        <v>2583</v>
      </c>
      <c r="H1001" s="98" t="s">
        <v>1703</v>
      </c>
      <c r="I1001" s="98" t="s">
        <v>1704</v>
      </c>
      <c r="J1001" s="98" t="s">
        <v>1705</v>
      </c>
      <c r="K1001" s="98" t="s">
        <v>1706</v>
      </c>
    </row>
    <row r="1002" customFormat="false" ht="64" hidden="false" customHeight="true" outlineLevel="0" collapsed="false">
      <c r="C1002" s="98" t="s">
        <v>2755</v>
      </c>
      <c r="D1002" s="98" t="s">
        <v>1750</v>
      </c>
      <c r="E1002" s="98" t="s">
        <v>811</v>
      </c>
      <c r="F1002" s="98" t="n">
        <v>0</v>
      </c>
      <c r="G1002" s="98" t="s">
        <v>2583</v>
      </c>
      <c r="H1002" s="98" t="s">
        <v>1703</v>
      </c>
      <c r="I1002" s="98" t="s">
        <v>1704</v>
      </c>
      <c r="J1002" s="98" t="s">
        <v>1705</v>
      </c>
      <c r="K1002" s="98" t="s">
        <v>1706</v>
      </c>
    </row>
    <row r="1003" customFormat="false" ht="64" hidden="false" customHeight="true" outlineLevel="0" collapsed="false">
      <c r="C1003" s="98" t="s">
        <v>2756</v>
      </c>
      <c r="D1003" s="98" t="s">
        <v>1752</v>
      </c>
      <c r="E1003" s="98" t="s">
        <v>811</v>
      </c>
      <c r="F1003" s="98" t="n">
        <v>45.0252</v>
      </c>
      <c r="G1003" s="98" t="s">
        <v>2583</v>
      </c>
      <c r="H1003" s="98" t="s">
        <v>1703</v>
      </c>
      <c r="I1003" s="98" t="s">
        <v>1704</v>
      </c>
      <c r="J1003" s="98" t="s">
        <v>1705</v>
      </c>
      <c r="K1003" s="98" t="s">
        <v>1706</v>
      </c>
    </row>
    <row r="1004" customFormat="false" ht="64" hidden="false" customHeight="true" outlineLevel="0" collapsed="false">
      <c r="C1004" s="98" t="s">
        <v>2757</v>
      </c>
      <c r="D1004" s="98" t="s">
        <v>1754</v>
      </c>
      <c r="E1004" s="98" t="s">
        <v>811</v>
      </c>
      <c r="F1004" s="98" t="n">
        <v>0</v>
      </c>
      <c r="G1004" s="98" t="s">
        <v>2583</v>
      </c>
      <c r="H1004" s="98" t="s">
        <v>1703</v>
      </c>
      <c r="I1004" s="98" t="s">
        <v>1704</v>
      </c>
      <c r="J1004" s="98" t="s">
        <v>1705</v>
      </c>
      <c r="K1004" s="98" t="s">
        <v>1706</v>
      </c>
    </row>
    <row r="1005" customFormat="false" ht="64" hidden="false" customHeight="true" outlineLevel="0" collapsed="false">
      <c r="C1005" s="98" t="s">
        <v>2758</v>
      </c>
      <c r="D1005" s="98" t="s">
        <v>1756</v>
      </c>
      <c r="E1005" s="98" t="s">
        <v>811</v>
      </c>
      <c r="F1005" s="98" t="n">
        <v>0</v>
      </c>
      <c r="G1005" s="98" t="s">
        <v>2583</v>
      </c>
      <c r="H1005" s="98" t="s">
        <v>1703</v>
      </c>
      <c r="I1005" s="98" t="s">
        <v>1704</v>
      </c>
      <c r="J1005" s="98" t="s">
        <v>1705</v>
      </c>
      <c r="K1005" s="98" t="s">
        <v>1706</v>
      </c>
    </row>
    <row r="1006" customFormat="false" ht="64" hidden="false" customHeight="true" outlineLevel="0" collapsed="false">
      <c r="C1006" s="98" t="s">
        <v>2759</v>
      </c>
      <c r="D1006" s="98" t="s">
        <v>1758</v>
      </c>
      <c r="E1006" s="98" t="s">
        <v>811</v>
      </c>
      <c r="F1006" s="98" t="n">
        <v>0</v>
      </c>
      <c r="G1006" s="98" t="s">
        <v>2583</v>
      </c>
      <c r="H1006" s="98" t="s">
        <v>1703</v>
      </c>
      <c r="I1006" s="98" t="s">
        <v>1704</v>
      </c>
      <c r="J1006" s="98" t="s">
        <v>1705</v>
      </c>
      <c r="K1006" s="98" t="s">
        <v>1706</v>
      </c>
    </row>
    <row r="1007" customFormat="false" ht="64" hidden="false" customHeight="true" outlineLevel="0" collapsed="false">
      <c r="C1007" s="98" t="s">
        <v>2760</v>
      </c>
      <c r="D1007" s="98" t="s">
        <v>1760</v>
      </c>
      <c r="E1007" s="98" t="s">
        <v>811</v>
      </c>
      <c r="F1007" s="98" t="n">
        <v>0</v>
      </c>
      <c r="G1007" s="98" t="s">
        <v>2583</v>
      </c>
      <c r="H1007" s="98" t="s">
        <v>1703</v>
      </c>
      <c r="I1007" s="98" t="s">
        <v>1704</v>
      </c>
      <c r="J1007" s="98" t="s">
        <v>1705</v>
      </c>
      <c r="K1007" s="98" t="s">
        <v>1706</v>
      </c>
    </row>
    <row r="1008" customFormat="false" ht="64" hidden="false" customHeight="true" outlineLevel="0" collapsed="false">
      <c r="C1008" s="98" t="s">
        <v>2761</v>
      </c>
      <c r="D1008" s="98" t="s">
        <v>1762</v>
      </c>
      <c r="E1008" s="98" t="s">
        <v>811</v>
      </c>
      <c r="F1008" s="98" t="n">
        <v>0</v>
      </c>
      <c r="G1008" s="98" t="s">
        <v>2583</v>
      </c>
      <c r="H1008" s="98" t="s">
        <v>1703</v>
      </c>
      <c r="I1008" s="98" t="s">
        <v>1704</v>
      </c>
      <c r="J1008" s="98" t="s">
        <v>1705</v>
      </c>
      <c r="K1008" s="98" t="s">
        <v>1706</v>
      </c>
    </row>
    <row r="1009" customFormat="false" ht="64" hidden="false" customHeight="true" outlineLevel="0" collapsed="false">
      <c r="C1009" s="98" t="s">
        <v>2762</v>
      </c>
      <c r="D1009" s="98" t="s">
        <v>1764</v>
      </c>
      <c r="E1009" s="98" t="s">
        <v>811</v>
      </c>
      <c r="F1009" s="98" t="n">
        <v>0</v>
      </c>
      <c r="G1009" s="98" t="s">
        <v>2583</v>
      </c>
      <c r="H1009" s="98" t="s">
        <v>1703</v>
      </c>
      <c r="I1009" s="98" t="s">
        <v>1704</v>
      </c>
      <c r="J1009" s="98" t="s">
        <v>1705</v>
      </c>
      <c r="K1009" s="98" t="s">
        <v>1706</v>
      </c>
    </row>
    <row r="1010" customFormat="false" ht="64" hidden="false" customHeight="true" outlineLevel="0" collapsed="false">
      <c r="C1010" s="98" t="s">
        <v>2763</v>
      </c>
      <c r="D1010" s="98" t="s">
        <v>1829</v>
      </c>
      <c r="E1010" s="98" t="s">
        <v>811</v>
      </c>
      <c r="F1010" s="98" t="n">
        <v>0</v>
      </c>
      <c r="G1010" s="98" t="s">
        <v>2764</v>
      </c>
      <c r="H1010" s="98" t="s">
        <v>1703</v>
      </c>
      <c r="I1010" s="98" t="s">
        <v>1704</v>
      </c>
      <c r="J1010" s="98" t="s">
        <v>1705</v>
      </c>
      <c r="K1010" s="98" t="s">
        <v>1706</v>
      </c>
    </row>
    <row r="1011" customFormat="false" ht="64" hidden="false" customHeight="true" outlineLevel="0" collapsed="false">
      <c r="C1011" s="98" t="s">
        <v>2765</v>
      </c>
      <c r="D1011" s="98" t="s">
        <v>1833</v>
      </c>
      <c r="E1011" s="98" t="s">
        <v>811</v>
      </c>
      <c r="F1011" s="98" t="n">
        <v>0</v>
      </c>
      <c r="G1011" s="98" t="s">
        <v>2764</v>
      </c>
      <c r="H1011" s="98" t="s">
        <v>1703</v>
      </c>
      <c r="I1011" s="98" t="s">
        <v>1704</v>
      </c>
      <c r="J1011" s="98" t="s">
        <v>1705</v>
      </c>
      <c r="K1011" s="98" t="s">
        <v>1706</v>
      </c>
    </row>
    <row r="1012" customFormat="false" ht="64" hidden="false" customHeight="true" outlineLevel="0" collapsed="false">
      <c r="C1012" s="98" t="s">
        <v>2766</v>
      </c>
      <c r="D1012" s="98" t="s">
        <v>1835</v>
      </c>
      <c r="E1012" s="98" t="s">
        <v>811</v>
      </c>
      <c r="F1012" s="98" t="n">
        <v>0</v>
      </c>
      <c r="G1012" s="98" t="s">
        <v>2764</v>
      </c>
      <c r="H1012" s="98" t="s">
        <v>1703</v>
      </c>
      <c r="I1012" s="98" t="s">
        <v>1704</v>
      </c>
      <c r="J1012" s="98" t="s">
        <v>1705</v>
      </c>
      <c r="K1012" s="98" t="s">
        <v>1706</v>
      </c>
    </row>
    <row r="1013" customFormat="false" ht="64" hidden="false" customHeight="true" outlineLevel="0" collapsed="false">
      <c r="C1013" s="98" t="s">
        <v>2767</v>
      </c>
      <c r="D1013" s="98" t="s">
        <v>1044</v>
      </c>
      <c r="E1013" s="98" t="s">
        <v>811</v>
      </c>
      <c r="F1013" s="98" t="n">
        <v>0</v>
      </c>
      <c r="G1013" s="98" t="s">
        <v>2764</v>
      </c>
      <c r="H1013" s="98" t="s">
        <v>1703</v>
      </c>
      <c r="I1013" s="98" t="s">
        <v>1704</v>
      </c>
      <c r="J1013" s="98" t="s">
        <v>1705</v>
      </c>
      <c r="K1013" s="98" t="s">
        <v>1706</v>
      </c>
    </row>
    <row r="1014" customFormat="false" ht="64" hidden="false" customHeight="true" outlineLevel="0" collapsed="false">
      <c r="C1014" s="98" t="s">
        <v>2768</v>
      </c>
      <c r="D1014" s="98" t="s">
        <v>1838</v>
      </c>
      <c r="E1014" s="98" t="s">
        <v>811</v>
      </c>
      <c r="F1014" s="98" t="n">
        <v>0</v>
      </c>
      <c r="G1014" s="98" t="s">
        <v>2764</v>
      </c>
      <c r="H1014" s="98" t="s">
        <v>1703</v>
      </c>
      <c r="I1014" s="98" t="s">
        <v>1704</v>
      </c>
      <c r="J1014" s="98" t="s">
        <v>1705</v>
      </c>
      <c r="K1014" s="98" t="s">
        <v>1706</v>
      </c>
    </row>
    <row r="1015" customFormat="false" ht="64" hidden="false" customHeight="true" outlineLevel="0" collapsed="false">
      <c r="C1015" s="98" t="s">
        <v>2769</v>
      </c>
      <c r="D1015" s="98" t="s">
        <v>1840</v>
      </c>
      <c r="E1015" s="98" t="s">
        <v>811</v>
      </c>
      <c r="F1015" s="98" t="n">
        <v>0</v>
      </c>
      <c r="G1015" s="98" t="s">
        <v>2764</v>
      </c>
      <c r="H1015" s="98" t="s">
        <v>1703</v>
      </c>
      <c r="I1015" s="98" t="s">
        <v>1704</v>
      </c>
      <c r="J1015" s="98" t="s">
        <v>1705</v>
      </c>
      <c r="K1015" s="98" t="s">
        <v>1706</v>
      </c>
    </row>
    <row r="1016" customFormat="false" ht="64" hidden="false" customHeight="true" outlineLevel="0" collapsed="false">
      <c r="C1016" s="98" t="s">
        <v>2770</v>
      </c>
      <c r="D1016" s="98" t="s">
        <v>1700</v>
      </c>
      <c r="E1016" s="98" t="s">
        <v>811</v>
      </c>
      <c r="F1016" s="98" t="n">
        <v>0</v>
      </c>
      <c r="G1016" s="98" t="s">
        <v>2764</v>
      </c>
      <c r="H1016" s="98" t="s">
        <v>1703</v>
      </c>
      <c r="I1016" s="98" t="s">
        <v>1704</v>
      </c>
      <c r="J1016" s="98" t="s">
        <v>1705</v>
      </c>
      <c r="K1016" s="98" t="s">
        <v>1706</v>
      </c>
    </row>
    <row r="1017" customFormat="false" ht="64" hidden="false" customHeight="true" outlineLevel="0" collapsed="false">
      <c r="C1017" s="98" t="s">
        <v>2771</v>
      </c>
      <c r="D1017" s="98" t="s">
        <v>1708</v>
      </c>
      <c r="E1017" s="98" t="s">
        <v>811</v>
      </c>
      <c r="F1017" s="98" t="n">
        <v>0</v>
      </c>
      <c r="G1017" s="98" t="s">
        <v>2764</v>
      </c>
      <c r="H1017" s="98" t="s">
        <v>1703</v>
      </c>
      <c r="I1017" s="98" t="s">
        <v>1704</v>
      </c>
      <c r="J1017" s="98" t="s">
        <v>1705</v>
      </c>
      <c r="K1017" s="98" t="s">
        <v>1706</v>
      </c>
    </row>
    <row r="1018" customFormat="false" ht="64" hidden="false" customHeight="true" outlineLevel="0" collapsed="false">
      <c r="C1018" s="98" t="s">
        <v>2772</v>
      </c>
      <c r="D1018" s="98" t="s">
        <v>1710</v>
      </c>
      <c r="E1018" s="98" t="s">
        <v>811</v>
      </c>
      <c r="F1018" s="98" t="n">
        <v>0</v>
      </c>
      <c r="G1018" s="98" t="s">
        <v>2764</v>
      </c>
      <c r="H1018" s="98" t="s">
        <v>1703</v>
      </c>
      <c r="I1018" s="98" t="s">
        <v>1704</v>
      </c>
      <c r="J1018" s="98" t="s">
        <v>1705</v>
      </c>
      <c r="K1018" s="98" t="s">
        <v>1706</v>
      </c>
    </row>
    <row r="1019" customFormat="false" ht="64" hidden="false" customHeight="true" outlineLevel="0" collapsed="false">
      <c r="C1019" s="98" t="s">
        <v>2773</v>
      </c>
      <c r="D1019" s="98" t="s">
        <v>1712</v>
      </c>
      <c r="E1019" s="98" t="s">
        <v>811</v>
      </c>
      <c r="F1019" s="98" t="n">
        <v>0</v>
      </c>
      <c r="G1019" s="98" t="s">
        <v>2764</v>
      </c>
      <c r="H1019" s="98" t="s">
        <v>1703</v>
      </c>
      <c r="I1019" s="98" t="s">
        <v>1704</v>
      </c>
      <c r="J1019" s="98" t="s">
        <v>1705</v>
      </c>
      <c r="K1019" s="98" t="s">
        <v>1706</v>
      </c>
    </row>
    <row r="1020" customFormat="false" ht="64" hidden="false" customHeight="true" outlineLevel="0" collapsed="false">
      <c r="C1020" s="98" t="s">
        <v>2774</v>
      </c>
      <c r="D1020" s="98" t="s">
        <v>1714</v>
      </c>
      <c r="E1020" s="98" t="s">
        <v>811</v>
      </c>
      <c r="F1020" s="98" t="n">
        <v>0</v>
      </c>
      <c r="G1020" s="98" t="s">
        <v>2764</v>
      </c>
      <c r="H1020" s="98" t="s">
        <v>1703</v>
      </c>
      <c r="I1020" s="98" t="s">
        <v>1704</v>
      </c>
      <c r="J1020" s="98" t="s">
        <v>1705</v>
      </c>
      <c r="K1020" s="98" t="s">
        <v>1706</v>
      </c>
    </row>
    <row r="1021" customFormat="false" ht="64" hidden="false" customHeight="true" outlineLevel="0" collapsed="false">
      <c r="C1021" s="98" t="s">
        <v>2775</v>
      </c>
      <c r="D1021" s="98" t="s">
        <v>1716</v>
      </c>
      <c r="E1021" s="98" t="s">
        <v>811</v>
      </c>
      <c r="F1021" s="98" t="n">
        <v>0</v>
      </c>
      <c r="G1021" s="98" t="s">
        <v>2764</v>
      </c>
      <c r="H1021" s="98" t="s">
        <v>1703</v>
      </c>
      <c r="I1021" s="98" t="s">
        <v>1704</v>
      </c>
      <c r="J1021" s="98" t="s">
        <v>1705</v>
      </c>
      <c r="K1021" s="98" t="s">
        <v>1706</v>
      </c>
    </row>
    <row r="1022" customFormat="false" ht="64" hidden="false" customHeight="true" outlineLevel="0" collapsed="false">
      <c r="C1022" s="98" t="s">
        <v>2776</v>
      </c>
      <c r="D1022" s="98" t="s">
        <v>1718</v>
      </c>
      <c r="E1022" s="98" t="s">
        <v>811</v>
      </c>
      <c r="F1022" s="98" t="n">
        <v>0</v>
      </c>
      <c r="G1022" s="98" t="s">
        <v>2764</v>
      </c>
      <c r="H1022" s="98" t="s">
        <v>1703</v>
      </c>
      <c r="I1022" s="98" t="s">
        <v>1704</v>
      </c>
      <c r="J1022" s="98" t="s">
        <v>1705</v>
      </c>
      <c r="K1022" s="98" t="s">
        <v>1706</v>
      </c>
    </row>
    <row r="1023" customFormat="false" ht="64" hidden="false" customHeight="true" outlineLevel="0" collapsed="false">
      <c r="C1023" s="98" t="s">
        <v>2777</v>
      </c>
      <c r="D1023" s="98" t="s">
        <v>1720</v>
      </c>
      <c r="E1023" s="98" t="s">
        <v>811</v>
      </c>
      <c r="F1023" s="98" t="n">
        <v>0</v>
      </c>
      <c r="G1023" s="98" t="s">
        <v>2764</v>
      </c>
      <c r="H1023" s="98" t="s">
        <v>1703</v>
      </c>
      <c r="I1023" s="98" t="s">
        <v>1704</v>
      </c>
      <c r="J1023" s="98" t="s">
        <v>1705</v>
      </c>
      <c r="K1023" s="98" t="s">
        <v>1706</v>
      </c>
    </row>
    <row r="1024" customFormat="false" ht="64" hidden="false" customHeight="true" outlineLevel="0" collapsed="false">
      <c r="C1024" s="98" t="s">
        <v>2778</v>
      </c>
      <c r="D1024" s="98" t="s">
        <v>1722</v>
      </c>
      <c r="E1024" s="98" t="s">
        <v>811</v>
      </c>
      <c r="F1024" s="98" t="n">
        <v>0</v>
      </c>
      <c r="G1024" s="98" t="s">
        <v>2764</v>
      </c>
      <c r="H1024" s="98" t="s">
        <v>1703</v>
      </c>
      <c r="I1024" s="98" t="s">
        <v>1704</v>
      </c>
      <c r="J1024" s="98" t="s">
        <v>1705</v>
      </c>
      <c r="K1024" s="98" t="s">
        <v>1706</v>
      </c>
    </row>
    <row r="1025" customFormat="false" ht="64" hidden="false" customHeight="true" outlineLevel="0" collapsed="false">
      <c r="C1025" s="98" t="s">
        <v>2779</v>
      </c>
      <c r="D1025" s="98" t="s">
        <v>1724</v>
      </c>
      <c r="E1025" s="98" t="s">
        <v>811</v>
      </c>
      <c r="F1025" s="98" t="n">
        <v>0</v>
      </c>
      <c r="G1025" s="98" t="s">
        <v>2764</v>
      </c>
      <c r="H1025" s="98" t="s">
        <v>1703</v>
      </c>
      <c r="I1025" s="98" t="s">
        <v>1704</v>
      </c>
      <c r="J1025" s="98" t="s">
        <v>1705</v>
      </c>
      <c r="K1025" s="98" t="s">
        <v>1706</v>
      </c>
    </row>
    <row r="1026" customFormat="false" ht="64" hidden="false" customHeight="true" outlineLevel="0" collapsed="false">
      <c r="C1026" s="98" t="s">
        <v>2780</v>
      </c>
      <c r="D1026" s="98" t="s">
        <v>1726</v>
      </c>
      <c r="E1026" s="98" t="s">
        <v>811</v>
      </c>
      <c r="F1026" s="98" t="n">
        <v>0</v>
      </c>
      <c r="G1026" s="98" t="s">
        <v>2764</v>
      </c>
      <c r="H1026" s="98" t="s">
        <v>1703</v>
      </c>
      <c r="I1026" s="98" t="s">
        <v>1704</v>
      </c>
      <c r="J1026" s="98" t="s">
        <v>1705</v>
      </c>
      <c r="K1026" s="98" t="s">
        <v>1706</v>
      </c>
    </row>
    <row r="1027" customFormat="false" ht="64" hidden="false" customHeight="true" outlineLevel="0" collapsed="false">
      <c r="C1027" s="98" t="s">
        <v>2781</v>
      </c>
      <c r="D1027" s="98" t="s">
        <v>1728</v>
      </c>
      <c r="E1027" s="98" t="s">
        <v>811</v>
      </c>
      <c r="F1027" s="98" t="n">
        <v>0</v>
      </c>
      <c r="G1027" s="98" t="s">
        <v>2764</v>
      </c>
      <c r="H1027" s="98" t="s">
        <v>1703</v>
      </c>
      <c r="I1027" s="98" t="s">
        <v>1704</v>
      </c>
      <c r="J1027" s="98" t="s">
        <v>1705</v>
      </c>
      <c r="K1027" s="98" t="s">
        <v>1706</v>
      </c>
    </row>
    <row r="1028" customFormat="false" ht="64" hidden="false" customHeight="true" outlineLevel="0" collapsed="false">
      <c r="C1028" s="98" t="s">
        <v>2782</v>
      </c>
      <c r="D1028" s="98" t="s">
        <v>1730</v>
      </c>
      <c r="E1028" s="98" t="s">
        <v>811</v>
      </c>
      <c r="F1028" s="98" t="n">
        <v>0</v>
      </c>
      <c r="G1028" s="98" t="s">
        <v>2764</v>
      </c>
      <c r="H1028" s="98" t="s">
        <v>1703</v>
      </c>
      <c r="I1028" s="98" t="s">
        <v>1704</v>
      </c>
      <c r="J1028" s="98" t="s">
        <v>1705</v>
      </c>
      <c r="K1028" s="98" t="s">
        <v>1706</v>
      </c>
    </row>
    <row r="1029" customFormat="false" ht="64" hidden="false" customHeight="true" outlineLevel="0" collapsed="false">
      <c r="C1029" s="98" t="s">
        <v>2783</v>
      </c>
      <c r="D1029" s="98" t="s">
        <v>1732</v>
      </c>
      <c r="E1029" s="98" t="s">
        <v>811</v>
      </c>
      <c r="F1029" s="98" t="n">
        <v>0</v>
      </c>
      <c r="G1029" s="98" t="s">
        <v>2764</v>
      </c>
      <c r="H1029" s="98" t="s">
        <v>1703</v>
      </c>
      <c r="I1029" s="98" t="s">
        <v>1704</v>
      </c>
      <c r="J1029" s="98" t="s">
        <v>1705</v>
      </c>
      <c r="K1029" s="98" t="s">
        <v>1706</v>
      </c>
    </row>
    <row r="1030" customFormat="false" ht="64" hidden="false" customHeight="true" outlineLevel="0" collapsed="false">
      <c r="C1030" s="98" t="s">
        <v>2784</v>
      </c>
      <c r="D1030" s="98" t="s">
        <v>1734</v>
      </c>
      <c r="E1030" s="98" t="s">
        <v>811</v>
      </c>
      <c r="F1030" s="98" t="n">
        <v>0</v>
      </c>
      <c r="G1030" s="98" t="s">
        <v>2764</v>
      </c>
      <c r="H1030" s="98" t="s">
        <v>1703</v>
      </c>
      <c r="I1030" s="98" t="s">
        <v>1704</v>
      </c>
      <c r="J1030" s="98" t="s">
        <v>1705</v>
      </c>
      <c r="K1030" s="98" t="s">
        <v>1706</v>
      </c>
    </row>
    <row r="1031" customFormat="false" ht="64" hidden="false" customHeight="true" outlineLevel="0" collapsed="false">
      <c r="C1031" s="98" t="s">
        <v>2785</v>
      </c>
      <c r="D1031" s="98" t="s">
        <v>1736</v>
      </c>
      <c r="E1031" s="98" t="s">
        <v>811</v>
      </c>
      <c r="F1031" s="98" t="n">
        <v>0</v>
      </c>
      <c r="G1031" s="98" t="s">
        <v>2764</v>
      </c>
      <c r="H1031" s="98" t="s">
        <v>1703</v>
      </c>
      <c r="I1031" s="98" t="s">
        <v>1704</v>
      </c>
      <c r="J1031" s="98" t="s">
        <v>1705</v>
      </c>
      <c r="K1031" s="98" t="s">
        <v>1706</v>
      </c>
    </row>
    <row r="1032" customFormat="false" ht="64" hidden="false" customHeight="true" outlineLevel="0" collapsed="false">
      <c r="C1032" s="98" t="s">
        <v>2786</v>
      </c>
      <c r="D1032" s="98" t="s">
        <v>1738</v>
      </c>
      <c r="E1032" s="98" t="s">
        <v>811</v>
      </c>
      <c r="F1032" s="98" t="n">
        <v>0</v>
      </c>
      <c r="G1032" s="98" t="s">
        <v>2764</v>
      </c>
      <c r="H1032" s="98" t="s">
        <v>1703</v>
      </c>
      <c r="I1032" s="98" t="s">
        <v>1704</v>
      </c>
      <c r="J1032" s="98" t="s">
        <v>1705</v>
      </c>
      <c r="K1032" s="98" t="s">
        <v>1706</v>
      </c>
    </row>
    <row r="1033" customFormat="false" ht="64" hidden="false" customHeight="true" outlineLevel="0" collapsed="false">
      <c r="C1033" s="98" t="s">
        <v>2787</v>
      </c>
      <c r="D1033" s="98" t="s">
        <v>1740</v>
      </c>
      <c r="E1033" s="98" t="s">
        <v>811</v>
      </c>
      <c r="F1033" s="98" t="n">
        <v>0</v>
      </c>
      <c r="G1033" s="98" t="s">
        <v>2764</v>
      </c>
      <c r="H1033" s="98" t="s">
        <v>1703</v>
      </c>
      <c r="I1033" s="98" t="s">
        <v>1704</v>
      </c>
      <c r="J1033" s="98" t="s">
        <v>1705</v>
      </c>
      <c r="K1033" s="98" t="s">
        <v>1706</v>
      </c>
    </row>
    <row r="1034" customFormat="false" ht="64" hidden="false" customHeight="true" outlineLevel="0" collapsed="false">
      <c r="C1034" s="98" t="s">
        <v>2788</v>
      </c>
      <c r="D1034" s="98" t="s">
        <v>1742</v>
      </c>
      <c r="E1034" s="98" t="s">
        <v>811</v>
      </c>
      <c r="F1034" s="98" t="n">
        <v>0</v>
      </c>
      <c r="G1034" s="98" t="s">
        <v>2764</v>
      </c>
      <c r="H1034" s="98" t="s">
        <v>1703</v>
      </c>
      <c r="I1034" s="98" t="s">
        <v>1704</v>
      </c>
      <c r="J1034" s="98" t="s">
        <v>1705</v>
      </c>
      <c r="K1034" s="98" t="s">
        <v>1706</v>
      </c>
    </row>
    <row r="1035" customFormat="false" ht="64" hidden="false" customHeight="true" outlineLevel="0" collapsed="false">
      <c r="C1035" s="98" t="s">
        <v>2789</v>
      </c>
      <c r="D1035" s="98" t="s">
        <v>1744</v>
      </c>
      <c r="E1035" s="98" t="s">
        <v>811</v>
      </c>
      <c r="F1035" s="98" t="n">
        <v>0</v>
      </c>
      <c r="G1035" s="98" t="s">
        <v>2764</v>
      </c>
      <c r="H1035" s="98" t="s">
        <v>1703</v>
      </c>
      <c r="I1035" s="98" t="s">
        <v>1704</v>
      </c>
      <c r="J1035" s="98" t="s">
        <v>1705</v>
      </c>
      <c r="K1035" s="98" t="s">
        <v>1706</v>
      </c>
    </row>
    <row r="1036" customFormat="false" ht="64" hidden="false" customHeight="true" outlineLevel="0" collapsed="false">
      <c r="C1036" s="98" t="s">
        <v>2790</v>
      </c>
      <c r="D1036" s="98" t="s">
        <v>1746</v>
      </c>
      <c r="E1036" s="98" t="s">
        <v>811</v>
      </c>
      <c r="F1036" s="98" t="n">
        <v>0</v>
      </c>
      <c r="G1036" s="98" t="s">
        <v>2764</v>
      </c>
      <c r="H1036" s="98" t="s">
        <v>1703</v>
      </c>
      <c r="I1036" s="98" t="s">
        <v>1704</v>
      </c>
      <c r="J1036" s="98" t="s">
        <v>1705</v>
      </c>
      <c r="K1036" s="98" t="s">
        <v>1706</v>
      </c>
    </row>
    <row r="1037" customFormat="false" ht="64" hidden="false" customHeight="true" outlineLevel="0" collapsed="false">
      <c r="C1037" s="98" t="s">
        <v>2791</v>
      </c>
      <c r="D1037" s="98" t="s">
        <v>1748</v>
      </c>
      <c r="E1037" s="98" t="s">
        <v>811</v>
      </c>
      <c r="F1037" s="98" t="n">
        <v>0</v>
      </c>
      <c r="G1037" s="98" t="s">
        <v>2764</v>
      </c>
      <c r="H1037" s="98" t="s">
        <v>1703</v>
      </c>
      <c r="I1037" s="98" t="s">
        <v>1704</v>
      </c>
      <c r="J1037" s="98" t="s">
        <v>1705</v>
      </c>
      <c r="K1037" s="98" t="s">
        <v>1706</v>
      </c>
    </row>
    <row r="1038" customFormat="false" ht="64" hidden="false" customHeight="true" outlineLevel="0" collapsed="false">
      <c r="C1038" s="98" t="s">
        <v>2792</v>
      </c>
      <c r="D1038" s="98" t="s">
        <v>1750</v>
      </c>
      <c r="E1038" s="98" t="s">
        <v>811</v>
      </c>
      <c r="F1038" s="98" t="n">
        <v>0</v>
      </c>
      <c r="G1038" s="98" t="s">
        <v>2764</v>
      </c>
      <c r="H1038" s="98" t="s">
        <v>1703</v>
      </c>
      <c r="I1038" s="98" t="s">
        <v>1704</v>
      </c>
      <c r="J1038" s="98" t="s">
        <v>1705</v>
      </c>
      <c r="K1038" s="98" t="s">
        <v>1706</v>
      </c>
    </row>
    <row r="1039" customFormat="false" ht="64" hidden="false" customHeight="true" outlineLevel="0" collapsed="false">
      <c r="C1039" s="98" t="s">
        <v>2793</v>
      </c>
      <c r="D1039" s="98" t="s">
        <v>1752</v>
      </c>
      <c r="E1039" s="98" t="s">
        <v>811</v>
      </c>
      <c r="F1039" s="98" t="n">
        <v>0</v>
      </c>
      <c r="G1039" s="98" t="s">
        <v>2764</v>
      </c>
      <c r="H1039" s="98" t="s">
        <v>1703</v>
      </c>
      <c r="I1039" s="98" t="s">
        <v>1704</v>
      </c>
      <c r="J1039" s="98" t="s">
        <v>1705</v>
      </c>
      <c r="K1039" s="98" t="s">
        <v>1706</v>
      </c>
    </row>
    <row r="1040" customFormat="false" ht="64" hidden="false" customHeight="true" outlineLevel="0" collapsed="false">
      <c r="C1040" s="98" t="s">
        <v>2794</v>
      </c>
      <c r="D1040" s="98" t="s">
        <v>1754</v>
      </c>
      <c r="E1040" s="98" t="s">
        <v>811</v>
      </c>
      <c r="F1040" s="98" t="n">
        <v>0</v>
      </c>
      <c r="G1040" s="98" t="s">
        <v>2764</v>
      </c>
      <c r="H1040" s="98" t="s">
        <v>1703</v>
      </c>
      <c r="I1040" s="98" t="s">
        <v>1704</v>
      </c>
      <c r="J1040" s="98" t="s">
        <v>1705</v>
      </c>
      <c r="K1040" s="98" t="s">
        <v>1706</v>
      </c>
    </row>
    <row r="1041" customFormat="false" ht="64" hidden="false" customHeight="true" outlineLevel="0" collapsed="false">
      <c r="C1041" s="98" t="s">
        <v>2795</v>
      </c>
      <c r="D1041" s="98" t="s">
        <v>1756</v>
      </c>
      <c r="E1041" s="98" t="s">
        <v>811</v>
      </c>
      <c r="F1041" s="98" t="n">
        <v>0</v>
      </c>
      <c r="G1041" s="98" t="s">
        <v>2764</v>
      </c>
      <c r="H1041" s="98" t="s">
        <v>1703</v>
      </c>
      <c r="I1041" s="98" t="s">
        <v>1704</v>
      </c>
      <c r="J1041" s="98" t="s">
        <v>1705</v>
      </c>
      <c r="K1041" s="98" t="s">
        <v>1706</v>
      </c>
    </row>
    <row r="1042" customFormat="false" ht="64" hidden="false" customHeight="true" outlineLevel="0" collapsed="false">
      <c r="C1042" s="98" t="s">
        <v>2796</v>
      </c>
      <c r="D1042" s="98" t="s">
        <v>1758</v>
      </c>
      <c r="E1042" s="98" t="s">
        <v>811</v>
      </c>
      <c r="F1042" s="98" t="n">
        <v>0</v>
      </c>
      <c r="G1042" s="98" t="s">
        <v>2764</v>
      </c>
      <c r="H1042" s="98" t="s">
        <v>1703</v>
      </c>
      <c r="I1042" s="98" t="s">
        <v>1704</v>
      </c>
      <c r="J1042" s="98" t="s">
        <v>1705</v>
      </c>
      <c r="K1042" s="98" t="s">
        <v>1706</v>
      </c>
    </row>
    <row r="1043" customFormat="false" ht="64" hidden="false" customHeight="true" outlineLevel="0" collapsed="false">
      <c r="C1043" s="98" t="s">
        <v>2797</v>
      </c>
      <c r="D1043" s="98" t="s">
        <v>1760</v>
      </c>
      <c r="E1043" s="98" t="s">
        <v>811</v>
      </c>
      <c r="F1043" s="98" t="n">
        <v>0</v>
      </c>
      <c r="G1043" s="98" t="s">
        <v>2764</v>
      </c>
      <c r="H1043" s="98" t="s">
        <v>1703</v>
      </c>
      <c r="I1043" s="98" t="s">
        <v>1704</v>
      </c>
      <c r="J1043" s="98" t="s">
        <v>1705</v>
      </c>
      <c r="K1043" s="98" t="s">
        <v>1706</v>
      </c>
    </row>
    <row r="1044" customFormat="false" ht="64" hidden="false" customHeight="true" outlineLevel="0" collapsed="false">
      <c r="C1044" s="98" t="s">
        <v>2798</v>
      </c>
      <c r="D1044" s="98" t="s">
        <v>1762</v>
      </c>
      <c r="E1044" s="98" t="s">
        <v>811</v>
      </c>
      <c r="F1044" s="98" t="n">
        <v>0</v>
      </c>
      <c r="G1044" s="98" t="s">
        <v>2764</v>
      </c>
      <c r="H1044" s="98" t="s">
        <v>1703</v>
      </c>
      <c r="I1044" s="98" t="s">
        <v>1704</v>
      </c>
      <c r="J1044" s="98" t="s">
        <v>1705</v>
      </c>
      <c r="K1044" s="98" t="s">
        <v>1706</v>
      </c>
    </row>
    <row r="1045" customFormat="false" ht="64" hidden="false" customHeight="true" outlineLevel="0" collapsed="false">
      <c r="C1045" s="98" t="s">
        <v>2799</v>
      </c>
      <c r="D1045" s="98" t="s">
        <v>1764</v>
      </c>
      <c r="E1045" s="98" t="s">
        <v>811</v>
      </c>
      <c r="F1045" s="98" t="n">
        <v>0</v>
      </c>
      <c r="G1045" s="98" t="s">
        <v>2764</v>
      </c>
      <c r="H1045" s="98" t="s">
        <v>1703</v>
      </c>
      <c r="I1045" s="98" t="s">
        <v>1704</v>
      </c>
      <c r="J1045" s="98" t="s">
        <v>1705</v>
      </c>
      <c r="K1045" s="98" t="s">
        <v>1706</v>
      </c>
    </row>
    <row r="1046" customFormat="false" ht="64" hidden="false" customHeight="true" outlineLevel="0" collapsed="false">
      <c r="C1046" s="98" t="s">
        <v>2800</v>
      </c>
      <c r="D1046" s="98" t="s">
        <v>1829</v>
      </c>
      <c r="E1046" s="98" t="s">
        <v>811</v>
      </c>
      <c r="F1046" s="98" t="n">
        <v>1.11674455083333</v>
      </c>
      <c r="G1046" s="98" t="s">
        <v>2801</v>
      </c>
      <c r="H1046" s="98" t="s">
        <v>1703</v>
      </c>
      <c r="I1046" s="98" t="s">
        <v>1704</v>
      </c>
      <c r="J1046" s="98" t="s">
        <v>1705</v>
      </c>
      <c r="K1046" s="98" t="s">
        <v>1706</v>
      </c>
    </row>
    <row r="1047" customFormat="false" ht="64" hidden="false" customHeight="true" outlineLevel="0" collapsed="false">
      <c r="C1047" s="98" t="s">
        <v>2802</v>
      </c>
      <c r="D1047" s="98" t="s">
        <v>1833</v>
      </c>
      <c r="E1047" s="98" t="s">
        <v>811</v>
      </c>
      <c r="F1047" s="98" t="n">
        <v>1.11674455083333</v>
      </c>
      <c r="G1047" s="98" t="s">
        <v>2801</v>
      </c>
      <c r="H1047" s="98" t="s">
        <v>1703</v>
      </c>
      <c r="I1047" s="98" t="s">
        <v>1704</v>
      </c>
      <c r="J1047" s="98" t="s">
        <v>1705</v>
      </c>
      <c r="K1047" s="98" t="s">
        <v>1706</v>
      </c>
    </row>
    <row r="1048" customFormat="false" ht="64" hidden="false" customHeight="true" outlineLevel="0" collapsed="false">
      <c r="C1048" s="98" t="s">
        <v>2803</v>
      </c>
      <c r="D1048" s="98" t="s">
        <v>1835</v>
      </c>
      <c r="E1048" s="98" t="s">
        <v>811</v>
      </c>
      <c r="F1048" s="98" t="n">
        <v>1.11674455083333</v>
      </c>
      <c r="G1048" s="98" t="s">
        <v>2801</v>
      </c>
      <c r="H1048" s="98" t="s">
        <v>1703</v>
      </c>
      <c r="I1048" s="98" t="s">
        <v>1704</v>
      </c>
      <c r="J1048" s="98" t="s">
        <v>1705</v>
      </c>
      <c r="K1048" s="98" t="s">
        <v>1706</v>
      </c>
    </row>
    <row r="1049" customFormat="false" ht="64" hidden="false" customHeight="true" outlineLevel="0" collapsed="false">
      <c r="C1049" s="98" t="s">
        <v>2804</v>
      </c>
      <c r="D1049" s="98" t="s">
        <v>1044</v>
      </c>
      <c r="E1049" s="98" t="s">
        <v>811</v>
      </c>
      <c r="F1049" s="98" t="n">
        <v>1.11674455083333</v>
      </c>
      <c r="G1049" s="98" t="s">
        <v>2801</v>
      </c>
      <c r="H1049" s="98" t="s">
        <v>1703</v>
      </c>
      <c r="I1049" s="98" t="s">
        <v>1704</v>
      </c>
      <c r="J1049" s="98" t="s">
        <v>1705</v>
      </c>
      <c r="K1049" s="98" t="s">
        <v>1706</v>
      </c>
    </row>
    <row r="1050" customFormat="false" ht="64" hidden="false" customHeight="true" outlineLevel="0" collapsed="false">
      <c r="C1050" s="98" t="s">
        <v>2805</v>
      </c>
      <c r="D1050" s="98" t="s">
        <v>1838</v>
      </c>
      <c r="E1050" s="98" t="s">
        <v>811</v>
      </c>
      <c r="F1050" s="98" t="n">
        <v>1.11674455083333</v>
      </c>
      <c r="G1050" s="98" t="s">
        <v>2801</v>
      </c>
      <c r="H1050" s="98" t="s">
        <v>1703</v>
      </c>
      <c r="I1050" s="98" t="s">
        <v>1704</v>
      </c>
      <c r="J1050" s="98" t="s">
        <v>1705</v>
      </c>
      <c r="K1050" s="98" t="s">
        <v>1706</v>
      </c>
    </row>
    <row r="1051" customFormat="false" ht="64" hidden="false" customHeight="true" outlineLevel="0" collapsed="false">
      <c r="C1051" s="98" t="s">
        <v>2806</v>
      </c>
      <c r="D1051" s="98" t="s">
        <v>1840</v>
      </c>
      <c r="E1051" s="98" t="s">
        <v>811</v>
      </c>
      <c r="F1051" s="98" t="n">
        <v>1.11674455083333</v>
      </c>
      <c r="G1051" s="98" t="s">
        <v>2801</v>
      </c>
      <c r="H1051" s="98" t="s">
        <v>1703</v>
      </c>
      <c r="I1051" s="98" t="s">
        <v>1704</v>
      </c>
      <c r="J1051" s="98" t="s">
        <v>1705</v>
      </c>
      <c r="K1051" s="98" t="s">
        <v>1706</v>
      </c>
    </row>
    <row r="1052" customFormat="false" ht="64" hidden="false" customHeight="true" outlineLevel="0" collapsed="false">
      <c r="C1052" s="98" t="s">
        <v>2807</v>
      </c>
      <c r="D1052" s="98" t="s">
        <v>1700</v>
      </c>
      <c r="E1052" s="98" t="s">
        <v>811</v>
      </c>
      <c r="F1052" s="98" t="n">
        <v>1.11674455083333</v>
      </c>
      <c r="G1052" s="98" t="s">
        <v>2801</v>
      </c>
      <c r="H1052" s="98" t="s">
        <v>1703</v>
      </c>
      <c r="I1052" s="98" t="s">
        <v>1704</v>
      </c>
      <c r="J1052" s="98" t="s">
        <v>1705</v>
      </c>
      <c r="K1052" s="98" t="s">
        <v>1706</v>
      </c>
    </row>
    <row r="1053" customFormat="false" ht="64" hidden="false" customHeight="true" outlineLevel="0" collapsed="false">
      <c r="C1053" s="98" t="s">
        <v>2808</v>
      </c>
      <c r="D1053" s="98" t="s">
        <v>1708</v>
      </c>
      <c r="E1053" s="98" t="s">
        <v>811</v>
      </c>
      <c r="F1053" s="98" t="n">
        <v>1.11674455083333</v>
      </c>
      <c r="G1053" s="98" t="s">
        <v>2801</v>
      </c>
      <c r="H1053" s="98" t="s">
        <v>1703</v>
      </c>
      <c r="I1053" s="98" t="s">
        <v>1704</v>
      </c>
      <c r="J1053" s="98" t="s">
        <v>1705</v>
      </c>
      <c r="K1053" s="98" t="s">
        <v>1706</v>
      </c>
    </row>
    <row r="1054" customFormat="false" ht="64" hidden="false" customHeight="true" outlineLevel="0" collapsed="false">
      <c r="C1054" s="98" t="s">
        <v>2809</v>
      </c>
      <c r="D1054" s="98" t="s">
        <v>1710</v>
      </c>
      <c r="E1054" s="98" t="s">
        <v>811</v>
      </c>
      <c r="F1054" s="98" t="n">
        <v>1.11674455083333</v>
      </c>
      <c r="G1054" s="98" t="s">
        <v>2801</v>
      </c>
      <c r="H1054" s="98" t="s">
        <v>1703</v>
      </c>
      <c r="I1054" s="98" t="s">
        <v>1704</v>
      </c>
      <c r="J1054" s="98" t="s">
        <v>1705</v>
      </c>
      <c r="K1054" s="98" t="s">
        <v>1706</v>
      </c>
    </row>
    <row r="1055" customFormat="false" ht="64" hidden="false" customHeight="true" outlineLevel="0" collapsed="false">
      <c r="C1055" s="98" t="s">
        <v>2810</v>
      </c>
      <c r="D1055" s="98" t="s">
        <v>1712</v>
      </c>
      <c r="E1055" s="98" t="s">
        <v>811</v>
      </c>
      <c r="F1055" s="98" t="n">
        <v>1.11674455083333</v>
      </c>
      <c r="G1055" s="98" t="s">
        <v>2801</v>
      </c>
      <c r="H1055" s="98" t="s">
        <v>1703</v>
      </c>
      <c r="I1055" s="98" t="s">
        <v>1704</v>
      </c>
      <c r="J1055" s="98" t="s">
        <v>1705</v>
      </c>
      <c r="K1055" s="98" t="s">
        <v>1706</v>
      </c>
    </row>
    <row r="1056" customFormat="false" ht="64" hidden="false" customHeight="true" outlineLevel="0" collapsed="false">
      <c r="C1056" s="98" t="s">
        <v>2811</v>
      </c>
      <c r="D1056" s="98" t="s">
        <v>1714</v>
      </c>
      <c r="E1056" s="98" t="s">
        <v>811</v>
      </c>
      <c r="F1056" s="98" t="n">
        <v>1.11674455083333</v>
      </c>
      <c r="G1056" s="98" t="s">
        <v>2801</v>
      </c>
      <c r="H1056" s="98" t="s">
        <v>1703</v>
      </c>
      <c r="I1056" s="98" t="s">
        <v>1704</v>
      </c>
      <c r="J1056" s="98" t="s">
        <v>1705</v>
      </c>
      <c r="K1056" s="98" t="s">
        <v>1706</v>
      </c>
    </row>
    <row r="1057" customFormat="false" ht="64" hidden="false" customHeight="true" outlineLevel="0" collapsed="false">
      <c r="C1057" s="98" t="s">
        <v>2812</v>
      </c>
      <c r="D1057" s="98" t="s">
        <v>1716</v>
      </c>
      <c r="E1057" s="98" t="s">
        <v>811</v>
      </c>
      <c r="F1057" s="98" t="n">
        <v>1.11674455083333</v>
      </c>
      <c r="G1057" s="98" t="s">
        <v>2801</v>
      </c>
      <c r="H1057" s="98" t="s">
        <v>1703</v>
      </c>
      <c r="I1057" s="98" t="s">
        <v>1704</v>
      </c>
      <c r="J1057" s="98" t="s">
        <v>1705</v>
      </c>
      <c r="K1057" s="98" t="s">
        <v>1706</v>
      </c>
    </row>
    <row r="1058" customFormat="false" ht="64" hidden="false" customHeight="true" outlineLevel="0" collapsed="false">
      <c r="C1058" s="98" t="s">
        <v>2813</v>
      </c>
      <c r="D1058" s="98" t="s">
        <v>1718</v>
      </c>
      <c r="E1058" s="98" t="s">
        <v>811</v>
      </c>
      <c r="F1058" s="98" t="n">
        <v>1.11674455083333</v>
      </c>
      <c r="G1058" s="98" t="s">
        <v>2801</v>
      </c>
      <c r="H1058" s="98" t="s">
        <v>1703</v>
      </c>
      <c r="I1058" s="98" t="s">
        <v>1704</v>
      </c>
      <c r="J1058" s="98" t="s">
        <v>1705</v>
      </c>
      <c r="K1058" s="98" t="s">
        <v>1706</v>
      </c>
    </row>
    <row r="1059" customFormat="false" ht="64" hidden="false" customHeight="true" outlineLevel="0" collapsed="false">
      <c r="C1059" s="98" t="s">
        <v>2814</v>
      </c>
      <c r="D1059" s="98" t="s">
        <v>1720</v>
      </c>
      <c r="E1059" s="98" t="s">
        <v>811</v>
      </c>
      <c r="F1059" s="98" t="n">
        <v>1.11674455083333</v>
      </c>
      <c r="G1059" s="98" t="s">
        <v>2801</v>
      </c>
      <c r="H1059" s="98" t="s">
        <v>1703</v>
      </c>
      <c r="I1059" s="98" t="s">
        <v>1704</v>
      </c>
      <c r="J1059" s="98" t="s">
        <v>1705</v>
      </c>
      <c r="K1059" s="98" t="s">
        <v>1706</v>
      </c>
    </row>
    <row r="1060" customFormat="false" ht="64" hidden="false" customHeight="true" outlineLevel="0" collapsed="false">
      <c r="C1060" s="98" t="s">
        <v>2815</v>
      </c>
      <c r="D1060" s="98" t="s">
        <v>1722</v>
      </c>
      <c r="E1060" s="98" t="s">
        <v>811</v>
      </c>
      <c r="F1060" s="98" t="n">
        <v>1.11674455083333</v>
      </c>
      <c r="G1060" s="98" t="s">
        <v>2801</v>
      </c>
      <c r="H1060" s="98" t="s">
        <v>1703</v>
      </c>
      <c r="I1060" s="98" t="s">
        <v>1704</v>
      </c>
      <c r="J1060" s="98" t="s">
        <v>1705</v>
      </c>
      <c r="K1060" s="98" t="s">
        <v>1706</v>
      </c>
    </row>
    <row r="1061" customFormat="false" ht="64" hidden="false" customHeight="true" outlineLevel="0" collapsed="false">
      <c r="C1061" s="98" t="s">
        <v>2816</v>
      </c>
      <c r="D1061" s="98" t="s">
        <v>1724</v>
      </c>
      <c r="E1061" s="98" t="s">
        <v>811</v>
      </c>
      <c r="F1061" s="98" t="n">
        <v>1.11674455083333</v>
      </c>
      <c r="G1061" s="98" t="s">
        <v>2801</v>
      </c>
      <c r="H1061" s="98" t="s">
        <v>1703</v>
      </c>
      <c r="I1061" s="98" t="s">
        <v>1704</v>
      </c>
      <c r="J1061" s="98" t="s">
        <v>1705</v>
      </c>
      <c r="K1061" s="98" t="s">
        <v>1706</v>
      </c>
    </row>
    <row r="1062" customFormat="false" ht="64" hidden="false" customHeight="true" outlineLevel="0" collapsed="false">
      <c r="C1062" s="98" t="s">
        <v>2817</v>
      </c>
      <c r="D1062" s="98" t="s">
        <v>1726</v>
      </c>
      <c r="E1062" s="98" t="s">
        <v>811</v>
      </c>
      <c r="F1062" s="98" t="n">
        <v>1.11674455083333</v>
      </c>
      <c r="G1062" s="98" t="s">
        <v>2801</v>
      </c>
      <c r="H1062" s="98" t="s">
        <v>1703</v>
      </c>
      <c r="I1062" s="98" t="s">
        <v>1704</v>
      </c>
      <c r="J1062" s="98" t="s">
        <v>1705</v>
      </c>
      <c r="K1062" s="98" t="s">
        <v>1706</v>
      </c>
    </row>
    <row r="1063" customFormat="false" ht="64" hidden="false" customHeight="true" outlineLevel="0" collapsed="false">
      <c r="C1063" s="98" t="s">
        <v>2818</v>
      </c>
      <c r="D1063" s="98" t="s">
        <v>1728</v>
      </c>
      <c r="E1063" s="98" t="s">
        <v>811</v>
      </c>
      <c r="F1063" s="98" t="n">
        <v>1.11674455083333</v>
      </c>
      <c r="G1063" s="98" t="s">
        <v>2801</v>
      </c>
      <c r="H1063" s="98" t="s">
        <v>1703</v>
      </c>
      <c r="I1063" s="98" t="s">
        <v>1704</v>
      </c>
      <c r="J1063" s="98" t="s">
        <v>1705</v>
      </c>
      <c r="K1063" s="98" t="s">
        <v>1706</v>
      </c>
    </row>
    <row r="1064" customFormat="false" ht="64" hidden="false" customHeight="true" outlineLevel="0" collapsed="false">
      <c r="C1064" s="98" t="s">
        <v>2819</v>
      </c>
      <c r="D1064" s="98" t="s">
        <v>1730</v>
      </c>
      <c r="E1064" s="98" t="s">
        <v>811</v>
      </c>
      <c r="F1064" s="98" t="n">
        <v>1.11674455083333</v>
      </c>
      <c r="G1064" s="98" t="s">
        <v>2801</v>
      </c>
      <c r="H1064" s="98" t="s">
        <v>1703</v>
      </c>
      <c r="I1064" s="98" t="s">
        <v>1704</v>
      </c>
      <c r="J1064" s="98" t="s">
        <v>1705</v>
      </c>
      <c r="K1064" s="98" t="s">
        <v>1706</v>
      </c>
    </row>
    <row r="1065" customFormat="false" ht="64" hidden="false" customHeight="true" outlineLevel="0" collapsed="false">
      <c r="C1065" s="98" t="s">
        <v>2820</v>
      </c>
      <c r="D1065" s="98" t="s">
        <v>1732</v>
      </c>
      <c r="E1065" s="98" t="s">
        <v>811</v>
      </c>
      <c r="F1065" s="98" t="n">
        <v>1.11674455083333</v>
      </c>
      <c r="G1065" s="98" t="s">
        <v>2801</v>
      </c>
      <c r="H1065" s="98" t="s">
        <v>1703</v>
      </c>
      <c r="I1065" s="98" t="s">
        <v>1704</v>
      </c>
      <c r="J1065" s="98" t="s">
        <v>1705</v>
      </c>
      <c r="K1065" s="98" t="s">
        <v>1706</v>
      </c>
    </row>
    <row r="1066" customFormat="false" ht="64" hidden="false" customHeight="true" outlineLevel="0" collapsed="false">
      <c r="C1066" s="98" t="s">
        <v>2821</v>
      </c>
      <c r="D1066" s="98" t="s">
        <v>1734</v>
      </c>
      <c r="E1066" s="98" t="s">
        <v>811</v>
      </c>
      <c r="F1066" s="98" t="n">
        <v>1.11674455083333</v>
      </c>
      <c r="G1066" s="98" t="s">
        <v>2801</v>
      </c>
      <c r="H1066" s="98" t="s">
        <v>1703</v>
      </c>
      <c r="I1066" s="98" t="s">
        <v>1704</v>
      </c>
      <c r="J1066" s="98" t="s">
        <v>1705</v>
      </c>
      <c r="K1066" s="98" t="s">
        <v>1706</v>
      </c>
    </row>
    <row r="1067" customFormat="false" ht="64" hidden="false" customHeight="true" outlineLevel="0" collapsed="false">
      <c r="C1067" s="98" t="s">
        <v>2822</v>
      </c>
      <c r="D1067" s="98" t="s">
        <v>1736</v>
      </c>
      <c r="E1067" s="98" t="s">
        <v>811</v>
      </c>
      <c r="F1067" s="98" t="n">
        <v>1.11674455083333</v>
      </c>
      <c r="G1067" s="98" t="s">
        <v>2801</v>
      </c>
      <c r="H1067" s="98" t="s">
        <v>1703</v>
      </c>
      <c r="I1067" s="98" t="s">
        <v>1704</v>
      </c>
      <c r="J1067" s="98" t="s">
        <v>1705</v>
      </c>
      <c r="K1067" s="98" t="s">
        <v>1706</v>
      </c>
    </row>
    <row r="1068" customFormat="false" ht="64" hidden="false" customHeight="true" outlineLevel="0" collapsed="false">
      <c r="C1068" s="98" t="s">
        <v>2823</v>
      </c>
      <c r="D1068" s="98" t="s">
        <v>1738</v>
      </c>
      <c r="E1068" s="98" t="s">
        <v>811</v>
      </c>
      <c r="F1068" s="98" t="n">
        <v>1.11674455083333</v>
      </c>
      <c r="G1068" s="98" t="s">
        <v>2801</v>
      </c>
      <c r="H1068" s="98" t="s">
        <v>1703</v>
      </c>
      <c r="I1068" s="98" t="s">
        <v>1704</v>
      </c>
      <c r="J1068" s="98" t="s">
        <v>1705</v>
      </c>
      <c r="K1068" s="98" t="s">
        <v>1706</v>
      </c>
    </row>
    <row r="1069" customFormat="false" ht="64" hidden="false" customHeight="true" outlineLevel="0" collapsed="false">
      <c r="C1069" s="98" t="s">
        <v>2824</v>
      </c>
      <c r="D1069" s="98" t="s">
        <v>1740</v>
      </c>
      <c r="E1069" s="98" t="s">
        <v>811</v>
      </c>
      <c r="F1069" s="98" t="n">
        <v>1.11674455083333</v>
      </c>
      <c r="G1069" s="98" t="s">
        <v>2801</v>
      </c>
      <c r="H1069" s="98" t="s">
        <v>1703</v>
      </c>
      <c r="I1069" s="98" t="s">
        <v>1704</v>
      </c>
      <c r="J1069" s="98" t="s">
        <v>1705</v>
      </c>
      <c r="K1069" s="98" t="s">
        <v>1706</v>
      </c>
    </row>
    <row r="1070" customFormat="false" ht="64" hidden="false" customHeight="true" outlineLevel="0" collapsed="false">
      <c r="C1070" s="98" t="s">
        <v>2825</v>
      </c>
      <c r="D1070" s="98" t="s">
        <v>1742</v>
      </c>
      <c r="E1070" s="98" t="s">
        <v>811</v>
      </c>
      <c r="F1070" s="98" t="n">
        <v>1.11674455083333</v>
      </c>
      <c r="G1070" s="98" t="s">
        <v>2801</v>
      </c>
      <c r="H1070" s="98" t="s">
        <v>1703</v>
      </c>
      <c r="I1070" s="98" t="s">
        <v>1704</v>
      </c>
      <c r="J1070" s="98" t="s">
        <v>1705</v>
      </c>
      <c r="K1070" s="98" t="s">
        <v>1706</v>
      </c>
    </row>
    <row r="1071" customFormat="false" ht="64" hidden="false" customHeight="true" outlineLevel="0" collapsed="false">
      <c r="C1071" s="98" t="s">
        <v>2826</v>
      </c>
      <c r="D1071" s="98" t="s">
        <v>1744</v>
      </c>
      <c r="E1071" s="98" t="s">
        <v>811</v>
      </c>
      <c r="F1071" s="98" t="n">
        <v>1.11674455083333</v>
      </c>
      <c r="G1071" s="98" t="s">
        <v>2801</v>
      </c>
      <c r="H1071" s="98" t="s">
        <v>1703</v>
      </c>
      <c r="I1071" s="98" t="s">
        <v>1704</v>
      </c>
      <c r="J1071" s="98" t="s">
        <v>1705</v>
      </c>
      <c r="K1071" s="98" t="s">
        <v>1706</v>
      </c>
    </row>
    <row r="1072" customFormat="false" ht="64" hidden="false" customHeight="true" outlineLevel="0" collapsed="false">
      <c r="C1072" s="98" t="s">
        <v>2827</v>
      </c>
      <c r="D1072" s="98" t="s">
        <v>1746</v>
      </c>
      <c r="E1072" s="98" t="s">
        <v>811</v>
      </c>
      <c r="F1072" s="98" t="n">
        <v>1.11674455083333</v>
      </c>
      <c r="G1072" s="98" t="s">
        <v>2801</v>
      </c>
      <c r="H1072" s="98" t="s">
        <v>1703</v>
      </c>
      <c r="I1072" s="98" t="s">
        <v>1704</v>
      </c>
      <c r="J1072" s="98" t="s">
        <v>1705</v>
      </c>
      <c r="K1072" s="98" t="s">
        <v>1706</v>
      </c>
    </row>
    <row r="1073" customFormat="false" ht="64" hidden="false" customHeight="true" outlineLevel="0" collapsed="false">
      <c r="C1073" s="98" t="s">
        <v>2828</v>
      </c>
      <c r="D1073" s="98" t="s">
        <v>1748</v>
      </c>
      <c r="E1073" s="98" t="s">
        <v>811</v>
      </c>
      <c r="F1073" s="98" t="n">
        <v>1.11674455083333</v>
      </c>
      <c r="G1073" s="98" t="s">
        <v>2801</v>
      </c>
      <c r="H1073" s="98" t="s">
        <v>1703</v>
      </c>
      <c r="I1073" s="98" t="s">
        <v>1704</v>
      </c>
      <c r="J1073" s="98" t="s">
        <v>1705</v>
      </c>
      <c r="K1073" s="98" t="s">
        <v>1706</v>
      </c>
    </row>
    <row r="1074" customFormat="false" ht="64" hidden="false" customHeight="true" outlineLevel="0" collapsed="false">
      <c r="C1074" s="98" t="s">
        <v>2829</v>
      </c>
      <c r="D1074" s="98" t="s">
        <v>1750</v>
      </c>
      <c r="E1074" s="98" t="s">
        <v>811</v>
      </c>
      <c r="F1074" s="98" t="n">
        <v>1.11674455083333</v>
      </c>
      <c r="G1074" s="98" t="s">
        <v>2801</v>
      </c>
      <c r="H1074" s="98" t="s">
        <v>1703</v>
      </c>
      <c r="I1074" s="98" t="s">
        <v>1704</v>
      </c>
      <c r="J1074" s="98" t="s">
        <v>1705</v>
      </c>
      <c r="K1074" s="98" t="s">
        <v>1706</v>
      </c>
    </row>
    <row r="1075" customFormat="false" ht="64" hidden="false" customHeight="true" outlineLevel="0" collapsed="false">
      <c r="C1075" s="98" t="s">
        <v>2830</v>
      </c>
      <c r="D1075" s="98" t="s">
        <v>1752</v>
      </c>
      <c r="E1075" s="98" t="s">
        <v>811</v>
      </c>
      <c r="F1075" s="98" t="n">
        <v>1.11674455083333</v>
      </c>
      <c r="G1075" s="98" t="s">
        <v>2801</v>
      </c>
      <c r="H1075" s="98" t="s">
        <v>1703</v>
      </c>
      <c r="I1075" s="98" t="s">
        <v>1704</v>
      </c>
      <c r="J1075" s="98" t="s">
        <v>1705</v>
      </c>
      <c r="K1075" s="98" t="s">
        <v>1706</v>
      </c>
    </row>
    <row r="1076" customFormat="false" ht="64" hidden="false" customHeight="true" outlineLevel="0" collapsed="false">
      <c r="C1076" s="98" t="s">
        <v>2831</v>
      </c>
      <c r="D1076" s="98" t="s">
        <v>1754</v>
      </c>
      <c r="E1076" s="98" t="s">
        <v>811</v>
      </c>
      <c r="F1076" s="98" t="n">
        <v>1.11674455083333</v>
      </c>
      <c r="G1076" s="98" t="s">
        <v>2801</v>
      </c>
      <c r="H1076" s="98" t="s">
        <v>1703</v>
      </c>
      <c r="I1076" s="98" t="s">
        <v>1704</v>
      </c>
      <c r="J1076" s="98" t="s">
        <v>1705</v>
      </c>
      <c r="K1076" s="98" t="s">
        <v>1706</v>
      </c>
    </row>
    <row r="1077" customFormat="false" ht="64" hidden="false" customHeight="true" outlineLevel="0" collapsed="false">
      <c r="C1077" s="98" t="s">
        <v>2832</v>
      </c>
      <c r="D1077" s="98" t="s">
        <v>1756</v>
      </c>
      <c r="E1077" s="98" t="s">
        <v>811</v>
      </c>
      <c r="F1077" s="98" t="n">
        <v>1.11674455083333</v>
      </c>
      <c r="G1077" s="98" t="s">
        <v>2801</v>
      </c>
      <c r="H1077" s="98" t="s">
        <v>1703</v>
      </c>
      <c r="I1077" s="98" t="s">
        <v>1704</v>
      </c>
      <c r="J1077" s="98" t="s">
        <v>1705</v>
      </c>
      <c r="K1077" s="98" t="s">
        <v>1706</v>
      </c>
    </row>
    <row r="1078" customFormat="false" ht="64" hidden="false" customHeight="true" outlineLevel="0" collapsed="false">
      <c r="C1078" s="98" t="s">
        <v>2833</v>
      </c>
      <c r="D1078" s="98" t="s">
        <v>1758</v>
      </c>
      <c r="E1078" s="98" t="s">
        <v>811</v>
      </c>
      <c r="F1078" s="98" t="n">
        <v>1.11674455083333</v>
      </c>
      <c r="G1078" s="98" t="s">
        <v>2801</v>
      </c>
      <c r="H1078" s="98" t="s">
        <v>1703</v>
      </c>
      <c r="I1078" s="98" t="s">
        <v>1704</v>
      </c>
      <c r="J1078" s="98" t="s">
        <v>1705</v>
      </c>
      <c r="K1078" s="98" t="s">
        <v>1706</v>
      </c>
    </row>
    <row r="1079" customFormat="false" ht="64" hidden="false" customHeight="true" outlineLevel="0" collapsed="false">
      <c r="C1079" s="98" t="s">
        <v>2834</v>
      </c>
      <c r="D1079" s="98" t="s">
        <v>1760</v>
      </c>
      <c r="E1079" s="98" t="s">
        <v>811</v>
      </c>
      <c r="F1079" s="98" t="n">
        <v>1.11674455083333</v>
      </c>
      <c r="G1079" s="98" t="s">
        <v>2801</v>
      </c>
      <c r="H1079" s="98" t="s">
        <v>1703</v>
      </c>
      <c r="I1079" s="98" t="s">
        <v>1704</v>
      </c>
      <c r="J1079" s="98" t="s">
        <v>1705</v>
      </c>
      <c r="K1079" s="98" t="s">
        <v>1706</v>
      </c>
    </row>
    <row r="1080" customFormat="false" ht="64" hidden="false" customHeight="true" outlineLevel="0" collapsed="false">
      <c r="C1080" s="98" t="s">
        <v>2835</v>
      </c>
      <c r="D1080" s="98" t="s">
        <v>1762</v>
      </c>
      <c r="E1080" s="98" t="s">
        <v>811</v>
      </c>
      <c r="F1080" s="98" t="n">
        <v>1.11674455083333</v>
      </c>
      <c r="G1080" s="98" t="s">
        <v>2801</v>
      </c>
      <c r="H1080" s="98" t="s">
        <v>1703</v>
      </c>
      <c r="I1080" s="98" t="s">
        <v>1704</v>
      </c>
      <c r="J1080" s="98" t="s">
        <v>1705</v>
      </c>
      <c r="K1080" s="98" t="s">
        <v>1706</v>
      </c>
    </row>
    <row r="1081" customFormat="false" ht="64" hidden="false" customHeight="true" outlineLevel="0" collapsed="false">
      <c r="C1081" s="98" t="s">
        <v>2836</v>
      </c>
      <c r="D1081" s="98" t="s">
        <v>1764</v>
      </c>
      <c r="E1081" s="98" t="s">
        <v>811</v>
      </c>
      <c r="F1081" s="98" t="n">
        <v>1.11674455083333</v>
      </c>
      <c r="G1081" s="98" t="s">
        <v>2801</v>
      </c>
      <c r="H1081" s="98" t="s">
        <v>1703</v>
      </c>
      <c r="I1081" s="98" t="s">
        <v>1704</v>
      </c>
      <c r="J1081" s="98" t="s">
        <v>1705</v>
      </c>
      <c r="K1081" s="98" t="s">
        <v>1706</v>
      </c>
    </row>
    <row r="1082" customFormat="false" ht="64" hidden="false" customHeight="true" outlineLevel="0" collapsed="false">
      <c r="C1082" s="98" t="s">
        <v>2837</v>
      </c>
      <c r="D1082" s="98" t="s">
        <v>1829</v>
      </c>
      <c r="E1082" s="98" t="s">
        <v>835</v>
      </c>
      <c r="F1082" s="98" t="n">
        <v>0.0515429667661324</v>
      </c>
      <c r="G1082" s="98" t="s">
        <v>2838</v>
      </c>
      <c r="H1082" s="98" t="s">
        <v>2250</v>
      </c>
      <c r="I1082" s="98" t="s">
        <v>1704</v>
      </c>
      <c r="J1082" s="98" t="s">
        <v>1705</v>
      </c>
      <c r="K1082" s="98" t="s">
        <v>1706</v>
      </c>
    </row>
    <row r="1083" customFormat="false" ht="64" hidden="false" customHeight="true" outlineLevel="0" collapsed="false">
      <c r="C1083" s="98" t="s">
        <v>2839</v>
      </c>
      <c r="D1083" s="98" t="s">
        <v>1833</v>
      </c>
      <c r="E1083" s="98" t="s">
        <v>835</v>
      </c>
      <c r="F1083" s="98" t="n">
        <v>0.0515429667661324</v>
      </c>
      <c r="G1083" s="98" t="s">
        <v>2838</v>
      </c>
      <c r="H1083" s="98" t="s">
        <v>2250</v>
      </c>
      <c r="I1083" s="98" t="s">
        <v>1704</v>
      </c>
      <c r="J1083" s="98" t="s">
        <v>1705</v>
      </c>
      <c r="K1083" s="98" t="s">
        <v>1706</v>
      </c>
    </row>
    <row r="1084" customFormat="false" ht="64" hidden="false" customHeight="true" outlineLevel="0" collapsed="false">
      <c r="C1084" s="98" t="s">
        <v>2840</v>
      </c>
      <c r="D1084" s="98" t="s">
        <v>1835</v>
      </c>
      <c r="E1084" s="98" t="s">
        <v>835</v>
      </c>
      <c r="F1084" s="98" t="n">
        <v>0.0515429667661324</v>
      </c>
      <c r="G1084" s="98" t="s">
        <v>2838</v>
      </c>
      <c r="H1084" s="98" t="s">
        <v>2250</v>
      </c>
      <c r="I1084" s="98" t="s">
        <v>1704</v>
      </c>
      <c r="J1084" s="98" t="s">
        <v>1705</v>
      </c>
      <c r="K1084" s="98" t="s">
        <v>1706</v>
      </c>
    </row>
    <row r="1085" customFormat="false" ht="64" hidden="false" customHeight="true" outlineLevel="0" collapsed="false">
      <c r="C1085" s="98" t="s">
        <v>2841</v>
      </c>
      <c r="D1085" s="98" t="s">
        <v>1044</v>
      </c>
      <c r="E1085" s="98" t="s">
        <v>835</v>
      </c>
      <c r="F1085" s="98" t="n">
        <v>0.0515429667661324</v>
      </c>
      <c r="G1085" s="98" t="s">
        <v>2838</v>
      </c>
      <c r="H1085" s="98" t="s">
        <v>2250</v>
      </c>
      <c r="I1085" s="98" t="s">
        <v>1704</v>
      </c>
      <c r="J1085" s="98" t="s">
        <v>1705</v>
      </c>
      <c r="K1085" s="98" t="s">
        <v>1706</v>
      </c>
    </row>
    <row r="1086" customFormat="false" ht="64" hidden="false" customHeight="true" outlineLevel="0" collapsed="false">
      <c r="C1086" s="98" t="s">
        <v>2842</v>
      </c>
      <c r="D1086" s="98" t="s">
        <v>1838</v>
      </c>
      <c r="E1086" s="98" t="s">
        <v>835</v>
      </c>
      <c r="F1086" s="98" t="n">
        <v>0.0515429667661324</v>
      </c>
      <c r="G1086" s="98" t="s">
        <v>2838</v>
      </c>
      <c r="H1086" s="98" t="s">
        <v>2250</v>
      </c>
      <c r="I1086" s="98" t="s">
        <v>1704</v>
      </c>
      <c r="J1086" s="98" t="s">
        <v>1705</v>
      </c>
      <c r="K1086" s="98" t="s">
        <v>1706</v>
      </c>
    </row>
    <row r="1087" customFormat="false" ht="64" hidden="false" customHeight="true" outlineLevel="0" collapsed="false">
      <c r="C1087" s="98" t="s">
        <v>2843</v>
      </c>
      <c r="D1087" s="98" t="s">
        <v>1840</v>
      </c>
      <c r="E1087" s="98" t="s">
        <v>835</v>
      </c>
      <c r="F1087" s="98" t="n">
        <v>0.0515429667661324</v>
      </c>
      <c r="G1087" s="98" t="s">
        <v>2838</v>
      </c>
      <c r="H1087" s="98" t="s">
        <v>2250</v>
      </c>
      <c r="I1087" s="98" t="s">
        <v>1704</v>
      </c>
      <c r="J1087" s="98" t="s">
        <v>1705</v>
      </c>
      <c r="K1087" s="98" t="s">
        <v>1706</v>
      </c>
    </row>
    <row r="1088" customFormat="false" ht="64" hidden="false" customHeight="true" outlineLevel="0" collapsed="false">
      <c r="C1088" s="98" t="s">
        <v>2844</v>
      </c>
      <c r="D1088" s="98" t="s">
        <v>1700</v>
      </c>
      <c r="E1088" s="98" t="s">
        <v>835</v>
      </c>
      <c r="F1088" s="98" t="n">
        <v>0.0515429667661324</v>
      </c>
      <c r="G1088" s="98" t="s">
        <v>2838</v>
      </c>
      <c r="H1088" s="98" t="s">
        <v>2250</v>
      </c>
      <c r="I1088" s="98" t="s">
        <v>1704</v>
      </c>
      <c r="J1088" s="98" t="s">
        <v>1705</v>
      </c>
      <c r="K1088" s="98" t="s">
        <v>1706</v>
      </c>
    </row>
    <row r="1089" customFormat="false" ht="64" hidden="false" customHeight="true" outlineLevel="0" collapsed="false">
      <c r="C1089" s="98" t="s">
        <v>2845</v>
      </c>
      <c r="D1089" s="98" t="s">
        <v>1708</v>
      </c>
      <c r="E1089" s="98" t="s">
        <v>835</v>
      </c>
      <c r="F1089" s="98" t="n">
        <v>0.0515429667661324</v>
      </c>
      <c r="G1089" s="98" t="s">
        <v>2838</v>
      </c>
      <c r="H1089" s="98" t="s">
        <v>2250</v>
      </c>
      <c r="I1089" s="98" t="s">
        <v>1704</v>
      </c>
      <c r="J1089" s="98" t="s">
        <v>1705</v>
      </c>
      <c r="K1089" s="98" t="s">
        <v>1706</v>
      </c>
    </row>
    <row r="1090" customFormat="false" ht="64" hidden="false" customHeight="true" outlineLevel="0" collapsed="false">
      <c r="C1090" s="98" t="s">
        <v>2846</v>
      </c>
      <c r="D1090" s="98" t="s">
        <v>1710</v>
      </c>
      <c r="E1090" s="98" t="s">
        <v>835</v>
      </c>
      <c r="F1090" s="98" t="n">
        <v>0.0515429667661324</v>
      </c>
      <c r="G1090" s="98" t="s">
        <v>2838</v>
      </c>
      <c r="H1090" s="98" t="s">
        <v>2250</v>
      </c>
      <c r="I1090" s="98" t="s">
        <v>1704</v>
      </c>
      <c r="J1090" s="98" t="s">
        <v>1705</v>
      </c>
      <c r="K1090" s="98" t="s">
        <v>1706</v>
      </c>
    </row>
    <row r="1091" customFormat="false" ht="64" hidden="false" customHeight="true" outlineLevel="0" collapsed="false">
      <c r="C1091" s="98" t="s">
        <v>2847</v>
      </c>
      <c r="D1091" s="98" t="s">
        <v>1712</v>
      </c>
      <c r="E1091" s="98" t="s">
        <v>835</v>
      </c>
      <c r="F1091" s="98" t="n">
        <v>0.0515429667661324</v>
      </c>
      <c r="G1091" s="98" t="s">
        <v>2838</v>
      </c>
      <c r="H1091" s="98" t="s">
        <v>2250</v>
      </c>
      <c r="I1091" s="98" t="s">
        <v>1704</v>
      </c>
      <c r="J1091" s="98" t="s">
        <v>1705</v>
      </c>
      <c r="K1091" s="98" t="s">
        <v>1706</v>
      </c>
    </row>
    <row r="1092" customFormat="false" ht="64" hidden="false" customHeight="true" outlineLevel="0" collapsed="false">
      <c r="C1092" s="98" t="s">
        <v>2848</v>
      </c>
      <c r="D1092" s="98" t="s">
        <v>1714</v>
      </c>
      <c r="E1092" s="98" t="s">
        <v>835</v>
      </c>
      <c r="F1092" s="98" t="n">
        <v>0.0515429667661324</v>
      </c>
      <c r="G1092" s="98" t="s">
        <v>2838</v>
      </c>
      <c r="H1092" s="98" t="s">
        <v>2250</v>
      </c>
      <c r="I1092" s="98" t="s">
        <v>1704</v>
      </c>
      <c r="J1092" s="98" t="s">
        <v>1705</v>
      </c>
      <c r="K1092" s="98" t="s">
        <v>1706</v>
      </c>
    </row>
    <row r="1093" customFormat="false" ht="64" hidden="false" customHeight="true" outlineLevel="0" collapsed="false">
      <c r="C1093" s="98" t="s">
        <v>2849</v>
      </c>
      <c r="D1093" s="98" t="s">
        <v>1716</v>
      </c>
      <c r="E1093" s="98" t="s">
        <v>835</v>
      </c>
      <c r="F1093" s="98" t="n">
        <v>0.0515429667661324</v>
      </c>
      <c r="G1093" s="98" t="s">
        <v>2838</v>
      </c>
      <c r="H1093" s="98" t="s">
        <v>2250</v>
      </c>
      <c r="I1093" s="98" t="s">
        <v>1704</v>
      </c>
      <c r="J1093" s="98" t="s">
        <v>1705</v>
      </c>
      <c r="K1093" s="98" t="s">
        <v>1706</v>
      </c>
    </row>
    <row r="1094" customFormat="false" ht="64" hidden="false" customHeight="true" outlineLevel="0" collapsed="false">
      <c r="C1094" s="98" t="s">
        <v>2850</v>
      </c>
      <c r="D1094" s="98" t="s">
        <v>1718</v>
      </c>
      <c r="E1094" s="98" t="s">
        <v>835</v>
      </c>
      <c r="F1094" s="98" t="n">
        <v>0.0515429667661324</v>
      </c>
      <c r="G1094" s="98" t="s">
        <v>2838</v>
      </c>
      <c r="H1094" s="98" t="s">
        <v>2250</v>
      </c>
      <c r="I1094" s="98" t="s">
        <v>1704</v>
      </c>
      <c r="J1094" s="98" t="s">
        <v>1705</v>
      </c>
      <c r="K1094" s="98" t="s">
        <v>1706</v>
      </c>
    </row>
    <row r="1095" customFormat="false" ht="64" hidden="false" customHeight="true" outlineLevel="0" collapsed="false">
      <c r="C1095" s="98" t="s">
        <v>2851</v>
      </c>
      <c r="D1095" s="98" t="s">
        <v>1720</v>
      </c>
      <c r="E1095" s="98" t="s">
        <v>835</v>
      </c>
      <c r="F1095" s="98" t="n">
        <v>0.0515429667661324</v>
      </c>
      <c r="G1095" s="98" t="s">
        <v>2838</v>
      </c>
      <c r="H1095" s="98" t="s">
        <v>2250</v>
      </c>
      <c r="I1095" s="98" t="s">
        <v>1704</v>
      </c>
      <c r="J1095" s="98" t="s">
        <v>1705</v>
      </c>
      <c r="K1095" s="98" t="s">
        <v>1706</v>
      </c>
    </row>
    <row r="1096" customFormat="false" ht="64" hidden="false" customHeight="true" outlineLevel="0" collapsed="false">
      <c r="C1096" s="98" t="s">
        <v>2852</v>
      </c>
      <c r="D1096" s="98" t="s">
        <v>1722</v>
      </c>
      <c r="E1096" s="98" t="s">
        <v>835</v>
      </c>
      <c r="F1096" s="98" t="n">
        <v>0.0515429667661324</v>
      </c>
      <c r="G1096" s="98" t="s">
        <v>2838</v>
      </c>
      <c r="H1096" s="98" t="s">
        <v>2250</v>
      </c>
      <c r="I1096" s="98" t="s">
        <v>1704</v>
      </c>
      <c r="J1096" s="98" t="s">
        <v>1705</v>
      </c>
      <c r="K1096" s="98" t="s">
        <v>1706</v>
      </c>
    </row>
    <row r="1097" customFormat="false" ht="64" hidden="false" customHeight="true" outlineLevel="0" collapsed="false">
      <c r="C1097" s="98" t="s">
        <v>2853</v>
      </c>
      <c r="D1097" s="98" t="s">
        <v>1724</v>
      </c>
      <c r="E1097" s="98" t="s">
        <v>835</v>
      </c>
      <c r="F1097" s="98" t="n">
        <v>0.0515429667661324</v>
      </c>
      <c r="G1097" s="98" t="s">
        <v>2838</v>
      </c>
      <c r="H1097" s="98" t="s">
        <v>2250</v>
      </c>
      <c r="I1097" s="98" t="s">
        <v>1704</v>
      </c>
      <c r="J1097" s="98" t="s">
        <v>1705</v>
      </c>
      <c r="K1097" s="98" t="s">
        <v>1706</v>
      </c>
    </row>
    <row r="1098" customFormat="false" ht="64" hidden="false" customHeight="true" outlineLevel="0" collapsed="false">
      <c r="C1098" s="98" t="s">
        <v>2854</v>
      </c>
      <c r="D1098" s="98" t="s">
        <v>1726</v>
      </c>
      <c r="E1098" s="98" t="s">
        <v>835</v>
      </c>
      <c r="F1098" s="98" t="n">
        <v>0.0515429667661324</v>
      </c>
      <c r="G1098" s="98" t="s">
        <v>2838</v>
      </c>
      <c r="H1098" s="98" t="s">
        <v>2250</v>
      </c>
      <c r="I1098" s="98" t="s">
        <v>1704</v>
      </c>
      <c r="J1098" s="98" t="s">
        <v>1705</v>
      </c>
      <c r="K1098" s="98" t="s">
        <v>1706</v>
      </c>
    </row>
    <row r="1099" customFormat="false" ht="64" hidden="false" customHeight="true" outlineLevel="0" collapsed="false">
      <c r="C1099" s="98" t="s">
        <v>2855</v>
      </c>
      <c r="D1099" s="98" t="s">
        <v>1728</v>
      </c>
      <c r="E1099" s="98" t="s">
        <v>835</v>
      </c>
      <c r="F1099" s="98" t="n">
        <v>0.0515429667661324</v>
      </c>
      <c r="G1099" s="98" t="s">
        <v>2838</v>
      </c>
      <c r="H1099" s="98" t="s">
        <v>2250</v>
      </c>
      <c r="I1099" s="98" t="s">
        <v>1704</v>
      </c>
      <c r="J1099" s="98" t="s">
        <v>1705</v>
      </c>
      <c r="K1099" s="98" t="s">
        <v>1706</v>
      </c>
    </row>
    <row r="1100" customFormat="false" ht="64" hidden="false" customHeight="true" outlineLevel="0" collapsed="false">
      <c r="C1100" s="98" t="s">
        <v>2856</v>
      </c>
      <c r="D1100" s="98" t="s">
        <v>1730</v>
      </c>
      <c r="E1100" s="98" t="s">
        <v>835</v>
      </c>
      <c r="F1100" s="98" t="n">
        <v>0.0515429667661324</v>
      </c>
      <c r="G1100" s="98" t="s">
        <v>2838</v>
      </c>
      <c r="H1100" s="98" t="s">
        <v>2250</v>
      </c>
      <c r="I1100" s="98" t="s">
        <v>1704</v>
      </c>
      <c r="J1100" s="98" t="s">
        <v>1705</v>
      </c>
      <c r="K1100" s="98" t="s">
        <v>1706</v>
      </c>
    </row>
    <row r="1101" customFormat="false" ht="64" hidden="false" customHeight="true" outlineLevel="0" collapsed="false">
      <c r="C1101" s="98" t="s">
        <v>2857</v>
      </c>
      <c r="D1101" s="98" t="s">
        <v>1732</v>
      </c>
      <c r="E1101" s="98" t="s">
        <v>835</v>
      </c>
      <c r="F1101" s="98" t="n">
        <v>0.0515429667661324</v>
      </c>
      <c r="G1101" s="98" t="s">
        <v>2838</v>
      </c>
      <c r="H1101" s="98" t="s">
        <v>2250</v>
      </c>
      <c r="I1101" s="98" t="s">
        <v>1704</v>
      </c>
      <c r="J1101" s="98" t="s">
        <v>1705</v>
      </c>
      <c r="K1101" s="98" t="s">
        <v>1706</v>
      </c>
    </row>
    <row r="1102" customFormat="false" ht="64" hidden="false" customHeight="true" outlineLevel="0" collapsed="false">
      <c r="C1102" s="98" t="s">
        <v>2858</v>
      </c>
      <c r="D1102" s="98" t="s">
        <v>1734</v>
      </c>
      <c r="E1102" s="98" t="s">
        <v>835</v>
      </c>
      <c r="F1102" s="98" t="n">
        <v>0.0515429667661324</v>
      </c>
      <c r="G1102" s="98" t="s">
        <v>2838</v>
      </c>
      <c r="H1102" s="98" t="s">
        <v>2250</v>
      </c>
      <c r="I1102" s="98" t="s">
        <v>1704</v>
      </c>
      <c r="J1102" s="98" t="s">
        <v>1705</v>
      </c>
      <c r="K1102" s="98" t="s">
        <v>1706</v>
      </c>
    </row>
    <row r="1103" customFormat="false" ht="64" hidden="false" customHeight="true" outlineLevel="0" collapsed="false">
      <c r="C1103" s="98" t="s">
        <v>2859</v>
      </c>
      <c r="D1103" s="98" t="s">
        <v>1736</v>
      </c>
      <c r="E1103" s="98" t="s">
        <v>835</v>
      </c>
      <c r="F1103" s="98" t="n">
        <v>0.0515429667661324</v>
      </c>
      <c r="G1103" s="98" t="s">
        <v>2838</v>
      </c>
      <c r="H1103" s="98" t="s">
        <v>2250</v>
      </c>
      <c r="I1103" s="98" t="s">
        <v>1704</v>
      </c>
      <c r="J1103" s="98" t="s">
        <v>1705</v>
      </c>
      <c r="K1103" s="98" t="s">
        <v>1706</v>
      </c>
    </row>
    <row r="1104" customFormat="false" ht="64" hidden="false" customHeight="true" outlineLevel="0" collapsed="false">
      <c r="C1104" s="98" t="s">
        <v>2860</v>
      </c>
      <c r="D1104" s="98" t="s">
        <v>1738</v>
      </c>
      <c r="E1104" s="98" t="s">
        <v>835</v>
      </c>
      <c r="F1104" s="98" t="n">
        <v>0.0515429667661324</v>
      </c>
      <c r="G1104" s="98" t="s">
        <v>2838</v>
      </c>
      <c r="H1104" s="98" t="s">
        <v>2250</v>
      </c>
      <c r="I1104" s="98" t="s">
        <v>1704</v>
      </c>
      <c r="J1104" s="98" t="s">
        <v>1705</v>
      </c>
      <c r="K1104" s="98" t="s">
        <v>1706</v>
      </c>
    </row>
    <row r="1105" customFormat="false" ht="64" hidden="false" customHeight="true" outlineLevel="0" collapsed="false">
      <c r="C1105" s="98" t="s">
        <v>2861</v>
      </c>
      <c r="D1105" s="98" t="s">
        <v>1740</v>
      </c>
      <c r="E1105" s="98" t="s">
        <v>835</v>
      </c>
      <c r="F1105" s="98" t="n">
        <v>0.0515429667661324</v>
      </c>
      <c r="G1105" s="98" t="s">
        <v>2838</v>
      </c>
      <c r="H1105" s="98" t="s">
        <v>2250</v>
      </c>
      <c r="I1105" s="98" t="s">
        <v>1704</v>
      </c>
      <c r="J1105" s="98" t="s">
        <v>1705</v>
      </c>
      <c r="K1105" s="98" t="s">
        <v>1706</v>
      </c>
    </row>
    <row r="1106" customFormat="false" ht="64" hidden="false" customHeight="true" outlineLevel="0" collapsed="false">
      <c r="C1106" s="98" t="s">
        <v>2862</v>
      </c>
      <c r="D1106" s="98" t="s">
        <v>1742</v>
      </c>
      <c r="E1106" s="98" t="s">
        <v>835</v>
      </c>
      <c r="F1106" s="98" t="n">
        <v>0.0515429667661324</v>
      </c>
      <c r="G1106" s="98" t="s">
        <v>2838</v>
      </c>
      <c r="H1106" s="98" t="s">
        <v>2250</v>
      </c>
      <c r="I1106" s="98" t="s">
        <v>1704</v>
      </c>
      <c r="J1106" s="98" t="s">
        <v>1705</v>
      </c>
      <c r="K1106" s="98" t="s">
        <v>1706</v>
      </c>
    </row>
    <row r="1107" customFormat="false" ht="64" hidden="false" customHeight="true" outlineLevel="0" collapsed="false">
      <c r="C1107" s="98" t="s">
        <v>2863</v>
      </c>
      <c r="D1107" s="98" t="s">
        <v>1744</v>
      </c>
      <c r="E1107" s="98" t="s">
        <v>835</v>
      </c>
      <c r="F1107" s="98" t="n">
        <v>0.0515429667661324</v>
      </c>
      <c r="G1107" s="98" t="s">
        <v>2838</v>
      </c>
      <c r="H1107" s="98" t="s">
        <v>2250</v>
      </c>
      <c r="I1107" s="98" t="s">
        <v>1704</v>
      </c>
      <c r="J1107" s="98" t="s">
        <v>1705</v>
      </c>
      <c r="K1107" s="98" t="s">
        <v>1706</v>
      </c>
    </row>
    <row r="1108" customFormat="false" ht="64" hidden="false" customHeight="true" outlineLevel="0" collapsed="false">
      <c r="C1108" s="98" t="s">
        <v>2864</v>
      </c>
      <c r="D1108" s="98" t="s">
        <v>1746</v>
      </c>
      <c r="E1108" s="98" t="s">
        <v>835</v>
      </c>
      <c r="F1108" s="98" t="n">
        <v>0.0515429667661324</v>
      </c>
      <c r="G1108" s="98" t="s">
        <v>2838</v>
      </c>
      <c r="H1108" s="98" t="s">
        <v>2250</v>
      </c>
      <c r="I1108" s="98" t="s">
        <v>1704</v>
      </c>
      <c r="J1108" s="98" t="s">
        <v>1705</v>
      </c>
      <c r="K1108" s="98" t="s">
        <v>1706</v>
      </c>
    </row>
    <row r="1109" customFormat="false" ht="64" hidden="false" customHeight="true" outlineLevel="0" collapsed="false">
      <c r="C1109" s="98" t="s">
        <v>2865</v>
      </c>
      <c r="D1109" s="98" t="s">
        <v>1748</v>
      </c>
      <c r="E1109" s="98" t="s">
        <v>835</v>
      </c>
      <c r="F1109" s="98" t="n">
        <v>0.0515429667661324</v>
      </c>
      <c r="G1109" s="98" t="s">
        <v>2838</v>
      </c>
      <c r="H1109" s="98" t="s">
        <v>2250</v>
      </c>
      <c r="I1109" s="98" t="s">
        <v>1704</v>
      </c>
      <c r="J1109" s="98" t="s">
        <v>1705</v>
      </c>
      <c r="K1109" s="98" t="s">
        <v>1706</v>
      </c>
    </row>
    <row r="1110" customFormat="false" ht="64" hidden="false" customHeight="true" outlineLevel="0" collapsed="false">
      <c r="C1110" s="98" t="s">
        <v>2866</v>
      </c>
      <c r="D1110" s="98" t="s">
        <v>1750</v>
      </c>
      <c r="E1110" s="98" t="s">
        <v>835</v>
      </c>
      <c r="F1110" s="98" t="n">
        <v>0.0515429667661324</v>
      </c>
      <c r="G1110" s="98" t="s">
        <v>2838</v>
      </c>
      <c r="H1110" s="98" t="s">
        <v>2250</v>
      </c>
      <c r="I1110" s="98" t="s">
        <v>1704</v>
      </c>
      <c r="J1110" s="98" t="s">
        <v>1705</v>
      </c>
      <c r="K1110" s="98" t="s">
        <v>1706</v>
      </c>
    </row>
    <row r="1111" customFormat="false" ht="64" hidden="false" customHeight="true" outlineLevel="0" collapsed="false">
      <c r="C1111" s="98" t="s">
        <v>2867</v>
      </c>
      <c r="D1111" s="98" t="s">
        <v>1752</v>
      </c>
      <c r="E1111" s="98" t="s">
        <v>835</v>
      </c>
      <c r="F1111" s="98" t="n">
        <v>0.0515429667661324</v>
      </c>
      <c r="G1111" s="98" t="s">
        <v>2838</v>
      </c>
      <c r="H1111" s="98" t="s">
        <v>2250</v>
      </c>
      <c r="I1111" s="98" t="s">
        <v>1704</v>
      </c>
      <c r="J1111" s="98" t="s">
        <v>1705</v>
      </c>
      <c r="K1111" s="98" t="s">
        <v>1706</v>
      </c>
    </row>
    <row r="1112" customFormat="false" ht="64" hidden="false" customHeight="true" outlineLevel="0" collapsed="false">
      <c r="C1112" s="98" t="s">
        <v>2868</v>
      </c>
      <c r="D1112" s="98" t="s">
        <v>1754</v>
      </c>
      <c r="E1112" s="98" t="s">
        <v>835</v>
      </c>
      <c r="F1112" s="98" t="n">
        <v>0.0515429667661324</v>
      </c>
      <c r="G1112" s="98" t="s">
        <v>2838</v>
      </c>
      <c r="H1112" s="98" t="s">
        <v>2250</v>
      </c>
      <c r="I1112" s="98" t="s">
        <v>1704</v>
      </c>
      <c r="J1112" s="98" t="s">
        <v>1705</v>
      </c>
      <c r="K1112" s="98" t="s">
        <v>1706</v>
      </c>
    </row>
    <row r="1113" customFormat="false" ht="64" hidden="false" customHeight="true" outlineLevel="0" collapsed="false">
      <c r="C1113" s="98" t="s">
        <v>2869</v>
      </c>
      <c r="D1113" s="98" t="s">
        <v>1756</v>
      </c>
      <c r="E1113" s="98" t="s">
        <v>835</v>
      </c>
      <c r="F1113" s="98" t="n">
        <v>0.0515429667661324</v>
      </c>
      <c r="G1113" s="98" t="s">
        <v>2838</v>
      </c>
      <c r="H1113" s="98" t="s">
        <v>2250</v>
      </c>
      <c r="I1113" s="98" t="s">
        <v>1704</v>
      </c>
      <c r="J1113" s="98" t="s">
        <v>1705</v>
      </c>
      <c r="K1113" s="98" t="s">
        <v>1706</v>
      </c>
    </row>
    <row r="1114" customFormat="false" ht="64" hidden="false" customHeight="true" outlineLevel="0" collapsed="false">
      <c r="C1114" s="98" t="s">
        <v>2870</v>
      </c>
      <c r="D1114" s="98" t="s">
        <v>1758</v>
      </c>
      <c r="E1114" s="98" t="s">
        <v>835</v>
      </c>
      <c r="F1114" s="98" t="n">
        <v>0.0515429667661324</v>
      </c>
      <c r="G1114" s="98" t="s">
        <v>2838</v>
      </c>
      <c r="H1114" s="98" t="s">
        <v>2250</v>
      </c>
      <c r="I1114" s="98" t="s">
        <v>1704</v>
      </c>
      <c r="J1114" s="98" t="s">
        <v>1705</v>
      </c>
      <c r="K1114" s="98" t="s">
        <v>1706</v>
      </c>
    </row>
    <row r="1115" customFormat="false" ht="64" hidden="false" customHeight="true" outlineLevel="0" collapsed="false">
      <c r="C1115" s="98" t="s">
        <v>2871</v>
      </c>
      <c r="D1115" s="98" t="s">
        <v>1760</v>
      </c>
      <c r="E1115" s="98" t="s">
        <v>835</v>
      </c>
      <c r="F1115" s="98" t="n">
        <v>0.0515429667661324</v>
      </c>
      <c r="G1115" s="98" t="s">
        <v>2838</v>
      </c>
      <c r="H1115" s="98" t="s">
        <v>2250</v>
      </c>
      <c r="I1115" s="98" t="s">
        <v>1704</v>
      </c>
      <c r="J1115" s="98" t="s">
        <v>1705</v>
      </c>
      <c r="K1115" s="98" t="s">
        <v>1706</v>
      </c>
    </row>
    <row r="1116" customFormat="false" ht="64" hidden="false" customHeight="true" outlineLevel="0" collapsed="false">
      <c r="C1116" s="98" t="s">
        <v>2872</v>
      </c>
      <c r="D1116" s="98" t="s">
        <v>1762</v>
      </c>
      <c r="E1116" s="98" t="s">
        <v>835</v>
      </c>
      <c r="F1116" s="98" t="n">
        <v>0.0515429667661324</v>
      </c>
      <c r="G1116" s="98" t="s">
        <v>2838</v>
      </c>
      <c r="H1116" s="98" t="s">
        <v>2250</v>
      </c>
      <c r="I1116" s="98" t="s">
        <v>1704</v>
      </c>
      <c r="J1116" s="98" t="s">
        <v>1705</v>
      </c>
      <c r="K1116" s="98" t="s">
        <v>1706</v>
      </c>
    </row>
    <row r="1117" customFormat="false" ht="64" hidden="false" customHeight="true" outlineLevel="0" collapsed="false">
      <c r="C1117" s="98" t="s">
        <v>2873</v>
      </c>
      <c r="D1117" s="98" t="s">
        <v>1764</v>
      </c>
      <c r="E1117" s="98" t="s">
        <v>835</v>
      </c>
      <c r="F1117" s="98" t="n">
        <v>0.0515429667661324</v>
      </c>
      <c r="G1117" s="98" t="s">
        <v>2838</v>
      </c>
      <c r="H1117" s="98" t="s">
        <v>2250</v>
      </c>
      <c r="I1117" s="98" t="s">
        <v>1704</v>
      </c>
      <c r="J1117" s="98" t="s">
        <v>1705</v>
      </c>
      <c r="K1117" s="98" t="s">
        <v>1706</v>
      </c>
    </row>
    <row r="1118" customFormat="false" ht="64" hidden="false" customHeight="true" outlineLevel="0" collapsed="false">
      <c r="C1118" s="98" t="s">
        <v>2874</v>
      </c>
      <c r="D1118" s="98" t="s">
        <v>1829</v>
      </c>
      <c r="E1118" s="98" t="s">
        <v>835</v>
      </c>
      <c r="F1118" s="98" t="n">
        <v>0.045</v>
      </c>
      <c r="G1118" s="98" t="s">
        <v>2875</v>
      </c>
      <c r="H1118" s="98" t="s">
        <v>2250</v>
      </c>
      <c r="I1118" s="98" t="s">
        <v>1704</v>
      </c>
      <c r="J1118" s="98" t="s">
        <v>1705</v>
      </c>
      <c r="K1118" s="98" t="s">
        <v>1706</v>
      </c>
    </row>
    <row r="1119" customFormat="false" ht="64" hidden="false" customHeight="true" outlineLevel="0" collapsed="false">
      <c r="C1119" s="98" t="s">
        <v>2876</v>
      </c>
      <c r="D1119" s="98" t="s">
        <v>1833</v>
      </c>
      <c r="E1119" s="98" t="s">
        <v>835</v>
      </c>
      <c r="F1119" s="98" t="n">
        <v>0.045</v>
      </c>
      <c r="G1119" s="98" t="s">
        <v>2875</v>
      </c>
      <c r="H1119" s="98" t="s">
        <v>2250</v>
      </c>
      <c r="I1119" s="98" t="s">
        <v>1704</v>
      </c>
      <c r="J1119" s="98" t="s">
        <v>1705</v>
      </c>
      <c r="K1119" s="98" t="s">
        <v>1706</v>
      </c>
    </row>
    <row r="1120" customFormat="false" ht="64" hidden="false" customHeight="true" outlineLevel="0" collapsed="false">
      <c r="C1120" s="98" t="s">
        <v>2877</v>
      </c>
      <c r="D1120" s="98" t="s">
        <v>1835</v>
      </c>
      <c r="E1120" s="98" t="s">
        <v>835</v>
      </c>
      <c r="F1120" s="98" t="n">
        <v>0.045</v>
      </c>
      <c r="G1120" s="98" t="s">
        <v>2875</v>
      </c>
      <c r="H1120" s="98" t="s">
        <v>2250</v>
      </c>
      <c r="I1120" s="98" t="s">
        <v>1704</v>
      </c>
      <c r="J1120" s="98" t="s">
        <v>1705</v>
      </c>
      <c r="K1120" s="98" t="s">
        <v>1706</v>
      </c>
    </row>
    <row r="1121" customFormat="false" ht="64" hidden="false" customHeight="true" outlineLevel="0" collapsed="false">
      <c r="C1121" s="98" t="s">
        <v>2878</v>
      </c>
      <c r="D1121" s="98" t="s">
        <v>1044</v>
      </c>
      <c r="E1121" s="98" t="s">
        <v>835</v>
      </c>
      <c r="F1121" s="98" t="n">
        <v>0.045</v>
      </c>
      <c r="G1121" s="98" t="s">
        <v>2875</v>
      </c>
      <c r="H1121" s="98" t="s">
        <v>2250</v>
      </c>
      <c r="I1121" s="98" t="s">
        <v>1704</v>
      </c>
      <c r="J1121" s="98" t="s">
        <v>1705</v>
      </c>
      <c r="K1121" s="98" t="s">
        <v>1706</v>
      </c>
    </row>
    <row r="1122" customFormat="false" ht="64" hidden="false" customHeight="true" outlineLevel="0" collapsed="false">
      <c r="C1122" s="98" t="s">
        <v>2879</v>
      </c>
      <c r="D1122" s="98" t="s">
        <v>1838</v>
      </c>
      <c r="E1122" s="98" t="s">
        <v>835</v>
      </c>
      <c r="F1122" s="98" t="n">
        <v>0.045</v>
      </c>
      <c r="G1122" s="98" t="s">
        <v>2875</v>
      </c>
      <c r="H1122" s="98" t="s">
        <v>2250</v>
      </c>
      <c r="I1122" s="98" t="s">
        <v>1704</v>
      </c>
      <c r="J1122" s="98" t="s">
        <v>1705</v>
      </c>
      <c r="K1122" s="98" t="s">
        <v>1706</v>
      </c>
    </row>
    <row r="1123" customFormat="false" ht="64" hidden="false" customHeight="true" outlineLevel="0" collapsed="false">
      <c r="C1123" s="98" t="s">
        <v>2880</v>
      </c>
      <c r="D1123" s="98" t="s">
        <v>1840</v>
      </c>
      <c r="E1123" s="98" t="s">
        <v>835</v>
      </c>
      <c r="F1123" s="98" t="n">
        <v>0.045</v>
      </c>
      <c r="G1123" s="98" t="s">
        <v>2875</v>
      </c>
      <c r="H1123" s="98" t="s">
        <v>2250</v>
      </c>
      <c r="I1123" s="98" t="s">
        <v>1704</v>
      </c>
      <c r="J1123" s="98" t="s">
        <v>1705</v>
      </c>
      <c r="K1123" s="98" t="s">
        <v>1706</v>
      </c>
    </row>
    <row r="1124" customFormat="false" ht="64" hidden="false" customHeight="true" outlineLevel="0" collapsed="false">
      <c r="C1124" s="98" t="s">
        <v>2881</v>
      </c>
      <c r="D1124" s="98" t="s">
        <v>1700</v>
      </c>
      <c r="E1124" s="98" t="s">
        <v>835</v>
      </c>
      <c r="F1124" s="98" t="n">
        <v>0.045</v>
      </c>
      <c r="G1124" s="98" t="s">
        <v>2875</v>
      </c>
      <c r="H1124" s="98" t="s">
        <v>2250</v>
      </c>
      <c r="I1124" s="98" t="s">
        <v>1704</v>
      </c>
      <c r="J1124" s="98" t="s">
        <v>1705</v>
      </c>
      <c r="K1124" s="98" t="s">
        <v>1706</v>
      </c>
    </row>
    <row r="1125" customFormat="false" ht="64" hidden="false" customHeight="true" outlineLevel="0" collapsed="false">
      <c r="C1125" s="98" t="s">
        <v>2882</v>
      </c>
      <c r="D1125" s="98" t="s">
        <v>1708</v>
      </c>
      <c r="E1125" s="98" t="s">
        <v>835</v>
      </c>
      <c r="F1125" s="98" t="n">
        <v>0.045</v>
      </c>
      <c r="G1125" s="98" t="s">
        <v>2875</v>
      </c>
      <c r="H1125" s="98" t="s">
        <v>2250</v>
      </c>
      <c r="I1125" s="98" t="s">
        <v>1704</v>
      </c>
      <c r="J1125" s="98" t="s">
        <v>1705</v>
      </c>
      <c r="K1125" s="98" t="s">
        <v>1706</v>
      </c>
    </row>
    <row r="1126" customFormat="false" ht="64" hidden="false" customHeight="true" outlineLevel="0" collapsed="false">
      <c r="C1126" s="98" t="s">
        <v>2883</v>
      </c>
      <c r="D1126" s="98" t="s">
        <v>1710</v>
      </c>
      <c r="E1126" s="98" t="s">
        <v>835</v>
      </c>
      <c r="F1126" s="98" t="n">
        <v>0.045</v>
      </c>
      <c r="G1126" s="98" t="s">
        <v>2875</v>
      </c>
      <c r="H1126" s="98" t="s">
        <v>2250</v>
      </c>
      <c r="I1126" s="98" t="s">
        <v>1704</v>
      </c>
      <c r="J1126" s="98" t="s">
        <v>1705</v>
      </c>
      <c r="K1126" s="98" t="s">
        <v>1706</v>
      </c>
    </row>
    <row r="1127" customFormat="false" ht="64" hidden="false" customHeight="true" outlineLevel="0" collapsed="false">
      <c r="C1127" s="98" t="s">
        <v>2884</v>
      </c>
      <c r="D1127" s="98" t="s">
        <v>1712</v>
      </c>
      <c r="E1127" s="98" t="s">
        <v>835</v>
      </c>
      <c r="F1127" s="98" t="n">
        <v>0.045</v>
      </c>
      <c r="G1127" s="98" t="s">
        <v>2875</v>
      </c>
      <c r="H1127" s="98" t="s">
        <v>2250</v>
      </c>
      <c r="I1127" s="98" t="s">
        <v>1704</v>
      </c>
      <c r="J1127" s="98" t="s">
        <v>1705</v>
      </c>
      <c r="K1127" s="98" t="s">
        <v>1706</v>
      </c>
    </row>
    <row r="1128" customFormat="false" ht="64" hidden="false" customHeight="true" outlineLevel="0" collapsed="false">
      <c r="C1128" s="98" t="s">
        <v>2885</v>
      </c>
      <c r="D1128" s="98" t="s">
        <v>1714</v>
      </c>
      <c r="E1128" s="98" t="s">
        <v>835</v>
      </c>
      <c r="F1128" s="98" t="n">
        <v>0.045</v>
      </c>
      <c r="G1128" s="98" t="s">
        <v>2875</v>
      </c>
      <c r="H1128" s="98" t="s">
        <v>2250</v>
      </c>
      <c r="I1128" s="98" t="s">
        <v>1704</v>
      </c>
      <c r="J1128" s="98" t="s">
        <v>1705</v>
      </c>
      <c r="K1128" s="98" t="s">
        <v>1706</v>
      </c>
    </row>
    <row r="1129" customFormat="false" ht="64" hidden="false" customHeight="true" outlineLevel="0" collapsed="false">
      <c r="C1129" s="98" t="s">
        <v>2886</v>
      </c>
      <c r="D1129" s="98" t="s">
        <v>1716</v>
      </c>
      <c r="E1129" s="98" t="s">
        <v>835</v>
      </c>
      <c r="F1129" s="98" t="n">
        <v>0.045</v>
      </c>
      <c r="G1129" s="98" t="s">
        <v>2875</v>
      </c>
      <c r="H1129" s="98" t="s">
        <v>2250</v>
      </c>
      <c r="I1129" s="98" t="s">
        <v>1704</v>
      </c>
      <c r="J1129" s="98" t="s">
        <v>1705</v>
      </c>
      <c r="K1129" s="98" t="s">
        <v>1706</v>
      </c>
    </row>
    <row r="1130" customFormat="false" ht="64" hidden="false" customHeight="true" outlineLevel="0" collapsed="false">
      <c r="C1130" s="98" t="s">
        <v>2887</v>
      </c>
      <c r="D1130" s="98" t="s">
        <v>1718</v>
      </c>
      <c r="E1130" s="98" t="s">
        <v>835</v>
      </c>
      <c r="F1130" s="98" t="n">
        <v>0.045</v>
      </c>
      <c r="G1130" s="98" t="s">
        <v>2875</v>
      </c>
      <c r="H1130" s="98" t="s">
        <v>2250</v>
      </c>
      <c r="I1130" s="98" t="s">
        <v>1704</v>
      </c>
      <c r="J1130" s="98" t="s">
        <v>1705</v>
      </c>
      <c r="K1130" s="98" t="s">
        <v>1706</v>
      </c>
    </row>
    <row r="1131" customFormat="false" ht="64" hidden="false" customHeight="true" outlineLevel="0" collapsed="false">
      <c r="C1131" s="98" t="s">
        <v>2888</v>
      </c>
      <c r="D1131" s="98" t="s">
        <v>1720</v>
      </c>
      <c r="E1131" s="98" t="s">
        <v>835</v>
      </c>
      <c r="F1131" s="98" t="n">
        <v>0.045</v>
      </c>
      <c r="G1131" s="98" t="s">
        <v>2875</v>
      </c>
      <c r="H1131" s="98" t="s">
        <v>2250</v>
      </c>
      <c r="I1131" s="98" t="s">
        <v>1704</v>
      </c>
      <c r="J1131" s="98" t="s">
        <v>1705</v>
      </c>
      <c r="K1131" s="98" t="s">
        <v>1706</v>
      </c>
    </row>
    <row r="1132" customFormat="false" ht="64" hidden="false" customHeight="true" outlineLevel="0" collapsed="false">
      <c r="C1132" s="98" t="s">
        <v>2889</v>
      </c>
      <c r="D1132" s="98" t="s">
        <v>1722</v>
      </c>
      <c r="E1132" s="98" t="s">
        <v>835</v>
      </c>
      <c r="F1132" s="98" t="n">
        <v>0.045</v>
      </c>
      <c r="G1132" s="98" t="s">
        <v>2875</v>
      </c>
      <c r="H1132" s="98" t="s">
        <v>2250</v>
      </c>
      <c r="I1132" s="98" t="s">
        <v>1704</v>
      </c>
      <c r="J1132" s="98" t="s">
        <v>1705</v>
      </c>
      <c r="K1132" s="98" t="s">
        <v>1706</v>
      </c>
    </row>
    <row r="1133" customFormat="false" ht="64" hidden="false" customHeight="true" outlineLevel="0" collapsed="false">
      <c r="C1133" s="98" t="s">
        <v>2890</v>
      </c>
      <c r="D1133" s="98" t="s">
        <v>1724</v>
      </c>
      <c r="E1133" s="98" t="s">
        <v>835</v>
      </c>
      <c r="F1133" s="98" t="n">
        <v>0.045</v>
      </c>
      <c r="G1133" s="98" t="s">
        <v>2875</v>
      </c>
      <c r="H1133" s="98" t="s">
        <v>2250</v>
      </c>
      <c r="I1133" s="98" t="s">
        <v>1704</v>
      </c>
      <c r="J1133" s="98" t="s">
        <v>1705</v>
      </c>
      <c r="K1133" s="98" t="s">
        <v>1706</v>
      </c>
    </row>
    <row r="1134" customFormat="false" ht="64" hidden="false" customHeight="true" outlineLevel="0" collapsed="false">
      <c r="C1134" s="98" t="s">
        <v>2891</v>
      </c>
      <c r="D1134" s="98" t="s">
        <v>1726</v>
      </c>
      <c r="E1134" s="98" t="s">
        <v>835</v>
      </c>
      <c r="F1134" s="98" t="n">
        <v>0.045</v>
      </c>
      <c r="G1134" s="98" t="s">
        <v>2875</v>
      </c>
      <c r="H1134" s="98" t="s">
        <v>2250</v>
      </c>
      <c r="I1134" s="98" t="s">
        <v>1704</v>
      </c>
      <c r="J1134" s="98" t="s">
        <v>1705</v>
      </c>
      <c r="K1134" s="98" t="s">
        <v>1706</v>
      </c>
    </row>
    <row r="1135" customFormat="false" ht="64" hidden="false" customHeight="true" outlineLevel="0" collapsed="false">
      <c r="C1135" s="98" t="s">
        <v>2892</v>
      </c>
      <c r="D1135" s="98" t="s">
        <v>1728</v>
      </c>
      <c r="E1135" s="98" t="s">
        <v>835</v>
      </c>
      <c r="F1135" s="98" t="n">
        <v>0.045</v>
      </c>
      <c r="G1135" s="98" t="s">
        <v>2875</v>
      </c>
      <c r="H1135" s="98" t="s">
        <v>2250</v>
      </c>
      <c r="I1135" s="98" t="s">
        <v>1704</v>
      </c>
      <c r="J1135" s="98" t="s">
        <v>1705</v>
      </c>
      <c r="K1135" s="98" t="s">
        <v>1706</v>
      </c>
    </row>
    <row r="1136" customFormat="false" ht="64" hidden="false" customHeight="true" outlineLevel="0" collapsed="false">
      <c r="C1136" s="98" t="s">
        <v>2893</v>
      </c>
      <c r="D1136" s="98" t="s">
        <v>1730</v>
      </c>
      <c r="E1136" s="98" t="s">
        <v>835</v>
      </c>
      <c r="F1136" s="98" t="n">
        <v>0.045</v>
      </c>
      <c r="G1136" s="98" t="s">
        <v>2875</v>
      </c>
      <c r="H1136" s="98" t="s">
        <v>2250</v>
      </c>
      <c r="I1136" s="98" t="s">
        <v>1704</v>
      </c>
      <c r="J1136" s="98" t="s">
        <v>1705</v>
      </c>
      <c r="K1136" s="98" t="s">
        <v>1706</v>
      </c>
    </row>
    <row r="1137" customFormat="false" ht="64" hidden="false" customHeight="true" outlineLevel="0" collapsed="false">
      <c r="C1137" s="98" t="s">
        <v>2894</v>
      </c>
      <c r="D1137" s="98" t="s">
        <v>1732</v>
      </c>
      <c r="E1137" s="98" t="s">
        <v>835</v>
      </c>
      <c r="F1137" s="98" t="n">
        <v>0.045</v>
      </c>
      <c r="G1137" s="98" t="s">
        <v>2875</v>
      </c>
      <c r="H1137" s="98" t="s">
        <v>2250</v>
      </c>
      <c r="I1137" s="98" t="s">
        <v>1704</v>
      </c>
      <c r="J1137" s="98" t="s">
        <v>1705</v>
      </c>
      <c r="K1137" s="98" t="s">
        <v>1706</v>
      </c>
    </row>
    <row r="1138" customFormat="false" ht="64" hidden="false" customHeight="true" outlineLevel="0" collapsed="false">
      <c r="C1138" s="98" t="s">
        <v>2895</v>
      </c>
      <c r="D1138" s="98" t="s">
        <v>1734</v>
      </c>
      <c r="E1138" s="98" t="s">
        <v>835</v>
      </c>
      <c r="F1138" s="98" t="n">
        <v>0.045</v>
      </c>
      <c r="G1138" s="98" t="s">
        <v>2875</v>
      </c>
      <c r="H1138" s="98" t="s">
        <v>2250</v>
      </c>
      <c r="I1138" s="98" t="s">
        <v>1704</v>
      </c>
      <c r="J1138" s="98" t="s">
        <v>1705</v>
      </c>
      <c r="K1138" s="98" t="s">
        <v>1706</v>
      </c>
    </row>
    <row r="1139" customFormat="false" ht="64" hidden="false" customHeight="true" outlineLevel="0" collapsed="false">
      <c r="C1139" s="98" t="s">
        <v>2896</v>
      </c>
      <c r="D1139" s="98" t="s">
        <v>1736</v>
      </c>
      <c r="E1139" s="98" t="s">
        <v>835</v>
      </c>
      <c r="F1139" s="98" t="n">
        <v>0.045</v>
      </c>
      <c r="G1139" s="98" t="s">
        <v>2875</v>
      </c>
      <c r="H1139" s="98" t="s">
        <v>2250</v>
      </c>
      <c r="I1139" s="98" t="s">
        <v>1704</v>
      </c>
      <c r="J1139" s="98" t="s">
        <v>1705</v>
      </c>
      <c r="K1139" s="98" t="s">
        <v>1706</v>
      </c>
    </row>
    <row r="1140" customFormat="false" ht="64" hidden="false" customHeight="true" outlineLevel="0" collapsed="false">
      <c r="C1140" s="98" t="s">
        <v>2897</v>
      </c>
      <c r="D1140" s="98" t="s">
        <v>1738</v>
      </c>
      <c r="E1140" s="98" t="s">
        <v>835</v>
      </c>
      <c r="F1140" s="98" t="n">
        <v>0.045</v>
      </c>
      <c r="G1140" s="98" t="s">
        <v>2875</v>
      </c>
      <c r="H1140" s="98" t="s">
        <v>2250</v>
      </c>
      <c r="I1140" s="98" t="s">
        <v>1704</v>
      </c>
      <c r="J1140" s="98" t="s">
        <v>1705</v>
      </c>
      <c r="K1140" s="98" t="s">
        <v>1706</v>
      </c>
    </row>
    <row r="1141" customFormat="false" ht="64" hidden="false" customHeight="true" outlineLevel="0" collapsed="false">
      <c r="C1141" s="98" t="s">
        <v>2898</v>
      </c>
      <c r="D1141" s="98" t="s">
        <v>1740</v>
      </c>
      <c r="E1141" s="98" t="s">
        <v>835</v>
      </c>
      <c r="F1141" s="98" t="n">
        <v>0.045</v>
      </c>
      <c r="G1141" s="98" t="s">
        <v>2875</v>
      </c>
      <c r="H1141" s="98" t="s">
        <v>2250</v>
      </c>
      <c r="I1141" s="98" t="s">
        <v>1704</v>
      </c>
      <c r="J1141" s="98" t="s">
        <v>1705</v>
      </c>
      <c r="K1141" s="98" t="s">
        <v>1706</v>
      </c>
    </row>
    <row r="1142" customFormat="false" ht="64" hidden="false" customHeight="true" outlineLevel="0" collapsed="false">
      <c r="C1142" s="98" t="s">
        <v>2899</v>
      </c>
      <c r="D1142" s="98" t="s">
        <v>1742</v>
      </c>
      <c r="E1142" s="98" t="s">
        <v>835</v>
      </c>
      <c r="F1142" s="98" t="n">
        <v>0.045</v>
      </c>
      <c r="G1142" s="98" t="s">
        <v>2875</v>
      </c>
      <c r="H1142" s="98" t="s">
        <v>2250</v>
      </c>
      <c r="I1142" s="98" t="s">
        <v>1704</v>
      </c>
      <c r="J1142" s="98" t="s">
        <v>1705</v>
      </c>
      <c r="K1142" s="98" t="s">
        <v>1706</v>
      </c>
    </row>
    <row r="1143" customFormat="false" ht="64" hidden="false" customHeight="true" outlineLevel="0" collapsed="false">
      <c r="C1143" s="98" t="s">
        <v>2900</v>
      </c>
      <c r="D1143" s="98" t="s">
        <v>1744</v>
      </c>
      <c r="E1143" s="98" t="s">
        <v>835</v>
      </c>
      <c r="F1143" s="98" t="n">
        <v>0.045</v>
      </c>
      <c r="G1143" s="98" t="s">
        <v>2875</v>
      </c>
      <c r="H1143" s="98" t="s">
        <v>2250</v>
      </c>
      <c r="I1143" s="98" t="s">
        <v>1704</v>
      </c>
      <c r="J1143" s="98" t="s">
        <v>1705</v>
      </c>
      <c r="K1143" s="98" t="s">
        <v>1706</v>
      </c>
    </row>
    <row r="1144" customFormat="false" ht="64" hidden="false" customHeight="true" outlineLevel="0" collapsed="false">
      <c r="C1144" s="98" t="s">
        <v>2901</v>
      </c>
      <c r="D1144" s="98" t="s">
        <v>1746</v>
      </c>
      <c r="E1144" s="98" t="s">
        <v>835</v>
      </c>
      <c r="F1144" s="98" t="n">
        <v>0.045</v>
      </c>
      <c r="G1144" s="98" t="s">
        <v>2875</v>
      </c>
      <c r="H1144" s="98" t="s">
        <v>2250</v>
      </c>
      <c r="I1144" s="98" t="s">
        <v>1704</v>
      </c>
      <c r="J1144" s="98" t="s">
        <v>1705</v>
      </c>
      <c r="K1144" s="98" t="s">
        <v>1706</v>
      </c>
    </row>
    <row r="1145" customFormat="false" ht="64" hidden="false" customHeight="true" outlineLevel="0" collapsed="false">
      <c r="C1145" s="98" t="s">
        <v>2902</v>
      </c>
      <c r="D1145" s="98" t="s">
        <v>1748</v>
      </c>
      <c r="E1145" s="98" t="s">
        <v>835</v>
      </c>
      <c r="F1145" s="98" t="n">
        <v>0.045</v>
      </c>
      <c r="G1145" s="98" t="s">
        <v>2875</v>
      </c>
      <c r="H1145" s="98" t="s">
        <v>2250</v>
      </c>
      <c r="I1145" s="98" t="s">
        <v>1704</v>
      </c>
      <c r="J1145" s="98" t="s">
        <v>1705</v>
      </c>
      <c r="K1145" s="98" t="s">
        <v>1706</v>
      </c>
    </row>
    <row r="1146" customFormat="false" ht="64" hidden="false" customHeight="true" outlineLevel="0" collapsed="false">
      <c r="C1146" s="98" t="s">
        <v>2903</v>
      </c>
      <c r="D1146" s="98" t="s">
        <v>1750</v>
      </c>
      <c r="E1146" s="98" t="s">
        <v>835</v>
      </c>
      <c r="F1146" s="98" t="n">
        <v>0.045</v>
      </c>
      <c r="G1146" s="98" t="s">
        <v>2875</v>
      </c>
      <c r="H1146" s="98" t="s">
        <v>2250</v>
      </c>
      <c r="I1146" s="98" t="s">
        <v>1704</v>
      </c>
      <c r="J1146" s="98" t="s">
        <v>1705</v>
      </c>
      <c r="K1146" s="98" t="s">
        <v>1706</v>
      </c>
    </row>
    <row r="1147" customFormat="false" ht="64" hidden="false" customHeight="true" outlineLevel="0" collapsed="false">
      <c r="C1147" s="98" t="s">
        <v>2904</v>
      </c>
      <c r="D1147" s="98" t="s">
        <v>1752</v>
      </c>
      <c r="E1147" s="98" t="s">
        <v>835</v>
      </c>
      <c r="F1147" s="98" t="n">
        <v>0.045</v>
      </c>
      <c r="G1147" s="98" t="s">
        <v>2875</v>
      </c>
      <c r="H1147" s="98" t="s">
        <v>2250</v>
      </c>
      <c r="I1147" s="98" t="s">
        <v>1704</v>
      </c>
      <c r="J1147" s="98" t="s">
        <v>1705</v>
      </c>
      <c r="K1147" s="98" t="s">
        <v>1706</v>
      </c>
    </row>
    <row r="1148" customFormat="false" ht="64" hidden="false" customHeight="true" outlineLevel="0" collapsed="false">
      <c r="C1148" s="98" t="s">
        <v>2905</v>
      </c>
      <c r="D1148" s="98" t="s">
        <v>1754</v>
      </c>
      <c r="E1148" s="98" t="s">
        <v>835</v>
      </c>
      <c r="F1148" s="98" t="n">
        <v>0.045</v>
      </c>
      <c r="G1148" s="98" t="s">
        <v>2875</v>
      </c>
      <c r="H1148" s="98" t="s">
        <v>2250</v>
      </c>
      <c r="I1148" s="98" t="s">
        <v>1704</v>
      </c>
      <c r="J1148" s="98" t="s">
        <v>1705</v>
      </c>
      <c r="K1148" s="98" t="s">
        <v>1706</v>
      </c>
    </row>
    <row r="1149" customFormat="false" ht="64" hidden="false" customHeight="true" outlineLevel="0" collapsed="false">
      <c r="C1149" s="98" t="s">
        <v>2906</v>
      </c>
      <c r="D1149" s="98" t="s">
        <v>1756</v>
      </c>
      <c r="E1149" s="98" t="s">
        <v>835</v>
      </c>
      <c r="F1149" s="98" t="n">
        <v>0.045</v>
      </c>
      <c r="G1149" s="98" t="s">
        <v>2875</v>
      </c>
      <c r="H1149" s="98" t="s">
        <v>2250</v>
      </c>
      <c r="I1149" s="98" t="s">
        <v>1704</v>
      </c>
      <c r="J1149" s="98" t="s">
        <v>1705</v>
      </c>
      <c r="K1149" s="98" t="s">
        <v>1706</v>
      </c>
    </row>
    <row r="1150" customFormat="false" ht="64" hidden="false" customHeight="true" outlineLevel="0" collapsed="false">
      <c r="C1150" s="98" t="s">
        <v>2907</v>
      </c>
      <c r="D1150" s="98" t="s">
        <v>1758</v>
      </c>
      <c r="E1150" s="98" t="s">
        <v>835</v>
      </c>
      <c r="F1150" s="98" t="n">
        <v>0.045</v>
      </c>
      <c r="G1150" s="98" t="s">
        <v>2875</v>
      </c>
      <c r="H1150" s="98" t="s">
        <v>2250</v>
      </c>
      <c r="I1150" s="98" t="s">
        <v>1704</v>
      </c>
      <c r="J1150" s="98" t="s">
        <v>1705</v>
      </c>
      <c r="K1150" s="98" t="s">
        <v>1706</v>
      </c>
    </row>
    <row r="1151" customFormat="false" ht="64" hidden="false" customHeight="true" outlineLevel="0" collapsed="false">
      <c r="C1151" s="98" t="s">
        <v>2908</v>
      </c>
      <c r="D1151" s="98" t="s">
        <v>1760</v>
      </c>
      <c r="E1151" s="98" t="s">
        <v>835</v>
      </c>
      <c r="F1151" s="98" t="n">
        <v>0.045</v>
      </c>
      <c r="G1151" s="98" t="s">
        <v>2875</v>
      </c>
      <c r="H1151" s="98" t="s">
        <v>2250</v>
      </c>
      <c r="I1151" s="98" t="s">
        <v>1704</v>
      </c>
      <c r="J1151" s="98" t="s">
        <v>1705</v>
      </c>
      <c r="K1151" s="98" t="s">
        <v>1706</v>
      </c>
    </row>
    <row r="1152" customFormat="false" ht="64" hidden="false" customHeight="true" outlineLevel="0" collapsed="false">
      <c r="C1152" s="98" t="s">
        <v>2909</v>
      </c>
      <c r="D1152" s="98" t="s">
        <v>1762</v>
      </c>
      <c r="E1152" s="98" t="s">
        <v>835</v>
      </c>
      <c r="F1152" s="98" t="n">
        <v>0.045</v>
      </c>
      <c r="G1152" s="98" t="s">
        <v>2875</v>
      </c>
      <c r="H1152" s="98" t="s">
        <v>2250</v>
      </c>
      <c r="I1152" s="98" t="s">
        <v>1704</v>
      </c>
      <c r="J1152" s="98" t="s">
        <v>1705</v>
      </c>
      <c r="K1152" s="98" t="s">
        <v>1706</v>
      </c>
    </row>
    <row r="1153" customFormat="false" ht="64" hidden="false" customHeight="true" outlineLevel="0" collapsed="false">
      <c r="C1153" s="98" t="s">
        <v>2910</v>
      </c>
      <c r="D1153" s="98" t="s">
        <v>1764</v>
      </c>
      <c r="E1153" s="98" t="s">
        <v>835</v>
      </c>
      <c r="F1153" s="98" t="n">
        <v>0.045</v>
      </c>
      <c r="G1153" s="98" t="s">
        <v>2875</v>
      </c>
      <c r="H1153" s="98" t="s">
        <v>2250</v>
      </c>
      <c r="I1153" s="98" t="s">
        <v>1704</v>
      </c>
      <c r="J1153" s="98" t="s">
        <v>1705</v>
      </c>
      <c r="K1153" s="98" t="s">
        <v>1706</v>
      </c>
    </row>
    <row r="1154" customFormat="false" ht="64" hidden="false" customHeight="true" outlineLevel="0" collapsed="false">
      <c r="C1154" s="98" t="s">
        <v>2911</v>
      </c>
      <c r="D1154" s="98" t="s">
        <v>1829</v>
      </c>
      <c r="E1154" s="98" t="s">
        <v>811</v>
      </c>
      <c r="F1154" s="98" t="n">
        <v>43.762172146</v>
      </c>
      <c r="G1154" s="98" t="s">
        <v>2912</v>
      </c>
      <c r="H1154" s="98" t="s">
        <v>1703</v>
      </c>
      <c r="I1154" s="98" t="s">
        <v>1704</v>
      </c>
      <c r="J1154" s="98" t="s">
        <v>1705</v>
      </c>
      <c r="K1154" s="98" t="s">
        <v>1706</v>
      </c>
    </row>
    <row r="1155" customFormat="false" ht="64" hidden="false" customHeight="true" outlineLevel="0" collapsed="false">
      <c r="C1155" s="98" t="s">
        <v>2913</v>
      </c>
      <c r="D1155" s="98" t="s">
        <v>1833</v>
      </c>
      <c r="E1155" s="98" t="s">
        <v>811</v>
      </c>
      <c r="F1155" s="98" t="n">
        <v>43.762172146</v>
      </c>
      <c r="G1155" s="98" t="s">
        <v>2912</v>
      </c>
      <c r="H1155" s="98" t="s">
        <v>1703</v>
      </c>
      <c r="I1155" s="98" t="s">
        <v>1704</v>
      </c>
      <c r="J1155" s="98" t="s">
        <v>1705</v>
      </c>
      <c r="K1155" s="98" t="s">
        <v>1706</v>
      </c>
    </row>
    <row r="1156" customFormat="false" ht="64" hidden="false" customHeight="true" outlineLevel="0" collapsed="false">
      <c r="C1156" s="98" t="s">
        <v>2914</v>
      </c>
      <c r="D1156" s="98" t="s">
        <v>1835</v>
      </c>
      <c r="E1156" s="98" t="s">
        <v>811</v>
      </c>
      <c r="F1156" s="98" t="n">
        <v>43.762172146</v>
      </c>
      <c r="G1156" s="98" t="s">
        <v>2912</v>
      </c>
      <c r="H1156" s="98" t="s">
        <v>1703</v>
      </c>
      <c r="I1156" s="98" t="s">
        <v>1704</v>
      </c>
      <c r="J1156" s="98" t="s">
        <v>1705</v>
      </c>
      <c r="K1156" s="98" t="s">
        <v>1706</v>
      </c>
    </row>
    <row r="1157" customFormat="false" ht="64" hidden="false" customHeight="true" outlineLevel="0" collapsed="false">
      <c r="C1157" s="98" t="s">
        <v>2915</v>
      </c>
      <c r="D1157" s="98" t="s">
        <v>1044</v>
      </c>
      <c r="E1157" s="98" t="s">
        <v>811</v>
      </c>
      <c r="F1157" s="98" t="n">
        <v>43.762172146</v>
      </c>
      <c r="G1157" s="98" t="s">
        <v>2912</v>
      </c>
      <c r="H1157" s="98" t="s">
        <v>1703</v>
      </c>
      <c r="I1157" s="98" t="s">
        <v>1704</v>
      </c>
      <c r="J1157" s="98" t="s">
        <v>1705</v>
      </c>
      <c r="K1157" s="98" t="s">
        <v>1706</v>
      </c>
    </row>
    <row r="1158" customFormat="false" ht="64" hidden="false" customHeight="true" outlineLevel="0" collapsed="false">
      <c r="C1158" s="98" t="s">
        <v>2916</v>
      </c>
      <c r="D1158" s="98" t="s">
        <v>1838</v>
      </c>
      <c r="E1158" s="98" t="s">
        <v>811</v>
      </c>
      <c r="F1158" s="98" t="n">
        <v>43.762172146</v>
      </c>
      <c r="G1158" s="98" t="s">
        <v>2912</v>
      </c>
      <c r="H1158" s="98" t="s">
        <v>1703</v>
      </c>
      <c r="I1158" s="98" t="s">
        <v>1704</v>
      </c>
      <c r="J1158" s="98" t="s">
        <v>1705</v>
      </c>
      <c r="K1158" s="98" t="s">
        <v>1706</v>
      </c>
    </row>
    <row r="1159" customFormat="false" ht="64" hidden="false" customHeight="true" outlineLevel="0" collapsed="false">
      <c r="C1159" s="98" t="s">
        <v>2917</v>
      </c>
      <c r="D1159" s="98" t="s">
        <v>1840</v>
      </c>
      <c r="E1159" s="98" t="s">
        <v>811</v>
      </c>
      <c r="F1159" s="98" t="n">
        <v>43.762172146</v>
      </c>
      <c r="G1159" s="98" t="s">
        <v>2912</v>
      </c>
      <c r="H1159" s="98" t="s">
        <v>1703</v>
      </c>
      <c r="I1159" s="98" t="s">
        <v>1704</v>
      </c>
      <c r="J1159" s="98" t="s">
        <v>1705</v>
      </c>
      <c r="K1159" s="98" t="s">
        <v>1706</v>
      </c>
    </row>
    <row r="1160" customFormat="false" ht="64" hidden="false" customHeight="true" outlineLevel="0" collapsed="false">
      <c r="C1160" s="98" t="s">
        <v>2918</v>
      </c>
      <c r="D1160" s="98" t="s">
        <v>1700</v>
      </c>
      <c r="E1160" s="98" t="s">
        <v>811</v>
      </c>
      <c r="F1160" s="98" t="n">
        <v>43.762172146</v>
      </c>
      <c r="G1160" s="98" t="s">
        <v>2912</v>
      </c>
      <c r="H1160" s="98" t="s">
        <v>1703</v>
      </c>
      <c r="I1160" s="98" t="s">
        <v>1704</v>
      </c>
      <c r="J1160" s="98" t="s">
        <v>1705</v>
      </c>
      <c r="K1160" s="98" t="s">
        <v>1706</v>
      </c>
    </row>
    <row r="1161" customFormat="false" ht="64" hidden="false" customHeight="true" outlineLevel="0" collapsed="false">
      <c r="C1161" s="98" t="s">
        <v>2919</v>
      </c>
      <c r="D1161" s="98" t="s">
        <v>1708</v>
      </c>
      <c r="E1161" s="98" t="s">
        <v>811</v>
      </c>
      <c r="F1161" s="98" t="n">
        <v>43.762172146</v>
      </c>
      <c r="G1161" s="98" t="s">
        <v>2912</v>
      </c>
      <c r="H1161" s="98" t="s">
        <v>1703</v>
      </c>
      <c r="I1161" s="98" t="s">
        <v>1704</v>
      </c>
      <c r="J1161" s="98" t="s">
        <v>1705</v>
      </c>
      <c r="K1161" s="98" t="s">
        <v>1706</v>
      </c>
    </row>
    <row r="1162" customFormat="false" ht="64" hidden="false" customHeight="true" outlineLevel="0" collapsed="false">
      <c r="C1162" s="98" t="s">
        <v>2920</v>
      </c>
      <c r="D1162" s="98" t="s">
        <v>1710</v>
      </c>
      <c r="E1162" s="98" t="s">
        <v>811</v>
      </c>
      <c r="F1162" s="98" t="n">
        <v>43.762172146</v>
      </c>
      <c r="G1162" s="98" t="s">
        <v>2912</v>
      </c>
      <c r="H1162" s="98" t="s">
        <v>1703</v>
      </c>
      <c r="I1162" s="98" t="s">
        <v>1704</v>
      </c>
      <c r="J1162" s="98" t="s">
        <v>1705</v>
      </c>
      <c r="K1162" s="98" t="s">
        <v>1706</v>
      </c>
    </row>
    <row r="1163" customFormat="false" ht="64" hidden="false" customHeight="true" outlineLevel="0" collapsed="false">
      <c r="C1163" s="98" t="s">
        <v>2921</v>
      </c>
      <c r="D1163" s="98" t="s">
        <v>1712</v>
      </c>
      <c r="E1163" s="98" t="s">
        <v>811</v>
      </c>
      <c r="F1163" s="98" t="n">
        <v>43.762172146</v>
      </c>
      <c r="G1163" s="98" t="s">
        <v>2912</v>
      </c>
      <c r="H1163" s="98" t="s">
        <v>1703</v>
      </c>
      <c r="I1163" s="98" t="s">
        <v>1704</v>
      </c>
      <c r="J1163" s="98" t="s">
        <v>1705</v>
      </c>
      <c r="K1163" s="98" t="s">
        <v>1706</v>
      </c>
    </row>
    <row r="1164" customFormat="false" ht="64" hidden="false" customHeight="true" outlineLevel="0" collapsed="false">
      <c r="C1164" s="98" t="s">
        <v>2922</v>
      </c>
      <c r="D1164" s="98" t="s">
        <v>1714</v>
      </c>
      <c r="E1164" s="98" t="s">
        <v>811</v>
      </c>
      <c r="F1164" s="98" t="n">
        <v>43.762172146</v>
      </c>
      <c r="G1164" s="98" t="s">
        <v>2912</v>
      </c>
      <c r="H1164" s="98" t="s">
        <v>1703</v>
      </c>
      <c r="I1164" s="98" t="s">
        <v>1704</v>
      </c>
      <c r="J1164" s="98" t="s">
        <v>1705</v>
      </c>
      <c r="K1164" s="98" t="s">
        <v>1706</v>
      </c>
    </row>
    <row r="1165" customFormat="false" ht="64" hidden="false" customHeight="true" outlineLevel="0" collapsed="false">
      <c r="C1165" s="98" t="s">
        <v>2923</v>
      </c>
      <c r="D1165" s="98" t="s">
        <v>1716</v>
      </c>
      <c r="E1165" s="98" t="s">
        <v>811</v>
      </c>
      <c r="F1165" s="98" t="n">
        <v>43.762172146</v>
      </c>
      <c r="G1165" s="98" t="s">
        <v>2912</v>
      </c>
      <c r="H1165" s="98" t="s">
        <v>1703</v>
      </c>
      <c r="I1165" s="98" t="s">
        <v>1704</v>
      </c>
      <c r="J1165" s="98" t="s">
        <v>1705</v>
      </c>
      <c r="K1165" s="98" t="s">
        <v>1706</v>
      </c>
    </row>
    <row r="1166" customFormat="false" ht="64" hidden="false" customHeight="true" outlineLevel="0" collapsed="false">
      <c r="C1166" s="98" t="s">
        <v>2924</v>
      </c>
      <c r="D1166" s="98" t="s">
        <v>1718</v>
      </c>
      <c r="E1166" s="98" t="s">
        <v>811</v>
      </c>
      <c r="F1166" s="98" t="n">
        <v>45.9502807533</v>
      </c>
      <c r="G1166" s="98" t="s">
        <v>2912</v>
      </c>
      <c r="H1166" s="98" t="s">
        <v>1703</v>
      </c>
      <c r="I1166" s="98" t="s">
        <v>1704</v>
      </c>
      <c r="J1166" s="98" t="s">
        <v>1705</v>
      </c>
      <c r="K1166" s="98" t="s">
        <v>1706</v>
      </c>
    </row>
    <row r="1167" customFormat="false" ht="64" hidden="false" customHeight="true" outlineLevel="0" collapsed="false">
      <c r="C1167" s="98" t="s">
        <v>2925</v>
      </c>
      <c r="D1167" s="98" t="s">
        <v>1720</v>
      </c>
      <c r="E1167" s="98" t="s">
        <v>811</v>
      </c>
      <c r="F1167" s="98" t="n">
        <v>45.9502807533</v>
      </c>
      <c r="G1167" s="98" t="s">
        <v>2912</v>
      </c>
      <c r="H1167" s="98" t="s">
        <v>1703</v>
      </c>
      <c r="I1167" s="98" t="s">
        <v>1704</v>
      </c>
      <c r="J1167" s="98" t="s">
        <v>1705</v>
      </c>
      <c r="K1167" s="98" t="s">
        <v>1706</v>
      </c>
    </row>
    <row r="1168" customFormat="false" ht="64" hidden="false" customHeight="true" outlineLevel="0" collapsed="false">
      <c r="C1168" s="98" t="s">
        <v>2926</v>
      </c>
      <c r="D1168" s="98" t="s">
        <v>1722</v>
      </c>
      <c r="E1168" s="98" t="s">
        <v>811</v>
      </c>
      <c r="F1168" s="98" t="n">
        <v>45.9502807533</v>
      </c>
      <c r="G1168" s="98" t="s">
        <v>2912</v>
      </c>
      <c r="H1168" s="98" t="s">
        <v>1703</v>
      </c>
      <c r="I1168" s="98" t="s">
        <v>1704</v>
      </c>
      <c r="J1168" s="98" t="s">
        <v>1705</v>
      </c>
      <c r="K1168" s="98" t="s">
        <v>1706</v>
      </c>
    </row>
    <row r="1169" customFormat="false" ht="64" hidden="false" customHeight="true" outlineLevel="0" collapsed="false">
      <c r="C1169" s="98" t="s">
        <v>2927</v>
      </c>
      <c r="D1169" s="98" t="s">
        <v>1724</v>
      </c>
      <c r="E1169" s="98" t="s">
        <v>811</v>
      </c>
      <c r="F1169" s="98" t="n">
        <v>45.9502807533</v>
      </c>
      <c r="G1169" s="98" t="s">
        <v>2912</v>
      </c>
      <c r="H1169" s="98" t="s">
        <v>1703</v>
      </c>
      <c r="I1169" s="98" t="s">
        <v>1704</v>
      </c>
      <c r="J1169" s="98" t="s">
        <v>1705</v>
      </c>
      <c r="K1169" s="98" t="s">
        <v>1706</v>
      </c>
    </row>
    <row r="1170" customFormat="false" ht="64" hidden="false" customHeight="true" outlineLevel="0" collapsed="false">
      <c r="C1170" s="98" t="s">
        <v>2928</v>
      </c>
      <c r="D1170" s="98" t="s">
        <v>1726</v>
      </c>
      <c r="E1170" s="98" t="s">
        <v>811</v>
      </c>
      <c r="F1170" s="98" t="n">
        <v>45.9502807533</v>
      </c>
      <c r="G1170" s="98" t="s">
        <v>2912</v>
      </c>
      <c r="H1170" s="98" t="s">
        <v>1703</v>
      </c>
      <c r="I1170" s="98" t="s">
        <v>1704</v>
      </c>
      <c r="J1170" s="98" t="s">
        <v>1705</v>
      </c>
      <c r="K1170" s="98" t="s">
        <v>1706</v>
      </c>
    </row>
    <row r="1171" customFormat="false" ht="64" hidden="false" customHeight="true" outlineLevel="0" collapsed="false">
      <c r="C1171" s="98" t="s">
        <v>2929</v>
      </c>
      <c r="D1171" s="98" t="s">
        <v>1728</v>
      </c>
      <c r="E1171" s="98" t="s">
        <v>811</v>
      </c>
      <c r="F1171" s="98" t="n">
        <v>45.9502807533</v>
      </c>
      <c r="G1171" s="98" t="s">
        <v>2912</v>
      </c>
      <c r="H1171" s="98" t="s">
        <v>1703</v>
      </c>
      <c r="I1171" s="98" t="s">
        <v>1704</v>
      </c>
      <c r="J1171" s="98" t="s">
        <v>1705</v>
      </c>
      <c r="K1171" s="98" t="s">
        <v>1706</v>
      </c>
    </row>
    <row r="1172" customFormat="false" ht="64" hidden="false" customHeight="true" outlineLevel="0" collapsed="false">
      <c r="C1172" s="98" t="s">
        <v>2930</v>
      </c>
      <c r="D1172" s="98" t="s">
        <v>1730</v>
      </c>
      <c r="E1172" s="98" t="s">
        <v>811</v>
      </c>
      <c r="F1172" s="98" t="n">
        <v>45.9502807533</v>
      </c>
      <c r="G1172" s="98" t="s">
        <v>2912</v>
      </c>
      <c r="H1172" s="98" t="s">
        <v>1703</v>
      </c>
      <c r="I1172" s="98" t="s">
        <v>1704</v>
      </c>
      <c r="J1172" s="98" t="s">
        <v>1705</v>
      </c>
      <c r="K1172" s="98" t="s">
        <v>1706</v>
      </c>
    </row>
    <row r="1173" customFormat="false" ht="64" hidden="false" customHeight="true" outlineLevel="0" collapsed="false">
      <c r="C1173" s="98" t="s">
        <v>2931</v>
      </c>
      <c r="D1173" s="98" t="s">
        <v>1732</v>
      </c>
      <c r="E1173" s="98" t="s">
        <v>811</v>
      </c>
      <c r="F1173" s="98" t="n">
        <v>45.9502807533</v>
      </c>
      <c r="G1173" s="98" t="s">
        <v>2912</v>
      </c>
      <c r="H1173" s="98" t="s">
        <v>1703</v>
      </c>
      <c r="I1173" s="98" t="s">
        <v>1704</v>
      </c>
      <c r="J1173" s="98" t="s">
        <v>1705</v>
      </c>
      <c r="K1173" s="98" t="s">
        <v>1706</v>
      </c>
    </row>
    <row r="1174" customFormat="false" ht="64" hidden="false" customHeight="true" outlineLevel="0" collapsed="false">
      <c r="C1174" s="98" t="s">
        <v>2932</v>
      </c>
      <c r="D1174" s="98" t="s">
        <v>1734</v>
      </c>
      <c r="E1174" s="98" t="s">
        <v>811</v>
      </c>
      <c r="F1174" s="98" t="n">
        <v>45.9502807533</v>
      </c>
      <c r="G1174" s="98" t="s">
        <v>2912</v>
      </c>
      <c r="H1174" s="98" t="s">
        <v>1703</v>
      </c>
      <c r="I1174" s="98" t="s">
        <v>1704</v>
      </c>
      <c r="J1174" s="98" t="s">
        <v>1705</v>
      </c>
      <c r="K1174" s="98" t="s">
        <v>1706</v>
      </c>
    </row>
    <row r="1175" customFormat="false" ht="64" hidden="false" customHeight="true" outlineLevel="0" collapsed="false">
      <c r="C1175" s="98" t="s">
        <v>2933</v>
      </c>
      <c r="D1175" s="98" t="s">
        <v>1736</v>
      </c>
      <c r="E1175" s="98" t="s">
        <v>811</v>
      </c>
      <c r="F1175" s="98" t="n">
        <v>45.9502807533</v>
      </c>
      <c r="G1175" s="98" t="s">
        <v>2912</v>
      </c>
      <c r="H1175" s="98" t="s">
        <v>1703</v>
      </c>
      <c r="I1175" s="98" t="s">
        <v>1704</v>
      </c>
      <c r="J1175" s="98" t="s">
        <v>1705</v>
      </c>
      <c r="K1175" s="98" t="s">
        <v>1706</v>
      </c>
    </row>
    <row r="1176" customFormat="false" ht="64" hidden="false" customHeight="true" outlineLevel="0" collapsed="false">
      <c r="C1176" s="98" t="s">
        <v>2934</v>
      </c>
      <c r="D1176" s="98" t="s">
        <v>1738</v>
      </c>
      <c r="E1176" s="98" t="s">
        <v>811</v>
      </c>
      <c r="F1176" s="98" t="n">
        <v>45.9502807533</v>
      </c>
      <c r="G1176" s="98" t="s">
        <v>2912</v>
      </c>
      <c r="H1176" s="98" t="s">
        <v>1703</v>
      </c>
      <c r="I1176" s="98" t="s">
        <v>1704</v>
      </c>
      <c r="J1176" s="98" t="s">
        <v>1705</v>
      </c>
      <c r="K1176" s="98" t="s">
        <v>1706</v>
      </c>
    </row>
    <row r="1177" customFormat="false" ht="64" hidden="false" customHeight="true" outlineLevel="0" collapsed="false">
      <c r="C1177" s="98" t="s">
        <v>2935</v>
      </c>
      <c r="D1177" s="98" t="s">
        <v>1740</v>
      </c>
      <c r="E1177" s="98" t="s">
        <v>811</v>
      </c>
      <c r="F1177" s="98" t="n">
        <v>45.9502807533</v>
      </c>
      <c r="G1177" s="98" t="s">
        <v>2912</v>
      </c>
      <c r="H1177" s="98" t="s">
        <v>1703</v>
      </c>
      <c r="I1177" s="98" t="s">
        <v>1704</v>
      </c>
      <c r="J1177" s="98" t="s">
        <v>1705</v>
      </c>
      <c r="K1177" s="98" t="s">
        <v>1706</v>
      </c>
    </row>
    <row r="1178" customFormat="false" ht="64" hidden="false" customHeight="true" outlineLevel="0" collapsed="false">
      <c r="C1178" s="98" t="s">
        <v>2936</v>
      </c>
      <c r="D1178" s="98" t="s">
        <v>1742</v>
      </c>
      <c r="E1178" s="98" t="s">
        <v>811</v>
      </c>
      <c r="F1178" s="98" t="n">
        <v>48.247794790965</v>
      </c>
      <c r="G1178" s="98" t="s">
        <v>2912</v>
      </c>
      <c r="H1178" s="98" t="s">
        <v>1703</v>
      </c>
      <c r="I1178" s="98" t="s">
        <v>1704</v>
      </c>
      <c r="J1178" s="98" t="s">
        <v>1705</v>
      </c>
      <c r="K1178" s="98" t="s">
        <v>1706</v>
      </c>
    </row>
    <row r="1179" customFormat="false" ht="64" hidden="false" customHeight="true" outlineLevel="0" collapsed="false">
      <c r="C1179" s="98" t="s">
        <v>2937</v>
      </c>
      <c r="D1179" s="98" t="s">
        <v>1744</v>
      </c>
      <c r="E1179" s="98" t="s">
        <v>811</v>
      </c>
      <c r="F1179" s="98" t="n">
        <v>48.247794790965</v>
      </c>
      <c r="G1179" s="98" t="s">
        <v>2912</v>
      </c>
      <c r="H1179" s="98" t="s">
        <v>1703</v>
      </c>
      <c r="I1179" s="98" t="s">
        <v>1704</v>
      </c>
      <c r="J1179" s="98" t="s">
        <v>1705</v>
      </c>
      <c r="K1179" s="98" t="s">
        <v>1706</v>
      </c>
    </row>
    <row r="1180" customFormat="false" ht="64" hidden="false" customHeight="true" outlineLevel="0" collapsed="false">
      <c r="C1180" s="98" t="s">
        <v>2938</v>
      </c>
      <c r="D1180" s="98" t="s">
        <v>1746</v>
      </c>
      <c r="E1180" s="98" t="s">
        <v>811</v>
      </c>
      <c r="F1180" s="98" t="n">
        <v>48.247794790965</v>
      </c>
      <c r="G1180" s="98" t="s">
        <v>2912</v>
      </c>
      <c r="H1180" s="98" t="s">
        <v>1703</v>
      </c>
      <c r="I1180" s="98" t="s">
        <v>1704</v>
      </c>
      <c r="J1180" s="98" t="s">
        <v>1705</v>
      </c>
      <c r="K1180" s="98" t="s">
        <v>1706</v>
      </c>
    </row>
    <row r="1181" customFormat="false" ht="64" hidden="false" customHeight="true" outlineLevel="0" collapsed="false">
      <c r="C1181" s="98" t="s">
        <v>2939</v>
      </c>
      <c r="D1181" s="98" t="s">
        <v>1748</v>
      </c>
      <c r="E1181" s="98" t="s">
        <v>811</v>
      </c>
      <c r="F1181" s="98" t="n">
        <v>48.247794790965</v>
      </c>
      <c r="G1181" s="98" t="s">
        <v>2912</v>
      </c>
      <c r="H1181" s="98" t="s">
        <v>1703</v>
      </c>
      <c r="I1181" s="98" t="s">
        <v>1704</v>
      </c>
      <c r="J1181" s="98" t="s">
        <v>1705</v>
      </c>
      <c r="K1181" s="98" t="s">
        <v>1706</v>
      </c>
    </row>
    <row r="1182" customFormat="false" ht="64" hidden="false" customHeight="true" outlineLevel="0" collapsed="false">
      <c r="C1182" s="98" t="s">
        <v>2940</v>
      </c>
      <c r="D1182" s="98" t="s">
        <v>1750</v>
      </c>
      <c r="E1182" s="98" t="s">
        <v>811</v>
      </c>
      <c r="F1182" s="98" t="n">
        <v>48.247794790965</v>
      </c>
      <c r="G1182" s="98" t="s">
        <v>2912</v>
      </c>
      <c r="H1182" s="98" t="s">
        <v>1703</v>
      </c>
      <c r="I1182" s="98" t="s">
        <v>1704</v>
      </c>
      <c r="J1182" s="98" t="s">
        <v>1705</v>
      </c>
      <c r="K1182" s="98" t="s">
        <v>1706</v>
      </c>
    </row>
    <row r="1183" customFormat="false" ht="64" hidden="false" customHeight="true" outlineLevel="0" collapsed="false">
      <c r="C1183" s="98" t="s">
        <v>2941</v>
      </c>
      <c r="D1183" s="98" t="s">
        <v>1752</v>
      </c>
      <c r="E1183" s="98" t="s">
        <v>811</v>
      </c>
      <c r="F1183" s="98" t="n">
        <v>48.247794790965</v>
      </c>
      <c r="G1183" s="98" t="s">
        <v>2912</v>
      </c>
      <c r="H1183" s="98" t="s">
        <v>1703</v>
      </c>
      <c r="I1183" s="98" t="s">
        <v>1704</v>
      </c>
      <c r="J1183" s="98" t="s">
        <v>1705</v>
      </c>
      <c r="K1183" s="98" t="s">
        <v>1706</v>
      </c>
    </row>
    <row r="1184" customFormat="false" ht="64" hidden="false" customHeight="true" outlineLevel="0" collapsed="false">
      <c r="C1184" s="98" t="s">
        <v>2942</v>
      </c>
      <c r="D1184" s="98" t="s">
        <v>1754</v>
      </c>
      <c r="E1184" s="98" t="s">
        <v>811</v>
      </c>
      <c r="F1184" s="98" t="n">
        <v>48.247794790965</v>
      </c>
      <c r="G1184" s="98" t="s">
        <v>2912</v>
      </c>
      <c r="H1184" s="98" t="s">
        <v>1703</v>
      </c>
      <c r="I1184" s="98" t="s">
        <v>1704</v>
      </c>
      <c r="J1184" s="98" t="s">
        <v>1705</v>
      </c>
      <c r="K1184" s="98" t="s">
        <v>1706</v>
      </c>
    </row>
    <row r="1185" customFormat="false" ht="64" hidden="false" customHeight="true" outlineLevel="0" collapsed="false">
      <c r="C1185" s="98" t="s">
        <v>2943</v>
      </c>
      <c r="D1185" s="98" t="s">
        <v>1756</v>
      </c>
      <c r="E1185" s="98" t="s">
        <v>811</v>
      </c>
      <c r="F1185" s="98" t="n">
        <v>48.247794790965</v>
      </c>
      <c r="G1185" s="98" t="s">
        <v>2912</v>
      </c>
      <c r="H1185" s="98" t="s">
        <v>1703</v>
      </c>
      <c r="I1185" s="98" t="s">
        <v>1704</v>
      </c>
      <c r="J1185" s="98" t="s">
        <v>1705</v>
      </c>
      <c r="K1185" s="98" t="s">
        <v>1706</v>
      </c>
    </row>
    <row r="1186" customFormat="false" ht="64" hidden="false" customHeight="true" outlineLevel="0" collapsed="false">
      <c r="C1186" s="98" t="s">
        <v>2944</v>
      </c>
      <c r="D1186" s="98" t="s">
        <v>1758</v>
      </c>
      <c r="E1186" s="98" t="s">
        <v>811</v>
      </c>
      <c r="F1186" s="98" t="n">
        <v>48.247794790965</v>
      </c>
      <c r="G1186" s="98" t="s">
        <v>2912</v>
      </c>
      <c r="H1186" s="98" t="s">
        <v>1703</v>
      </c>
      <c r="I1186" s="98" t="s">
        <v>1704</v>
      </c>
      <c r="J1186" s="98" t="s">
        <v>1705</v>
      </c>
      <c r="K1186" s="98" t="s">
        <v>1706</v>
      </c>
    </row>
    <row r="1187" customFormat="false" ht="64" hidden="false" customHeight="true" outlineLevel="0" collapsed="false">
      <c r="C1187" s="98" t="s">
        <v>2945</v>
      </c>
      <c r="D1187" s="98" t="s">
        <v>1760</v>
      </c>
      <c r="E1187" s="98" t="s">
        <v>811</v>
      </c>
      <c r="F1187" s="98" t="n">
        <v>48.247794790965</v>
      </c>
      <c r="G1187" s="98" t="s">
        <v>2912</v>
      </c>
      <c r="H1187" s="98" t="s">
        <v>1703</v>
      </c>
      <c r="I1187" s="98" t="s">
        <v>1704</v>
      </c>
      <c r="J1187" s="98" t="s">
        <v>1705</v>
      </c>
      <c r="K1187" s="98" t="s">
        <v>1706</v>
      </c>
    </row>
    <row r="1188" customFormat="false" ht="64" hidden="false" customHeight="true" outlineLevel="0" collapsed="false">
      <c r="C1188" s="98" t="s">
        <v>2946</v>
      </c>
      <c r="D1188" s="98" t="s">
        <v>1762</v>
      </c>
      <c r="E1188" s="98" t="s">
        <v>811</v>
      </c>
      <c r="F1188" s="98" t="n">
        <v>48.247794790965</v>
      </c>
      <c r="G1188" s="98" t="s">
        <v>2912</v>
      </c>
      <c r="H1188" s="98" t="s">
        <v>1703</v>
      </c>
      <c r="I1188" s="98" t="s">
        <v>1704</v>
      </c>
      <c r="J1188" s="98" t="s">
        <v>1705</v>
      </c>
      <c r="K1188" s="98" t="s">
        <v>1706</v>
      </c>
    </row>
    <row r="1189" customFormat="false" ht="64" hidden="false" customHeight="true" outlineLevel="0" collapsed="false">
      <c r="C1189" s="98" t="s">
        <v>2947</v>
      </c>
      <c r="D1189" s="98" t="s">
        <v>1764</v>
      </c>
      <c r="E1189" s="98" t="s">
        <v>811</v>
      </c>
      <c r="F1189" s="98" t="n">
        <v>48.247794790965</v>
      </c>
      <c r="G1189" s="98" t="s">
        <v>2912</v>
      </c>
      <c r="H1189" s="98" t="s">
        <v>1703</v>
      </c>
      <c r="I1189" s="98" t="s">
        <v>1704</v>
      </c>
      <c r="J1189" s="98" t="s">
        <v>1705</v>
      </c>
      <c r="K1189" s="98" t="s">
        <v>1706</v>
      </c>
    </row>
    <row r="1190" customFormat="false" ht="64" hidden="false" customHeight="true" outlineLevel="0" collapsed="false">
      <c r="C1190" s="98" t="s">
        <v>2948</v>
      </c>
      <c r="D1190" s="98" t="s">
        <v>1829</v>
      </c>
      <c r="E1190" s="98" t="s">
        <v>811</v>
      </c>
      <c r="F1190" s="98" t="n">
        <v>0</v>
      </c>
      <c r="G1190" s="98" t="s">
        <v>2949</v>
      </c>
      <c r="H1190" s="98" t="s">
        <v>1703</v>
      </c>
      <c r="I1190" s="98" t="s">
        <v>1704</v>
      </c>
      <c r="J1190" s="98" t="s">
        <v>1705</v>
      </c>
      <c r="K1190" s="98" t="s">
        <v>1706</v>
      </c>
    </row>
    <row r="1191" customFormat="false" ht="64" hidden="false" customHeight="true" outlineLevel="0" collapsed="false">
      <c r="C1191" s="98" t="s">
        <v>2950</v>
      </c>
      <c r="D1191" s="98" t="s">
        <v>1833</v>
      </c>
      <c r="E1191" s="98" t="s">
        <v>811</v>
      </c>
      <c r="F1191" s="98" t="n">
        <v>0</v>
      </c>
      <c r="G1191" s="98" t="s">
        <v>2949</v>
      </c>
      <c r="H1191" s="98" t="s">
        <v>1703</v>
      </c>
      <c r="I1191" s="98" t="s">
        <v>1704</v>
      </c>
      <c r="J1191" s="98" t="s">
        <v>1705</v>
      </c>
      <c r="K1191" s="98" t="s">
        <v>1706</v>
      </c>
    </row>
    <row r="1192" customFormat="false" ht="64" hidden="false" customHeight="true" outlineLevel="0" collapsed="false">
      <c r="C1192" s="98" t="s">
        <v>2951</v>
      </c>
      <c r="D1192" s="98" t="s">
        <v>1835</v>
      </c>
      <c r="E1192" s="98" t="s">
        <v>811</v>
      </c>
      <c r="F1192" s="98" t="n">
        <v>0</v>
      </c>
      <c r="G1192" s="98" t="s">
        <v>2949</v>
      </c>
      <c r="H1192" s="98" t="s">
        <v>1703</v>
      </c>
      <c r="I1192" s="98" t="s">
        <v>1704</v>
      </c>
      <c r="J1192" s="98" t="s">
        <v>1705</v>
      </c>
      <c r="K1192" s="98" t="s">
        <v>1706</v>
      </c>
    </row>
    <row r="1193" customFormat="false" ht="64" hidden="false" customHeight="true" outlineLevel="0" collapsed="false">
      <c r="C1193" s="98" t="s">
        <v>2952</v>
      </c>
      <c r="D1193" s="98" t="s">
        <v>1044</v>
      </c>
      <c r="E1193" s="98" t="s">
        <v>811</v>
      </c>
      <c r="F1193" s="98" t="n">
        <v>0</v>
      </c>
      <c r="G1193" s="98" t="s">
        <v>2949</v>
      </c>
      <c r="H1193" s="98" t="s">
        <v>1703</v>
      </c>
      <c r="I1193" s="98" t="s">
        <v>1704</v>
      </c>
      <c r="J1193" s="98" t="s">
        <v>1705</v>
      </c>
      <c r="K1193" s="98" t="s">
        <v>1706</v>
      </c>
    </row>
    <row r="1194" customFormat="false" ht="64" hidden="false" customHeight="true" outlineLevel="0" collapsed="false">
      <c r="C1194" s="98" t="s">
        <v>2953</v>
      </c>
      <c r="D1194" s="98" t="s">
        <v>1838</v>
      </c>
      <c r="E1194" s="98" t="s">
        <v>811</v>
      </c>
      <c r="F1194" s="98" t="n">
        <v>0</v>
      </c>
      <c r="G1194" s="98" t="s">
        <v>2949</v>
      </c>
      <c r="H1194" s="98" t="s">
        <v>1703</v>
      </c>
      <c r="I1194" s="98" t="s">
        <v>1704</v>
      </c>
      <c r="J1194" s="98" t="s">
        <v>1705</v>
      </c>
      <c r="K1194" s="98" t="s">
        <v>1706</v>
      </c>
    </row>
    <row r="1195" customFormat="false" ht="64" hidden="false" customHeight="true" outlineLevel="0" collapsed="false">
      <c r="C1195" s="98" t="s">
        <v>2954</v>
      </c>
      <c r="D1195" s="98" t="s">
        <v>1840</v>
      </c>
      <c r="E1195" s="98" t="s">
        <v>811</v>
      </c>
      <c r="F1195" s="98" t="n">
        <v>0</v>
      </c>
      <c r="G1195" s="98" t="s">
        <v>2949</v>
      </c>
      <c r="H1195" s="98" t="s">
        <v>1703</v>
      </c>
      <c r="I1195" s="98" t="s">
        <v>1704</v>
      </c>
      <c r="J1195" s="98" t="s">
        <v>1705</v>
      </c>
      <c r="K1195" s="98" t="s">
        <v>1706</v>
      </c>
    </row>
    <row r="1196" customFormat="false" ht="64" hidden="false" customHeight="true" outlineLevel="0" collapsed="false">
      <c r="C1196" s="98" t="s">
        <v>2955</v>
      </c>
      <c r="D1196" s="98" t="s">
        <v>1700</v>
      </c>
      <c r="E1196" s="98" t="s">
        <v>811</v>
      </c>
      <c r="F1196" s="98" t="n">
        <v>0</v>
      </c>
      <c r="G1196" s="98" t="s">
        <v>2949</v>
      </c>
      <c r="H1196" s="98" t="s">
        <v>1703</v>
      </c>
      <c r="I1196" s="98" t="s">
        <v>1704</v>
      </c>
      <c r="J1196" s="98" t="s">
        <v>1705</v>
      </c>
      <c r="K1196" s="98" t="s">
        <v>1706</v>
      </c>
    </row>
    <row r="1197" customFormat="false" ht="64" hidden="false" customHeight="true" outlineLevel="0" collapsed="false">
      <c r="C1197" s="98" t="s">
        <v>2956</v>
      </c>
      <c r="D1197" s="98" t="s">
        <v>1708</v>
      </c>
      <c r="E1197" s="98" t="s">
        <v>811</v>
      </c>
      <c r="F1197" s="98" t="n">
        <v>0</v>
      </c>
      <c r="G1197" s="98" t="s">
        <v>2949</v>
      </c>
      <c r="H1197" s="98" t="s">
        <v>1703</v>
      </c>
      <c r="I1197" s="98" t="s">
        <v>1704</v>
      </c>
      <c r="J1197" s="98" t="s">
        <v>1705</v>
      </c>
      <c r="K1197" s="98" t="s">
        <v>1706</v>
      </c>
    </row>
    <row r="1198" customFormat="false" ht="64" hidden="false" customHeight="true" outlineLevel="0" collapsed="false">
      <c r="C1198" s="98" t="s">
        <v>2957</v>
      </c>
      <c r="D1198" s="98" t="s">
        <v>1710</v>
      </c>
      <c r="E1198" s="98" t="s">
        <v>811</v>
      </c>
      <c r="F1198" s="98" t="n">
        <v>0</v>
      </c>
      <c r="G1198" s="98" t="s">
        <v>2949</v>
      </c>
      <c r="H1198" s="98" t="s">
        <v>1703</v>
      </c>
      <c r="I1198" s="98" t="s">
        <v>1704</v>
      </c>
      <c r="J1198" s="98" t="s">
        <v>1705</v>
      </c>
      <c r="K1198" s="98" t="s">
        <v>1706</v>
      </c>
    </row>
    <row r="1199" customFormat="false" ht="64" hidden="false" customHeight="true" outlineLevel="0" collapsed="false">
      <c r="C1199" s="98" t="s">
        <v>2958</v>
      </c>
      <c r="D1199" s="98" t="s">
        <v>1712</v>
      </c>
      <c r="E1199" s="98" t="s">
        <v>811</v>
      </c>
      <c r="F1199" s="98" t="n">
        <v>0</v>
      </c>
      <c r="G1199" s="98" t="s">
        <v>2949</v>
      </c>
      <c r="H1199" s="98" t="s">
        <v>1703</v>
      </c>
      <c r="I1199" s="98" t="s">
        <v>1704</v>
      </c>
      <c r="J1199" s="98" t="s">
        <v>1705</v>
      </c>
      <c r="K1199" s="98" t="s">
        <v>1706</v>
      </c>
    </row>
    <row r="1200" customFormat="false" ht="64" hidden="false" customHeight="true" outlineLevel="0" collapsed="false">
      <c r="C1200" s="98" t="s">
        <v>2959</v>
      </c>
      <c r="D1200" s="98" t="s">
        <v>1714</v>
      </c>
      <c r="E1200" s="98" t="s">
        <v>811</v>
      </c>
      <c r="F1200" s="98" t="n">
        <v>0</v>
      </c>
      <c r="G1200" s="98" t="s">
        <v>2949</v>
      </c>
      <c r="H1200" s="98" t="s">
        <v>1703</v>
      </c>
      <c r="I1200" s="98" t="s">
        <v>1704</v>
      </c>
      <c r="J1200" s="98" t="s">
        <v>1705</v>
      </c>
      <c r="K1200" s="98" t="s">
        <v>1706</v>
      </c>
    </row>
    <row r="1201" customFormat="false" ht="64" hidden="false" customHeight="true" outlineLevel="0" collapsed="false">
      <c r="C1201" s="98" t="s">
        <v>2960</v>
      </c>
      <c r="D1201" s="98" t="s">
        <v>1716</v>
      </c>
      <c r="E1201" s="98" t="s">
        <v>811</v>
      </c>
      <c r="F1201" s="98" t="n">
        <v>0</v>
      </c>
      <c r="G1201" s="98" t="s">
        <v>2949</v>
      </c>
      <c r="H1201" s="98" t="s">
        <v>1703</v>
      </c>
      <c r="I1201" s="98" t="s">
        <v>1704</v>
      </c>
      <c r="J1201" s="98" t="s">
        <v>1705</v>
      </c>
      <c r="K1201" s="98" t="s">
        <v>1706</v>
      </c>
    </row>
    <row r="1202" customFormat="false" ht="64" hidden="false" customHeight="true" outlineLevel="0" collapsed="false">
      <c r="C1202" s="98" t="s">
        <v>2961</v>
      </c>
      <c r="D1202" s="98" t="s">
        <v>1718</v>
      </c>
      <c r="E1202" s="98" t="s">
        <v>811</v>
      </c>
      <c r="F1202" s="98" t="n">
        <v>0</v>
      </c>
      <c r="G1202" s="98" t="s">
        <v>2949</v>
      </c>
      <c r="H1202" s="98" t="s">
        <v>1703</v>
      </c>
      <c r="I1202" s="98" t="s">
        <v>1704</v>
      </c>
      <c r="J1202" s="98" t="s">
        <v>1705</v>
      </c>
      <c r="K1202" s="98" t="s">
        <v>1706</v>
      </c>
    </row>
    <row r="1203" customFormat="false" ht="64" hidden="false" customHeight="true" outlineLevel="0" collapsed="false">
      <c r="C1203" s="98" t="s">
        <v>2962</v>
      </c>
      <c r="D1203" s="98" t="s">
        <v>1720</v>
      </c>
      <c r="E1203" s="98" t="s">
        <v>811</v>
      </c>
      <c r="F1203" s="98" t="n">
        <v>0</v>
      </c>
      <c r="G1203" s="98" t="s">
        <v>2949</v>
      </c>
      <c r="H1203" s="98" t="s">
        <v>1703</v>
      </c>
      <c r="I1203" s="98" t="s">
        <v>1704</v>
      </c>
      <c r="J1203" s="98" t="s">
        <v>1705</v>
      </c>
      <c r="K1203" s="98" t="s">
        <v>1706</v>
      </c>
    </row>
    <row r="1204" customFormat="false" ht="64" hidden="false" customHeight="true" outlineLevel="0" collapsed="false">
      <c r="C1204" s="98" t="s">
        <v>2963</v>
      </c>
      <c r="D1204" s="98" t="s">
        <v>1722</v>
      </c>
      <c r="E1204" s="98" t="s">
        <v>811</v>
      </c>
      <c r="F1204" s="98" t="n">
        <v>0</v>
      </c>
      <c r="G1204" s="98" t="s">
        <v>2949</v>
      </c>
      <c r="H1204" s="98" t="s">
        <v>1703</v>
      </c>
      <c r="I1204" s="98" t="s">
        <v>1704</v>
      </c>
      <c r="J1204" s="98" t="s">
        <v>1705</v>
      </c>
      <c r="K1204" s="98" t="s">
        <v>1706</v>
      </c>
    </row>
    <row r="1205" customFormat="false" ht="64" hidden="false" customHeight="true" outlineLevel="0" collapsed="false">
      <c r="C1205" s="98" t="s">
        <v>2964</v>
      </c>
      <c r="D1205" s="98" t="s">
        <v>1724</v>
      </c>
      <c r="E1205" s="98" t="s">
        <v>811</v>
      </c>
      <c r="F1205" s="98" t="n">
        <v>0</v>
      </c>
      <c r="G1205" s="98" t="s">
        <v>2949</v>
      </c>
      <c r="H1205" s="98" t="s">
        <v>1703</v>
      </c>
      <c r="I1205" s="98" t="s">
        <v>1704</v>
      </c>
      <c r="J1205" s="98" t="s">
        <v>1705</v>
      </c>
      <c r="K1205" s="98" t="s">
        <v>1706</v>
      </c>
    </row>
    <row r="1206" customFormat="false" ht="64" hidden="false" customHeight="true" outlineLevel="0" collapsed="false">
      <c r="C1206" s="98" t="s">
        <v>2965</v>
      </c>
      <c r="D1206" s="98" t="s">
        <v>1726</v>
      </c>
      <c r="E1206" s="98" t="s">
        <v>811</v>
      </c>
      <c r="F1206" s="98" t="n">
        <v>0</v>
      </c>
      <c r="G1206" s="98" t="s">
        <v>2949</v>
      </c>
      <c r="H1206" s="98" t="s">
        <v>1703</v>
      </c>
      <c r="I1206" s="98" t="s">
        <v>1704</v>
      </c>
      <c r="J1206" s="98" t="s">
        <v>1705</v>
      </c>
      <c r="K1206" s="98" t="s">
        <v>1706</v>
      </c>
    </row>
    <row r="1207" customFormat="false" ht="64" hidden="false" customHeight="true" outlineLevel="0" collapsed="false">
      <c r="C1207" s="98" t="s">
        <v>2966</v>
      </c>
      <c r="D1207" s="98" t="s">
        <v>1728</v>
      </c>
      <c r="E1207" s="98" t="s">
        <v>811</v>
      </c>
      <c r="F1207" s="98" t="n">
        <v>0</v>
      </c>
      <c r="G1207" s="98" t="s">
        <v>2949</v>
      </c>
      <c r="H1207" s="98" t="s">
        <v>1703</v>
      </c>
      <c r="I1207" s="98" t="s">
        <v>1704</v>
      </c>
      <c r="J1207" s="98" t="s">
        <v>1705</v>
      </c>
      <c r="K1207" s="98" t="s">
        <v>1706</v>
      </c>
    </row>
    <row r="1208" customFormat="false" ht="64" hidden="false" customHeight="true" outlineLevel="0" collapsed="false">
      <c r="C1208" s="98" t="s">
        <v>2967</v>
      </c>
      <c r="D1208" s="98" t="s">
        <v>1730</v>
      </c>
      <c r="E1208" s="98" t="s">
        <v>811</v>
      </c>
      <c r="F1208" s="98" t="n">
        <v>0</v>
      </c>
      <c r="G1208" s="98" t="s">
        <v>2949</v>
      </c>
      <c r="H1208" s="98" t="s">
        <v>1703</v>
      </c>
      <c r="I1208" s="98" t="s">
        <v>1704</v>
      </c>
      <c r="J1208" s="98" t="s">
        <v>1705</v>
      </c>
      <c r="K1208" s="98" t="s">
        <v>1706</v>
      </c>
    </row>
    <row r="1209" customFormat="false" ht="64" hidden="false" customHeight="true" outlineLevel="0" collapsed="false">
      <c r="C1209" s="98" t="s">
        <v>2968</v>
      </c>
      <c r="D1209" s="98" t="s">
        <v>1732</v>
      </c>
      <c r="E1209" s="98" t="s">
        <v>811</v>
      </c>
      <c r="F1209" s="98" t="n">
        <v>0</v>
      </c>
      <c r="G1209" s="98" t="s">
        <v>2949</v>
      </c>
      <c r="H1209" s="98" t="s">
        <v>1703</v>
      </c>
      <c r="I1209" s="98" t="s">
        <v>1704</v>
      </c>
      <c r="J1209" s="98" t="s">
        <v>1705</v>
      </c>
      <c r="K1209" s="98" t="s">
        <v>1706</v>
      </c>
    </row>
    <row r="1210" customFormat="false" ht="64" hidden="false" customHeight="true" outlineLevel="0" collapsed="false">
      <c r="C1210" s="98" t="s">
        <v>2969</v>
      </c>
      <c r="D1210" s="98" t="s">
        <v>1734</v>
      </c>
      <c r="E1210" s="98" t="s">
        <v>811</v>
      </c>
      <c r="F1210" s="98" t="n">
        <v>0</v>
      </c>
      <c r="G1210" s="98" t="s">
        <v>2949</v>
      </c>
      <c r="H1210" s="98" t="s">
        <v>1703</v>
      </c>
      <c r="I1210" s="98" t="s">
        <v>1704</v>
      </c>
      <c r="J1210" s="98" t="s">
        <v>1705</v>
      </c>
      <c r="K1210" s="98" t="s">
        <v>1706</v>
      </c>
    </row>
    <row r="1211" customFormat="false" ht="64" hidden="false" customHeight="true" outlineLevel="0" collapsed="false">
      <c r="C1211" s="98" t="s">
        <v>2970</v>
      </c>
      <c r="D1211" s="98" t="s">
        <v>1736</v>
      </c>
      <c r="E1211" s="98" t="s">
        <v>811</v>
      </c>
      <c r="F1211" s="98" t="n">
        <v>0</v>
      </c>
      <c r="G1211" s="98" t="s">
        <v>2949</v>
      </c>
      <c r="H1211" s="98" t="s">
        <v>1703</v>
      </c>
      <c r="I1211" s="98" t="s">
        <v>1704</v>
      </c>
      <c r="J1211" s="98" t="s">
        <v>1705</v>
      </c>
      <c r="K1211" s="98" t="s">
        <v>1706</v>
      </c>
    </row>
    <row r="1212" customFormat="false" ht="64" hidden="false" customHeight="true" outlineLevel="0" collapsed="false">
      <c r="C1212" s="98" t="s">
        <v>2971</v>
      </c>
      <c r="D1212" s="98" t="s">
        <v>1738</v>
      </c>
      <c r="E1212" s="98" t="s">
        <v>811</v>
      </c>
      <c r="F1212" s="98" t="n">
        <v>0</v>
      </c>
      <c r="G1212" s="98" t="s">
        <v>2949</v>
      </c>
      <c r="H1212" s="98" t="s">
        <v>1703</v>
      </c>
      <c r="I1212" s="98" t="s">
        <v>1704</v>
      </c>
      <c r="J1212" s="98" t="s">
        <v>1705</v>
      </c>
      <c r="K1212" s="98" t="s">
        <v>1706</v>
      </c>
    </row>
    <row r="1213" customFormat="false" ht="64" hidden="false" customHeight="true" outlineLevel="0" collapsed="false">
      <c r="C1213" s="98" t="s">
        <v>2972</v>
      </c>
      <c r="D1213" s="98" t="s">
        <v>1740</v>
      </c>
      <c r="E1213" s="98" t="s">
        <v>811</v>
      </c>
      <c r="F1213" s="98" t="n">
        <v>0</v>
      </c>
      <c r="G1213" s="98" t="s">
        <v>2949</v>
      </c>
      <c r="H1213" s="98" t="s">
        <v>1703</v>
      </c>
      <c r="I1213" s="98" t="s">
        <v>1704</v>
      </c>
      <c r="J1213" s="98" t="s">
        <v>1705</v>
      </c>
      <c r="K1213" s="98" t="s">
        <v>1706</v>
      </c>
    </row>
    <row r="1214" customFormat="false" ht="64" hidden="false" customHeight="true" outlineLevel="0" collapsed="false">
      <c r="C1214" s="98" t="s">
        <v>2973</v>
      </c>
      <c r="D1214" s="98" t="s">
        <v>1742</v>
      </c>
      <c r="E1214" s="98" t="s">
        <v>811</v>
      </c>
      <c r="F1214" s="98" t="n">
        <v>0</v>
      </c>
      <c r="G1214" s="98" t="s">
        <v>2949</v>
      </c>
      <c r="H1214" s="98" t="s">
        <v>1703</v>
      </c>
      <c r="I1214" s="98" t="s">
        <v>1704</v>
      </c>
      <c r="J1214" s="98" t="s">
        <v>1705</v>
      </c>
      <c r="K1214" s="98" t="s">
        <v>1706</v>
      </c>
    </row>
    <row r="1215" customFormat="false" ht="64" hidden="false" customHeight="true" outlineLevel="0" collapsed="false">
      <c r="C1215" s="98" t="s">
        <v>2974</v>
      </c>
      <c r="D1215" s="98" t="s">
        <v>1744</v>
      </c>
      <c r="E1215" s="98" t="s">
        <v>811</v>
      </c>
      <c r="F1215" s="98" t="n">
        <v>0</v>
      </c>
      <c r="G1215" s="98" t="s">
        <v>2949</v>
      </c>
      <c r="H1215" s="98" t="s">
        <v>1703</v>
      </c>
      <c r="I1215" s="98" t="s">
        <v>1704</v>
      </c>
      <c r="J1215" s="98" t="s">
        <v>1705</v>
      </c>
      <c r="K1215" s="98" t="s">
        <v>1706</v>
      </c>
    </row>
    <row r="1216" customFormat="false" ht="64" hidden="false" customHeight="true" outlineLevel="0" collapsed="false">
      <c r="C1216" s="98" t="s">
        <v>2975</v>
      </c>
      <c r="D1216" s="98" t="s">
        <v>1746</v>
      </c>
      <c r="E1216" s="98" t="s">
        <v>811</v>
      </c>
      <c r="F1216" s="98" t="n">
        <v>0</v>
      </c>
      <c r="G1216" s="98" t="s">
        <v>2949</v>
      </c>
      <c r="H1216" s="98" t="s">
        <v>1703</v>
      </c>
      <c r="I1216" s="98" t="s">
        <v>1704</v>
      </c>
      <c r="J1216" s="98" t="s">
        <v>1705</v>
      </c>
      <c r="K1216" s="98" t="s">
        <v>1706</v>
      </c>
    </row>
    <row r="1217" customFormat="false" ht="64" hidden="false" customHeight="true" outlineLevel="0" collapsed="false">
      <c r="C1217" s="98" t="s">
        <v>2976</v>
      </c>
      <c r="D1217" s="98" t="s">
        <v>1748</v>
      </c>
      <c r="E1217" s="98" t="s">
        <v>811</v>
      </c>
      <c r="F1217" s="98" t="n">
        <v>0</v>
      </c>
      <c r="G1217" s="98" t="s">
        <v>2949</v>
      </c>
      <c r="H1217" s="98" t="s">
        <v>1703</v>
      </c>
      <c r="I1217" s="98" t="s">
        <v>1704</v>
      </c>
      <c r="J1217" s="98" t="s">
        <v>1705</v>
      </c>
      <c r="K1217" s="98" t="s">
        <v>1706</v>
      </c>
    </row>
    <row r="1218" customFormat="false" ht="64" hidden="false" customHeight="true" outlineLevel="0" collapsed="false">
      <c r="C1218" s="98" t="s">
        <v>2977</v>
      </c>
      <c r="D1218" s="98" t="s">
        <v>1750</v>
      </c>
      <c r="E1218" s="98" t="s">
        <v>811</v>
      </c>
      <c r="F1218" s="98" t="n">
        <v>0</v>
      </c>
      <c r="G1218" s="98" t="s">
        <v>2949</v>
      </c>
      <c r="H1218" s="98" t="s">
        <v>1703</v>
      </c>
      <c r="I1218" s="98" t="s">
        <v>1704</v>
      </c>
      <c r="J1218" s="98" t="s">
        <v>1705</v>
      </c>
      <c r="K1218" s="98" t="s">
        <v>1706</v>
      </c>
    </row>
    <row r="1219" customFormat="false" ht="64" hidden="false" customHeight="true" outlineLevel="0" collapsed="false">
      <c r="C1219" s="98" t="s">
        <v>2978</v>
      </c>
      <c r="D1219" s="98" t="s">
        <v>1752</v>
      </c>
      <c r="E1219" s="98" t="s">
        <v>811</v>
      </c>
      <c r="F1219" s="98" t="n">
        <v>0</v>
      </c>
      <c r="G1219" s="98" t="s">
        <v>2949</v>
      </c>
      <c r="H1219" s="98" t="s">
        <v>1703</v>
      </c>
      <c r="I1219" s="98" t="s">
        <v>1704</v>
      </c>
      <c r="J1219" s="98" t="s">
        <v>1705</v>
      </c>
      <c r="K1219" s="98" t="s">
        <v>1706</v>
      </c>
    </row>
    <row r="1220" customFormat="false" ht="64" hidden="false" customHeight="true" outlineLevel="0" collapsed="false">
      <c r="C1220" s="98" t="s">
        <v>2979</v>
      </c>
      <c r="D1220" s="98" t="s">
        <v>1754</v>
      </c>
      <c r="E1220" s="98" t="s">
        <v>811</v>
      </c>
      <c r="F1220" s="98" t="n">
        <v>0</v>
      </c>
      <c r="G1220" s="98" t="s">
        <v>2949</v>
      </c>
      <c r="H1220" s="98" t="s">
        <v>1703</v>
      </c>
      <c r="I1220" s="98" t="s">
        <v>1704</v>
      </c>
      <c r="J1220" s="98" t="s">
        <v>1705</v>
      </c>
      <c r="K1220" s="98" t="s">
        <v>1706</v>
      </c>
    </row>
    <row r="1221" customFormat="false" ht="64" hidden="false" customHeight="true" outlineLevel="0" collapsed="false">
      <c r="C1221" s="98" t="s">
        <v>2980</v>
      </c>
      <c r="D1221" s="98" t="s">
        <v>1756</v>
      </c>
      <c r="E1221" s="98" t="s">
        <v>811</v>
      </c>
      <c r="F1221" s="98" t="n">
        <v>0</v>
      </c>
      <c r="G1221" s="98" t="s">
        <v>2949</v>
      </c>
      <c r="H1221" s="98" t="s">
        <v>1703</v>
      </c>
      <c r="I1221" s="98" t="s">
        <v>1704</v>
      </c>
      <c r="J1221" s="98" t="s">
        <v>1705</v>
      </c>
      <c r="K1221" s="98" t="s">
        <v>1706</v>
      </c>
    </row>
    <row r="1222" customFormat="false" ht="64" hidden="false" customHeight="true" outlineLevel="0" collapsed="false">
      <c r="C1222" s="98" t="s">
        <v>2981</v>
      </c>
      <c r="D1222" s="98" t="s">
        <v>1758</v>
      </c>
      <c r="E1222" s="98" t="s">
        <v>811</v>
      </c>
      <c r="F1222" s="98" t="n">
        <v>0</v>
      </c>
      <c r="G1222" s="98" t="s">
        <v>2949</v>
      </c>
      <c r="H1222" s="98" t="s">
        <v>1703</v>
      </c>
      <c r="I1222" s="98" t="s">
        <v>1704</v>
      </c>
      <c r="J1222" s="98" t="s">
        <v>1705</v>
      </c>
      <c r="K1222" s="98" t="s">
        <v>1706</v>
      </c>
    </row>
    <row r="1223" customFormat="false" ht="64" hidden="false" customHeight="true" outlineLevel="0" collapsed="false">
      <c r="C1223" s="98" t="s">
        <v>2982</v>
      </c>
      <c r="D1223" s="98" t="s">
        <v>1760</v>
      </c>
      <c r="E1223" s="98" t="s">
        <v>811</v>
      </c>
      <c r="F1223" s="98" t="n">
        <v>0</v>
      </c>
      <c r="G1223" s="98" t="s">
        <v>2949</v>
      </c>
      <c r="H1223" s="98" t="s">
        <v>1703</v>
      </c>
      <c r="I1223" s="98" t="s">
        <v>1704</v>
      </c>
      <c r="J1223" s="98" t="s">
        <v>1705</v>
      </c>
      <c r="K1223" s="98" t="s">
        <v>1706</v>
      </c>
    </row>
    <row r="1224" customFormat="false" ht="64" hidden="false" customHeight="true" outlineLevel="0" collapsed="false">
      <c r="C1224" s="98" t="s">
        <v>2983</v>
      </c>
      <c r="D1224" s="98" t="s">
        <v>1762</v>
      </c>
      <c r="E1224" s="98" t="s">
        <v>811</v>
      </c>
      <c r="F1224" s="98" t="n">
        <v>0</v>
      </c>
      <c r="G1224" s="98" t="s">
        <v>2949</v>
      </c>
      <c r="H1224" s="98" t="s">
        <v>1703</v>
      </c>
      <c r="I1224" s="98" t="s">
        <v>1704</v>
      </c>
      <c r="J1224" s="98" t="s">
        <v>1705</v>
      </c>
      <c r="K1224" s="98" t="s">
        <v>1706</v>
      </c>
    </row>
    <row r="1225" customFormat="false" ht="64" hidden="false" customHeight="true" outlineLevel="0" collapsed="false">
      <c r="C1225" s="98" t="s">
        <v>2984</v>
      </c>
      <c r="D1225" s="98" t="s">
        <v>1764</v>
      </c>
      <c r="E1225" s="98" t="s">
        <v>811</v>
      </c>
      <c r="F1225" s="98" t="n">
        <v>0</v>
      </c>
      <c r="G1225" s="98" t="s">
        <v>2949</v>
      </c>
      <c r="H1225" s="98" t="s">
        <v>1703</v>
      </c>
      <c r="I1225" s="98" t="s">
        <v>1704</v>
      </c>
      <c r="J1225" s="98" t="s">
        <v>1705</v>
      </c>
      <c r="K1225" s="98" t="s">
        <v>1706</v>
      </c>
    </row>
    <row r="1226" customFormat="false" ht="64" hidden="false" customHeight="true" outlineLevel="0" collapsed="false">
      <c r="C1226" s="98" t="s">
        <v>2985</v>
      </c>
      <c r="D1226" s="98" t="s">
        <v>1829</v>
      </c>
      <c r="E1226" s="98" t="s">
        <v>835</v>
      </c>
      <c r="F1226" s="98" t="n">
        <v>0.02</v>
      </c>
      <c r="G1226" s="98" t="s">
        <v>2986</v>
      </c>
      <c r="H1226" s="98" t="s">
        <v>2250</v>
      </c>
      <c r="I1226" s="98" t="s">
        <v>1704</v>
      </c>
      <c r="J1226" s="98" t="s">
        <v>1705</v>
      </c>
      <c r="K1226" s="98" t="s">
        <v>1706</v>
      </c>
    </row>
    <row r="1227" customFormat="false" ht="64" hidden="false" customHeight="true" outlineLevel="0" collapsed="false">
      <c r="C1227" s="98" t="s">
        <v>2987</v>
      </c>
      <c r="D1227" s="98" t="s">
        <v>1833</v>
      </c>
      <c r="E1227" s="98" t="s">
        <v>835</v>
      </c>
      <c r="F1227" s="98" t="n">
        <v>0.02</v>
      </c>
      <c r="G1227" s="98" t="s">
        <v>2986</v>
      </c>
      <c r="H1227" s="98" t="s">
        <v>2250</v>
      </c>
      <c r="I1227" s="98" t="s">
        <v>1704</v>
      </c>
      <c r="J1227" s="98" t="s">
        <v>1705</v>
      </c>
      <c r="K1227" s="98" t="s">
        <v>1706</v>
      </c>
    </row>
    <row r="1228" customFormat="false" ht="64" hidden="false" customHeight="true" outlineLevel="0" collapsed="false">
      <c r="C1228" s="98" t="s">
        <v>2988</v>
      </c>
      <c r="D1228" s="98" t="s">
        <v>1835</v>
      </c>
      <c r="E1228" s="98" t="s">
        <v>835</v>
      </c>
      <c r="F1228" s="98" t="n">
        <v>0.02</v>
      </c>
      <c r="G1228" s="98" t="s">
        <v>2986</v>
      </c>
      <c r="H1228" s="98" t="s">
        <v>2250</v>
      </c>
      <c r="I1228" s="98" t="s">
        <v>1704</v>
      </c>
      <c r="J1228" s="98" t="s">
        <v>1705</v>
      </c>
      <c r="K1228" s="98" t="s">
        <v>1706</v>
      </c>
    </row>
    <row r="1229" customFormat="false" ht="64" hidden="false" customHeight="true" outlineLevel="0" collapsed="false">
      <c r="C1229" s="98" t="s">
        <v>2989</v>
      </c>
      <c r="D1229" s="98" t="s">
        <v>1044</v>
      </c>
      <c r="E1229" s="98" t="s">
        <v>835</v>
      </c>
      <c r="F1229" s="98" t="n">
        <v>0.02</v>
      </c>
      <c r="G1229" s="98" t="s">
        <v>2986</v>
      </c>
      <c r="H1229" s="98" t="s">
        <v>2250</v>
      </c>
      <c r="I1229" s="98" t="s">
        <v>1704</v>
      </c>
      <c r="J1229" s="98" t="s">
        <v>1705</v>
      </c>
      <c r="K1229" s="98" t="s">
        <v>1706</v>
      </c>
    </row>
    <row r="1230" customFormat="false" ht="64" hidden="false" customHeight="true" outlineLevel="0" collapsed="false">
      <c r="C1230" s="98" t="s">
        <v>2990</v>
      </c>
      <c r="D1230" s="98" t="s">
        <v>1838</v>
      </c>
      <c r="E1230" s="98" t="s">
        <v>835</v>
      </c>
      <c r="F1230" s="98" t="n">
        <v>0.02</v>
      </c>
      <c r="G1230" s="98" t="s">
        <v>2986</v>
      </c>
      <c r="H1230" s="98" t="s">
        <v>2250</v>
      </c>
      <c r="I1230" s="98" t="s">
        <v>1704</v>
      </c>
      <c r="J1230" s="98" t="s">
        <v>1705</v>
      </c>
      <c r="K1230" s="98" t="s">
        <v>1706</v>
      </c>
    </row>
    <row r="1231" customFormat="false" ht="64" hidden="false" customHeight="true" outlineLevel="0" collapsed="false">
      <c r="C1231" s="98" t="s">
        <v>2991</v>
      </c>
      <c r="D1231" s="98" t="s">
        <v>1840</v>
      </c>
      <c r="E1231" s="98" t="s">
        <v>835</v>
      </c>
      <c r="F1231" s="98" t="n">
        <v>0.02</v>
      </c>
      <c r="G1231" s="98" t="s">
        <v>2986</v>
      </c>
      <c r="H1231" s="98" t="s">
        <v>2250</v>
      </c>
      <c r="I1231" s="98" t="s">
        <v>1704</v>
      </c>
      <c r="J1231" s="98" t="s">
        <v>1705</v>
      </c>
      <c r="K1231" s="98" t="s">
        <v>1706</v>
      </c>
    </row>
    <row r="1232" customFormat="false" ht="64" hidden="false" customHeight="true" outlineLevel="0" collapsed="false">
      <c r="C1232" s="98" t="s">
        <v>2992</v>
      </c>
      <c r="D1232" s="98" t="s">
        <v>1700</v>
      </c>
      <c r="E1232" s="98" t="s">
        <v>835</v>
      </c>
      <c r="F1232" s="98" t="n">
        <v>0.02</v>
      </c>
      <c r="G1232" s="98" t="s">
        <v>2986</v>
      </c>
      <c r="H1232" s="98" t="s">
        <v>2250</v>
      </c>
      <c r="I1232" s="98" t="s">
        <v>1704</v>
      </c>
      <c r="J1232" s="98" t="s">
        <v>1705</v>
      </c>
      <c r="K1232" s="98" t="s">
        <v>1706</v>
      </c>
    </row>
    <row r="1233" customFormat="false" ht="64" hidden="false" customHeight="true" outlineLevel="0" collapsed="false">
      <c r="C1233" s="98" t="s">
        <v>2993</v>
      </c>
      <c r="D1233" s="98" t="s">
        <v>1708</v>
      </c>
      <c r="E1233" s="98" t="s">
        <v>835</v>
      </c>
      <c r="F1233" s="98" t="n">
        <v>0.02</v>
      </c>
      <c r="G1233" s="98" t="s">
        <v>2986</v>
      </c>
      <c r="H1233" s="98" t="s">
        <v>2250</v>
      </c>
      <c r="I1233" s="98" t="s">
        <v>1704</v>
      </c>
      <c r="J1233" s="98" t="s">
        <v>1705</v>
      </c>
      <c r="K1233" s="98" t="s">
        <v>1706</v>
      </c>
    </row>
    <row r="1234" customFormat="false" ht="64" hidden="false" customHeight="true" outlineLevel="0" collapsed="false">
      <c r="C1234" s="98" t="s">
        <v>2994</v>
      </c>
      <c r="D1234" s="98" t="s">
        <v>1710</v>
      </c>
      <c r="E1234" s="98" t="s">
        <v>835</v>
      </c>
      <c r="F1234" s="98" t="n">
        <v>0.02</v>
      </c>
      <c r="G1234" s="98" t="s">
        <v>2986</v>
      </c>
      <c r="H1234" s="98" t="s">
        <v>2250</v>
      </c>
      <c r="I1234" s="98" t="s">
        <v>1704</v>
      </c>
      <c r="J1234" s="98" t="s">
        <v>1705</v>
      </c>
      <c r="K1234" s="98" t="s">
        <v>1706</v>
      </c>
    </row>
    <row r="1235" customFormat="false" ht="64" hidden="false" customHeight="true" outlineLevel="0" collapsed="false">
      <c r="C1235" s="98" t="s">
        <v>2995</v>
      </c>
      <c r="D1235" s="98" t="s">
        <v>1712</v>
      </c>
      <c r="E1235" s="98" t="s">
        <v>835</v>
      </c>
      <c r="F1235" s="98" t="n">
        <v>0.02</v>
      </c>
      <c r="G1235" s="98" t="s">
        <v>2986</v>
      </c>
      <c r="H1235" s="98" t="s">
        <v>2250</v>
      </c>
      <c r="I1235" s="98" t="s">
        <v>1704</v>
      </c>
      <c r="J1235" s="98" t="s">
        <v>1705</v>
      </c>
      <c r="K1235" s="98" t="s">
        <v>1706</v>
      </c>
    </row>
    <row r="1236" customFormat="false" ht="64" hidden="false" customHeight="true" outlineLevel="0" collapsed="false">
      <c r="C1236" s="98" t="s">
        <v>2996</v>
      </c>
      <c r="D1236" s="98" t="s">
        <v>1714</v>
      </c>
      <c r="E1236" s="98" t="s">
        <v>835</v>
      </c>
      <c r="F1236" s="98" t="n">
        <v>0.02</v>
      </c>
      <c r="G1236" s="98" t="s">
        <v>2986</v>
      </c>
      <c r="H1236" s="98" t="s">
        <v>2250</v>
      </c>
      <c r="I1236" s="98" t="s">
        <v>1704</v>
      </c>
      <c r="J1236" s="98" t="s">
        <v>1705</v>
      </c>
      <c r="K1236" s="98" t="s">
        <v>1706</v>
      </c>
    </row>
    <row r="1237" customFormat="false" ht="64" hidden="false" customHeight="true" outlineLevel="0" collapsed="false">
      <c r="C1237" s="98" t="s">
        <v>2997</v>
      </c>
      <c r="D1237" s="98" t="s">
        <v>1716</v>
      </c>
      <c r="E1237" s="98" t="s">
        <v>835</v>
      </c>
      <c r="F1237" s="98" t="n">
        <v>0.02</v>
      </c>
      <c r="G1237" s="98" t="s">
        <v>2986</v>
      </c>
      <c r="H1237" s="98" t="s">
        <v>2250</v>
      </c>
      <c r="I1237" s="98" t="s">
        <v>1704</v>
      </c>
      <c r="J1237" s="98" t="s">
        <v>1705</v>
      </c>
      <c r="K1237" s="98" t="s">
        <v>1706</v>
      </c>
    </row>
    <row r="1238" customFormat="false" ht="64" hidden="false" customHeight="true" outlineLevel="0" collapsed="false">
      <c r="C1238" s="98" t="s">
        <v>2998</v>
      </c>
      <c r="D1238" s="98" t="s">
        <v>1718</v>
      </c>
      <c r="E1238" s="98" t="s">
        <v>835</v>
      </c>
      <c r="F1238" s="98" t="n">
        <v>0.02</v>
      </c>
      <c r="G1238" s="98" t="s">
        <v>2986</v>
      </c>
      <c r="H1238" s="98" t="s">
        <v>2250</v>
      </c>
      <c r="I1238" s="98" t="s">
        <v>1704</v>
      </c>
      <c r="J1238" s="98" t="s">
        <v>1705</v>
      </c>
      <c r="K1238" s="98" t="s">
        <v>1706</v>
      </c>
    </row>
    <row r="1239" customFormat="false" ht="64" hidden="false" customHeight="true" outlineLevel="0" collapsed="false">
      <c r="C1239" s="98" t="s">
        <v>2999</v>
      </c>
      <c r="D1239" s="98" t="s">
        <v>1720</v>
      </c>
      <c r="E1239" s="98" t="s">
        <v>835</v>
      </c>
      <c r="F1239" s="98" t="n">
        <v>0.02</v>
      </c>
      <c r="G1239" s="98" t="s">
        <v>2986</v>
      </c>
      <c r="H1239" s="98" t="s">
        <v>2250</v>
      </c>
      <c r="I1239" s="98" t="s">
        <v>1704</v>
      </c>
      <c r="J1239" s="98" t="s">
        <v>1705</v>
      </c>
      <c r="K1239" s="98" t="s">
        <v>1706</v>
      </c>
    </row>
    <row r="1240" customFormat="false" ht="64" hidden="false" customHeight="true" outlineLevel="0" collapsed="false">
      <c r="C1240" s="98" t="s">
        <v>3000</v>
      </c>
      <c r="D1240" s="98" t="s">
        <v>1722</v>
      </c>
      <c r="E1240" s="98" t="s">
        <v>835</v>
      </c>
      <c r="F1240" s="98" t="n">
        <v>0.02</v>
      </c>
      <c r="G1240" s="98" t="s">
        <v>2986</v>
      </c>
      <c r="H1240" s="98" t="s">
        <v>2250</v>
      </c>
      <c r="I1240" s="98" t="s">
        <v>1704</v>
      </c>
      <c r="J1240" s="98" t="s">
        <v>1705</v>
      </c>
      <c r="K1240" s="98" t="s">
        <v>1706</v>
      </c>
    </row>
    <row r="1241" customFormat="false" ht="64" hidden="false" customHeight="true" outlineLevel="0" collapsed="false">
      <c r="C1241" s="98" t="s">
        <v>3001</v>
      </c>
      <c r="D1241" s="98" t="s">
        <v>1724</v>
      </c>
      <c r="E1241" s="98" t="s">
        <v>835</v>
      </c>
      <c r="F1241" s="98" t="n">
        <v>0.02</v>
      </c>
      <c r="G1241" s="98" t="s">
        <v>2986</v>
      </c>
      <c r="H1241" s="98" t="s">
        <v>2250</v>
      </c>
      <c r="I1241" s="98" t="s">
        <v>1704</v>
      </c>
      <c r="J1241" s="98" t="s">
        <v>1705</v>
      </c>
      <c r="K1241" s="98" t="s">
        <v>1706</v>
      </c>
    </row>
    <row r="1242" customFormat="false" ht="64" hidden="false" customHeight="true" outlineLevel="0" collapsed="false">
      <c r="C1242" s="98" t="s">
        <v>3002</v>
      </c>
      <c r="D1242" s="98" t="s">
        <v>1726</v>
      </c>
      <c r="E1242" s="98" t="s">
        <v>835</v>
      </c>
      <c r="F1242" s="98" t="n">
        <v>0.02</v>
      </c>
      <c r="G1242" s="98" t="s">
        <v>2986</v>
      </c>
      <c r="H1242" s="98" t="s">
        <v>2250</v>
      </c>
      <c r="I1242" s="98" t="s">
        <v>1704</v>
      </c>
      <c r="J1242" s="98" t="s">
        <v>1705</v>
      </c>
      <c r="K1242" s="98" t="s">
        <v>1706</v>
      </c>
    </row>
    <row r="1243" customFormat="false" ht="64" hidden="false" customHeight="true" outlineLevel="0" collapsed="false">
      <c r="C1243" s="98" t="s">
        <v>3003</v>
      </c>
      <c r="D1243" s="98" t="s">
        <v>1728</v>
      </c>
      <c r="E1243" s="98" t="s">
        <v>835</v>
      </c>
      <c r="F1243" s="98" t="n">
        <v>0.02</v>
      </c>
      <c r="G1243" s="98" t="s">
        <v>2986</v>
      </c>
      <c r="H1243" s="98" t="s">
        <v>2250</v>
      </c>
      <c r="I1243" s="98" t="s">
        <v>1704</v>
      </c>
      <c r="J1243" s="98" t="s">
        <v>1705</v>
      </c>
      <c r="K1243" s="98" t="s">
        <v>1706</v>
      </c>
    </row>
    <row r="1244" customFormat="false" ht="64" hidden="false" customHeight="true" outlineLevel="0" collapsed="false">
      <c r="C1244" s="98" t="s">
        <v>3004</v>
      </c>
      <c r="D1244" s="98" t="s">
        <v>1730</v>
      </c>
      <c r="E1244" s="98" t="s">
        <v>835</v>
      </c>
      <c r="F1244" s="98" t="n">
        <v>0.02</v>
      </c>
      <c r="G1244" s="98" t="s">
        <v>2986</v>
      </c>
      <c r="H1244" s="98" t="s">
        <v>2250</v>
      </c>
      <c r="I1244" s="98" t="s">
        <v>1704</v>
      </c>
      <c r="J1244" s="98" t="s">
        <v>1705</v>
      </c>
      <c r="K1244" s="98" t="s">
        <v>1706</v>
      </c>
    </row>
    <row r="1245" customFormat="false" ht="64" hidden="false" customHeight="true" outlineLevel="0" collapsed="false">
      <c r="C1245" s="98" t="s">
        <v>3005</v>
      </c>
      <c r="D1245" s="98" t="s">
        <v>1732</v>
      </c>
      <c r="E1245" s="98" t="s">
        <v>835</v>
      </c>
      <c r="F1245" s="98" t="n">
        <v>0.02</v>
      </c>
      <c r="G1245" s="98" t="s">
        <v>2986</v>
      </c>
      <c r="H1245" s="98" t="s">
        <v>2250</v>
      </c>
      <c r="I1245" s="98" t="s">
        <v>1704</v>
      </c>
      <c r="J1245" s="98" t="s">
        <v>1705</v>
      </c>
      <c r="K1245" s="98" t="s">
        <v>1706</v>
      </c>
    </row>
    <row r="1246" customFormat="false" ht="64" hidden="false" customHeight="true" outlineLevel="0" collapsed="false">
      <c r="C1246" s="98" t="s">
        <v>3006</v>
      </c>
      <c r="D1246" s="98" t="s">
        <v>1734</v>
      </c>
      <c r="E1246" s="98" t="s">
        <v>835</v>
      </c>
      <c r="F1246" s="98" t="n">
        <v>0.02</v>
      </c>
      <c r="G1246" s="98" t="s">
        <v>2986</v>
      </c>
      <c r="H1246" s="98" t="s">
        <v>2250</v>
      </c>
      <c r="I1246" s="98" t="s">
        <v>1704</v>
      </c>
      <c r="J1246" s="98" t="s">
        <v>1705</v>
      </c>
      <c r="K1246" s="98" t="s">
        <v>1706</v>
      </c>
    </row>
    <row r="1247" customFormat="false" ht="64" hidden="false" customHeight="true" outlineLevel="0" collapsed="false">
      <c r="C1247" s="98" t="s">
        <v>3007</v>
      </c>
      <c r="D1247" s="98" t="s">
        <v>1736</v>
      </c>
      <c r="E1247" s="98" t="s">
        <v>835</v>
      </c>
      <c r="F1247" s="98" t="n">
        <v>0.02</v>
      </c>
      <c r="G1247" s="98" t="s">
        <v>2986</v>
      </c>
      <c r="H1247" s="98" t="s">
        <v>2250</v>
      </c>
      <c r="I1247" s="98" t="s">
        <v>1704</v>
      </c>
      <c r="J1247" s="98" t="s">
        <v>1705</v>
      </c>
      <c r="K1247" s="98" t="s">
        <v>1706</v>
      </c>
    </row>
    <row r="1248" customFormat="false" ht="64" hidden="false" customHeight="true" outlineLevel="0" collapsed="false">
      <c r="C1248" s="98" t="s">
        <v>3008</v>
      </c>
      <c r="D1248" s="98" t="s">
        <v>1738</v>
      </c>
      <c r="E1248" s="98" t="s">
        <v>835</v>
      </c>
      <c r="F1248" s="98" t="n">
        <v>0.02</v>
      </c>
      <c r="G1248" s="98" t="s">
        <v>2986</v>
      </c>
      <c r="H1248" s="98" t="s">
        <v>2250</v>
      </c>
      <c r="I1248" s="98" t="s">
        <v>1704</v>
      </c>
      <c r="J1248" s="98" t="s">
        <v>1705</v>
      </c>
      <c r="K1248" s="98" t="s">
        <v>1706</v>
      </c>
    </row>
    <row r="1249" customFormat="false" ht="64" hidden="false" customHeight="true" outlineLevel="0" collapsed="false">
      <c r="C1249" s="98" t="s">
        <v>3009</v>
      </c>
      <c r="D1249" s="98" t="s">
        <v>1740</v>
      </c>
      <c r="E1249" s="98" t="s">
        <v>835</v>
      </c>
      <c r="F1249" s="98" t="n">
        <v>0.02</v>
      </c>
      <c r="G1249" s="98" t="s">
        <v>2986</v>
      </c>
      <c r="H1249" s="98" t="s">
        <v>2250</v>
      </c>
      <c r="I1249" s="98" t="s">
        <v>1704</v>
      </c>
      <c r="J1249" s="98" t="s">
        <v>1705</v>
      </c>
      <c r="K1249" s="98" t="s">
        <v>1706</v>
      </c>
    </row>
    <row r="1250" customFormat="false" ht="64" hidden="false" customHeight="true" outlineLevel="0" collapsed="false">
      <c r="C1250" s="98" t="s">
        <v>3010</v>
      </c>
      <c r="D1250" s="98" t="s">
        <v>1742</v>
      </c>
      <c r="E1250" s="98" t="s">
        <v>835</v>
      </c>
      <c r="F1250" s="98" t="n">
        <v>0.02</v>
      </c>
      <c r="G1250" s="98" t="s">
        <v>2986</v>
      </c>
      <c r="H1250" s="98" t="s">
        <v>2250</v>
      </c>
      <c r="I1250" s="98" t="s">
        <v>1704</v>
      </c>
      <c r="J1250" s="98" t="s">
        <v>1705</v>
      </c>
      <c r="K1250" s="98" t="s">
        <v>1706</v>
      </c>
    </row>
    <row r="1251" customFormat="false" ht="64" hidden="false" customHeight="true" outlineLevel="0" collapsed="false">
      <c r="C1251" s="98" t="s">
        <v>3011</v>
      </c>
      <c r="D1251" s="98" t="s">
        <v>1744</v>
      </c>
      <c r="E1251" s="98" t="s">
        <v>835</v>
      </c>
      <c r="F1251" s="98" t="n">
        <v>0.02</v>
      </c>
      <c r="G1251" s="98" t="s">
        <v>2986</v>
      </c>
      <c r="H1251" s="98" t="s">
        <v>2250</v>
      </c>
      <c r="I1251" s="98" t="s">
        <v>1704</v>
      </c>
      <c r="J1251" s="98" t="s">
        <v>1705</v>
      </c>
      <c r="K1251" s="98" t="s">
        <v>1706</v>
      </c>
    </row>
    <row r="1252" customFormat="false" ht="64" hidden="false" customHeight="true" outlineLevel="0" collapsed="false">
      <c r="C1252" s="98" t="s">
        <v>3012</v>
      </c>
      <c r="D1252" s="98" t="s">
        <v>1746</v>
      </c>
      <c r="E1252" s="98" t="s">
        <v>835</v>
      </c>
      <c r="F1252" s="98" t="n">
        <v>0.02</v>
      </c>
      <c r="G1252" s="98" t="s">
        <v>2986</v>
      </c>
      <c r="H1252" s="98" t="s">
        <v>2250</v>
      </c>
      <c r="I1252" s="98" t="s">
        <v>1704</v>
      </c>
      <c r="J1252" s="98" t="s">
        <v>1705</v>
      </c>
      <c r="K1252" s="98" t="s">
        <v>1706</v>
      </c>
    </row>
    <row r="1253" customFormat="false" ht="64" hidden="false" customHeight="true" outlineLevel="0" collapsed="false">
      <c r="C1253" s="98" t="s">
        <v>3013</v>
      </c>
      <c r="D1253" s="98" t="s">
        <v>1748</v>
      </c>
      <c r="E1253" s="98" t="s">
        <v>835</v>
      </c>
      <c r="F1253" s="98" t="n">
        <v>0.02</v>
      </c>
      <c r="G1253" s="98" t="s">
        <v>2986</v>
      </c>
      <c r="H1253" s="98" t="s">
        <v>2250</v>
      </c>
      <c r="I1253" s="98" t="s">
        <v>1704</v>
      </c>
      <c r="J1253" s="98" t="s">
        <v>1705</v>
      </c>
      <c r="K1253" s="98" t="s">
        <v>1706</v>
      </c>
    </row>
    <row r="1254" customFormat="false" ht="64" hidden="false" customHeight="true" outlineLevel="0" collapsed="false">
      <c r="C1254" s="98" t="s">
        <v>3014</v>
      </c>
      <c r="D1254" s="98" t="s">
        <v>1750</v>
      </c>
      <c r="E1254" s="98" t="s">
        <v>835</v>
      </c>
      <c r="F1254" s="98" t="n">
        <v>0.02</v>
      </c>
      <c r="G1254" s="98" t="s">
        <v>2986</v>
      </c>
      <c r="H1254" s="98" t="s">
        <v>2250</v>
      </c>
      <c r="I1254" s="98" t="s">
        <v>1704</v>
      </c>
      <c r="J1254" s="98" t="s">
        <v>1705</v>
      </c>
      <c r="K1254" s="98" t="s">
        <v>1706</v>
      </c>
    </row>
    <row r="1255" customFormat="false" ht="64" hidden="false" customHeight="true" outlineLevel="0" collapsed="false">
      <c r="C1255" s="98" t="s">
        <v>3015</v>
      </c>
      <c r="D1255" s="98" t="s">
        <v>1752</v>
      </c>
      <c r="E1255" s="98" t="s">
        <v>835</v>
      </c>
      <c r="F1255" s="98" t="n">
        <v>0.02</v>
      </c>
      <c r="G1255" s="98" t="s">
        <v>2986</v>
      </c>
      <c r="H1255" s="98" t="s">
        <v>2250</v>
      </c>
      <c r="I1255" s="98" t="s">
        <v>1704</v>
      </c>
      <c r="J1255" s="98" t="s">
        <v>1705</v>
      </c>
      <c r="K1255" s="98" t="s">
        <v>1706</v>
      </c>
    </row>
    <row r="1256" customFormat="false" ht="64" hidden="false" customHeight="true" outlineLevel="0" collapsed="false">
      <c r="C1256" s="98" t="s">
        <v>3016</v>
      </c>
      <c r="D1256" s="98" t="s">
        <v>1754</v>
      </c>
      <c r="E1256" s="98" t="s">
        <v>835</v>
      </c>
      <c r="F1256" s="98" t="n">
        <v>0.02</v>
      </c>
      <c r="G1256" s="98" t="s">
        <v>2986</v>
      </c>
      <c r="H1256" s="98" t="s">
        <v>2250</v>
      </c>
      <c r="I1256" s="98" t="s">
        <v>1704</v>
      </c>
      <c r="J1256" s="98" t="s">
        <v>1705</v>
      </c>
      <c r="K1256" s="98" t="s">
        <v>1706</v>
      </c>
    </row>
    <row r="1257" customFormat="false" ht="64" hidden="false" customHeight="true" outlineLevel="0" collapsed="false">
      <c r="C1257" s="98" t="s">
        <v>3017</v>
      </c>
      <c r="D1257" s="98" t="s">
        <v>1756</v>
      </c>
      <c r="E1257" s="98" t="s">
        <v>835</v>
      </c>
      <c r="F1257" s="98" t="n">
        <v>0.02</v>
      </c>
      <c r="G1257" s="98" t="s">
        <v>2986</v>
      </c>
      <c r="H1257" s="98" t="s">
        <v>2250</v>
      </c>
      <c r="I1257" s="98" t="s">
        <v>1704</v>
      </c>
      <c r="J1257" s="98" t="s">
        <v>1705</v>
      </c>
      <c r="K1257" s="98" t="s">
        <v>1706</v>
      </c>
    </row>
    <row r="1258" customFormat="false" ht="64" hidden="false" customHeight="true" outlineLevel="0" collapsed="false">
      <c r="C1258" s="98" t="s">
        <v>3018</v>
      </c>
      <c r="D1258" s="98" t="s">
        <v>1758</v>
      </c>
      <c r="E1258" s="98" t="s">
        <v>835</v>
      </c>
      <c r="F1258" s="98" t="n">
        <v>0.02</v>
      </c>
      <c r="G1258" s="98" t="s">
        <v>2986</v>
      </c>
      <c r="H1258" s="98" t="s">
        <v>2250</v>
      </c>
      <c r="I1258" s="98" t="s">
        <v>1704</v>
      </c>
      <c r="J1258" s="98" t="s">
        <v>1705</v>
      </c>
      <c r="K1258" s="98" t="s">
        <v>1706</v>
      </c>
    </row>
    <row r="1259" customFormat="false" ht="64" hidden="false" customHeight="true" outlineLevel="0" collapsed="false">
      <c r="C1259" s="98" t="s">
        <v>3019</v>
      </c>
      <c r="D1259" s="98" t="s">
        <v>1760</v>
      </c>
      <c r="E1259" s="98" t="s">
        <v>835</v>
      </c>
      <c r="F1259" s="98" t="n">
        <v>0.02</v>
      </c>
      <c r="G1259" s="98" t="s">
        <v>2986</v>
      </c>
      <c r="H1259" s="98" t="s">
        <v>2250</v>
      </c>
      <c r="I1259" s="98" t="s">
        <v>1704</v>
      </c>
      <c r="J1259" s="98" t="s">
        <v>1705</v>
      </c>
      <c r="K1259" s="98" t="s">
        <v>1706</v>
      </c>
    </row>
    <row r="1260" customFormat="false" ht="64" hidden="false" customHeight="true" outlineLevel="0" collapsed="false">
      <c r="C1260" s="98" t="s">
        <v>3020</v>
      </c>
      <c r="D1260" s="98" t="s">
        <v>1762</v>
      </c>
      <c r="E1260" s="98" t="s">
        <v>835</v>
      </c>
      <c r="F1260" s="98" t="n">
        <v>0.02</v>
      </c>
      <c r="G1260" s="98" t="s">
        <v>2986</v>
      </c>
      <c r="H1260" s="98" t="s">
        <v>2250</v>
      </c>
      <c r="I1260" s="98" t="s">
        <v>1704</v>
      </c>
      <c r="J1260" s="98" t="s">
        <v>1705</v>
      </c>
      <c r="K1260" s="98" t="s">
        <v>1706</v>
      </c>
    </row>
    <row r="1261" customFormat="false" ht="64" hidden="false" customHeight="true" outlineLevel="0" collapsed="false">
      <c r="C1261" s="98" t="s">
        <v>3021</v>
      </c>
      <c r="D1261" s="98" t="s">
        <v>1764</v>
      </c>
      <c r="E1261" s="98" t="s">
        <v>835</v>
      </c>
      <c r="F1261" s="98" t="n">
        <v>0.02</v>
      </c>
      <c r="G1261" s="98" t="s">
        <v>2986</v>
      </c>
      <c r="H1261" s="98" t="s">
        <v>2250</v>
      </c>
      <c r="I1261" s="98" t="s">
        <v>1704</v>
      </c>
      <c r="J1261" s="98" t="s">
        <v>1705</v>
      </c>
      <c r="K1261" s="98" t="s">
        <v>1706</v>
      </c>
    </row>
    <row r="1262" customFormat="false" ht="64" hidden="false" customHeight="true" outlineLevel="0" collapsed="false">
      <c r="C1262" s="98" t="s">
        <v>3022</v>
      </c>
      <c r="D1262" s="98" t="s">
        <v>1829</v>
      </c>
      <c r="E1262" s="98" t="s">
        <v>811</v>
      </c>
      <c r="F1262" s="98" t="n">
        <v>0</v>
      </c>
      <c r="G1262" s="98" t="s">
        <v>3023</v>
      </c>
      <c r="H1262" s="98" t="s">
        <v>1703</v>
      </c>
      <c r="I1262" s="98" t="s">
        <v>1704</v>
      </c>
      <c r="J1262" s="98" t="s">
        <v>1705</v>
      </c>
      <c r="K1262" s="98" t="s">
        <v>1706</v>
      </c>
    </row>
    <row r="1263" customFormat="false" ht="64" hidden="false" customHeight="true" outlineLevel="0" collapsed="false">
      <c r="C1263" s="98" t="s">
        <v>3024</v>
      </c>
      <c r="D1263" s="98" t="s">
        <v>1833</v>
      </c>
      <c r="E1263" s="98" t="s">
        <v>811</v>
      </c>
      <c r="F1263" s="98" t="n">
        <v>0</v>
      </c>
      <c r="G1263" s="98" t="s">
        <v>3023</v>
      </c>
      <c r="H1263" s="98" t="s">
        <v>1703</v>
      </c>
      <c r="I1263" s="98" t="s">
        <v>1704</v>
      </c>
      <c r="J1263" s="98" t="s">
        <v>1705</v>
      </c>
      <c r="K1263" s="98" t="s">
        <v>1706</v>
      </c>
    </row>
    <row r="1264" customFormat="false" ht="64" hidden="false" customHeight="true" outlineLevel="0" collapsed="false">
      <c r="C1264" s="98" t="s">
        <v>3025</v>
      </c>
      <c r="D1264" s="98" t="s">
        <v>1835</v>
      </c>
      <c r="E1264" s="98" t="s">
        <v>811</v>
      </c>
      <c r="F1264" s="98" t="n">
        <v>0</v>
      </c>
      <c r="G1264" s="98" t="s">
        <v>3023</v>
      </c>
      <c r="H1264" s="98" t="s">
        <v>1703</v>
      </c>
      <c r="I1264" s="98" t="s">
        <v>1704</v>
      </c>
      <c r="J1264" s="98" t="s">
        <v>1705</v>
      </c>
      <c r="K1264" s="98" t="s">
        <v>1706</v>
      </c>
    </row>
    <row r="1265" customFormat="false" ht="64" hidden="false" customHeight="true" outlineLevel="0" collapsed="false">
      <c r="C1265" s="98" t="s">
        <v>3026</v>
      </c>
      <c r="D1265" s="98" t="s">
        <v>1044</v>
      </c>
      <c r="E1265" s="98" t="s">
        <v>811</v>
      </c>
      <c r="F1265" s="98" t="n">
        <v>0</v>
      </c>
      <c r="G1265" s="98" t="s">
        <v>3023</v>
      </c>
      <c r="H1265" s="98" t="s">
        <v>1703</v>
      </c>
      <c r="I1265" s="98" t="s">
        <v>1704</v>
      </c>
      <c r="J1265" s="98" t="s">
        <v>1705</v>
      </c>
      <c r="K1265" s="98" t="s">
        <v>1706</v>
      </c>
    </row>
    <row r="1266" customFormat="false" ht="64" hidden="false" customHeight="true" outlineLevel="0" collapsed="false">
      <c r="C1266" s="98" t="s">
        <v>3027</v>
      </c>
      <c r="D1266" s="98" t="s">
        <v>1838</v>
      </c>
      <c r="E1266" s="98" t="s">
        <v>811</v>
      </c>
      <c r="F1266" s="98" t="n">
        <v>0</v>
      </c>
      <c r="G1266" s="98" t="s">
        <v>3023</v>
      </c>
      <c r="H1266" s="98" t="s">
        <v>1703</v>
      </c>
      <c r="I1266" s="98" t="s">
        <v>1704</v>
      </c>
      <c r="J1266" s="98" t="s">
        <v>1705</v>
      </c>
      <c r="K1266" s="98" t="s">
        <v>1706</v>
      </c>
    </row>
    <row r="1267" customFormat="false" ht="64" hidden="false" customHeight="true" outlineLevel="0" collapsed="false">
      <c r="C1267" s="98" t="s">
        <v>3028</v>
      </c>
      <c r="D1267" s="98" t="s">
        <v>1840</v>
      </c>
      <c r="E1267" s="98" t="s">
        <v>811</v>
      </c>
      <c r="F1267" s="98" t="n">
        <v>0</v>
      </c>
      <c r="G1267" s="98" t="s">
        <v>3023</v>
      </c>
      <c r="H1267" s="98" t="s">
        <v>1703</v>
      </c>
      <c r="I1267" s="98" t="s">
        <v>1704</v>
      </c>
      <c r="J1267" s="98" t="s">
        <v>1705</v>
      </c>
      <c r="K1267" s="98" t="s">
        <v>1706</v>
      </c>
    </row>
    <row r="1268" customFormat="false" ht="64" hidden="false" customHeight="true" outlineLevel="0" collapsed="false">
      <c r="C1268" s="98" t="s">
        <v>3029</v>
      </c>
      <c r="D1268" s="98" t="s">
        <v>1700</v>
      </c>
      <c r="E1268" s="98" t="s">
        <v>811</v>
      </c>
      <c r="F1268" s="98" t="n">
        <v>0</v>
      </c>
      <c r="G1268" s="98" t="s">
        <v>3023</v>
      </c>
      <c r="H1268" s="98" t="s">
        <v>1703</v>
      </c>
      <c r="I1268" s="98" t="s">
        <v>1704</v>
      </c>
      <c r="J1268" s="98" t="s">
        <v>1705</v>
      </c>
      <c r="K1268" s="98" t="s">
        <v>1706</v>
      </c>
    </row>
    <row r="1269" customFormat="false" ht="64" hidden="false" customHeight="true" outlineLevel="0" collapsed="false">
      <c r="C1269" s="98" t="s">
        <v>3030</v>
      </c>
      <c r="D1269" s="98" t="s">
        <v>1708</v>
      </c>
      <c r="E1269" s="98" t="s">
        <v>811</v>
      </c>
      <c r="F1269" s="98" t="n">
        <v>0</v>
      </c>
      <c r="G1269" s="98" t="s">
        <v>3023</v>
      </c>
      <c r="H1269" s="98" t="s">
        <v>1703</v>
      </c>
      <c r="I1269" s="98" t="s">
        <v>1704</v>
      </c>
      <c r="J1269" s="98" t="s">
        <v>1705</v>
      </c>
      <c r="K1269" s="98" t="s">
        <v>1706</v>
      </c>
    </row>
    <row r="1270" customFormat="false" ht="64" hidden="false" customHeight="true" outlineLevel="0" collapsed="false">
      <c r="C1270" s="98" t="s">
        <v>3031</v>
      </c>
      <c r="D1270" s="98" t="s">
        <v>1710</v>
      </c>
      <c r="E1270" s="98" t="s">
        <v>811</v>
      </c>
      <c r="F1270" s="98" t="n">
        <v>0</v>
      </c>
      <c r="G1270" s="98" t="s">
        <v>3023</v>
      </c>
      <c r="H1270" s="98" t="s">
        <v>1703</v>
      </c>
      <c r="I1270" s="98" t="s">
        <v>1704</v>
      </c>
      <c r="J1270" s="98" t="s">
        <v>1705</v>
      </c>
      <c r="K1270" s="98" t="s">
        <v>1706</v>
      </c>
    </row>
    <row r="1271" customFormat="false" ht="64" hidden="false" customHeight="true" outlineLevel="0" collapsed="false">
      <c r="C1271" s="98" t="s">
        <v>3032</v>
      </c>
      <c r="D1271" s="98" t="s">
        <v>1712</v>
      </c>
      <c r="E1271" s="98" t="s">
        <v>811</v>
      </c>
      <c r="F1271" s="98" t="n">
        <v>0</v>
      </c>
      <c r="G1271" s="98" t="s">
        <v>3023</v>
      </c>
      <c r="H1271" s="98" t="s">
        <v>1703</v>
      </c>
      <c r="I1271" s="98" t="s">
        <v>1704</v>
      </c>
      <c r="J1271" s="98" t="s">
        <v>1705</v>
      </c>
      <c r="K1271" s="98" t="s">
        <v>1706</v>
      </c>
    </row>
    <row r="1272" customFormat="false" ht="64" hidden="false" customHeight="true" outlineLevel="0" collapsed="false">
      <c r="C1272" s="98" t="s">
        <v>3033</v>
      </c>
      <c r="D1272" s="98" t="s">
        <v>1714</v>
      </c>
      <c r="E1272" s="98" t="s">
        <v>811</v>
      </c>
      <c r="F1272" s="98" t="n">
        <v>0</v>
      </c>
      <c r="G1272" s="98" t="s">
        <v>3023</v>
      </c>
      <c r="H1272" s="98" t="s">
        <v>1703</v>
      </c>
      <c r="I1272" s="98" t="s">
        <v>1704</v>
      </c>
      <c r="J1272" s="98" t="s">
        <v>1705</v>
      </c>
      <c r="K1272" s="98" t="s">
        <v>1706</v>
      </c>
    </row>
    <row r="1273" customFormat="false" ht="64" hidden="false" customHeight="true" outlineLevel="0" collapsed="false">
      <c r="C1273" s="98" t="s">
        <v>3034</v>
      </c>
      <c r="D1273" s="98" t="s">
        <v>1716</v>
      </c>
      <c r="E1273" s="98" t="s">
        <v>811</v>
      </c>
      <c r="F1273" s="98" t="n">
        <v>0</v>
      </c>
      <c r="G1273" s="98" t="s">
        <v>3023</v>
      </c>
      <c r="H1273" s="98" t="s">
        <v>1703</v>
      </c>
      <c r="I1273" s="98" t="s">
        <v>1704</v>
      </c>
      <c r="J1273" s="98" t="s">
        <v>1705</v>
      </c>
      <c r="K1273" s="98" t="s">
        <v>1706</v>
      </c>
    </row>
    <row r="1274" customFormat="false" ht="64" hidden="false" customHeight="true" outlineLevel="0" collapsed="false">
      <c r="C1274" s="98" t="s">
        <v>3035</v>
      </c>
      <c r="D1274" s="98" t="s">
        <v>1718</v>
      </c>
      <c r="E1274" s="98" t="s">
        <v>811</v>
      </c>
      <c r="F1274" s="98" t="n">
        <v>0</v>
      </c>
      <c r="G1274" s="98" t="s">
        <v>3023</v>
      </c>
      <c r="H1274" s="98" t="s">
        <v>1703</v>
      </c>
      <c r="I1274" s="98" t="s">
        <v>1704</v>
      </c>
      <c r="J1274" s="98" t="s">
        <v>1705</v>
      </c>
      <c r="K1274" s="98" t="s">
        <v>1706</v>
      </c>
    </row>
    <row r="1275" customFormat="false" ht="64" hidden="false" customHeight="true" outlineLevel="0" collapsed="false">
      <c r="C1275" s="98" t="s">
        <v>3036</v>
      </c>
      <c r="D1275" s="98" t="s">
        <v>1720</v>
      </c>
      <c r="E1275" s="98" t="s">
        <v>811</v>
      </c>
      <c r="F1275" s="98" t="n">
        <v>0</v>
      </c>
      <c r="G1275" s="98" t="s">
        <v>3023</v>
      </c>
      <c r="H1275" s="98" t="s">
        <v>1703</v>
      </c>
      <c r="I1275" s="98" t="s">
        <v>1704</v>
      </c>
      <c r="J1275" s="98" t="s">
        <v>1705</v>
      </c>
      <c r="K1275" s="98" t="s">
        <v>1706</v>
      </c>
    </row>
    <row r="1276" customFormat="false" ht="64" hidden="false" customHeight="true" outlineLevel="0" collapsed="false">
      <c r="C1276" s="98" t="s">
        <v>3037</v>
      </c>
      <c r="D1276" s="98" t="s">
        <v>1722</v>
      </c>
      <c r="E1276" s="98" t="s">
        <v>811</v>
      </c>
      <c r="F1276" s="98" t="n">
        <v>0</v>
      </c>
      <c r="G1276" s="98" t="s">
        <v>3023</v>
      </c>
      <c r="H1276" s="98" t="s">
        <v>1703</v>
      </c>
      <c r="I1276" s="98" t="s">
        <v>1704</v>
      </c>
      <c r="J1276" s="98" t="s">
        <v>1705</v>
      </c>
      <c r="K1276" s="98" t="s">
        <v>1706</v>
      </c>
    </row>
    <row r="1277" customFormat="false" ht="64" hidden="false" customHeight="true" outlineLevel="0" collapsed="false">
      <c r="C1277" s="98" t="s">
        <v>3038</v>
      </c>
      <c r="D1277" s="98" t="s">
        <v>1724</v>
      </c>
      <c r="E1277" s="98" t="s">
        <v>811</v>
      </c>
      <c r="F1277" s="98" t="n">
        <v>0</v>
      </c>
      <c r="G1277" s="98" t="s">
        <v>3023</v>
      </c>
      <c r="H1277" s="98" t="s">
        <v>1703</v>
      </c>
      <c r="I1277" s="98" t="s">
        <v>1704</v>
      </c>
      <c r="J1277" s="98" t="s">
        <v>1705</v>
      </c>
      <c r="K1277" s="98" t="s">
        <v>1706</v>
      </c>
    </row>
    <row r="1278" customFormat="false" ht="64" hidden="false" customHeight="true" outlineLevel="0" collapsed="false">
      <c r="C1278" s="98" t="s">
        <v>3039</v>
      </c>
      <c r="D1278" s="98" t="s">
        <v>1726</v>
      </c>
      <c r="E1278" s="98" t="s">
        <v>811</v>
      </c>
      <c r="F1278" s="98" t="n">
        <v>0</v>
      </c>
      <c r="G1278" s="98" t="s">
        <v>3023</v>
      </c>
      <c r="H1278" s="98" t="s">
        <v>1703</v>
      </c>
      <c r="I1278" s="98" t="s">
        <v>1704</v>
      </c>
      <c r="J1278" s="98" t="s">
        <v>1705</v>
      </c>
      <c r="K1278" s="98" t="s">
        <v>1706</v>
      </c>
    </row>
    <row r="1279" customFormat="false" ht="64" hidden="false" customHeight="true" outlineLevel="0" collapsed="false">
      <c r="C1279" s="98" t="s">
        <v>3040</v>
      </c>
      <c r="D1279" s="98" t="s">
        <v>1728</v>
      </c>
      <c r="E1279" s="98" t="s">
        <v>811</v>
      </c>
      <c r="F1279" s="98" t="n">
        <v>0</v>
      </c>
      <c r="G1279" s="98" t="s">
        <v>3023</v>
      </c>
      <c r="H1279" s="98" t="s">
        <v>1703</v>
      </c>
      <c r="I1279" s="98" t="s">
        <v>1704</v>
      </c>
      <c r="J1279" s="98" t="s">
        <v>1705</v>
      </c>
      <c r="K1279" s="98" t="s">
        <v>1706</v>
      </c>
    </row>
    <row r="1280" customFormat="false" ht="64" hidden="false" customHeight="true" outlineLevel="0" collapsed="false">
      <c r="C1280" s="98" t="s">
        <v>3041</v>
      </c>
      <c r="D1280" s="98" t="s">
        <v>1730</v>
      </c>
      <c r="E1280" s="98" t="s">
        <v>811</v>
      </c>
      <c r="F1280" s="98" t="n">
        <v>0</v>
      </c>
      <c r="G1280" s="98" t="s">
        <v>3023</v>
      </c>
      <c r="H1280" s="98" t="s">
        <v>1703</v>
      </c>
      <c r="I1280" s="98" t="s">
        <v>1704</v>
      </c>
      <c r="J1280" s="98" t="s">
        <v>1705</v>
      </c>
      <c r="K1280" s="98" t="s">
        <v>1706</v>
      </c>
    </row>
    <row r="1281" customFormat="false" ht="64" hidden="false" customHeight="true" outlineLevel="0" collapsed="false">
      <c r="C1281" s="98" t="s">
        <v>3042</v>
      </c>
      <c r="D1281" s="98" t="s">
        <v>1732</v>
      </c>
      <c r="E1281" s="98" t="s">
        <v>811</v>
      </c>
      <c r="F1281" s="98" t="n">
        <v>0</v>
      </c>
      <c r="G1281" s="98" t="s">
        <v>3023</v>
      </c>
      <c r="H1281" s="98" t="s">
        <v>1703</v>
      </c>
      <c r="I1281" s="98" t="s">
        <v>1704</v>
      </c>
      <c r="J1281" s="98" t="s">
        <v>1705</v>
      </c>
      <c r="K1281" s="98" t="s">
        <v>1706</v>
      </c>
    </row>
    <row r="1282" customFormat="false" ht="64" hidden="false" customHeight="true" outlineLevel="0" collapsed="false">
      <c r="C1282" s="98" t="s">
        <v>3043</v>
      </c>
      <c r="D1282" s="98" t="s">
        <v>1734</v>
      </c>
      <c r="E1282" s="98" t="s">
        <v>811</v>
      </c>
      <c r="F1282" s="98" t="n">
        <v>0</v>
      </c>
      <c r="G1282" s="98" t="s">
        <v>3023</v>
      </c>
      <c r="H1282" s="98" t="s">
        <v>1703</v>
      </c>
      <c r="I1282" s="98" t="s">
        <v>1704</v>
      </c>
      <c r="J1282" s="98" t="s">
        <v>1705</v>
      </c>
      <c r="K1282" s="98" t="s">
        <v>1706</v>
      </c>
    </row>
    <row r="1283" customFormat="false" ht="64" hidden="false" customHeight="true" outlineLevel="0" collapsed="false">
      <c r="C1283" s="98" t="s">
        <v>3044</v>
      </c>
      <c r="D1283" s="98" t="s">
        <v>1736</v>
      </c>
      <c r="E1283" s="98" t="s">
        <v>811</v>
      </c>
      <c r="F1283" s="98" t="n">
        <v>0</v>
      </c>
      <c r="G1283" s="98" t="s">
        <v>3023</v>
      </c>
      <c r="H1283" s="98" t="s">
        <v>1703</v>
      </c>
      <c r="I1283" s="98" t="s">
        <v>1704</v>
      </c>
      <c r="J1283" s="98" t="s">
        <v>1705</v>
      </c>
      <c r="K1283" s="98" t="s">
        <v>1706</v>
      </c>
    </row>
    <row r="1284" customFormat="false" ht="64" hidden="false" customHeight="true" outlineLevel="0" collapsed="false">
      <c r="C1284" s="98" t="s">
        <v>3045</v>
      </c>
      <c r="D1284" s="98" t="s">
        <v>1738</v>
      </c>
      <c r="E1284" s="98" t="s">
        <v>811</v>
      </c>
      <c r="F1284" s="98" t="n">
        <v>0</v>
      </c>
      <c r="G1284" s="98" t="s">
        <v>3023</v>
      </c>
      <c r="H1284" s="98" t="s">
        <v>1703</v>
      </c>
      <c r="I1284" s="98" t="s">
        <v>1704</v>
      </c>
      <c r="J1284" s="98" t="s">
        <v>1705</v>
      </c>
      <c r="K1284" s="98" t="s">
        <v>1706</v>
      </c>
    </row>
    <row r="1285" customFormat="false" ht="64" hidden="false" customHeight="true" outlineLevel="0" collapsed="false">
      <c r="C1285" s="98" t="s">
        <v>3046</v>
      </c>
      <c r="D1285" s="98" t="s">
        <v>1740</v>
      </c>
      <c r="E1285" s="98" t="s">
        <v>811</v>
      </c>
      <c r="F1285" s="98" t="n">
        <v>0</v>
      </c>
      <c r="G1285" s="98" t="s">
        <v>3023</v>
      </c>
      <c r="H1285" s="98" t="s">
        <v>1703</v>
      </c>
      <c r="I1285" s="98" t="s">
        <v>1704</v>
      </c>
      <c r="J1285" s="98" t="s">
        <v>1705</v>
      </c>
      <c r="K1285" s="98" t="s">
        <v>1706</v>
      </c>
    </row>
    <row r="1286" customFormat="false" ht="64" hidden="false" customHeight="true" outlineLevel="0" collapsed="false">
      <c r="C1286" s="98" t="s">
        <v>3047</v>
      </c>
      <c r="D1286" s="98" t="s">
        <v>1742</v>
      </c>
      <c r="E1286" s="98" t="s">
        <v>811</v>
      </c>
      <c r="F1286" s="98" t="n">
        <v>0</v>
      </c>
      <c r="G1286" s="98" t="s">
        <v>3023</v>
      </c>
      <c r="H1286" s="98" t="s">
        <v>1703</v>
      </c>
      <c r="I1286" s="98" t="s">
        <v>1704</v>
      </c>
      <c r="J1286" s="98" t="s">
        <v>1705</v>
      </c>
      <c r="K1286" s="98" t="s">
        <v>1706</v>
      </c>
    </row>
    <row r="1287" customFormat="false" ht="64" hidden="false" customHeight="true" outlineLevel="0" collapsed="false">
      <c r="C1287" s="98" t="s">
        <v>3048</v>
      </c>
      <c r="D1287" s="98" t="s">
        <v>1744</v>
      </c>
      <c r="E1287" s="98" t="s">
        <v>811</v>
      </c>
      <c r="F1287" s="98" t="n">
        <v>0</v>
      </c>
      <c r="G1287" s="98" t="s">
        <v>3023</v>
      </c>
      <c r="H1287" s="98" t="s">
        <v>1703</v>
      </c>
      <c r="I1287" s="98" t="s">
        <v>1704</v>
      </c>
      <c r="J1287" s="98" t="s">
        <v>1705</v>
      </c>
      <c r="K1287" s="98" t="s">
        <v>1706</v>
      </c>
    </row>
    <row r="1288" customFormat="false" ht="64" hidden="false" customHeight="true" outlineLevel="0" collapsed="false">
      <c r="C1288" s="98" t="s">
        <v>3049</v>
      </c>
      <c r="D1288" s="98" t="s">
        <v>1746</v>
      </c>
      <c r="E1288" s="98" t="s">
        <v>811</v>
      </c>
      <c r="F1288" s="98" t="n">
        <v>0</v>
      </c>
      <c r="G1288" s="98" t="s">
        <v>3023</v>
      </c>
      <c r="H1288" s="98" t="s">
        <v>1703</v>
      </c>
      <c r="I1288" s="98" t="s">
        <v>1704</v>
      </c>
      <c r="J1288" s="98" t="s">
        <v>1705</v>
      </c>
      <c r="K1288" s="98" t="s">
        <v>1706</v>
      </c>
    </row>
    <row r="1289" customFormat="false" ht="64" hidden="false" customHeight="true" outlineLevel="0" collapsed="false">
      <c r="C1289" s="98" t="s">
        <v>3050</v>
      </c>
      <c r="D1289" s="98" t="s">
        <v>1748</v>
      </c>
      <c r="E1289" s="98" t="s">
        <v>811</v>
      </c>
      <c r="F1289" s="98" t="n">
        <v>0</v>
      </c>
      <c r="G1289" s="98" t="s">
        <v>3023</v>
      </c>
      <c r="H1289" s="98" t="s">
        <v>1703</v>
      </c>
      <c r="I1289" s="98" t="s">
        <v>1704</v>
      </c>
      <c r="J1289" s="98" t="s">
        <v>1705</v>
      </c>
      <c r="K1289" s="98" t="s">
        <v>1706</v>
      </c>
    </row>
    <row r="1290" customFormat="false" ht="64" hidden="false" customHeight="true" outlineLevel="0" collapsed="false">
      <c r="C1290" s="98" t="s">
        <v>3051</v>
      </c>
      <c r="D1290" s="98" t="s">
        <v>1750</v>
      </c>
      <c r="E1290" s="98" t="s">
        <v>811</v>
      </c>
      <c r="F1290" s="98" t="n">
        <v>0</v>
      </c>
      <c r="G1290" s="98" t="s">
        <v>3023</v>
      </c>
      <c r="H1290" s="98" t="s">
        <v>1703</v>
      </c>
      <c r="I1290" s="98" t="s">
        <v>1704</v>
      </c>
      <c r="J1290" s="98" t="s">
        <v>1705</v>
      </c>
      <c r="K1290" s="98" t="s">
        <v>1706</v>
      </c>
    </row>
    <row r="1291" customFormat="false" ht="64" hidden="false" customHeight="true" outlineLevel="0" collapsed="false">
      <c r="C1291" s="98" t="s">
        <v>3052</v>
      </c>
      <c r="D1291" s="98" t="s">
        <v>1752</v>
      </c>
      <c r="E1291" s="98" t="s">
        <v>811</v>
      </c>
      <c r="F1291" s="98" t="n">
        <v>0</v>
      </c>
      <c r="G1291" s="98" t="s">
        <v>3023</v>
      </c>
      <c r="H1291" s="98" t="s">
        <v>1703</v>
      </c>
      <c r="I1291" s="98" t="s">
        <v>1704</v>
      </c>
      <c r="J1291" s="98" t="s">
        <v>1705</v>
      </c>
      <c r="K1291" s="98" t="s">
        <v>1706</v>
      </c>
    </row>
    <row r="1292" customFormat="false" ht="64" hidden="false" customHeight="true" outlineLevel="0" collapsed="false">
      <c r="C1292" s="98" t="s">
        <v>3053</v>
      </c>
      <c r="D1292" s="98" t="s">
        <v>1754</v>
      </c>
      <c r="E1292" s="98" t="s">
        <v>811</v>
      </c>
      <c r="F1292" s="98" t="n">
        <v>0</v>
      </c>
      <c r="G1292" s="98" t="s">
        <v>3023</v>
      </c>
      <c r="H1292" s="98" t="s">
        <v>1703</v>
      </c>
      <c r="I1292" s="98" t="s">
        <v>1704</v>
      </c>
      <c r="J1292" s="98" t="s">
        <v>1705</v>
      </c>
      <c r="K1292" s="98" t="s">
        <v>1706</v>
      </c>
    </row>
    <row r="1293" customFormat="false" ht="64" hidden="false" customHeight="true" outlineLevel="0" collapsed="false">
      <c r="C1293" s="98" t="s">
        <v>3054</v>
      </c>
      <c r="D1293" s="98" t="s">
        <v>1756</v>
      </c>
      <c r="E1293" s="98" t="s">
        <v>811</v>
      </c>
      <c r="F1293" s="98" t="n">
        <v>0</v>
      </c>
      <c r="G1293" s="98" t="s">
        <v>3023</v>
      </c>
      <c r="H1293" s="98" t="s">
        <v>1703</v>
      </c>
      <c r="I1293" s="98" t="s">
        <v>1704</v>
      </c>
      <c r="J1293" s="98" t="s">
        <v>1705</v>
      </c>
      <c r="K1293" s="98" t="s">
        <v>1706</v>
      </c>
    </row>
    <row r="1294" customFormat="false" ht="64" hidden="false" customHeight="true" outlineLevel="0" collapsed="false">
      <c r="C1294" s="98" t="s">
        <v>3055</v>
      </c>
      <c r="D1294" s="98" t="s">
        <v>1758</v>
      </c>
      <c r="E1294" s="98" t="s">
        <v>811</v>
      </c>
      <c r="F1294" s="98" t="n">
        <v>0</v>
      </c>
      <c r="G1294" s="98" t="s">
        <v>3023</v>
      </c>
      <c r="H1294" s="98" t="s">
        <v>1703</v>
      </c>
      <c r="I1294" s="98" t="s">
        <v>1704</v>
      </c>
      <c r="J1294" s="98" t="s">
        <v>1705</v>
      </c>
      <c r="K1294" s="98" t="s">
        <v>1706</v>
      </c>
    </row>
    <row r="1295" customFormat="false" ht="64" hidden="false" customHeight="true" outlineLevel="0" collapsed="false">
      <c r="C1295" s="98" t="s">
        <v>3056</v>
      </c>
      <c r="D1295" s="98" t="s">
        <v>1760</v>
      </c>
      <c r="E1295" s="98" t="s">
        <v>811</v>
      </c>
      <c r="F1295" s="98" t="n">
        <v>0</v>
      </c>
      <c r="G1295" s="98" t="s">
        <v>3023</v>
      </c>
      <c r="H1295" s="98" t="s">
        <v>1703</v>
      </c>
      <c r="I1295" s="98" t="s">
        <v>1704</v>
      </c>
      <c r="J1295" s="98" t="s">
        <v>1705</v>
      </c>
      <c r="K1295" s="98" t="s">
        <v>1706</v>
      </c>
    </row>
    <row r="1296" customFormat="false" ht="64" hidden="false" customHeight="true" outlineLevel="0" collapsed="false">
      <c r="C1296" s="98" t="s">
        <v>3057</v>
      </c>
      <c r="D1296" s="98" t="s">
        <v>1762</v>
      </c>
      <c r="E1296" s="98" t="s">
        <v>811</v>
      </c>
      <c r="F1296" s="98" t="n">
        <v>0</v>
      </c>
      <c r="G1296" s="98" t="s">
        <v>3023</v>
      </c>
      <c r="H1296" s="98" t="s">
        <v>1703</v>
      </c>
      <c r="I1296" s="98" t="s">
        <v>1704</v>
      </c>
      <c r="J1296" s="98" t="s">
        <v>1705</v>
      </c>
      <c r="K1296" s="98" t="s">
        <v>1706</v>
      </c>
    </row>
    <row r="1297" customFormat="false" ht="64" hidden="false" customHeight="true" outlineLevel="0" collapsed="false">
      <c r="C1297" s="98" t="s">
        <v>3058</v>
      </c>
      <c r="D1297" s="98" t="s">
        <v>1764</v>
      </c>
      <c r="E1297" s="98" t="s">
        <v>811</v>
      </c>
      <c r="F1297" s="98" t="n">
        <v>0</v>
      </c>
      <c r="G1297" s="98" t="s">
        <v>3023</v>
      </c>
      <c r="H1297" s="98" t="s">
        <v>1703</v>
      </c>
      <c r="I1297" s="98" t="s">
        <v>1704</v>
      </c>
      <c r="J1297" s="98" t="s">
        <v>1705</v>
      </c>
      <c r="K1297" s="98" t="s">
        <v>1706</v>
      </c>
    </row>
    <row r="1298" customFormat="false" ht="64" hidden="false" customHeight="true" outlineLevel="0" collapsed="false">
      <c r="C1298" s="98" t="s">
        <v>3059</v>
      </c>
      <c r="D1298" s="98" t="s">
        <v>1829</v>
      </c>
      <c r="E1298" s="98" t="s">
        <v>811</v>
      </c>
      <c r="F1298" s="98" t="n">
        <v>0</v>
      </c>
      <c r="G1298" s="98" t="s">
        <v>3060</v>
      </c>
      <c r="H1298" s="98" t="s">
        <v>1703</v>
      </c>
      <c r="I1298" s="98" t="s">
        <v>1704</v>
      </c>
      <c r="J1298" s="98" t="s">
        <v>1705</v>
      </c>
      <c r="K1298" s="98" t="s">
        <v>1706</v>
      </c>
    </row>
    <row r="1299" customFormat="false" ht="64" hidden="false" customHeight="true" outlineLevel="0" collapsed="false">
      <c r="C1299" s="98" t="s">
        <v>3061</v>
      </c>
      <c r="D1299" s="98" t="s">
        <v>1833</v>
      </c>
      <c r="E1299" s="98" t="s">
        <v>811</v>
      </c>
      <c r="F1299" s="98" t="n">
        <v>0</v>
      </c>
      <c r="G1299" s="98" t="s">
        <v>3060</v>
      </c>
      <c r="H1299" s="98" t="s">
        <v>1703</v>
      </c>
      <c r="I1299" s="98" t="s">
        <v>1704</v>
      </c>
      <c r="J1299" s="98" t="s">
        <v>1705</v>
      </c>
      <c r="K1299" s="98" t="s">
        <v>1706</v>
      </c>
    </row>
    <row r="1300" customFormat="false" ht="64" hidden="false" customHeight="true" outlineLevel="0" collapsed="false">
      <c r="C1300" s="98" t="s">
        <v>3062</v>
      </c>
      <c r="D1300" s="98" t="s">
        <v>1835</v>
      </c>
      <c r="E1300" s="98" t="s">
        <v>811</v>
      </c>
      <c r="F1300" s="98" t="n">
        <v>0</v>
      </c>
      <c r="G1300" s="98" t="s">
        <v>3060</v>
      </c>
      <c r="H1300" s="98" t="s">
        <v>1703</v>
      </c>
      <c r="I1300" s="98" t="s">
        <v>1704</v>
      </c>
      <c r="J1300" s="98" t="s">
        <v>1705</v>
      </c>
      <c r="K1300" s="98" t="s">
        <v>1706</v>
      </c>
    </row>
    <row r="1301" customFormat="false" ht="64" hidden="false" customHeight="true" outlineLevel="0" collapsed="false">
      <c r="C1301" s="98" t="s">
        <v>3063</v>
      </c>
      <c r="D1301" s="98" t="s">
        <v>1044</v>
      </c>
      <c r="E1301" s="98" t="s">
        <v>811</v>
      </c>
      <c r="F1301" s="98" t="n">
        <v>0</v>
      </c>
      <c r="G1301" s="98" t="s">
        <v>3060</v>
      </c>
      <c r="H1301" s="98" t="s">
        <v>1703</v>
      </c>
      <c r="I1301" s="98" t="s">
        <v>1704</v>
      </c>
      <c r="J1301" s="98" t="s">
        <v>1705</v>
      </c>
      <c r="K1301" s="98" t="s">
        <v>1706</v>
      </c>
    </row>
    <row r="1302" customFormat="false" ht="64" hidden="false" customHeight="true" outlineLevel="0" collapsed="false">
      <c r="C1302" s="98" t="s">
        <v>3064</v>
      </c>
      <c r="D1302" s="98" t="s">
        <v>1838</v>
      </c>
      <c r="E1302" s="98" t="s">
        <v>811</v>
      </c>
      <c r="F1302" s="98" t="n">
        <v>0</v>
      </c>
      <c r="G1302" s="98" t="s">
        <v>3060</v>
      </c>
      <c r="H1302" s="98" t="s">
        <v>1703</v>
      </c>
      <c r="I1302" s="98" t="s">
        <v>1704</v>
      </c>
      <c r="J1302" s="98" t="s">
        <v>1705</v>
      </c>
      <c r="K1302" s="98" t="s">
        <v>1706</v>
      </c>
    </row>
    <row r="1303" customFormat="false" ht="64" hidden="false" customHeight="true" outlineLevel="0" collapsed="false">
      <c r="C1303" s="98" t="s">
        <v>3065</v>
      </c>
      <c r="D1303" s="98" t="s">
        <v>1840</v>
      </c>
      <c r="E1303" s="98" t="s">
        <v>811</v>
      </c>
      <c r="F1303" s="98" t="n">
        <v>0</v>
      </c>
      <c r="G1303" s="98" t="s">
        <v>3060</v>
      </c>
      <c r="H1303" s="98" t="s">
        <v>1703</v>
      </c>
      <c r="I1303" s="98" t="s">
        <v>1704</v>
      </c>
      <c r="J1303" s="98" t="s">
        <v>1705</v>
      </c>
      <c r="K1303" s="98" t="s">
        <v>1706</v>
      </c>
    </row>
    <row r="1304" customFormat="false" ht="64" hidden="false" customHeight="true" outlineLevel="0" collapsed="false">
      <c r="C1304" s="98" t="s">
        <v>3066</v>
      </c>
      <c r="D1304" s="98" t="s">
        <v>1700</v>
      </c>
      <c r="E1304" s="98" t="s">
        <v>811</v>
      </c>
      <c r="F1304" s="98" t="n">
        <v>0</v>
      </c>
      <c r="G1304" s="98" t="s">
        <v>3060</v>
      </c>
      <c r="H1304" s="98" t="s">
        <v>1703</v>
      </c>
      <c r="I1304" s="98" t="s">
        <v>1704</v>
      </c>
      <c r="J1304" s="98" t="s">
        <v>1705</v>
      </c>
      <c r="K1304" s="98" t="s">
        <v>1706</v>
      </c>
    </row>
    <row r="1305" customFormat="false" ht="64" hidden="false" customHeight="true" outlineLevel="0" collapsed="false">
      <c r="C1305" s="98" t="s">
        <v>3067</v>
      </c>
      <c r="D1305" s="98" t="s">
        <v>1708</v>
      </c>
      <c r="E1305" s="98" t="s">
        <v>811</v>
      </c>
      <c r="F1305" s="98" t="n">
        <v>0</v>
      </c>
      <c r="G1305" s="98" t="s">
        <v>3060</v>
      </c>
      <c r="H1305" s="98" t="s">
        <v>1703</v>
      </c>
      <c r="I1305" s="98" t="s">
        <v>1704</v>
      </c>
      <c r="J1305" s="98" t="s">
        <v>1705</v>
      </c>
      <c r="K1305" s="98" t="s">
        <v>1706</v>
      </c>
    </row>
    <row r="1306" customFormat="false" ht="64" hidden="false" customHeight="true" outlineLevel="0" collapsed="false">
      <c r="C1306" s="98" t="s">
        <v>3068</v>
      </c>
      <c r="D1306" s="98" t="s">
        <v>1710</v>
      </c>
      <c r="E1306" s="98" t="s">
        <v>811</v>
      </c>
      <c r="F1306" s="98" t="n">
        <v>0</v>
      </c>
      <c r="G1306" s="98" t="s">
        <v>3060</v>
      </c>
      <c r="H1306" s="98" t="s">
        <v>1703</v>
      </c>
      <c r="I1306" s="98" t="s">
        <v>1704</v>
      </c>
      <c r="J1306" s="98" t="s">
        <v>1705</v>
      </c>
      <c r="K1306" s="98" t="s">
        <v>1706</v>
      </c>
    </row>
    <row r="1307" customFormat="false" ht="64" hidden="false" customHeight="true" outlineLevel="0" collapsed="false">
      <c r="C1307" s="98" t="s">
        <v>3069</v>
      </c>
      <c r="D1307" s="98" t="s">
        <v>1712</v>
      </c>
      <c r="E1307" s="98" t="s">
        <v>811</v>
      </c>
      <c r="F1307" s="98" t="n">
        <v>0</v>
      </c>
      <c r="G1307" s="98" t="s">
        <v>3060</v>
      </c>
      <c r="H1307" s="98" t="s">
        <v>1703</v>
      </c>
      <c r="I1307" s="98" t="s">
        <v>1704</v>
      </c>
      <c r="J1307" s="98" t="s">
        <v>1705</v>
      </c>
      <c r="K1307" s="98" t="s">
        <v>1706</v>
      </c>
    </row>
    <row r="1308" customFormat="false" ht="64" hidden="false" customHeight="true" outlineLevel="0" collapsed="false">
      <c r="C1308" s="98" t="s">
        <v>3070</v>
      </c>
      <c r="D1308" s="98" t="s">
        <v>1714</v>
      </c>
      <c r="E1308" s="98" t="s">
        <v>811</v>
      </c>
      <c r="F1308" s="98" t="n">
        <v>0</v>
      </c>
      <c r="G1308" s="98" t="s">
        <v>3060</v>
      </c>
      <c r="H1308" s="98" t="s">
        <v>1703</v>
      </c>
      <c r="I1308" s="98" t="s">
        <v>1704</v>
      </c>
      <c r="J1308" s="98" t="s">
        <v>1705</v>
      </c>
      <c r="K1308" s="98" t="s">
        <v>1706</v>
      </c>
    </row>
    <row r="1309" customFormat="false" ht="64" hidden="false" customHeight="true" outlineLevel="0" collapsed="false">
      <c r="C1309" s="98" t="s">
        <v>3071</v>
      </c>
      <c r="D1309" s="98" t="s">
        <v>1716</v>
      </c>
      <c r="E1309" s="98" t="s">
        <v>811</v>
      </c>
      <c r="F1309" s="98" t="n">
        <v>0</v>
      </c>
      <c r="G1309" s="98" t="s">
        <v>3060</v>
      </c>
      <c r="H1309" s="98" t="s">
        <v>1703</v>
      </c>
      <c r="I1309" s="98" t="s">
        <v>1704</v>
      </c>
      <c r="J1309" s="98" t="s">
        <v>1705</v>
      </c>
      <c r="K1309" s="98" t="s">
        <v>1706</v>
      </c>
    </row>
    <row r="1310" customFormat="false" ht="64" hidden="false" customHeight="true" outlineLevel="0" collapsed="false">
      <c r="C1310" s="98" t="s">
        <v>3072</v>
      </c>
      <c r="D1310" s="98" t="s">
        <v>1718</v>
      </c>
      <c r="E1310" s="98" t="s">
        <v>811</v>
      </c>
      <c r="F1310" s="98" t="n">
        <v>0</v>
      </c>
      <c r="G1310" s="98" t="s">
        <v>3060</v>
      </c>
      <c r="H1310" s="98" t="s">
        <v>1703</v>
      </c>
      <c r="I1310" s="98" t="s">
        <v>1704</v>
      </c>
      <c r="J1310" s="98" t="s">
        <v>1705</v>
      </c>
      <c r="K1310" s="98" t="s">
        <v>1706</v>
      </c>
    </row>
    <row r="1311" customFormat="false" ht="64" hidden="false" customHeight="true" outlineLevel="0" collapsed="false">
      <c r="C1311" s="98" t="s">
        <v>3073</v>
      </c>
      <c r="D1311" s="98" t="s">
        <v>1720</v>
      </c>
      <c r="E1311" s="98" t="s">
        <v>811</v>
      </c>
      <c r="F1311" s="98" t="n">
        <v>0</v>
      </c>
      <c r="G1311" s="98" t="s">
        <v>3060</v>
      </c>
      <c r="H1311" s="98" t="s">
        <v>1703</v>
      </c>
      <c r="I1311" s="98" t="s">
        <v>1704</v>
      </c>
      <c r="J1311" s="98" t="s">
        <v>1705</v>
      </c>
      <c r="K1311" s="98" t="s">
        <v>1706</v>
      </c>
    </row>
    <row r="1312" customFormat="false" ht="64" hidden="false" customHeight="true" outlineLevel="0" collapsed="false">
      <c r="C1312" s="98" t="s">
        <v>3074</v>
      </c>
      <c r="D1312" s="98" t="s">
        <v>1722</v>
      </c>
      <c r="E1312" s="98" t="s">
        <v>811</v>
      </c>
      <c r="F1312" s="98" t="n">
        <v>0</v>
      </c>
      <c r="G1312" s="98" t="s">
        <v>3060</v>
      </c>
      <c r="H1312" s="98" t="s">
        <v>1703</v>
      </c>
      <c r="I1312" s="98" t="s">
        <v>1704</v>
      </c>
      <c r="J1312" s="98" t="s">
        <v>1705</v>
      </c>
      <c r="K1312" s="98" t="s">
        <v>1706</v>
      </c>
    </row>
    <row r="1313" customFormat="false" ht="64" hidden="false" customHeight="true" outlineLevel="0" collapsed="false">
      <c r="C1313" s="98" t="s">
        <v>3075</v>
      </c>
      <c r="D1313" s="98" t="s">
        <v>1724</v>
      </c>
      <c r="E1313" s="98" t="s">
        <v>811</v>
      </c>
      <c r="F1313" s="98" t="n">
        <v>0</v>
      </c>
      <c r="G1313" s="98" t="s">
        <v>3060</v>
      </c>
      <c r="H1313" s="98" t="s">
        <v>1703</v>
      </c>
      <c r="I1313" s="98" t="s">
        <v>1704</v>
      </c>
      <c r="J1313" s="98" t="s">
        <v>1705</v>
      </c>
      <c r="K1313" s="98" t="s">
        <v>1706</v>
      </c>
    </row>
    <row r="1314" customFormat="false" ht="64" hidden="false" customHeight="true" outlineLevel="0" collapsed="false">
      <c r="C1314" s="98" t="s">
        <v>3076</v>
      </c>
      <c r="D1314" s="98" t="s">
        <v>1726</v>
      </c>
      <c r="E1314" s="98" t="s">
        <v>811</v>
      </c>
      <c r="F1314" s="98" t="n">
        <v>0</v>
      </c>
      <c r="G1314" s="98" t="s">
        <v>3060</v>
      </c>
      <c r="H1314" s="98" t="s">
        <v>1703</v>
      </c>
      <c r="I1314" s="98" t="s">
        <v>1704</v>
      </c>
      <c r="J1314" s="98" t="s">
        <v>1705</v>
      </c>
      <c r="K1314" s="98" t="s">
        <v>1706</v>
      </c>
    </row>
    <row r="1315" customFormat="false" ht="64" hidden="false" customHeight="true" outlineLevel="0" collapsed="false">
      <c r="C1315" s="98" t="s">
        <v>3077</v>
      </c>
      <c r="D1315" s="98" t="s">
        <v>1728</v>
      </c>
      <c r="E1315" s="98" t="s">
        <v>811</v>
      </c>
      <c r="F1315" s="98" t="n">
        <v>0</v>
      </c>
      <c r="G1315" s="98" t="s">
        <v>3060</v>
      </c>
      <c r="H1315" s="98" t="s">
        <v>1703</v>
      </c>
      <c r="I1315" s="98" t="s">
        <v>1704</v>
      </c>
      <c r="J1315" s="98" t="s">
        <v>1705</v>
      </c>
      <c r="K1315" s="98" t="s">
        <v>1706</v>
      </c>
    </row>
    <row r="1316" customFormat="false" ht="64" hidden="false" customHeight="true" outlineLevel="0" collapsed="false">
      <c r="C1316" s="98" t="s">
        <v>3078</v>
      </c>
      <c r="D1316" s="98" t="s">
        <v>1730</v>
      </c>
      <c r="E1316" s="98" t="s">
        <v>811</v>
      </c>
      <c r="F1316" s="98" t="n">
        <v>0</v>
      </c>
      <c r="G1316" s="98" t="s">
        <v>3060</v>
      </c>
      <c r="H1316" s="98" t="s">
        <v>1703</v>
      </c>
      <c r="I1316" s="98" t="s">
        <v>1704</v>
      </c>
      <c r="J1316" s="98" t="s">
        <v>1705</v>
      </c>
      <c r="K1316" s="98" t="s">
        <v>1706</v>
      </c>
    </row>
    <row r="1317" customFormat="false" ht="64" hidden="false" customHeight="true" outlineLevel="0" collapsed="false">
      <c r="C1317" s="98" t="s">
        <v>3079</v>
      </c>
      <c r="D1317" s="98" t="s">
        <v>1732</v>
      </c>
      <c r="E1317" s="98" t="s">
        <v>811</v>
      </c>
      <c r="F1317" s="98" t="n">
        <v>0</v>
      </c>
      <c r="G1317" s="98" t="s">
        <v>3060</v>
      </c>
      <c r="H1317" s="98" t="s">
        <v>1703</v>
      </c>
      <c r="I1317" s="98" t="s">
        <v>1704</v>
      </c>
      <c r="J1317" s="98" t="s">
        <v>1705</v>
      </c>
      <c r="K1317" s="98" t="s">
        <v>1706</v>
      </c>
    </row>
    <row r="1318" customFormat="false" ht="64" hidden="false" customHeight="true" outlineLevel="0" collapsed="false">
      <c r="C1318" s="98" t="s">
        <v>3080</v>
      </c>
      <c r="D1318" s="98" t="s">
        <v>1734</v>
      </c>
      <c r="E1318" s="98" t="s">
        <v>811</v>
      </c>
      <c r="F1318" s="98" t="n">
        <v>0</v>
      </c>
      <c r="G1318" s="98" t="s">
        <v>3060</v>
      </c>
      <c r="H1318" s="98" t="s">
        <v>1703</v>
      </c>
      <c r="I1318" s="98" t="s">
        <v>1704</v>
      </c>
      <c r="J1318" s="98" t="s">
        <v>1705</v>
      </c>
      <c r="K1318" s="98" t="s">
        <v>1706</v>
      </c>
    </row>
    <row r="1319" customFormat="false" ht="64" hidden="false" customHeight="true" outlineLevel="0" collapsed="false">
      <c r="C1319" s="98" t="s">
        <v>3081</v>
      </c>
      <c r="D1319" s="98" t="s">
        <v>1736</v>
      </c>
      <c r="E1319" s="98" t="s">
        <v>811</v>
      </c>
      <c r="F1319" s="98" t="n">
        <v>0</v>
      </c>
      <c r="G1319" s="98" t="s">
        <v>3060</v>
      </c>
      <c r="H1319" s="98" t="s">
        <v>1703</v>
      </c>
      <c r="I1319" s="98" t="s">
        <v>1704</v>
      </c>
      <c r="J1319" s="98" t="s">
        <v>1705</v>
      </c>
      <c r="K1319" s="98" t="s">
        <v>1706</v>
      </c>
    </row>
    <row r="1320" customFormat="false" ht="64" hidden="false" customHeight="true" outlineLevel="0" collapsed="false">
      <c r="C1320" s="98" t="s">
        <v>3082</v>
      </c>
      <c r="D1320" s="98" t="s">
        <v>1738</v>
      </c>
      <c r="E1320" s="98" t="s">
        <v>811</v>
      </c>
      <c r="F1320" s="98" t="n">
        <v>0</v>
      </c>
      <c r="G1320" s="98" t="s">
        <v>3060</v>
      </c>
      <c r="H1320" s="98" t="s">
        <v>1703</v>
      </c>
      <c r="I1320" s="98" t="s">
        <v>1704</v>
      </c>
      <c r="J1320" s="98" t="s">
        <v>1705</v>
      </c>
      <c r="K1320" s="98" t="s">
        <v>1706</v>
      </c>
    </row>
    <row r="1321" customFormat="false" ht="64" hidden="false" customHeight="true" outlineLevel="0" collapsed="false">
      <c r="C1321" s="98" t="s">
        <v>3083</v>
      </c>
      <c r="D1321" s="98" t="s">
        <v>1740</v>
      </c>
      <c r="E1321" s="98" t="s">
        <v>811</v>
      </c>
      <c r="F1321" s="98" t="n">
        <v>0</v>
      </c>
      <c r="G1321" s="98" t="s">
        <v>3060</v>
      </c>
      <c r="H1321" s="98" t="s">
        <v>1703</v>
      </c>
      <c r="I1321" s="98" t="s">
        <v>1704</v>
      </c>
      <c r="J1321" s="98" t="s">
        <v>1705</v>
      </c>
      <c r="K1321" s="98" t="s">
        <v>1706</v>
      </c>
    </row>
    <row r="1322" customFormat="false" ht="64" hidden="false" customHeight="true" outlineLevel="0" collapsed="false">
      <c r="C1322" s="98" t="s">
        <v>3084</v>
      </c>
      <c r="D1322" s="98" t="s">
        <v>1742</v>
      </c>
      <c r="E1322" s="98" t="s">
        <v>811</v>
      </c>
      <c r="F1322" s="98" t="n">
        <v>0</v>
      </c>
      <c r="G1322" s="98" t="s">
        <v>3060</v>
      </c>
      <c r="H1322" s="98" t="s">
        <v>1703</v>
      </c>
      <c r="I1322" s="98" t="s">
        <v>1704</v>
      </c>
      <c r="J1322" s="98" t="s">
        <v>1705</v>
      </c>
      <c r="K1322" s="98" t="s">
        <v>1706</v>
      </c>
    </row>
    <row r="1323" customFormat="false" ht="64" hidden="false" customHeight="true" outlineLevel="0" collapsed="false">
      <c r="C1323" s="98" t="s">
        <v>3085</v>
      </c>
      <c r="D1323" s="98" t="s">
        <v>1744</v>
      </c>
      <c r="E1323" s="98" t="s">
        <v>811</v>
      </c>
      <c r="F1323" s="98" t="n">
        <v>0</v>
      </c>
      <c r="G1323" s="98" t="s">
        <v>3060</v>
      </c>
      <c r="H1323" s="98" t="s">
        <v>1703</v>
      </c>
      <c r="I1323" s="98" t="s">
        <v>1704</v>
      </c>
      <c r="J1323" s="98" t="s">
        <v>1705</v>
      </c>
      <c r="K1323" s="98" t="s">
        <v>1706</v>
      </c>
    </row>
    <row r="1324" customFormat="false" ht="64" hidden="false" customHeight="true" outlineLevel="0" collapsed="false">
      <c r="C1324" s="98" t="s">
        <v>3086</v>
      </c>
      <c r="D1324" s="98" t="s">
        <v>1746</v>
      </c>
      <c r="E1324" s="98" t="s">
        <v>811</v>
      </c>
      <c r="F1324" s="98" t="n">
        <v>0</v>
      </c>
      <c r="G1324" s="98" t="s">
        <v>3060</v>
      </c>
      <c r="H1324" s="98" t="s">
        <v>1703</v>
      </c>
      <c r="I1324" s="98" t="s">
        <v>1704</v>
      </c>
      <c r="J1324" s="98" t="s">
        <v>1705</v>
      </c>
      <c r="K1324" s="98" t="s">
        <v>1706</v>
      </c>
    </row>
    <row r="1325" customFormat="false" ht="64" hidden="false" customHeight="true" outlineLevel="0" collapsed="false">
      <c r="C1325" s="98" t="s">
        <v>3087</v>
      </c>
      <c r="D1325" s="98" t="s">
        <v>1748</v>
      </c>
      <c r="E1325" s="98" t="s">
        <v>811</v>
      </c>
      <c r="F1325" s="98" t="n">
        <v>0</v>
      </c>
      <c r="G1325" s="98" t="s">
        <v>3060</v>
      </c>
      <c r="H1325" s="98" t="s">
        <v>1703</v>
      </c>
      <c r="I1325" s="98" t="s">
        <v>1704</v>
      </c>
      <c r="J1325" s="98" t="s">
        <v>1705</v>
      </c>
      <c r="K1325" s="98" t="s">
        <v>1706</v>
      </c>
    </row>
    <row r="1326" customFormat="false" ht="64" hidden="false" customHeight="true" outlineLevel="0" collapsed="false">
      <c r="C1326" s="98" t="s">
        <v>3088</v>
      </c>
      <c r="D1326" s="98" t="s">
        <v>1750</v>
      </c>
      <c r="E1326" s="98" t="s">
        <v>811</v>
      </c>
      <c r="F1326" s="98" t="n">
        <v>0</v>
      </c>
      <c r="G1326" s="98" t="s">
        <v>3060</v>
      </c>
      <c r="H1326" s="98" t="s">
        <v>1703</v>
      </c>
      <c r="I1326" s="98" t="s">
        <v>1704</v>
      </c>
      <c r="J1326" s="98" t="s">
        <v>1705</v>
      </c>
      <c r="K1326" s="98" t="s">
        <v>1706</v>
      </c>
    </row>
    <row r="1327" customFormat="false" ht="64" hidden="false" customHeight="true" outlineLevel="0" collapsed="false">
      <c r="C1327" s="98" t="s">
        <v>3089</v>
      </c>
      <c r="D1327" s="98" t="s">
        <v>1752</v>
      </c>
      <c r="E1327" s="98" t="s">
        <v>811</v>
      </c>
      <c r="F1327" s="98" t="n">
        <v>0</v>
      </c>
      <c r="G1327" s="98" t="s">
        <v>3060</v>
      </c>
      <c r="H1327" s="98" t="s">
        <v>1703</v>
      </c>
      <c r="I1327" s="98" t="s">
        <v>1704</v>
      </c>
      <c r="J1327" s="98" t="s">
        <v>1705</v>
      </c>
      <c r="K1327" s="98" t="s">
        <v>1706</v>
      </c>
    </row>
    <row r="1328" customFormat="false" ht="64" hidden="false" customHeight="true" outlineLevel="0" collapsed="false">
      <c r="C1328" s="98" t="s">
        <v>3090</v>
      </c>
      <c r="D1328" s="98" t="s">
        <v>1754</v>
      </c>
      <c r="E1328" s="98" t="s">
        <v>811</v>
      </c>
      <c r="F1328" s="98" t="n">
        <v>0</v>
      </c>
      <c r="G1328" s="98" t="s">
        <v>3060</v>
      </c>
      <c r="H1328" s="98" t="s">
        <v>1703</v>
      </c>
      <c r="I1328" s="98" t="s">
        <v>1704</v>
      </c>
      <c r="J1328" s="98" t="s">
        <v>1705</v>
      </c>
      <c r="K1328" s="98" t="s">
        <v>1706</v>
      </c>
    </row>
    <row r="1329" customFormat="false" ht="64" hidden="false" customHeight="true" outlineLevel="0" collapsed="false">
      <c r="C1329" s="98" t="s">
        <v>3091</v>
      </c>
      <c r="D1329" s="98" t="s">
        <v>1756</v>
      </c>
      <c r="E1329" s="98" t="s">
        <v>811</v>
      </c>
      <c r="F1329" s="98" t="n">
        <v>0</v>
      </c>
      <c r="G1329" s="98" t="s">
        <v>3060</v>
      </c>
      <c r="H1329" s="98" t="s">
        <v>1703</v>
      </c>
      <c r="I1329" s="98" t="s">
        <v>1704</v>
      </c>
      <c r="J1329" s="98" t="s">
        <v>1705</v>
      </c>
      <c r="K1329" s="98" t="s">
        <v>1706</v>
      </c>
    </row>
    <row r="1330" customFormat="false" ht="64" hidden="false" customHeight="true" outlineLevel="0" collapsed="false">
      <c r="C1330" s="98" t="s">
        <v>3092</v>
      </c>
      <c r="D1330" s="98" t="s">
        <v>1758</v>
      </c>
      <c r="E1330" s="98" t="s">
        <v>811</v>
      </c>
      <c r="F1330" s="98" t="n">
        <v>0</v>
      </c>
      <c r="G1330" s="98" t="s">
        <v>3060</v>
      </c>
      <c r="H1330" s="98" t="s">
        <v>1703</v>
      </c>
      <c r="I1330" s="98" t="s">
        <v>1704</v>
      </c>
      <c r="J1330" s="98" t="s">
        <v>1705</v>
      </c>
      <c r="K1330" s="98" t="s">
        <v>1706</v>
      </c>
    </row>
    <row r="1331" customFormat="false" ht="64" hidden="false" customHeight="true" outlineLevel="0" collapsed="false">
      <c r="C1331" s="98" t="s">
        <v>3093</v>
      </c>
      <c r="D1331" s="98" t="s">
        <v>1760</v>
      </c>
      <c r="E1331" s="98" t="s">
        <v>811</v>
      </c>
      <c r="F1331" s="98" t="n">
        <v>0</v>
      </c>
      <c r="G1331" s="98" t="s">
        <v>3060</v>
      </c>
      <c r="H1331" s="98" t="s">
        <v>1703</v>
      </c>
      <c r="I1331" s="98" t="s">
        <v>1704</v>
      </c>
      <c r="J1331" s="98" t="s">
        <v>1705</v>
      </c>
      <c r="K1331" s="98" t="s">
        <v>1706</v>
      </c>
    </row>
    <row r="1332" customFormat="false" ht="64" hidden="false" customHeight="true" outlineLevel="0" collapsed="false">
      <c r="C1332" s="98" t="s">
        <v>3094</v>
      </c>
      <c r="D1332" s="98" t="s">
        <v>1762</v>
      </c>
      <c r="E1332" s="98" t="s">
        <v>811</v>
      </c>
      <c r="F1332" s="98" t="n">
        <v>0</v>
      </c>
      <c r="G1332" s="98" t="s">
        <v>3060</v>
      </c>
      <c r="H1332" s="98" t="s">
        <v>1703</v>
      </c>
      <c r="I1332" s="98" t="s">
        <v>1704</v>
      </c>
      <c r="J1332" s="98" t="s">
        <v>1705</v>
      </c>
      <c r="K1332" s="98" t="s">
        <v>1706</v>
      </c>
    </row>
    <row r="1333" customFormat="false" ht="64" hidden="false" customHeight="true" outlineLevel="0" collapsed="false">
      <c r="C1333" s="98" t="s">
        <v>3095</v>
      </c>
      <c r="D1333" s="98" t="s">
        <v>1764</v>
      </c>
      <c r="E1333" s="98" t="s">
        <v>811</v>
      </c>
      <c r="F1333" s="98" t="n">
        <v>0</v>
      </c>
      <c r="G1333" s="98" t="s">
        <v>3060</v>
      </c>
      <c r="H1333" s="98" t="s">
        <v>1703</v>
      </c>
      <c r="I1333" s="98" t="s">
        <v>1704</v>
      </c>
      <c r="J1333" s="98" t="s">
        <v>1705</v>
      </c>
      <c r="K1333" s="98" t="s">
        <v>1706</v>
      </c>
    </row>
    <row r="1334" customFormat="false" ht="64" hidden="false" customHeight="true" outlineLevel="0" collapsed="false">
      <c r="C1334" s="98" t="s">
        <v>3096</v>
      </c>
      <c r="D1334" s="98" t="s">
        <v>1829</v>
      </c>
      <c r="E1334" s="98" t="s">
        <v>811</v>
      </c>
      <c r="F1334" s="98" t="n">
        <v>0</v>
      </c>
      <c r="G1334" s="98" t="s">
        <v>3097</v>
      </c>
      <c r="H1334" s="98" t="s">
        <v>3098</v>
      </c>
      <c r="I1334" s="98" t="s">
        <v>1704</v>
      </c>
      <c r="J1334" s="98" t="s">
        <v>1705</v>
      </c>
      <c r="K1334" s="98" t="s">
        <v>1706</v>
      </c>
    </row>
    <row r="1335" customFormat="false" ht="64" hidden="false" customHeight="true" outlineLevel="0" collapsed="false">
      <c r="C1335" s="98" t="s">
        <v>3099</v>
      </c>
      <c r="D1335" s="98" t="s">
        <v>1833</v>
      </c>
      <c r="E1335" s="98" t="s">
        <v>811</v>
      </c>
      <c r="F1335" s="98" t="n">
        <v>0</v>
      </c>
      <c r="G1335" s="98" t="s">
        <v>3097</v>
      </c>
      <c r="H1335" s="98" t="s">
        <v>3098</v>
      </c>
      <c r="I1335" s="98" t="s">
        <v>1704</v>
      </c>
      <c r="J1335" s="98" t="s">
        <v>1705</v>
      </c>
      <c r="K1335" s="98" t="s">
        <v>1706</v>
      </c>
    </row>
    <row r="1336" customFormat="false" ht="64" hidden="false" customHeight="true" outlineLevel="0" collapsed="false">
      <c r="C1336" s="98" t="s">
        <v>3100</v>
      </c>
      <c r="D1336" s="98" t="s">
        <v>1835</v>
      </c>
      <c r="E1336" s="98" t="s">
        <v>811</v>
      </c>
      <c r="F1336" s="98" t="n">
        <v>0</v>
      </c>
      <c r="G1336" s="98" t="s">
        <v>3097</v>
      </c>
      <c r="H1336" s="98" t="s">
        <v>3098</v>
      </c>
      <c r="I1336" s="98" t="s">
        <v>1704</v>
      </c>
      <c r="J1336" s="98" t="s">
        <v>1705</v>
      </c>
      <c r="K1336" s="98" t="s">
        <v>1706</v>
      </c>
    </row>
    <row r="1337" customFormat="false" ht="64" hidden="false" customHeight="true" outlineLevel="0" collapsed="false">
      <c r="C1337" s="98" t="s">
        <v>3101</v>
      </c>
      <c r="D1337" s="98" t="s">
        <v>1044</v>
      </c>
      <c r="E1337" s="98" t="s">
        <v>811</v>
      </c>
      <c r="F1337" s="98" t="n">
        <v>0</v>
      </c>
      <c r="G1337" s="98" t="s">
        <v>3097</v>
      </c>
      <c r="H1337" s="98" t="s">
        <v>3098</v>
      </c>
      <c r="I1337" s="98" t="s">
        <v>1704</v>
      </c>
      <c r="J1337" s="98" t="s">
        <v>1705</v>
      </c>
      <c r="K1337" s="98" t="s">
        <v>1706</v>
      </c>
    </row>
    <row r="1338" customFormat="false" ht="64" hidden="false" customHeight="true" outlineLevel="0" collapsed="false">
      <c r="C1338" s="98" t="s">
        <v>3102</v>
      </c>
      <c r="D1338" s="98" t="s">
        <v>1838</v>
      </c>
      <c r="E1338" s="98" t="s">
        <v>811</v>
      </c>
      <c r="F1338" s="98" t="n">
        <v>0</v>
      </c>
      <c r="G1338" s="98" t="s">
        <v>3097</v>
      </c>
      <c r="H1338" s="98" t="s">
        <v>3098</v>
      </c>
      <c r="I1338" s="98" t="s">
        <v>1704</v>
      </c>
      <c r="J1338" s="98" t="s">
        <v>1705</v>
      </c>
      <c r="K1338" s="98" t="s">
        <v>1706</v>
      </c>
    </row>
    <row r="1339" customFormat="false" ht="64" hidden="false" customHeight="true" outlineLevel="0" collapsed="false">
      <c r="C1339" s="98" t="s">
        <v>3103</v>
      </c>
      <c r="D1339" s="98" t="s">
        <v>1840</v>
      </c>
      <c r="E1339" s="98" t="s">
        <v>811</v>
      </c>
      <c r="F1339" s="98" t="n">
        <v>0</v>
      </c>
      <c r="G1339" s="98" t="s">
        <v>3097</v>
      </c>
      <c r="H1339" s="98" t="s">
        <v>3098</v>
      </c>
      <c r="I1339" s="98" t="s">
        <v>1704</v>
      </c>
      <c r="J1339" s="98" t="s">
        <v>1705</v>
      </c>
      <c r="K1339" s="98" t="s">
        <v>1706</v>
      </c>
    </row>
    <row r="1340" customFormat="false" ht="64" hidden="false" customHeight="true" outlineLevel="0" collapsed="false">
      <c r="C1340" s="98" t="s">
        <v>3104</v>
      </c>
      <c r="D1340" s="98" t="s">
        <v>1700</v>
      </c>
      <c r="E1340" s="98" t="s">
        <v>811</v>
      </c>
      <c r="F1340" s="98" t="n">
        <v>0</v>
      </c>
      <c r="G1340" s="98" t="s">
        <v>3097</v>
      </c>
      <c r="H1340" s="98" t="s">
        <v>3098</v>
      </c>
      <c r="I1340" s="98" t="s">
        <v>1704</v>
      </c>
      <c r="J1340" s="98" t="s">
        <v>1705</v>
      </c>
      <c r="K1340" s="98" t="s">
        <v>1706</v>
      </c>
    </row>
    <row r="1341" customFormat="false" ht="64" hidden="false" customHeight="true" outlineLevel="0" collapsed="false">
      <c r="C1341" s="98" t="s">
        <v>3105</v>
      </c>
      <c r="D1341" s="98" t="s">
        <v>1708</v>
      </c>
      <c r="E1341" s="98" t="s">
        <v>811</v>
      </c>
      <c r="F1341" s="98" t="n">
        <v>0</v>
      </c>
      <c r="G1341" s="98" t="s">
        <v>3097</v>
      </c>
      <c r="H1341" s="98" t="s">
        <v>3098</v>
      </c>
      <c r="I1341" s="98" t="s">
        <v>1704</v>
      </c>
      <c r="J1341" s="98" t="s">
        <v>1705</v>
      </c>
      <c r="K1341" s="98" t="s">
        <v>1706</v>
      </c>
    </row>
    <row r="1342" customFormat="false" ht="64" hidden="false" customHeight="true" outlineLevel="0" collapsed="false">
      <c r="C1342" s="98" t="s">
        <v>3106</v>
      </c>
      <c r="D1342" s="98" t="s">
        <v>1710</v>
      </c>
      <c r="E1342" s="98" t="s">
        <v>811</v>
      </c>
      <c r="F1342" s="98" t="n">
        <v>0</v>
      </c>
      <c r="G1342" s="98" t="s">
        <v>3097</v>
      </c>
      <c r="H1342" s="98" t="s">
        <v>3098</v>
      </c>
      <c r="I1342" s="98" t="s">
        <v>1704</v>
      </c>
      <c r="J1342" s="98" t="s">
        <v>1705</v>
      </c>
      <c r="K1342" s="98" t="s">
        <v>1706</v>
      </c>
    </row>
    <row r="1343" customFormat="false" ht="64" hidden="false" customHeight="true" outlineLevel="0" collapsed="false">
      <c r="C1343" s="98" t="s">
        <v>3107</v>
      </c>
      <c r="D1343" s="98" t="s">
        <v>1712</v>
      </c>
      <c r="E1343" s="98" t="s">
        <v>811</v>
      </c>
      <c r="F1343" s="98" t="n">
        <v>0</v>
      </c>
      <c r="G1343" s="98" t="s">
        <v>3097</v>
      </c>
      <c r="H1343" s="98" t="s">
        <v>3098</v>
      </c>
      <c r="I1343" s="98" t="s">
        <v>1704</v>
      </c>
      <c r="J1343" s="98" t="s">
        <v>1705</v>
      </c>
      <c r="K1343" s="98" t="s">
        <v>1706</v>
      </c>
    </row>
    <row r="1344" customFormat="false" ht="64" hidden="false" customHeight="true" outlineLevel="0" collapsed="false">
      <c r="C1344" s="98" t="s">
        <v>3108</v>
      </c>
      <c r="D1344" s="98" t="s">
        <v>1714</v>
      </c>
      <c r="E1344" s="98" t="s">
        <v>811</v>
      </c>
      <c r="F1344" s="98" t="n">
        <v>0</v>
      </c>
      <c r="G1344" s="98" t="s">
        <v>3097</v>
      </c>
      <c r="H1344" s="98" t="s">
        <v>3098</v>
      </c>
      <c r="I1344" s="98" t="s">
        <v>1704</v>
      </c>
      <c r="J1344" s="98" t="s">
        <v>1705</v>
      </c>
      <c r="K1344" s="98" t="s">
        <v>1706</v>
      </c>
    </row>
    <row r="1345" customFormat="false" ht="64" hidden="false" customHeight="true" outlineLevel="0" collapsed="false">
      <c r="C1345" s="98" t="s">
        <v>3109</v>
      </c>
      <c r="D1345" s="98" t="s">
        <v>1716</v>
      </c>
      <c r="E1345" s="98" t="s">
        <v>811</v>
      </c>
      <c r="F1345" s="98" t="n">
        <v>0</v>
      </c>
      <c r="G1345" s="98" t="s">
        <v>3097</v>
      </c>
      <c r="H1345" s="98" t="s">
        <v>3098</v>
      </c>
      <c r="I1345" s="98" t="s">
        <v>1704</v>
      </c>
      <c r="J1345" s="98" t="s">
        <v>1705</v>
      </c>
      <c r="K1345" s="98" t="s">
        <v>1706</v>
      </c>
    </row>
    <row r="1346" customFormat="false" ht="64" hidden="false" customHeight="true" outlineLevel="0" collapsed="false">
      <c r="C1346" s="98" t="s">
        <v>3110</v>
      </c>
      <c r="D1346" s="98" t="s">
        <v>1718</v>
      </c>
      <c r="E1346" s="98" t="s">
        <v>811</v>
      </c>
      <c r="F1346" s="98" t="n">
        <v>0</v>
      </c>
      <c r="G1346" s="98" t="s">
        <v>3097</v>
      </c>
      <c r="H1346" s="98" t="s">
        <v>3098</v>
      </c>
      <c r="I1346" s="98" t="s">
        <v>1704</v>
      </c>
      <c r="J1346" s="98" t="s">
        <v>1705</v>
      </c>
      <c r="K1346" s="98" t="s">
        <v>1706</v>
      </c>
    </row>
    <row r="1347" customFormat="false" ht="64" hidden="false" customHeight="true" outlineLevel="0" collapsed="false">
      <c r="C1347" s="98" t="s">
        <v>3111</v>
      </c>
      <c r="D1347" s="98" t="s">
        <v>1720</v>
      </c>
      <c r="E1347" s="98" t="s">
        <v>811</v>
      </c>
      <c r="F1347" s="98" t="n">
        <v>0</v>
      </c>
      <c r="G1347" s="98" t="s">
        <v>3097</v>
      </c>
      <c r="H1347" s="98" t="s">
        <v>3098</v>
      </c>
      <c r="I1347" s="98" t="s">
        <v>1704</v>
      </c>
      <c r="J1347" s="98" t="s">
        <v>1705</v>
      </c>
      <c r="K1347" s="98" t="s">
        <v>1706</v>
      </c>
    </row>
    <row r="1348" customFormat="false" ht="64" hidden="false" customHeight="true" outlineLevel="0" collapsed="false">
      <c r="C1348" s="98" t="s">
        <v>3112</v>
      </c>
      <c r="D1348" s="98" t="s">
        <v>1722</v>
      </c>
      <c r="E1348" s="98" t="s">
        <v>811</v>
      </c>
      <c r="F1348" s="98" t="n">
        <v>0</v>
      </c>
      <c r="G1348" s="98" t="s">
        <v>3097</v>
      </c>
      <c r="H1348" s="98" t="s">
        <v>3098</v>
      </c>
      <c r="I1348" s="98" t="s">
        <v>1704</v>
      </c>
      <c r="J1348" s="98" t="s">
        <v>1705</v>
      </c>
      <c r="K1348" s="98" t="s">
        <v>1706</v>
      </c>
    </row>
    <row r="1349" customFormat="false" ht="64" hidden="false" customHeight="true" outlineLevel="0" collapsed="false">
      <c r="C1349" s="98" t="s">
        <v>3113</v>
      </c>
      <c r="D1349" s="98" t="s">
        <v>1724</v>
      </c>
      <c r="E1349" s="98" t="s">
        <v>811</v>
      </c>
      <c r="F1349" s="98" t="n">
        <v>0</v>
      </c>
      <c r="G1349" s="98" t="s">
        <v>3097</v>
      </c>
      <c r="H1349" s="98" t="s">
        <v>3098</v>
      </c>
      <c r="I1349" s="98" t="s">
        <v>1704</v>
      </c>
      <c r="J1349" s="98" t="s">
        <v>1705</v>
      </c>
      <c r="K1349" s="98" t="s">
        <v>1706</v>
      </c>
    </row>
    <row r="1350" customFormat="false" ht="64" hidden="false" customHeight="true" outlineLevel="0" collapsed="false">
      <c r="C1350" s="98" t="s">
        <v>3114</v>
      </c>
      <c r="D1350" s="98" t="s">
        <v>1726</v>
      </c>
      <c r="E1350" s="98" t="s">
        <v>811</v>
      </c>
      <c r="F1350" s="98" t="n">
        <v>0</v>
      </c>
      <c r="G1350" s="98" t="s">
        <v>3097</v>
      </c>
      <c r="H1350" s="98" t="s">
        <v>3098</v>
      </c>
      <c r="I1350" s="98" t="s">
        <v>1704</v>
      </c>
      <c r="J1350" s="98" t="s">
        <v>1705</v>
      </c>
      <c r="K1350" s="98" t="s">
        <v>1706</v>
      </c>
    </row>
    <row r="1351" customFormat="false" ht="64" hidden="false" customHeight="true" outlineLevel="0" collapsed="false">
      <c r="C1351" s="98" t="s">
        <v>3115</v>
      </c>
      <c r="D1351" s="98" t="s">
        <v>1728</v>
      </c>
      <c r="E1351" s="98" t="s">
        <v>811</v>
      </c>
      <c r="F1351" s="98" t="n">
        <v>0</v>
      </c>
      <c r="G1351" s="98" t="s">
        <v>3097</v>
      </c>
      <c r="H1351" s="98" t="s">
        <v>3098</v>
      </c>
      <c r="I1351" s="98" t="s">
        <v>1704</v>
      </c>
      <c r="J1351" s="98" t="s">
        <v>1705</v>
      </c>
      <c r="K1351" s="98" t="s">
        <v>1706</v>
      </c>
    </row>
    <row r="1352" customFormat="false" ht="64" hidden="false" customHeight="true" outlineLevel="0" collapsed="false">
      <c r="C1352" s="98" t="s">
        <v>3116</v>
      </c>
      <c r="D1352" s="98" t="s">
        <v>1730</v>
      </c>
      <c r="E1352" s="98" t="s">
        <v>811</v>
      </c>
      <c r="F1352" s="98" t="n">
        <v>0</v>
      </c>
      <c r="G1352" s="98" t="s">
        <v>3097</v>
      </c>
      <c r="H1352" s="98" t="s">
        <v>3098</v>
      </c>
      <c r="I1352" s="98" t="s">
        <v>1704</v>
      </c>
      <c r="J1352" s="98" t="s">
        <v>1705</v>
      </c>
      <c r="K1352" s="98" t="s">
        <v>1706</v>
      </c>
    </row>
    <row r="1353" customFormat="false" ht="64" hidden="false" customHeight="true" outlineLevel="0" collapsed="false">
      <c r="C1353" s="98" t="s">
        <v>3117</v>
      </c>
      <c r="D1353" s="98" t="s">
        <v>1732</v>
      </c>
      <c r="E1353" s="98" t="s">
        <v>811</v>
      </c>
      <c r="F1353" s="98" t="n">
        <v>0</v>
      </c>
      <c r="G1353" s="98" t="s">
        <v>3097</v>
      </c>
      <c r="H1353" s="98" t="s">
        <v>3098</v>
      </c>
      <c r="I1353" s="98" t="s">
        <v>1704</v>
      </c>
      <c r="J1353" s="98" t="s">
        <v>1705</v>
      </c>
      <c r="K1353" s="98" t="s">
        <v>1706</v>
      </c>
    </row>
    <row r="1354" customFormat="false" ht="64" hidden="false" customHeight="true" outlineLevel="0" collapsed="false">
      <c r="C1354" s="98" t="s">
        <v>3118</v>
      </c>
      <c r="D1354" s="98" t="s">
        <v>1734</v>
      </c>
      <c r="E1354" s="98" t="s">
        <v>811</v>
      </c>
      <c r="F1354" s="98" t="n">
        <v>0</v>
      </c>
      <c r="G1354" s="98" t="s">
        <v>3097</v>
      </c>
      <c r="H1354" s="98" t="s">
        <v>3098</v>
      </c>
      <c r="I1354" s="98" t="s">
        <v>1704</v>
      </c>
      <c r="J1354" s="98" t="s">
        <v>1705</v>
      </c>
      <c r="K1354" s="98" t="s">
        <v>1706</v>
      </c>
    </row>
    <row r="1355" customFormat="false" ht="64" hidden="false" customHeight="true" outlineLevel="0" collapsed="false">
      <c r="C1355" s="98" t="s">
        <v>3119</v>
      </c>
      <c r="D1355" s="98" t="s">
        <v>1736</v>
      </c>
      <c r="E1355" s="98" t="s">
        <v>811</v>
      </c>
      <c r="F1355" s="98" t="n">
        <v>0</v>
      </c>
      <c r="G1355" s="98" t="s">
        <v>3097</v>
      </c>
      <c r="H1355" s="98" t="s">
        <v>3098</v>
      </c>
      <c r="I1355" s="98" t="s">
        <v>1704</v>
      </c>
      <c r="J1355" s="98" t="s">
        <v>1705</v>
      </c>
      <c r="K1355" s="98" t="s">
        <v>1706</v>
      </c>
    </row>
    <row r="1356" customFormat="false" ht="64" hidden="false" customHeight="true" outlineLevel="0" collapsed="false">
      <c r="C1356" s="98" t="s">
        <v>3120</v>
      </c>
      <c r="D1356" s="98" t="s">
        <v>1738</v>
      </c>
      <c r="E1356" s="98" t="s">
        <v>811</v>
      </c>
      <c r="F1356" s="98" t="n">
        <v>0</v>
      </c>
      <c r="G1356" s="98" t="s">
        <v>3097</v>
      </c>
      <c r="H1356" s="98" t="s">
        <v>3098</v>
      </c>
      <c r="I1356" s="98" t="s">
        <v>1704</v>
      </c>
      <c r="J1356" s="98" t="s">
        <v>1705</v>
      </c>
      <c r="K1356" s="98" t="s">
        <v>1706</v>
      </c>
    </row>
    <row r="1357" customFormat="false" ht="64" hidden="false" customHeight="true" outlineLevel="0" collapsed="false">
      <c r="C1357" s="98" t="s">
        <v>3121</v>
      </c>
      <c r="D1357" s="98" t="s">
        <v>1740</v>
      </c>
      <c r="E1357" s="98" t="s">
        <v>811</v>
      </c>
      <c r="F1357" s="98" t="n">
        <v>0</v>
      </c>
      <c r="G1357" s="98" t="s">
        <v>3097</v>
      </c>
      <c r="H1357" s="98" t="s">
        <v>3098</v>
      </c>
      <c r="I1357" s="98" t="s">
        <v>1704</v>
      </c>
      <c r="J1357" s="98" t="s">
        <v>1705</v>
      </c>
      <c r="K1357" s="98" t="s">
        <v>1706</v>
      </c>
    </row>
    <row r="1358" customFormat="false" ht="64" hidden="false" customHeight="true" outlineLevel="0" collapsed="false">
      <c r="C1358" s="98" t="s">
        <v>3122</v>
      </c>
      <c r="D1358" s="98" t="s">
        <v>1742</v>
      </c>
      <c r="E1358" s="98" t="s">
        <v>811</v>
      </c>
      <c r="F1358" s="98" t="n">
        <v>0</v>
      </c>
      <c r="G1358" s="98" t="s">
        <v>3097</v>
      </c>
      <c r="H1358" s="98" t="s">
        <v>3098</v>
      </c>
      <c r="I1358" s="98" t="s">
        <v>1704</v>
      </c>
      <c r="J1358" s="98" t="s">
        <v>1705</v>
      </c>
      <c r="K1358" s="98" t="s">
        <v>1706</v>
      </c>
    </row>
    <row r="1359" customFormat="false" ht="64" hidden="false" customHeight="true" outlineLevel="0" collapsed="false">
      <c r="C1359" s="98" t="s">
        <v>3123</v>
      </c>
      <c r="D1359" s="98" t="s">
        <v>1744</v>
      </c>
      <c r="E1359" s="98" t="s">
        <v>811</v>
      </c>
      <c r="F1359" s="98" t="n">
        <v>0</v>
      </c>
      <c r="G1359" s="98" t="s">
        <v>3097</v>
      </c>
      <c r="H1359" s="98" t="s">
        <v>3098</v>
      </c>
      <c r="I1359" s="98" t="s">
        <v>1704</v>
      </c>
      <c r="J1359" s="98" t="s">
        <v>1705</v>
      </c>
      <c r="K1359" s="98" t="s">
        <v>1706</v>
      </c>
    </row>
    <row r="1360" customFormat="false" ht="64" hidden="false" customHeight="true" outlineLevel="0" collapsed="false">
      <c r="C1360" s="98" t="s">
        <v>3124</v>
      </c>
      <c r="D1360" s="98" t="s">
        <v>1746</v>
      </c>
      <c r="E1360" s="98" t="s">
        <v>811</v>
      </c>
      <c r="F1360" s="98" t="n">
        <v>0</v>
      </c>
      <c r="G1360" s="98" t="s">
        <v>3097</v>
      </c>
      <c r="H1360" s="98" t="s">
        <v>3098</v>
      </c>
      <c r="I1360" s="98" t="s">
        <v>1704</v>
      </c>
      <c r="J1360" s="98" t="s">
        <v>1705</v>
      </c>
      <c r="K1360" s="98" t="s">
        <v>1706</v>
      </c>
    </row>
    <row r="1361" customFormat="false" ht="64" hidden="false" customHeight="true" outlineLevel="0" collapsed="false">
      <c r="C1361" s="98" t="s">
        <v>3125</v>
      </c>
      <c r="D1361" s="98" t="s">
        <v>1748</v>
      </c>
      <c r="E1361" s="98" t="s">
        <v>811</v>
      </c>
      <c r="F1361" s="98" t="n">
        <v>0</v>
      </c>
      <c r="G1361" s="98" t="s">
        <v>3097</v>
      </c>
      <c r="H1361" s="98" t="s">
        <v>3098</v>
      </c>
      <c r="I1361" s="98" t="s">
        <v>1704</v>
      </c>
      <c r="J1361" s="98" t="s">
        <v>1705</v>
      </c>
      <c r="K1361" s="98" t="s">
        <v>1706</v>
      </c>
    </row>
    <row r="1362" customFormat="false" ht="64" hidden="false" customHeight="true" outlineLevel="0" collapsed="false">
      <c r="C1362" s="98" t="s">
        <v>3126</v>
      </c>
      <c r="D1362" s="98" t="s">
        <v>1750</v>
      </c>
      <c r="E1362" s="98" t="s">
        <v>811</v>
      </c>
      <c r="F1362" s="98" t="n">
        <v>0</v>
      </c>
      <c r="G1362" s="98" t="s">
        <v>3097</v>
      </c>
      <c r="H1362" s="98" t="s">
        <v>3098</v>
      </c>
      <c r="I1362" s="98" t="s">
        <v>1704</v>
      </c>
      <c r="J1362" s="98" t="s">
        <v>1705</v>
      </c>
      <c r="K1362" s="98" t="s">
        <v>1706</v>
      </c>
    </row>
    <row r="1363" customFormat="false" ht="64" hidden="false" customHeight="true" outlineLevel="0" collapsed="false">
      <c r="C1363" s="98" t="s">
        <v>3127</v>
      </c>
      <c r="D1363" s="98" t="s">
        <v>1752</v>
      </c>
      <c r="E1363" s="98" t="s">
        <v>811</v>
      </c>
      <c r="F1363" s="98" t="n">
        <v>0</v>
      </c>
      <c r="G1363" s="98" t="s">
        <v>3097</v>
      </c>
      <c r="H1363" s="98" t="s">
        <v>3098</v>
      </c>
      <c r="I1363" s="98" t="s">
        <v>1704</v>
      </c>
      <c r="J1363" s="98" t="s">
        <v>1705</v>
      </c>
      <c r="K1363" s="98" t="s">
        <v>1706</v>
      </c>
    </row>
    <row r="1364" customFormat="false" ht="64" hidden="false" customHeight="true" outlineLevel="0" collapsed="false">
      <c r="C1364" s="98" t="s">
        <v>3128</v>
      </c>
      <c r="D1364" s="98" t="s">
        <v>1754</v>
      </c>
      <c r="E1364" s="98" t="s">
        <v>811</v>
      </c>
      <c r="F1364" s="98" t="n">
        <v>0</v>
      </c>
      <c r="G1364" s="98" t="s">
        <v>3097</v>
      </c>
      <c r="H1364" s="98" t="s">
        <v>3098</v>
      </c>
      <c r="I1364" s="98" t="s">
        <v>1704</v>
      </c>
      <c r="J1364" s="98" t="s">
        <v>1705</v>
      </c>
      <c r="K1364" s="98" t="s">
        <v>1706</v>
      </c>
    </row>
    <row r="1365" customFormat="false" ht="64" hidden="false" customHeight="true" outlineLevel="0" collapsed="false">
      <c r="C1365" s="98" t="s">
        <v>3129</v>
      </c>
      <c r="D1365" s="98" t="s">
        <v>1756</v>
      </c>
      <c r="E1365" s="98" t="s">
        <v>811</v>
      </c>
      <c r="F1365" s="98" t="n">
        <v>0</v>
      </c>
      <c r="G1365" s="98" t="s">
        <v>3097</v>
      </c>
      <c r="H1365" s="98" t="s">
        <v>3098</v>
      </c>
      <c r="I1365" s="98" t="s">
        <v>1704</v>
      </c>
      <c r="J1365" s="98" t="s">
        <v>1705</v>
      </c>
      <c r="K1365" s="98" t="s">
        <v>1706</v>
      </c>
    </row>
    <row r="1366" customFormat="false" ht="64" hidden="false" customHeight="true" outlineLevel="0" collapsed="false">
      <c r="C1366" s="98" t="s">
        <v>3130</v>
      </c>
      <c r="D1366" s="98" t="s">
        <v>1758</v>
      </c>
      <c r="E1366" s="98" t="s">
        <v>811</v>
      </c>
      <c r="F1366" s="98" t="n">
        <v>0</v>
      </c>
      <c r="G1366" s="98" t="s">
        <v>3097</v>
      </c>
      <c r="H1366" s="98" t="s">
        <v>3098</v>
      </c>
      <c r="I1366" s="98" t="s">
        <v>1704</v>
      </c>
      <c r="J1366" s="98" t="s">
        <v>1705</v>
      </c>
      <c r="K1366" s="98" t="s">
        <v>1706</v>
      </c>
    </row>
    <row r="1367" customFormat="false" ht="64" hidden="false" customHeight="true" outlineLevel="0" collapsed="false">
      <c r="C1367" s="98" t="s">
        <v>3131</v>
      </c>
      <c r="D1367" s="98" t="s">
        <v>1760</v>
      </c>
      <c r="E1367" s="98" t="s">
        <v>811</v>
      </c>
      <c r="F1367" s="98" t="n">
        <v>0</v>
      </c>
      <c r="G1367" s="98" t="s">
        <v>3097</v>
      </c>
      <c r="H1367" s="98" t="s">
        <v>3098</v>
      </c>
      <c r="I1367" s="98" t="s">
        <v>1704</v>
      </c>
      <c r="J1367" s="98" t="s">
        <v>1705</v>
      </c>
      <c r="K1367" s="98" t="s">
        <v>1706</v>
      </c>
    </row>
    <row r="1368" customFormat="false" ht="64" hidden="false" customHeight="true" outlineLevel="0" collapsed="false">
      <c r="C1368" s="98" t="s">
        <v>3132</v>
      </c>
      <c r="D1368" s="98" t="s">
        <v>1762</v>
      </c>
      <c r="E1368" s="98" t="s">
        <v>811</v>
      </c>
      <c r="F1368" s="98" t="n">
        <v>0</v>
      </c>
      <c r="G1368" s="98" t="s">
        <v>3097</v>
      </c>
      <c r="H1368" s="98" t="s">
        <v>3098</v>
      </c>
      <c r="I1368" s="98" t="s">
        <v>1704</v>
      </c>
      <c r="J1368" s="98" t="s">
        <v>1705</v>
      </c>
      <c r="K1368" s="98" t="s">
        <v>1706</v>
      </c>
    </row>
    <row r="1369" customFormat="false" ht="64" hidden="false" customHeight="true" outlineLevel="0" collapsed="false">
      <c r="C1369" s="98" t="s">
        <v>3133</v>
      </c>
      <c r="D1369" s="98" t="s">
        <v>1764</v>
      </c>
      <c r="E1369" s="98" t="s">
        <v>811</v>
      </c>
      <c r="F1369" s="98" t="n">
        <v>0</v>
      </c>
      <c r="G1369" s="98" t="s">
        <v>3097</v>
      </c>
      <c r="H1369" s="98" t="s">
        <v>3098</v>
      </c>
      <c r="I1369" s="98" t="s">
        <v>1704</v>
      </c>
      <c r="J1369" s="98" t="s">
        <v>1705</v>
      </c>
      <c r="K1369" s="98" t="s">
        <v>1706</v>
      </c>
    </row>
    <row r="1370" customFormat="false" ht="64" hidden="false" customHeight="true" outlineLevel="0" collapsed="false">
      <c r="C1370" s="98" t="s">
        <v>3134</v>
      </c>
      <c r="D1370" s="98" t="s">
        <v>1829</v>
      </c>
      <c r="E1370" s="98" t="s">
        <v>811</v>
      </c>
      <c r="F1370" s="98" t="n">
        <v>3.76704643916667</v>
      </c>
      <c r="G1370" s="98" t="s">
        <v>3135</v>
      </c>
      <c r="H1370" s="98" t="s">
        <v>1703</v>
      </c>
      <c r="I1370" s="98" t="s">
        <v>1704</v>
      </c>
      <c r="J1370" s="98" t="s">
        <v>1705</v>
      </c>
      <c r="K1370" s="98" t="s">
        <v>1706</v>
      </c>
    </row>
    <row r="1371" customFormat="false" ht="64" hidden="false" customHeight="true" outlineLevel="0" collapsed="false">
      <c r="C1371" s="98" t="s">
        <v>3136</v>
      </c>
      <c r="D1371" s="98" t="s">
        <v>1833</v>
      </c>
      <c r="E1371" s="98" t="s">
        <v>811</v>
      </c>
      <c r="F1371" s="98" t="n">
        <v>3.76704643916667</v>
      </c>
      <c r="G1371" s="98" t="s">
        <v>3135</v>
      </c>
      <c r="H1371" s="98" t="s">
        <v>1703</v>
      </c>
      <c r="I1371" s="98" t="s">
        <v>1704</v>
      </c>
      <c r="J1371" s="98" t="s">
        <v>1705</v>
      </c>
      <c r="K1371" s="98" t="s">
        <v>1706</v>
      </c>
    </row>
    <row r="1372" customFormat="false" ht="64" hidden="false" customHeight="true" outlineLevel="0" collapsed="false">
      <c r="C1372" s="98" t="s">
        <v>3137</v>
      </c>
      <c r="D1372" s="98" t="s">
        <v>1835</v>
      </c>
      <c r="E1372" s="98" t="s">
        <v>811</v>
      </c>
      <c r="F1372" s="98" t="n">
        <v>3.76704643916667</v>
      </c>
      <c r="G1372" s="98" t="s">
        <v>3135</v>
      </c>
      <c r="H1372" s="98" t="s">
        <v>1703</v>
      </c>
      <c r="I1372" s="98" t="s">
        <v>1704</v>
      </c>
      <c r="J1372" s="98" t="s">
        <v>1705</v>
      </c>
      <c r="K1372" s="98" t="s">
        <v>1706</v>
      </c>
    </row>
    <row r="1373" customFormat="false" ht="64" hidden="false" customHeight="true" outlineLevel="0" collapsed="false">
      <c r="C1373" s="98" t="s">
        <v>3138</v>
      </c>
      <c r="D1373" s="98" t="s">
        <v>1044</v>
      </c>
      <c r="E1373" s="98" t="s">
        <v>811</v>
      </c>
      <c r="F1373" s="98" t="n">
        <v>3.76704643916667</v>
      </c>
      <c r="G1373" s="98" t="s">
        <v>3135</v>
      </c>
      <c r="H1373" s="98" t="s">
        <v>1703</v>
      </c>
      <c r="I1373" s="98" t="s">
        <v>1704</v>
      </c>
      <c r="J1373" s="98" t="s">
        <v>1705</v>
      </c>
      <c r="K1373" s="98" t="s">
        <v>1706</v>
      </c>
    </row>
    <row r="1374" customFormat="false" ht="64" hidden="false" customHeight="true" outlineLevel="0" collapsed="false">
      <c r="C1374" s="98" t="s">
        <v>3139</v>
      </c>
      <c r="D1374" s="98" t="s">
        <v>1838</v>
      </c>
      <c r="E1374" s="98" t="s">
        <v>811</v>
      </c>
      <c r="F1374" s="98" t="n">
        <v>3.76704643916667</v>
      </c>
      <c r="G1374" s="98" t="s">
        <v>3135</v>
      </c>
      <c r="H1374" s="98" t="s">
        <v>1703</v>
      </c>
      <c r="I1374" s="98" t="s">
        <v>1704</v>
      </c>
      <c r="J1374" s="98" t="s">
        <v>1705</v>
      </c>
      <c r="K1374" s="98" t="s">
        <v>1706</v>
      </c>
    </row>
    <row r="1375" customFormat="false" ht="64" hidden="false" customHeight="true" outlineLevel="0" collapsed="false">
      <c r="C1375" s="98" t="s">
        <v>3140</v>
      </c>
      <c r="D1375" s="98" t="s">
        <v>1840</v>
      </c>
      <c r="E1375" s="98" t="s">
        <v>811</v>
      </c>
      <c r="F1375" s="98" t="n">
        <v>3.76704643916667</v>
      </c>
      <c r="G1375" s="98" t="s">
        <v>3135</v>
      </c>
      <c r="H1375" s="98" t="s">
        <v>1703</v>
      </c>
      <c r="I1375" s="98" t="s">
        <v>1704</v>
      </c>
      <c r="J1375" s="98" t="s">
        <v>1705</v>
      </c>
      <c r="K1375" s="98" t="s">
        <v>1706</v>
      </c>
    </row>
    <row r="1376" customFormat="false" ht="64" hidden="false" customHeight="true" outlineLevel="0" collapsed="false">
      <c r="C1376" s="98" t="s">
        <v>3141</v>
      </c>
      <c r="D1376" s="98" t="s">
        <v>1700</v>
      </c>
      <c r="E1376" s="98" t="s">
        <v>811</v>
      </c>
      <c r="F1376" s="98" t="n">
        <v>3.76704643916667</v>
      </c>
      <c r="G1376" s="98" t="s">
        <v>3135</v>
      </c>
      <c r="H1376" s="98" t="s">
        <v>1703</v>
      </c>
      <c r="I1376" s="98" t="s">
        <v>1704</v>
      </c>
      <c r="J1376" s="98" t="s">
        <v>1705</v>
      </c>
      <c r="K1376" s="98" t="s">
        <v>1706</v>
      </c>
    </row>
    <row r="1377" customFormat="false" ht="64" hidden="false" customHeight="true" outlineLevel="0" collapsed="false">
      <c r="C1377" s="98" t="s">
        <v>3142</v>
      </c>
      <c r="D1377" s="98" t="s">
        <v>1708</v>
      </c>
      <c r="E1377" s="98" t="s">
        <v>811</v>
      </c>
      <c r="F1377" s="98" t="n">
        <v>3.76704643916667</v>
      </c>
      <c r="G1377" s="98" t="s">
        <v>3135</v>
      </c>
      <c r="H1377" s="98" t="s">
        <v>1703</v>
      </c>
      <c r="I1377" s="98" t="s">
        <v>1704</v>
      </c>
      <c r="J1377" s="98" t="s">
        <v>1705</v>
      </c>
      <c r="K1377" s="98" t="s">
        <v>1706</v>
      </c>
    </row>
    <row r="1378" customFormat="false" ht="64" hidden="false" customHeight="true" outlineLevel="0" collapsed="false">
      <c r="C1378" s="98" t="s">
        <v>3143</v>
      </c>
      <c r="D1378" s="98" t="s">
        <v>1710</v>
      </c>
      <c r="E1378" s="98" t="s">
        <v>811</v>
      </c>
      <c r="F1378" s="98" t="n">
        <v>3.76704643916667</v>
      </c>
      <c r="G1378" s="98" t="s">
        <v>3135</v>
      </c>
      <c r="H1378" s="98" t="s">
        <v>1703</v>
      </c>
      <c r="I1378" s="98" t="s">
        <v>1704</v>
      </c>
      <c r="J1378" s="98" t="s">
        <v>1705</v>
      </c>
      <c r="K1378" s="98" t="s">
        <v>1706</v>
      </c>
    </row>
    <row r="1379" customFormat="false" ht="64" hidden="false" customHeight="true" outlineLevel="0" collapsed="false">
      <c r="C1379" s="98" t="s">
        <v>3144</v>
      </c>
      <c r="D1379" s="98" t="s">
        <v>1712</v>
      </c>
      <c r="E1379" s="98" t="s">
        <v>811</v>
      </c>
      <c r="F1379" s="98" t="n">
        <v>3.76704643916667</v>
      </c>
      <c r="G1379" s="98" t="s">
        <v>3135</v>
      </c>
      <c r="H1379" s="98" t="s">
        <v>1703</v>
      </c>
      <c r="I1379" s="98" t="s">
        <v>1704</v>
      </c>
      <c r="J1379" s="98" t="s">
        <v>1705</v>
      </c>
      <c r="K1379" s="98" t="s">
        <v>1706</v>
      </c>
    </row>
    <row r="1380" customFormat="false" ht="64" hidden="false" customHeight="true" outlineLevel="0" collapsed="false">
      <c r="C1380" s="98" t="s">
        <v>3145</v>
      </c>
      <c r="D1380" s="98" t="s">
        <v>1714</v>
      </c>
      <c r="E1380" s="98" t="s">
        <v>811</v>
      </c>
      <c r="F1380" s="98" t="n">
        <v>3.76704643916667</v>
      </c>
      <c r="G1380" s="98" t="s">
        <v>3135</v>
      </c>
      <c r="H1380" s="98" t="s">
        <v>1703</v>
      </c>
      <c r="I1380" s="98" t="s">
        <v>1704</v>
      </c>
      <c r="J1380" s="98" t="s">
        <v>1705</v>
      </c>
      <c r="K1380" s="98" t="s">
        <v>1706</v>
      </c>
    </row>
    <row r="1381" customFormat="false" ht="64" hidden="false" customHeight="true" outlineLevel="0" collapsed="false">
      <c r="C1381" s="98" t="s">
        <v>3146</v>
      </c>
      <c r="D1381" s="98" t="s">
        <v>1716</v>
      </c>
      <c r="E1381" s="98" t="s">
        <v>811</v>
      </c>
      <c r="F1381" s="98" t="n">
        <v>3.76704643916667</v>
      </c>
      <c r="G1381" s="98" t="s">
        <v>3135</v>
      </c>
      <c r="H1381" s="98" t="s">
        <v>1703</v>
      </c>
      <c r="I1381" s="98" t="s">
        <v>1704</v>
      </c>
      <c r="J1381" s="98" t="s">
        <v>1705</v>
      </c>
      <c r="K1381" s="98" t="s">
        <v>1706</v>
      </c>
    </row>
    <row r="1382" customFormat="false" ht="64" hidden="false" customHeight="true" outlineLevel="0" collapsed="false">
      <c r="C1382" s="98" t="s">
        <v>3147</v>
      </c>
      <c r="D1382" s="98" t="s">
        <v>1718</v>
      </c>
      <c r="E1382" s="98" t="s">
        <v>811</v>
      </c>
      <c r="F1382" s="98" t="n">
        <v>3.76704643916667</v>
      </c>
      <c r="G1382" s="98" t="s">
        <v>3135</v>
      </c>
      <c r="H1382" s="98" t="s">
        <v>1703</v>
      </c>
      <c r="I1382" s="98" t="s">
        <v>1704</v>
      </c>
      <c r="J1382" s="98" t="s">
        <v>1705</v>
      </c>
      <c r="K1382" s="98" t="s">
        <v>1706</v>
      </c>
    </row>
    <row r="1383" customFormat="false" ht="64" hidden="false" customHeight="true" outlineLevel="0" collapsed="false">
      <c r="C1383" s="98" t="s">
        <v>3148</v>
      </c>
      <c r="D1383" s="98" t="s">
        <v>1720</v>
      </c>
      <c r="E1383" s="98" t="s">
        <v>811</v>
      </c>
      <c r="F1383" s="98" t="n">
        <v>3.76704643916667</v>
      </c>
      <c r="G1383" s="98" t="s">
        <v>3135</v>
      </c>
      <c r="H1383" s="98" t="s">
        <v>1703</v>
      </c>
      <c r="I1383" s="98" t="s">
        <v>1704</v>
      </c>
      <c r="J1383" s="98" t="s">
        <v>1705</v>
      </c>
      <c r="K1383" s="98" t="s">
        <v>1706</v>
      </c>
    </row>
    <row r="1384" customFormat="false" ht="64" hidden="false" customHeight="true" outlineLevel="0" collapsed="false">
      <c r="C1384" s="98" t="s">
        <v>3149</v>
      </c>
      <c r="D1384" s="98" t="s">
        <v>1722</v>
      </c>
      <c r="E1384" s="98" t="s">
        <v>811</v>
      </c>
      <c r="F1384" s="98" t="n">
        <v>3.76704643916667</v>
      </c>
      <c r="G1384" s="98" t="s">
        <v>3135</v>
      </c>
      <c r="H1384" s="98" t="s">
        <v>1703</v>
      </c>
      <c r="I1384" s="98" t="s">
        <v>1704</v>
      </c>
      <c r="J1384" s="98" t="s">
        <v>1705</v>
      </c>
      <c r="K1384" s="98" t="s">
        <v>1706</v>
      </c>
    </row>
    <row r="1385" customFormat="false" ht="64" hidden="false" customHeight="true" outlineLevel="0" collapsed="false">
      <c r="C1385" s="98" t="s">
        <v>3150</v>
      </c>
      <c r="D1385" s="98" t="s">
        <v>1724</v>
      </c>
      <c r="E1385" s="98" t="s">
        <v>811</v>
      </c>
      <c r="F1385" s="98" t="n">
        <v>3.76704643916667</v>
      </c>
      <c r="G1385" s="98" t="s">
        <v>3135</v>
      </c>
      <c r="H1385" s="98" t="s">
        <v>1703</v>
      </c>
      <c r="I1385" s="98" t="s">
        <v>1704</v>
      </c>
      <c r="J1385" s="98" t="s">
        <v>1705</v>
      </c>
      <c r="K1385" s="98" t="s">
        <v>1706</v>
      </c>
    </row>
    <row r="1386" customFormat="false" ht="64" hidden="false" customHeight="true" outlineLevel="0" collapsed="false">
      <c r="C1386" s="98" t="s">
        <v>3151</v>
      </c>
      <c r="D1386" s="98" t="s">
        <v>1726</v>
      </c>
      <c r="E1386" s="98" t="s">
        <v>811</v>
      </c>
      <c r="F1386" s="98" t="n">
        <v>3.76704643916667</v>
      </c>
      <c r="G1386" s="98" t="s">
        <v>3135</v>
      </c>
      <c r="H1386" s="98" t="s">
        <v>1703</v>
      </c>
      <c r="I1386" s="98" t="s">
        <v>1704</v>
      </c>
      <c r="J1386" s="98" t="s">
        <v>1705</v>
      </c>
      <c r="K1386" s="98" t="s">
        <v>1706</v>
      </c>
    </row>
    <row r="1387" customFormat="false" ht="64" hidden="false" customHeight="true" outlineLevel="0" collapsed="false">
      <c r="C1387" s="98" t="s">
        <v>3152</v>
      </c>
      <c r="D1387" s="98" t="s">
        <v>1728</v>
      </c>
      <c r="E1387" s="98" t="s">
        <v>811</v>
      </c>
      <c r="F1387" s="98" t="n">
        <v>3.76704643916667</v>
      </c>
      <c r="G1387" s="98" t="s">
        <v>3135</v>
      </c>
      <c r="H1387" s="98" t="s">
        <v>1703</v>
      </c>
      <c r="I1387" s="98" t="s">
        <v>1704</v>
      </c>
      <c r="J1387" s="98" t="s">
        <v>1705</v>
      </c>
      <c r="K1387" s="98" t="s">
        <v>1706</v>
      </c>
    </row>
    <row r="1388" customFormat="false" ht="64" hidden="false" customHeight="true" outlineLevel="0" collapsed="false">
      <c r="C1388" s="98" t="s">
        <v>3153</v>
      </c>
      <c r="D1388" s="98" t="s">
        <v>1730</v>
      </c>
      <c r="E1388" s="98" t="s">
        <v>811</v>
      </c>
      <c r="F1388" s="98" t="n">
        <v>3.76704643916667</v>
      </c>
      <c r="G1388" s="98" t="s">
        <v>3135</v>
      </c>
      <c r="H1388" s="98" t="s">
        <v>1703</v>
      </c>
      <c r="I1388" s="98" t="s">
        <v>1704</v>
      </c>
      <c r="J1388" s="98" t="s">
        <v>1705</v>
      </c>
      <c r="K1388" s="98" t="s">
        <v>1706</v>
      </c>
    </row>
    <row r="1389" customFormat="false" ht="64" hidden="false" customHeight="true" outlineLevel="0" collapsed="false">
      <c r="C1389" s="98" t="s">
        <v>3154</v>
      </c>
      <c r="D1389" s="98" t="s">
        <v>1732</v>
      </c>
      <c r="E1389" s="98" t="s">
        <v>811</v>
      </c>
      <c r="F1389" s="98" t="n">
        <v>3.76704643916667</v>
      </c>
      <c r="G1389" s="98" t="s">
        <v>3135</v>
      </c>
      <c r="H1389" s="98" t="s">
        <v>1703</v>
      </c>
      <c r="I1389" s="98" t="s">
        <v>1704</v>
      </c>
      <c r="J1389" s="98" t="s">
        <v>1705</v>
      </c>
      <c r="K1389" s="98" t="s">
        <v>1706</v>
      </c>
    </row>
    <row r="1390" customFormat="false" ht="64" hidden="false" customHeight="true" outlineLevel="0" collapsed="false">
      <c r="C1390" s="98" t="s">
        <v>3155</v>
      </c>
      <c r="D1390" s="98" t="s">
        <v>1734</v>
      </c>
      <c r="E1390" s="98" t="s">
        <v>811</v>
      </c>
      <c r="F1390" s="98" t="n">
        <v>3.76704643916667</v>
      </c>
      <c r="G1390" s="98" t="s">
        <v>3135</v>
      </c>
      <c r="H1390" s="98" t="s">
        <v>1703</v>
      </c>
      <c r="I1390" s="98" t="s">
        <v>1704</v>
      </c>
      <c r="J1390" s="98" t="s">
        <v>1705</v>
      </c>
      <c r="K1390" s="98" t="s">
        <v>1706</v>
      </c>
    </row>
    <row r="1391" customFormat="false" ht="64" hidden="false" customHeight="true" outlineLevel="0" collapsed="false">
      <c r="C1391" s="98" t="s">
        <v>3156</v>
      </c>
      <c r="D1391" s="98" t="s">
        <v>1736</v>
      </c>
      <c r="E1391" s="98" t="s">
        <v>811</v>
      </c>
      <c r="F1391" s="98" t="n">
        <v>3.76704643916667</v>
      </c>
      <c r="G1391" s="98" t="s">
        <v>3135</v>
      </c>
      <c r="H1391" s="98" t="s">
        <v>1703</v>
      </c>
      <c r="I1391" s="98" t="s">
        <v>1704</v>
      </c>
      <c r="J1391" s="98" t="s">
        <v>1705</v>
      </c>
      <c r="K1391" s="98" t="s">
        <v>1706</v>
      </c>
    </row>
    <row r="1392" customFormat="false" ht="64" hidden="false" customHeight="true" outlineLevel="0" collapsed="false">
      <c r="C1392" s="98" t="s">
        <v>3157</v>
      </c>
      <c r="D1392" s="98" t="s">
        <v>1738</v>
      </c>
      <c r="E1392" s="98" t="s">
        <v>811</v>
      </c>
      <c r="F1392" s="98" t="n">
        <v>3.76704643916667</v>
      </c>
      <c r="G1392" s="98" t="s">
        <v>3135</v>
      </c>
      <c r="H1392" s="98" t="s">
        <v>1703</v>
      </c>
      <c r="I1392" s="98" t="s">
        <v>1704</v>
      </c>
      <c r="J1392" s="98" t="s">
        <v>1705</v>
      </c>
      <c r="K1392" s="98" t="s">
        <v>1706</v>
      </c>
    </row>
    <row r="1393" customFormat="false" ht="64" hidden="false" customHeight="true" outlineLevel="0" collapsed="false">
      <c r="C1393" s="98" t="s">
        <v>3158</v>
      </c>
      <c r="D1393" s="98" t="s">
        <v>1740</v>
      </c>
      <c r="E1393" s="98" t="s">
        <v>811</v>
      </c>
      <c r="F1393" s="98" t="n">
        <v>3.76704643916667</v>
      </c>
      <c r="G1393" s="98" t="s">
        <v>3135</v>
      </c>
      <c r="H1393" s="98" t="s">
        <v>1703</v>
      </c>
      <c r="I1393" s="98" t="s">
        <v>1704</v>
      </c>
      <c r="J1393" s="98" t="s">
        <v>1705</v>
      </c>
      <c r="K1393" s="98" t="s">
        <v>1706</v>
      </c>
    </row>
    <row r="1394" customFormat="false" ht="64" hidden="false" customHeight="true" outlineLevel="0" collapsed="false">
      <c r="C1394" s="98" t="s">
        <v>3159</v>
      </c>
      <c r="D1394" s="98" t="s">
        <v>1742</v>
      </c>
      <c r="E1394" s="98" t="s">
        <v>811</v>
      </c>
      <c r="F1394" s="98" t="n">
        <v>3.76704643916667</v>
      </c>
      <c r="G1394" s="98" t="s">
        <v>3135</v>
      </c>
      <c r="H1394" s="98" t="s">
        <v>1703</v>
      </c>
      <c r="I1394" s="98" t="s">
        <v>1704</v>
      </c>
      <c r="J1394" s="98" t="s">
        <v>1705</v>
      </c>
      <c r="K1394" s="98" t="s">
        <v>1706</v>
      </c>
    </row>
    <row r="1395" customFormat="false" ht="64" hidden="false" customHeight="true" outlineLevel="0" collapsed="false">
      <c r="C1395" s="98" t="s">
        <v>3160</v>
      </c>
      <c r="D1395" s="98" t="s">
        <v>1744</v>
      </c>
      <c r="E1395" s="98" t="s">
        <v>811</v>
      </c>
      <c r="F1395" s="98" t="n">
        <v>3.76704643916667</v>
      </c>
      <c r="G1395" s="98" t="s">
        <v>3135</v>
      </c>
      <c r="H1395" s="98" t="s">
        <v>1703</v>
      </c>
      <c r="I1395" s="98" t="s">
        <v>1704</v>
      </c>
      <c r="J1395" s="98" t="s">
        <v>1705</v>
      </c>
      <c r="K1395" s="98" t="s">
        <v>1706</v>
      </c>
    </row>
    <row r="1396" customFormat="false" ht="64" hidden="false" customHeight="true" outlineLevel="0" collapsed="false">
      <c r="C1396" s="98" t="s">
        <v>3161</v>
      </c>
      <c r="D1396" s="98" t="s">
        <v>1746</v>
      </c>
      <c r="E1396" s="98" t="s">
        <v>811</v>
      </c>
      <c r="F1396" s="98" t="n">
        <v>3.76704643916667</v>
      </c>
      <c r="G1396" s="98" t="s">
        <v>3135</v>
      </c>
      <c r="H1396" s="98" t="s">
        <v>1703</v>
      </c>
      <c r="I1396" s="98" t="s">
        <v>1704</v>
      </c>
      <c r="J1396" s="98" t="s">
        <v>1705</v>
      </c>
      <c r="K1396" s="98" t="s">
        <v>1706</v>
      </c>
    </row>
    <row r="1397" customFormat="false" ht="64" hidden="false" customHeight="true" outlineLevel="0" collapsed="false">
      <c r="C1397" s="98" t="s">
        <v>3162</v>
      </c>
      <c r="D1397" s="98" t="s">
        <v>1748</v>
      </c>
      <c r="E1397" s="98" t="s">
        <v>811</v>
      </c>
      <c r="F1397" s="98" t="n">
        <v>3.76704643916667</v>
      </c>
      <c r="G1397" s="98" t="s">
        <v>3135</v>
      </c>
      <c r="H1397" s="98" t="s">
        <v>1703</v>
      </c>
      <c r="I1397" s="98" t="s">
        <v>1704</v>
      </c>
      <c r="J1397" s="98" t="s">
        <v>1705</v>
      </c>
      <c r="K1397" s="98" t="s">
        <v>1706</v>
      </c>
    </row>
    <row r="1398" customFormat="false" ht="64" hidden="false" customHeight="true" outlineLevel="0" collapsed="false">
      <c r="C1398" s="98" t="s">
        <v>3163</v>
      </c>
      <c r="D1398" s="98" t="s">
        <v>1750</v>
      </c>
      <c r="E1398" s="98" t="s">
        <v>811</v>
      </c>
      <c r="F1398" s="98" t="n">
        <v>3.76704643916667</v>
      </c>
      <c r="G1398" s="98" t="s">
        <v>3135</v>
      </c>
      <c r="H1398" s="98" t="s">
        <v>1703</v>
      </c>
      <c r="I1398" s="98" t="s">
        <v>1704</v>
      </c>
      <c r="J1398" s="98" t="s">
        <v>1705</v>
      </c>
      <c r="K1398" s="98" t="s">
        <v>1706</v>
      </c>
    </row>
    <row r="1399" customFormat="false" ht="64" hidden="false" customHeight="true" outlineLevel="0" collapsed="false">
      <c r="C1399" s="98" t="s">
        <v>3164</v>
      </c>
      <c r="D1399" s="98" t="s">
        <v>1752</v>
      </c>
      <c r="E1399" s="98" t="s">
        <v>811</v>
      </c>
      <c r="F1399" s="98" t="n">
        <v>3.76704643916667</v>
      </c>
      <c r="G1399" s="98" t="s">
        <v>3135</v>
      </c>
      <c r="H1399" s="98" t="s">
        <v>1703</v>
      </c>
      <c r="I1399" s="98" t="s">
        <v>1704</v>
      </c>
      <c r="J1399" s="98" t="s">
        <v>1705</v>
      </c>
      <c r="K1399" s="98" t="s">
        <v>1706</v>
      </c>
    </row>
    <row r="1400" customFormat="false" ht="64" hidden="false" customHeight="true" outlineLevel="0" collapsed="false">
      <c r="C1400" s="98" t="s">
        <v>3165</v>
      </c>
      <c r="D1400" s="98" t="s">
        <v>1754</v>
      </c>
      <c r="E1400" s="98" t="s">
        <v>811</v>
      </c>
      <c r="F1400" s="98" t="n">
        <v>3.76704643916667</v>
      </c>
      <c r="G1400" s="98" t="s">
        <v>3135</v>
      </c>
      <c r="H1400" s="98" t="s">
        <v>1703</v>
      </c>
      <c r="I1400" s="98" t="s">
        <v>1704</v>
      </c>
      <c r="J1400" s="98" t="s">
        <v>1705</v>
      </c>
      <c r="K1400" s="98" t="s">
        <v>1706</v>
      </c>
    </row>
    <row r="1401" customFormat="false" ht="64" hidden="false" customHeight="true" outlineLevel="0" collapsed="false">
      <c r="C1401" s="98" t="s">
        <v>3166</v>
      </c>
      <c r="D1401" s="98" t="s">
        <v>1756</v>
      </c>
      <c r="E1401" s="98" t="s">
        <v>811</v>
      </c>
      <c r="F1401" s="98" t="n">
        <v>3.76704643916667</v>
      </c>
      <c r="G1401" s="98" t="s">
        <v>3135</v>
      </c>
      <c r="H1401" s="98" t="s">
        <v>1703</v>
      </c>
      <c r="I1401" s="98" t="s">
        <v>1704</v>
      </c>
      <c r="J1401" s="98" t="s">
        <v>1705</v>
      </c>
      <c r="K1401" s="98" t="s">
        <v>1706</v>
      </c>
    </row>
    <row r="1402" customFormat="false" ht="64" hidden="false" customHeight="true" outlineLevel="0" collapsed="false">
      <c r="C1402" s="98" t="s">
        <v>3167</v>
      </c>
      <c r="D1402" s="98" t="s">
        <v>1758</v>
      </c>
      <c r="E1402" s="98" t="s">
        <v>811</v>
      </c>
      <c r="F1402" s="98" t="n">
        <v>3.76704643916667</v>
      </c>
      <c r="G1402" s="98" t="s">
        <v>3135</v>
      </c>
      <c r="H1402" s="98" t="s">
        <v>1703</v>
      </c>
      <c r="I1402" s="98" t="s">
        <v>1704</v>
      </c>
      <c r="J1402" s="98" t="s">
        <v>1705</v>
      </c>
      <c r="K1402" s="98" t="s">
        <v>1706</v>
      </c>
    </row>
    <row r="1403" customFormat="false" ht="64" hidden="false" customHeight="true" outlineLevel="0" collapsed="false">
      <c r="C1403" s="98" t="s">
        <v>3168</v>
      </c>
      <c r="D1403" s="98" t="s">
        <v>1760</v>
      </c>
      <c r="E1403" s="98" t="s">
        <v>811</v>
      </c>
      <c r="F1403" s="98" t="n">
        <v>3.76704643916667</v>
      </c>
      <c r="G1403" s="98" t="s">
        <v>3135</v>
      </c>
      <c r="H1403" s="98" t="s">
        <v>1703</v>
      </c>
      <c r="I1403" s="98" t="s">
        <v>1704</v>
      </c>
      <c r="J1403" s="98" t="s">
        <v>1705</v>
      </c>
      <c r="K1403" s="98" t="s">
        <v>1706</v>
      </c>
    </row>
    <row r="1404" customFormat="false" ht="64" hidden="false" customHeight="true" outlineLevel="0" collapsed="false">
      <c r="C1404" s="98" t="s">
        <v>3169</v>
      </c>
      <c r="D1404" s="98" t="s">
        <v>1762</v>
      </c>
      <c r="E1404" s="98" t="s">
        <v>811</v>
      </c>
      <c r="F1404" s="98" t="n">
        <v>3.76704643916667</v>
      </c>
      <c r="G1404" s="98" t="s">
        <v>3135</v>
      </c>
      <c r="H1404" s="98" t="s">
        <v>1703</v>
      </c>
      <c r="I1404" s="98" t="s">
        <v>1704</v>
      </c>
      <c r="J1404" s="98" t="s">
        <v>1705</v>
      </c>
      <c r="K1404" s="98" t="s">
        <v>1706</v>
      </c>
    </row>
    <row r="1405" customFormat="false" ht="64" hidden="false" customHeight="true" outlineLevel="0" collapsed="false">
      <c r="C1405" s="98" t="s">
        <v>3170</v>
      </c>
      <c r="D1405" s="98" t="s">
        <v>1764</v>
      </c>
      <c r="E1405" s="98" t="s">
        <v>811</v>
      </c>
      <c r="F1405" s="98" t="n">
        <v>3.76704643916667</v>
      </c>
      <c r="G1405" s="98" t="s">
        <v>3135</v>
      </c>
      <c r="H1405" s="98" t="s">
        <v>1703</v>
      </c>
      <c r="I1405" s="98" t="s">
        <v>1704</v>
      </c>
      <c r="J1405" s="98" t="s">
        <v>1705</v>
      </c>
      <c r="K1405" s="98" t="s">
        <v>1706</v>
      </c>
    </row>
    <row r="1406" customFormat="false" ht="64" hidden="false" customHeight="true" outlineLevel="0" collapsed="false">
      <c r="C1406" s="98" t="s">
        <v>3171</v>
      </c>
      <c r="D1406" s="98" t="s">
        <v>1829</v>
      </c>
      <c r="E1406" s="98" t="s">
        <v>811</v>
      </c>
      <c r="F1406" s="98" t="n">
        <v>0</v>
      </c>
      <c r="G1406" s="98" t="s">
        <v>3172</v>
      </c>
      <c r="H1406" s="98" t="s">
        <v>1703</v>
      </c>
      <c r="I1406" s="98" t="s">
        <v>1704</v>
      </c>
      <c r="J1406" s="98" t="s">
        <v>1705</v>
      </c>
      <c r="K1406" s="98" t="s">
        <v>1706</v>
      </c>
    </row>
    <row r="1407" customFormat="false" ht="64" hidden="false" customHeight="true" outlineLevel="0" collapsed="false">
      <c r="C1407" s="98" t="s">
        <v>3173</v>
      </c>
      <c r="D1407" s="98" t="s">
        <v>1833</v>
      </c>
      <c r="E1407" s="98" t="s">
        <v>811</v>
      </c>
      <c r="F1407" s="98" t="n">
        <v>0</v>
      </c>
      <c r="G1407" s="98" t="s">
        <v>3172</v>
      </c>
      <c r="H1407" s="98" t="s">
        <v>1703</v>
      </c>
      <c r="I1407" s="98" t="s">
        <v>1704</v>
      </c>
      <c r="J1407" s="98" t="s">
        <v>1705</v>
      </c>
      <c r="K1407" s="98" t="s">
        <v>1706</v>
      </c>
    </row>
    <row r="1408" customFormat="false" ht="64" hidden="false" customHeight="true" outlineLevel="0" collapsed="false">
      <c r="C1408" s="98" t="s">
        <v>3174</v>
      </c>
      <c r="D1408" s="98" t="s">
        <v>1835</v>
      </c>
      <c r="E1408" s="98" t="s">
        <v>811</v>
      </c>
      <c r="F1408" s="98" t="n">
        <v>0</v>
      </c>
      <c r="G1408" s="98" t="s">
        <v>3172</v>
      </c>
      <c r="H1408" s="98" t="s">
        <v>1703</v>
      </c>
      <c r="I1408" s="98" t="s">
        <v>1704</v>
      </c>
      <c r="J1408" s="98" t="s">
        <v>1705</v>
      </c>
      <c r="K1408" s="98" t="s">
        <v>1706</v>
      </c>
    </row>
    <row r="1409" customFormat="false" ht="64" hidden="false" customHeight="true" outlineLevel="0" collapsed="false">
      <c r="C1409" s="98" t="s">
        <v>3175</v>
      </c>
      <c r="D1409" s="98" t="s">
        <v>1044</v>
      </c>
      <c r="E1409" s="98" t="s">
        <v>811</v>
      </c>
      <c r="F1409" s="98" t="n">
        <v>0</v>
      </c>
      <c r="G1409" s="98" t="s">
        <v>3172</v>
      </c>
      <c r="H1409" s="98" t="s">
        <v>1703</v>
      </c>
      <c r="I1409" s="98" t="s">
        <v>1704</v>
      </c>
      <c r="J1409" s="98" t="s">
        <v>1705</v>
      </c>
      <c r="K1409" s="98" t="s">
        <v>1706</v>
      </c>
    </row>
    <row r="1410" customFormat="false" ht="64" hidden="false" customHeight="true" outlineLevel="0" collapsed="false">
      <c r="C1410" s="98" t="s">
        <v>3176</v>
      </c>
      <c r="D1410" s="98" t="s">
        <v>1838</v>
      </c>
      <c r="E1410" s="98" t="s">
        <v>811</v>
      </c>
      <c r="F1410" s="98" t="n">
        <v>0</v>
      </c>
      <c r="G1410" s="98" t="s">
        <v>3172</v>
      </c>
      <c r="H1410" s="98" t="s">
        <v>1703</v>
      </c>
      <c r="I1410" s="98" t="s">
        <v>1704</v>
      </c>
      <c r="J1410" s="98" t="s">
        <v>1705</v>
      </c>
      <c r="K1410" s="98" t="s">
        <v>1706</v>
      </c>
    </row>
    <row r="1411" customFormat="false" ht="64" hidden="false" customHeight="true" outlineLevel="0" collapsed="false">
      <c r="C1411" s="98" t="s">
        <v>3177</v>
      </c>
      <c r="D1411" s="98" t="s">
        <v>1840</v>
      </c>
      <c r="E1411" s="98" t="s">
        <v>811</v>
      </c>
      <c r="F1411" s="98" t="n">
        <v>0</v>
      </c>
      <c r="G1411" s="98" t="s">
        <v>3172</v>
      </c>
      <c r="H1411" s="98" t="s">
        <v>1703</v>
      </c>
      <c r="I1411" s="98" t="s">
        <v>1704</v>
      </c>
      <c r="J1411" s="98" t="s">
        <v>1705</v>
      </c>
      <c r="K1411" s="98" t="s">
        <v>1706</v>
      </c>
    </row>
    <row r="1412" customFormat="false" ht="64" hidden="false" customHeight="true" outlineLevel="0" collapsed="false">
      <c r="C1412" s="98" t="s">
        <v>3178</v>
      </c>
      <c r="D1412" s="98" t="s">
        <v>1700</v>
      </c>
      <c r="E1412" s="98" t="s">
        <v>811</v>
      </c>
      <c r="F1412" s="98" t="n">
        <v>0</v>
      </c>
      <c r="G1412" s="98" t="s">
        <v>3172</v>
      </c>
      <c r="H1412" s="98" t="s">
        <v>1703</v>
      </c>
      <c r="I1412" s="98" t="s">
        <v>1704</v>
      </c>
      <c r="J1412" s="98" t="s">
        <v>1705</v>
      </c>
      <c r="K1412" s="98" t="s">
        <v>1706</v>
      </c>
    </row>
    <row r="1413" customFormat="false" ht="64" hidden="false" customHeight="true" outlineLevel="0" collapsed="false">
      <c r="C1413" s="98" t="s">
        <v>3179</v>
      </c>
      <c r="D1413" s="98" t="s">
        <v>1708</v>
      </c>
      <c r="E1413" s="98" t="s">
        <v>811</v>
      </c>
      <c r="F1413" s="98" t="n">
        <v>0</v>
      </c>
      <c r="G1413" s="98" t="s">
        <v>3172</v>
      </c>
      <c r="H1413" s="98" t="s">
        <v>1703</v>
      </c>
      <c r="I1413" s="98" t="s">
        <v>1704</v>
      </c>
      <c r="J1413" s="98" t="s">
        <v>1705</v>
      </c>
      <c r="K1413" s="98" t="s">
        <v>1706</v>
      </c>
    </row>
    <row r="1414" customFormat="false" ht="64" hidden="false" customHeight="true" outlineLevel="0" collapsed="false">
      <c r="C1414" s="98" t="s">
        <v>3180</v>
      </c>
      <c r="D1414" s="98" t="s">
        <v>1710</v>
      </c>
      <c r="E1414" s="98" t="s">
        <v>811</v>
      </c>
      <c r="F1414" s="98" t="n">
        <v>0</v>
      </c>
      <c r="G1414" s="98" t="s">
        <v>3172</v>
      </c>
      <c r="H1414" s="98" t="s">
        <v>1703</v>
      </c>
      <c r="I1414" s="98" t="s">
        <v>1704</v>
      </c>
      <c r="J1414" s="98" t="s">
        <v>1705</v>
      </c>
      <c r="K1414" s="98" t="s">
        <v>1706</v>
      </c>
    </row>
    <row r="1415" customFormat="false" ht="64" hidden="false" customHeight="true" outlineLevel="0" collapsed="false">
      <c r="C1415" s="98" t="s">
        <v>3181</v>
      </c>
      <c r="D1415" s="98" t="s">
        <v>1712</v>
      </c>
      <c r="E1415" s="98" t="s">
        <v>811</v>
      </c>
      <c r="F1415" s="98" t="n">
        <v>0</v>
      </c>
      <c r="G1415" s="98" t="s">
        <v>3172</v>
      </c>
      <c r="H1415" s="98" t="s">
        <v>1703</v>
      </c>
      <c r="I1415" s="98" t="s">
        <v>1704</v>
      </c>
      <c r="J1415" s="98" t="s">
        <v>1705</v>
      </c>
      <c r="K1415" s="98" t="s">
        <v>1706</v>
      </c>
    </row>
    <row r="1416" customFormat="false" ht="64" hidden="false" customHeight="true" outlineLevel="0" collapsed="false">
      <c r="C1416" s="98" t="s">
        <v>3182</v>
      </c>
      <c r="D1416" s="98" t="s">
        <v>1714</v>
      </c>
      <c r="E1416" s="98" t="s">
        <v>811</v>
      </c>
      <c r="F1416" s="98" t="n">
        <v>0</v>
      </c>
      <c r="G1416" s="98" t="s">
        <v>3172</v>
      </c>
      <c r="H1416" s="98" t="s">
        <v>1703</v>
      </c>
      <c r="I1416" s="98" t="s">
        <v>1704</v>
      </c>
      <c r="J1416" s="98" t="s">
        <v>1705</v>
      </c>
      <c r="K1416" s="98" t="s">
        <v>1706</v>
      </c>
    </row>
    <row r="1417" customFormat="false" ht="64" hidden="false" customHeight="true" outlineLevel="0" collapsed="false">
      <c r="C1417" s="98" t="s">
        <v>3183</v>
      </c>
      <c r="D1417" s="98" t="s">
        <v>1716</v>
      </c>
      <c r="E1417" s="98" t="s">
        <v>811</v>
      </c>
      <c r="F1417" s="98" t="n">
        <v>0</v>
      </c>
      <c r="G1417" s="98" t="s">
        <v>3172</v>
      </c>
      <c r="H1417" s="98" t="s">
        <v>1703</v>
      </c>
      <c r="I1417" s="98" t="s">
        <v>1704</v>
      </c>
      <c r="J1417" s="98" t="s">
        <v>1705</v>
      </c>
      <c r="K1417" s="98" t="s">
        <v>1706</v>
      </c>
    </row>
    <row r="1418" customFormat="false" ht="64" hidden="false" customHeight="true" outlineLevel="0" collapsed="false">
      <c r="C1418" s="98" t="s">
        <v>3184</v>
      </c>
      <c r="D1418" s="98" t="s">
        <v>1718</v>
      </c>
      <c r="E1418" s="98" t="s">
        <v>811</v>
      </c>
      <c r="F1418" s="98" t="n">
        <v>0</v>
      </c>
      <c r="G1418" s="98" t="s">
        <v>3172</v>
      </c>
      <c r="H1418" s="98" t="s">
        <v>1703</v>
      </c>
      <c r="I1418" s="98" t="s">
        <v>1704</v>
      </c>
      <c r="J1418" s="98" t="s">
        <v>1705</v>
      </c>
      <c r="K1418" s="98" t="s">
        <v>1706</v>
      </c>
    </row>
    <row r="1419" customFormat="false" ht="64" hidden="false" customHeight="true" outlineLevel="0" collapsed="false">
      <c r="C1419" s="98" t="s">
        <v>3185</v>
      </c>
      <c r="D1419" s="98" t="s">
        <v>1720</v>
      </c>
      <c r="E1419" s="98" t="s">
        <v>811</v>
      </c>
      <c r="F1419" s="98" t="n">
        <v>0</v>
      </c>
      <c r="G1419" s="98" t="s">
        <v>3172</v>
      </c>
      <c r="H1419" s="98" t="s">
        <v>1703</v>
      </c>
      <c r="I1419" s="98" t="s">
        <v>1704</v>
      </c>
      <c r="J1419" s="98" t="s">
        <v>1705</v>
      </c>
      <c r="K1419" s="98" t="s">
        <v>1706</v>
      </c>
    </row>
    <row r="1420" customFormat="false" ht="64" hidden="false" customHeight="true" outlineLevel="0" collapsed="false">
      <c r="C1420" s="98" t="s">
        <v>3186</v>
      </c>
      <c r="D1420" s="98" t="s">
        <v>1722</v>
      </c>
      <c r="E1420" s="98" t="s">
        <v>811</v>
      </c>
      <c r="F1420" s="98" t="n">
        <v>0</v>
      </c>
      <c r="G1420" s="98" t="s">
        <v>3172</v>
      </c>
      <c r="H1420" s="98" t="s">
        <v>1703</v>
      </c>
      <c r="I1420" s="98" t="s">
        <v>1704</v>
      </c>
      <c r="J1420" s="98" t="s">
        <v>1705</v>
      </c>
      <c r="K1420" s="98" t="s">
        <v>1706</v>
      </c>
    </row>
    <row r="1421" customFormat="false" ht="64" hidden="false" customHeight="true" outlineLevel="0" collapsed="false">
      <c r="C1421" s="98" t="s">
        <v>3187</v>
      </c>
      <c r="D1421" s="98" t="s">
        <v>1724</v>
      </c>
      <c r="E1421" s="98" t="s">
        <v>811</v>
      </c>
      <c r="F1421" s="98" t="n">
        <v>0</v>
      </c>
      <c r="G1421" s="98" t="s">
        <v>3172</v>
      </c>
      <c r="H1421" s="98" t="s">
        <v>1703</v>
      </c>
      <c r="I1421" s="98" t="s">
        <v>1704</v>
      </c>
      <c r="J1421" s="98" t="s">
        <v>1705</v>
      </c>
      <c r="K1421" s="98" t="s">
        <v>1706</v>
      </c>
    </row>
    <row r="1422" customFormat="false" ht="64" hidden="false" customHeight="true" outlineLevel="0" collapsed="false">
      <c r="C1422" s="98" t="s">
        <v>3188</v>
      </c>
      <c r="D1422" s="98" t="s">
        <v>1726</v>
      </c>
      <c r="E1422" s="98" t="s">
        <v>811</v>
      </c>
      <c r="F1422" s="98" t="n">
        <v>0</v>
      </c>
      <c r="G1422" s="98" t="s">
        <v>3172</v>
      </c>
      <c r="H1422" s="98" t="s">
        <v>1703</v>
      </c>
      <c r="I1422" s="98" t="s">
        <v>1704</v>
      </c>
      <c r="J1422" s="98" t="s">
        <v>1705</v>
      </c>
      <c r="K1422" s="98" t="s">
        <v>1706</v>
      </c>
    </row>
    <row r="1423" customFormat="false" ht="64" hidden="false" customHeight="true" outlineLevel="0" collapsed="false">
      <c r="C1423" s="98" t="s">
        <v>3189</v>
      </c>
      <c r="D1423" s="98" t="s">
        <v>1728</v>
      </c>
      <c r="E1423" s="98" t="s">
        <v>811</v>
      </c>
      <c r="F1423" s="98" t="n">
        <v>0</v>
      </c>
      <c r="G1423" s="98" t="s">
        <v>3172</v>
      </c>
      <c r="H1423" s="98" t="s">
        <v>1703</v>
      </c>
      <c r="I1423" s="98" t="s">
        <v>1704</v>
      </c>
      <c r="J1423" s="98" t="s">
        <v>1705</v>
      </c>
      <c r="K1423" s="98" t="s">
        <v>1706</v>
      </c>
    </row>
    <row r="1424" customFormat="false" ht="64" hidden="false" customHeight="true" outlineLevel="0" collapsed="false">
      <c r="C1424" s="98" t="s">
        <v>3190</v>
      </c>
      <c r="D1424" s="98" t="s">
        <v>1730</v>
      </c>
      <c r="E1424" s="98" t="s">
        <v>811</v>
      </c>
      <c r="F1424" s="98" t="n">
        <v>0</v>
      </c>
      <c r="G1424" s="98" t="s">
        <v>3172</v>
      </c>
      <c r="H1424" s="98" t="s">
        <v>1703</v>
      </c>
      <c r="I1424" s="98" t="s">
        <v>1704</v>
      </c>
      <c r="J1424" s="98" t="s">
        <v>1705</v>
      </c>
      <c r="K1424" s="98" t="s">
        <v>1706</v>
      </c>
    </row>
    <row r="1425" customFormat="false" ht="64" hidden="false" customHeight="true" outlineLevel="0" collapsed="false">
      <c r="C1425" s="98" t="s">
        <v>3191</v>
      </c>
      <c r="D1425" s="98" t="s">
        <v>1732</v>
      </c>
      <c r="E1425" s="98" t="s">
        <v>811</v>
      </c>
      <c r="F1425" s="98" t="n">
        <v>0</v>
      </c>
      <c r="G1425" s="98" t="s">
        <v>3172</v>
      </c>
      <c r="H1425" s="98" t="s">
        <v>1703</v>
      </c>
      <c r="I1425" s="98" t="s">
        <v>1704</v>
      </c>
      <c r="J1425" s="98" t="s">
        <v>1705</v>
      </c>
      <c r="K1425" s="98" t="s">
        <v>1706</v>
      </c>
    </row>
    <row r="1426" customFormat="false" ht="64" hidden="false" customHeight="true" outlineLevel="0" collapsed="false">
      <c r="C1426" s="98" t="s">
        <v>3192</v>
      </c>
      <c r="D1426" s="98" t="s">
        <v>1734</v>
      </c>
      <c r="E1426" s="98" t="s">
        <v>811</v>
      </c>
      <c r="F1426" s="98" t="n">
        <v>0</v>
      </c>
      <c r="G1426" s="98" t="s">
        <v>3172</v>
      </c>
      <c r="H1426" s="98" t="s">
        <v>1703</v>
      </c>
      <c r="I1426" s="98" t="s">
        <v>1704</v>
      </c>
      <c r="J1426" s="98" t="s">
        <v>1705</v>
      </c>
      <c r="K1426" s="98" t="s">
        <v>1706</v>
      </c>
    </row>
    <row r="1427" customFormat="false" ht="64" hidden="false" customHeight="true" outlineLevel="0" collapsed="false">
      <c r="C1427" s="98" t="s">
        <v>3193</v>
      </c>
      <c r="D1427" s="98" t="s">
        <v>1736</v>
      </c>
      <c r="E1427" s="98" t="s">
        <v>811</v>
      </c>
      <c r="F1427" s="98" t="n">
        <v>0</v>
      </c>
      <c r="G1427" s="98" t="s">
        <v>3172</v>
      </c>
      <c r="H1427" s="98" t="s">
        <v>1703</v>
      </c>
      <c r="I1427" s="98" t="s">
        <v>1704</v>
      </c>
      <c r="J1427" s="98" t="s">
        <v>1705</v>
      </c>
      <c r="K1427" s="98" t="s">
        <v>1706</v>
      </c>
    </row>
    <row r="1428" customFormat="false" ht="64" hidden="false" customHeight="true" outlineLevel="0" collapsed="false">
      <c r="C1428" s="98" t="s">
        <v>3194</v>
      </c>
      <c r="D1428" s="98" t="s">
        <v>1738</v>
      </c>
      <c r="E1428" s="98" t="s">
        <v>811</v>
      </c>
      <c r="F1428" s="98" t="n">
        <v>0</v>
      </c>
      <c r="G1428" s="98" t="s">
        <v>3172</v>
      </c>
      <c r="H1428" s="98" t="s">
        <v>1703</v>
      </c>
      <c r="I1428" s="98" t="s">
        <v>1704</v>
      </c>
      <c r="J1428" s="98" t="s">
        <v>1705</v>
      </c>
      <c r="K1428" s="98" t="s">
        <v>1706</v>
      </c>
    </row>
    <row r="1429" customFormat="false" ht="64" hidden="false" customHeight="true" outlineLevel="0" collapsed="false">
      <c r="C1429" s="98" t="s">
        <v>3195</v>
      </c>
      <c r="D1429" s="98" t="s">
        <v>1740</v>
      </c>
      <c r="E1429" s="98" t="s">
        <v>811</v>
      </c>
      <c r="F1429" s="98" t="n">
        <v>0</v>
      </c>
      <c r="G1429" s="98" t="s">
        <v>3172</v>
      </c>
      <c r="H1429" s="98" t="s">
        <v>1703</v>
      </c>
      <c r="I1429" s="98" t="s">
        <v>1704</v>
      </c>
      <c r="J1429" s="98" t="s">
        <v>1705</v>
      </c>
      <c r="K1429" s="98" t="s">
        <v>1706</v>
      </c>
    </row>
    <row r="1430" customFormat="false" ht="64" hidden="false" customHeight="true" outlineLevel="0" collapsed="false">
      <c r="C1430" s="98" t="s">
        <v>3196</v>
      </c>
      <c r="D1430" s="98" t="s">
        <v>1742</v>
      </c>
      <c r="E1430" s="98" t="s">
        <v>811</v>
      </c>
      <c r="F1430" s="98" t="n">
        <v>0</v>
      </c>
      <c r="G1430" s="98" t="s">
        <v>3172</v>
      </c>
      <c r="H1430" s="98" t="s">
        <v>1703</v>
      </c>
      <c r="I1430" s="98" t="s">
        <v>1704</v>
      </c>
      <c r="J1430" s="98" t="s">
        <v>1705</v>
      </c>
      <c r="K1430" s="98" t="s">
        <v>1706</v>
      </c>
    </row>
    <row r="1431" customFormat="false" ht="64" hidden="false" customHeight="true" outlineLevel="0" collapsed="false">
      <c r="C1431" s="98" t="s">
        <v>3197</v>
      </c>
      <c r="D1431" s="98" t="s">
        <v>1744</v>
      </c>
      <c r="E1431" s="98" t="s">
        <v>811</v>
      </c>
      <c r="F1431" s="98" t="n">
        <v>0</v>
      </c>
      <c r="G1431" s="98" t="s">
        <v>3172</v>
      </c>
      <c r="H1431" s="98" t="s">
        <v>1703</v>
      </c>
      <c r="I1431" s="98" t="s">
        <v>1704</v>
      </c>
      <c r="J1431" s="98" t="s">
        <v>1705</v>
      </c>
      <c r="K1431" s="98" t="s">
        <v>1706</v>
      </c>
    </row>
    <row r="1432" customFormat="false" ht="64" hidden="false" customHeight="true" outlineLevel="0" collapsed="false">
      <c r="C1432" s="98" t="s">
        <v>3198</v>
      </c>
      <c r="D1432" s="98" t="s">
        <v>1746</v>
      </c>
      <c r="E1432" s="98" t="s">
        <v>811</v>
      </c>
      <c r="F1432" s="98" t="n">
        <v>0</v>
      </c>
      <c r="G1432" s="98" t="s">
        <v>3172</v>
      </c>
      <c r="H1432" s="98" t="s">
        <v>1703</v>
      </c>
      <c r="I1432" s="98" t="s">
        <v>1704</v>
      </c>
      <c r="J1432" s="98" t="s">
        <v>1705</v>
      </c>
      <c r="K1432" s="98" t="s">
        <v>1706</v>
      </c>
    </row>
    <row r="1433" customFormat="false" ht="64" hidden="false" customHeight="true" outlineLevel="0" collapsed="false">
      <c r="C1433" s="98" t="s">
        <v>3199</v>
      </c>
      <c r="D1433" s="98" t="s">
        <v>1748</v>
      </c>
      <c r="E1433" s="98" t="s">
        <v>811</v>
      </c>
      <c r="F1433" s="98" t="n">
        <v>0</v>
      </c>
      <c r="G1433" s="98" t="s">
        <v>3172</v>
      </c>
      <c r="H1433" s="98" t="s">
        <v>1703</v>
      </c>
      <c r="I1433" s="98" t="s">
        <v>1704</v>
      </c>
      <c r="J1433" s="98" t="s">
        <v>1705</v>
      </c>
      <c r="K1433" s="98" t="s">
        <v>1706</v>
      </c>
    </row>
    <row r="1434" customFormat="false" ht="64" hidden="false" customHeight="true" outlineLevel="0" collapsed="false">
      <c r="C1434" s="98" t="s">
        <v>3200</v>
      </c>
      <c r="D1434" s="98" t="s">
        <v>1750</v>
      </c>
      <c r="E1434" s="98" t="s">
        <v>811</v>
      </c>
      <c r="F1434" s="98" t="n">
        <v>0</v>
      </c>
      <c r="G1434" s="98" t="s">
        <v>3172</v>
      </c>
      <c r="H1434" s="98" t="s">
        <v>1703</v>
      </c>
      <c r="I1434" s="98" t="s">
        <v>1704</v>
      </c>
      <c r="J1434" s="98" t="s">
        <v>1705</v>
      </c>
      <c r="K1434" s="98" t="s">
        <v>1706</v>
      </c>
    </row>
    <row r="1435" customFormat="false" ht="64" hidden="false" customHeight="true" outlineLevel="0" collapsed="false">
      <c r="C1435" s="98" t="s">
        <v>3201</v>
      </c>
      <c r="D1435" s="98" t="s">
        <v>1752</v>
      </c>
      <c r="E1435" s="98" t="s">
        <v>811</v>
      </c>
      <c r="F1435" s="98" t="n">
        <v>0</v>
      </c>
      <c r="G1435" s="98" t="s">
        <v>3172</v>
      </c>
      <c r="H1435" s="98" t="s">
        <v>1703</v>
      </c>
      <c r="I1435" s="98" t="s">
        <v>1704</v>
      </c>
      <c r="J1435" s="98" t="s">
        <v>1705</v>
      </c>
      <c r="K1435" s="98" t="s">
        <v>1706</v>
      </c>
    </row>
    <row r="1436" customFormat="false" ht="64" hidden="false" customHeight="true" outlineLevel="0" collapsed="false">
      <c r="C1436" s="98" t="s">
        <v>3202</v>
      </c>
      <c r="D1436" s="98" t="s">
        <v>1754</v>
      </c>
      <c r="E1436" s="98" t="s">
        <v>811</v>
      </c>
      <c r="F1436" s="98" t="n">
        <v>0</v>
      </c>
      <c r="G1436" s="98" t="s">
        <v>3172</v>
      </c>
      <c r="H1436" s="98" t="s">
        <v>1703</v>
      </c>
      <c r="I1436" s="98" t="s">
        <v>1704</v>
      </c>
      <c r="J1436" s="98" t="s">
        <v>1705</v>
      </c>
      <c r="K1436" s="98" t="s">
        <v>1706</v>
      </c>
    </row>
    <row r="1437" customFormat="false" ht="64" hidden="false" customHeight="true" outlineLevel="0" collapsed="false">
      <c r="C1437" s="98" t="s">
        <v>3203</v>
      </c>
      <c r="D1437" s="98" t="s">
        <v>1756</v>
      </c>
      <c r="E1437" s="98" t="s">
        <v>811</v>
      </c>
      <c r="F1437" s="98" t="n">
        <v>0</v>
      </c>
      <c r="G1437" s="98" t="s">
        <v>3172</v>
      </c>
      <c r="H1437" s="98" t="s">
        <v>1703</v>
      </c>
      <c r="I1437" s="98" t="s">
        <v>1704</v>
      </c>
      <c r="J1437" s="98" t="s">
        <v>1705</v>
      </c>
      <c r="K1437" s="98" t="s">
        <v>1706</v>
      </c>
    </row>
    <row r="1438" customFormat="false" ht="64" hidden="false" customHeight="true" outlineLevel="0" collapsed="false">
      <c r="C1438" s="98" t="s">
        <v>3204</v>
      </c>
      <c r="D1438" s="98" t="s">
        <v>1758</v>
      </c>
      <c r="E1438" s="98" t="s">
        <v>811</v>
      </c>
      <c r="F1438" s="98" t="n">
        <v>0</v>
      </c>
      <c r="G1438" s="98" t="s">
        <v>3172</v>
      </c>
      <c r="H1438" s="98" t="s">
        <v>1703</v>
      </c>
      <c r="I1438" s="98" t="s">
        <v>1704</v>
      </c>
      <c r="J1438" s="98" t="s">
        <v>1705</v>
      </c>
      <c r="K1438" s="98" t="s">
        <v>1706</v>
      </c>
    </row>
    <row r="1439" customFormat="false" ht="64" hidden="false" customHeight="true" outlineLevel="0" collapsed="false">
      <c r="C1439" s="98" t="s">
        <v>3205</v>
      </c>
      <c r="D1439" s="98" t="s">
        <v>1760</v>
      </c>
      <c r="E1439" s="98" t="s">
        <v>811</v>
      </c>
      <c r="F1439" s="98" t="n">
        <v>0</v>
      </c>
      <c r="G1439" s="98" t="s">
        <v>3172</v>
      </c>
      <c r="H1439" s="98" t="s">
        <v>1703</v>
      </c>
      <c r="I1439" s="98" t="s">
        <v>1704</v>
      </c>
      <c r="J1439" s="98" t="s">
        <v>1705</v>
      </c>
      <c r="K1439" s="98" t="s">
        <v>1706</v>
      </c>
    </row>
    <row r="1440" customFormat="false" ht="64" hidden="false" customHeight="true" outlineLevel="0" collapsed="false">
      <c r="C1440" s="98" t="s">
        <v>3206</v>
      </c>
      <c r="D1440" s="98" t="s">
        <v>1762</v>
      </c>
      <c r="E1440" s="98" t="s">
        <v>811</v>
      </c>
      <c r="F1440" s="98" t="n">
        <v>0</v>
      </c>
      <c r="G1440" s="98" t="s">
        <v>3172</v>
      </c>
      <c r="H1440" s="98" t="s">
        <v>1703</v>
      </c>
      <c r="I1440" s="98" t="s">
        <v>1704</v>
      </c>
      <c r="J1440" s="98" t="s">
        <v>1705</v>
      </c>
      <c r="K1440" s="98" t="s">
        <v>1706</v>
      </c>
    </row>
    <row r="1441" customFormat="false" ht="64" hidden="false" customHeight="true" outlineLevel="0" collapsed="false">
      <c r="C1441" s="98" t="s">
        <v>3207</v>
      </c>
      <c r="D1441" s="98" t="s">
        <v>1764</v>
      </c>
      <c r="E1441" s="98" t="s">
        <v>811</v>
      </c>
      <c r="F1441" s="98" t="n">
        <v>0</v>
      </c>
      <c r="G1441" s="98" t="s">
        <v>3172</v>
      </c>
      <c r="H1441" s="98" t="s">
        <v>1703</v>
      </c>
      <c r="I1441" s="98" t="s">
        <v>1704</v>
      </c>
      <c r="J1441" s="98" t="s">
        <v>1705</v>
      </c>
      <c r="K1441" s="98" t="s">
        <v>1706</v>
      </c>
    </row>
    <row r="1442" customFormat="false" ht="64" hidden="false" customHeight="true" outlineLevel="0" collapsed="false">
      <c r="C1442" s="98" t="s">
        <v>3208</v>
      </c>
      <c r="D1442" s="98" t="s">
        <v>1829</v>
      </c>
      <c r="E1442" s="98" t="s">
        <v>811</v>
      </c>
      <c r="F1442" s="98" t="n">
        <v>0</v>
      </c>
      <c r="G1442" s="98" t="s">
        <v>3209</v>
      </c>
      <c r="H1442" s="98" t="s">
        <v>1703</v>
      </c>
      <c r="I1442" s="98" t="s">
        <v>1704</v>
      </c>
      <c r="J1442" s="98" t="s">
        <v>1705</v>
      </c>
      <c r="K1442" s="98" t="s">
        <v>1706</v>
      </c>
    </row>
    <row r="1443" customFormat="false" ht="64" hidden="false" customHeight="true" outlineLevel="0" collapsed="false">
      <c r="C1443" s="98" t="s">
        <v>3210</v>
      </c>
      <c r="D1443" s="98" t="s">
        <v>1833</v>
      </c>
      <c r="E1443" s="98" t="s">
        <v>811</v>
      </c>
      <c r="F1443" s="98" t="n">
        <v>0</v>
      </c>
      <c r="G1443" s="98" t="s">
        <v>3209</v>
      </c>
      <c r="H1443" s="98" t="s">
        <v>1703</v>
      </c>
      <c r="I1443" s="98" t="s">
        <v>1704</v>
      </c>
      <c r="J1443" s="98" t="s">
        <v>1705</v>
      </c>
      <c r="K1443" s="98" t="s">
        <v>1706</v>
      </c>
    </row>
    <row r="1444" customFormat="false" ht="64" hidden="false" customHeight="true" outlineLevel="0" collapsed="false">
      <c r="C1444" s="98" t="s">
        <v>3211</v>
      </c>
      <c r="D1444" s="98" t="s">
        <v>1835</v>
      </c>
      <c r="E1444" s="98" t="s">
        <v>811</v>
      </c>
      <c r="F1444" s="98" t="n">
        <v>0</v>
      </c>
      <c r="G1444" s="98" t="s">
        <v>3209</v>
      </c>
      <c r="H1444" s="98" t="s">
        <v>1703</v>
      </c>
      <c r="I1444" s="98" t="s">
        <v>1704</v>
      </c>
      <c r="J1444" s="98" t="s">
        <v>1705</v>
      </c>
      <c r="K1444" s="98" t="s">
        <v>1706</v>
      </c>
    </row>
    <row r="1445" customFormat="false" ht="64" hidden="false" customHeight="true" outlineLevel="0" collapsed="false">
      <c r="C1445" s="98" t="s">
        <v>3212</v>
      </c>
      <c r="D1445" s="98" t="s">
        <v>1044</v>
      </c>
      <c r="E1445" s="98" t="s">
        <v>811</v>
      </c>
      <c r="F1445" s="98" t="n">
        <v>0</v>
      </c>
      <c r="G1445" s="98" t="s">
        <v>3209</v>
      </c>
      <c r="H1445" s="98" t="s">
        <v>1703</v>
      </c>
      <c r="I1445" s="98" t="s">
        <v>1704</v>
      </c>
      <c r="J1445" s="98" t="s">
        <v>1705</v>
      </c>
      <c r="K1445" s="98" t="s">
        <v>1706</v>
      </c>
    </row>
    <row r="1446" customFormat="false" ht="64" hidden="false" customHeight="true" outlineLevel="0" collapsed="false">
      <c r="C1446" s="98" t="s">
        <v>3213</v>
      </c>
      <c r="D1446" s="98" t="s">
        <v>1838</v>
      </c>
      <c r="E1446" s="98" t="s">
        <v>811</v>
      </c>
      <c r="F1446" s="98" t="n">
        <v>0</v>
      </c>
      <c r="G1446" s="98" t="s">
        <v>3209</v>
      </c>
      <c r="H1446" s="98" t="s">
        <v>1703</v>
      </c>
      <c r="I1446" s="98" t="s">
        <v>1704</v>
      </c>
      <c r="J1446" s="98" t="s">
        <v>1705</v>
      </c>
      <c r="K1446" s="98" t="s">
        <v>1706</v>
      </c>
    </row>
    <row r="1447" customFormat="false" ht="64" hidden="false" customHeight="true" outlineLevel="0" collapsed="false">
      <c r="C1447" s="98" t="s">
        <v>3214</v>
      </c>
      <c r="D1447" s="98" t="s">
        <v>1840</v>
      </c>
      <c r="E1447" s="98" t="s">
        <v>811</v>
      </c>
      <c r="F1447" s="98" t="n">
        <v>0</v>
      </c>
      <c r="G1447" s="98" t="s">
        <v>3209</v>
      </c>
      <c r="H1447" s="98" t="s">
        <v>1703</v>
      </c>
      <c r="I1447" s="98" t="s">
        <v>1704</v>
      </c>
      <c r="J1447" s="98" t="s">
        <v>1705</v>
      </c>
      <c r="K1447" s="98" t="s">
        <v>1706</v>
      </c>
    </row>
    <row r="1448" customFormat="false" ht="64" hidden="false" customHeight="true" outlineLevel="0" collapsed="false">
      <c r="C1448" s="98" t="s">
        <v>3215</v>
      </c>
      <c r="D1448" s="98" t="s">
        <v>1700</v>
      </c>
      <c r="E1448" s="98" t="s">
        <v>811</v>
      </c>
      <c r="F1448" s="98" t="n">
        <v>0</v>
      </c>
      <c r="G1448" s="98" t="s">
        <v>3209</v>
      </c>
      <c r="H1448" s="98" t="s">
        <v>1703</v>
      </c>
      <c r="I1448" s="98" t="s">
        <v>1704</v>
      </c>
      <c r="J1448" s="98" t="s">
        <v>1705</v>
      </c>
      <c r="K1448" s="98" t="s">
        <v>1706</v>
      </c>
    </row>
    <row r="1449" customFormat="false" ht="64" hidden="false" customHeight="true" outlineLevel="0" collapsed="false">
      <c r="C1449" s="98" t="s">
        <v>3216</v>
      </c>
      <c r="D1449" s="98" t="s">
        <v>1708</v>
      </c>
      <c r="E1449" s="98" t="s">
        <v>811</v>
      </c>
      <c r="F1449" s="98" t="n">
        <v>0</v>
      </c>
      <c r="G1449" s="98" t="s">
        <v>3209</v>
      </c>
      <c r="H1449" s="98" t="s">
        <v>1703</v>
      </c>
      <c r="I1449" s="98" t="s">
        <v>1704</v>
      </c>
      <c r="J1449" s="98" t="s">
        <v>1705</v>
      </c>
      <c r="K1449" s="98" t="s">
        <v>1706</v>
      </c>
    </row>
    <row r="1450" customFormat="false" ht="64" hidden="false" customHeight="true" outlineLevel="0" collapsed="false">
      <c r="C1450" s="98" t="s">
        <v>3217</v>
      </c>
      <c r="D1450" s="98" t="s">
        <v>1710</v>
      </c>
      <c r="E1450" s="98" t="s">
        <v>811</v>
      </c>
      <c r="F1450" s="98" t="n">
        <v>0</v>
      </c>
      <c r="G1450" s="98" t="s">
        <v>3209</v>
      </c>
      <c r="H1450" s="98" t="s">
        <v>1703</v>
      </c>
      <c r="I1450" s="98" t="s">
        <v>1704</v>
      </c>
      <c r="J1450" s="98" t="s">
        <v>1705</v>
      </c>
      <c r="K1450" s="98" t="s">
        <v>1706</v>
      </c>
    </row>
    <row r="1451" customFormat="false" ht="64" hidden="false" customHeight="true" outlineLevel="0" collapsed="false">
      <c r="C1451" s="98" t="s">
        <v>3218</v>
      </c>
      <c r="D1451" s="98" t="s">
        <v>1712</v>
      </c>
      <c r="E1451" s="98" t="s">
        <v>811</v>
      </c>
      <c r="F1451" s="98" t="n">
        <v>0</v>
      </c>
      <c r="G1451" s="98" t="s">
        <v>3209</v>
      </c>
      <c r="H1451" s="98" t="s">
        <v>1703</v>
      </c>
      <c r="I1451" s="98" t="s">
        <v>1704</v>
      </c>
      <c r="J1451" s="98" t="s">
        <v>1705</v>
      </c>
      <c r="K1451" s="98" t="s">
        <v>1706</v>
      </c>
    </row>
    <row r="1452" customFormat="false" ht="64" hidden="false" customHeight="true" outlineLevel="0" collapsed="false">
      <c r="C1452" s="98" t="s">
        <v>3219</v>
      </c>
      <c r="D1452" s="98" t="s">
        <v>1714</v>
      </c>
      <c r="E1452" s="98" t="s">
        <v>811</v>
      </c>
      <c r="F1452" s="98" t="n">
        <v>0</v>
      </c>
      <c r="G1452" s="98" t="s">
        <v>3209</v>
      </c>
      <c r="H1452" s="98" t="s">
        <v>1703</v>
      </c>
      <c r="I1452" s="98" t="s">
        <v>1704</v>
      </c>
      <c r="J1452" s="98" t="s">
        <v>1705</v>
      </c>
      <c r="K1452" s="98" t="s">
        <v>1706</v>
      </c>
    </row>
    <row r="1453" customFormat="false" ht="64" hidden="false" customHeight="true" outlineLevel="0" collapsed="false">
      <c r="C1453" s="98" t="s">
        <v>3220</v>
      </c>
      <c r="D1453" s="98" t="s">
        <v>1716</v>
      </c>
      <c r="E1453" s="98" t="s">
        <v>811</v>
      </c>
      <c r="F1453" s="98" t="n">
        <v>0</v>
      </c>
      <c r="G1453" s="98" t="s">
        <v>3209</v>
      </c>
      <c r="H1453" s="98" t="s">
        <v>1703</v>
      </c>
      <c r="I1453" s="98" t="s">
        <v>1704</v>
      </c>
      <c r="J1453" s="98" t="s">
        <v>1705</v>
      </c>
      <c r="K1453" s="98" t="s">
        <v>1706</v>
      </c>
    </row>
    <row r="1454" customFormat="false" ht="64" hidden="false" customHeight="true" outlineLevel="0" collapsed="false">
      <c r="C1454" s="98" t="s">
        <v>3221</v>
      </c>
      <c r="D1454" s="98" t="s">
        <v>1718</v>
      </c>
      <c r="E1454" s="98" t="s">
        <v>811</v>
      </c>
      <c r="F1454" s="98" t="n">
        <v>0</v>
      </c>
      <c r="G1454" s="98" t="s">
        <v>3209</v>
      </c>
      <c r="H1454" s="98" t="s">
        <v>1703</v>
      </c>
      <c r="I1454" s="98" t="s">
        <v>1704</v>
      </c>
      <c r="J1454" s="98" t="s">
        <v>1705</v>
      </c>
      <c r="K1454" s="98" t="s">
        <v>1706</v>
      </c>
    </row>
    <row r="1455" customFormat="false" ht="64" hidden="false" customHeight="true" outlineLevel="0" collapsed="false">
      <c r="C1455" s="98" t="s">
        <v>3222</v>
      </c>
      <c r="D1455" s="98" t="s">
        <v>1720</v>
      </c>
      <c r="E1455" s="98" t="s">
        <v>811</v>
      </c>
      <c r="F1455" s="98" t="n">
        <v>0</v>
      </c>
      <c r="G1455" s="98" t="s">
        <v>3209</v>
      </c>
      <c r="H1455" s="98" t="s">
        <v>1703</v>
      </c>
      <c r="I1455" s="98" t="s">
        <v>1704</v>
      </c>
      <c r="J1455" s="98" t="s">
        <v>1705</v>
      </c>
      <c r="K1455" s="98" t="s">
        <v>1706</v>
      </c>
    </row>
    <row r="1456" customFormat="false" ht="64" hidden="false" customHeight="true" outlineLevel="0" collapsed="false">
      <c r="C1456" s="98" t="s">
        <v>3223</v>
      </c>
      <c r="D1456" s="98" t="s">
        <v>1722</v>
      </c>
      <c r="E1456" s="98" t="s">
        <v>811</v>
      </c>
      <c r="F1456" s="98" t="n">
        <v>0</v>
      </c>
      <c r="G1456" s="98" t="s">
        <v>3209</v>
      </c>
      <c r="H1456" s="98" t="s">
        <v>1703</v>
      </c>
      <c r="I1456" s="98" t="s">
        <v>1704</v>
      </c>
      <c r="J1456" s="98" t="s">
        <v>1705</v>
      </c>
      <c r="K1456" s="98" t="s">
        <v>1706</v>
      </c>
    </row>
    <row r="1457" customFormat="false" ht="64" hidden="false" customHeight="true" outlineLevel="0" collapsed="false">
      <c r="C1457" s="98" t="s">
        <v>3224</v>
      </c>
      <c r="D1457" s="98" t="s">
        <v>1724</v>
      </c>
      <c r="E1457" s="98" t="s">
        <v>811</v>
      </c>
      <c r="F1457" s="98" t="n">
        <v>0</v>
      </c>
      <c r="G1457" s="98" t="s">
        <v>3209</v>
      </c>
      <c r="H1457" s="98" t="s">
        <v>1703</v>
      </c>
      <c r="I1457" s="98" t="s">
        <v>1704</v>
      </c>
      <c r="J1457" s="98" t="s">
        <v>1705</v>
      </c>
      <c r="K1457" s="98" t="s">
        <v>1706</v>
      </c>
    </row>
    <row r="1458" customFormat="false" ht="64" hidden="false" customHeight="true" outlineLevel="0" collapsed="false">
      <c r="C1458" s="98" t="s">
        <v>3225</v>
      </c>
      <c r="D1458" s="98" t="s">
        <v>1726</v>
      </c>
      <c r="E1458" s="98" t="s">
        <v>811</v>
      </c>
      <c r="F1458" s="98" t="n">
        <v>0</v>
      </c>
      <c r="G1458" s="98" t="s">
        <v>3209</v>
      </c>
      <c r="H1458" s="98" t="s">
        <v>1703</v>
      </c>
      <c r="I1458" s="98" t="s">
        <v>1704</v>
      </c>
      <c r="J1458" s="98" t="s">
        <v>1705</v>
      </c>
      <c r="K1458" s="98" t="s">
        <v>1706</v>
      </c>
    </row>
    <row r="1459" customFormat="false" ht="64" hidden="false" customHeight="true" outlineLevel="0" collapsed="false">
      <c r="C1459" s="98" t="s">
        <v>3226</v>
      </c>
      <c r="D1459" s="98" t="s">
        <v>1728</v>
      </c>
      <c r="E1459" s="98" t="s">
        <v>811</v>
      </c>
      <c r="F1459" s="98" t="n">
        <v>0</v>
      </c>
      <c r="G1459" s="98" t="s">
        <v>3209</v>
      </c>
      <c r="H1459" s="98" t="s">
        <v>1703</v>
      </c>
      <c r="I1459" s="98" t="s">
        <v>1704</v>
      </c>
      <c r="J1459" s="98" t="s">
        <v>1705</v>
      </c>
      <c r="K1459" s="98" t="s">
        <v>1706</v>
      </c>
    </row>
    <row r="1460" customFormat="false" ht="64" hidden="false" customHeight="true" outlineLevel="0" collapsed="false">
      <c r="C1460" s="98" t="s">
        <v>3227</v>
      </c>
      <c r="D1460" s="98" t="s">
        <v>1730</v>
      </c>
      <c r="E1460" s="98" t="s">
        <v>811</v>
      </c>
      <c r="F1460" s="98" t="n">
        <v>0</v>
      </c>
      <c r="G1460" s="98" t="s">
        <v>3209</v>
      </c>
      <c r="H1460" s="98" t="s">
        <v>1703</v>
      </c>
      <c r="I1460" s="98" t="s">
        <v>1704</v>
      </c>
      <c r="J1460" s="98" t="s">
        <v>1705</v>
      </c>
      <c r="K1460" s="98" t="s">
        <v>1706</v>
      </c>
    </row>
    <row r="1461" customFormat="false" ht="64" hidden="false" customHeight="true" outlineLevel="0" collapsed="false">
      <c r="C1461" s="98" t="s">
        <v>3228</v>
      </c>
      <c r="D1461" s="98" t="s">
        <v>1732</v>
      </c>
      <c r="E1461" s="98" t="s">
        <v>811</v>
      </c>
      <c r="F1461" s="98" t="n">
        <v>0</v>
      </c>
      <c r="G1461" s="98" t="s">
        <v>3209</v>
      </c>
      <c r="H1461" s="98" t="s">
        <v>1703</v>
      </c>
      <c r="I1461" s="98" t="s">
        <v>1704</v>
      </c>
      <c r="J1461" s="98" t="s">
        <v>1705</v>
      </c>
      <c r="K1461" s="98" t="s">
        <v>1706</v>
      </c>
    </row>
    <row r="1462" customFormat="false" ht="64" hidden="false" customHeight="true" outlineLevel="0" collapsed="false">
      <c r="C1462" s="98" t="s">
        <v>3229</v>
      </c>
      <c r="D1462" s="98" t="s">
        <v>1734</v>
      </c>
      <c r="E1462" s="98" t="s">
        <v>811</v>
      </c>
      <c r="F1462" s="98" t="n">
        <v>0</v>
      </c>
      <c r="G1462" s="98" t="s">
        <v>3209</v>
      </c>
      <c r="H1462" s="98" t="s">
        <v>1703</v>
      </c>
      <c r="I1462" s="98" t="s">
        <v>1704</v>
      </c>
      <c r="J1462" s="98" t="s">
        <v>1705</v>
      </c>
      <c r="K1462" s="98" t="s">
        <v>1706</v>
      </c>
    </row>
    <row r="1463" customFormat="false" ht="64" hidden="false" customHeight="true" outlineLevel="0" collapsed="false">
      <c r="C1463" s="98" t="s">
        <v>3230</v>
      </c>
      <c r="D1463" s="98" t="s">
        <v>1736</v>
      </c>
      <c r="E1463" s="98" t="s">
        <v>811</v>
      </c>
      <c r="F1463" s="98" t="n">
        <v>0</v>
      </c>
      <c r="G1463" s="98" t="s">
        <v>3209</v>
      </c>
      <c r="H1463" s="98" t="s">
        <v>1703</v>
      </c>
      <c r="I1463" s="98" t="s">
        <v>1704</v>
      </c>
      <c r="J1463" s="98" t="s">
        <v>1705</v>
      </c>
      <c r="K1463" s="98" t="s">
        <v>1706</v>
      </c>
    </row>
    <row r="1464" customFormat="false" ht="64" hidden="false" customHeight="true" outlineLevel="0" collapsed="false">
      <c r="C1464" s="98" t="s">
        <v>3231</v>
      </c>
      <c r="D1464" s="98" t="s">
        <v>1738</v>
      </c>
      <c r="E1464" s="98" t="s">
        <v>811</v>
      </c>
      <c r="F1464" s="98" t="n">
        <v>0</v>
      </c>
      <c r="G1464" s="98" t="s">
        <v>3209</v>
      </c>
      <c r="H1464" s="98" t="s">
        <v>1703</v>
      </c>
      <c r="I1464" s="98" t="s">
        <v>1704</v>
      </c>
      <c r="J1464" s="98" t="s">
        <v>1705</v>
      </c>
      <c r="K1464" s="98" t="s">
        <v>1706</v>
      </c>
    </row>
    <row r="1465" customFormat="false" ht="64" hidden="false" customHeight="true" outlineLevel="0" collapsed="false">
      <c r="C1465" s="98" t="s">
        <v>3232</v>
      </c>
      <c r="D1465" s="98" t="s">
        <v>1740</v>
      </c>
      <c r="E1465" s="98" t="s">
        <v>811</v>
      </c>
      <c r="F1465" s="98" t="n">
        <v>0</v>
      </c>
      <c r="G1465" s="98" t="s">
        <v>3209</v>
      </c>
      <c r="H1465" s="98" t="s">
        <v>1703</v>
      </c>
      <c r="I1465" s="98" t="s">
        <v>1704</v>
      </c>
      <c r="J1465" s="98" t="s">
        <v>1705</v>
      </c>
      <c r="K1465" s="98" t="s">
        <v>1706</v>
      </c>
    </row>
    <row r="1466" customFormat="false" ht="64" hidden="false" customHeight="true" outlineLevel="0" collapsed="false">
      <c r="C1466" s="98" t="s">
        <v>3233</v>
      </c>
      <c r="D1466" s="98" t="s">
        <v>1742</v>
      </c>
      <c r="E1466" s="98" t="s">
        <v>811</v>
      </c>
      <c r="F1466" s="98" t="n">
        <v>0</v>
      </c>
      <c r="G1466" s="98" t="s">
        <v>3209</v>
      </c>
      <c r="H1466" s="98" t="s">
        <v>1703</v>
      </c>
      <c r="I1466" s="98" t="s">
        <v>1704</v>
      </c>
      <c r="J1466" s="98" t="s">
        <v>1705</v>
      </c>
      <c r="K1466" s="98" t="s">
        <v>1706</v>
      </c>
    </row>
    <row r="1467" customFormat="false" ht="64" hidden="false" customHeight="true" outlineLevel="0" collapsed="false">
      <c r="C1467" s="98" t="s">
        <v>3234</v>
      </c>
      <c r="D1467" s="98" t="s">
        <v>1744</v>
      </c>
      <c r="E1467" s="98" t="s">
        <v>811</v>
      </c>
      <c r="F1467" s="98" t="n">
        <v>0</v>
      </c>
      <c r="G1467" s="98" t="s">
        <v>3209</v>
      </c>
      <c r="H1467" s="98" t="s">
        <v>1703</v>
      </c>
      <c r="I1467" s="98" t="s">
        <v>1704</v>
      </c>
      <c r="J1467" s="98" t="s">
        <v>1705</v>
      </c>
      <c r="K1467" s="98" t="s">
        <v>1706</v>
      </c>
    </row>
    <row r="1468" customFormat="false" ht="64" hidden="false" customHeight="true" outlineLevel="0" collapsed="false">
      <c r="C1468" s="98" t="s">
        <v>3235</v>
      </c>
      <c r="D1468" s="98" t="s">
        <v>1746</v>
      </c>
      <c r="E1468" s="98" t="s">
        <v>811</v>
      </c>
      <c r="F1468" s="98" t="n">
        <v>0</v>
      </c>
      <c r="G1468" s="98" t="s">
        <v>3209</v>
      </c>
      <c r="H1468" s="98" t="s">
        <v>1703</v>
      </c>
      <c r="I1468" s="98" t="s">
        <v>1704</v>
      </c>
      <c r="J1468" s="98" t="s">
        <v>1705</v>
      </c>
      <c r="K1468" s="98" t="s">
        <v>1706</v>
      </c>
    </row>
    <row r="1469" customFormat="false" ht="64" hidden="false" customHeight="true" outlineLevel="0" collapsed="false">
      <c r="C1469" s="98" t="s">
        <v>3236</v>
      </c>
      <c r="D1469" s="98" t="s">
        <v>1748</v>
      </c>
      <c r="E1469" s="98" t="s">
        <v>811</v>
      </c>
      <c r="F1469" s="98" t="n">
        <v>0</v>
      </c>
      <c r="G1469" s="98" t="s">
        <v>3209</v>
      </c>
      <c r="H1469" s="98" t="s">
        <v>1703</v>
      </c>
      <c r="I1469" s="98" t="s">
        <v>1704</v>
      </c>
      <c r="J1469" s="98" t="s">
        <v>1705</v>
      </c>
      <c r="K1469" s="98" t="s">
        <v>1706</v>
      </c>
    </row>
    <row r="1470" customFormat="false" ht="64" hidden="false" customHeight="true" outlineLevel="0" collapsed="false">
      <c r="C1470" s="98" t="s">
        <v>3237</v>
      </c>
      <c r="D1470" s="98" t="s">
        <v>1750</v>
      </c>
      <c r="E1470" s="98" t="s">
        <v>811</v>
      </c>
      <c r="F1470" s="98" t="n">
        <v>0</v>
      </c>
      <c r="G1470" s="98" t="s">
        <v>3209</v>
      </c>
      <c r="H1470" s="98" t="s">
        <v>1703</v>
      </c>
      <c r="I1470" s="98" t="s">
        <v>1704</v>
      </c>
      <c r="J1470" s="98" t="s">
        <v>1705</v>
      </c>
      <c r="K1470" s="98" t="s">
        <v>1706</v>
      </c>
    </row>
    <row r="1471" customFormat="false" ht="64" hidden="false" customHeight="true" outlineLevel="0" collapsed="false">
      <c r="C1471" s="98" t="s">
        <v>3238</v>
      </c>
      <c r="D1471" s="98" t="s">
        <v>1752</v>
      </c>
      <c r="E1471" s="98" t="s">
        <v>811</v>
      </c>
      <c r="F1471" s="98" t="n">
        <v>0</v>
      </c>
      <c r="G1471" s="98" t="s">
        <v>3209</v>
      </c>
      <c r="H1471" s="98" t="s">
        <v>1703</v>
      </c>
      <c r="I1471" s="98" t="s">
        <v>1704</v>
      </c>
      <c r="J1471" s="98" t="s">
        <v>1705</v>
      </c>
      <c r="K1471" s="98" t="s">
        <v>1706</v>
      </c>
    </row>
    <row r="1472" customFormat="false" ht="64" hidden="false" customHeight="true" outlineLevel="0" collapsed="false">
      <c r="C1472" s="98" t="s">
        <v>3239</v>
      </c>
      <c r="D1472" s="98" t="s">
        <v>1754</v>
      </c>
      <c r="E1472" s="98" t="s">
        <v>811</v>
      </c>
      <c r="F1472" s="98" t="n">
        <v>0</v>
      </c>
      <c r="G1472" s="98" t="s">
        <v>3209</v>
      </c>
      <c r="H1472" s="98" t="s">
        <v>1703</v>
      </c>
      <c r="I1472" s="98" t="s">
        <v>1704</v>
      </c>
      <c r="J1472" s="98" t="s">
        <v>1705</v>
      </c>
      <c r="K1472" s="98" t="s">
        <v>1706</v>
      </c>
    </row>
    <row r="1473" customFormat="false" ht="64" hidden="false" customHeight="true" outlineLevel="0" collapsed="false">
      <c r="C1473" s="98" t="s">
        <v>3240</v>
      </c>
      <c r="D1473" s="98" t="s">
        <v>1756</v>
      </c>
      <c r="E1473" s="98" t="s">
        <v>811</v>
      </c>
      <c r="F1473" s="98" t="n">
        <v>0</v>
      </c>
      <c r="G1473" s="98" t="s">
        <v>3209</v>
      </c>
      <c r="H1473" s="98" t="s">
        <v>1703</v>
      </c>
      <c r="I1473" s="98" t="s">
        <v>1704</v>
      </c>
      <c r="J1473" s="98" t="s">
        <v>1705</v>
      </c>
      <c r="K1473" s="98" t="s">
        <v>1706</v>
      </c>
    </row>
    <row r="1474" customFormat="false" ht="64" hidden="false" customHeight="true" outlineLevel="0" collapsed="false">
      <c r="C1474" s="98" t="s">
        <v>3241</v>
      </c>
      <c r="D1474" s="98" t="s">
        <v>1758</v>
      </c>
      <c r="E1474" s="98" t="s">
        <v>811</v>
      </c>
      <c r="F1474" s="98" t="n">
        <v>0</v>
      </c>
      <c r="G1474" s="98" t="s">
        <v>3209</v>
      </c>
      <c r="H1474" s="98" t="s">
        <v>1703</v>
      </c>
      <c r="I1474" s="98" t="s">
        <v>1704</v>
      </c>
      <c r="J1474" s="98" t="s">
        <v>1705</v>
      </c>
      <c r="K1474" s="98" t="s">
        <v>1706</v>
      </c>
    </row>
    <row r="1475" customFormat="false" ht="64" hidden="false" customHeight="true" outlineLevel="0" collapsed="false">
      <c r="C1475" s="98" t="s">
        <v>3242</v>
      </c>
      <c r="D1475" s="98" t="s">
        <v>1760</v>
      </c>
      <c r="E1475" s="98" t="s">
        <v>811</v>
      </c>
      <c r="F1475" s="98" t="n">
        <v>0</v>
      </c>
      <c r="G1475" s="98" t="s">
        <v>3209</v>
      </c>
      <c r="H1475" s="98" t="s">
        <v>1703</v>
      </c>
      <c r="I1475" s="98" t="s">
        <v>1704</v>
      </c>
      <c r="J1475" s="98" t="s">
        <v>1705</v>
      </c>
      <c r="K1475" s="98" t="s">
        <v>1706</v>
      </c>
    </row>
    <row r="1476" customFormat="false" ht="64" hidden="false" customHeight="true" outlineLevel="0" collapsed="false">
      <c r="C1476" s="98" t="s">
        <v>3243</v>
      </c>
      <c r="D1476" s="98" t="s">
        <v>1762</v>
      </c>
      <c r="E1476" s="98" t="s">
        <v>811</v>
      </c>
      <c r="F1476" s="98" t="n">
        <v>0</v>
      </c>
      <c r="G1476" s="98" t="s">
        <v>3209</v>
      </c>
      <c r="H1476" s="98" t="s">
        <v>1703</v>
      </c>
      <c r="I1476" s="98" t="s">
        <v>1704</v>
      </c>
      <c r="J1476" s="98" t="s">
        <v>1705</v>
      </c>
      <c r="K1476" s="98" t="s">
        <v>1706</v>
      </c>
    </row>
    <row r="1477" customFormat="false" ht="64" hidden="false" customHeight="true" outlineLevel="0" collapsed="false">
      <c r="C1477" s="98" t="s">
        <v>3244</v>
      </c>
      <c r="D1477" s="98" t="s">
        <v>1764</v>
      </c>
      <c r="E1477" s="98" t="s">
        <v>811</v>
      </c>
      <c r="F1477" s="98" t="n">
        <v>0</v>
      </c>
      <c r="G1477" s="98" t="s">
        <v>3209</v>
      </c>
      <c r="H1477" s="98" t="s">
        <v>1703</v>
      </c>
      <c r="I1477" s="98" t="s">
        <v>1704</v>
      </c>
      <c r="J1477" s="98" t="s">
        <v>1705</v>
      </c>
      <c r="K1477" s="98" t="s">
        <v>1706</v>
      </c>
    </row>
    <row r="1478" customFormat="false" ht="64" hidden="false" customHeight="true" outlineLevel="0" collapsed="false">
      <c r="C1478" s="98" t="s">
        <v>3245</v>
      </c>
      <c r="D1478" s="98" t="s">
        <v>1829</v>
      </c>
      <c r="E1478" s="98" t="s">
        <v>811</v>
      </c>
      <c r="F1478" s="98" t="n">
        <v>0</v>
      </c>
      <c r="G1478" s="98" t="s">
        <v>3246</v>
      </c>
      <c r="H1478" s="98" t="s">
        <v>3098</v>
      </c>
      <c r="I1478" s="98" t="s">
        <v>1704</v>
      </c>
      <c r="J1478" s="98" t="s">
        <v>1705</v>
      </c>
      <c r="K1478" s="98" t="s">
        <v>1706</v>
      </c>
    </row>
    <row r="1479" customFormat="false" ht="64" hidden="false" customHeight="true" outlineLevel="0" collapsed="false">
      <c r="C1479" s="98" t="s">
        <v>3247</v>
      </c>
      <c r="D1479" s="98" t="s">
        <v>1833</v>
      </c>
      <c r="E1479" s="98" t="s">
        <v>811</v>
      </c>
      <c r="F1479" s="98" t="n">
        <v>0</v>
      </c>
      <c r="G1479" s="98" t="s">
        <v>3246</v>
      </c>
      <c r="H1479" s="98" t="s">
        <v>3098</v>
      </c>
      <c r="I1479" s="98" t="s">
        <v>1704</v>
      </c>
      <c r="J1479" s="98" t="s">
        <v>1705</v>
      </c>
      <c r="K1479" s="98" t="s">
        <v>1706</v>
      </c>
    </row>
    <row r="1480" customFormat="false" ht="64" hidden="false" customHeight="true" outlineLevel="0" collapsed="false">
      <c r="C1480" s="98" t="s">
        <v>3248</v>
      </c>
      <c r="D1480" s="98" t="s">
        <v>1835</v>
      </c>
      <c r="E1480" s="98" t="s">
        <v>811</v>
      </c>
      <c r="F1480" s="98" t="n">
        <v>0</v>
      </c>
      <c r="G1480" s="98" t="s">
        <v>3246</v>
      </c>
      <c r="H1480" s="98" t="s">
        <v>3098</v>
      </c>
      <c r="I1480" s="98" t="s">
        <v>1704</v>
      </c>
      <c r="J1480" s="98" t="s">
        <v>1705</v>
      </c>
      <c r="K1480" s="98" t="s">
        <v>1706</v>
      </c>
    </row>
    <row r="1481" customFormat="false" ht="64" hidden="false" customHeight="true" outlineLevel="0" collapsed="false">
      <c r="C1481" s="98" t="s">
        <v>3249</v>
      </c>
      <c r="D1481" s="98" t="s">
        <v>1044</v>
      </c>
      <c r="E1481" s="98" t="s">
        <v>811</v>
      </c>
      <c r="F1481" s="98" t="n">
        <v>0</v>
      </c>
      <c r="G1481" s="98" t="s">
        <v>3246</v>
      </c>
      <c r="H1481" s="98" t="s">
        <v>3098</v>
      </c>
      <c r="I1481" s="98" t="s">
        <v>1704</v>
      </c>
      <c r="J1481" s="98" t="s">
        <v>1705</v>
      </c>
      <c r="K1481" s="98" t="s">
        <v>1706</v>
      </c>
    </row>
    <row r="1482" customFormat="false" ht="64" hidden="false" customHeight="true" outlineLevel="0" collapsed="false">
      <c r="C1482" s="98" t="s">
        <v>3250</v>
      </c>
      <c r="D1482" s="98" t="s">
        <v>1838</v>
      </c>
      <c r="E1482" s="98" t="s">
        <v>811</v>
      </c>
      <c r="F1482" s="98" t="n">
        <v>0</v>
      </c>
      <c r="G1482" s="98" t="s">
        <v>3246</v>
      </c>
      <c r="H1482" s="98" t="s">
        <v>3098</v>
      </c>
      <c r="I1482" s="98" t="s">
        <v>1704</v>
      </c>
      <c r="J1482" s="98" t="s">
        <v>1705</v>
      </c>
      <c r="K1482" s="98" t="s">
        <v>1706</v>
      </c>
    </row>
    <row r="1483" customFormat="false" ht="64" hidden="false" customHeight="true" outlineLevel="0" collapsed="false">
      <c r="C1483" s="98" t="s">
        <v>3251</v>
      </c>
      <c r="D1483" s="98" t="s">
        <v>1840</v>
      </c>
      <c r="E1483" s="98" t="s">
        <v>811</v>
      </c>
      <c r="F1483" s="98" t="n">
        <v>0</v>
      </c>
      <c r="G1483" s="98" t="s">
        <v>3246</v>
      </c>
      <c r="H1483" s="98" t="s">
        <v>3098</v>
      </c>
      <c r="I1483" s="98" t="s">
        <v>1704</v>
      </c>
      <c r="J1483" s="98" t="s">
        <v>1705</v>
      </c>
      <c r="K1483" s="98" t="s">
        <v>1706</v>
      </c>
    </row>
    <row r="1484" customFormat="false" ht="64" hidden="false" customHeight="true" outlineLevel="0" collapsed="false">
      <c r="C1484" s="98" t="s">
        <v>3252</v>
      </c>
      <c r="D1484" s="98" t="s">
        <v>1700</v>
      </c>
      <c r="E1484" s="98" t="s">
        <v>811</v>
      </c>
      <c r="F1484" s="98" t="n">
        <v>0</v>
      </c>
      <c r="G1484" s="98" t="s">
        <v>3246</v>
      </c>
      <c r="H1484" s="98" t="s">
        <v>3098</v>
      </c>
      <c r="I1484" s="98" t="s">
        <v>1704</v>
      </c>
      <c r="J1484" s="98" t="s">
        <v>1705</v>
      </c>
      <c r="K1484" s="98" t="s">
        <v>1706</v>
      </c>
    </row>
    <row r="1485" customFormat="false" ht="64" hidden="false" customHeight="true" outlineLevel="0" collapsed="false">
      <c r="C1485" s="98" t="s">
        <v>3253</v>
      </c>
      <c r="D1485" s="98" t="s">
        <v>1708</v>
      </c>
      <c r="E1485" s="98" t="s">
        <v>811</v>
      </c>
      <c r="F1485" s="98" t="n">
        <v>0</v>
      </c>
      <c r="G1485" s="98" t="s">
        <v>3246</v>
      </c>
      <c r="H1485" s="98" t="s">
        <v>3098</v>
      </c>
      <c r="I1485" s="98" t="s">
        <v>1704</v>
      </c>
      <c r="J1485" s="98" t="s">
        <v>1705</v>
      </c>
      <c r="K1485" s="98" t="s">
        <v>1706</v>
      </c>
    </row>
    <row r="1486" customFormat="false" ht="64" hidden="false" customHeight="true" outlineLevel="0" collapsed="false">
      <c r="C1486" s="98" t="s">
        <v>3254</v>
      </c>
      <c r="D1486" s="98" t="s">
        <v>1710</v>
      </c>
      <c r="E1486" s="98" t="s">
        <v>811</v>
      </c>
      <c r="F1486" s="98" t="n">
        <v>0</v>
      </c>
      <c r="G1486" s="98" t="s">
        <v>3246</v>
      </c>
      <c r="H1486" s="98" t="s">
        <v>3098</v>
      </c>
      <c r="I1486" s="98" t="s">
        <v>1704</v>
      </c>
      <c r="J1486" s="98" t="s">
        <v>1705</v>
      </c>
      <c r="K1486" s="98" t="s">
        <v>1706</v>
      </c>
    </row>
    <row r="1487" customFormat="false" ht="64" hidden="false" customHeight="true" outlineLevel="0" collapsed="false">
      <c r="C1487" s="98" t="s">
        <v>3255</v>
      </c>
      <c r="D1487" s="98" t="s">
        <v>1712</v>
      </c>
      <c r="E1487" s="98" t="s">
        <v>811</v>
      </c>
      <c r="F1487" s="98" t="n">
        <v>0</v>
      </c>
      <c r="G1487" s="98" t="s">
        <v>3246</v>
      </c>
      <c r="H1487" s="98" t="s">
        <v>3098</v>
      </c>
      <c r="I1487" s="98" t="s">
        <v>1704</v>
      </c>
      <c r="J1487" s="98" t="s">
        <v>1705</v>
      </c>
      <c r="K1487" s="98" t="s">
        <v>1706</v>
      </c>
    </row>
    <row r="1488" customFormat="false" ht="64" hidden="false" customHeight="true" outlineLevel="0" collapsed="false">
      <c r="C1488" s="98" t="s">
        <v>3256</v>
      </c>
      <c r="D1488" s="98" t="s">
        <v>1714</v>
      </c>
      <c r="E1488" s="98" t="s">
        <v>811</v>
      </c>
      <c r="F1488" s="98" t="n">
        <v>0</v>
      </c>
      <c r="G1488" s="98" t="s">
        <v>3246</v>
      </c>
      <c r="H1488" s="98" t="s">
        <v>3098</v>
      </c>
      <c r="I1488" s="98" t="s">
        <v>1704</v>
      </c>
      <c r="J1488" s="98" t="s">
        <v>1705</v>
      </c>
      <c r="K1488" s="98" t="s">
        <v>1706</v>
      </c>
    </row>
    <row r="1489" customFormat="false" ht="64" hidden="false" customHeight="true" outlineLevel="0" collapsed="false">
      <c r="C1489" s="98" t="s">
        <v>3257</v>
      </c>
      <c r="D1489" s="98" t="s">
        <v>1716</v>
      </c>
      <c r="E1489" s="98" t="s">
        <v>811</v>
      </c>
      <c r="F1489" s="98" t="n">
        <v>0</v>
      </c>
      <c r="G1489" s="98" t="s">
        <v>3246</v>
      </c>
      <c r="H1489" s="98" t="s">
        <v>3098</v>
      </c>
      <c r="I1489" s="98" t="s">
        <v>1704</v>
      </c>
      <c r="J1489" s="98" t="s">
        <v>1705</v>
      </c>
      <c r="K1489" s="98" t="s">
        <v>1706</v>
      </c>
    </row>
    <row r="1490" customFormat="false" ht="64" hidden="false" customHeight="true" outlineLevel="0" collapsed="false">
      <c r="C1490" s="98" t="s">
        <v>3258</v>
      </c>
      <c r="D1490" s="98" t="s">
        <v>1718</v>
      </c>
      <c r="E1490" s="98" t="s">
        <v>811</v>
      </c>
      <c r="F1490" s="98" t="n">
        <v>0</v>
      </c>
      <c r="G1490" s="98" t="s">
        <v>3246</v>
      </c>
      <c r="H1490" s="98" t="s">
        <v>3098</v>
      </c>
      <c r="I1490" s="98" t="s">
        <v>1704</v>
      </c>
      <c r="J1490" s="98" t="s">
        <v>1705</v>
      </c>
      <c r="K1490" s="98" t="s">
        <v>1706</v>
      </c>
    </row>
    <row r="1491" customFormat="false" ht="64" hidden="false" customHeight="true" outlineLevel="0" collapsed="false">
      <c r="C1491" s="98" t="s">
        <v>3259</v>
      </c>
      <c r="D1491" s="98" t="s">
        <v>1720</v>
      </c>
      <c r="E1491" s="98" t="s">
        <v>811</v>
      </c>
      <c r="F1491" s="98" t="n">
        <v>0</v>
      </c>
      <c r="G1491" s="98" t="s">
        <v>3246</v>
      </c>
      <c r="H1491" s="98" t="s">
        <v>3098</v>
      </c>
      <c r="I1491" s="98" t="s">
        <v>1704</v>
      </c>
      <c r="J1491" s="98" t="s">
        <v>1705</v>
      </c>
      <c r="K1491" s="98" t="s">
        <v>1706</v>
      </c>
    </row>
    <row r="1492" customFormat="false" ht="64" hidden="false" customHeight="true" outlineLevel="0" collapsed="false">
      <c r="C1492" s="98" t="s">
        <v>3260</v>
      </c>
      <c r="D1492" s="98" t="s">
        <v>1722</v>
      </c>
      <c r="E1492" s="98" t="s">
        <v>811</v>
      </c>
      <c r="F1492" s="98" t="n">
        <v>0</v>
      </c>
      <c r="G1492" s="98" t="s">
        <v>3246</v>
      </c>
      <c r="H1492" s="98" t="s">
        <v>3098</v>
      </c>
      <c r="I1492" s="98" t="s">
        <v>1704</v>
      </c>
      <c r="J1492" s="98" t="s">
        <v>1705</v>
      </c>
      <c r="K1492" s="98" t="s">
        <v>1706</v>
      </c>
    </row>
    <row r="1493" customFormat="false" ht="64" hidden="false" customHeight="true" outlineLevel="0" collapsed="false">
      <c r="C1493" s="98" t="s">
        <v>3261</v>
      </c>
      <c r="D1493" s="98" t="s">
        <v>1724</v>
      </c>
      <c r="E1493" s="98" t="s">
        <v>811</v>
      </c>
      <c r="F1493" s="98" t="n">
        <v>0</v>
      </c>
      <c r="G1493" s="98" t="s">
        <v>3246</v>
      </c>
      <c r="H1493" s="98" t="s">
        <v>3098</v>
      </c>
      <c r="I1493" s="98" t="s">
        <v>1704</v>
      </c>
      <c r="J1493" s="98" t="s">
        <v>1705</v>
      </c>
      <c r="K1493" s="98" t="s">
        <v>1706</v>
      </c>
    </row>
    <row r="1494" customFormat="false" ht="64" hidden="false" customHeight="true" outlineLevel="0" collapsed="false">
      <c r="C1494" s="98" t="s">
        <v>3262</v>
      </c>
      <c r="D1494" s="98" t="s">
        <v>1726</v>
      </c>
      <c r="E1494" s="98" t="s">
        <v>811</v>
      </c>
      <c r="F1494" s="98" t="n">
        <v>0</v>
      </c>
      <c r="G1494" s="98" t="s">
        <v>3246</v>
      </c>
      <c r="H1494" s="98" t="s">
        <v>3098</v>
      </c>
      <c r="I1494" s="98" t="s">
        <v>1704</v>
      </c>
      <c r="J1494" s="98" t="s">
        <v>1705</v>
      </c>
      <c r="K1494" s="98" t="s">
        <v>1706</v>
      </c>
    </row>
    <row r="1495" customFormat="false" ht="64" hidden="false" customHeight="true" outlineLevel="0" collapsed="false">
      <c r="C1495" s="98" t="s">
        <v>3263</v>
      </c>
      <c r="D1495" s="98" t="s">
        <v>1728</v>
      </c>
      <c r="E1495" s="98" t="s">
        <v>811</v>
      </c>
      <c r="F1495" s="98" t="n">
        <v>0</v>
      </c>
      <c r="G1495" s="98" t="s">
        <v>3246</v>
      </c>
      <c r="H1495" s="98" t="s">
        <v>3098</v>
      </c>
      <c r="I1495" s="98" t="s">
        <v>1704</v>
      </c>
      <c r="J1495" s="98" t="s">
        <v>1705</v>
      </c>
      <c r="K1495" s="98" t="s">
        <v>1706</v>
      </c>
    </row>
    <row r="1496" customFormat="false" ht="64" hidden="false" customHeight="true" outlineLevel="0" collapsed="false">
      <c r="C1496" s="98" t="s">
        <v>3264</v>
      </c>
      <c r="D1496" s="98" t="s">
        <v>1730</v>
      </c>
      <c r="E1496" s="98" t="s">
        <v>811</v>
      </c>
      <c r="F1496" s="98" t="n">
        <v>0</v>
      </c>
      <c r="G1496" s="98" t="s">
        <v>3246</v>
      </c>
      <c r="H1496" s="98" t="s">
        <v>3098</v>
      </c>
      <c r="I1496" s="98" t="s">
        <v>1704</v>
      </c>
      <c r="J1496" s="98" t="s">
        <v>1705</v>
      </c>
      <c r="K1496" s="98" t="s">
        <v>1706</v>
      </c>
    </row>
    <row r="1497" customFormat="false" ht="64" hidden="false" customHeight="true" outlineLevel="0" collapsed="false">
      <c r="C1497" s="98" t="s">
        <v>3265</v>
      </c>
      <c r="D1497" s="98" t="s">
        <v>1732</v>
      </c>
      <c r="E1497" s="98" t="s">
        <v>811</v>
      </c>
      <c r="F1497" s="98" t="n">
        <v>0</v>
      </c>
      <c r="G1497" s="98" t="s">
        <v>3246</v>
      </c>
      <c r="H1497" s="98" t="s">
        <v>3098</v>
      </c>
      <c r="I1497" s="98" t="s">
        <v>1704</v>
      </c>
      <c r="J1497" s="98" t="s">
        <v>1705</v>
      </c>
      <c r="K1497" s="98" t="s">
        <v>1706</v>
      </c>
    </row>
    <row r="1498" customFormat="false" ht="64" hidden="false" customHeight="true" outlineLevel="0" collapsed="false">
      <c r="C1498" s="98" t="s">
        <v>3266</v>
      </c>
      <c r="D1498" s="98" t="s">
        <v>1734</v>
      </c>
      <c r="E1498" s="98" t="s">
        <v>811</v>
      </c>
      <c r="F1498" s="98" t="n">
        <v>0</v>
      </c>
      <c r="G1498" s="98" t="s">
        <v>3246</v>
      </c>
      <c r="H1498" s="98" t="s">
        <v>3098</v>
      </c>
      <c r="I1498" s="98" t="s">
        <v>1704</v>
      </c>
      <c r="J1498" s="98" t="s">
        <v>1705</v>
      </c>
      <c r="K1498" s="98" t="s">
        <v>1706</v>
      </c>
    </row>
    <row r="1499" customFormat="false" ht="64" hidden="false" customHeight="true" outlineLevel="0" collapsed="false">
      <c r="C1499" s="98" t="s">
        <v>3267</v>
      </c>
      <c r="D1499" s="98" t="s">
        <v>1736</v>
      </c>
      <c r="E1499" s="98" t="s">
        <v>811</v>
      </c>
      <c r="F1499" s="98" t="n">
        <v>0</v>
      </c>
      <c r="G1499" s="98" t="s">
        <v>3246</v>
      </c>
      <c r="H1499" s="98" t="s">
        <v>3098</v>
      </c>
      <c r="I1499" s="98" t="s">
        <v>1704</v>
      </c>
      <c r="J1499" s="98" t="s">
        <v>1705</v>
      </c>
      <c r="K1499" s="98" t="s">
        <v>1706</v>
      </c>
    </row>
    <row r="1500" customFormat="false" ht="64" hidden="false" customHeight="true" outlineLevel="0" collapsed="false">
      <c r="C1500" s="98" t="s">
        <v>3268</v>
      </c>
      <c r="D1500" s="98" t="s">
        <v>1738</v>
      </c>
      <c r="E1500" s="98" t="s">
        <v>811</v>
      </c>
      <c r="F1500" s="98" t="n">
        <v>0</v>
      </c>
      <c r="G1500" s="98" t="s">
        <v>3246</v>
      </c>
      <c r="H1500" s="98" t="s">
        <v>3098</v>
      </c>
      <c r="I1500" s="98" t="s">
        <v>1704</v>
      </c>
      <c r="J1500" s="98" t="s">
        <v>1705</v>
      </c>
      <c r="K1500" s="98" t="s">
        <v>1706</v>
      </c>
    </row>
    <row r="1501" customFormat="false" ht="64" hidden="false" customHeight="true" outlineLevel="0" collapsed="false">
      <c r="C1501" s="98" t="s">
        <v>3269</v>
      </c>
      <c r="D1501" s="98" t="s">
        <v>1740</v>
      </c>
      <c r="E1501" s="98" t="s">
        <v>811</v>
      </c>
      <c r="F1501" s="98" t="n">
        <v>0</v>
      </c>
      <c r="G1501" s="98" t="s">
        <v>3246</v>
      </c>
      <c r="H1501" s="98" t="s">
        <v>3098</v>
      </c>
      <c r="I1501" s="98" t="s">
        <v>1704</v>
      </c>
      <c r="J1501" s="98" t="s">
        <v>1705</v>
      </c>
      <c r="K1501" s="98" t="s">
        <v>1706</v>
      </c>
    </row>
    <row r="1502" customFormat="false" ht="64" hidden="false" customHeight="true" outlineLevel="0" collapsed="false">
      <c r="C1502" s="98" t="s">
        <v>3270</v>
      </c>
      <c r="D1502" s="98" t="s">
        <v>1742</v>
      </c>
      <c r="E1502" s="98" t="s">
        <v>811</v>
      </c>
      <c r="F1502" s="98" t="n">
        <v>0</v>
      </c>
      <c r="G1502" s="98" t="s">
        <v>3246</v>
      </c>
      <c r="H1502" s="98" t="s">
        <v>3098</v>
      </c>
      <c r="I1502" s="98" t="s">
        <v>1704</v>
      </c>
      <c r="J1502" s="98" t="s">
        <v>1705</v>
      </c>
      <c r="K1502" s="98" t="s">
        <v>1706</v>
      </c>
    </row>
    <row r="1503" customFormat="false" ht="64" hidden="false" customHeight="true" outlineLevel="0" collapsed="false">
      <c r="C1503" s="98" t="s">
        <v>3271</v>
      </c>
      <c r="D1503" s="98" t="s">
        <v>1744</v>
      </c>
      <c r="E1503" s="98" t="s">
        <v>811</v>
      </c>
      <c r="F1503" s="98" t="n">
        <v>0</v>
      </c>
      <c r="G1503" s="98" t="s">
        <v>3246</v>
      </c>
      <c r="H1503" s="98" t="s">
        <v>3098</v>
      </c>
      <c r="I1503" s="98" t="s">
        <v>1704</v>
      </c>
      <c r="J1503" s="98" t="s">
        <v>1705</v>
      </c>
      <c r="K1503" s="98" t="s">
        <v>1706</v>
      </c>
    </row>
    <row r="1504" customFormat="false" ht="64" hidden="false" customHeight="true" outlineLevel="0" collapsed="false">
      <c r="C1504" s="98" t="s">
        <v>3272</v>
      </c>
      <c r="D1504" s="98" t="s">
        <v>1746</v>
      </c>
      <c r="E1504" s="98" t="s">
        <v>811</v>
      </c>
      <c r="F1504" s="98" t="n">
        <v>0</v>
      </c>
      <c r="G1504" s="98" t="s">
        <v>3246</v>
      </c>
      <c r="H1504" s="98" t="s">
        <v>3098</v>
      </c>
      <c r="I1504" s="98" t="s">
        <v>1704</v>
      </c>
      <c r="J1504" s="98" t="s">
        <v>1705</v>
      </c>
      <c r="K1504" s="98" t="s">
        <v>1706</v>
      </c>
    </row>
    <row r="1505" customFormat="false" ht="64" hidden="false" customHeight="true" outlineLevel="0" collapsed="false">
      <c r="C1505" s="98" t="s">
        <v>3273</v>
      </c>
      <c r="D1505" s="98" t="s">
        <v>1748</v>
      </c>
      <c r="E1505" s="98" t="s">
        <v>811</v>
      </c>
      <c r="F1505" s="98" t="n">
        <v>0</v>
      </c>
      <c r="G1505" s="98" t="s">
        <v>3246</v>
      </c>
      <c r="H1505" s="98" t="s">
        <v>3098</v>
      </c>
      <c r="I1505" s="98" t="s">
        <v>1704</v>
      </c>
      <c r="J1505" s="98" t="s">
        <v>1705</v>
      </c>
      <c r="K1505" s="98" t="s">
        <v>1706</v>
      </c>
    </row>
    <row r="1506" customFormat="false" ht="64" hidden="false" customHeight="true" outlineLevel="0" collapsed="false">
      <c r="C1506" s="98" t="s">
        <v>3274</v>
      </c>
      <c r="D1506" s="98" t="s">
        <v>1750</v>
      </c>
      <c r="E1506" s="98" t="s">
        <v>811</v>
      </c>
      <c r="F1506" s="98" t="n">
        <v>0</v>
      </c>
      <c r="G1506" s="98" t="s">
        <v>3246</v>
      </c>
      <c r="H1506" s="98" t="s">
        <v>3098</v>
      </c>
      <c r="I1506" s="98" t="s">
        <v>1704</v>
      </c>
      <c r="J1506" s="98" t="s">
        <v>1705</v>
      </c>
      <c r="K1506" s="98" t="s">
        <v>1706</v>
      </c>
    </row>
    <row r="1507" customFormat="false" ht="64" hidden="false" customHeight="true" outlineLevel="0" collapsed="false">
      <c r="C1507" s="98" t="s">
        <v>3275</v>
      </c>
      <c r="D1507" s="98" t="s">
        <v>1752</v>
      </c>
      <c r="E1507" s="98" t="s">
        <v>811</v>
      </c>
      <c r="F1507" s="98" t="n">
        <v>0</v>
      </c>
      <c r="G1507" s="98" t="s">
        <v>3246</v>
      </c>
      <c r="H1507" s="98" t="s">
        <v>3098</v>
      </c>
      <c r="I1507" s="98" t="s">
        <v>1704</v>
      </c>
      <c r="J1507" s="98" t="s">
        <v>1705</v>
      </c>
      <c r="K1507" s="98" t="s">
        <v>1706</v>
      </c>
    </row>
    <row r="1508" customFormat="false" ht="64" hidden="false" customHeight="true" outlineLevel="0" collapsed="false">
      <c r="C1508" s="98" t="s">
        <v>3276</v>
      </c>
      <c r="D1508" s="98" t="s">
        <v>1754</v>
      </c>
      <c r="E1508" s="98" t="s">
        <v>811</v>
      </c>
      <c r="F1508" s="98" t="n">
        <v>0</v>
      </c>
      <c r="G1508" s="98" t="s">
        <v>3246</v>
      </c>
      <c r="H1508" s="98" t="s">
        <v>3098</v>
      </c>
      <c r="I1508" s="98" t="s">
        <v>1704</v>
      </c>
      <c r="J1508" s="98" t="s">
        <v>1705</v>
      </c>
      <c r="K1508" s="98" t="s">
        <v>1706</v>
      </c>
    </row>
    <row r="1509" customFormat="false" ht="64" hidden="false" customHeight="true" outlineLevel="0" collapsed="false">
      <c r="C1509" s="98" t="s">
        <v>3277</v>
      </c>
      <c r="D1509" s="98" t="s">
        <v>1756</v>
      </c>
      <c r="E1509" s="98" t="s">
        <v>811</v>
      </c>
      <c r="F1509" s="98" t="n">
        <v>0</v>
      </c>
      <c r="G1509" s="98" t="s">
        <v>3246</v>
      </c>
      <c r="H1509" s="98" t="s">
        <v>3098</v>
      </c>
      <c r="I1509" s="98" t="s">
        <v>1704</v>
      </c>
      <c r="J1509" s="98" t="s">
        <v>1705</v>
      </c>
      <c r="K1509" s="98" t="s">
        <v>1706</v>
      </c>
    </row>
    <row r="1510" customFormat="false" ht="64" hidden="false" customHeight="true" outlineLevel="0" collapsed="false">
      <c r="C1510" s="98" t="s">
        <v>3278</v>
      </c>
      <c r="D1510" s="98" t="s">
        <v>1758</v>
      </c>
      <c r="E1510" s="98" t="s">
        <v>811</v>
      </c>
      <c r="F1510" s="98" t="n">
        <v>0</v>
      </c>
      <c r="G1510" s="98" t="s">
        <v>3246</v>
      </c>
      <c r="H1510" s="98" t="s">
        <v>3098</v>
      </c>
      <c r="I1510" s="98" t="s">
        <v>1704</v>
      </c>
      <c r="J1510" s="98" t="s">
        <v>1705</v>
      </c>
      <c r="K1510" s="98" t="s">
        <v>1706</v>
      </c>
    </row>
    <row r="1511" customFormat="false" ht="64" hidden="false" customHeight="true" outlineLevel="0" collapsed="false">
      <c r="C1511" s="98" t="s">
        <v>3279</v>
      </c>
      <c r="D1511" s="98" t="s">
        <v>1760</v>
      </c>
      <c r="E1511" s="98" t="s">
        <v>811</v>
      </c>
      <c r="F1511" s="98" t="n">
        <v>0</v>
      </c>
      <c r="G1511" s="98" t="s">
        <v>3246</v>
      </c>
      <c r="H1511" s="98" t="s">
        <v>3098</v>
      </c>
      <c r="I1511" s="98" t="s">
        <v>1704</v>
      </c>
      <c r="J1511" s="98" t="s">
        <v>1705</v>
      </c>
      <c r="K1511" s="98" t="s">
        <v>1706</v>
      </c>
    </row>
    <row r="1512" customFormat="false" ht="64" hidden="false" customHeight="true" outlineLevel="0" collapsed="false">
      <c r="C1512" s="98" t="s">
        <v>3280</v>
      </c>
      <c r="D1512" s="98" t="s">
        <v>1762</v>
      </c>
      <c r="E1512" s="98" t="s">
        <v>811</v>
      </c>
      <c r="F1512" s="98" t="n">
        <v>0</v>
      </c>
      <c r="G1512" s="98" t="s">
        <v>3246</v>
      </c>
      <c r="H1512" s="98" t="s">
        <v>3098</v>
      </c>
      <c r="I1512" s="98" t="s">
        <v>1704</v>
      </c>
      <c r="J1512" s="98" t="s">
        <v>1705</v>
      </c>
      <c r="K1512" s="98" t="s">
        <v>1706</v>
      </c>
    </row>
    <row r="1513" customFormat="false" ht="64" hidden="false" customHeight="true" outlineLevel="0" collapsed="false">
      <c r="C1513" s="98" t="s">
        <v>3281</v>
      </c>
      <c r="D1513" s="98" t="s">
        <v>1764</v>
      </c>
      <c r="E1513" s="98" t="s">
        <v>811</v>
      </c>
      <c r="F1513" s="98" t="n">
        <v>0</v>
      </c>
      <c r="G1513" s="98" t="s">
        <v>3246</v>
      </c>
      <c r="H1513" s="98" t="s">
        <v>3098</v>
      </c>
      <c r="I1513" s="98" t="s">
        <v>1704</v>
      </c>
      <c r="J1513" s="98" t="s">
        <v>1705</v>
      </c>
      <c r="K1513" s="98" t="s">
        <v>1706</v>
      </c>
    </row>
    <row r="1514" customFormat="false" ht="64" hidden="false" customHeight="true" outlineLevel="0" collapsed="false">
      <c r="C1514" s="98" t="s">
        <v>3282</v>
      </c>
      <c r="D1514" s="98" t="s">
        <v>1829</v>
      </c>
      <c r="E1514" s="98" t="s">
        <v>811</v>
      </c>
      <c r="F1514" s="98" t="n">
        <v>0</v>
      </c>
      <c r="G1514" s="98" t="s">
        <v>3283</v>
      </c>
      <c r="H1514" s="98" t="s">
        <v>3098</v>
      </c>
      <c r="I1514" s="98" t="s">
        <v>1704</v>
      </c>
      <c r="J1514" s="98" t="s">
        <v>1705</v>
      </c>
      <c r="K1514" s="98" t="s">
        <v>1706</v>
      </c>
    </row>
    <row r="1515" customFormat="false" ht="64" hidden="false" customHeight="true" outlineLevel="0" collapsed="false">
      <c r="C1515" s="98" t="s">
        <v>3284</v>
      </c>
      <c r="D1515" s="98" t="s">
        <v>1833</v>
      </c>
      <c r="E1515" s="98" t="s">
        <v>811</v>
      </c>
      <c r="F1515" s="98" t="n">
        <v>0</v>
      </c>
      <c r="G1515" s="98" t="s">
        <v>3283</v>
      </c>
      <c r="H1515" s="98" t="s">
        <v>3098</v>
      </c>
      <c r="I1515" s="98" t="s">
        <v>1704</v>
      </c>
      <c r="J1515" s="98" t="s">
        <v>1705</v>
      </c>
      <c r="K1515" s="98" t="s">
        <v>1706</v>
      </c>
    </row>
    <row r="1516" customFormat="false" ht="64" hidden="false" customHeight="true" outlineLevel="0" collapsed="false">
      <c r="C1516" s="98" t="s">
        <v>3285</v>
      </c>
      <c r="D1516" s="98" t="s">
        <v>1835</v>
      </c>
      <c r="E1516" s="98" t="s">
        <v>811</v>
      </c>
      <c r="F1516" s="98" t="n">
        <v>0</v>
      </c>
      <c r="G1516" s="98" t="s">
        <v>3283</v>
      </c>
      <c r="H1516" s="98" t="s">
        <v>3098</v>
      </c>
      <c r="I1516" s="98" t="s">
        <v>1704</v>
      </c>
      <c r="J1516" s="98" t="s">
        <v>1705</v>
      </c>
      <c r="K1516" s="98" t="s">
        <v>1706</v>
      </c>
    </row>
    <row r="1517" customFormat="false" ht="64" hidden="false" customHeight="true" outlineLevel="0" collapsed="false">
      <c r="C1517" s="98" t="s">
        <v>3286</v>
      </c>
      <c r="D1517" s="98" t="s">
        <v>1044</v>
      </c>
      <c r="E1517" s="98" t="s">
        <v>811</v>
      </c>
      <c r="F1517" s="98" t="n">
        <v>0</v>
      </c>
      <c r="G1517" s="98" t="s">
        <v>3283</v>
      </c>
      <c r="H1517" s="98" t="s">
        <v>3098</v>
      </c>
      <c r="I1517" s="98" t="s">
        <v>1704</v>
      </c>
      <c r="J1517" s="98" t="s">
        <v>1705</v>
      </c>
      <c r="K1517" s="98" t="s">
        <v>1706</v>
      </c>
    </row>
    <row r="1518" customFormat="false" ht="64" hidden="false" customHeight="true" outlineLevel="0" collapsed="false">
      <c r="C1518" s="98" t="s">
        <v>3287</v>
      </c>
      <c r="D1518" s="98" t="s">
        <v>1838</v>
      </c>
      <c r="E1518" s="98" t="s">
        <v>811</v>
      </c>
      <c r="F1518" s="98" t="n">
        <v>0</v>
      </c>
      <c r="G1518" s="98" t="s">
        <v>3283</v>
      </c>
      <c r="H1518" s="98" t="s">
        <v>3098</v>
      </c>
      <c r="I1518" s="98" t="s">
        <v>1704</v>
      </c>
      <c r="J1518" s="98" t="s">
        <v>1705</v>
      </c>
      <c r="K1518" s="98" t="s">
        <v>1706</v>
      </c>
    </row>
    <row r="1519" customFormat="false" ht="64" hidden="false" customHeight="true" outlineLevel="0" collapsed="false">
      <c r="C1519" s="98" t="s">
        <v>3288</v>
      </c>
      <c r="D1519" s="98" t="s">
        <v>1840</v>
      </c>
      <c r="E1519" s="98" t="s">
        <v>811</v>
      </c>
      <c r="F1519" s="98" t="n">
        <v>0</v>
      </c>
      <c r="G1519" s="98" t="s">
        <v>3283</v>
      </c>
      <c r="H1519" s="98" t="s">
        <v>3098</v>
      </c>
      <c r="I1519" s="98" t="s">
        <v>1704</v>
      </c>
      <c r="J1519" s="98" t="s">
        <v>1705</v>
      </c>
      <c r="K1519" s="98" t="s">
        <v>1706</v>
      </c>
    </row>
    <row r="1520" customFormat="false" ht="64" hidden="false" customHeight="true" outlineLevel="0" collapsed="false">
      <c r="C1520" s="98" t="s">
        <v>3289</v>
      </c>
      <c r="D1520" s="98" t="s">
        <v>1700</v>
      </c>
      <c r="E1520" s="98" t="s">
        <v>811</v>
      </c>
      <c r="F1520" s="98" t="n">
        <v>0</v>
      </c>
      <c r="G1520" s="98" t="s">
        <v>3283</v>
      </c>
      <c r="H1520" s="98" t="s">
        <v>3098</v>
      </c>
      <c r="I1520" s="98" t="s">
        <v>1704</v>
      </c>
      <c r="J1520" s="98" t="s">
        <v>1705</v>
      </c>
      <c r="K1520" s="98" t="s">
        <v>1706</v>
      </c>
    </row>
    <row r="1521" customFormat="false" ht="64" hidden="false" customHeight="true" outlineLevel="0" collapsed="false">
      <c r="C1521" s="98" t="s">
        <v>3290</v>
      </c>
      <c r="D1521" s="98" t="s">
        <v>1708</v>
      </c>
      <c r="E1521" s="98" t="s">
        <v>811</v>
      </c>
      <c r="F1521" s="98" t="n">
        <v>0</v>
      </c>
      <c r="G1521" s="98" t="s">
        <v>3283</v>
      </c>
      <c r="H1521" s="98" t="s">
        <v>3098</v>
      </c>
      <c r="I1521" s="98" t="s">
        <v>1704</v>
      </c>
      <c r="J1521" s="98" t="s">
        <v>1705</v>
      </c>
      <c r="K1521" s="98" t="s">
        <v>1706</v>
      </c>
    </row>
    <row r="1522" customFormat="false" ht="64" hidden="false" customHeight="true" outlineLevel="0" collapsed="false">
      <c r="C1522" s="98" t="s">
        <v>3291</v>
      </c>
      <c r="D1522" s="98" t="s">
        <v>1710</v>
      </c>
      <c r="E1522" s="98" t="s">
        <v>811</v>
      </c>
      <c r="F1522" s="98" t="n">
        <v>0</v>
      </c>
      <c r="G1522" s="98" t="s">
        <v>3283</v>
      </c>
      <c r="H1522" s="98" t="s">
        <v>3098</v>
      </c>
      <c r="I1522" s="98" t="s">
        <v>1704</v>
      </c>
      <c r="J1522" s="98" t="s">
        <v>1705</v>
      </c>
      <c r="K1522" s="98" t="s">
        <v>1706</v>
      </c>
    </row>
    <row r="1523" customFormat="false" ht="64" hidden="false" customHeight="true" outlineLevel="0" collapsed="false">
      <c r="C1523" s="98" t="s">
        <v>3292</v>
      </c>
      <c r="D1523" s="98" t="s">
        <v>1712</v>
      </c>
      <c r="E1523" s="98" t="s">
        <v>811</v>
      </c>
      <c r="F1523" s="98" t="n">
        <v>0</v>
      </c>
      <c r="G1523" s="98" t="s">
        <v>3283</v>
      </c>
      <c r="H1523" s="98" t="s">
        <v>3098</v>
      </c>
      <c r="I1523" s="98" t="s">
        <v>1704</v>
      </c>
      <c r="J1523" s="98" t="s">
        <v>1705</v>
      </c>
      <c r="K1523" s="98" t="s">
        <v>1706</v>
      </c>
    </row>
    <row r="1524" customFormat="false" ht="64" hidden="false" customHeight="true" outlineLevel="0" collapsed="false">
      <c r="C1524" s="98" t="s">
        <v>3293</v>
      </c>
      <c r="D1524" s="98" t="s">
        <v>1714</v>
      </c>
      <c r="E1524" s="98" t="s">
        <v>811</v>
      </c>
      <c r="F1524" s="98" t="n">
        <v>0</v>
      </c>
      <c r="G1524" s="98" t="s">
        <v>3283</v>
      </c>
      <c r="H1524" s="98" t="s">
        <v>3098</v>
      </c>
      <c r="I1524" s="98" t="s">
        <v>1704</v>
      </c>
      <c r="J1524" s="98" t="s">
        <v>1705</v>
      </c>
      <c r="K1524" s="98" t="s">
        <v>1706</v>
      </c>
    </row>
    <row r="1525" customFormat="false" ht="64" hidden="false" customHeight="true" outlineLevel="0" collapsed="false">
      <c r="C1525" s="98" t="s">
        <v>3294</v>
      </c>
      <c r="D1525" s="98" t="s">
        <v>1716</v>
      </c>
      <c r="E1525" s="98" t="s">
        <v>811</v>
      </c>
      <c r="F1525" s="98" t="n">
        <v>0</v>
      </c>
      <c r="G1525" s="98" t="s">
        <v>3283</v>
      </c>
      <c r="H1525" s="98" t="s">
        <v>3098</v>
      </c>
      <c r="I1525" s="98" t="s">
        <v>1704</v>
      </c>
      <c r="J1525" s="98" t="s">
        <v>1705</v>
      </c>
      <c r="K1525" s="98" t="s">
        <v>1706</v>
      </c>
    </row>
    <row r="1526" customFormat="false" ht="64" hidden="false" customHeight="true" outlineLevel="0" collapsed="false">
      <c r="C1526" s="98" t="s">
        <v>3295</v>
      </c>
      <c r="D1526" s="98" t="s">
        <v>1718</v>
      </c>
      <c r="E1526" s="98" t="s">
        <v>811</v>
      </c>
      <c r="F1526" s="98" t="n">
        <v>0</v>
      </c>
      <c r="G1526" s="98" t="s">
        <v>3283</v>
      </c>
      <c r="H1526" s="98" t="s">
        <v>3098</v>
      </c>
      <c r="I1526" s="98" t="s">
        <v>1704</v>
      </c>
      <c r="J1526" s="98" t="s">
        <v>1705</v>
      </c>
      <c r="K1526" s="98" t="s">
        <v>1706</v>
      </c>
    </row>
    <row r="1527" customFormat="false" ht="64" hidden="false" customHeight="true" outlineLevel="0" collapsed="false">
      <c r="C1527" s="98" t="s">
        <v>3296</v>
      </c>
      <c r="D1527" s="98" t="s">
        <v>1720</v>
      </c>
      <c r="E1527" s="98" t="s">
        <v>811</v>
      </c>
      <c r="F1527" s="98" t="n">
        <v>0</v>
      </c>
      <c r="G1527" s="98" t="s">
        <v>3283</v>
      </c>
      <c r="H1527" s="98" t="s">
        <v>3098</v>
      </c>
      <c r="I1527" s="98" t="s">
        <v>1704</v>
      </c>
      <c r="J1527" s="98" t="s">
        <v>1705</v>
      </c>
      <c r="K1527" s="98" t="s">
        <v>1706</v>
      </c>
    </row>
    <row r="1528" customFormat="false" ht="64" hidden="false" customHeight="true" outlineLevel="0" collapsed="false">
      <c r="C1528" s="98" t="s">
        <v>3297</v>
      </c>
      <c r="D1528" s="98" t="s">
        <v>1722</v>
      </c>
      <c r="E1528" s="98" t="s">
        <v>811</v>
      </c>
      <c r="F1528" s="98" t="n">
        <v>0</v>
      </c>
      <c r="G1528" s="98" t="s">
        <v>3283</v>
      </c>
      <c r="H1528" s="98" t="s">
        <v>3098</v>
      </c>
      <c r="I1528" s="98" t="s">
        <v>1704</v>
      </c>
      <c r="J1528" s="98" t="s">
        <v>1705</v>
      </c>
      <c r="K1528" s="98" t="s">
        <v>1706</v>
      </c>
    </row>
    <row r="1529" customFormat="false" ht="64" hidden="false" customHeight="true" outlineLevel="0" collapsed="false">
      <c r="C1529" s="98" t="s">
        <v>3298</v>
      </c>
      <c r="D1529" s="98" t="s">
        <v>1724</v>
      </c>
      <c r="E1529" s="98" t="s">
        <v>811</v>
      </c>
      <c r="F1529" s="98" t="n">
        <v>0</v>
      </c>
      <c r="G1529" s="98" t="s">
        <v>3283</v>
      </c>
      <c r="H1529" s="98" t="s">
        <v>3098</v>
      </c>
      <c r="I1529" s="98" t="s">
        <v>1704</v>
      </c>
      <c r="J1529" s="98" t="s">
        <v>1705</v>
      </c>
      <c r="K1529" s="98" t="s">
        <v>1706</v>
      </c>
    </row>
    <row r="1530" customFormat="false" ht="64" hidden="false" customHeight="true" outlineLevel="0" collapsed="false">
      <c r="C1530" s="98" t="s">
        <v>3299</v>
      </c>
      <c r="D1530" s="98" t="s">
        <v>1726</v>
      </c>
      <c r="E1530" s="98" t="s">
        <v>811</v>
      </c>
      <c r="F1530" s="98" t="n">
        <v>0</v>
      </c>
      <c r="G1530" s="98" t="s">
        <v>3283</v>
      </c>
      <c r="H1530" s="98" t="s">
        <v>3098</v>
      </c>
      <c r="I1530" s="98" t="s">
        <v>1704</v>
      </c>
      <c r="J1530" s="98" t="s">
        <v>1705</v>
      </c>
      <c r="K1530" s="98" t="s">
        <v>1706</v>
      </c>
    </row>
    <row r="1531" customFormat="false" ht="64" hidden="false" customHeight="true" outlineLevel="0" collapsed="false">
      <c r="C1531" s="98" t="s">
        <v>3300</v>
      </c>
      <c r="D1531" s="98" t="s">
        <v>1728</v>
      </c>
      <c r="E1531" s="98" t="s">
        <v>811</v>
      </c>
      <c r="F1531" s="98" t="n">
        <v>0</v>
      </c>
      <c r="G1531" s="98" t="s">
        <v>3283</v>
      </c>
      <c r="H1531" s="98" t="s">
        <v>3098</v>
      </c>
      <c r="I1531" s="98" t="s">
        <v>1704</v>
      </c>
      <c r="J1531" s="98" t="s">
        <v>1705</v>
      </c>
      <c r="K1531" s="98" t="s">
        <v>1706</v>
      </c>
    </row>
    <row r="1532" customFormat="false" ht="64" hidden="false" customHeight="true" outlineLevel="0" collapsed="false">
      <c r="C1532" s="98" t="s">
        <v>3301</v>
      </c>
      <c r="D1532" s="98" t="s">
        <v>1730</v>
      </c>
      <c r="E1532" s="98" t="s">
        <v>811</v>
      </c>
      <c r="F1532" s="98" t="n">
        <v>0</v>
      </c>
      <c r="G1532" s="98" t="s">
        <v>3283</v>
      </c>
      <c r="H1532" s="98" t="s">
        <v>3098</v>
      </c>
      <c r="I1532" s="98" t="s">
        <v>1704</v>
      </c>
      <c r="J1532" s="98" t="s">
        <v>1705</v>
      </c>
      <c r="K1532" s="98" t="s">
        <v>1706</v>
      </c>
    </row>
    <row r="1533" customFormat="false" ht="64" hidden="false" customHeight="true" outlineLevel="0" collapsed="false">
      <c r="C1533" s="98" t="s">
        <v>3302</v>
      </c>
      <c r="D1533" s="98" t="s">
        <v>1732</v>
      </c>
      <c r="E1533" s="98" t="s">
        <v>811</v>
      </c>
      <c r="F1533" s="98" t="n">
        <v>0</v>
      </c>
      <c r="G1533" s="98" t="s">
        <v>3283</v>
      </c>
      <c r="H1533" s="98" t="s">
        <v>3098</v>
      </c>
      <c r="I1533" s="98" t="s">
        <v>1704</v>
      </c>
      <c r="J1533" s="98" t="s">
        <v>1705</v>
      </c>
      <c r="K1533" s="98" t="s">
        <v>1706</v>
      </c>
    </row>
    <row r="1534" customFormat="false" ht="64" hidden="false" customHeight="true" outlineLevel="0" collapsed="false">
      <c r="C1534" s="98" t="s">
        <v>3303</v>
      </c>
      <c r="D1534" s="98" t="s">
        <v>1734</v>
      </c>
      <c r="E1534" s="98" t="s">
        <v>811</v>
      </c>
      <c r="F1534" s="98" t="n">
        <v>0</v>
      </c>
      <c r="G1534" s="98" t="s">
        <v>3283</v>
      </c>
      <c r="H1534" s="98" t="s">
        <v>3098</v>
      </c>
      <c r="I1534" s="98" t="s">
        <v>1704</v>
      </c>
      <c r="J1534" s="98" t="s">
        <v>1705</v>
      </c>
      <c r="K1534" s="98" t="s">
        <v>1706</v>
      </c>
    </row>
    <row r="1535" customFormat="false" ht="64" hidden="false" customHeight="true" outlineLevel="0" collapsed="false">
      <c r="C1535" s="98" t="s">
        <v>3304</v>
      </c>
      <c r="D1535" s="98" t="s">
        <v>1736</v>
      </c>
      <c r="E1535" s="98" t="s">
        <v>811</v>
      </c>
      <c r="F1535" s="98" t="n">
        <v>0</v>
      </c>
      <c r="G1535" s="98" t="s">
        <v>3283</v>
      </c>
      <c r="H1535" s="98" t="s">
        <v>3098</v>
      </c>
      <c r="I1535" s="98" t="s">
        <v>1704</v>
      </c>
      <c r="J1535" s="98" t="s">
        <v>1705</v>
      </c>
      <c r="K1535" s="98" t="s">
        <v>1706</v>
      </c>
    </row>
    <row r="1536" customFormat="false" ht="64" hidden="false" customHeight="true" outlineLevel="0" collapsed="false">
      <c r="C1536" s="98" t="s">
        <v>3305</v>
      </c>
      <c r="D1536" s="98" t="s">
        <v>1738</v>
      </c>
      <c r="E1536" s="98" t="s">
        <v>811</v>
      </c>
      <c r="F1536" s="98" t="n">
        <v>0</v>
      </c>
      <c r="G1536" s="98" t="s">
        <v>3283</v>
      </c>
      <c r="H1536" s="98" t="s">
        <v>3098</v>
      </c>
      <c r="I1536" s="98" t="s">
        <v>1704</v>
      </c>
      <c r="J1536" s="98" t="s">
        <v>1705</v>
      </c>
      <c r="K1536" s="98" t="s">
        <v>1706</v>
      </c>
    </row>
    <row r="1537" customFormat="false" ht="64" hidden="false" customHeight="true" outlineLevel="0" collapsed="false">
      <c r="C1537" s="98" t="s">
        <v>3306</v>
      </c>
      <c r="D1537" s="98" t="s">
        <v>1740</v>
      </c>
      <c r="E1537" s="98" t="s">
        <v>811</v>
      </c>
      <c r="F1537" s="98" t="n">
        <v>0</v>
      </c>
      <c r="G1537" s="98" t="s">
        <v>3283</v>
      </c>
      <c r="H1537" s="98" t="s">
        <v>3098</v>
      </c>
      <c r="I1537" s="98" t="s">
        <v>1704</v>
      </c>
      <c r="J1537" s="98" t="s">
        <v>1705</v>
      </c>
      <c r="K1537" s="98" t="s">
        <v>1706</v>
      </c>
    </row>
    <row r="1538" customFormat="false" ht="64" hidden="false" customHeight="true" outlineLevel="0" collapsed="false">
      <c r="C1538" s="98" t="s">
        <v>3307</v>
      </c>
      <c r="D1538" s="98" t="s">
        <v>1742</v>
      </c>
      <c r="E1538" s="98" t="s">
        <v>811</v>
      </c>
      <c r="F1538" s="98" t="n">
        <v>0</v>
      </c>
      <c r="G1538" s="98" t="s">
        <v>3283</v>
      </c>
      <c r="H1538" s="98" t="s">
        <v>3098</v>
      </c>
      <c r="I1538" s="98" t="s">
        <v>1704</v>
      </c>
      <c r="J1538" s="98" t="s">
        <v>1705</v>
      </c>
      <c r="K1538" s="98" t="s">
        <v>1706</v>
      </c>
    </row>
    <row r="1539" customFormat="false" ht="64" hidden="false" customHeight="true" outlineLevel="0" collapsed="false">
      <c r="C1539" s="98" t="s">
        <v>3308</v>
      </c>
      <c r="D1539" s="98" t="s">
        <v>1744</v>
      </c>
      <c r="E1539" s="98" t="s">
        <v>811</v>
      </c>
      <c r="F1539" s="98" t="n">
        <v>0</v>
      </c>
      <c r="G1539" s="98" t="s">
        <v>3283</v>
      </c>
      <c r="H1539" s="98" t="s">
        <v>3098</v>
      </c>
      <c r="I1539" s="98" t="s">
        <v>1704</v>
      </c>
      <c r="J1539" s="98" t="s">
        <v>1705</v>
      </c>
      <c r="K1539" s="98" t="s">
        <v>1706</v>
      </c>
    </row>
    <row r="1540" customFormat="false" ht="64" hidden="false" customHeight="true" outlineLevel="0" collapsed="false">
      <c r="C1540" s="98" t="s">
        <v>3309</v>
      </c>
      <c r="D1540" s="98" t="s">
        <v>1746</v>
      </c>
      <c r="E1540" s="98" t="s">
        <v>811</v>
      </c>
      <c r="F1540" s="98" t="n">
        <v>0</v>
      </c>
      <c r="G1540" s="98" t="s">
        <v>3283</v>
      </c>
      <c r="H1540" s="98" t="s">
        <v>3098</v>
      </c>
      <c r="I1540" s="98" t="s">
        <v>1704</v>
      </c>
      <c r="J1540" s="98" t="s">
        <v>1705</v>
      </c>
      <c r="K1540" s="98" t="s">
        <v>1706</v>
      </c>
    </row>
    <row r="1541" customFormat="false" ht="64" hidden="false" customHeight="true" outlineLevel="0" collapsed="false">
      <c r="C1541" s="98" t="s">
        <v>3310</v>
      </c>
      <c r="D1541" s="98" t="s">
        <v>1748</v>
      </c>
      <c r="E1541" s="98" t="s">
        <v>811</v>
      </c>
      <c r="F1541" s="98" t="n">
        <v>0</v>
      </c>
      <c r="G1541" s="98" t="s">
        <v>3283</v>
      </c>
      <c r="H1541" s="98" t="s">
        <v>3098</v>
      </c>
      <c r="I1541" s="98" t="s">
        <v>1704</v>
      </c>
      <c r="J1541" s="98" t="s">
        <v>1705</v>
      </c>
      <c r="K1541" s="98" t="s">
        <v>1706</v>
      </c>
    </row>
    <row r="1542" customFormat="false" ht="64" hidden="false" customHeight="true" outlineLevel="0" collapsed="false">
      <c r="C1542" s="98" t="s">
        <v>3311</v>
      </c>
      <c r="D1542" s="98" t="s">
        <v>1750</v>
      </c>
      <c r="E1542" s="98" t="s">
        <v>811</v>
      </c>
      <c r="F1542" s="98" t="n">
        <v>0</v>
      </c>
      <c r="G1542" s="98" t="s">
        <v>3283</v>
      </c>
      <c r="H1542" s="98" t="s">
        <v>3098</v>
      </c>
      <c r="I1542" s="98" t="s">
        <v>1704</v>
      </c>
      <c r="J1542" s="98" t="s">
        <v>1705</v>
      </c>
      <c r="K1542" s="98" t="s">
        <v>1706</v>
      </c>
    </row>
    <row r="1543" customFormat="false" ht="64" hidden="false" customHeight="true" outlineLevel="0" collapsed="false">
      <c r="C1543" s="98" t="s">
        <v>3312</v>
      </c>
      <c r="D1543" s="98" t="s">
        <v>1752</v>
      </c>
      <c r="E1543" s="98" t="s">
        <v>811</v>
      </c>
      <c r="F1543" s="98" t="n">
        <v>0</v>
      </c>
      <c r="G1543" s="98" t="s">
        <v>3283</v>
      </c>
      <c r="H1543" s="98" t="s">
        <v>3098</v>
      </c>
      <c r="I1543" s="98" t="s">
        <v>1704</v>
      </c>
      <c r="J1543" s="98" t="s">
        <v>1705</v>
      </c>
      <c r="K1543" s="98" t="s">
        <v>1706</v>
      </c>
    </row>
    <row r="1544" customFormat="false" ht="64" hidden="false" customHeight="true" outlineLevel="0" collapsed="false">
      <c r="C1544" s="98" t="s">
        <v>3313</v>
      </c>
      <c r="D1544" s="98" t="s">
        <v>1754</v>
      </c>
      <c r="E1544" s="98" t="s">
        <v>811</v>
      </c>
      <c r="F1544" s="98" t="n">
        <v>0</v>
      </c>
      <c r="G1544" s="98" t="s">
        <v>3283</v>
      </c>
      <c r="H1544" s="98" t="s">
        <v>3098</v>
      </c>
      <c r="I1544" s="98" t="s">
        <v>1704</v>
      </c>
      <c r="J1544" s="98" t="s">
        <v>1705</v>
      </c>
      <c r="K1544" s="98" t="s">
        <v>1706</v>
      </c>
    </row>
    <row r="1545" customFormat="false" ht="64" hidden="false" customHeight="true" outlineLevel="0" collapsed="false">
      <c r="C1545" s="98" t="s">
        <v>3314</v>
      </c>
      <c r="D1545" s="98" t="s">
        <v>1756</v>
      </c>
      <c r="E1545" s="98" t="s">
        <v>811</v>
      </c>
      <c r="F1545" s="98" t="n">
        <v>0</v>
      </c>
      <c r="G1545" s="98" t="s">
        <v>3283</v>
      </c>
      <c r="H1545" s="98" t="s">
        <v>3098</v>
      </c>
      <c r="I1545" s="98" t="s">
        <v>1704</v>
      </c>
      <c r="J1545" s="98" t="s">
        <v>1705</v>
      </c>
      <c r="K1545" s="98" t="s">
        <v>1706</v>
      </c>
    </row>
    <row r="1546" customFormat="false" ht="64" hidden="false" customHeight="true" outlineLevel="0" collapsed="false">
      <c r="C1546" s="98" t="s">
        <v>3315</v>
      </c>
      <c r="D1546" s="98" t="s">
        <v>1758</v>
      </c>
      <c r="E1546" s="98" t="s">
        <v>811</v>
      </c>
      <c r="F1546" s="98" t="n">
        <v>0</v>
      </c>
      <c r="G1546" s="98" t="s">
        <v>3283</v>
      </c>
      <c r="H1546" s="98" t="s">
        <v>3098</v>
      </c>
      <c r="I1546" s="98" t="s">
        <v>1704</v>
      </c>
      <c r="J1546" s="98" t="s">
        <v>1705</v>
      </c>
      <c r="K1546" s="98" t="s">
        <v>1706</v>
      </c>
    </row>
    <row r="1547" customFormat="false" ht="64" hidden="false" customHeight="true" outlineLevel="0" collapsed="false">
      <c r="C1547" s="98" t="s">
        <v>3316</v>
      </c>
      <c r="D1547" s="98" t="s">
        <v>1760</v>
      </c>
      <c r="E1547" s="98" t="s">
        <v>811</v>
      </c>
      <c r="F1547" s="98" t="n">
        <v>0</v>
      </c>
      <c r="G1547" s="98" t="s">
        <v>3283</v>
      </c>
      <c r="H1547" s="98" t="s">
        <v>3098</v>
      </c>
      <c r="I1547" s="98" t="s">
        <v>1704</v>
      </c>
      <c r="J1547" s="98" t="s">
        <v>1705</v>
      </c>
      <c r="K1547" s="98" t="s">
        <v>1706</v>
      </c>
    </row>
    <row r="1548" customFormat="false" ht="64" hidden="false" customHeight="true" outlineLevel="0" collapsed="false">
      <c r="C1548" s="98" t="s">
        <v>3317</v>
      </c>
      <c r="D1548" s="98" t="s">
        <v>1762</v>
      </c>
      <c r="E1548" s="98" t="s">
        <v>811</v>
      </c>
      <c r="F1548" s="98" t="n">
        <v>0</v>
      </c>
      <c r="G1548" s="98" t="s">
        <v>3283</v>
      </c>
      <c r="H1548" s="98" t="s">
        <v>3098</v>
      </c>
      <c r="I1548" s="98" t="s">
        <v>1704</v>
      </c>
      <c r="J1548" s="98" t="s">
        <v>1705</v>
      </c>
      <c r="K1548" s="98" t="s">
        <v>1706</v>
      </c>
    </row>
    <row r="1549" customFormat="false" ht="64" hidden="false" customHeight="true" outlineLevel="0" collapsed="false">
      <c r="C1549" s="98" t="s">
        <v>3318</v>
      </c>
      <c r="D1549" s="98" t="s">
        <v>1764</v>
      </c>
      <c r="E1549" s="98" t="s">
        <v>811</v>
      </c>
      <c r="F1549" s="98" t="n">
        <v>0</v>
      </c>
      <c r="G1549" s="98" t="s">
        <v>3283</v>
      </c>
      <c r="H1549" s="98" t="s">
        <v>3098</v>
      </c>
      <c r="I1549" s="98" t="s">
        <v>1704</v>
      </c>
      <c r="J1549" s="98" t="s">
        <v>1705</v>
      </c>
      <c r="K1549" s="98" t="s">
        <v>1706</v>
      </c>
    </row>
    <row r="1550" customFormat="false" ht="64" hidden="false" customHeight="true" outlineLevel="0" collapsed="false">
      <c r="C1550" s="98" t="s">
        <v>3319</v>
      </c>
      <c r="D1550" s="98" t="s">
        <v>1829</v>
      </c>
      <c r="E1550" s="98" t="s">
        <v>811</v>
      </c>
      <c r="F1550" s="98" t="n">
        <v>0</v>
      </c>
      <c r="G1550" s="98" t="s">
        <v>3320</v>
      </c>
      <c r="H1550" s="98" t="s">
        <v>1703</v>
      </c>
      <c r="I1550" s="98" t="s">
        <v>1704</v>
      </c>
      <c r="J1550" s="98" t="s">
        <v>1705</v>
      </c>
      <c r="K1550" s="98" t="s">
        <v>1706</v>
      </c>
    </row>
    <row r="1551" customFormat="false" ht="64" hidden="false" customHeight="true" outlineLevel="0" collapsed="false">
      <c r="C1551" s="98" t="s">
        <v>3321</v>
      </c>
      <c r="D1551" s="98" t="s">
        <v>1833</v>
      </c>
      <c r="E1551" s="98" t="s">
        <v>811</v>
      </c>
      <c r="F1551" s="98" t="n">
        <v>0</v>
      </c>
      <c r="G1551" s="98" t="s">
        <v>3320</v>
      </c>
      <c r="H1551" s="98" t="s">
        <v>1703</v>
      </c>
      <c r="I1551" s="98" t="s">
        <v>1704</v>
      </c>
      <c r="J1551" s="98" t="s">
        <v>1705</v>
      </c>
      <c r="K1551" s="98" t="s">
        <v>1706</v>
      </c>
    </row>
    <row r="1552" customFormat="false" ht="64" hidden="false" customHeight="true" outlineLevel="0" collapsed="false">
      <c r="C1552" s="98" t="s">
        <v>3322</v>
      </c>
      <c r="D1552" s="98" t="s">
        <v>1835</v>
      </c>
      <c r="E1552" s="98" t="s">
        <v>811</v>
      </c>
      <c r="F1552" s="98" t="n">
        <v>0</v>
      </c>
      <c r="G1552" s="98" t="s">
        <v>3320</v>
      </c>
      <c r="H1552" s="98" t="s">
        <v>1703</v>
      </c>
      <c r="I1552" s="98" t="s">
        <v>1704</v>
      </c>
      <c r="J1552" s="98" t="s">
        <v>1705</v>
      </c>
      <c r="K1552" s="98" t="s">
        <v>1706</v>
      </c>
    </row>
    <row r="1553" customFormat="false" ht="64" hidden="false" customHeight="true" outlineLevel="0" collapsed="false">
      <c r="C1553" s="98" t="s">
        <v>3323</v>
      </c>
      <c r="D1553" s="98" t="s">
        <v>1044</v>
      </c>
      <c r="E1553" s="98" t="s">
        <v>811</v>
      </c>
      <c r="F1553" s="98" t="n">
        <v>0</v>
      </c>
      <c r="G1553" s="98" t="s">
        <v>3320</v>
      </c>
      <c r="H1553" s="98" t="s">
        <v>1703</v>
      </c>
      <c r="I1553" s="98" t="s">
        <v>1704</v>
      </c>
      <c r="J1553" s="98" t="s">
        <v>1705</v>
      </c>
      <c r="K1553" s="98" t="s">
        <v>1706</v>
      </c>
    </row>
    <row r="1554" customFormat="false" ht="64" hidden="false" customHeight="true" outlineLevel="0" collapsed="false">
      <c r="C1554" s="98" t="s">
        <v>3324</v>
      </c>
      <c r="D1554" s="98" t="s">
        <v>1838</v>
      </c>
      <c r="E1554" s="98" t="s">
        <v>811</v>
      </c>
      <c r="F1554" s="98" t="n">
        <v>0</v>
      </c>
      <c r="G1554" s="98" t="s">
        <v>3320</v>
      </c>
      <c r="H1554" s="98" t="s">
        <v>1703</v>
      </c>
      <c r="I1554" s="98" t="s">
        <v>1704</v>
      </c>
      <c r="J1554" s="98" t="s">
        <v>1705</v>
      </c>
      <c r="K1554" s="98" t="s">
        <v>1706</v>
      </c>
    </row>
    <row r="1555" customFormat="false" ht="64" hidden="false" customHeight="true" outlineLevel="0" collapsed="false">
      <c r="C1555" s="98" t="s">
        <v>3325</v>
      </c>
      <c r="D1555" s="98" t="s">
        <v>1840</v>
      </c>
      <c r="E1555" s="98" t="s">
        <v>811</v>
      </c>
      <c r="F1555" s="98" t="n">
        <v>0</v>
      </c>
      <c r="G1555" s="98" t="s">
        <v>3320</v>
      </c>
      <c r="H1555" s="98" t="s">
        <v>1703</v>
      </c>
      <c r="I1555" s="98" t="s">
        <v>1704</v>
      </c>
      <c r="J1555" s="98" t="s">
        <v>1705</v>
      </c>
      <c r="K1555" s="98" t="s">
        <v>1706</v>
      </c>
    </row>
    <row r="1556" customFormat="false" ht="64" hidden="false" customHeight="true" outlineLevel="0" collapsed="false">
      <c r="C1556" s="98" t="s">
        <v>3326</v>
      </c>
      <c r="D1556" s="98" t="s">
        <v>1700</v>
      </c>
      <c r="E1556" s="98" t="s">
        <v>811</v>
      </c>
      <c r="F1556" s="98" t="n">
        <v>0</v>
      </c>
      <c r="G1556" s="98" t="s">
        <v>3320</v>
      </c>
      <c r="H1556" s="98" t="s">
        <v>1703</v>
      </c>
      <c r="I1556" s="98" t="s">
        <v>1704</v>
      </c>
      <c r="J1556" s="98" t="s">
        <v>1705</v>
      </c>
      <c r="K1556" s="98" t="s">
        <v>1706</v>
      </c>
    </row>
    <row r="1557" customFormat="false" ht="64" hidden="false" customHeight="true" outlineLevel="0" collapsed="false">
      <c r="C1557" s="98" t="s">
        <v>3327</v>
      </c>
      <c r="D1557" s="98" t="s">
        <v>1708</v>
      </c>
      <c r="E1557" s="98" t="s">
        <v>811</v>
      </c>
      <c r="F1557" s="98" t="n">
        <v>0</v>
      </c>
      <c r="G1557" s="98" t="s">
        <v>3320</v>
      </c>
      <c r="H1557" s="98" t="s">
        <v>1703</v>
      </c>
      <c r="I1557" s="98" t="s">
        <v>1704</v>
      </c>
      <c r="J1557" s="98" t="s">
        <v>1705</v>
      </c>
      <c r="K1557" s="98" t="s">
        <v>1706</v>
      </c>
    </row>
    <row r="1558" customFormat="false" ht="64" hidden="false" customHeight="true" outlineLevel="0" collapsed="false">
      <c r="C1558" s="98" t="s">
        <v>3328</v>
      </c>
      <c r="D1558" s="98" t="s">
        <v>1710</v>
      </c>
      <c r="E1558" s="98" t="s">
        <v>811</v>
      </c>
      <c r="F1558" s="98" t="n">
        <v>0</v>
      </c>
      <c r="G1558" s="98" t="s">
        <v>3320</v>
      </c>
      <c r="H1558" s="98" t="s">
        <v>1703</v>
      </c>
      <c r="I1558" s="98" t="s">
        <v>1704</v>
      </c>
      <c r="J1558" s="98" t="s">
        <v>1705</v>
      </c>
      <c r="K1558" s="98" t="s">
        <v>1706</v>
      </c>
    </row>
    <row r="1559" customFormat="false" ht="64" hidden="false" customHeight="true" outlineLevel="0" collapsed="false">
      <c r="C1559" s="98" t="s">
        <v>3329</v>
      </c>
      <c r="D1559" s="98" t="s">
        <v>1712</v>
      </c>
      <c r="E1559" s="98" t="s">
        <v>811</v>
      </c>
      <c r="F1559" s="98" t="n">
        <v>0</v>
      </c>
      <c r="G1559" s="98" t="s">
        <v>3320</v>
      </c>
      <c r="H1559" s="98" t="s">
        <v>1703</v>
      </c>
      <c r="I1559" s="98" t="s">
        <v>1704</v>
      </c>
      <c r="J1559" s="98" t="s">
        <v>1705</v>
      </c>
      <c r="K1559" s="98" t="s">
        <v>1706</v>
      </c>
    </row>
    <row r="1560" customFormat="false" ht="64" hidden="false" customHeight="true" outlineLevel="0" collapsed="false">
      <c r="C1560" s="98" t="s">
        <v>3330</v>
      </c>
      <c r="D1560" s="98" t="s">
        <v>1714</v>
      </c>
      <c r="E1560" s="98" t="s">
        <v>811</v>
      </c>
      <c r="F1560" s="98" t="n">
        <v>0</v>
      </c>
      <c r="G1560" s="98" t="s">
        <v>3320</v>
      </c>
      <c r="H1560" s="98" t="s">
        <v>1703</v>
      </c>
      <c r="I1560" s="98" t="s">
        <v>1704</v>
      </c>
      <c r="J1560" s="98" t="s">
        <v>1705</v>
      </c>
      <c r="K1560" s="98" t="s">
        <v>1706</v>
      </c>
    </row>
    <row r="1561" customFormat="false" ht="64" hidden="false" customHeight="true" outlineLevel="0" collapsed="false">
      <c r="C1561" s="98" t="s">
        <v>3331</v>
      </c>
      <c r="D1561" s="98" t="s">
        <v>1716</v>
      </c>
      <c r="E1561" s="98" t="s">
        <v>811</v>
      </c>
      <c r="F1561" s="98" t="n">
        <v>0</v>
      </c>
      <c r="G1561" s="98" t="s">
        <v>3320</v>
      </c>
      <c r="H1561" s="98" t="s">
        <v>1703</v>
      </c>
      <c r="I1561" s="98" t="s">
        <v>1704</v>
      </c>
      <c r="J1561" s="98" t="s">
        <v>1705</v>
      </c>
      <c r="K1561" s="98" t="s">
        <v>1706</v>
      </c>
    </row>
    <row r="1562" customFormat="false" ht="64" hidden="false" customHeight="true" outlineLevel="0" collapsed="false">
      <c r="C1562" s="98" t="s">
        <v>3332</v>
      </c>
      <c r="D1562" s="98" t="s">
        <v>1718</v>
      </c>
      <c r="E1562" s="98" t="s">
        <v>811</v>
      </c>
      <c r="F1562" s="98" t="n">
        <v>0</v>
      </c>
      <c r="G1562" s="98" t="s">
        <v>3320</v>
      </c>
      <c r="H1562" s="98" t="s">
        <v>1703</v>
      </c>
      <c r="I1562" s="98" t="s">
        <v>1704</v>
      </c>
      <c r="J1562" s="98" t="s">
        <v>1705</v>
      </c>
      <c r="K1562" s="98" t="s">
        <v>1706</v>
      </c>
    </row>
    <row r="1563" customFormat="false" ht="64" hidden="false" customHeight="true" outlineLevel="0" collapsed="false">
      <c r="C1563" s="98" t="s">
        <v>3333</v>
      </c>
      <c r="D1563" s="98" t="s">
        <v>1720</v>
      </c>
      <c r="E1563" s="98" t="s">
        <v>811</v>
      </c>
      <c r="F1563" s="98" t="n">
        <v>0</v>
      </c>
      <c r="G1563" s="98" t="s">
        <v>3320</v>
      </c>
      <c r="H1563" s="98" t="s">
        <v>1703</v>
      </c>
      <c r="I1563" s="98" t="s">
        <v>1704</v>
      </c>
      <c r="J1563" s="98" t="s">
        <v>1705</v>
      </c>
      <c r="K1563" s="98" t="s">
        <v>1706</v>
      </c>
    </row>
    <row r="1564" customFormat="false" ht="64" hidden="false" customHeight="true" outlineLevel="0" collapsed="false">
      <c r="C1564" s="98" t="s">
        <v>3334</v>
      </c>
      <c r="D1564" s="98" t="s">
        <v>1722</v>
      </c>
      <c r="E1564" s="98" t="s">
        <v>811</v>
      </c>
      <c r="F1564" s="98" t="n">
        <v>0</v>
      </c>
      <c r="G1564" s="98" t="s">
        <v>3320</v>
      </c>
      <c r="H1564" s="98" t="s">
        <v>1703</v>
      </c>
      <c r="I1564" s="98" t="s">
        <v>1704</v>
      </c>
      <c r="J1564" s="98" t="s">
        <v>1705</v>
      </c>
      <c r="K1564" s="98" t="s">
        <v>1706</v>
      </c>
    </row>
    <row r="1565" customFormat="false" ht="64" hidden="false" customHeight="true" outlineLevel="0" collapsed="false">
      <c r="C1565" s="98" t="s">
        <v>3335</v>
      </c>
      <c r="D1565" s="98" t="s">
        <v>1724</v>
      </c>
      <c r="E1565" s="98" t="s">
        <v>811</v>
      </c>
      <c r="F1565" s="98" t="n">
        <v>0</v>
      </c>
      <c r="G1565" s="98" t="s">
        <v>3320</v>
      </c>
      <c r="H1565" s="98" t="s">
        <v>1703</v>
      </c>
      <c r="I1565" s="98" t="s">
        <v>1704</v>
      </c>
      <c r="J1565" s="98" t="s">
        <v>1705</v>
      </c>
      <c r="K1565" s="98" t="s">
        <v>1706</v>
      </c>
    </row>
    <row r="1566" customFormat="false" ht="64" hidden="false" customHeight="true" outlineLevel="0" collapsed="false">
      <c r="C1566" s="98" t="s">
        <v>3336</v>
      </c>
      <c r="D1566" s="98" t="s">
        <v>1726</v>
      </c>
      <c r="E1566" s="98" t="s">
        <v>811</v>
      </c>
      <c r="F1566" s="98" t="n">
        <v>0</v>
      </c>
      <c r="G1566" s="98" t="s">
        <v>3320</v>
      </c>
      <c r="H1566" s="98" t="s">
        <v>1703</v>
      </c>
      <c r="I1566" s="98" t="s">
        <v>1704</v>
      </c>
      <c r="J1566" s="98" t="s">
        <v>1705</v>
      </c>
      <c r="K1566" s="98" t="s">
        <v>1706</v>
      </c>
    </row>
    <row r="1567" customFormat="false" ht="64" hidden="false" customHeight="true" outlineLevel="0" collapsed="false">
      <c r="C1567" s="98" t="s">
        <v>3337</v>
      </c>
      <c r="D1567" s="98" t="s">
        <v>1728</v>
      </c>
      <c r="E1567" s="98" t="s">
        <v>811</v>
      </c>
      <c r="F1567" s="98" t="n">
        <v>0</v>
      </c>
      <c r="G1567" s="98" t="s">
        <v>3320</v>
      </c>
      <c r="H1567" s="98" t="s">
        <v>1703</v>
      </c>
      <c r="I1567" s="98" t="s">
        <v>1704</v>
      </c>
      <c r="J1567" s="98" t="s">
        <v>1705</v>
      </c>
      <c r="K1567" s="98" t="s">
        <v>1706</v>
      </c>
    </row>
    <row r="1568" customFormat="false" ht="64" hidden="false" customHeight="true" outlineLevel="0" collapsed="false">
      <c r="C1568" s="98" t="s">
        <v>3338</v>
      </c>
      <c r="D1568" s="98" t="s">
        <v>1730</v>
      </c>
      <c r="E1568" s="98" t="s">
        <v>811</v>
      </c>
      <c r="F1568" s="98" t="n">
        <v>0</v>
      </c>
      <c r="G1568" s="98" t="s">
        <v>3320</v>
      </c>
      <c r="H1568" s="98" t="s">
        <v>1703</v>
      </c>
      <c r="I1568" s="98" t="s">
        <v>1704</v>
      </c>
      <c r="J1568" s="98" t="s">
        <v>1705</v>
      </c>
      <c r="K1568" s="98" t="s">
        <v>1706</v>
      </c>
    </row>
    <row r="1569" customFormat="false" ht="64" hidden="false" customHeight="true" outlineLevel="0" collapsed="false">
      <c r="C1569" s="98" t="s">
        <v>3339</v>
      </c>
      <c r="D1569" s="98" t="s">
        <v>1732</v>
      </c>
      <c r="E1569" s="98" t="s">
        <v>811</v>
      </c>
      <c r="F1569" s="98" t="n">
        <v>0</v>
      </c>
      <c r="G1569" s="98" t="s">
        <v>3320</v>
      </c>
      <c r="H1569" s="98" t="s">
        <v>1703</v>
      </c>
      <c r="I1569" s="98" t="s">
        <v>1704</v>
      </c>
      <c r="J1569" s="98" t="s">
        <v>1705</v>
      </c>
      <c r="K1569" s="98" t="s">
        <v>1706</v>
      </c>
    </row>
    <row r="1570" customFormat="false" ht="64" hidden="false" customHeight="true" outlineLevel="0" collapsed="false">
      <c r="C1570" s="98" t="s">
        <v>3340</v>
      </c>
      <c r="D1570" s="98" t="s">
        <v>1734</v>
      </c>
      <c r="E1570" s="98" t="s">
        <v>811</v>
      </c>
      <c r="F1570" s="98" t="n">
        <v>0</v>
      </c>
      <c r="G1570" s="98" t="s">
        <v>3320</v>
      </c>
      <c r="H1570" s="98" t="s">
        <v>1703</v>
      </c>
      <c r="I1570" s="98" t="s">
        <v>1704</v>
      </c>
      <c r="J1570" s="98" t="s">
        <v>1705</v>
      </c>
      <c r="K1570" s="98" t="s">
        <v>1706</v>
      </c>
    </row>
    <row r="1571" customFormat="false" ht="64" hidden="false" customHeight="true" outlineLevel="0" collapsed="false">
      <c r="C1571" s="98" t="s">
        <v>3341</v>
      </c>
      <c r="D1571" s="98" t="s">
        <v>1736</v>
      </c>
      <c r="E1571" s="98" t="s">
        <v>811</v>
      </c>
      <c r="F1571" s="98" t="n">
        <v>0</v>
      </c>
      <c r="G1571" s="98" t="s">
        <v>3320</v>
      </c>
      <c r="H1571" s="98" t="s">
        <v>1703</v>
      </c>
      <c r="I1571" s="98" t="s">
        <v>1704</v>
      </c>
      <c r="J1571" s="98" t="s">
        <v>1705</v>
      </c>
      <c r="K1571" s="98" t="s">
        <v>1706</v>
      </c>
    </row>
    <row r="1572" customFormat="false" ht="64" hidden="false" customHeight="true" outlineLevel="0" collapsed="false">
      <c r="C1572" s="98" t="s">
        <v>3342</v>
      </c>
      <c r="D1572" s="98" t="s">
        <v>1738</v>
      </c>
      <c r="E1572" s="98" t="s">
        <v>811</v>
      </c>
      <c r="F1572" s="98" t="n">
        <v>0</v>
      </c>
      <c r="G1572" s="98" t="s">
        <v>3320</v>
      </c>
      <c r="H1572" s="98" t="s">
        <v>1703</v>
      </c>
      <c r="I1572" s="98" t="s">
        <v>1704</v>
      </c>
      <c r="J1572" s="98" t="s">
        <v>1705</v>
      </c>
      <c r="K1572" s="98" t="s">
        <v>1706</v>
      </c>
    </row>
    <row r="1573" customFormat="false" ht="64" hidden="false" customHeight="true" outlineLevel="0" collapsed="false">
      <c r="C1573" s="98" t="s">
        <v>3343</v>
      </c>
      <c r="D1573" s="98" t="s">
        <v>1740</v>
      </c>
      <c r="E1573" s="98" t="s">
        <v>811</v>
      </c>
      <c r="F1573" s="98" t="n">
        <v>0</v>
      </c>
      <c r="G1573" s="98" t="s">
        <v>3320</v>
      </c>
      <c r="H1573" s="98" t="s">
        <v>1703</v>
      </c>
      <c r="I1573" s="98" t="s">
        <v>1704</v>
      </c>
      <c r="J1573" s="98" t="s">
        <v>1705</v>
      </c>
      <c r="K1573" s="98" t="s">
        <v>1706</v>
      </c>
    </row>
    <row r="1574" customFormat="false" ht="64" hidden="false" customHeight="true" outlineLevel="0" collapsed="false">
      <c r="C1574" s="98" t="s">
        <v>3344</v>
      </c>
      <c r="D1574" s="98" t="s">
        <v>1742</v>
      </c>
      <c r="E1574" s="98" t="s">
        <v>811</v>
      </c>
      <c r="F1574" s="98" t="n">
        <v>0</v>
      </c>
      <c r="G1574" s="98" t="s">
        <v>3320</v>
      </c>
      <c r="H1574" s="98" t="s">
        <v>1703</v>
      </c>
      <c r="I1574" s="98" t="s">
        <v>1704</v>
      </c>
      <c r="J1574" s="98" t="s">
        <v>1705</v>
      </c>
      <c r="K1574" s="98" t="s">
        <v>1706</v>
      </c>
    </row>
    <row r="1575" customFormat="false" ht="64" hidden="false" customHeight="true" outlineLevel="0" collapsed="false">
      <c r="C1575" s="98" t="s">
        <v>3345</v>
      </c>
      <c r="D1575" s="98" t="s">
        <v>1744</v>
      </c>
      <c r="E1575" s="98" t="s">
        <v>811</v>
      </c>
      <c r="F1575" s="98" t="n">
        <v>0</v>
      </c>
      <c r="G1575" s="98" t="s">
        <v>3320</v>
      </c>
      <c r="H1575" s="98" t="s">
        <v>1703</v>
      </c>
      <c r="I1575" s="98" t="s">
        <v>1704</v>
      </c>
      <c r="J1575" s="98" t="s">
        <v>1705</v>
      </c>
      <c r="K1575" s="98" t="s">
        <v>1706</v>
      </c>
    </row>
    <row r="1576" customFormat="false" ht="64" hidden="false" customHeight="true" outlineLevel="0" collapsed="false">
      <c r="C1576" s="98" t="s">
        <v>3346</v>
      </c>
      <c r="D1576" s="98" t="s">
        <v>1746</v>
      </c>
      <c r="E1576" s="98" t="s">
        <v>811</v>
      </c>
      <c r="F1576" s="98" t="n">
        <v>0</v>
      </c>
      <c r="G1576" s="98" t="s">
        <v>3320</v>
      </c>
      <c r="H1576" s="98" t="s">
        <v>1703</v>
      </c>
      <c r="I1576" s="98" t="s">
        <v>1704</v>
      </c>
      <c r="J1576" s="98" t="s">
        <v>1705</v>
      </c>
      <c r="K1576" s="98" t="s">
        <v>1706</v>
      </c>
    </row>
    <row r="1577" customFormat="false" ht="64" hidden="false" customHeight="true" outlineLevel="0" collapsed="false">
      <c r="C1577" s="98" t="s">
        <v>3347</v>
      </c>
      <c r="D1577" s="98" t="s">
        <v>1748</v>
      </c>
      <c r="E1577" s="98" t="s">
        <v>811</v>
      </c>
      <c r="F1577" s="98" t="n">
        <v>0</v>
      </c>
      <c r="G1577" s="98" t="s">
        <v>3320</v>
      </c>
      <c r="H1577" s="98" t="s">
        <v>1703</v>
      </c>
      <c r="I1577" s="98" t="s">
        <v>1704</v>
      </c>
      <c r="J1577" s="98" t="s">
        <v>1705</v>
      </c>
      <c r="K1577" s="98" t="s">
        <v>1706</v>
      </c>
    </row>
    <row r="1578" customFormat="false" ht="64" hidden="false" customHeight="true" outlineLevel="0" collapsed="false">
      <c r="C1578" s="98" t="s">
        <v>3348</v>
      </c>
      <c r="D1578" s="98" t="s">
        <v>1750</v>
      </c>
      <c r="E1578" s="98" t="s">
        <v>811</v>
      </c>
      <c r="F1578" s="98" t="n">
        <v>0</v>
      </c>
      <c r="G1578" s="98" t="s">
        <v>3320</v>
      </c>
      <c r="H1578" s="98" t="s">
        <v>1703</v>
      </c>
      <c r="I1578" s="98" t="s">
        <v>1704</v>
      </c>
      <c r="J1578" s="98" t="s">
        <v>1705</v>
      </c>
      <c r="K1578" s="98" t="s">
        <v>1706</v>
      </c>
    </row>
    <row r="1579" customFormat="false" ht="64" hidden="false" customHeight="true" outlineLevel="0" collapsed="false">
      <c r="C1579" s="98" t="s">
        <v>3349</v>
      </c>
      <c r="D1579" s="98" t="s">
        <v>1752</v>
      </c>
      <c r="E1579" s="98" t="s">
        <v>811</v>
      </c>
      <c r="F1579" s="98" t="n">
        <v>0</v>
      </c>
      <c r="G1579" s="98" t="s">
        <v>3320</v>
      </c>
      <c r="H1579" s="98" t="s">
        <v>1703</v>
      </c>
      <c r="I1579" s="98" t="s">
        <v>1704</v>
      </c>
      <c r="J1579" s="98" t="s">
        <v>1705</v>
      </c>
      <c r="K1579" s="98" t="s">
        <v>1706</v>
      </c>
    </row>
    <row r="1580" customFormat="false" ht="64" hidden="false" customHeight="true" outlineLevel="0" collapsed="false">
      <c r="C1580" s="98" t="s">
        <v>3350</v>
      </c>
      <c r="D1580" s="98" t="s">
        <v>1754</v>
      </c>
      <c r="E1580" s="98" t="s">
        <v>811</v>
      </c>
      <c r="F1580" s="98" t="n">
        <v>0</v>
      </c>
      <c r="G1580" s="98" t="s">
        <v>3320</v>
      </c>
      <c r="H1580" s="98" t="s">
        <v>1703</v>
      </c>
      <c r="I1580" s="98" t="s">
        <v>1704</v>
      </c>
      <c r="J1580" s="98" t="s">
        <v>1705</v>
      </c>
      <c r="K1580" s="98" t="s">
        <v>1706</v>
      </c>
    </row>
    <row r="1581" customFormat="false" ht="64" hidden="false" customHeight="true" outlineLevel="0" collapsed="false">
      <c r="C1581" s="98" t="s">
        <v>3351</v>
      </c>
      <c r="D1581" s="98" t="s">
        <v>1756</v>
      </c>
      <c r="E1581" s="98" t="s">
        <v>811</v>
      </c>
      <c r="F1581" s="98" t="n">
        <v>0</v>
      </c>
      <c r="G1581" s="98" t="s">
        <v>3320</v>
      </c>
      <c r="H1581" s="98" t="s">
        <v>1703</v>
      </c>
      <c r="I1581" s="98" t="s">
        <v>1704</v>
      </c>
      <c r="J1581" s="98" t="s">
        <v>1705</v>
      </c>
      <c r="K1581" s="98" t="s">
        <v>1706</v>
      </c>
    </row>
    <row r="1582" customFormat="false" ht="64" hidden="false" customHeight="true" outlineLevel="0" collapsed="false">
      <c r="C1582" s="98" t="s">
        <v>3352</v>
      </c>
      <c r="D1582" s="98" t="s">
        <v>1758</v>
      </c>
      <c r="E1582" s="98" t="s">
        <v>811</v>
      </c>
      <c r="F1582" s="98" t="n">
        <v>0</v>
      </c>
      <c r="G1582" s="98" t="s">
        <v>3320</v>
      </c>
      <c r="H1582" s="98" t="s">
        <v>1703</v>
      </c>
      <c r="I1582" s="98" t="s">
        <v>1704</v>
      </c>
      <c r="J1582" s="98" t="s">
        <v>1705</v>
      </c>
      <c r="K1582" s="98" t="s">
        <v>1706</v>
      </c>
    </row>
    <row r="1583" customFormat="false" ht="64" hidden="false" customHeight="true" outlineLevel="0" collapsed="false">
      <c r="C1583" s="98" t="s">
        <v>3353</v>
      </c>
      <c r="D1583" s="98" t="s">
        <v>1760</v>
      </c>
      <c r="E1583" s="98" t="s">
        <v>811</v>
      </c>
      <c r="F1583" s="98" t="n">
        <v>0</v>
      </c>
      <c r="G1583" s="98" t="s">
        <v>3320</v>
      </c>
      <c r="H1583" s="98" t="s">
        <v>1703</v>
      </c>
      <c r="I1583" s="98" t="s">
        <v>1704</v>
      </c>
      <c r="J1583" s="98" t="s">
        <v>1705</v>
      </c>
      <c r="K1583" s="98" t="s">
        <v>1706</v>
      </c>
    </row>
    <row r="1584" customFormat="false" ht="64" hidden="false" customHeight="true" outlineLevel="0" collapsed="false">
      <c r="C1584" s="98" t="s">
        <v>3354</v>
      </c>
      <c r="D1584" s="98" t="s">
        <v>1762</v>
      </c>
      <c r="E1584" s="98" t="s">
        <v>811</v>
      </c>
      <c r="F1584" s="98" t="n">
        <v>0</v>
      </c>
      <c r="G1584" s="98" t="s">
        <v>3320</v>
      </c>
      <c r="H1584" s="98" t="s">
        <v>1703</v>
      </c>
      <c r="I1584" s="98" t="s">
        <v>1704</v>
      </c>
      <c r="J1584" s="98" t="s">
        <v>1705</v>
      </c>
      <c r="K1584" s="98" t="s">
        <v>1706</v>
      </c>
    </row>
    <row r="1585" customFormat="false" ht="64" hidden="false" customHeight="true" outlineLevel="0" collapsed="false">
      <c r="C1585" s="98" t="s">
        <v>3355</v>
      </c>
      <c r="D1585" s="98" t="s">
        <v>1764</v>
      </c>
      <c r="E1585" s="98" t="s">
        <v>811</v>
      </c>
      <c r="F1585" s="98" t="n">
        <v>0</v>
      </c>
      <c r="G1585" s="98" t="s">
        <v>3320</v>
      </c>
      <c r="H1585" s="98" t="s">
        <v>1703</v>
      </c>
      <c r="I1585" s="98" t="s">
        <v>1704</v>
      </c>
      <c r="J1585" s="98" t="s">
        <v>1705</v>
      </c>
      <c r="K1585" s="98" t="s">
        <v>1706</v>
      </c>
    </row>
    <row r="1586" customFormat="false" ht="64" hidden="false" customHeight="true" outlineLevel="0" collapsed="false">
      <c r="C1586" s="98" t="s">
        <v>3356</v>
      </c>
      <c r="D1586" s="98" t="s">
        <v>1829</v>
      </c>
      <c r="E1586" s="98" t="s">
        <v>811</v>
      </c>
      <c r="F1586" s="98" t="n">
        <v>0</v>
      </c>
      <c r="G1586" s="98" t="s">
        <v>3357</v>
      </c>
      <c r="H1586" s="98" t="s">
        <v>1703</v>
      </c>
      <c r="I1586" s="98" t="s">
        <v>1704</v>
      </c>
      <c r="J1586" s="98" t="s">
        <v>1705</v>
      </c>
      <c r="K1586" s="98" t="s">
        <v>1706</v>
      </c>
    </row>
    <row r="1587" customFormat="false" ht="64" hidden="false" customHeight="true" outlineLevel="0" collapsed="false">
      <c r="C1587" s="98" t="s">
        <v>3358</v>
      </c>
      <c r="D1587" s="98" t="s">
        <v>1833</v>
      </c>
      <c r="E1587" s="98" t="s">
        <v>811</v>
      </c>
      <c r="F1587" s="98" t="n">
        <v>0</v>
      </c>
      <c r="G1587" s="98" t="s">
        <v>3357</v>
      </c>
      <c r="H1587" s="98" t="s">
        <v>1703</v>
      </c>
      <c r="I1587" s="98" t="s">
        <v>1704</v>
      </c>
      <c r="J1587" s="98" t="s">
        <v>1705</v>
      </c>
      <c r="K1587" s="98" t="s">
        <v>1706</v>
      </c>
    </row>
    <row r="1588" customFormat="false" ht="64" hidden="false" customHeight="true" outlineLevel="0" collapsed="false">
      <c r="C1588" s="98" t="s">
        <v>3359</v>
      </c>
      <c r="D1588" s="98" t="s">
        <v>1835</v>
      </c>
      <c r="E1588" s="98" t="s">
        <v>811</v>
      </c>
      <c r="F1588" s="98" t="n">
        <v>0</v>
      </c>
      <c r="G1588" s="98" t="s">
        <v>3357</v>
      </c>
      <c r="H1588" s="98" t="s">
        <v>1703</v>
      </c>
      <c r="I1588" s="98" t="s">
        <v>1704</v>
      </c>
      <c r="J1588" s="98" t="s">
        <v>1705</v>
      </c>
      <c r="K1588" s="98" t="s">
        <v>1706</v>
      </c>
    </row>
    <row r="1589" customFormat="false" ht="64" hidden="false" customHeight="true" outlineLevel="0" collapsed="false">
      <c r="C1589" s="98" t="s">
        <v>3360</v>
      </c>
      <c r="D1589" s="98" t="s">
        <v>1044</v>
      </c>
      <c r="E1589" s="98" t="s">
        <v>811</v>
      </c>
      <c r="F1589" s="98" t="n">
        <v>0</v>
      </c>
      <c r="G1589" s="98" t="s">
        <v>3357</v>
      </c>
      <c r="H1589" s="98" t="s">
        <v>1703</v>
      </c>
      <c r="I1589" s="98" t="s">
        <v>1704</v>
      </c>
      <c r="J1589" s="98" t="s">
        <v>1705</v>
      </c>
      <c r="K1589" s="98" t="s">
        <v>1706</v>
      </c>
    </row>
    <row r="1590" customFormat="false" ht="64" hidden="false" customHeight="true" outlineLevel="0" collapsed="false">
      <c r="C1590" s="98" t="s">
        <v>3361</v>
      </c>
      <c r="D1590" s="98" t="s">
        <v>1838</v>
      </c>
      <c r="E1590" s="98" t="s">
        <v>811</v>
      </c>
      <c r="F1590" s="98" t="n">
        <v>0</v>
      </c>
      <c r="G1590" s="98" t="s">
        <v>3357</v>
      </c>
      <c r="H1590" s="98" t="s">
        <v>1703</v>
      </c>
      <c r="I1590" s="98" t="s">
        <v>1704</v>
      </c>
      <c r="J1590" s="98" t="s">
        <v>1705</v>
      </c>
      <c r="K1590" s="98" t="s">
        <v>1706</v>
      </c>
    </row>
    <row r="1591" customFormat="false" ht="64" hidden="false" customHeight="true" outlineLevel="0" collapsed="false">
      <c r="C1591" s="98" t="s">
        <v>3362</v>
      </c>
      <c r="D1591" s="98" t="s">
        <v>1840</v>
      </c>
      <c r="E1591" s="98" t="s">
        <v>811</v>
      </c>
      <c r="F1591" s="98" t="n">
        <v>0</v>
      </c>
      <c r="G1591" s="98" t="s">
        <v>3357</v>
      </c>
      <c r="H1591" s="98" t="s">
        <v>1703</v>
      </c>
      <c r="I1591" s="98" t="s">
        <v>1704</v>
      </c>
      <c r="J1591" s="98" t="s">
        <v>1705</v>
      </c>
      <c r="K1591" s="98" t="s">
        <v>1706</v>
      </c>
    </row>
    <row r="1592" customFormat="false" ht="64" hidden="false" customHeight="true" outlineLevel="0" collapsed="false">
      <c r="C1592" s="98" t="s">
        <v>3363</v>
      </c>
      <c r="D1592" s="98" t="s">
        <v>1700</v>
      </c>
      <c r="E1592" s="98" t="s">
        <v>811</v>
      </c>
      <c r="F1592" s="98" t="n">
        <v>0</v>
      </c>
      <c r="G1592" s="98" t="s">
        <v>3357</v>
      </c>
      <c r="H1592" s="98" t="s">
        <v>1703</v>
      </c>
      <c r="I1592" s="98" t="s">
        <v>1704</v>
      </c>
      <c r="J1592" s="98" t="s">
        <v>1705</v>
      </c>
      <c r="K1592" s="98" t="s">
        <v>1706</v>
      </c>
    </row>
    <row r="1593" customFormat="false" ht="64" hidden="false" customHeight="true" outlineLevel="0" collapsed="false">
      <c r="C1593" s="98" t="s">
        <v>3364</v>
      </c>
      <c r="D1593" s="98" t="s">
        <v>1708</v>
      </c>
      <c r="E1593" s="98" t="s">
        <v>811</v>
      </c>
      <c r="F1593" s="98" t="n">
        <v>0</v>
      </c>
      <c r="G1593" s="98" t="s">
        <v>3357</v>
      </c>
      <c r="H1593" s="98" t="s">
        <v>1703</v>
      </c>
      <c r="I1593" s="98" t="s">
        <v>1704</v>
      </c>
      <c r="J1593" s="98" t="s">
        <v>1705</v>
      </c>
      <c r="K1593" s="98" t="s">
        <v>1706</v>
      </c>
    </row>
    <row r="1594" customFormat="false" ht="64" hidden="false" customHeight="true" outlineLevel="0" collapsed="false">
      <c r="C1594" s="98" t="s">
        <v>3365</v>
      </c>
      <c r="D1594" s="98" t="s">
        <v>1710</v>
      </c>
      <c r="E1594" s="98" t="s">
        <v>811</v>
      </c>
      <c r="F1594" s="98" t="n">
        <v>0</v>
      </c>
      <c r="G1594" s="98" t="s">
        <v>3357</v>
      </c>
      <c r="H1594" s="98" t="s">
        <v>1703</v>
      </c>
      <c r="I1594" s="98" t="s">
        <v>1704</v>
      </c>
      <c r="J1594" s="98" t="s">
        <v>1705</v>
      </c>
      <c r="K1594" s="98" t="s">
        <v>1706</v>
      </c>
    </row>
    <row r="1595" customFormat="false" ht="64" hidden="false" customHeight="true" outlineLevel="0" collapsed="false">
      <c r="C1595" s="98" t="s">
        <v>3366</v>
      </c>
      <c r="D1595" s="98" t="s">
        <v>1712</v>
      </c>
      <c r="E1595" s="98" t="s">
        <v>811</v>
      </c>
      <c r="F1595" s="98" t="n">
        <v>0</v>
      </c>
      <c r="G1595" s="98" t="s">
        <v>3357</v>
      </c>
      <c r="H1595" s="98" t="s">
        <v>1703</v>
      </c>
      <c r="I1595" s="98" t="s">
        <v>1704</v>
      </c>
      <c r="J1595" s="98" t="s">
        <v>1705</v>
      </c>
      <c r="K1595" s="98" t="s">
        <v>1706</v>
      </c>
    </row>
    <row r="1596" customFormat="false" ht="64" hidden="false" customHeight="true" outlineLevel="0" collapsed="false">
      <c r="C1596" s="98" t="s">
        <v>3367</v>
      </c>
      <c r="D1596" s="98" t="s">
        <v>1714</v>
      </c>
      <c r="E1596" s="98" t="s">
        <v>811</v>
      </c>
      <c r="F1596" s="98" t="n">
        <v>0</v>
      </c>
      <c r="G1596" s="98" t="s">
        <v>3357</v>
      </c>
      <c r="H1596" s="98" t="s">
        <v>1703</v>
      </c>
      <c r="I1596" s="98" t="s">
        <v>1704</v>
      </c>
      <c r="J1596" s="98" t="s">
        <v>1705</v>
      </c>
      <c r="K1596" s="98" t="s">
        <v>1706</v>
      </c>
    </row>
    <row r="1597" customFormat="false" ht="64" hidden="false" customHeight="true" outlineLevel="0" collapsed="false">
      <c r="C1597" s="98" t="s">
        <v>3368</v>
      </c>
      <c r="D1597" s="98" t="s">
        <v>1716</v>
      </c>
      <c r="E1597" s="98" t="s">
        <v>811</v>
      </c>
      <c r="F1597" s="98" t="n">
        <v>0</v>
      </c>
      <c r="G1597" s="98" t="s">
        <v>3357</v>
      </c>
      <c r="H1597" s="98" t="s">
        <v>1703</v>
      </c>
      <c r="I1597" s="98" t="s">
        <v>1704</v>
      </c>
      <c r="J1597" s="98" t="s">
        <v>1705</v>
      </c>
      <c r="K1597" s="98" t="s">
        <v>1706</v>
      </c>
    </row>
    <row r="1598" customFormat="false" ht="64" hidden="false" customHeight="true" outlineLevel="0" collapsed="false">
      <c r="C1598" s="98" t="s">
        <v>3369</v>
      </c>
      <c r="D1598" s="98" t="s">
        <v>1718</v>
      </c>
      <c r="E1598" s="98" t="s">
        <v>811</v>
      </c>
      <c r="F1598" s="98" t="n">
        <v>0</v>
      </c>
      <c r="G1598" s="98" t="s">
        <v>3357</v>
      </c>
      <c r="H1598" s="98" t="s">
        <v>1703</v>
      </c>
      <c r="I1598" s="98" t="s">
        <v>1704</v>
      </c>
      <c r="J1598" s="98" t="s">
        <v>1705</v>
      </c>
      <c r="K1598" s="98" t="s">
        <v>1706</v>
      </c>
    </row>
    <row r="1599" customFormat="false" ht="64" hidden="false" customHeight="true" outlineLevel="0" collapsed="false">
      <c r="C1599" s="98" t="s">
        <v>3370</v>
      </c>
      <c r="D1599" s="98" t="s">
        <v>1720</v>
      </c>
      <c r="E1599" s="98" t="s">
        <v>811</v>
      </c>
      <c r="F1599" s="98" t="n">
        <v>0</v>
      </c>
      <c r="G1599" s="98" t="s">
        <v>3357</v>
      </c>
      <c r="H1599" s="98" t="s">
        <v>1703</v>
      </c>
      <c r="I1599" s="98" t="s">
        <v>1704</v>
      </c>
      <c r="J1599" s="98" t="s">
        <v>1705</v>
      </c>
      <c r="K1599" s="98" t="s">
        <v>1706</v>
      </c>
    </row>
    <row r="1600" customFormat="false" ht="64" hidden="false" customHeight="true" outlineLevel="0" collapsed="false">
      <c r="C1600" s="98" t="s">
        <v>3371</v>
      </c>
      <c r="D1600" s="98" t="s">
        <v>1722</v>
      </c>
      <c r="E1600" s="98" t="s">
        <v>811</v>
      </c>
      <c r="F1600" s="98" t="n">
        <v>0</v>
      </c>
      <c r="G1600" s="98" t="s">
        <v>3357</v>
      </c>
      <c r="H1600" s="98" t="s">
        <v>1703</v>
      </c>
      <c r="I1600" s="98" t="s">
        <v>1704</v>
      </c>
      <c r="J1600" s="98" t="s">
        <v>1705</v>
      </c>
      <c r="K1600" s="98" t="s">
        <v>1706</v>
      </c>
    </row>
    <row r="1601" customFormat="false" ht="64" hidden="false" customHeight="true" outlineLevel="0" collapsed="false">
      <c r="C1601" s="98" t="s">
        <v>3372</v>
      </c>
      <c r="D1601" s="98" t="s">
        <v>1724</v>
      </c>
      <c r="E1601" s="98" t="s">
        <v>811</v>
      </c>
      <c r="F1601" s="98" t="n">
        <v>0</v>
      </c>
      <c r="G1601" s="98" t="s">
        <v>3357</v>
      </c>
      <c r="H1601" s="98" t="s">
        <v>1703</v>
      </c>
      <c r="I1601" s="98" t="s">
        <v>1704</v>
      </c>
      <c r="J1601" s="98" t="s">
        <v>1705</v>
      </c>
      <c r="K1601" s="98" t="s">
        <v>1706</v>
      </c>
    </row>
    <row r="1602" customFormat="false" ht="64" hidden="false" customHeight="true" outlineLevel="0" collapsed="false">
      <c r="C1602" s="98" t="s">
        <v>3373</v>
      </c>
      <c r="D1602" s="98" t="s">
        <v>1726</v>
      </c>
      <c r="E1602" s="98" t="s">
        <v>811</v>
      </c>
      <c r="F1602" s="98" t="n">
        <v>0</v>
      </c>
      <c r="G1602" s="98" t="s">
        <v>3357</v>
      </c>
      <c r="H1602" s="98" t="s">
        <v>1703</v>
      </c>
      <c r="I1602" s="98" t="s">
        <v>1704</v>
      </c>
      <c r="J1602" s="98" t="s">
        <v>1705</v>
      </c>
      <c r="K1602" s="98" t="s">
        <v>1706</v>
      </c>
    </row>
    <row r="1603" customFormat="false" ht="64" hidden="false" customHeight="true" outlineLevel="0" collapsed="false">
      <c r="C1603" s="98" t="s">
        <v>3374</v>
      </c>
      <c r="D1603" s="98" t="s">
        <v>1728</v>
      </c>
      <c r="E1603" s="98" t="s">
        <v>811</v>
      </c>
      <c r="F1603" s="98" t="n">
        <v>0</v>
      </c>
      <c r="G1603" s="98" t="s">
        <v>3357</v>
      </c>
      <c r="H1603" s="98" t="s">
        <v>1703</v>
      </c>
      <c r="I1603" s="98" t="s">
        <v>1704</v>
      </c>
      <c r="J1603" s="98" t="s">
        <v>1705</v>
      </c>
      <c r="K1603" s="98" t="s">
        <v>1706</v>
      </c>
    </row>
    <row r="1604" customFormat="false" ht="64" hidden="false" customHeight="true" outlineLevel="0" collapsed="false">
      <c r="C1604" s="98" t="s">
        <v>3375</v>
      </c>
      <c r="D1604" s="98" t="s">
        <v>1730</v>
      </c>
      <c r="E1604" s="98" t="s">
        <v>811</v>
      </c>
      <c r="F1604" s="98" t="n">
        <v>0</v>
      </c>
      <c r="G1604" s="98" t="s">
        <v>3357</v>
      </c>
      <c r="H1604" s="98" t="s">
        <v>1703</v>
      </c>
      <c r="I1604" s="98" t="s">
        <v>1704</v>
      </c>
      <c r="J1604" s="98" t="s">
        <v>1705</v>
      </c>
      <c r="K1604" s="98" t="s">
        <v>1706</v>
      </c>
    </row>
    <row r="1605" customFormat="false" ht="64" hidden="false" customHeight="true" outlineLevel="0" collapsed="false">
      <c r="C1605" s="98" t="s">
        <v>3376</v>
      </c>
      <c r="D1605" s="98" t="s">
        <v>1732</v>
      </c>
      <c r="E1605" s="98" t="s">
        <v>811</v>
      </c>
      <c r="F1605" s="98" t="n">
        <v>0</v>
      </c>
      <c r="G1605" s="98" t="s">
        <v>3357</v>
      </c>
      <c r="H1605" s="98" t="s">
        <v>1703</v>
      </c>
      <c r="I1605" s="98" t="s">
        <v>1704</v>
      </c>
      <c r="J1605" s="98" t="s">
        <v>1705</v>
      </c>
      <c r="K1605" s="98" t="s">
        <v>1706</v>
      </c>
    </row>
    <row r="1606" customFormat="false" ht="64" hidden="false" customHeight="true" outlineLevel="0" collapsed="false">
      <c r="C1606" s="98" t="s">
        <v>3377</v>
      </c>
      <c r="D1606" s="98" t="s">
        <v>1734</v>
      </c>
      <c r="E1606" s="98" t="s">
        <v>811</v>
      </c>
      <c r="F1606" s="98" t="n">
        <v>0</v>
      </c>
      <c r="G1606" s="98" t="s">
        <v>3357</v>
      </c>
      <c r="H1606" s="98" t="s">
        <v>1703</v>
      </c>
      <c r="I1606" s="98" t="s">
        <v>1704</v>
      </c>
      <c r="J1606" s="98" t="s">
        <v>1705</v>
      </c>
      <c r="K1606" s="98" t="s">
        <v>1706</v>
      </c>
    </row>
    <row r="1607" customFormat="false" ht="64" hidden="false" customHeight="true" outlineLevel="0" collapsed="false">
      <c r="C1607" s="98" t="s">
        <v>3378</v>
      </c>
      <c r="D1607" s="98" t="s">
        <v>1736</v>
      </c>
      <c r="E1607" s="98" t="s">
        <v>811</v>
      </c>
      <c r="F1607" s="98" t="n">
        <v>0</v>
      </c>
      <c r="G1607" s="98" t="s">
        <v>3357</v>
      </c>
      <c r="H1607" s="98" t="s">
        <v>1703</v>
      </c>
      <c r="I1607" s="98" t="s">
        <v>1704</v>
      </c>
      <c r="J1607" s="98" t="s">
        <v>1705</v>
      </c>
      <c r="K1607" s="98" t="s">
        <v>1706</v>
      </c>
    </row>
    <row r="1608" customFormat="false" ht="64" hidden="false" customHeight="true" outlineLevel="0" collapsed="false">
      <c r="C1608" s="98" t="s">
        <v>3379</v>
      </c>
      <c r="D1608" s="98" t="s">
        <v>1738</v>
      </c>
      <c r="E1608" s="98" t="s">
        <v>811</v>
      </c>
      <c r="F1608" s="98" t="n">
        <v>0</v>
      </c>
      <c r="G1608" s="98" t="s">
        <v>3357</v>
      </c>
      <c r="H1608" s="98" t="s">
        <v>1703</v>
      </c>
      <c r="I1608" s="98" t="s">
        <v>1704</v>
      </c>
      <c r="J1608" s="98" t="s">
        <v>1705</v>
      </c>
      <c r="K1608" s="98" t="s">
        <v>1706</v>
      </c>
    </row>
    <row r="1609" customFormat="false" ht="64" hidden="false" customHeight="true" outlineLevel="0" collapsed="false">
      <c r="C1609" s="98" t="s">
        <v>3380</v>
      </c>
      <c r="D1609" s="98" t="s">
        <v>1740</v>
      </c>
      <c r="E1609" s="98" t="s">
        <v>811</v>
      </c>
      <c r="F1609" s="98" t="n">
        <v>0</v>
      </c>
      <c r="G1609" s="98" t="s">
        <v>3357</v>
      </c>
      <c r="H1609" s="98" t="s">
        <v>1703</v>
      </c>
      <c r="I1609" s="98" t="s">
        <v>1704</v>
      </c>
      <c r="J1609" s="98" t="s">
        <v>1705</v>
      </c>
      <c r="K1609" s="98" t="s">
        <v>1706</v>
      </c>
    </row>
    <row r="1610" customFormat="false" ht="64" hidden="false" customHeight="true" outlineLevel="0" collapsed="false">
      <c r="C1610" s="98" t="s">
        <v>3381</v>
      </c>
      <c r="D1610" s="98" t="s">
        <v>1742</v>
      </c>
      <c r="E1610" s="98" t="s">
        <v>811</v>
      </c>
      <c r="F1610" s="98" t="n">
        <v>0</v>
      </c>
      <c r="G1610" s="98" t="s">
        <v>3357</v>
      </c>
      <c r="H1610" s="98" t="s">
        <v>1703</v>
      </c>
      <c r="I1610" s="98" t="s">
        <v>1704</v>
      </c>
      <c r="J1610" s="98" t="s">
        <v>1705</v>
      </c>
      <c r="K1610" s="98" t="s">
        <v>1706</v>
      </c>
    </row>
    <row r="1611" customFormat="false" ht="64" hidden="false" customHeight="true" outlineLevel="0" collapsed="false">
      <c r="C1611" s="98" t="s">
        <v>3382</v>
      </c>
      <c r="D1611" s="98" t="s">
        <v>1744</v>
      </c>
      <c r="E1611" s="98" t="s">
        <v>811</v>
      </c>
      <c r="F1611" s="98" t="n">
        <v>0</v>
      </c>
      <c r="G1611" s="98" t="s">
        <v>3357</v>
      </c>
      <c r="H1611" s="98" t="s">
        <v>1703</v>
      </c>
      <c r="I1611" s="98" t="s">
        <v>1704</v>
      </c>
      <c r="J1611" s="98" t="s">
        <v>1705</v>
      </c>
      <c r="K1611" s="98" t="s">
        <v>1706</v>
      </c>
    </row>
    <row r="1612" customFormat="false" ht="64" hidden="false" customHeight="true" outlineLevel="0" collapsed="false">
      <c r="C1612" s="98" t="s">
        <v>3383</v>
      </c>
      <c r="D1612" s="98" t="s">
        <v>1746</v>
      </c>
      <c r="E1612" s="98" t="s">
        <v>811</v>
      </c>
      <c r="F1612" s="98" t="n">
        <v>0</v>
      </c>
      <c r="G1612" s="98" t="s">
        <v>3357</v>
      </c>
      <c r="H1612" s="98" t="s">
        <v>1703</v>
      </c>
      <c r="I1612" s="98" t="s">
        <v>1704</v>
      </c>
      <c r="J1612" s="98" t="s">
        <v>1705</v>
      </c>
      <c r="K1612" s="98" t="s">
        <v>1706</v>
      </c>
    </row>
    <row r="1613" customFormat="false" ht="64" hidden="false" customHeight="true" outlineLevel="0" collapsed="false">
      <c r="C1613" s="98" t="s">
        <v>3384</v>
      </c>
      <c r="D1613" s="98" t="s">
        <v>1748</v>
      </c>
      <c r="E1613" s="98" t="s">
        <v>811</v>
      </c>
      <c r="F1613" s="98" t="n">
        <v>0</v>
      </c>
      <c r="G1613" s="98" t="s">
        <v>3357</v>
      </c>
      <c r="H1613" s="98" t="s">
        <v>1703</v>
      </c>
      <c r="I1613" s="98" t="s">
        <v>1704</v>
      </c>
      <c r="J1613" s="98" t="s">
        <v>1705</v>
      </c>
      <c r="K1613" s="98" t="s">
        <v>1706</v>
      </c>
    </row>
    <row r="1614" customFormat="false" ht="64" hidden="false" customHeight="true" outlineLevel="0" collapsed="false">
      <c r="C1614" s="98" t="s">
        <v>3385</v>
      </c>
      <c r="D1614" s="98" t="s">
        <v>1750</v>
      </c>
      <c r="E1614" s="98" t="s">
        <v>811</v>
      </c>
      <c r="F1614" s="98" t="n">
        <v>0</v>
      </c>
      <c r="G1614" s="98" t="s">
        <v>3357</v>
      </c>
      <c r="H1614" s="98" t="s">
        <v>1703</v>
      </c>
      <c r="I1614" s="98" t="s">
        <v>1704</v>
      </c>
      <c r="J1614" s="98" t="s">
        <v>1705</v>
      </c>
      <c r="K1614" s="98" t="s">
        <v>1706</v>
      </c>
    </row>
    <row r="1615" customFormat="false" ht="64" hidden="false" customHeight="true" outlineLevel="0" collapsed="false">
      <c r="C1615" s="98" t="s">
        <v>3386</v>
      </c>
      <c r="D1615" s="98" t="s">
        <v>1752</v>
      </c>
      <c r="E1615" s="98" t="s">
        <v>811</v>
      </c>
      <c r="F1615" s="98" t="n">
        <v>0</v>
      </c>
      <c r="G1615" s="98" t="s">
        <v>3357</v>
      </c>
      <c r="H1615" s="98" t="s">
        <v>1703</v>
      </c>
      <c r="I1615" s="98" t="s">
        <v>1704</v>
      </c>
      <c r="J1615" s="98" t="s">
        <v>1705</v>
      </c>
      <c r="K1615" s="98" t="s">
        <v>1706</v>
      </c>
    </row>
    <row r="1616" customFormat="false" ht="64" hidden="false" customHeight="true" outlineLevel="0" collapsed="false">
      <c r="C1616" s="98" t="s">
        <v>3387</v>
      </c>
      <c r="D1616" s="98" t="s">
        <v>1754</v>
      </c>
      <c r="E1616" s="98" t="s">
        <v>811</v>
      </c>
      <c r="F1616" s="98" t="n">
        <v>0</v>
      </c>
      <c r="G1616" s="98" t="s">
        <v>3357</v>
      </c>
      <c r="H1616" s="98" t="s">
        <v>1703</v>
      </c>
      <c r="I1616" s="98" t="s">
        <v>1704</v>
      </c>
      <c r="J1616" s="98" t="s">
        <v>1705</v>
      </c>
      <c r="K1616" s="98" t="s">
        <v>1706</v>
      </c>
    </row>
    <row r="1617" customFormat="false" ht="64" hidden="false" customHeight="true" outlineLevel="0" collapsed="false">
      <c r="C1617" s="98" t="s">
        <v>3388</v>
      </c>
      <c r="D1617" s="98" t="s">
        <v>1756</v>
      </c>
      <c r="E1617" s="98" t="s">
        <v>811</v>
      </c>
      <c r="F1617" s="98" t="n">
        <v>0</v>
      </c>
      <c r="G1617" s="98" t="s">
        <v>3357</v>
      </c>
      <c r="H1617" s="98" t="s">
        <v>1703</v>
      </c>
      <c r="I1617" s="98" t="s">
        <v>1704</v>
      </c>
      <c r="J1617" s="98" t="s">
        <v>1705</v>
      </c>
      <c r="K1617" s="98" t="s">
        <v>1706</v>
      </c>
    </row>
    <row r="1618" customFormat="false" ht="64" hidden="false" customHeight="true" outlineLevel="0" collapsed="false">
      <c r="C1618" s="98" t="s">
        <v>3389</v>
      </c>
      <c r="D1618" s="98" t="s">
        <v>1758</v>
      </c>
      <c r="E1618" s="98" t="s">
        <v>811</v>
      </c>
      <c r="F1618" s="98" t="n">
        <v>0</v>
      </c>
      <c r="G1618" s="98" t="s">
        <v>3357</v>
      </c>
      <c r="H1618" s="98" t="s">
        <v>1703</v>
      </c>
      <c r="I1618" s="98" t="s">
        <v>1704</v>
      </c>
      <c r="J1618" s="98" t="s">
        <v>1705</v>
      </c>
      <c r="K1618" s="98" t="s">
        <v>1706</v>
      </c>
    </row>
    <row r="1619" customFormat="false" ht="64" hidden="false" customHeight="true" outlineLevel="0" collapsed="false">
      <c r="C1619" s="98" t="s">
        <v>3390</v>
      </c>
      <c r="D1619" s="98" t="s">
        <v>1760</v>
      </c>
      <c r="E1619" s="98" t="s">
        <v>811</v>
      </c>
      <c r="F1619" s="98" t="n">
        <v>0</v>
      </c>
      <c r="G1619" s="98" t="s">
        <v>3357</v>
      </c>
      <c r="H1619" s="98" t="s">
        <v>1703</v>
      </c>
      <c r="I1619" s="98" t="s">
        <v>1704</v>
      </c>
      <c r="J1619" s="98" t="s">
        <v>1705</v>
      </c>
      <c r="K1619" s="98" t="s">
        <v>1706</v>
      </c>
    </row>
    <row r="1620" customFormat="false" ht="64" hidden="false" customHeight="true" outlineLevel="0" collapsed="false">
      <c r="C1620" s="98" t="s">
        <v>3391</v>
      </c>
      <c r="D1620" s="98" t="s">
        <v>1762</v>
      </c>
      <c r="E1620" s="98" t="s">
        <v>811</v>
      </c>
      <c r="F1620" s="98" t="n">
        <v>0</v>
      </c>
      <c r="G1620" s="98" t="s">
        <v>3357</v>
      </c>
      <c r="H1620" s="98" t="s">
        <v>1703</v>
      </c>
      <c r="I1620" s="98" t="s">
        <v>1704</v>
      </c>
      <c r="J1620" s="98" t="s">
        <v>1705</v>
      </c>
      <c r="K1620" s="98" t="s">
        <v>1706</v>
      </c>
    </row>
    <row r="1621" customFormat="false" ht="64" hidden="false" customHeight="true" outlineLevel="0" collapsed="false">
      <c r="C1621" s="98" t="s">
        <v>3392</v>
      </c>
      <c r="D1621" s="98" t="s">
        <v>1764</v>
      </c>
      <c r="E1621" s="98" t="s">
        <v>811</v>
      </c>
      <c r="F1621" s="98" t="n">
        <v>0</v>
      </c>
      <c r="G1621" s="98" t="s">
        <v>3357</v>
      </c>
      <c r="H1621" s="98" t="s">
        <v>1703</v>
      </c>
      <c r="I1621" s="98" t="s">
        <v>1704</v>
      </c>
      <c r="J1621" s="98" t="s">
        <v>1705</v>
      </c>
      <c r="K1621" s="98" t="s">
        <v>1706</v>
      </c>
    </row>
    <row r="1622" customFormat="false" ht="64" hidden="false" customHeight="true" outlineLevel="0" collapsed="false">
      <c r="C1622" s="98" t="s">
        <v>3393</v>
      </c>
      <c r="D1622" s="98" t="s">
        <v>1829</v>
      </c>
      <c r="E1622" s="98" t="s">
        <v>811</v>
      </c>
      <c r="F1622" s="98" t="n">
        <v>0</v>
      </c>
      <c r="G1622" s="98" t="s">
        <v>3394</v>
      </c>
      <c r="H1622" s="98" t="s">
        <v>1703</v>
      </c>
      <c r="I1622" s="98" t="s">
        <v>1704</v>
      </c>
      <c r="J1622" s="98" t="s">
        <v>1705</v>
      </c>
      <c r="K1622" s="98" t="s">
        <v>1706</v>
      </c>
    </row>
    <row r="1623" customFormat="false" ht="64" hidden="false" customHeight="true" outlineLevel="0" collapsed="false">
      <c r="C1623" s="98" t="s">
        <v>3395</v>
      </c>
      <c r="D1623" s="98" t="s">
        <v>1833</v>
      </c>
      <c r="E1623" s="98" t="s">
        <v>811</v>
      </c>
      <c r="F1623" s="98" t="n">
        <v>0</v>
      </c>
      <c r="G1623" s="98" t="s">
        <v>3394</v>
      </c>
      <c r="H1623" s="98" t="s">
        <v>1703</v>
      </c>
      <c r="I1623" s="98" t="s">
        <v>1704</v>
      </c>
      <c r="J1623" s="98" t="s">
        <v>1705</v>
      </c>
      <c r="K1623" s="98" t="s">
        <v>1706</v>
      </c>
    </row>
    <row r="1624" customFormat="false" ht="64" hidden="false" customHeight="true" outlineLevel="0" collapsed="false">
      <c r="C1624" s="98" t="s">
        <v>3396</v>
      </c>
      <c r="D1624" s="98" t="s">
        <v>1835</v>
      </c>
      <c r="E1624" s="98" t="s">
        <v>811</v>
      </c>
      <c r="F1624" s="98" t="n">
        <v>0</v>
      </c>
      <c r="G1624" s="98" t="s">
        <v>3394</v>
      </c>
      <c r="H1624" s="98" t="s">
        <v>1703</v>
      </c>
      <c r="I1624" s="98" t="s">
        <v>1704</v>
      </c>
      <c r="J1624" s="98" t="s">
        <v>1705</v>
      </c>
      <c r="K1624" s="98" t="s">
        <v>1706</v>
      </c>
    </row>
    <row r="1625" customFormat="false" ht="64" hidden="false" customHeight="true" outlineLevel="0" collapsed="false">
      <c r="C1625" s="98" t="s">
        <v>3397</v>
      </c>
      <c r="D1625" s="98" t="s">
        <v>1044</v>
      </c>
      <c r="E1625" s="98" t="s">
        <v>811</v>
      </c>
      <c r="F1625" s="98" t="n">
        <v>0</v>
      </c>
      <c r="G1625" s="98" t="s">
        <v>3394</v>
      </c>
      <c r="H1625" s="98" t="s">
        <v>1703</v>
      </c>
      <c r="I1625" s="98" t="s">
        <v>1704</v>
      </c>
      <c r="J1625" s="98" t="s">
        <v>1705</v>
      </c>
      <c r="K1625" s="98" t="s">
        <v>1706</v>
      </c>
    </row>
    <row r="1626" customFormat="false" ht="64" hidden="false" customHeight="true" outlineLevel="0" collapsed="false">
      <c r="C1626" s="98" t="s">
        <v>3398</v>
      </c>
      <c r="D1626" s="98" t="s">
        <v>1838</v>
      </c>
      <c r="E1626" s="98" t="s">
        <v>811</v>
      </c>
      <c r="F1626" s="98" t="n">
        <v>0</v>
      </c>
      <c r="G1626" s="98" t="s">
        <v>3394</v>
      </c>
      <c r="H1626" s="98" t="s">
        <v>1703</v>
      </c>
      <c r="I1626" s="98" t="s">
        <v>1704</v>
      </c>
      <c r="J1626" s="98" t="s">
        <v>1705</v>
      </c>
      <c r="K1626" s="98" t="s">
        <v>1706</v>
      </c>
    </row>
    <row r="1627" customFormat="false" ht="64" hidden="false" customHeight="true" outlineLevel="0" collapsed="false">
      <c r="C1627" s="98" t="s">
        <v>3399</v>
      </c>
      <c r="D1627" s="98" t="s">
        <v>1840</v>
      </c>
      <c r="E1627" s="98" t="s">
        <v>811</v>
      </c>
      <c r="F1627" s="98" t="n">
        <v>0</v>
      </c>
      <c r="G1627" s="98" t="s">
        <v>3394</v>
      </c>
      <c r="H1627" s="98" t="s">
        <v>1703</v>
      </c>
      <c r="I1627" s="98" t="s">
        <v>1704</v>
      </c>
      <c r="J1627" s="98" t="s">
        <v>1705</v>
      </c>
      <c r="K1627" s="98" t="s">
        <v>1706</v>
      </c>
    </row>
    <row r="1628" customFormat="false" ht="64" hidden="false" customHeight="true" outlineLevel="0" collapsed="false">
      <c r="C1628" s="98" t="s">
        <v>3400</v>
      </c>
      <c r="D1628" s="98" t="s">
        <v>1700</v>
      </c>
      <c r="E1628" s="98" t="s">
        <v>811</v>
      </c>
      <c r="F1628" s="98" t="n">
        <v>0</v>
      </c>
      <c r="G1628" s="98" t="s">
        <v>3394</v>
      </c>
      <c r="H1628" s="98" t="s">
        <v>1703</v>
      </c>
      <c r="I1628" s="98" t="s">
        <v>1704</v>
      </c>
      <c r="J1628" s="98" t="s">
        <v>1705</v>
      </c>
      <c r="K1628" s="98" t="s">
        <v>1706</v>
      </c>
    </row>
    <row r="1629" customFormat="false" ht="64" hidden="false" customHeight="true" outlineLevel="0" collapsed="false">
      <c r="C1629" s="98" t="s">
        <v>3401</v>
      </c>
      <c r="D1629" s="98" t="s">
        <v>1708</v>
      </c>
      <c r="E1629" s="98" t="s">
        <v>811</v>
      </c>
      <c r="F1629" s="98" t="n">
        <v>0</v>
      </c>
      <c r="G1629" s="98" t="s">
        <v>3394</v>
      </c>
      <c r="H1629" s="98" t="s">
        <v>1703</v>
      </c>
      <c r="I1629" s="98" t="s">
        <v>1704</v>
      </c>
      <c r="J1629" s="98" t="s">
        <v>1705</v>
      </c>
      <c r="K1629" s="98" t="s">
        <v>1706</v>
      </c>
    </row>
    <row r="1630" customFormat="false" ht="64" hidden="false" customHeight="true" outlineLevel="0" collapsed="false">
      <c r="C1630" s="98" t="s">
        <v>3402</v>
      </c>
      <c r="D1630" s="98" t="s">
        <v>1710</v>
      </c>
      <c r="E1630" s="98" t="s">
        <v>811</v>
      </c>
      <c r="F1630" s="98" t="n">
        <v>0</v>
      </c>
      <c r="G1630" s="98" t="s">
        <v>3394</v>
      </c>
      <c r="H1630" s="98" t="s">
        <v>1703</v>
      </c>
      <c r="I1630" s="98" t="s">
        <v>1704</v>
      </c>
      <c r="J1630" s="98" t="s">
        <v>1705</v>
      </c>
      <c r="K1630" s="98" t="s">
        <v>1706</v>
      </c>
    </row>
    <row r="1631" customFormat="false" ht="64" hidden="false" customHeight="true" outlineLevel="0" collapsed="false">
      <c r="C1631" s="98" t="s">
        <v>3403</v>
      </c>
      <c r="D1631" s="98" t="s">
        <v>1712</v>
      </c>
      <c r="E1631" s="98" t="s">
        <v>811</v>
      </c>
      <c r="F1631" s="98" t="n">
        <v>0</v>
      </c>
      <c r="G1631" s="98" t="s">
        <v>3394</v>
      </c>
      <c r="H1631" s="98" t="s">
        <v>1703</v>
      </c>
      <c r="I1631" s="98" t="s">
        <v>1704</v>
      </c>
      <c r="J1631" s="98" t="s">
        <v>1705</v>
      </c>
      <c r="K1631" s="98" t="s">
        <v>1706</v>
      </c>
    </row>
    <row r="1632" customFormat="false" ht="64" hidden="false" customHeight="true" outlineLevel="0" collapsed="false">
      <c r="C1632" s="98" t="s">
        <v>3404</v>
      </c>
      <c r="D1632" s="98" t="s">
        <v>1714</v>
      </c>
      <c r="E1632" s="98" t="s">
        <v>811</v>
      </c>
      <c r="F1632" s="98" t="n">
        <v>0</v>
      </c>
      <c r="G1632" s="98" t="s">
        <v>3394</v>
      </c>
      <c r="H1632" s="98" t="s">
        <v>1703</v>
      </c>
      <c r="I1632" s="98" t="s">
        <v>1704</v>
      </c>
      <c r="J1632" s="98" t="s">
        <v>1705</v>
      </c>
      <c r="K1632" s="98" t="s">
        <v>1706</v>
      </c>
    </row>
    <row r="1633" customFormat="false" ht="64" hidden="false" customHeight="true" outlineLevel="0" collapsed="false">
      <c r="C1633" s="98" t="s">
        <v>3405</v>
      </c>
      <c r="D1633" s="98" t="s">
        <v>1716</v>
      </c>
      <c r="E1633" s="98" t="s">
        <v>811</v>
      </c>
      <c r="F1633" s="98" t="n">
        <v>0</v>
      </c>
      <c r="G1633" s="98" t="s">
        <v>3394</v>
      </c>
      <c r="H1633" s="98" t="s">
        <v>1703</v>
      </c>
      <c r="I1633" s="98" t="s">
        <v>1704</v>
      </c>
      <c r="J1633" s="98" t="s">
        <v>1705</v>
      </c>
      <c r="K1633" s="98" t="s">
        <v>1706</v>
      </c>
    </row>
    <row r="1634" customFormat="false" ht="64" hidden="false" customHeight="true" outlineLevel="0" collapsed="false">
      <c r="C1634" s="98" t="s">
        <v>3406</v>
      </c>
      <c r="D1634" s="98" t="s">
        <v>1718</v>
      </c>
      <c r="E1634" s="98" t="s">
        <v>811</v>
      </c>
      <c r="F1634" s="98" t="n">
        <v>0</v>
      </c>
      <c r="G1634" s="98" t="s">
        <v>3394</v>
      </c>
      <c r="H1634" s="98" t="s">
        <v>1703</v>
      </c>
      <c r="I1634" s="98" t="s">
        <v>1704</v>
      </c>
      <c r="J1634" s="98" t="s">
        <v>1705</v>
      </c>
      <c r="K1634" s="98" t="s">
        <v>1706</v>
      </c>
    </row>
    <row r="1635" customFormat="false" ht="64" hidden="false" customHeight="true" outlineLevel="0" collapsed="false">
      <c r="C1635" s="98" t="s">
        <v>3407</v>
      </c>
      <c r="D1635" s="98" t="s">
        <v>1720</v>
      </c>
      <c r="E1635" s="98" t="s">
        <v>811</v>
      </c>
      <c r="F1635" s="98" t="n">
        <v>0</v>
      </c>
      <c r="G1635" s="98" t="s">
        <v>3394</v>
      </c>
      <c r="H1635" s="98" t="s">
        <v>1703</v>
      </c>
      <c r="I1635" s="98" t="s">
        <v>1704</v>
      </c>
      <c r="J1635" s="98" t="s">
        <v>1705</v>
      </c>
      <c r="K1635" s="98" t="s">
        <v>1706</v>
      </c>
    </row>
    <row r="1636" customFormat="false" ht="64" hidden="false" customHeight="true" outlineLevel="0" collapsed="false">
      <c r="C1636" s="98" t="s">
        <v>3408</v>
      </c>
      <c r="D1636" s="98" t="s">
        <v>1722</v>
      </c>
      <c r="E1636" s="98" t="s">
        <v>811</v>
      </c>
      <c r="F1636" s="98" t="n">
        <v>0</v>
      </c>
      <c r="G1636" s="98" t="s">
        <v>3394</v>
      </c>
      <c r="H1636" s="98" t="s">
        <v>1703</v>
      </c>
      <c r="I1636" s="98" t="s">
        <v>1704</v>
      </c>
      <c r="J1636" s="98" t="s">
        <v>1705</v>
      </c>
      <c r="K1636" s="98" t="s">
        <v>1706</v>
      </c>
    </row>
    <row r="1637" customFormat="false" ht="64" hidden="false" customHeight="true" outlineLevel="0" collapsed="false">
      <c r="C1637" s="98" t="s">
        <v>3409</v>
      </c>
      <c r="D1637" s="98" t="s">
        <v>1724</v>
      </c>
      <c r="E1637" s="98" t="s">
        <v>811</v>
      </c>
      <c r="F1637" s="98" t="n">
        <v>0</v>
      </c>
      <c r="G1637" s="98" t="s">
        <v>3394</v>
      </c>
      <c r="H1637" s="98" t="s">
        <v>1703</v>
      </c>
      <c r="I1637" s="98" t="s">
        <v>1704</v>
      </c>
      <c r="J1637" s="98" t="s">
        <v>1705</v>
      </c>
      <c r="K1637" s="98" t="s">
        <v>1706</v>
      </c>
    </row>
    <row r="1638" customFormat="false" ht="64" hidden="false" customHeight="true" outlineLevel="0" collapsed="false">
      <c r="C1638" s="98" t="s">
        <v>3410</v>
      </c>
      <c r="D1638" s="98" t="s">
        <v>1726</v>
      </c>
      <c r="E1638" s="98" t="s">
        <v>811</v>
      </c>
      <c r="F1638" s="98" t="n">
        <v>0</v>
      </c>
      <c r="G1638" s="98" t="s">
        <v>3394</v>
      </c>
      <c r="H1638" s="98" t="s">
        <v>1703</v>
      </c>
      <c r="I1638" s="98" t="s">
        <v>1704</v>
      </c>
      <c r="J1638" s="98" t="s">
        <v>1705</v>
      </c>
      <c r="K1638" s="98" t="s">
        <v>1706</v>
      </c>
    </row>
    <row r="1639" customFormat="false" ht="64" hidden="false" customHeight="true" outlineLevel="0" collapsed="false">
      <c r="C1639" s="98" t="s">
        <v>3411</v>
      </c>
      <c r="D1639" s="98" t="s">
        <v>1728</v>
      </c>
      <c r="E1639" s="98" t="s">
        <v>811</v>
      </c>
      <c r="F1639" s="98" t="n">
        <v>0</v>
      </c>
      <c r="G1639" s="98" t="s">
        <v>3394</v>
      </c>
      <c r="H1639" s="98" t="s">
        <v>1703</v>
      </c>
      <c r="I1639" s="98" t="s">
        <v>1704</v>
      </c>
      <c r="J1639" s="98" t="s">
        <v>1705</v>
      </c>
      <c r="K1639" s="98" t="s">
        <v>1706</v>
      </c>
    </row>
    <row r="1640" customFormat="false" ht="64" hidden="false" customHeight="true" outlineLevel="0" collapsed="false">
      <c r="C1640" s="98" t="s">
        <v>3412</v>
      </c>
      <c r="D1640" s="98" t="s">
        <v>1730</v>
      </c>
      <c r="E1640" s="98" t="s">
        <v>811</v>
      </c>
      <c r="F1640" s="98" t="n">
        <v>0</v>
      </c>
      <c r="G1640" s="98" t="s">
        <v>3394</v>
      </c>
      <c r="H1640" s="98" t="s">
        <v>1703</v>
      </c>
      <c r="I1640" s="98" t="s">
        <v>1704</v>
      </c>
      <c r="J1640" s="98" t="s">
        <v>1705</v>
      </c>
      <c r="K1640" s="98" t="s">
        <v>1706</v>
      </c>
    </row>
    <row r="1641" customFormat="false" ht="64" hidden="false" customHeight="true" outlineLevel="0" collapsed="false">
      <c r="C1641" s="98" t="s">
        <v>3413</v>
      </c>
      <c r="D1641" s="98" t="s">
        <v>1732</v>
      </c>
      <c r="E1641" s="98" t="s">
        <v>811</v>
      </c>
      <c r="F1641" s="98" t="n">
        <v>0</v>
      </c>
      <c r="G1641" s="98" t="s">
        <v>3394</v>
      </c>
      <c r="H1641" s="98" t="s">
        <v>1703</v>
      </c>
      <c r="I1641" s="98" t="s">
        <v>1704</v>
      </c>
      <c r="J1641" s="98" t="s">
        <v>1705</v>
      </c>
      <c r="K1641" s="98" t="s">
        <v>1706</v>
      </c>
    </row>
    <row r="1642" customFormat="false" ht="64" hidden="false" customHeight="true" outlineLevel="0" collapsed="false">
      <c r="C1642" s="98" t="s">
        <v>3414</v>
      </c>
      <c r="D1642" s="98" t="s">
        <v>1734</v>
      </c>
      <c r="E1642" s="98" t="s">
        <v>811</v>
      </c>
      <c r="F1642" s="98" t="n">
        <v>0</v>
      </c>
      <c r="G1642" s="98" t="s">
        <v>3394</v>
      </c>
      <c r="H1642" s="98" t="s">
        <v>1703</v>
      </c>
      <c r="I1642" s="98" t="s">
        <v>1704</v>
      </c>
      <c r="J1642" s="98" t="s">
        <v>1705</v>
      </c>
      <c r="K1642" s="98" t="s">
        <v>1706</v>
      </c>
    </row>
    <row r="1643" customFormat="false" ht="64" hidden="false" customHeight="true" outlineLevel="0" collapsed="false">
      <c r="C1643" s="98" t="s">
        <v>3415</v>
      </c>
      <c r="D1643" s="98" t="s">
        <v>1736</v>
      </c>
      <c r="E1643" s="98" t="s">
        <v>811</v>
      </c>
      <c r="F1643" s="98" t="n">
        <v>0</v>
      </c>
      <c r="G1643" s="98" t="s">
        <v>3394</v>
      </c>
      <c r="H1643" s="98" t="s">
        <v>1703</v>
      </c>
      <c r="I1643" s="98" t="s">
        <v>1704</v>
      </c>
      <c r="J1643" s="98" t="s">
        <v>1705</v>
      </c>
      <c r="K1643" s="98" t="s">
        <v>1706</v>
      </c>
    </row>
    <row r="1644" customFormat="false" ht="64" hidden="false" customHeight="true" outlineLevel="0" collapsed="false">
      <c r="C1644" s="98" t="s">
        <v>3416</v>
      </c>
      <c r="D1644" s="98" t="s">
        <v>1738</v>
      </c>
      <c r="E1644" s="98" t="s">
        <v>811</v>
      </c>
      <c r="F1644" s="98" t="n">
        <v>0</v>
      </c>
      <c r="G1644" s="98" t="s">
        <v>3394</v>
      </c>
      <c r="H1644" s="98" t="s">
        <v>1703</v>
      </c>
      <c r="I1644" s="98" t="s">
        <v>1704</v>
      </c>
      <c r="J1644" s="98" t="s">
        <v>1705</v>
      </c>
      <c r="K1644" s="98" t="s">
        <v>1706</v>
      </c>
    </row>
    <row r="1645" customFormat="false" ht="64" hidden="false" customHeight="true" outlineLevel="0" collapsed="false">
      <c r="C1645" s="98" t="s">
        <v>3417</v>
      </c>
      <c r="D1645" s="98" t="s">
        <v>1740</v>
      </c>
      <c r="E1645" s="98" t="s">
        <v>811</v>
      </c>
      <c r="F1645" s="98" t="n">
        <v>0</v>
      </c>
      <c r="G1645" s="98" t="s">
        <v>3394</v>
      </c>
      <c r="H1645" s="98" t="s">
        <v>1703</v>
      </c>
      <c r="I1645" s="98" t="s">
        <v>1704</v>
      </c>
      <c r="J1645" s="98" t="s">
        <v>1705</v>
      </c>
      <c r="K1645" s="98" t="s">
        <v>1706</v>
      </c>
    </row>
    <row r="1646" customFormat="false" ht="64" hidden="false" customHeight="true" outlineLevel="0" collapsed="false">
      <c r="C1646" s="98" t="s">
        <v>3418</v>
      </c>
      <c r="D1646" s="98" t="s">
        <v>1742</v>
      </c>
      <c r="E1646" s="98" t="s">
        <v>811</v>
      </c>
      <c r="F1646" s="98" t="n">
        <v>0</v>
      </c>
      <c r="G1646" s="98" t="s">
        <v>3394</v>
      </c>
      <c r="H1646" s="98" t="s">
        <v>1703</v>
      </c>
      <c r="I1646" s="98" t="s">
        <v>1704</v>
      </c>
      <c r="J1646" s="98" t="s">
        <v>1705</v>
      </c>
      <c r="K1646" s="98" t="s">
        <v>1706</v>
      </c>
    </row>
    <row r="1647" customFormat="false" ht="64" hidden="false" customHeight="true" outlineLevel="0" collapsed="false">
      <c r="C1647" s="98" t="s">
        <v>3419</v>
      </c>
      <c r="D1647" s="98" t="s">
        <v>1744</v>
      </c>
      <c r="E1647" s="98" t="s">
        <v>811</v>
      </c>
      <c r="F1647" s="98" t="n">
        <v>0</v>
      </c>
      <c r="G1647" s="98" t="s">
        <v>3394</v>
      </c>
      <c r="H1647" s="98" t="s">
        <v>1703</v>
      </c>
      <c r="I1647" s="98" t="s">
        <v>1704</v>
      </c>
      <c r="J1647" s="98" t="s">
        <v>1705</v>
      </c>
      <c r="K1647" s="98" t="s">
        <v>1706</v>
      </c>
    </row>
    <row r="1648" customFormat="false" ht="64" hidden="false" customHeight="true" outlineLevel="0" collapsed="false">
      <c r="C1648" s="98" t="s">
        <v>3420</v>
      </c>
      <c r="D1648" s="98" t="s">
        <v>1746</v>
      </c>
      <c r="E1648" s="98" t="s">
        <v>811</v>
      </c>
      <c r="F1648" s="98" t="n">
        <v>0</v>
      </c>
      <c r="G1648" s="98" t="s">
        <v>3394</v>
      </c>
      <c r="H1648" s="98" t="s">
        <v>1703</v>
      </c>
      <c r="I1648" s="98" t="s">
        <v>1704</v>
      </c>
      <c r="J1648" s="98" t="s">
        <v>1705</v>
      </c>
      <c r="K1648" s="98" t="s">
        <v>1706</v>
      </c>
    </row>
    <row r="1649" customFormat="false" ht="64" hidden="false" customHeight="true" outlineLevel="0" collapsed="false">
      <c r="C1649" s="98" t="s">
        <v>3421</v>
      </c>
      <c r="D1649" s="98" t="s">
        <v>1748</v>
      </c>
      <c r="E1649" s="98" t="s">
        <v>811</v>
      </c>
      <c r="F1649" s="98" t="n">
        <v>0</v>
      </c>
      <c r="G1649" s="98" t="s">
        <v>3394</v>
      </c>
      <c r="H1649" s="98" t="s">
        <v>1703</v>
      </c>
      <c r="I1649" s="98" t="s">
        <v>1704</v>
      </c>
      <c r="J1649" s="98" t="s">
        <v>1705</v>
      </c>
      <c r="K1649" s="98" t="s">
        <v>1706</v>
      </c>
    </row>
    <row r="1650" customFormat="false" ht="64" hidden="false" customHeight="true" outlineLevel="0" collapsed="false">
      <c r="C1650" s="98" t="s">
        <v>3422</v>
      </c>
      <c r="D1650" s="98" t="s">
        <v>1750</v>
      </c>
      <c r="E1650" s="98" t="s">
        <v>811</v>
      </c>
      <c r="F1650" s="98" t="n">
        <v>0</v>
      </c>
      <c r="G1650" s="98" t="s">
        <v>3394</v>
      </c>
      <c r="H1650" s="98" t="s">
        <v>1703</v>
      </c>
      <c r="I1650" s="98" t="s">
        <v>1704</v>
      </c>
      <c r="J1650" s="98" t="s">
        <v>1705</v>
      </c>
      <c r="K1650" s="98" t="s">
        <v>1706</v>
      </c>
    </row>
    <row r="1651" customFormat="false" ht="64" hidden="false" customHeight="true" outlineLevel="0" collapsed="false">
      <c r="C1651" s="98" t="s">
        <v>3423</v>
      </c>
      <c r="D1651" s="98" t="s">
        <v>1752</v>
      </c>
      <c r="E1651" s="98" t="s">
        <v>811</v>
      </c>
      <c r="F1651" s="98" t="n">
        <v>0</v>
      </c>
      <c r="G1651" s="98" t="s">
        <v>3394</v>
      </c>
      <c r="H1651" s="98" t="s">
        <v>1703</v>
      </c>
      <c r="I1651" s="98" t="s">
        <v>1704</v>
      </c>
      <c r="J1651" s="98" t="s">
        <v>1705</v>
      </c>
      <c r="K1651" s="98" t="s">
        <v>1706</v>
      </c>
    </row>
    <row r="1652" customFormat="false" ht="64" hidden="false" customHeight="true" outlineLevel="0" collapsed="false">
      <c r="C1652" s="98" t="s">
        <v>3424</v>
      </c>
      <c r="D1652" s="98" t="s">
        <v>1754</v>
      </c>
      <c r="E1652" s="98" t="s">
        <v>811</v>
      </c>
      <c r="F1652" s="98" t="n">
        <v>0</v>
      </c>
      <c r="G1652" s="98" t="s">
        <v>3394</v>
      </c>
      <c r="H1652" s="98" t="s">
        <v>1703</v>
      </c>
      <c r="I1652" s="98" t="s">
        <v>1704</v>
      </c>
      <c r="J1652" s="98" t="s">
        <v>1705</v>
      </c>
      <c r="K1652" s="98" t="s">
        <v>1706</v>
      </c>
    </row>
    <row r="1653" customFormat="false" ht="64" hidden="false" customHeight="true" outlineLevel="0" collapsed="false">
      <c r="C1653" s="98" t="s">
        <v>3425</v>
      </c>
      <c r="D1653" s="98" t="s">
        <v>1756</v>
      </c>
      <c r="E1653" s="98" t="s">
        <v>811</v>
      </c>
      <c r="F1653" s="98" t="n">
        <v>0</v>
      </c>
      <c r="G1653" s="98" t="s">
        <v>3394</v>
      </c>
      <c r="H1653" s="98" t="s">
        <v>1703</v>
      </c>
      <c r="I1653" s="98" t="s">
        <v>1704</v>
      </c>
      <c r="J1653" s="98" t="s">
        <v>1705</v>
      </c>
      <c r="K1653" s="98" t="s">
        <v>1706</v>
      </c>
    </row>
    <row r="1654" customFormat="false" ht="64" hidden="false" customHeight="true" outlineLevel="0" collapsed="false">
      <c r="C1654" s="98" t="s">
        <v>3426</v>
      </c>
      <c r="D1654" s="98" t="s">
        <v>1758</v>
      </c>
      <c r="E1654" s="98" t="s">
        <v>811</v>
      </c>
      <c r="F1654" s="98" t="n">
        <v>0</v>
      </c>
      <c r="G1654" s="98" t="s">
        <v>3394</v>
      </c>
      <c r="H1654" s="98" t="s">
        <v>1703</v>
      </c>
      <c r="I1654" s="98" t="s">
        <v>1704</v>
      </c>
      <c r="J1654" s="98" t="s">
        <v>1705</v>
      </c>
      <c r="K1654" s="98" t="s">
        <v>1706</v>
      </c>
    </row>
    <row r="1655" customFormat="false" ht="64" hidden="false" customHeight="true" outlineLevel="0" collapsed="false">
      <c r="C1655" s="98" t="s">
        <v>3427</v>
      </c>
      <c r="D1655" s="98" t="s">
        <v>1760</v>
      </c>
      <c r="E1655" s="98" t="s">
        <v>811</v>
      </c>
      <c r="F1655" s="98" t="n">
        <v>0</v>
      </c>
      <c r="G1655" s="98" t="s">
        <v>3394</v>
      </c>
      <c r="H1655" s="98" t="s">
        <v>1703</v>
      </c>
      <c r="I1655" s="98" t="s">
        <v>1704</v>
      </c>
      <c r="J1655" s="98" t="s">
        <v>1705</v>
      </c>
      <c r="K1655" s="98" t="s">
        <v>1706</v>
      </c>
    </row>
    <row r="1656" customFormat="false" ht="64" hidden="false" customHeight="true" outlineLevel="0" collapsed="false">
      <c r="C1656" s="98" t="s">
        <v>3428</v>
      </c>
      <c r="D1656" s="98" t="s">
        <v>1762</v>
      </c>
      <c r="E1656" s="98" t="s">
        <v>811</v>
      </c>
      <c r="F1656" s="98" t="n">
        <v>0</v>
      </c>
      <c r="G1656" s="98" t="s">
        <v>3394</v>
      </c>
      <c r="H1656" s="98" t="s">
        <v>1703</v>
      </c>
      <c r="I1656" s="98" t="s">
        <v>1704</v>
      </c>
      <c r="J1656" s="98" t="s">
        <v>1705</v>
      </c>
      <c r="K1656" s="98" t="s">
        <v>1706</v>
      </c>
    </row>
    <row r="1657" customFormat="false" ht="64" hidden="false" customHeight="true" outlineLevel="0" collapsed="false">
      <c r="C1657" s="98" t="s">
        <v>3429</v>
      </c>
      <c r="D1657" s="98" t="s">
        <v>1764</v>
      </c>
      <c r="E1657" s="98" t="s">
        <v>811</v>
      </c>
      <c r="F1657" s="98" t="n">
        <v>0</v>
      </c>
      <c r="G1657" s="98" t="s">
        <v>3394</v>
      </c>
      <c r="H1657" s="98" t="s">
        <v>1703</v>
      </c>
      <c r="I1657" s="98" t="s">
        <v>1704</v>
      </c>
      <c r="J1657" s="98" t="s">
        <v>1705</v>
      </c>
      <c r="K1657" s="98" t="s">
        <v>1706</v>
      </c>
    </row>
    <row r="1658" customFormat="false" ht="64" hidden="false" customHeight="true" outlineLevel="0" collapsed="false">
      <c r="C1658" s="98" t="s">
        <v>3430</v>
      </c>
      <c r="D1658" s="98" t="s">
        <v>1829</v>
      </c>
      <c r="E1658" s="98" t="s">
        <v>775</v>
      </c>
      <c r="F1658" s="98" t="n">
        <v>0</v>
      </c>
      <c r="G1658" s="98" t="s">
        <v>3431</v>
      </c>
      <c r="H1658" s="98" t="s">
        <v>3432</v>
      </c>
      <c r="I1658" s="98" t="s">
        <v>1704</v>
      </c>
      <c r="J1658" s="98" t="s">
        <v>1705</v>
      </c>
      <c r="K1658" s="98" t="s">
        <v>1706</v>
      </c>
    </row>
    <row r="1659" customFormat="false" ht="64" hidden="false" customHeight="true" outlineLevel="0" collapsed="false">
      <c r="C1659" s="98" t="s">
        <v>3433</v>
      </c>
      <c r="D1659" s="98" t="s">
        <v>1833</v>
      </c>
      <c r="E1659" s="98" t="s">
        <v>775</v>
      </c>
      <c r="F1659" s="98" t="n">
        <v>0</v>
      </c>
      <c r="G1659" s="98" t="s">
        <v>3431</v>
      </c>
      <c r="H1659" s="98" t="s">
        <v>3432</v>
      </c>
      <c r="I1659" s="98" t="s">
        <v>1704</v>
      </c>
      <c r="J1659" s="98" t="s">
        <v>1705</v>
      </c>
      <c r="K1659" s="98" t="s">
        <v>1706</v>
      </c>
    </row>
    <row r="1660" customFormat="false" ht="64" hidden="false" customHeight="true" outlineLevel="0" collapsed="false">
      <c r="C1660" s="98" t="s">
        <v>3434</v>
      </c>
      <c r="D1660" s="98" t="s">
        <v>1835</v>
      </c>
      <c r="E1660" s="98" t="s">
        <v>775</v>
      </c>
      <c r="F1660" s="98" t="n">
        <v>0</v>
      </c>
      <c r="G1660" s="98" t="s">
        <v>3431</v>
      </c>
      <c r="H1660" s="98" t="s">
        <v>3432</v>
      </c>
      <c r="I1660" s="98" t="s">
        <v>1704</v>
      </c>
      <c r="J1660" s="98" t="s">
        <v>1705</v>
      </c>
      <c r="K1660" s="98" t="s">
        <v>1706</v>
      </c>
    </row>
    <row r="1661" customFormat="false" ht="64" hidden="false" customHeight="true" outlineLevel="0" collapsed="false">
      <c r="C1661" s="98" t="s">
        <v>3435</v>
      </c>
      <c r="D1661" s="98" t="s">
        <v>1044</v>
      </c>
      <c r="E1661" s="98" t="s">
        <v>775</v>
      </c>
      <c r="F1661" s="98" t="n">
        <v>0</v>
      </c>
      <c r="G1661" s="98" t="s">
        <v>3431</v>
      </c>
      <c r="H1661" s="98" t="s">
        <v>3432</v>
      </c>
      <c r="I1661" s="98" t="s">
        <v>1704</v>
      </c>
      <c r="J1661" s="98" t="s">
        <v>1705</v>
      </c>
      <c r="K1661" s="98" t="s">
        <v>1706</v>
      </c>
    </row>
    <row r="1662" customFormat="false" ht="64" hidden="false" customHeight="true" outlineLevel="0" collapsed="false">
      <c r="C1662" s="98" t="s">
        <v>3436</v>
      </c>
      <c r="D1662" s="98" t="s">
        <v>1838</v>
      </c>
      <c r="E1662" s="98" t="s">
        <v>775</v>
      </c>
      <c r="F1662" s="98" t="n">
        <v>0</v>
      </c>
      <c r="G1662" s="98" t="s">
        <v>3431</v>
      </c>
      <c r="H1662" s="98" t="s">
        <v>3432</v>
      </c>
      <c r="I1662" s="98" t="s">
        <v>1704</v>
      </c>
      <c r="J1662" s="98" t="s">
        <v>1705</v>
      </c>
      <c r="K1662" s="98" t="s">
        <v>1706</v>
      </c>
    </row>
    <row r="1663" customFormat="false" ht="64" hidden="false" customHeight="true" outlineLevel="0" collapsed="false">
      <c r="C1663" s="98" t="s">
        <v>3437</v>
      </c>
      <c r="D1663" s="98" t="s">
        <v>1840</v>
      </c>
      <c r="E1663" s="98" t="s">
        <v>775</v>
      </c>
      <c r="F1663" s="98" t="n">
        <v>0</v>
      </c>
      <c r="G1663" s="98" t="s">
        <v>3431</v>
      </c>
      <c r="H1663" s="98" t="s">
        <v>3432</v>
      </c>
      <c r="I1663" s="98" t="s">
        <v>1704</v>
      </c>
      <c r="J1663" s="98" t="s">
        <v>1705</v>
      </c>
      <c r="K1663" s="98" t="s">
        <v>1706</v>
      </c>
    </row>
    <row r="1664" customFormat="false" ht="64" hidden="false" customHeight="true" outlineLevel="0" collapsed="false">
      <c r="C1664" s="98" t="s">
        <v>3438</v>
      </c>
      <c r="D1664" s="98" t="s">
        <v>1700</v>
      </c>
      <c r="E1664" s="98" t="s">
        <v>775</v>
      </c>
      <c r="F1664" s="98" t="n">
        <v>0</v>
      </c>
      <c r="G1664" s="98" t="s">
        <v>3431</v>
      </c>
      <c r="H1664" s="98" t="s">
        <v>3432</v>
      </c>
      <c r="I1664" s="98" t="s">
        <v>1704</v>
      </c>
      <c r="J1664" s="98" t="s">
        <v>1705</v>
      </c>
      <c r="K1664" s="98" t="s">
        <v>1706</v>
      </c>
    </row>
    <row r="1665" customFormat="false" ht="64" hidden="false" customHeight="true" outlineLevel="0" collapsed="false">
      <c r="C1665" s="98" t="s">
        <v>3439</v>
      </c>
      <c r="D1665" s="98" t="s">
        <v>1708</v>
      </c>
      <c r="E1665" s="98" t="s">
        <v>775</v>
      </c>
      <c r="F1665" s="98" t="n">
        <v>0</v>
      </c>
      <c r="G1665" s="98" t="s">
        <v>3431</v>
      </c>
      <c r="H1665" s="98" t="s">
        <v>3432</v>
      </c>
      <c r="I1665" s="98" t="s">
        <v>1704</v>
      </c>
      <c r="J1665" s="98" t="s">
        <v>1705</v>
      </c>
      <c r="K1665" s="98" t="s">
        <v>1706</v>
      </c>
    </row>
    <row r="1666" customFormat="false" ht="64" hidden="false" customHeight="true" outlineLevel="0" collapsed="false">
      <c r="C1666" s="98" t="s">
        <v>3440</v>
      </c>
      <c r="D1666" s="98" t="s">
        <v>1710</v>
      </c>
      <c r="E1666" s="98" t="s">
        <v>775</v>
      </c>
      <c r="F1666" s="98" t="n">
        <v>0</v>
      </c>
      <c r="G1666" s="98" t="s">
        <v>3431</v>
      </c>
      <c r="H1666" s="98" t="s">
        <v>3432</v>
      </c>
      <c r="I1666" s="98" t="s">
        <v>1704</v>
      </c>
      <c r="J1666" s="98" t="s">
        <v>1705</v>
      </c>
      <c r="K1666" s="98" t="s">
        <v>1706</v>
      </c>
    </row>
    <row r="1667" customFormat="false" ht="64" hidden="false" customHeight="true" outlineLevel="0" collapsed="false">
      <c r="C1667" s="98" t="s">
        <v>3441</v>
      </c>
      <c r="D1667" s="98" t="s">
        <v>1712</v>
      </c>
      <c r="E1667" s="98" t="s">
        <v>775</v>
      </c>
      <c r="F1667" s="98" t="n">
        <v>0</v>
      </c>
      <c r="G1667" s="98" t="s">
        <v>3431</v>
      </c>
      <c r="H1667" s="98" t="s">
        <v>3432</v>
      </c>
      <c r="I1667" s="98" t="s">
        <v>1704</v>
      </c>
      <c r="J1667" s="98" t="s">
        <v>1705</v>
      </c>
      <c r="K1667" s="98" t="s">
        <v>1706</v>
      </c>
    </row>
    <row r="1668" customFormat="false" ht="64" hidden="false" customHeight="true" outlineLevel="0" collapsed="false">
      <c r="C1668" s="98" t="s">
        <v>3442</v>
      </c>
      <c r="D1668" s="98" t="s">
        <v>1714</v>
      </c>
      <c r="E1668" s="98" t="s">
        <v>775</v>
      </c>
      <c r="F1668" s="98" t="n">
        <v>0</v>
      </c>
      <c r="G1668" s="98" t="s">
        <v>3431</v>
      </c>
      <c r="H1668" s="98" t="s">
        <v>3432</v>
      </c>
      <c r="I1668" s="98" t="s">
        <v>1704</v>
      </c>
      <c r="J1668" s="98" t="s">
        <v>1705</v>
      </c>
      <c r="K1668" s="98" t="s">
        <v>1706</v>
      </c>
    </row>
    <row r="1669" customFormat="false" ht="64" hidden="false" customHeight="true" outlineLevel="0" collapsed="false">
      <c r="C1669" s="98" t="s">
        <v>3443</v>
      </c>
      <c r="D1669" s="98" t="s">
        <v>1716</v>
      </c>
      <c r="E1669" s="98" t="s">
        <v>775</v>
      </c>
      <c r="F1669" s="98" t="n">
        <v>0</v>
      </c>
      <c r="G1669" s="98" t="s">
        <v>3431</v>
      </c>
      <c r="H1669" s="98" t="s">
        <v>3432</v>
      </c>
      <c r="I1669" s="98" t="s">
        <v>1704</v>
      </c>
      <c r="J1669" s="98" t="s">
        <v>1705</v>
      </c>
      <c r="K1669" s="98" t="s">
        <v>1706</v>
      </c>
    </row>
    <row r="1670" customFormat="false" ht="64" hidden="false" customHeight="true" outlineLevel="0" collapsed="false">
      <c r="C1670" s="98" t="s">
        <v>3444</v>
      </c>
      <c r="D1670" s="98" t="s">
        <v>1718</v>
      </c>
      <c r="E1670" s="98" t="s">
        <v>775</v>
      </c>
      <c r="F1670" s="98" t="n">
        <v>0</v>
      </c>
      <c r="G1670" s="98" t="s">
        <v>3431</v>
      </c>
      <c r="H1670" s="98" t="s">
        <v>3432</v>
      </c>
      <c r="I1670" s="98" t="s">
        <v>1704</v>
      </c>
      <c r="J1670" s="98" t="s">
        <v>1705</v>
      </c>
      <c r="K1670" s="98" t="s">
        <v>1706</v>
      </c>
    </row>
    <row r="1671" customFormat="false" ht="64" hidden="false" customHeight="true" outlineLevel="0" collapsed="false">
      <c r="C1671" s="98" t="s">
        <v>3445</v>
      </c>
      <c r="D1671" s="98" t="s">
        <v>1720</v>
      </c>
      <c r="E1671" s="98" t="s">
        <v>775</v>
      </c>
      <c r="F1671" s="98" t="n">
        <v>0</v>
      </c>
      <c r="G1671" s="98" t="s">
        <v>3431</v>
      </c>
      <c r="H1671" s="98" t="s">
        <v>3432</v>
      </c>
      <c r="I1671" s="98" t="s">
        <v>1704</v>
      </c>
      <c r="J1671" s="98" t="s">
        <v>1705</v>
      </c>
      <c r="K1671" s="98" t="s">
        <v>1706</v>
      </c>
    </row>
    <row r="1672" customFormat="false" ht="64" hidden="false" customHeight="true" outlineLevel="0" collapsed="false">
      <c r="C1672" s="98" t="s">
        <v>3446</v>
      </c>
      <c r="D1672" s="98" t="s">
        <v>1722</v>
      </c>
      <c r="E1672" s="98" t="s">
        <v>775</v>
      </c>
      <c r="F1672" s="98" t="n">
        <v>0</v>
      </c>
      <c r="G1672" s="98" t="s">
        <v>3431</v>
      </c>
      <c r="H1672" s="98" t="s">
        <v>3432</v>
      </c>
      <c r="I1672" s="98" t="s">
        <v>1704</v>
      </c>
      <c r="J1672" s="98" t="s">
        <v>1705</v>
      </c>
      <c r="K1672" s="98" t="s">
        <v>1706</v>
      </c>
    </row>
    <row r="1673" customFormat="false" ht="64" hidden="false" customHeight="true" outlineLevel="0" collapsed="false">
      <c r="C1673" s="98" t="s">
        <v>3447</v>
      </c>
      <c r="D1673" s="98" t="s">
        <v>1724</v>
      </c>
      <c r="E1673" s="98" t="s">
        <v>775</v>
      </c>
      <c r="F1673" s="98" t="n">
        <v>0</v>
      </c>
      <c r="G1673" s="98" t="s">
        <v>3431</v>
      </c>
      <c r="H1673" s="98" t="s">
        <v>3432</v>
      </c>
      <c r="I1673" s="98" t="s">
        <v>1704</v>
      </c>
      <c r="J1673" s="98" t="s">
        <v>1705</v>
      </c>
      <c r="K1673" s="98" t="s">
        <v>1706</v>
      </c>
    </row>
    <row r="1674" customFormat="false" ht="64" hidden="false" customHeight="true" outlineLevel="0" collapsed="false">
      <c r="C1674" s="98" t="s">
        <v>3448</v>
      </c>
      <c r="D1674" s="98" t="s">
        <v>1726</v>
      </c>
      <c r="E1674" s="98" t="s">
        <v>775</v>
      </c>
      <c r="F1674" s="98" t="n">
        <v>0</v>
      </c>
      <c r="G1674" s="98" t="s">
        <v>3431</v>
      </c>
      <c r="H1674" s="98" t="s">
        <v>3432</v>
      </c>
      <c r="I1674" s="98" t="s">
        <v>1704</v>
      </c>
      <c r="J1674" s="98" t="s">
        <v>1705</v>
      </c>
      <c r="K1674" s="98" t="s">
        <v>1706</v>
      </c>
    </row>
    <row r="1675" customFormat="false" ht="64" hidden="false" customHeight="true" outlineLevel="0" collapsed="false">
      <c r="C1675" s="98" t="s">
        <v>3449</v>
      </c>
      <c r="D1675" s="98" t="s">
        <v>1728</v>
      </c>
      <c r="E1675" s="98" t="s">
        <v>775</v>
      </c>
      <c r="F1675" s="98" t="n">
        <v>0</v>
      </c>
      <c r="G1675" s="98" t="s">
        <v>3431</v>
      </c>
      <c r="H1675" s="98" t="s">
        <v>3432</v>
      </c>
      <c r="I1675" s="98" t="s">
        <v>1704</v>
      </c>
      <c r="J1675" s="98" t="s">
        <v>1705</v>
      </c>
      <c r="K1675" s="98" t="s">
        <v>1706</v>
      </c>
    </row>
    <row r="1676" customFormat="false" ht="64" hidden="false" customHeight="true" outlineLevel="0" collapsed="false">
      <c r="C1676" s="98" t="s">
        <v>3450</v>
      </c>
      <c r="D1676" s="98" t="s">
        <v>1730</v>
      </c>
      <c r="E1676" s="98" t="s">
        <v>775</v>
      </c>
      <c r="F1676" s="98" t="n">
        <v>0</v>
      </c>
      <c r="G1676" s="98" t="s">
        <v>3431</v>
      </c>
      <c r="H1676" s="98" t="s">
        <v>3432</v>
      </c>
      <c r="I1676" s="98" t="s">
        <v>1704</v>
      </c>
      <c r="J1676" s="98" t="s">
        <v>1705</v>
      </c>
      <c r="K1676" s="98" t="s">
        <v>1706</v>
      </c>
    </row>
    <row r="1677" customFormat="false" ht="64" hidden="false" customHeight="true" outlineLevel="0" collapsed="false">
      <c r="C1677" s="98" t="s">
        <v>3451</v>
      </c>
      <c r="D1677" s="98" t="s">
        <v>1732</v>
      </c>
      <c r="E1677" s="98" t="s">
        <v>775</v>
      </c>
      <c r="F1677" s="98" t="n">
        <v>0</v>
      </c>
      <c r="G1677" s="98" t="s">
        <v>3431</v>
      </c>
      <c r="H1677" s="98" t="s">
        <v>3432</v>
      </c>
      <c r="I1677" s="98" t="s">
        <v>1704</v>
      </c>
      <c r="J1677" s="98" t="s">
        <v>1705</v>
      </c>
      <c r="K1677" s="98" t="s">
        <v>1706</v>
      </c>
    </row>
    <row r="1678" customFormat="false" ht="64" hidden="false" customHeight="true" outlineLevel="0" collapsed="false">
      <c r="C1678" s="98" t="s">
        <v>3452</v>
      </c>
      <c r="D1678" s="98" t="s">
        <v>1734</v>
      </c>
      <c r="E1678" s="98" t="s">
        <v>775</v>
      </c>
      <c r="F1678" s="98" t="n">
        <v>0</v>
      </c>
      <c r="G1678" s="98" t="s">
        <v>3431</v>
      </c>
      <c r="H1678" s="98" t="s">
        <v>3432</v>
      </c>
      <c r="I1678" s="98" t="s">
        <v>1704</v>
      </c>
      <c r="J1678" s="98" t="s">
        <v>1705</v>
      </c>
      <c r="K1678" s="98" t="s">
        <v>1706</v>
      </c>
    </row>
    <row r="1679" customFormat="false" ht="64" hidden="false" customHeight="true" outlineLevel="0" collapsed="false">
      <c r="C1679" s="98" t="s">
        <v>3453</v>
      </c>
      <c r="D1679" s="98" t="s">
        <v>1736</v>
      </c>
      <c r="E1679" s="98" t="s">
        <v>775</v>
      </c>
      <c r="F1679" s="98" t="n">
        <v>0</v>
      </c>
      <c r="G1679" s="98" t="s">
        <v>3431</v>
      </c>
      <c r="H1679" s="98" t="s">
        <v>3432</v>
      </c>
      <c r="I1679" s="98" t="s">
        <v>1704</v>
      </c>
      <c r="J1679" s="98" t="s">
        <v>1705</v>
      </c>
      <c r="K1679" s="98" t="s">
        <v>1706</v>
      </c>
    </row>
    <row r="1680" customFormat="false" ht="64" hidden="false" customHeight="true" outlineLevel="0" collapsed="false">
      <c r="C1680" s="98" t="s">
        <v>3454</v>
      </c>
      <c r="D1680" s="98" t="s">
        <v>1738</v>
      </c>
      <c r="E1680" s="98" t="s">
        <v>775</v>
      </c>
      <c r="F1680" s="98" t="n">
        <v>0</v>
      </c>
      <c r="G1680" s="98" t="s">
        <v>3431</v>
      </c>
      <c r="H1680" s="98" t="s">
        <v>3432</v>
      </c>
      <c r="I1680" s="98" t="s">
        <v>1704</v>
      </c>
      <c r="J1680" s="98" t="s">
        <v>1705</v>
      </c>
      <c r="K1680" s="98" t="s">
        <v>1706</v>
      </c>
    </row>
    <row r="1681" customFormat="false" ht="64" hidden="false" customHeight="true" outlineLevel="0" collapsed="false">
      <c r="C1681" s="98" t="s">
        <v>3455</v>
      </c>
      <c r="D1681" s="98" t="s">
        <v>1740</v>
      </c>
      <c r="E1681" s="98" t="s">
        <v>775</v>
      </c>
      <c r="F1681" s="98" t="n">
        <v>0</v>
      </c>
      <c r="G1681" s="98" t="s">
        <v>3431</v>
      </c>
      <c r="H1681" s="98" t="s">
        <v>3432</v>
      </c>
      <c r="I1681" s="98" t="s">
        <v>1704</v>
      </c>
      <c r="J1681" s="98" t="s">
        <v>1705</v>
      </c>
      <c r="K1681" s="98" t="s">
        <v>1706</v>
      </c>
    </row>
    <row r="1682" customFormat="false" ht="64" hidden="false" customHeight="true" outlineLevel="0" collapsed="false">
      <c r="C1682" s="98" t="s">
        <v>3456</v>
      </c>
      <c r="D1682" s="98" t="s">
        <v>1742</v>
      </c>
      <c r="E1682" s="98" t="s">
        <v>775</v>
      </c>
      <c r="F1682" s="98" t="n">
        <v>0</v>
      </c>
      <c r="G1682" s="98" t="s">
        <v>3431</v>
      </c>
      <c r="H1682" s="98" t="s">
        <v>3432</v>
      </c>
      <c r="I1682" s="98" t="s">
        <v>1704</v>
      </c>
      <c r="J1682" s="98" t="s">
        <v>1705</v>
      </c>
      <c r="K1682" s="98" t="s">
        <v>1706</v>
      </c>
    </row>
    <row r="1683" customFormat="false" ht="64" hidden="false" customHeight="true" outlineLevel="0" collapsed="false">
      <c r="C1683" s="98" t="s">
        <v>3457</v>
      </c>
      <c r="D1683" s="98" t="s">
        <v>1744</v>
      </c>
      <c r="E1683" s="98" t="s">
        <v>775</v>
      </c>
      <c r="F1683" s="98" t="n">
        <v>0</v>
      </c>
      <c r="G1683" s="98" t="s">
        <v>3431</v>
      </c>
      <c r="H1683" s="98" t="s">
        <v>3432</v>
      </c>
      <c r="I1683" s="98" t="s">
        <v>1704</v>
      </c>
      <c r="J1683" s="98" t="s">
        <v>1705</v>
      </c>
      <c r="K1683" s="98" t="s">
        <v>1706</v>
      </c>
    </row>
    <row r="1684" customFormat="false" ht="64" hidden="false" customHeight="true" outlineLevel="0" collapsed="false">
      <c r="C1684" s="98" t="s">
        <v>3458</v>
      </c>
      <c r="D1684" s="98" t="s">
        <v>1746</v>
      </c>
      <c r="E1684" s="98" t="s">
        <v>775</v>
      </c>
      <c r="F1684" s="98" t="n">
        <v>0</v>
      </c>
      <c r="G1684" s="98" t="s">
        <v>3431</v>
      </c>
      <c r="H1684" s="98" t="s">
        <v>3432</v>
      </c>
      <c r="I1684" s="98" t="s">
        <v>1704</v>
      </c>
      <c r="J1684" s="98" t="s">
        <v>1705</v>
      </c>
      <c r="K1684" s="98" t="s">
        <v>1706</v>
      </c>
    </row>
    <row r="1685" customFormat="false" ht="64" hidden="false" customHeight="true" outlineLevel="0" collapsed="false">
      <c r="C1685" s="98" t="s">
        <v>3459</v>
      </c>
      <c r="D1685" s="98" t="s">
        <v>1748</v>
      </c>
      <c r="E1685" s="98" t="s">
        <v>775</v>
      </c>
      <c r="F1685" s="98" t="n">
        <v>0</v>
      </c>
      <c r="G1685" s="98" t="s">
        <v>3431</v>
      </c>
      <c r="H1685" s="98" t="s">
        <v>3432</v>
      </c>
      <c r="I1685" s="98" t="s">
        <v>1704</v>
      </c>
      <c r="J1685" s="98" t="s">
        <v>1705</v>
      </c>
      <c r="K1685" s="98" t="s">
        <v>1706</v>
      </c>
    </row>
    <row r="1686" customFormat="false" ht="64" hidden="false" customHeight="true" outlineLevel="0" collapsed="false">
      <c r="C1686" s="98" t="s">
        <v>3460</v>
      </c>
      <c r="D1686" s="98" t="s">
        <v>1750</v>
      </c>
      <c r="E1686" s="98" t="s">
        <v>775</v>
      </c>
      <c r="F1686" s="98" t="n">
        <v>0</v>
      </c>
      <c r="G1686" s="98" t="s">
        <v>3431</v>
      </c>
      <c r="H1686" s="98" t="s">
        <v>3432</v>
      </c>
      <c r="I1686" s="98" t="s">
        <v>1704</v>
      </c>
      <c r="J1686" s="98" t="s">
        <v>1705</v>
      </c>
      <c r="K1686" s="98" t="s">
        <v>1706</v>
      </c>
    </row>
    <row r="1687" customFormat="false" ht="64" hidden="false" customHeight="true" outlineLevel="0" collapsed="false">
      <c r="C1687" s="98" t="s">
        <v>3461</v>
      </c>
      <c r="D1687" s="98" t="s">
        <v>1752</v>
      </c>
      <c r="E1687" s="98" t="s">
        <v>775</v>
      </c>
      <c r="F1687" s="98" t="n">
        <v>0</v>
      </c>
      <c r="G1687" s="98" t="s">
        <v>3431</v>
      </c>
      <c r="H1687" s="98" t="s">
        <v>3432</v>
      </c>
      <c r="I1687" s="98" t="s">
        <v>1704</v>
      </c>
      <c r="J1687" s="98" t="s">
        <v>1705</v>
      </c>
      <c r="K1687" s="98" t="s">
        <v>1706</v>
      </c>
    </row>
    <row r="1688" customFormat="false" ht="64" hidden="false" customHeight="true" outlineLevel="0" collapsed="false">
      <c r="C1688" s="98" t="s">
        <v>3462</v>
      </c>
      <c r="D1688" s="98" t="s">
        <v>1754</v>
      </c>
      <c r="E1688" s="98" t="s">
        <v>775</v>
      </c>
      <c r="F1688" s="98" t="n">
        <v>0</v>
      </c>
      <c r="G1688" s="98" t="s">
        <v>3431</v>
      </c>
      <c r="H1688" s="98" t="s">
        <v>3432</v>
      </c>
      <c r="I1688" s="98" t="s">
        <v>1704</v>
      </c>
      <c r="J1688" s="98" t="s">
        <v>1705</v>
      </c>
      <c r="K1688" s="98" t="s">
        <v>1706</v>
      </c>
    </row>
    <row r="1689" customFormat="false" ht="64" hidden="false" customHeight="true" outlineLevel="0" collapsed="false">
      <c r="C1689" s="98" t="s">
        <v>3463</v>
      </c>
      <c r="D1689" s="98" t="s">
        <v>1756</v>
      </c>
      <c r="E1689" s="98" t="s">
        <v>775</v>
      </c>
      <c r="F1689" s="98" t="n">
        <v>0</v>
      </c>
      <c r="G1689" s="98" t="s">
        <v>3431</v>
      </c>
      <c r="H1689" s="98" t="s">
        <v>3432</v>
      </c>
      <c r="I1689" s="98" t="s">
        <v>1704</v>
      </c>
      <c r="J1689" s="98" t="s">
        <v>1705</v>
      </c>
      <c r="K1689" s="98" t="s">
        <v>1706</v>
      </c>
    </row>
    <row r="1690" customFormat="false" ht="64" hidden="false" customHeight="true" outlineLevel="0" collapsed="false">
      <c r="C1690" s="98" t="s">
        <v>3464</v>
      </c>
      <c r="D1690" s="98" t="s">
        <v>1758</v>
      </c>
      <c r="E1690" s="98" t="s">
        <v>775</v>
      </c>
      <c r="F1690" s="98" t="n">
        <v>0</v>
      </c>
      <c r="G1690" s="98" t="s">
        <v>3431</v>
      </c>
      <c r="H1690" s="98" t="s">
        <v>3432</v>
      </c>
      <c r="I1690" s="98" t="s">
        <v>1704</v>
      </c>
      <c r="J1690" s="98" t="s">
        <v>1705</v>
      </c>
      <c r="K1690" s="98" t="s">
        <v>1706</v>
      </c>
    </row>
    <row r="1691" customFormat="false" ht="64" hidden="false" customHeight="true" outlineLevel="0" collapsed="false">
      <c r="C1691" s="98" t="s">
        <v>3465</v>
      </c>
      <c r="D1691" s="98" t="s">
        <v>1760</v>
      </c>
      <c r="E1691" s="98" t="s">
        <v>775</v>
      </c>
      <c r="F1691" s="98" t="n">
        <v>0</v>
      </c>
      <c r="G1691" s="98" t="s">
        <v>3431</v>
      </c>
      <c r="H1691" s="98" t="s">
        <v>3432</v>
      </c>
      <c r="I1691" s="98" t="s">
        <v>1704</v>
      </c>
      <c r="J1691" s="98" t="s">
        <v>1705</v>
      </c>
      <c r="K1691" s="98" t="s">
        <v>1706</v>
      </c>
    </row>
    <row r="1692" customFormat="false" ht="64" hidden="false" customHeight="true" outlineLevel="0" collapsed="false">
      <c r="C1692" s="98" t="s">
        <v>3466</v>
      </c>
      <c r="D1692" s="98" t="s">
        <v>1762</v>
      </c>
      <c r="E1692" s="98" t="s">
        <v>775</v>
      </c>
      <c r="F1692" s="98" t="n">
        <v>0</v>
      </c>
      <c r="G1692" s="98" t="s">
        <v>3431</v>
      </c>
      <c r="H1692" s="98" t="s">
        <v>3432</v>
      </c>
      <c r="I1692" s="98" t="s">
        <v>1704</v>
      </c>
      <c r="J1692" s="98" t="s">
        <v>1705</v>
      </c>
      <c r="K1692" s="98" t="s">
        <v>1706</v>
      </c>
    </row>
    <row r="1693" customFormat="false" ht="64" hidden="false" customHeight="true" outlineLevel="0" collapsed="false">
      <c r="C1693" s="98" t="s">
        <v>3467</v>
      </c>
      <c r="D1693" s="98" t="s">
        <v>1764</v>
      </c>
      <c r="E1693" s="98" t="s">
        <v>775</v>
      </c>
      <c r="F1693" s="98" t="n">
        <v>0</v>
      </c>
      <c r="G1693" s="98" t="s">
        <v>3431</v>
      </c>
      <c r="H1693" s="98" t="s">
        <v>3432</v>
      </c>
      <c r="I1693" s="98" t="s">
        <v>1704</v>
      </c>
      <c r="J1693" s="98" t="s">
        <v>1705</v>
      </c>
      <c r="K1693" s="98" t="s">
        <v>1706</v>
      </c>
    </row>
    <row r="1694" customFormat="false" ht="64" hidden="false" customHeight="true" outlineLevel="0" collapsed="false">
      <c r="C1694" s="98" t="s">
        <v>3468</v>
      </c>
      <c r="D1694" s="98" t="s">
        <v>1829</v>
      </c>
      <c r="E1694" s="98" t="s">
        <v>775</v>
      </c>
      <c r="F1694" s="98" t="n">
        <v>0</v>
      </c>
      <c r="G1694" s="98" t="s">
        <v>3469</v>
      </c>
      <c r="H1694" s="98" t="s">
        <v>3432</v>
      </c>
      <c r="I1694" s="98" t="s">
        <v>1704</v>
      </c>
      <c r="J1694" s="98" t="s">
        <v>1705</v>
      </c>
      <c r="K1694" s="98" t="s">
        <v>1706</v>
      </c>
    </row>
    <row r="1695" customFormat="false" ht="64" hidden="false" customHeight="true" outlineLevel="0" collapsed="false">
      <c r="C1695" s="98" t="s">
        <v>3470</v>
      </c>
      <c r="D1695" s="98" t="s">
        <v>1833</v>
      </c>
      <c r="E1695" s="98" t="s">
        <v>775</v>
      </c>
      <c r="F1695" s="98" t="n">
        <v>0</v>
      </c>
      <c r="G1695" s="98" t="s">
        <v>3469</v>
      </c>
      <c r="H1695" s="98" t="s">
        <v>3432</v>
      </c>
      <c r="I1695" s="98" t="s">
        <v>1704</v>
      </c>
      <c r="J1695" s="98" t="s">
        <v>1705</v>
      </c>
      <c r="K1695" s="98" t="s">
        <v>1706</v>
      </c>
    </row>
    <row r="1696" customFormat="false" ht="64" hidden="false" customHeight="true" outlineLevel="0" collapsed="false">
      <c r="C1696" s="98" t="s">
        <v>3471</v>
      </c>
      <c r="D1696" s="98" t="s">
        <v>1835</v>
      </c>
      <c r="E1696" s="98" t="s">
        <v>775</v>
      </c>
      <c r="F1696" s="98" t="n">
        <v>0</v>
      </c>
      <c r="G1696" s="98" t="s">
        <v>3469</v>
      </c>
      <c r="H1696" s="98" t="s">
        <v>3432</v>
      </c>
      <c r="I1696" s="98" t="s">
        <v>1704</v>
      </c>
      <c r="J1696" s="98" t="s">
        <v>1705</v>
      </c>
      <c r="K1696" s="98" t="s">
        <v>1706</v>
      </c>
    </row>
    <row r="1697" customFormat="false" ht="64" hidden="false" customHeight="true" outlineLevel="0" collapsed="false">
      <c r="C1697" s="98" t="s">
        <v>3472</v>
      </c>
      <c r="D1697" s="98" t="s">
        <v>1044</v>
      </c>
      <c r="E1697" s="98" t="s">
        <v>775</v>
      </c>
      <c r="F1697" s="98" t="n">
        <v>0</v>
      </c>
      <c r="G1697" s="98" t="s">
        <v>3469</v>
      </c>
      <c r="H1697" s="98" t="s">
        <v>3432</v>
      </c>
      <c r="I1697" s="98" t="s">
        <v>1704</v>
      </c>
      <c r="J1697" s="98" t="s">
        <v>1705</v>
      </c>
      <c r="K1697" s="98" t="s">
        <v>1706</v>
      </c>
    </row>
    <row r="1698" customFormat="false" ht="64" hidden="false" customHeight="true" outlineLevel="0" collapsed="false">
      <c r="C1698" s="98" t="s">
        <v>3473</v>
      </c>
      <c r="D1698" s="98" t="s">
        <v>1838</v>
      </c>
      <c r="E1698" s="98" t="s">
        <v>775</v>
      </c>
      <c r="F1698" s="98" t="n">
        <v>0</v>
      </c>
      <c r="G1698" s="98" t="s">
        <v>3469</v>
      </c>
      <c r="H1698" s="98" t="s">
        <v>3432</v>
      </c>
      <c r="I1698" s="98" t="s">
        <v>1704</v>
      </c>
      <c r="J1698" s="98" t="s">
        <v>1705</v>
      </c>
      <c r="K1698" s="98" t="s">
        <v>1706</v>
      </c>
    </row>
    <row r="1699" customFormat="false" ht="64" hidden="false" customHeight="true" outlineLevel="0" collapsed="false">
      <c r="C1699" s="98" t="s">
        <v>3474</v>
      </c>
      <c r="D1699" s="98" t="s">
        <v>1840</v>
      </c>
      <c r="E1699" s="98" t="s">
        <v>775</v>
      </c>
      <c r="F1699" s="98" t="n">
        <v>0</v>
      </c>
      <c r="G1699" s="98" t="s">
        <v>3469</v>
      </c>
      <c r="H1699" s="98" t="s">
        <v>3432</v>
      </c>
      <c r="I1699" s="98" t="s">
        <v>1704</v>
      </c>
      <c r="J1699" s="98" t="s">
        <v>1705</v>
      </c>
      <c r="K1699" s="98" t="s">
        <v>1706</v>
      </c>
    </row>
    <row r="1700" customFormat="false" ht="64" hidden="false" customHeight="true" outlineLevel="0" collapsed="false">
      <c r="C1700" s="98" t="s">
        <v>3475</v>
      </c>
      <c r="D1700" s="98" t="s">
        <v>1700</v>
      </c>
      <c r="E1700" s="98" t="s">
        <v>775</v>
      </c>
      <c r="F1700" s="98" t="n">
        <v>0</v>
      </c>
      <c r="G1700" s="98" t="s">
        <v>3469</v>
      </c>
      <c r="H1700" s="98" t="s">
        <v>3432</v>
      </c>
      <c r="I1700" s="98" t="s">
        <v>1704</v>
      </c>
      <c r="J1700" s="98" t="s">
        <v>1705</v>
      </c>
      <c r="K1700" s="98" t="s">
        <v>1706</v>
      </c>
    </row>
    <row r="1701" customFormat="false" ht="64" hidden="false" customHeight="true" outlineLevel="0" collapsed="false">
      <c r="C1701" s="98" t="s">
        <v>3476</v>
      </c>
      <c r="D1701" s="98" t="s">
        <v>1708</v>
      </c>
      <c r="E1701" s="98" t="s">
        <v>775</v>
      </c>
      <c r="F1701" s="98" t="n">
        <v>0</v>
      </c>
      <c r="G1701" s="98" t="s">
        <v>3469</v>
      </c>
      <c r="H1701" s="98" t="s">
        <v>3432</v>
      </c>
      <c r="I1701" s="98" t="s">
        <v>1704</v>
      </c>
      <c r="J1701" s="98" t="s">
        <v>1705</v>
      </c>
      <c r="K1701" s="98" t="s">
        <v>1706</v>
      </c>
    </row>
    <row r="1702" customFormat="false" ht="64" hidden="false" customHeight="true" outlineLevel="0" collapsed="false">
      <c r="C1702" s="98" t="s">
        <v>3477</v>
      </c>
      <c r="D1702" s="98" t="s">
        <v>1710</v>
      </c>
      <c r="E1702" s="98" t="s">
        <v>775</v>
      </c>
      <c r="F1702" s="98" t="n">
        <v>0</v>
      </c>
      <c r="G1702" s="98" t="s">
        <v>3469</v>
      </c>
      <c r="H1702" s="98" t="s">
        <v>3432</v>
      </c>
      <c r="I1702" s="98" t="s">
        <v>1704</v>
      </c>
      <c r="J1702" s="98" t="s">
        <v>1705</v>
      </c>
      <c r="K1702" s="98" t="s">
        <v>1706</v>
      </c>
    </row>
    <row r="1703" customFormat="false" ht="64" hidden="false" customHeight="true" outlineLevel="0" collapsed="false">
      <c r="C1703" s="98" t="s">
        <v>3478</v>
      </c>
      <c r="D1703" s="98" t="s">
        <v>1712</v>
      </c>
      <c r="E1703" s="98" t="s">
        <v>775</v>
      </c>
      <c r="F1703" s="98" t="n">
        <v>0</v>
      </c>
      <c r="G1703" s="98" t="s">
        <v>3469</v>
      </c>
      <c r="H1703" s="98" t="s">
        <v>3432</v>
      </c>
      <c r="I1703" s="98" t="s">
        <v>1704</v>
      </c>
      <c r="J1703" s="98" t="s">
        <v>1705</v>
      </c>
      <c r="K1703" s="98" t="s">
        <v>1706</v>
      </c>
    </row>
    <row r="1704" customFormat="false" ht="64" hidden="false" customHeight="true" outlineLevel="0" collapsed="false">
      <c r="C1704" s="98" t="s">
        <v>3479</v>
      </c>
      <c r="D1704" s="98" t="s">
        <v>1714</v>
      </c>
      <c r="E1704" s="98" t="s">
        <v>775</v>
      </c>
      <c r="F1704" s="98" t="n">
        <v>0</v>
      </c>
      <c r="G1704" s="98" t="s">
        <v>3469</v>
      </c>
      <c r="H1704" s="98" t="s">
        <v>3432</v>
      </c>
      <c r="I1704" s="98" t="s">
        <v>1704</v>
      </c>
      <c r="J1704" s="98" t="s">
        <v>1705</v>
      </c>
      <c r="K1704" s="98" t="s">
        <v>1706</v>
      </c>
    </row>
    <row r="1705" customFormat="false" ht="64" hidden="false" customHeight="true" outlineLevel="0" collapsed="false">
      <c r="C1705" s="98" t="s">
        <v>3480</v>
      </c>
      <c r="D1705" s="98" t="s">
        <v>1716</v>
      </c>
      <c r="E1705" s="98" t="s">
        <v>775</v>
      </c>
      <c r="F1705" s="98" t="n">
        <v>0</v>
      </c>
      <c r="G1705" s="98" t="s">
        <v>3469</v>
      </c>
      <c r="H1705" s="98" t="s">
        <v>3432</v>
      </c>
      <c r="I1705" s="98" t="s">
        <v>1704</v>
      </c>
      <c r="J1705" s="98" t="s">
        <v>1705</v>
      </c>
      <c r="K1705" s="98" t="s">
        <v>1706</v>
      </c>
    </row>
    <row r="1706" customFormat="false" ht="64" hidden="false" customHeight="true" outlineLevel="0" collapsed="false">
      <c r="C1706" s="98" t="s">
        <v>3481</v>
      </c>
      <c r="D1706" s="98" t="s">
        <v>1718</v>
      </c>
      <c r="E1706" s="98" t="s">
        <v>775</v>
      </c>
      <c r="F1706" s="98" t="n">
        <v>0</v>
      </c>
      <c r="G1706" s="98" t="s">
        <v>3469</v>
      </c>
      <c r="H1706" s="98" t="s">
        <v>3432</v>
      </c>
      <c r="I1706" s="98" t="s">
        <v>1704</v>
      </c>
      <c r="J1706" s="98" t="s">
        <v>1705</v>
      </c>
      <c r="K1706" s="98" t="s">
        <v>1706</v>
      </c>
    </row>
    <row r="1707" customFormat="false" ht="64" hidden="false" customHeight="true" outlineLevel="0" collapsed="false">
      <c r="C1707" s="98" t="s">
        <v>3482</v>
      </c>
      <c r="D1707" s="98" t="s">
        <v>1720</v>
      </c>
      <c r="E1707" s="98" t="s">
        <v>775</v>
      </c>
      <c r="F1707" s="98" t="n">
        <v>0</v>
      </c>
      <c r="G1707" s="98" t="s">
        <v>3469</v>
      </c>
      <c r="H1707" s="98" t="s">
        <v>3432</v>
      </c>
      <c r="I1707" s="98" t="s">
        <v>1704</v>
      </c>
      <c r="J1707" s="98" t="s">
        <v>1705</v>
      </c>
      <c r="K1707" s="98" t="s">
        <v>1706</v>
      </c>
    </row>
    <row r="1708" customFormat="false" ht="64" hidden="false" customHeight="true" outlineLevel="0" collapsed="false">
      <c r="C1708" s="98" t="s">
        <v>3483</v>
      </c>
      <c r="D1708" s="98" t="s">
        <v>1722</v>
      </c>
      <c r="E1708" s="98" t="s">
        <v>775</v>
      </c>
      <c r="F1708" s="98" t="n">
        <v>0</v>
      </c>
      <c r="G1708" s="98" t="s">
        <v>3469</v>
      </c>
      <c r="H1708" s="98" t="s">
        <v>3432</v>
      </c>
      <c r="I1708" s="98" t="s">
        <v>1704</v>
      </c>
      <c r="J1708" s="98" t="s">
        <v>1705</v>
      </c>
      <c r="K1708" s="98" t="s">
        <v>1706</v>
      </c>
    </row>
    <row r="1709" customFormat="false" ht="64" hidden="false" customHeight="true" outlineLevel="0" collapsed="false">
      <c r="C1709" s="98" t="s">
        <v>3484</v>
      </c>
      <c r="D1709" s="98" t="s">
        <v>1724</v>
      </c>
      <c r="E1709" s="98" t="s">
        <v>775</v>
      </c>
      <c r="F1709" s="98" t="n">
        <v>0</v>
      </c>
      <c r="G1709" s="98" t="s">
        <v>3469</v>
      </c>
      <c r="H1709" s="98" t="s">
        <v>3432</v>
      </c>
      <c r="I1709" s="98" t="s">
        <v>1704</v>
      </c>
      <c r="J1709" s="98" t="s">
        <v>1705</v>
      </c>
      <c r="K1709" s="98" t="s">
        <v>1706</v>
      </c>
    </row>
    <row r="1710" customFormat="false" ht="64" hidden="false" customHeight="true" outlineLevel="0" collapsed="false">
      <c r="C1710" s="98" t="s">
        <v>3485</v>
      </c>
      <c r="D1710" s="98" t="s">
        <v>1726</v>
      </c>
      <c r="E1710" s="98" t="s">
        <v>775</v>
      </c>
      <c r="F1710" s="98" t="n">
        <v>0</v>
      </c>
      <c r="G1710" s="98" t="s">
        <v>3469</v>
      </c>
      <c r="H1710" s="98" t="s">
        <v>3432</v>
      </c>
      <c r="I1710" s="98" t="s">
        <v>1704</v>
      </c>
      <c r="J1710" s="98" t="s">
        <v>1705</v>
      </c>
      <c r="K1710" s="98" t="s">
        <v>1706</v>
      </c>
    </row>
    <row r="1711" customFormat="false" ht="64" hidden="false" customHeight="true" outlineLevel="0" collapsed="false">
      <c r="C1711" s="98" t="s">
        <v>3486</v>
      </c>
      <c r="D1711" s="98" t="s">
        <v>1728</v>
      </c>
      <c r="E1711" s="98" t="s">
        <v>775</v>
      </c>
      <c r="F1711" s="98" t="n">
        <v>0</v>
      </c>
      <c r="G1711" s="98" t="s">
        <v>3469</v>
      </c>
      <c r="H1711" s="98" t="s">
        <v>3432</v>
      </c>
      <c r="I1711" s="98" t="s">
        <v>1704</v>
      </c>
      <c r="J1711" s="98" t="s">
        <v>1705</v>
      </c>
      <c r="K1711" s="98" t="s">
        <v>1706</v>
      </c>
    </row>
    <row r="1712" customFormat="false" ht="64" hidden="false" customHeight="true" outlineLevel="0" collapsed="false">
      <c r="C1712" s="98" t="s">
        <v>3487</v>
      </c>
      <c r="D1712" s="98" t="s">
        <v>1730</v>
      </c>
      <c r="E1712" s="98" t="s">
        <v>775</v>
      </c>
      <c r="F1712" s="98" t="n">
        <v>0</v>
      </c>
      <c r="G1712" s="98" t="s">
        <v>3469</v>
      </c>
      <c r="H1712" s="98" t="s">
        <v>3432</v>
      </c>
      <c r="I1712" s="98" t="s">
        <v>1704</v>
      </c>
      <c r="J1712" s="98" t="s">
        <v>1705</v>
      </c>
      <c r="K1712" s="98" t="s">
        <v>1706</v>
      </c>
    </row>
    <row r="1713" customFormat="false" ht="64" hidden="false" customHeight="true" outlineLevel="0" collapsed="false">
      <c r="C1713" s="98" t="s">
        <v>3488</v>
      </c>
      <c r="D1713" s="98" t="s">
        <v>1732</v>
      </c>
      <c r="E1713" s="98" t="s">
        <v>775</v>
      </c>
      <c r="F1713" s="98" t="n">
        <v>0</v>
      </c>
      <c r="G1713" s="98" t="s">
        <v>3469</v>
      </c>
      <c r="H1713" s="98" t="s">
        <v>3432</v>
      </c>
      <c r="I1713" s="98" t="s">
        <v>1704</v>
      </c>
      <c r="J1713" s="98" t="s">
        <v>1705</v>
      </c>
      <c r="K1713" s="98" t="s">
        <v>1706</v>
      </c>
    </row>
    <row r="1714" customFormat="false" ht="64" hidden="false" customHeight="true" outlineLevel="0" collapsed="false">
      <c r="C1714" s="98" t="s">
        <v>3489</v>
      </c>
      <c r="D1714" s="98" t="s">
        <v>1734</v>
      </c>
      <c r="E1714" s="98" t="s">
        <v>775</v>
      </c>
      <c r="F1714" s="98" t="n">
        <v>0</v>
      </c>
      <c r="G1714" s="98" t="s">
        <v>3469</v>
      </c>
      <c r="H1714" s="98" t="s">
        <v>3432</v>
      </c>
      <c r="I1714" s="98" t="s">
        <v>1704</v>
      </c>
      <c r="J1714" s="98" t="s">
        <v>1705</v>
      </c>
      <c r="K1714" s="98" t="s">
        <v>1706</v>
      </c>
    </row>
    <row r="1715" customFormat="false" ht="64" hidden="false" customHeight="true" outlineLevel="0" collapsed="false">
      <c r="C1715" s="98" t="s">
        <v>3490</v>
      </c>
      <c r="D1715" s="98" t="s">
        <v>1736</v>
      </c>
      <c r="E1715" s="98" t="s">
        <v>775</v>
      </c>
      <c r="F1715" s="98" t="n">
        <v>0</v>
      </c>
      <c r="G1715" s="98" t="s">
        <v>3469</v>
      </c>
      <c r="H1715" s="98" t="s">
        <v>3432</v>
      </c>
      <c r="I1715" s="98" t="s">
        <v>1704</v>
      </c>
      <c r="J1715" s="98" t="s">
        <v>1705</v>
      </c>
      <c r="K1715" s="98" t="s">
        <v>1706</v>
      </c>
    </row>
    <row r="1716" customFormat="false" ht="64" hidden="false" customHeight="true" outlineLevel="0" collapsed="false">
      <c r="C1716" s="98" t="s">
        <v>3491</v>
      </c>
      <c r="D1716" s="98" t="s">
        <v>1738</v>
      </c>
      <c r="E1716" s="98" t="s">
        <v>775</v>
      </c>
      <c r="F1716" s="98" t="n">
        <v>0</v>
      </c>
      <c r="G1716" s="98" t="s">
        <v>3469</v>
      </c>
      <c r="H1716" s="98" t="s">
        <v>3432</v>
      </c>
      <c r="I1716" s="98" t="s">
        <v>1704</v>
      </c>
      <c r="J1716" s="98" t="s">
        <v>1705</v>
      </c>
      <c r="K1716" s="98" t="s">
        <v>1706</v>
      </c>
    </row>
    <row r="1717" customFormat="false" ht="64" hidden="false" customHeight="true" outlineLevel="0" collapsed="false">
      <c r="C1717" s="98" t="s">
        <v>3492</v>
      </c>
      <c r="D1717" s="98" t="s">
        <v>1740</v>
      </c>
      <c r="E1717" s="98" t="s">
        <v>775</v>
      </c>
      <c r="F1717" s="98" t="n">
        <v>0</v>
      </c>
      <c r="G1717" s="98" t="s">
        <v>3469</v>
      </c>
      <c r="H1717" s="98" t="s">
        <v>3432</v>
      </c>
      <c r="I1717" s="98" t="s">
        <v>1704</v>
      </c>
      <c r="J1717" s="98" t="s">
        <v>1705</v>
      </c>
      <c r="K1717" s="98" t="s">
        <v>1706</v>
      </c>
    </row>
    <row r="1718" customFormat="false" ht="64" hidden="false" customHeight="true" outlineLevel="0" collapsed="false">
      <c r="C1718" s="98" t="s">
        <v>3493</v>
      </c>
      <c r="D1718" s="98" t="s">
        <v>1742</v>
      </c>
      <c r="E1718" s="98" t="s">
        <v>775</v>
      </c>
      <c r="F1718" s="98" t="n">
        <v>0</v>
      </c>
      <c r="G1718" s="98" t="s">
        <v>3469</v>
      </c>
      <c r="H1718" s="98" t="s">
        <v>3432</v>
      </c>
      <c r="I1718" s="98" t="s">
        <v>1704</v>
      </c>
      <c r="J1718" s="98" t="s">
        <v>1705</v>
      </c>
      <c r="K1718" s="98" t="s">
        <v>1706</v>
      </c>
    </row>
    <row r="1719" customFormat="false" ht="64" hidden="false" customHeight="true" outlineLevel="0" collapsed="false">
      <c r="C1719" s="98" t="s">
        <v>3494</v>
      </c>
      <c r="D1719" s="98" t="s">
        <v>1744</v>
      </c>
      <c r="E1719" s="98" t="s">
        <v>775</v>
      </c>
      <c r="F1719" s="98" t="n">
        <v>0</v>
      </c>
      <c r="G1719" s="98" t="s">
        <v>3469</v>
      </c>
      <c r="H1719" s="98" t="s">
        <v>3432</v>
      </c>
      <c r="I1719" s="98" t="s">
        <v>1704</v>
      </c>
      <c r="J1719" s="98" t="s">
        <v>1705</v>
      </c>
      <c r="K1719" s="98" t="s">
        <v>1706</v>
      </c>
    </row>
    <row r="1720" customFormat="false" ht="64" hidden="false" customHeight="true" outlineLevel="0" collapsed="false">
      <c r="C1720" s="98" t="s">
        <v>3495</v>
      </c>
      <c r="D1720" s="98" t="s">
        <v>1746</v>
      </c>
      <c r="E1720" s="98" t="s">
        <v>775</v>
      </c>
      <c r="F1720" s="98" t="n">
        <v>0</v>
      </c>
      <c r="G1720" s="98" t="s">
        <v>3469</v>
      </c>
      <c r="H1720" s="98" t="s">
        <v>3432</v>
      </c>
      <c r="I1720" s="98" t="s">
        <v>1704</v>
      </c>
      <c r="J1720" s="98" t="s">
        <v>1705</v>
      </c>
      <c r="K1720" s="98" t="s">
        <v>1706</v>
      </c>
    </row>
    <row r="1721" customFormat="false" ht="64" hidden="false" customHeight="true" outlineLevel="0" collapsed="false">
      <c r="C1721" s="98" t="s">
        <v>3496</v>
      </c>
      <c r="D1721" s="98" t="s">
        <v>1748</v>
      </c>
      <c r="E1721" s="98" t="s">
        <v>775</v>
      </c>
      <c r="F1721" s="98" t="n">
        <v>0</v>
      </c>
      <c r="G1721" s="98" t="s">
        <v>3469</v>
      </c>
      <c r="H1721" s="98" t="s">
        <v>3432</v>
      </c>
      <c r="I1721" s="98" t="s">
        <v>1704</v>
      </c>
      <c r="J1721" s="98" t="s">
        <v>1705</v>
      </c>
      <c r="K1721" s="98" t="s">
        <v>1706</v>
      </c>
    </row>
    <row r="1722" customFormat="false" ht="64" hidden="false" customHeight="true" outlineLevel="0" collapsed="false">
      <c r="C1722" s="98" t="s">
        <v>3497</v>
      </c>
      <c r="D1722" s="98" t="s">
        <v>1750</v>
      </c>
      <c r="E1722" s="98" t="s">
        <v>775</v>
      </c>
      <c r="F1722" s="98" t="n">
        <v>0</v>
      </c>
      <c r="G1722" s="98" t="s">
        <v>3469</v>
      </c>
      <c r="H1722" s="98" t="s">
        <v>3432</v>
      </c>
      <c r="I1722" s="98" t="s">
        <v>1704</v>
      </c>
      <c r="J1722" s="98" t="s">
        <v>1705</v>
      </c>
      <c r="K1722" s="98" t="s">
        <v>1706</v>
      </c>
    </row>
    <row r="1723" customFormat="false" ht="64" hidden="false" customHeight="true" outlineLevel="0" collapsed="false">
      <c r="C1723" s="98" t="s">
        <v>3498</v>
      </c>
      <c r="D1723" s="98" t="s">
        <v>1752</v>
      </c>
      <c r="E1723" s="98" t="s">
        <v>775</v>
      </c>
      <c r="F1723" s="98" t="n">
        <v>0</v>
      </c>
      <c r="G1723" s="98" t="s">
        <v>3469</v>
      </c>
      <c r="H1723" s="98" t="s">
        <v>3432</v>
      </c>
      <c r="I1723" s="98" t="s">
        <v>1704</v>
      </c>
      <c r="J1723" s="98" t="s">
        <v>1705</v>
      </c>
      <c r="K1723" s="98" t="s">
        <v>1706</v>
      </c>
    </row>
    <row r="1724" customFormat="false" ht="64" hidden="false" customHeight="true" outlineLevel="0" collapsed="false">
      <c r="C1724" s="98" t="s">
        <v>3499</v>
      </c>
      <c r="D1724" s="98" t="s">
        <v>1754</v>
      </c>
      <c r="E1724" s="98" t="s">
        <v>775</v>
      </c>
      <c r="F1724" s="98" t="n">
        <v>0</v>
      </c>
      <c r="G1724" s="98" t="s">
        <v>3469</v>
      </c>
      <c r="H1724" s="98" t="s">
        <v>3432</v>
      </c>
      <c r="I1724" s="98" t="s">
        <v>1704</v>
      </c>
      <c r="J1724" s="98" t="s">
        <v>1705</v>
      </c>
      <c r="K1724" s="98" t="s">
        <v>1706</v>
      </c>
    </row>
    <row r="1725" customFormat="false" ht="64" hidden="false" customHeight="true" outlineLevel="0" collapsed="false">
      <c r="C1725" s="98" t="s">
        <v>3500</v>
      </c>
      <c r="D1725" s="98" t="s">
        <v>1756</v>
      </c>
      <c r="E1725" s="98" t="s">
        <v>775</v>
      </c>
      <c r="F1725" s="98" t="n">
        <v>0</v>
      </c>
      <c r="G1725" s="98" t="s">
        <v>3469</v>
      </c>
      <c r="H1725" s="98" t="s">
        <v>3432</v>
      </c>
      <c r="I1725" s="98" t="s">
        <v>1704</v>
      </c>
      <c r="J1725" s="98" t="s">
        <v>1705</v>
      </c>
      <c r="K1725" s="98" t="s">
        <v>1706</v>
      </c>
    </row>
    <row r="1726" customFormat="false" ht="64" hidden="false" customHeight="true" outlineLevel="0" collapsed="false">
      <c r="C1726" s="98" t="s">
        <v>3501</v>
      </c>
      <c r="D1726" s="98" t="s">
        <v>1758</v>
      </c>
      <c r="E1726" s="98" t="s">
        <v>775</v>
      </c>
      <c r="F1726" s="98" t="n">
        <v>0</v>
      </c>
      <c r="G1726" s="98" t="s">
        <v>3469</v>
      </c>
      <c r="H1726" s="98" t="s">
        <v>3432</v>
      </c>
      <c r="I1726" s="98" t="s">
        <v>1704</v>
      </c>
      <c r="J1726" s="98" t="s">
        <v>1705</v>
      </c>
      <c r="K1726" s="98" t="s">
        <v>1706</v>
      </c>
    </row>
    <row r="1727" customFormat="false" ht="64" hidden="false" customHeight="true" outlineLevel="0" collapsed="false">
      <c r="C1727" s="98" t="s">
        <v>3502</v>
      </c>
      <c r="D1727" s="98" t="s">
        <v>1760</v>
      </c>
      <c r="E1727" s="98" t="s">
        <v>775</v>
      </c>
      <c r="F1727" s="98" t="n">
        <v>0</v>
      </c>
      <c r="G1727" s="98" t="s">
        <v>3469</v>
      </c>
      <c r="H1727" s="98" t="s">
        <v>3432</v>
      </c>
      <c r="I1727" s="98" t="s">
        <v>1704</v>
      </c>
      <c r="J1727" s="98" t="s">
        <v>1705</v>
      </c>
      <c r="K1727" s="98" t="s">
        <v>1706</v>
      </c>
    </row>
    <row r="1728" customFormat="false" ht="64" hidden="false" customHeight="true" outlineLevel="0" collapsed="false">
      <c r="C1728" s="98" t="s">
        <v>3503</v>
      </c>
      <c r="D1728" s="98" t="s">
        <v>1762</v>
      </c>
      <c r="E1728" s="98" t="s">
        <v>775</v>
      </c>
      <c r="F1728" s="98" t="n">
        <v>0</v>
      </c>
      <c r="G1728" s="98" t="s">
        <v>3469</v>
      </c>
      <c r="H1728" s="98" t="s">
        <v>3432</v>
      </c>
      <c r="I1728" s="98" t="s">
        <v>1704</v>
      </c>
      <c r="J1728" s="98" t="s">
        <v>1705</v>
      </c>
      <c r="K1728" s="98" t="s">
        <v>1706</v>
      </c>
    </row>
    <row r="1729" customFormat="false" ht="64" hidden="false" customHeight="true" outlineLevel="0" collapsed="false">
      <c r="C1729" s="98" t="s">
        <v>3504</v>
      </c>
      <c r="D1729" s="98" t="s">
        <v>1764</v>
      </c>
      <c r="E1729" s="98" t="s">
        <v>775</v>
      </c>
      <c r="F1729" s="98" t="n">
        <v>0</v>
      </c>
      <c r="G1729" s="98" t="s">
        <v>3469</v>
      </c>
      <c r="H1729" s="98" t="s">
        <v>3432</v>
      </c>
      <c r="I1729" s="98" t="s">
        <v>1704</v>
      </c>
      <c r="J1729" s="98" t="s">
        <v>1705</v>
      </c>
      <c r="K1729" s="98" t="s">
        <v>1706</v>
      </c>
    </row>
    <row r="1730" customFormat="false" ht="64" hidden="false" customHeight="true" outlineLevel="0" collapsed="false">
      <c r="C1730" s="98" t="s">
        <v>3505</v>
      </c>
      <c r="D1730" s="98" t="s">
        <v>1829</v>
      </c>
      <c r="E1730" s="98" t="s">
        <v>775</v>
      </c>
      <c r="F1730" s="98" t="n">
        <v>0</v>
      </c>
      <c r="G1730" s="98" t="s">
        <v>3431</v>
      </c>
      <c r="H1730" s="98" t="s">
        <v>3432</v>
      </c>
      <c r="I1730" s="98" t="s">
        <v>1704</v>
      </c>
      <c r="J1730" s="98" t="s">
        <v>1705</v>
      </c>
      <c r="K1730" s="98" t="s">
        <v>1706</v>
      </c>
    </row>
    <row r="1731" customFormat="false" ht="64" hidden="false" customHeight="true" outlineLevel="0" collapsed="false">
      <c r="C1731" s="98" t="s">
        <v>3506</v>
      </c>
      <c r="D1731" s="98" t="s">
        <v>1833</v>
      </c>
      <c r="E1731" s="98" t="s">
        <v>775</v>
      </c>
      <c r="F1731" s="98" t="n">
        <v>0</v>
      </c>
      <c r="G1731" s="98" t="s">
        <v>3431</v>
      </c>
      <c r="H1731" s="98" t="s">
        <v>3432</v>
      </c>
      <c r="I1731" s="98" t="s">
        <v>1704</v>
      </c>
      <c r="J1731" s="98" t="s">
        <v>1705</v>
      </c>
      <c r="K1731" s="98" t="s">
        <v>1706</v>
      </c>
    </row>
    <row r="1732" customFormat="false" ht="64" hidden="false" customHeight="true" outlineLevel="0" collapsed="false">
      <c r="C1732" s="98" t="s">
        <v>3507</v>
      </c>
      <c r="D1732" s="98" t="s">
        <v>1835</v>
      </c>
      <c r="E1732" s="98" t="s">
        <v>775</v>
      </c>
      <c r="F1732" s="98" t="n">
        <v>0</v>
      </c>
      <c r="G1732" s="98" t="s">
        <v>3431</v>
      </c>
      <c r="H1732" s="98" t="s">
        <v>3432</v>
      </c>
      <c r="I1732" s="98" t="s">
        <v>1704</v>
      </c>
      <c r="J1732" s="98" t="s">
        <v>1705</v>
      </c>
      <c r="K1732" s="98" t="s">
        <v>1706</v>
      </c>
    </row>
    <row r="1733" customFormat="false" ht="64" hidden="false" customHeight="true" outlineLevel="0" collapsed="false">
      <c r="C1733" s="98" t="s">
        <v>3508</v>
      </c>
      <c r="D1733" s="98" t="s">
        <v>1044</v>
      </c>
      <c r="E1733" s="98" t="s">
        <v>775</v>
      </c>
      <c r="F1733" s="98" t="n">
        <v>0</v>
      </c>
      <c r="G1733" s="98" t="s">
        <v>3431</v>
      </c>
      <c r="H1733" s="98" t="s">
        <v>3432</v>
      </c>
      <c r="I1733" s="98" t="s">
        <v>1704</v>
      </c>
      <c r="J1733" s="98" t="s">
        <v>1705</v>
      </c>
      <c r="K1733" s="98" t="s">
        <v>1706</v>
      </c>
    </row>
    <row r="1734" customFormat="false" ht="64" hidden="false" customHeight="true" outlineLevel="0" collapsed="false">
      <c r="C1734" s="98" t="s">
        <v>3509</v>
      </c>
      <c r="D1734" s="98" t="s">
        <v>1838</v>
      </c>
      <c r="E1734" s="98" t="s">
        <v>775</v>
      </c>
      <c r="F1734" s="98" t="n">
        <v>0</v>
      </c>
      <c r="G1734" s="98" t="s">
        <v>3431</v>
      </c>
      <c r="H1734" s="98" t="s">
        <v>3432</v>
      </c>
      <c r="I1734" s="98" t="s">
        <v>1704</v>
      </c>
      <c r="J1734" s="98" t="s">
        <v>1705</v>
      </c>
      <c r="K1734" s="98" t="s">
        <v>1706</v>
      </c>
    </row>
    <row r="1735" customFormat="false" ht="64" hidden="false" customHeight="true" outlineLevel="0" collapsed="false">
      <c r="C1735" s="98" t="s">
        <v>3510</v>
      </c>
      <c r="D1735" s="98" t="s">
        <v>1840</v>
      </c>
      <c r="E1735" s="98" t="s">
        <v>775</v>
      </c>
      <c r="F1735" s="98" t="n">
        <v>0</v>
      </c>
      <c r="G1735" s="98" t="s">
        <v>3431</v>
      </c>
      <c r="H1735" s="98" t="s">
        <v>3432</v>
      </c>
      <c r="I1735" s="98" t="s">
        <v>1704</v>
      </c>
      <c r="J1735" s="98" t="s">
        <v>1705</v>
      </c>
      <c r="K1735" s="98" t="s">
        <v>1706</v>
      </c>
    </row>
    <row r="1736" customFormat="false" ht="64" hidden="false" customHeight="true" outlineLevel="0" collapsed="false">
      <c r="C1736" s="98" t="s">
        <v>3511</v>
      </c>
      <c r="D1736" s="98" t="s">
        <v>1700</v>
      </c>
      <c r="E1736" s="98" t="s">
        <v>775</v>
      </c>
      <c r="F1736" s="98" t="n">
        <v>0</v>
      </c>
      <c r="G1736" s="98" t="s">
        <v>3431</v>
      </c>
      <c r="H1736" s="98" t="s">
        <v>3432</v>
      </c>
      <c r="I1736" s="98" t="s">
        <v>1704</v>
      </c>
      <c r="J1736" s="98" t="s">
        <v>1705</v>
      </c>
      <c r="K1736" s="98" t="s">
        <v>1706</v>
      </c>
    </row>
    <row r="1737" customFormat="false" ht="64" hidden="false" customHeight="true" outlineLevel="0" collapsed="false">
      <c r="C1737" s="98" t="s">
        <v>3512</v>
      </c>
      <c r="D1737" s="98" t="s">
        <v>1708</v>
      </c>
      <c r="E1737" s="98" t="s">
        <v>775</v>
      </c>
      <c r="F1737" s="98" t="n">
        <v>0</v>
      </c>
      <c r="G1737" s="98" t="s">
        <v>3431</v>
      </c>
      <c r="H1737" s="98" t="s">
        <v>3432</v>
      </c>
      <c r="I1737" s="98" t="s">
        <v>1704</v>
      </c>
      <c r="J1737" s="98" t="s">
        <v>1705</v>
      </c>
      <c r="K1737" s="98" t="s">
        <v>1706</v>
      </c>
    </row>
    <row r="1738" customFormat="false" ht="64" hidden="false" customHeight="true" outlineLevel="0" collapsed="false">
      <c r="C1738" s="98" t="s">
        <v>3513</v>
      </c>
      <c r="D1738" s="98" t="s">
        <v>1710</v>
      </c>
      <c r="E1738" s="98" t="s">
        <v>775</v>
      </c>
      <c r="F1738" s="98" t="n">
        <v>0</v>
      </c>
      <c r="G1738" s="98" t="s">
        <v>3431</v>
      </c>
      <c r="H1738" s="98" t="s">
        <v>3432</v>
      </c>
      <c r="I1738" s="98" t="s">
        <v>1704</v>
      </c>
      <c r="J1738" s="98" t="s">
        <v>1705</v>
      </c>
      <c r="K1738" s="98" t="s">
        <v>1706</v>
      </c>
    </row>
    <row r="1739" customFormat="false" ht="64" hidden="false" customHeight="true" outlineLevel="0" collapsed="false">
      <c r="C1739" s="98" t="s">
        <v>3514</v>
      </c>
      <c r="D1739" s="98" t="s">
        <v>1712</v>
      </c>
      <c r="E1739" s="98" t="s">
        <v>775</v>
      </c>
      <c r="F1739" s="98" t="n">
        <v>0</v>
      </c>
      <c r="G1739" s="98" t="s">
        <v>3431</v>
      </c>
      <c r="H1739" s="98" t="s">
        <v>3432</v>
      </c>
      <c r="I1739" s="98" t="s">
        <v>1704</v>
      </c>
      <c r="J1739" s="98" t="s">
        <v>1705</v>
      </c>
      <c r="K1739" s="98" t="s">
        <v>1706</v>
      </c>
    </row>
    <row r="1740" customFormat="false" ht="64" hidden="false" customHeight="true" outlineLevel="0" collapsed="false">
      <c r="C1740" s="98" t="s">
        <v>3515</v>
      </c>
      <c r="D1740" s="98" t="s">
        <v>1714</v>
      </c>
      <c r="E1740" s="98" t="s">
        <v>775</v>
      </c>
      <c r="F1740" s="98" t="n">
        <v>0</v>
      </c>
      <c r="G1740" s="98" t="s">
        <v>3431</v>
      </c>
      <c r="H1740" s="98" t="s">
        <v>3432</v>
      </c>
      <c r="I1740" s="98" t="s">
        <v>1704</v>
      </c>
      <c r="J1740" s="98" t="s">
        <v>1705</v>
      </c>
      <c r="K1740" s="98" t="s">
        <v>1706</v>
      </c>
    </row>
    <row r="1741" customFormat="false" ht="64" hidden="false" customHeight="true" outlineLevel="0" collapsed="false">
      <c r="C1741" s="98" t="s">
        <v>3516</v>
      </c>
      <c r="D1741" s="98" t="s">
        <v>1716</v>
      </c>
      <c r="E1741" s="98" t="s">
        <v>775</v>
      </c>
      <c r="F1741" s="98" t="n">
        <v>0</v>
      </c>
      <c r="G1741" s="98" t="s">
        <v>3431</v>
      </c>
      <c r="H1741" s="98" t="s">
        <v>3432</v>
      </c>
      <c r="I1741" s="98" t="s">
        <v>1704</v>
      </c>
      <c r="J1741" s="98" t="s">
        <v>1705</v>
      </c>
      <c r="K1741" s="98" t="s">
        <v>1706</v>
      </c>
    </row>
    <row r="1742" customFormat="false" ht="64" hidden="false" customHeight="true" outlineLevel="0" collapsed="false">
      <c r="C1742" s="98" t="s">
        <v>3517</v>
      </c>
      <c r="D1742" s="98" t="s">
        <v>1718</v>
      </c>
      <c r="E1742" s="98" t="s">
        <v>775</v>
      </c>
      <c r="F1742" s="98" t="n">
        <v>0</v>
      </c>
      <c r="G1742" s="98" t="s">
        <v>3431</v>
      </c>
      <c r="H1742" s="98" t="s">
        <v>3432</v>
      </c>
      <c r="I1742" s="98" t="s">
        <v>1704</v>
      </c>
      <c r="J1742" s="98" t="s">
        <v>1705</v>
      </c>
      <c r="K1742" s="98" t="s">
        <v>1706</v>
      </c>
    </row>
    <row r="1743" customFormat="false" ht="64" hidden="false" customHeight="true" outlineLevel="0" collapsed="false">
      <c r="C1743" s="98" t="s">
        <v>3518</v>
      </c>
      <c r="D1743" s="98" t="s">
        <v>1720</v>
      </c>
      <c r="E1743" s="98" t="s">
        <v>775</v>
      </c>
      <c r="F1743" s="98" t="n">
        <v>0</v>
      </c>
      <c r="G1743" s="98" t="s">
        <v>3431</v>
      </c>
      <c r="H1743" s="98" t="s">
        <v>3432</v>
      </c>
      <c r="I1743" s="98" t="s">
        <v>1704</v>
      </c>
      <c r="J1743" s="98" t="s">
        <v>1705</v>
      </c>
      <c r="K1743" s="98" t="s">
        <v>1706</v>
      </c>
    </row>
    <row r="1744" customFormat="false" ht="64" hidden="false" customHeight="true" outlineLevel="0" collapsed="false">
      <c r="C1744" s="98" t="s">
        <v>3519</v>
      </c>
      <c r="D1744" s="98" t="s">
        <v>1722</v>
      </c>
      <c r="E1744" s="98" t="s">
        <v>775</v>
      </c>
      <c r="F1744" s="98" t="n">
        <v>0</v>
      </c>
      <c r="G1744" s="98" t="s">
        <v>3431</v>
      </c>
      <c r="H1744" s="98" t="s">
        <v>3432</v>
      </c>
      <c r="I1744" s="98" t="s">
        <v>1704</v>
      </c>
      <c r="J1744" s="98" t="s">
        <v>1705</v>
      </c>
      <c r="K1744" s="98" t="s">
        <v>1706</v>
      </c>
    </row>
    <row r="1745" customFormat="false" ht="64" hidden="false" customHeight="true" outlineLevel="0" collapsed="false">
      <c r="C1745" s="98" t="s">
        <v>3520</v>
      </c>
      <c r="D1745" s="98" t="s">
        <v>1724</v>
      </c>
      <c r="E1745" s="98" t="s">
        <v>775</v>
      </c>
      <c r="F1745" s="98" t="n">
        <v>0</v>
      </c>
      <c r="G1745" s="98" t="s">
        <v>3431</v>
      </c>
      <c r="H1745" s="98" t="s">
        <v>3432</v>
      </c>
      <c r="I1745" s="98" t="s">
        <v>1704</v>
      </c>
      <c r="J1745" s="98" t="s">
        <v>1705</v>
      </c>
      <c r="K1745" s="98" t="s">
        <v>1706</v>
      </c>
    </row>
    <row r="1746" customFormat="false" ht="64" hidden="false" customHeight="true" outlineLevel="0" collapsed="false">
      <c r="C1746" s="98" t="s">
        <v>3521</v>
      </c>
      <c r="D1746" s="98" t="s">
        <v>1726</v>
      </c>
      <c r="E1746" s="98" t="s">
        <v>775</v>
      </c>
      <c r="F1746" s="98" t="n">
        <v>0</v>
      </c>
      <c r="G1746" s="98" t="s">
        <v>3431</v>
      </c>
      <c r="H1746" s="98" t="s">
        <v>3432</v>
      </c>
      <c r="I1746" s="98" t="s">
        <v>1704</v>
      </c>
      <c r="J1746" s="98" t="s">
        <v>1705</v>
      </c>
      <c r="K1746" s="98" t="s">
        <v>1706</v>
      </c>
    </row>
    <row r="1747" customFormat="false" ht="64" hidden="false" customHeight="true" outlineLevel="0" collapsed="false">
      <c r="C1747" s="98" t="s">
        <v>3522</v>
      </c>
      <c r="D1747" s="98" t="s">
        <v>1728</v>
      </c>
      <c r="E1747" s="98" t="s">
        <v>775</v>
      </c>
      <c r="F1747" s="98" t="n">
        <v>0</v>
      </c>
      <c r="G1747" s="98" t="s">
        <v>3431</v>
      </c>
      <c r="H1747" s="98" t="s">
        <v>3432</v>
      </c>
      <c r="I1747" s="98" t="s">
        <v>1704</v>
      </c>
      <c r="J1747" s="98" t="s">
        <v>1705</v>
      </c>
      <c r="K1747" s="98" t="s">
        <v>1706</v>
      </c>
    </row>
    <row r="1748" customFormat="false" ht="64" hidden="false" customHeight="true" outlineLevel="0" collapsed="false">
      <c r="C1748" s="98" t="s">
        <v>3523</v>
      </c>
      <c r="D1748" s="98" t="s">
        <v>1730</v>
      </c>
      <c r="E1748" s="98" t="s">
        <v>775</v>
      </c>
      <c r="F1748" s="98" t="n">
        <v>0</v>
      </c>
      <c r="G1748" s="98" t="s">
        <v>3431</v>
      </c>
      <c r="H1748" s="98" t="s">
        <v>3432</v>
      </c>
      <c r="I1748" s="98" t="s">
        <v>1704</v>
      </c>
      <c r="J1748" s="98" t="s">
        <v>1705</v>
      </c>
      <c r="K1748" s="98" t="s">
        <v>1706</v>
      </c>
    </row>
    <row r="1749" customFormat="false" ht="64" hidden="false" customHeight="true" outlineLevel="0" collapsed="false">
      <c r="C1749" s="98" t="s">
        <v>3524</v>
      </c>
      <c r="D1749" s="98" t="s">
        <v>1732</v>
      </c>
      <c r="E1749" s="98" t="s">
        <v>775</v>
      </c>
      <c r="F1749" s="98" t="n">
        <v>0</v>
      </c>
      <c r="G1749" s="98" t="s">
        <v>3431</v>
      </c>
      <c r="H1749" s="98" t="s">
        <v>3432</v>
      </c>
      <c r="I1749" s="98" t="s">
        <v>1704</v>
      </c>
      <c r="J1749" s="98" t="s">
        <v>1705</v>
      </c>
      <c r="K1749" s="98" t="s">
        <v>1706</v>
      </c>
    </row>
    <row r="1750" customFormat="false" ht="64" hidden="false" customHeight="true" outlineLevel="0" collapsed="false">
      <c r="C1750" s="98" t="s">
        <v>3525</v>
      </c>
      <c r="D1750" s="98" t="s">
        <v>1734</v>
      </c>
      <c r="E1750" s="98" t="s">
        <v>775</v>
      </c>
      <c r="F1750" s="98" t="n">
        <v>0</v>
      </c>
      <c r="G1750" s="98" t="s">
        <v>3431</v>
      </c>
      <c r="H1750" s="98" t="s">
        <v>3432</v>
      </c>
      <c r="I1750" s="98" t="s">
        <v>1704</v>
      </c>
      <c r="J1750" s="98" t="s">
        <v>1705</v>
      </c>
      <c r="K1750" s="98" t="s">
        <v>1706</v>
      </c>
    </row>
    <row r="1751" customFormat="false" ht="64" hidden="false" customHeight="true" outlineLevel="0" collapsed="false">
      <c r="C1751" s="98" t="s">
        <v>3526</v>
      </c>
      <c r="D1751" s="98" t="s">
        <v>1736</v>
      </c>
      <c r="E1751" s="98" t="s">
        <v>775</v>
      </c>
      <c r="F1751" s="98" t="n">
        <v>0</v>
      </c>
      <c r="G1751" s="98" t="s">
        <v>3431</v>
      </c>
      <c r="H1751" s="98" t="s">
        <v>3432</v>
      </c>
      <c r="I1751" s="98" t="s">
        <v>1704</v>
      </c>
      <c r="J1751" s="98" t="s">
        <v>1705</v>
      </c>
      <c r="K1751" s="98" t="s">
        <v>1706</v>
      </c>
    </row>
    <row r="1752" customFormat="false" ht="64" hidden="false" customHeight="true" outlineLevel="0" collapsed="false">
      <c r="C1752" s="98" t="s">
        <v>3527</v>
      </c>
      <c r="D1752" s="98" t="s">
        <v>1738</v>
      </c>
      <c r="E1752" s="98" t="s">
        <v>775</v>
      </c>
      <c r="F1752" s="98" t="n">
        <v>0</v>
      </c>
      <c r="G1752" s="98" t="s">
        <v>3431</v>
      </c>
      <c r="H1752" s="98" t="s">
        <v>3432</v>
      </c>
      <c r="I1752" s="98" t="s">
        <v>1704</v>
      </c>
      <c r="J1752" s="98" t="s">
        <v>1705</v>
      </c>
      <c r="K1752" s="98" t="s">
        <v>1706</v>
      </c>
    </row>
    <row r="1753" customFormat="false" ht="64" hidden="false" customHeight="true" outlineLevel="0" collapsed="false">
      <c r="C1753" s="98" t="s">
        <v>3528</v>
      </c>
      <c r="D1753" s="98" t="s">
        <v>1740</v>
      </c>
      <c r="E1753" s="98" t="s">
        <v>775</v>
      </c>
      <c r="F1753" s="98" t="n">
        <v>0</v>
      </c>
      <c r="G1753" s="98" t="s">
        <v>3431</v>
      </c>
      <c r="H1753" s="98" t="s">
        <v>3432</v>
      </c>
      <c r="I1753" s="98" t="s">
        <v>1704</v>
      </c>
      <c r="J1753" s="98" t="s">
        <v>1705</v>
      </c>
      <c r="K1753" s="98" t="s">
        <v>1706</v>
      </c>
    </row>
    <row r="1754" customFormat="false" ht="64" hidden="false" customHeight="true" outlineLevel="0" collapsed="false">
      <c r="C1754" s="98" t="s">
        <v>3529</v>
      </c>
      <c r="D1754" s="98" t="s">
        <v>1742</v>
      </c>
      <c r="E1754" s="98" t="s">
        <v>775</v>
      </c>
      <c r="F1754" s="98" t="n">
        <v>0</v>
      </c>
      <c r="G1754" s="98" t="s">
        <v>3431</v>
      </c>
      <c r="H1754" s="98" t="s">
        <v>3432</v>
      </c>
      <c r="I1754" s="98" t="s">
        <v>1704</v>
      </c>
      <c r="J1754" s="98" t="s">
        <v>1705</v>
      </c>
      <c r="K1754" s="98" t="s">
        <v>1706</v>
      </c>
    </row>
    <row r="1755" customFormat="false" ht="64" hidden="false" customHeight="true" outlineLevel="0" collapsed="false">
      <c r="C1755" s="98" t="s">
        <v>3530</v>
      </c>
      <c r="D1755" s="98" t="s">
        <v>1744</v>
      </c>
      <c r="E1755" s="98" t="s">
        <v>775</v>
      </c>
      <c r="F1755" s="98" t="n">
        <v>0</v>
      </c>
      <c r="G1755" s="98" t="s">
        <v>3431</v>
      </c>
      <c r="H1755" s="98" t="s">
        <v>3432</v>
      </c>
      <c r="I1755" s="98" t="s">
        <v>1704</v>
      </c>
      <c r="J1755" s="98" t="s">
        <v>1705</v>
      </c>
      <c r="K1755" s="98" t="s">
        <v>1706</v>
      </c>
    </row>
    <row r="1756" customFormat="false" ht="64" hidden="false" customHeight="true" outlineLevel="0" collapsed="false">
      <c r="C1756" s="98" t="s">
        <v>3531</v>
      </c>
      <c r="D1756" s="98" t="s">
        <v>1746</v>
      </c>
      <c r="E1756" s="98" t="s">
        <v>775</v>
      </c>
      <c r="F1756" s="98" t="n">
        <v>0</v>
      </c>
      <c r="G1756" s="98" t="s">
        <v>3431</v>
      </c>
      <c r="H1756" s="98" t="s">
        <v>3432</v>
      </c>
      <c r="I1756" s="98" t="s">
        <v>1704</v>
      </c>
      <c r="J1756" s="98" t="s">
        <v>1705</v>
      </c>
      <c r="K1756" s="98" t="s">
        <v>1706</v>
      </c>
    </row>
    <row r="1757" customFormat="false" ht="64" hidden="false" customHeight="true" outlineLevel="0" collapsed="false">
      <c r="C1757" s="98" t="s">
        <v>3532</v>
      </c>
      <c r="D1757" s="98" t="s">
        <v>1748</v>
      </c>
      <c r="E1757" s="98" t="s">
        <v>775</v>
      </c>
      <c r="F1757" s="98" t="n">
        <v>0</v>
      </c>
      <c r="G1757" s="98" t="s">
        <v>3431</v>
      </c>
      <c r="H1757" s="98" t="s">
        <v>3432</v>
      </c>
      <c r="I1757" s="98" t="s">
        <v>1704</v>
      </c>
      <c r="J1757" s="98" t="s">
        <v>1705</v>
      </c>
      <c r="K1757" s="98" t="s">
        <v>1706</v>
      </c>
    </row>
    <row r="1758" customFormat="false" ht="64" hidden="false" customHeight="true" outlineLevel="0" collapsed="false">
      <c r="C1758" s="98" t="s">
        <v>3533</v>
      </c>
      <c r="D1758" s="98" t="s">
        <v>1750</v>
      </c>
      <c r="E1758" s="98" t="s">
        <v>775</v>
      </c>
      <c r="F1758" s="98" t="n">
        <v>0</v>
      </c>
      <c r="G1758" s="98" t="s">
        <v>3431</v>
      </c>
      <c r="H1758" s="98" t="s">
        <v>3432</v>
      </c>
      <c r="I1758" s="98" t="s">
        <v>1704</v>
      </c>
      <c r="J1758" s="98" t="s">
        <v>1705</v>
      </c>
      <c r="K1758" s="98" t="s">
        <v>1706</v>
      </c>
    </row>
    <row r="1759" customFormat="false" ht="64" hidden="false" customHeight="true" outlineLevel="0" collapsed="false">
      <c r="C1759" s="98" t="s">
        <v>3534</v>
      </c>
      <c r="D1759" s="98" t="s">
        <v>1752</v>
      </c>
      <c r="E1759" s="98" t="s">
        <v>775</v>
      </c>
      <c r="F1759" s="98" t="n">
        <v>0</v>
      </c>
      <c r="G1759" s="98" t="s">
        <v>3431</v>
      </c>
      <c r="H1759" s="98" t="s">
        <v>3432</v>
      </c>
      <c r="I1759" s="98" t="s">
        <v>1704</v>
      </c>
      <c r="J1759" s="98" t="s">
        <v>1705</v>
      </c>
      <c r="K1759" s="98" t="s">
        <v>1706</v>
      </c>
    </row>
    <row r="1760" customFormat="false" ht="64" hidden="false" customHeight="true" outlineLevel="0" collapsed="false">
      <c r="C1760" s="98" t="s">
        <v>3535</v>
      </c>
      <c r="D1760" s="98" t="s">
        <v>1754</v>
      </c>
      <c r="E1760" s="98" t="s">
        <v>775</v>
      </c>
      <c r="F1760" s="98" t="n">
        <v>0</v>
      </c>
      <c r="G1760" s="98" t="s">
        <v>3431</v>
      </c>
      <c r="H1760" s="98" t="s">
        <v>3432</v>
      </c>
      <c r="I1760" s="98" t="s">
        <v>1704</v>
      </c>
      <c r="J1760" s="98" t="s">
        <v>1705</v>
      </c>
      <c r="K1760" s="98" t="s">
        <v>1706</v>
      </c>
    </row>
    <row r="1761" customFormat="false" ht="64" hidden="false" customHeight="true" outlineLevel="0" collapsed="false">
      <c r="C1761" s="98" t="s">
        <v>3536</v>
      </c>
      <c r="D1761" s="98" t="s">
        <v>1756</v>
      </c>
      <c r="E1761" s="98" t="s">
        <v>775</v>
      </c>
      <c r="F1761" s="98" t="n">
        <v>0</v>
      </c>
      <c r="G1761" s="98" t="s">
        <v>3431</v>
      </c>
      <c r="H1761" s="98" t="s">
        <v>3432</v>
      </c>
      <c r="I1761" s="98" t="s">
        <v>1704</v>
      </c>
      <c r="J1761" s="98" t="s">
        <v>1705</v>
      </c>
      <c r="K1761" s="98" t="s">
        <v>1706</v>
      </c>
    </row>
    <row r="1762" customFormat="false" ht="64" hidden="false" customHeight="true" outlineLevel="0" collapsed="false">
      <c r="C1762" s="98" t="s">
        <v>3537</v>
      </c>
      <c r="D1762" s="98" t="s">
        <v>1758</v>
      </c>
      <c r="E1762" s="98" t="s">
        <v>775</v>
      </c>
      <c r="F1762" s="98" t="n">
        <v>0</v>
      </c>
      <c r="G1762" s="98" t="s">
        <v>3431</v>
      </c>
      <c r="H1762" s="98" t="s">
        <v>3432</v>
      </c>
      <c r="I1762" s="98" t="s">
        <v>1704</v>
      </c>
      <c r="J1762" s="98" t="s">
        <v>1705</v>
      </c>
      <c r="K1762" s="98" t="s">
        <v>1706</v>
      </c>
    </row>
    <row r="1763" customFormat="false" ht="64" hidden="false" customHeight="true" outlineLevel="0" collapsed="false">
      <c r="C1763" s="98" t="s">
        <v>3538</v>
      </c>
      <c r="D1763" s="98" t="s">
        <v>1760</v>
      </c>
      <c r="E1763" s="98" t="s">
        <v>775</v>
      </c>
      <c r="F1763" s="98" t="n">
        <v>0</v>
      </c>
      <c r="G1763" s="98" t="s">
        <v>3431</v>
      </c>
      <c r="H1763" s="98" t="s">
        <v>3432</v>
      </c>
      <c r="I1763" s="98" t="s">
        <v>1704</v>
      </c>
      <c r="J1763" s="98" t="s">
        <v>1705</v>
      </c>
      <c r="K1763" s="98" t="s">
        <v>1706</v>
      </c>
    </row>
    <row r="1764" customFormat="false" ht="64" hidden="false" customHeight="true" outlineLevel="0" collapsed="false">
      <c r="C1764" s="98" t="s">
        <v>3539</v>
      </c>
      <c r="D1764" s="98" t="s">
        <v>1762</v>
      </c>
      <c r="E1764" s="98" t="s">
        <v>775</v>
      </c>
      <c r="F1764" s="98" t="n">
        <v>0</v>
      </c>
      <c r="G1764" s="98" t="s">
        <v>3431</v>
      </c>
      <c r="H1764" s="98" t="s">
        <v>3432</v>
      </c>
      <c r="I1764" s="98" t="s">
        <v>1704</v>
      </c>
      <c r="J1764" s="98" t="s">
        <v>1705</v>
      </c>
      <c r="K1764" s="98" t="s">
        <v>1706</v>
      </c>
    </row>
    <row r="1765" customFormat="false" ht="64" hidden="false" customHeight="true" outlineLevel="0" collapsed="false">
      <c r="C1765" s="98" t="s">
        <v>3540</v>
      </c>
      <c r="D1765" s="98" t="s">
        <v>1764</v>
      </c>
      <c r="E1765" s="98" t="s">
        <v>775</v>
      </c>
      <c r="F1765" s="98" t="n">
        <v>0</v>
      </c>
      <c r="G1765" s="98" t="s">
        <v>3431</v>
      </c>
      <c r="H1765" s="98" t="s">
        <v>3432</v>
      </c>
      <c r="I1765" s="98" t="s">
        <v>1704</v>
      </c>
      <c r="J1765" s="98" t="s">
        <v>1705</v>
      </c>
      <c r="K1765" s="98" t="s">
        <v>1706</v>
      </c>
    </row>
    <row r="1766" customFormat="false" ht="64" hidden="false" customHeight="true" outlineLevel="0" collapsed="false">
      <c r="C1766" s="98" t="s">
        <v>3541</v>
      </c>
      <c r="D1766" s="98" t="s">
        <v>1829</v>
      </c>
      <c r="E1766" s="98" t="s">
        <v>775</v>
      </c>
      <c r="F1766" s="98" t="n">
        <v>0</v>
      </c>
      <c r="G1766" s="98" t="s">
        <v>3469</v>
      </c>
      <c r="H1766" s="98" t="s">
        <v>3432</v>
      </c>
      <c r="I1766" s="98" t="s">
        <v>1704</v>
      </c>
      <c r="J1766" s="98" t="s">
        <v>1705</v>
      </c>
      <c r="K1766" s="98" t="s">
        <v>1706</v>
      </c>
    </row>
    <row r="1767" customFormat="false" ht="64" hidden="false" customHeight="true" outlineLevel="0" collapsed="false">
      <c r="C1767" s="98" t="s">
        <v>3542</v>
      </c>
      <c r="D1767" s="98" t="s">
        <v>1833</v>
      </c>
      <c r="E1767" s="98" t="s">
        <v>775</v>
      </c>
      <c r="F1767" s="98" t="n">
        <v>0</v>
      </c>
      <c r="G1767" s="98" t="s">
        <v>3469</v>
      </c>
      <c r="H1767" s="98" t="s">
        <v>3432</v>
      </c>
      <c r="I1767" s="98" t="s">
        <v>1704</v>
      </c>
      <c r="J1767" s="98" t="s">
        <v>1705</v>
      </c>
      <c r="K1767" s="98" t="s">
        <v>1706</v>
      </c>
    </row>
    <row r="1768" customFormat="false" ht="64" hidden="false" customHeight="true" outlineLevel="0" collapsed="false">
      <c r="C1768" s="98" t="s">
        <v>3543</v>
      </c>
      <c r="D1768" s="98" t="s">
        <v>1835</v>
      </c>
      <c r="E1768" s="98" t="s">
        <v>775</v>
      </c>
      <c r="F1768" s="98" t="n">
        <v>0</v>
      </c>
      <c r="G1768" s="98" t="s">
        <v>3469</v>
      </c>
      <c r="H1768" s="98" t="s">
        <v>3432</v>
      </c>
      <c r="I1768" s="98" t="s">
        <v>1704</v>
      </c>
      <c r="J1768" s="98" t="s">
        <v>1705</v>
      </c>
      <c r="K1768" s="98" t="s">
        <v>1706</v>
      </c>
    </row>
    <row r="1769" customFormat="false" ht="64" hidden="false" customHeight="true" outlineLevel="0" collapsed="false">
      <c r="C1769" s="98" t="s">
        <v>3544</v>
      </c>
      <c r="D1769" s="98" t="s">
        <v>1044</v>
      </c>
      <c r="E1769" s="98" t="s">
        <v>775</v>
      </c>
      <c r="F1769" s="98" t="n">
        <v>0</v>
      </c>
      <c r="G1769" s="98" t="s">
        <v>3469</v>
      </c>
      <c r="H1769" s="98" t="s">
        <v>3432</v>
      </c>
      <c r="I1769" s="98" t="s">
        <v>1704</v>
      </c>
      <c r="J1769" s="98" t="s">
        <v>1705</v>
      </c>
      <c r="K1769" s="98" t="s">
        <v>1706</v>
      </c>
    </row>
    <row r="1770" customFormat="false" ht="64" hidden="false" customHeight="true" outlineLevel="0" collapsed="false">
      <c r="C1770" s="98" t="s">
        <v>3545</v>
      </c>
      <c r="D1770" s="98" t="s">
        <v>1838</v>
      </c>
      <c r="E1770" s="98" t="s">
        <v>775</v>
      </c>
      <c r="F1770" s="98" t="n">
        <v>0</v>
      </c>
      <c r="G1770" s="98" t="s">
        <v>3469</v>
      </c>
      <c r="H1770" s="98" t="s">
        <v>3432</v>
      </c>
      <c r="I1770" s="98" t="s">
        <v>1704</v>
      </c>
      <c r="J1770" s="98" t="s">
        <v>1705</v>
      </c>
      <c r="K1770" s="98" t="s">
        <v>1706</v>
      </c>
    </row>
    <row r="1771" customFormat="false" ht="64" hidden="false" customHeight="true" outlineLevel="0" collapsed="false">
      <c r="C1771" s="98" t="s">
        <v>3546</v>
      </c>
      <c r="D1771" s="98" t="s">
        <v>1840</v>
      </c>
      <c r="E1771" s="98" t="s">
        <v>775</v>
      </c>
      <c r="F1771" s="98" t="n">
        <v>0</v>
      </c>
      <c r="G1771" s="98" t="s">
        <v>3469</v>
      </c>
      <c r="H1771" s="98" t="s">
        <v>3432</v>
      </c>
      <c r="I1771" s="98" t="s">
        <v>1704</v>
      </c>
      <c r="J1771" s="98" t="s">
        <v>1705</v>
      </c>
      <c r="K1771" s="98" t="s">
        <v>1706</v>
      </c>
    </row>
    <row r="1772" customFormat="false" ht="64" hidden="false" customHeight="true" outlineLevel="0" collapsed="false">
      <c r="C1772" s="98" t="s">
        <v>3547</v>
      </c>
      <c r="D1772" s="98" t="s">
        <v>1700</v>
      </c>
      <c r="E1772" s="98" t="s">
        <v>775</v>
      </c>
      <c r="F1772" s="98" t="n">
        <v>0</v>
      </c>
      <c r="G1772" s="98" t="s">
        <v>3469</v>
      </c>
      <c r="H1772" s="98" t="s">
        <v>3432</v>
      </c>
      <c r="I1772" s="98" t="s">
        <v>1704</v>
      </c>
      <c r="J1772" s="98" t="s">
        <v>1705</v>
      </c>
      <c r="K1772" s="98" t="s">
        <v>1706</v>
      </c>
    </row>
    <row r="1773" customFormat="false" ht="64" hidden="false" customHeight="true" outlineLevel="0" collapsed="false">
      <c r="C1773" s="98" t="s">
        <v>3548</v>
      </c>
      <c r="D1773" s="98" t="s">
        <v>1708</v>
      </c>
      <c r="E1773" s="98" t="s">
        <v>775</v>
      </c>
      <c r="F1773" s="98" t="n">
        <v>0</v>
      </c>
      <c r="G1773" s="98" t="s">
        <v>3469</v>
      </c>
      <c r="H1773" s="98" t="s">
        <v>3432</v>
      </c>
      <c r="I1773" s="98" t="s">
        <v>1704</v>
      </c>
      <c r="J1773" s="98" t="s">
        <v>1705</v>
      </c>
      <c r="K1773" s="98" t="s">
        <v>1706</v>
      </c>
    </row>
    <row r="1774" customFormat="false" ht="64" hidden="false" customHeight="true" outlineLevel="0" collapsed="false">
      <c r="C1774" s="98" t="s">
        <v>3549</v>
      </c>
      <c r="D1774" s="98" t="s">
        <v>1710</v>
      </c>
      <c r="E1774" s="98" t="s">
        <v>775</v>
      </c>
      <c r="F1774" s="98" t="n">
        <v>0</v>
      </c>
      <c r="G1774" s="98" t="s">
        <v>3469</v>
      </c>
      <c r="H1774" s="98" t="s">
        <v>3432</v>
      </c>
      <c r="I1774" s="98" t="s">
        <v>1704</v>
      </c>
      <c r="J1774" s="98" t="s">
        <v>1705</v>
      </c>
      <c r="K1774" s="98" t="s">
        <v>1706</v>
      </c>
    </row>
    <row r="1775" customFormat="false" ht="64" hidden="false" customHeight="true" outlineLevel="0" collapsed="false">
      <c r="C1775" s="98" t="s">
        <v>3550</v>
      </c>
      <c r="D1775" s="98" t="s">
        <v>1712</v>
      </c>
      <c r="E1775" s="98" t="s">
        <v>775</v>
      </c>
      <c r="F1775" s="98" t="n">
        <v>0</v>
      </c>
      <c r="G1775" s="98" t="s">
        <v>3469</v>
      </c>
      <c r="H1775" s="98" t="s">
        <v>3432</v>
      </c>
      <c r="I1775" s="98" t="s">
        <v>1704</v>
      </c>
      <c r="J1775" s="98" t="s">
        <v>1705</v>
      </c>
      <c r="K1775" s="98" t="s">
        <v>1706</v>
      </c>
    </row>
    <row r="1776" customFormat="false" ht="64" hidden="false" customHeight="true" outlineLevel="0" collapsed="false">
      <c r="C1776" s="98" t="s">
        <v>3551</v>
      </c>
      <c r="D1776" s="98" t="s">
        <v>1714</v>
      </c>
      <c r="E1776" s="98" t="s">
        <v>775</v>
      </c>
      <c r="F1776" s="98" t="n">
        <v>0</v>
      </c>
      <c r="G1776" s="98" t="s">
        <v>3469</v>
      </c>
      <c r="H1776" s="98" t="s">
        <v>3432</v>
      </c>
      <c r="I1776" s="98" t="s">
        <v>1704</v>
      </c>
      <c r="J1776" s="98" t="s">
        <v>1705</v>
      </c>
      <c r="K1776" s="98" t="s">
        <v>1706</v>
      </c>
    </row>
    <row r="1777" customFormat="false" ht="64" hidden="false" customHeight="true" outlineLevel="0" collapsed="false">
      <c r="C1777" s="98" t="s">
        <v>3552</v>
      </c>
      <c r="D1777" s="98" t="s">
        <v>1716</v>
      </c>
      <c r="E1777" s="98" t="s">
        <v>775</v>
      </c>
      <c r="F1777" s="98" t="n">
        <v>0</v>
      </c>
      <c r="G1777" s="98" t="s">
        <v>3469</v>
      </c>
      <c r="H1777" s="98" t="s">
        <v>3432</v>
      </c>
      <c r="I1777" s="98" t="s">
        <v>1704</v>
      </c>
      <c r="J1777" s="98" t="s">
        <v>1705</v>
      </c>
      <c r="K1777" s="98" t="s">
        <v>1706</v>
      </c>
    </row>
    <row r="1778" customFormat="false" ht="64" hidden="false" customHeight="true" outlineLevel="0" collapsed="false">
      <c r="C1778" s="98" t="s">
        <v>3553</v>
      </c>
      <c r="D1778" s="98" t="s">
        <v>1718</v>
      </c>
      <c r="E1778" s="98" t="s">
        <v>775</v>
      </c>
      <c r="F1778" s="98" t="n">
        <v>0</v>
      </c>
      <c r="G1778" s="98" t="s">
        <v>3469</v>
      </c>
      <c r="H1778" s="98" t="s">
        <v>3432</v>
      </c>
      <c r="I1778" s="98" t="s">
        <v>1704</v>
      </c>
      <c r="J1778" s="98" t="s">
        <v>1705</v>
      </c>
      <c r="K1778" s="98" t="s">
        <v>1706</v>
      </c>
    </row>
    <row r="1779" customFormat="false" ht="64" hidden="false" customHeight="true" outlineLevel="0" collapsed="false">
      <c r="C1779" s="98" t="s">
        <v>3554</v>
      </c>
      <c r="D1779" s="98" t="s">
        <v>1720</v>
      </c>
      <c r="E1779" s="98" t="s">
        <v>775</v>
      </c>
      <c r="F1779" s="98" t="n">
        <v>0</v>
      </c>
      <c r="G1779" s="98" t="s">
        <v>3469</v>
      </c>
      <c r="H1779" s="98" t="s">
        <v>3432</v>
      </c>
      <c r="I1779" s="98" t="s">
        <v>1704</v>
      </c>
      <c r="J1779" s="98" t="s">
        <v>1705</v>
      </c>
      <c r="K1779" s="98" t="s">
        <v>1706</v>
      </c>
    </row>
    <row r="1780" customFormat="false" ht="64" hidden="false" customHeight="true" outlineLevel="0" collapsed="false">
      <c r="C1780" s="98" t="s">
        <v>3555</v>
      </c>
      <c r="D1780" s="98" t="s">
        <v>1722</v>
      </c>
      <c r="E1780" s="98" t="s">
        <v>775</v>
      </c>
      <c r="F1780" s="98" t="n">
        <v>0</v>
      </c>
      <c r="G1780" s="98" t="s">
        <v>3469</v>
      </c>
      <c r="H1780" s="98" t="s">
        <v>3432</v>
      </c>
      <c r="I1780" s="98" t="s">
        <v>1704</v>
      </c>
      <c r="J1780" s="98" t="s">
        <v>1705</v>
      </c>
      <c r="K1780" s="98" t="s">
        <v>1706</v>
      </c>
    </row>
    <row r="1781" customFormat="false" ht="64" hidden="false" customHeight="true" outlineLevel="0" collapsed="false">
      <c r="C1781" s="98" t="s">
        <v>3556</v>
      </c>
      <c r="D1781" s="98" t="s">
        <v>1724</v>
      </c>
      <c r="E1781" s="98" t="s">
        <v>775</v>
      </c>
      <c r="F1781" s="98" t="n">
        <v>0</v>
      </c>
      <c r="G1781" s="98" t="s">
        <v>3469</v>
      </c>
      <c r="H1781" s="98" t="s">
        <v>3432</v>
      </c>
      <c r="I1781" s="98" t="s">
        <v>1704</v>
      </c>
      <c r="J1781" s="98" t="s">
        <v>1705</v>
      </c>
      <c r="K1781" s="98" t="s">
        <v>1706</v>
      </c>
    </row>
    <row r="1782" customFormat="false" ht="64" hidden="false" customHeight="true" outlineLevel="0" collapsed="false">
      <c r="C1782" s="98" t="s">
        <v>3557</v>
      </c>
      <c r="D1782" s="98" t="s">
        <v>1726</v>
      </c>
      <c r="E1782" s="98" t="s">
        <v>775</v>
      </c>
      <c r="F1782" s="98" t="n">
        <v>0</v>
      </c>
      <c r="G1782" s="98" t="s">
        <v>3469</v>
      </c>
      <c r="H1782" s="98" t="s">
        <v>3432</v>
      </c>
      <c r="I1782" s="98" t="s">
        <v>1704</v>
      </c>
      <c r="J1782" s="98" t="s">
        <v>1705</v>
      </c>
      <c r="K1782" s="98" t="s">
        <v>1706</v>
      </c>
    </row>
    <row r="1783" customFormat="false" ht="64" hidden="false" customHeight="true" outlineLevel="0" collapsed="false">
      <c r="C1783" s="98" t="s">
        <v>3558</v>
      </c>
      <c r="D1783" s="98" t="s">
        <v>1728</v>
      </c>
      <c r="E1783" s="98" t="s">
        <v>775</v>
      </c>
      <c r="F1783" s="98" t="n">
        <v>0</v>
      </c>
      <c r="G1783" s="98" t="s">
        <v>3469</v>
      </c>
      <c r="H1783" s="98" t="s">
        <v>3432</v>
      </c>
      <c r="I1783" s="98" t="s">
        <v>1704</v>
      </c>
      <c r="J1783" s="98" t="s">
        <v>1705</v>
      </c>
      <c r="K1783" s="98" t="s">
        <v>1706</v>
      </c>
    </row>
    <row r="1784" customFormat="false" ht="64" hidden="false" customHeight="true" outlineLevel="0" collapsed="false">
      <c r="C1784" s="98" t="s">
        <v>3559</v>
      </c>
      <c r="D1784" s="98" t="s">
        <v>1730</v>
      </c>
      <c r="E1784" s="98" t="s">
        <v>775</v>
      </c>
      <c r="F1784" s="98" t="n">
        <v>0</v>
      </c>
      <c r="G1784" s="98" t="s">
        <v>3469</v>
      </c>
      <c r="H1784" s="98" t="s">
        <v>3432</v>
      </c>
      <c r="I1784" s="98" t="s">
        <v>1704</v>
      </c>
      <c r="J1784" s="98" t="s">
        <v>1705</v>
      </c>
      <c r="K1784" s="98" t="s">
        <v>1706</v>
      </c>
    </row>
    <row r="1785" customFormat="false" ht="64" hidden="false" customHeight="true" outlineLevel="0" collapsed="false">
      <c r="C1785" s="98" t="s">
        <v>3560</v>
      </c>
      <c r="D1785" s="98" t="s">
        <v>1732</v>
      </c>
      <c r="E1785" s="98" t="s">
        <v>775</v>
      </c>
      <c r="F1785" s="98" t="n">
        <v>0</v>
      </c>
      <c r="G1785" s="98" t="s">
        <v>3469</v>
      </c>
      <c r="H1785" s="98" t="s">
        <v>3432</v>
      </c>
      <c r="I1785" s="98" t="s">
        <v>1704</v>
      </c>
      <c r="J1785" s="98" t="s">
        <v>1705</v>
      </c>
      <c r="K1785" s="98" t="s">
        <v>1706</v>
      </c>
    </row>
    <row r="1786" customFormat="false" ht="64" hidden="false" customHeight="true" outlineLevel="0" collapsed="false">
      <c r="C1786" s="98" t="s">
        <v>3561</v>
      </c>
      <c r="D1786" s="98" t="s">
        <v>1734</v>
      </c>
      <c r="E1786" s="98" t="s">
        <v>775</v>
      </c>
      <c r="F1786" s="98" t="n">
        <v>0</v>
      </c>
      <c r="G1786" s="98" t="s">
        <v>3469</v>
      </c>
      <c r="H1786" s="98" t="s">
        <v>3432</v>
      </c>
      <c r="I1786" s="98" t="s">
        <v>1704</v>
      </c>
      <c r="J1786" s="98" t="s">
        <v>1705</v>
      </c>
      <c r="K1786" s="98" t="s">
        <v>1706</v>
      </c>
    </row>
    <row r="1787" customFormat="false" ht="64" hidden="false" customHeight="true" outlineLevel="0" collapsed="false">
      <c r="C1787" s="98" t="s">
        <v>3562</v>
      </c>
      <c r="D1787" s="98" t="s">
        <v>1736</v>
      </c>
      <c r="E1787" s="98" t="s">
        <v>775</v>
      </c>
      <c r="F1787" s="98" t="n">
        <v>0</v>
      </c>
      <c r="G1787" s="98" t="s">
        <v>3469</v>
      </c>
      <c r="H1787" s="98" t="s">
        <v>3432</v>
      </c>
      <c r="I1787" s="98" t="s">
        <v>1704</v>
      </c>
      <c r="J1787" s="98" t="s">
        <v>1705</v>
      </c>
      <c r="K1787" s="98" t="s">
        <v>1706</v>
      </c>
    </row>
    <row r="1788" customFormat="false" ht="64" hidden="false" customHeight="true" outlineLevel="0" collapsed="false">
      <c r="C1788" s="98" t="s">
        <v>3563</v>
      </c>
      <c r="D1788" s="98" t="s">
        <v>1738</v>
      </c>
      <c r="E1788" s="98" t="s">
        <v>775</v>
      </c>
      <c r="F1788" s="98" t="n">
        <v>0</v>
      </c>
      <c r="G1788" s="98" t="s">
        <v>3469</v>
      </c>
      <c r="H1788" s="98" t="s">
        <v>3432</v>
      </c>
      <c r="I1788" s="98" t="s">
        <v>1704</v>
      </c>
      <c r="J1788" s="98" t="s">
        <v>1705</v>
      </c>
      <c r="K1788" s="98" t="s">
        <v>1706</v>
      </c>
    </row>
    <row r="1789" customFormat="false" ht="64" hidden="false" customHeight="true" outlineLevel="0" collapsed="false">
      <c r="C1789" s="98" t="s">
        <v>3564</v>
      </c>
      <c r="D1789" s="98" t="s">
        <v>1740</v>
      </c>
      <c r="E1789" s="98" t="s">
        <v>775</v>
      </c>
      <c r="F1789" s="98" t="n">
        <v>0</v>
      </c>
      <c r="G1789" s="98" t="s">
        <v>3469</v>
      </c>
      <c r="H1789" s="98" t="s">
        <v>3432</v>
      </c>
      <c r="I1789" s="98" t="s">
        <v>1704</v>
      </c>
      <c r="J1789" s="98" t="s">
        <v>1705</v>
      </c>
      <c r="K1789" s="98" t="s">
        <v>1706</v>
      </c>
    </row>
    <row r="1790" customFormat="false" ht="64" hidden="false" customHeight="true" outlineLevel="0" collapsed="false">
      <c r="C1790" s="98" t="s">
        <v>3565</v>
      </c>
      <c r="D1790" s="98" t="s">
        <v>1742</v>
      </c>
      <c r="E1790" s="98" t="s">
        <v>775</v>
      </c>
      <c r="F1790" s="98" t="n">
        <v>0</v>
      </c>
      <c r="G1790" s="98" t="s">
        <v>3469</v>
      </c>
      <c r="H1790" s="98" t="s">
        <v>3432</v>
      </c>
      <c r="I1790" s="98" t="s">
        <v>1704</v>
      </c>
      <c r="J1790" s="98" t="s">
        <v>1705</v>
      </c>
      <c r="K1790" s="98" t="s">
        <v>1706</v>
      </c>
    </row>
    <row r="1791" customFormat="false" ht="64" hidden="false" customHeight="true" outlineLevel="0" collapsed="false">
      <c r="C1791" s="98" t="s">
        <v>3566</v>
      </c>
      <c r="D1791" s="98" t="s">
        <v>1744</v>
      </c>
      <c r="E1791" s="98" t="s">
        <v>775</v>
      </c>
      <c r="F1791" s="98" t="n">
        <v>0</v>
      </c>
      <c r="G1791" s="98" t="s">
        <v>3469</v>
      </c>
      <c r="H1791" s="98" t="s">
        <v>3432</v>
      </c>
      <c r="I1791" s="98" t="s">
        <v>1704</v>
      </c>
      <c r="J1791" s="98" t="s">
        <v>1705</v>
      </c>
      <c r="K1791" s="98" t="s">
        <v>1706</v>
      </c>
    </row>
    <row r="1792" customFormat="false" ht="64" hidden="false" customHeight="true" outlineLevel="0" collapsed="false">
      <c r="C1792" s="98" t="s">
        <v>3567</v>
      </c>
      <c r="D1792" s="98" t="s">
        <v>1746</v>
      </c>
      <c r="E1792" s="98" t="s">
        <v>775</v>
      </c>
      <c r="F1792" s="98" t="n">
        <v>0</v>
      </c>
      <c r="G1792" s="98" t="s">
        <v>3469</v>
      </c>
      <c r="H1792" s="98" t="s">
        <v>3432</v>
      </c>
      <c r="I1792" s="98" t="s">
        <v>1704</v>
      </c>
      <c r="J1792" s="98" t="s">
        <v>1705</v>
      </c>
      <c r="K1792" s="98" t="s">
        <v>1706</v>
      </c>
    </row>
    <row r="1793" customFormat="false" ht="64" hidden="false" customHeight="true" outlineLevel="0" collapsed="false">
      <c r="C1793" s="98" t="s">
        <v>3568</v>
      </c>
      <c r="D1793" s="98" t="s">
        <v>1748</v>
      </c>
      <c r="E1793" s="98" t="s">
        <v>775</v>
      </c>
      <c r="F1793" s="98" t="n">
        <v>0</v>
      </c>
      <c r="G1793" s="98" t="s">
        <v>3469</v>
      </c>
      <c r="H1793" s="98" t="s">
        <v>3432</v>
      </c>
      <c r="I1793" s="98" t="s">
        <v>1704</v>
      </c>
      <c r="J1793" s="98" t="s">
        <v>1705</v>
      </c>
      <c r="K1793" s="98" t="s">
        <v>1706</v>
      </c>
    </row>
    <row r="1794" customFormat="false" ht="64" hidden="false" customHeight="true" outlineLevel="0" collapsed="false">
      <c r="C1794" s="98" t="s">
        <v>3569</v>
      </c>
      <c r="D1794" s="98" t="s">
        <v>1750</v>
      </c>
      <c r="E1794" s="98" t="s">
        <v>775</v>
      </c>
      <c r="F1794" s="98" t="n">
        <v>0</v>
      </c>
      <c r="G1794" s="98" t="s">
        <v>3469</v>
      </c>
      <c r="H1794" s="98" t="s">
        <v>3432</v>
      </c>
      <c r="I1794" s="98" t="s">
        <v>1704</v>
      </c>
      <c r="J1794" s="98" t="s">
        <v>1705</v>
      </c>
      <c r="K1794" s="98" t="s">
        <v>1706</v>
      </c>
    </row>
    <row r="1795" customFormat="false" ht="64" hidden="false" customHeight="true" outlineLevel="0" collapsed="false">
      <c r="C1795" s="98" t="s">
        <v>3570</v>
      </c>
      <c r="D1795" s="98" t="s">
        <v>1752</v>
      </c>
      <c r="E1795" s="98" t="s">
        <v>775</v>
      </c>
      <c r="F1795" s="98" t="n">
        <v>0</v>
      </c>
      <c r="G1795" s="98" t="s">
        <v>3469</v>
      </c>
      <c r="H1795" s="98" t="s">
        <v>3432</v>
      </c>
      <c r="I1795" s="98" t="s">
        <v>1704</v>
      </c>
      <c r="J1795" s="98" t="s">
        <v>1705</v>
      </c>
      <c r="K1795" s="98" t="s">
        <v>1706</v>
      </c>
    </row>
    <row r="1796" customFormat="false" ht="64" hidden="false" customHeight="true" outlineLevel="0" collapsed="false">
      <c r="C1796" s="98" t="s">
        <v>3571</v>
      </c>
      <c r="D1796" s="98" t="s">
        <v>1754</v>
      </c>
      <c r="E1796" s="98" t="s">
        <v>775</v>
      </c>
      <c r="F1796" s="98" t="n">
        <v>0</v>
      </c>
      <c r="G1796" s="98" t="s">
        <v>3469</v>
      </c>
      <c r="H1796" s="98" t="s">
        <v>3432</v>
      </c>
      <c r="I1796" s="98" t="s">
        <v>1704</v>
      </c>
      <c r="J1796" s="98" t="s">
        <v>1705</v>
      </c>
      <c r="K1796" s="98" t="s">
        <v>1706</v>
      </c>
    </row>
    <row r="1797" customFormat="false" ht="64" hidden="false" customHeight="true" outlineLevel="0" collapsed="false">
      <c r="C1797" s="98" t="s">
        <v>3572</v>
      </c>
      <c r="D1797" s="98" t="s">
        <v>1756</v>
      </c>
      <c r="E1797" s="98" t="s">
        <v>775</v>
      </c>
      <c r="F1797" s="98" t="n">
        <v>0</v>
      </c>
      <c r="G1797" s="98" t="s">
        <v>3469</v>
      </c>
      <c r="H1797" s="98" t="s">
        <v>3432</v>
      </c>
      <c r="I1797" s="98" t="s">
        <v>1704</v>
      </c>
      <c r="J1797" s="98" t="s">
        <v>1705</v>
      </c>
      <c r="K1797" s="98" t="s">
        <v>1706</v>
      </c>
    </row>
    <row r="1798" customFormat="false" ht="64" hidden="false" customHeight="true" outlineLevel="0" collapsed="false">
      <c r="C1798" s="98" t="s">
        <v>3573</v>
      </c>
      <c r="D1798" s="98" t="s">
        <v>1758</v>
      </c>
      <c r="E1798" s="98" t="s">
        <v>775</v>
      </c>
      <c r="F1798" s="98" t="n">
        <v>0</v>
      </c>
      <c r="G1798" s="98" t="s">
        <v>3469</v>
      </c>
      <c r="H1798" s="98" t="s">
        <v>3432</v>
      </c>
      <c r="I1798" s="98" t="s">
        <v>1704</v>
      </c>
      <c r="J1798" s="98" t="s">
        <v>1705</v>
      </c>
      <c r="K1798" s="98" t="s">
        <v>1706</v>
      </c>
    </row>
    <row r="1799" customFormat="false" ht="64" hidden="false" customHeight="true" outlineLevel="0" collapsed="false">
      <c r="C1799" s="98" t="s">
        <v>3574</v>
      </c>
      <c r="D1799" s="98" t="s">
        <v>1760</v>
      </c>
      <c r="E1799" s="98" t="s">
        <v>775</v>
      </c>
      <c r="F1799" s="98" t="n">
        <v>0</v>
      </c>
      <c r="G1799" s="98" t="s">
        <v>3469</v>
      </c>
      <c r="H1799" s="98" t="s">
        <v>3432</v>
      </c>
      <c r="I1799" s="98" t="s">
        <v>1704</v>
      </c>
      <c r="J1799" s="98" t="s">
        <v>1705</v>
      </c>
      <c r="K1799" s="98" t="s">
        <v>1706</v>
      </c>
    </row>
    <row r="1800" customFormat="false" ht="64" hidden="false" customHeight="true" outlineLevel="0" collapsed="false">
      <c r="C1800" s="98" t="s">
        <v>3575</v>
      </c>
      <c r="D1800" s="98" t="s">
        <v>1762</v>
      </c>
      <c r="E1800" s="98" t="s">
        <v>775</v>
      </c>
      <c r="F1800" s="98" t="n">
        <v>0</v>
      </c>
      <c r="G1800" s="98" t="s">
        <v>3469</v>
      </c>
      <c r="H1800" s="98" t="s">
        <v>3432</v>
      </c>
      <c r="I1800" s="98" t="s">
        <v>1704</v>
      </c>
      <c r="J1800" s="98" t="s">
        <v>1705</v>
      </c>
      <c r="K1800" s="98" t="s">
        <v>1706</v>
      </c>
    </row>
    <row r="1801" customFormat="false" ht="64" hidden="false" customHeight="true" outlineLevel="0" collapsed="false">
      <c r="C1801" s="98" t="s">
        <v>3576</v>
      </c>
      <c r="D1801" s="98" t="s">
        <v>1764</v>
      </c>
      <c r="E1801" s="98" t="s">
        <v>775</v>
      </c>
      <c r="F1801" s="98" t="n">
        <v>0</v>
      </c>
      <c r="G1801" s="98" t="s">
        <v>3469</v>
      </c>
      <c r="H1801" s="98" t="s">
        <v>3432</v>
      </c>
      <c r="I1801" s="98" t="s">
        <v>1704</v>
      </c>
      <c r="J1801" s="98" t="s">
        <v>1705</v>
      </c>
      <c r="K1801" s="98" t="s">
        <v>1706</v>
      </c>
    </row>
    <row r="1802" customFormat="false" ht="64" hidden="false" customHeight="true" outlineLevel="0" collapsed="false">
      <c r="C1802" s="98" t="s">
        <v>3577</v>
      </c>
      <c r="D1802" s="98" t="s">
        <v>1829</v>
      </c>
      <c r="E1802" s="98" t="s">
        <v>775</v>
      </c>
      <c r="F1802" s="98" t="n">
        <v>0</v>
      </c>
      <c r="G1802" s="98" t="s">
        <v>3431</v>
      </c>
      <c r="H1802" s="98" t="s">
        <v>3432</v>
      </c>
      <c r="I1802" s="98" t="s">
        <v>1704</v>
      </c>
      <c r="J1802" s="98" t="s">
        <v>1705</v>
      </c>
      <c r="K1802" s="98" t="s">
        <v>1706</v>
      </c>
    </row>
    <row r="1803" customFormat="false" ht="64" hidden="false" customHeight="true" outlineLevel="0" collapsed="false">
      <c r="C1803" s="98" t="s">
        <v>3578</v>
      </c>
      <c r="D1803" s="98" t="s">
        <v>1833</v>
      </c>
      <c r="E1803" s="98" t="s">
        <v>775</v>
      </c>
      <c r="F1803" s="98" t="n">
        <v>0</v>
      </c>
      <c r="G1803" s="98" t="s">
        <v>3431</v>
      </c>
      <c r="H1803" s="98" t="s">
        <v>3432</v>
      </c>
      <c r="I1803" s="98" t="s">
        <v>1704</v>
      </c>
      <c r="J1803" s="98" t="s">
        <v>1705</v>
      </c>
      <c r="K1803" s="98" t="s">
        <v>1706</v>
      </c>
    </row>
    <row r="1804" customFormat="false" ht="64" hidden="false" customHeight="true" outlineLevel="0" collapsed="false">
      <c r="C1804" s="98" t="s">
        <v>3579</v>
      </c>
      <c r="D1804" s="98" t="s">
        <v>1835</v>
      </c>
      <c r="E1804" s="98" t="s">
        <v>775</v>
      </c>
      <c r="F1804" s="98" t="n">
        <v>0</v>
      </c>
      <c r="G1804" s="98" t="s">
        <v>3431</v>
      </c>
      <c r="H1804" s="98" t="s">
        <v>3432</v>
      </c>
      <c r="I1804" s="98" t="s">
        <v>1704</v>
      </c>
      <c r="J1804" s="98" t="s">
        <v>1705</v>
      </c>
      <c r="K1804" s="98" t="s">
        <v>1706</v>
      </c>
    </row>
    <row r="1805" customFormat="false" ht="64" hidden="false" customHeight="true" outlineLevel="0" collapsed="false">
      <c r="C1805" s="98" t="s">
        <v>3580</v>
      </c>
      <c r="D1805" s="98" t="s">
        <v>1044</v>
      </c>
      <c r="E1805" s="98" t="s">
        <v>775</v>
      </c>
      <c r="F1805" s="98" t="n">
        <v>0</v>
      </c>
      <c r="G1805" s="98" t="s">
        <v>3431</v>
      </c>
      <c r="H1805" s="98" t="s">
        <v>3432</v>
      </c>
      <c r="I1805" s="98" t="s">
        <v>1704</v>
      </c>
      <c r="J1805" s="98" t="s">
        <v>1705</v>
      </c>
      <c r="K1805" s="98" t="s">
        <v>1706</v>
      </c>
    </row>
    <row r="1806" customFormat="false" ht="64" hidden="false" customHeight="true" outlineLevel="0" collapsed="false">
      <c r="C1806" s="98" t="s">
        <v>3581</v>
      </c>
      <c r="D1806" s="98" t="s">
        <v>1838</v>
      </c>
      <c r="E1806" s="98" t="s">
        <v>775</v>
      </c>
      <c r="F1806" s="98" t="n">
        <v>0</v>
      </c>
      <c r="G1806" s="98" t="s">
        <v>3431</v>
      </c>
      <c r="H1806" s="98" t="s">
        <v>3432</v>
      </c>
      <c r="I1806" s="98" t="s">
        <v>1704</v>
      </c>
      <c r="J1806" s="98" t="s">
        <v>1705</v>
      </c>
      <c r="K1806" s="98" t="s">
        <v>1706</v>
      </c>
    </row>
    <row r="1807" customFormat="false" ht="64" hidden="false" customHeight="true" outlineLevel="0" collapsed="false">
      <c r="C1807" s="98" t="s">
        <v>3582</v>
      </c>
      <c r="D1807" s="98" t="s">
        <v>1840</v>
      </c>
      <c r="E1807" s="98" t="s">
        <v>775</v>
      </c>
      <c r="F1807" s="98" t="n">
        <v>0</v>
      </c>
      <c r="G1807" s="98" t="s">
        <v>3431</v>
      </c>
      <c r="H1807" s="98" t="s">
        <v>3432</v>
      </c>
      <c r="I1807" s="98" t="s">
        <v>1704</v>
      </c>
      <c r="J1807" s="98" t="s">
        <v>1705</v>
      </c>
      <c r="K1807" s="98" t="s">
        <v>1706</v>
      </c>
    </row>
    <row r="1808" customFormat="false" ht="64" hidden="false" customHeight="true" outlineLevel="0" collapsed="false">
      <c r="C1808" s="98" t="s">
        <v>3583</v>
      </c>
      <c r="D1808" s="98" t="s">
        <v>1700</v>
      </c>
      <c r="E1808" s="98" t="s">
        <v>775</v>
      </c>
      <c r="F1808" s="98" t="n">
        <v>0</v>
      </c>
      <c r="G1808" s="98" t="s">
        <v>3431</v>
      </c>
      <c r="H1808" s="98" t="s">
        <v>3432</v>
      </c>
      <c r="I1808" s="98" t="s">
        <v>1704</v>
      </c>
      <c r="J1808" s="98" t="s">
        <v>1705</v>
      </c>
      <c r="K1808" s="98" t="s">
        <v>1706</v>
      </c>
    </row>
    <row r="1809" customFormat="false" ht="64" hidden="false" customHeight="true" outlineLevel="0" collapsed="false">
      <c r="C1809" s="98" t="s">
        <v>3584</v>
      </c>
      <c r="D1809" s="98" t="s">
        <v>1708</v>
      </c>
      <c r="E1809" s="98" t="s">
        <v>775</v>
      </c>
      <c r="F1809" s="98" t="n">
        <v>0</v>
      </c>
      <c r="G1809" s="98" t="s">
        <v>3431</v>
      </c>
      <c r="H1809" s="98" t="s">
        <v>3432</v>
      </c>
      <c r="I1809" s="98" t="s">
        <v>1704</v>
      </c>
      <c r="J1809" s="98" t="s">
        <v>1705</v>
      </c>
      <c r="K1809" s="98" t="s">
        <v>1706</v>
      </c>
    </row>
    <row r="1810" customFormat="false" ht="64" hidden="false" customHeight="true" outlineLevel="0" collapsed="false">
      <c r="C1810" s="98" t="s">
        <v>3585</v>
      </c>
      <c r="D1810" s="98" t="s">
        <v>1710</v>
      </c>
      <c r="E1810" s="98" t="s">
        <v>775</v>
      </c>
      <c r="F1810" s="98" t="n">
        <v>0</v>
      </c>
      <c r="G1810" s="98" t="s">
        <v>3431</v>
      </c>
      <c r="H1810" s="98" t="s">
        <v>3432</v>
      </c>
      <c r="I1810" s="98" t="s">
        <v>1704</v>
      </c>
      <c r="J1810" s="98" t="s">
        <v>1705</v>
      </c>
      <c r="K1810" s="98" t="s">
        <v>1706</v>
      </c>
    </row>
    <row r="1811" customFormat="false" ht="64" hidden="false" customHeight="true" outlineLevel="0" collapsed="false">
      <c r="C1811" s="98" t="s">
        <v>3586</v>
      </c>
      <c r="D1811" s="98" t="s">
        <v>1712</v>
      </c>
      <c r="E1811" s="98" t="s">
        <v>775</v>
      </c>
      <c r="F1811" s="98" t="n">
        <v>0</v>
      </c>
      <c r="G1811" s="98" t="s">
        <v>3431</v>
      </c>
      <c r="H1811" s="98" t="s">
        <v>3432</v>
      </c>
      <c r="I1811" s="98" t="s">
        <v>1704</v>
      </c>
      <c r="J1811" s="98" t="s">
        <v>1705</v>
      </c>
      <c r="K1811" s="98" t="s">
        <v>1706</v>
      </c>
    </row>
    <row r="1812" customFormat="false" ht="64" hidden="false" customHeight="true" outlineLevel="0" collapsed="false">
      <c r="C1812" s="98" t="s">
        <v>3587</v>
      </c>
      <c r="D1812" s="98" t="s">
        <v>1714</v>
      </c>
      <c r="E1812" s="98" t="s">
        <v>775</v>
      </c>
      <c r="F1812" s="98" t="n">
        <v>0</v>
      </c>
      <c r="G1812" s="98" t="s">
        <v>3431</v>
      </c>
      <c r="H1812" s="98" t="s">
        <v>3432</v>
      </c>
      <c r="I1812" s="98" t="s">
        <v>1704</v>
      </c>
      <c r="J1812" s="98" t="s">
        <v>1705</v>
      </c>
      <c r="K1812" s="98" t="s">
        <v>1706</v>
      </c>
    </row>
    <row r="1813" customFormat="false" ht="64" hidden="false" customHeight="true" outlineLevel="0" collapsed="false">
      <c r="C1813" s="98" t="s">
        <v>3588</v>
      </c>
      <c r="D1813" s="98" t="s">
        <v>1716</v>
      </c>
      <c r="E1813" s="98" t="s">
        <v>775</v>
      </c>
      <c r="F1813" s="98" t="n">
        <v>0</v>
      </c>
      <c r="G1813" s="98" t="s">
        <v>3431</v>
      </c>
      <c r="H1813" s="98" t="s">
        <v>3432</v>
      </c>
      <c r="I1813" s="98" t="s">
        <v>1704</v>
      </c>
      <c r="J1813" s="98" t="s">
        <v>1705</v>
      </c>
      <c r="K1813" s="98" t="s">
        <v>1706</v>
      </c>
    </row>
    <row r="1814" customFormat="false" ht="64" hidden="false" customHeight="true" outlineLevel="0" collapsed="false">
      <c r="C1814" s="98" t="s">
        <v>3589</v>
      </c>
      <c r="D1814" s="98" t="s">
        <v>1718</v>
      </c>
      <c r="E1814" s="98" t="s">
        <v>775</v>
      </c>
      <c r="F1814" s="98" t="n">
        <v>0</v>
      </c>
      <c r="G1814" s="98" t="s">
        <v>3431</v>
      </c>
      <c r="H1814" s="98" t="s">
        <v>3432</v>
      </c>
      <c r="I1814" s="98" t="s">
        <v>1704</v>
      </c>
      <c r="J1814" s="98" t="s">
        <v>1705</v>
      </c>
      <c r="K1814" s="98" t="s">
        <v>1706</v>
      </c>
    </row>
    <row r="1815" customFormat="false" ht="64" hidden="false" customHeight="true" outlineLevel="0" collapsed="false">
      <c r="C1815" s="98" t="s">
        <v>3590</v>
      </c>
      <c r="D1815" s="98" t="s">
        <v>1720</v>
      </c>
      <c r="E1815" s="98" t="s">
        <v>775</v>
      </c>
      <c r="F1815" s="98" t="n">
        <v>0</v>
      </c>
      <c r="G1815" s="98" t="s">
        <v>3431</v>
      </c>
      <c r="H1815" s="98" t="s">
        <v>3432</v>
      </c>
      <c r="I1815" s="98" t="s">
        <v>1704</v>
      </c>
      <c r="J1815" s="98" t="s">
        <v>1705</v>
      </c>
      <c r="K1815" s="98" t="s">
        <v>1706</v>
      </c>
    </row>
    <row r="1816" customFormat="false" ht="64" hidden="false" customHeight="true" outlineLevel="0" collapsed="false">
      <c r="C1816" s="98" t="s">
        <v>3591</v>
      </c>
      <c r="D1816" s="98" t="s">
        <v>1722</v>
      </c>
      <c r="E1816" s="98" t="s">
        <v>775</v>
      </c>
      <c r="F1816" s="98" t="n">
        <v>0</v>
      </c>
      <c r="G1816" s="98" t="s">
        <v>3431</v>
      </c>
      <c r="H1816" s="98" t="s">
        <v>3432</v>
      </c>
      <c r="I1816" s="98" t="s">
        <v>1704</v>
      </c>
      <c r="J1816" s="98" t="s">
        <v>1705</v>
      </c>
      <c r="K1816" s="98" t="s">
        <v>1706</v>
      </c>
    </row>
    <row r="1817" customFormat="false" ht="64" hidden="false" customHeight="true" outlineLevel="0" collapsed="false">
      <c r="C1817" s="98" t="s">
        <v>3592</v>
      </c>
      <c r="D1817" s="98" t="s">
        <v>1724</v>
      </c>
      <c r="E1817" s="98" t="s">
        <v>775</v>
      </c>
      <c r="F1817" s="98" t="n">
        <v>0</v>
      </c>
      <c r="G1817" s="98" t="s">
        <v>3431</v>
      </c>
      <c r="H1817" s="98" t="s">
        <v>3432</v>
      </c>
      <c r="I1817" s="98" t="s">
        <v>1704</v>
      </c>
      <c r="J1817" s="98" t="s">
        <v>1705</v>
      </c>
      <c r="K1817" s="98" t="s">
        <v>1706</v>
      </c>
    </row>
    <row r="1818" customFormat="false" ht="64" hidden="false" customHeight="true" outlineLevel="0" collapsed="false">
      <c r="C1818" s="98" t="s">
        <v>3593</v>
      </c>
      <c r="D1818" s="98" t="s">
        <v>1726</v>
      </c>
      <c r="E1818" s="98" t="s">
        <v>775</v>
      </c>
      <c r="F1818" s="98" t="n">
        <v>0</v>
      </c>
      <c r="G1818" s="98" t="s">
        <v>3431</v>
      </c>
      <c r="H1818" s="98" t="s">
        <v>3432</v>
      </c>
      <c r="I1818" s="98" t="s">
        <v>1704</v>
      </c>
      <c r="J1818" s="98" t="s">
        <v>1705</v>
      </c>
      <c r="K1818" s="98" t="s">
        <v>1706</v>
      </c>
    </row>
    <row r="1819" customFormat="false" ht="64" hidden="false" customHeight="true" outlineLevel="0" collapsed="false">
      <c r="C1819" s="98" t="s">
        <v>3594</v>
      </c>
      <c r="D1819" s="98" t="s">
        <v>1728</v>
      </c>
      <c r="E1819" s="98" t="s">
        <v>775</v>
      </c>
      <c r="F1819" s="98" t="n">
        <v>0</v>
      </c>
      <c r="G1819" s="98" t="s">
        <v>3431</v>
      </c>
      <c r="H1819" s="98" t="s">
        <v>3432</v>
      </c>
      <c r="I1819" s="98" t="s">
        <v>1704</v>
      </c>
      <c r="J1819" s="98" t="s">
        <v>1705</v>
      </c>
      <c r="K1819" s="98" t="s">
        <v>1706</v>
      </c>
    </row>
    <row r="1820" customFormat="false" ht="64" hidden="false" customHeight="true" outlineLevel="0" collapsed="false">
      <c r="C1820" s="98" t="s">
        <v>3595</v>
      </c>
      <c r="D1820" s="98" t="s">
        <v>1730</v>
      </c>
      <c r="E1820" s="98" t="s">
        <v>775</v>
      </c>
      <c r="F1820" s="98" t="n">
        <v>0</v>
      </c>
      <c r="G1820" s="98" t="s">
        <v>3431</v>
      </c>
      <c r="H1820" s="98" t="s">
        <v>3432</v>
      </c>
      <c r="I1820" s="98" t="s">
        <v>1704</v>
      </c>
      <c r="J1820" s="98" t="s">
        <v>1705</v>
      </c>
      <c r="K1820" s="98" t="s">
        <v>1706</v>
      </c>
    </row>
    <row r="1821" customFormat="false" ht="64" hidden="false" customHeight="true" outlineLevel="0" collapsed="false">
      <c r="C1821" s="98" t="s">
        <v>3596</v>
      </c>
      <c r="D1821" s="98" t="s">
        <v>1732</v>
      </c>
      <c r="E1821" s="98" t="s">
        <v>775</v>
      </c>
      <c r="F1821" s="98" t="n">
        <v>0</v>
      </c>
      <c r="G1821" s="98" t="s">
        <v>3431</v>
      </c>
      <c r="H1821" s="98" t="s">
        <v>3432</v>
      </c>
      <c r="I1821" s="98" t="s">
        <v>1704</v>
      </c>
      <c r="J1821" s="98" t="s">
        <v>1705</v>
      </c>
      <c r="K1821" s="98" t="s">
        <v>1706</v>
      </c>
    </row>
    <row r="1822" customFormat="false" ht="64" hidden="false" customHeight="true" outlineLevel="0" collapsed="false">
      <c r="C1822" s="98" t="s">
        <v>3597</v>
      </c>
      <c r="D1822" s="98" t="s">
        <v>1734</v>
      </c>
      <c r="E1822" s="98" t="s">
        <v>775</v>
      </c>
      <c r="F1822" s="98" t="n">
        <v>0</v>
      </c>
      <c r="G1822" s="98" t="s">
        <v>3431</v>
      </c>
      <c r="H1822" s="98" t="s">
        <v>3432</v>
      </c>
      <c r="I1822" s="98" t="s">
        <v>1704</v>
      </c>
      <c r="J1822" s="98" t="s">
        <v>1705</v>
      </c>
      <c r="K1822" s="98" t="s">
        <v>1706</v>
      </c>
    </row>
    <row r="1823" customFormat="false" ht="64" hidden="false" customHeight="true" outlineLevel="0" collapsed="false">
      <c r="C1823" s="98" t="s">
        <v>3598</v>
      </c>
      <c r="D1823" s="98" t="s">
        <v>1736</v>
      </c>
      <c r="E1823" s="98" t="s">
        <v>775</v>
      </c>
      <c r="F1823" s="98" t="n">
        <v>0</v>
      </c>
      <c r="G1823" s="98" t="s">
        <v>3431</v>
      </c>
      <c r="H1823" s="98" t="s">
        <v>3432</v>
      </c>
      <c r="I1823" s="98" t="s">
        <v>1704</v>
      </c>
      <c r="J1823" s="98" t="s">
        <v>1705</v>
      </c>
      <c r="K1823" s="98" t="s">
        <v>1706</v>
      </c>
    </row>
    <row r="1824" customFormat="false" ht="64" hidden="false" customHeight="true" outlineLevel="0" collapsed="false">
      <c r="C1824" s="98" t="s">
        <v>3599</v>
      </c>
      <c r="D1824" s="98" t="s">
        <v>1738</v>
      </c>
      <c r="E1824" s="98" t="s">
        <v>775</v>
      </c>
      <c r="F1824" s="98" t="n">
        <v>0</v>
      </c>
      <c r="G1824" s="98" t="s">
        <v>3431</v>
      </c>
      <c r="H1824" s="98" t="s">
        <v>3432</v>
      </c>
      <c r="I1824" s="98" t="s">
        <v>1704</v>
      </c>
      <c r="J1824" s="98" t="s">
        <v>1705</v>
      </c>
      <c r="K1824" s="98" t="s">
        <v>1706</v>
      </c>
    </row>
    <row r="1825" customFormat="false" ht="64" hidden="false" customHeight="true" outlineLevel="0" collapsed="false">
      <c r="C1825" s="98" t="s">
        <v>3600</v>
      </c>
      <c r="D1825" s="98" t="s">
        <v>1740</v>
      </c>
      <c r="E1825" s="98" t="s">
        <v>775</v>
      </c>
      <c r="F1825" s="98" t="n">
        <v>0</v>
      </c>
      <c r="G1825" s="98" t="s">
        <v>3431</v>
      </c>
      <c r="H1825" s="98" t="s">
        <v>3432</v>
      </c>
      <c r="I1825" s="98" t="s">
        <v>1704</v>
      </c>
      <c r="J1825" s="98" t="s">
        <v>1705</v>
      </c>
      <c r="K1825" s="98" t="s">
        <v>1706</v>
      </c>
    </row>
    <row r="1826" customFormat="false" ht="64" hidden="false" customHeight="true" outlineLevel="0" collapsed="false">
      <c r="C1826" s="98" t="s">
        <v>3601</v>
      </c>
      <c r="D1826" s="98" t="s">
        <v>1742</v>
      </c>
      <c r="E1826" s="98" t="s">
        <v>775</v>
      </c>
      <c r="F1826" s="98" t="n">
        <v>0</v>
      </c>
      <c r="G1826" s="98" t="s">
        <v>3431</v>
      </c>
      <c r="H1826" s="98" t="s">
        <v>3432</v>
      </c>
      <c r="I1826" s="98" t="s">
        <v>1704</v>
      </c>
      <c r="J1826" s="98" t="s">
        <v>1705</v>
      </c>
      <c r="K1826" s="98" t="s">
        <v>1706</v>
      </c>
    </row>
    <row r="1827" customFormat="false" ht="64" hidden="false" customHeight="true" outlineLevel="0" collapsed="false">
      <c r="C1827" s="98" t="s">
        <v>3602</v>
      </c>
      <c r="D1827" s="98" t="s">
        <v>1744</v>
      </c>
      <c r="E1827" s="98" t="s">
        <v>775</v>
      </c>
      <c r="F1827" s="98" t="n">
        <v>0</v>
      </c>
      <c r="G1827" s="98" t="s">
        <v>3431</v>
      </c>
      <c r="H1827" s="98" t="s">
        <v>3432</v>
      </c>
      <c r="I1827" s="98" t="s">
        <v>1704</v>
      </c>
      <c r="J1827" s="98" t="s">
        <v>1705</v>
      </c>
      <c r="K1827" s="98" t="s">
        <v>1706</v>
      </c>
    </row>
    <row r="1828" customFormat="false" ht="64" hidden="false" customHeight="true" outlineLevel="0" collapsed="false">
      <c r="C1828" s="98" t="s">
        <v>3603</v>
      </c>
      <c r="D1828" s="98" t="s">
        <v>1746</v>
      </c>
      <c r="E1828" s="98" t="s">
        <v>775</v>
      </c>
      <c r="F1828" s="98" t="n">
        <v>0</v>
      </c>
      <c r="G1828" s="98" t="s">
        <v>3431</v>
      </c>
      <c r="H1828" s="98" t="s">
        <v>3432</v>
      </c>
      <c r="I1828" s="98" t="s">
        <v>1704</v>
      </c>
      <c r="J1828" s="98" t="s">
        <v>1705</v>
      </c>
      <c r="K1828" s="98" t="s">
        <v>1706</v>
      </c>
    </row>
    <row r="1829" customFormat="false" ht="64" hidden="false" customHeight="true" outlineLevel="0" collapsed="false">
      <c r="C1829" s="98" t="s">
        <v>3604</v>
      </c>
      <c r="D1829" s="98" t="s">
        <v>1748</v>
      </c>
      <c r="E1829" s="98" t="s">
        <v>775</v>
      </c>
      <c r="F1829" s="98" t="n">
        <v>0</v>
      </c>
      <c r="G1829" s="98" t="s">
        <v>3431</v>
      </c>
      <c r="H1829" s="98" t="s">
        <v>3432</v>
      </c>
      <c r="I1829" s="98" t="s">
        <v>1704</v>
      </c>
      <c r="J1829" s="98" t="s">
        <v>1705</v>
      </c>
      <c r="K1829" s="98" t="s">
        <v>1706</v>
      </c>
    </row>
    <row r="1830" customFormat="false" ht="64" hidden="false" customHeight="true" outlineLevel="0" collapsed="false">
      <c r="C1830" s="98" t="s">
        <v>3605</v>
      </c>
      <c r="D1830" s="98" t="s">
        <v>1750</v>
      </c>
      <c r="E1830" s="98" t="s">
        <v>775</v>
      </c>
      <c r="F1830" s="98" t="n">
        <v>0</v>
      </c>
      <c r="G1830" s="98" t="s">
        <v>3431</v>
      </c>
      <c r="H1830" s="98" t="s">
        <v>3432</v>
      </c>
      <c r="I1830" s="98" t="s">
        <v>1704</v>
      </c>
      <c r="J1830" s="98" t="s">
        <v>1705</v>
      </c>
      <c r="K1830" s="98" t="s">
        <v>1706</v>
      </c>
    </row>
    <row r="1831" customFormat="false" ht="64" hidden="false" customHeight="true" outlineLevel="0" collapsed="false">
      <c r="C1831" s="98" t="s">
        <v>3606</v>
      </c>
      <c r="D1831" s="98" t="s">
        <v>1752</v>
      </c>
      <c r="E1831" s="98" t="s">
        <v>775</v>
      </c>
      <c r="F1831" s="98" t="n">
        <v>0</v>
      </c>
      <c r="G1831" s="98" t="s">
        <v>3431</v>
      </c>
      <c r="H1831" s="98" t="s">
        <v>3432</v>
      </c>
      <c r="I1831" s="98" t="s">
        <v>1704</v>
      </c>
      <c r="J1831" s="98" t="s">
        <v>1705</v>
      </c>
      <c r="K1831" s="98" t="s">
        <v>1706</v>
      </c>
    </row>
    <row r="1832" customFormat="false" ht="64" hidden="false" customHeight="true" outlineLevel="0" collapsed="false">
      <c r="C1832" s="98" t="s">
        <v>3607</v>
      </c>
      <c r="D1832" s="98" t="s">
        <v>1754</v>
      </c>
      <c r="E1832" s="98" t="s">
        <v>775</v>
      </c>
      <c r="F1832" s="98" t="n">
        <v>0</v>
      </c>
      <c r="G1832" s="98" t="s">
        <v>3431</v>
      </c>
      <c r="H1832" s="98" t="s">
        <v>3432</v>
      </c>
      <c r="I1832" s="98" t="s">
        <v>1704</v>
      </c>
      <c r="J1832" s="98" t="s">
        <v>1705</v>
      </c>
      <c r="K1832" s="98" t="s">
        <v>1706</v>
      </c>
    </row>
    <row r="1833" customFormat="false" ht="64" hidden="false" customHeight="true" outlineLevel="0" collapsed="false">
      <c r="C1833" s="98" t="s">
        <v>3608</v>
      </c>
      <c r="D1833" s="98" t="s">
        <v>1756</v>
      </c>
      <c r="E1833" s="98" t="s">
        <v>775</v>
      </c>
      <c r="F1833" s="98" t="n">
        <v>0</v>
      </c>
      <c r="G1833" s="98" t="s">
        <v>3431</v>
      </c>
      <c r="H1833" s="98" t="s">
        <v>3432</v>
      </c>
      <c r="I1833" s="98" t="s">
        <v>1704</v>
      </c>
      <c r="J1833" s="98" t="s">
        <v>1705</v>
      </c>
      <c r="K1833" s="98" t="s">
        <v>1706</v>
      </c>
    </row>
    <row r="1834" customFormat="false" ht="64" hidden="false" customHeight="true" outlineLevel="0" collapsed="false">
      <c r="C1834" s="98" t="s">
        <v>3609</v>
      </c>
      <c r="D1834" s="98" t="s">
        <v>1758</v>
      </c>
      <c r="E1834" s="98" t="s">
        <v>775</v>
      </c>
      <c r="F1834" s="98" t="n">
        <v>0</v>
      </c>
      <c r="G1834" s="98" t="s">
        <v>3431</v>
      </c>
      <c r="H1834" s="98" t="s">
        <v>3432</v>
      </c>
      <c r="I1834" s="98" t="s">
        <v>1704</v>
      </c>
      <c r="J1834" s="98" t="s">
        <v>1705</v>
      </c>
      <c r="K1834" s="98" t="s">
        <v>1706</v>
      </c>
    </row>
    <row r="1835" customFormat="false" ht="64" hidden="false" customHeight="true" outlineLevel="0" collapsed="false">
      <c r="C1835" s="98" t="s">
        <v>3610</v>
      </c>
      <c r="D1835" s="98" t="s">
        <v>1760</v>
      </c>
      <c r="E1835" s="98" t="s">
        <v>775</v>
      </c>
      <c r="F1835" s="98" t="n">
        <v>0</v>
      </c>
      <c r="G1835" s="98" t="s">
        <v>3431</v>
      </c>
      <c r="H1835" s="98" t="s">
        <v>3432</v>
      </c>
      <c r="I1835" s="98" t="s">
        <v>1704</v>
      </c>
      <c r="J1835" s="98" t="s">
        <v>1705</v>
      </c>
      <c r="K1835" s="98" t="s">
        <v>1706</v>
      </c>
    </row>
    <row r="1836" customFormat="false" ht="64" hidden="false" customHeight="true" outlineLevel="0" collapsed="false">
      <c r="C1836" s="98" t="s">
        <v>3611</v>
      </c>
      <c r="D1836" s="98" t="s">
        <v>1762</v>
      </c>
      <c r="E1836" s="98" t="s">
        <v>775</v>
      </c>
      <c r="F1836" s="98" t="n">
        <v>0</v>
      </c>
      <c r="G1836" s="98" t="s">
        <v>3431</v>
      </c>
      <c r="H1836" s="98" t="s">
        <v>3432</v>
      </c>
      <c r="I1836" s="98" t="s">
        <v>1704</v>
      </c>
      <c r="J1836" s="98" t="s">
        <v>1705</v>
      </c>
      <c r="K1836" s="98" t="s">
        <v>1706</v>
      </c>
    </row>
    <row r="1837" customFormat="false" ht="64" hidden="false" customHeight="true" outlineLevel="0" collapsed="false">
      <c r="C1837" s="98" t="s">
        <v>3612</v>
      </c>
      <c r="D1837" s="98" t="s">
        <v>1764</v>
      </c>
      <c r="E1837" s="98" t="s">
        <v>775</v>
      </c>
      <c r="F1837" s="98" t="n">
        <v>0</v>
      </c>
      <c r="G1837" s="98" t="s">
        <v>3431</v>
      </c>
      <c r="H1837" s="98" t="s">
        <v>3432</v>
      </c>
      <c r="I1837" s="98" t="s">
        <v>1704</v>
      </c>
      <c r="J1837" s="98" t="s">
        <v>1705</v>
      </c>
      <c r="K1837" s="98" t="s">
        <v>1706</v>
      </c>
    </row>
    <row r="1838" customFormat="false" ht="64" hidden="false" customHeight="true" outlineLevel="0" collapsed="false">
      <c r="C1838" s="98" t="s">
        <v>3613</v>
      </c>
      <c r="D1838" s="98" t="s">
        <v>1829</v>
      </c>
      <c r="E1838" s="98" t="s">
        <v>775</v>
      </c>
      <c r="F1838" s="98" t="n">
        <v>0</v>
      </c>
      <c r="G1838" s="98" t="s">
        <v>3469</v>
      </c>
      <c r="H1838" s="98" t="s">
        <v>3432</v>
      </c>
      <c r="I1838" s="98" t="s">
        <v>1704</v>
      </c>
      <c r="J1838" s="98" t="s">
        <v>1705</v>
      </c>
      <c r="K1838" s="98" t="s">
        <v>1706</v>
      </c>
    </row>
    <row r="1839" customFormat="false" ht="64" hidden="false" customHeight="true" outlineLevel="0" collapsed="false">
      <c r="C1839" s="98" t="s">
        <v>3614</v>
      </c>
      <c r="D1839" s="98" t="s">
        <v>1833</v>
      </c>
      <c r="E1839" s="98" t="s">
        <v>775</v>
      </c>
      <c r="F1839" s="98" t="n">
        <v>0</v>
      </c>
      <c r="G1839" s="98" t="s">
        <v>3469</v>
      </c>
      <c r="H1839" s="98" t="s">
        <v>3432</v>
      </c>
      <c r="I1839" s="98" t="s">
        <v>1704</v>
      </c>
      <c r="J1839" s="98" t="s">
        <v>1705</v>
      </c>
      <c r="K1839" s="98" t="s">
        <v>1706</v>
      </c>
    </row>
    <row r="1840" customFormat="false" ht="64" hidden="false" customHeight="true" outlineLevel="0" collapsed="false">
      <c r="C1840" s="98" t="s">
        <v>3615</v>
      </c>
      <c r="D1840" s="98" t="s">
        <v>1835</v>
      </c>
      <c r="E1840" s="98" t="s">
        <v>775</v>
      </c>
      <c r="F1840" s="98" t="n">
        <v>0</v>
      </c>
      <c r="G1840" s="98" t="s">
        <v>3469</v>
      </c>
      <c r="H1840" s="98" t="s">
        <v>3432</v>
      </c>
      <c r="I1840" s="98" t="s">
        <v>1704</v>
      </c>
      <c r="J1840" s="98" t="s">
        <v>1705</v>
      </c>
      <c r="K1840" s="98" t="s">
        <v>1706</v>
      </c>
    </row>
    <row r="1841" customFormat="false" ht="64" hidden="false" customHeight="true" outlineLevel="0" collapsed="false">
      <c r="C1841" s="98" t="s">
        <v>3616</v>
      </c>
      <c r="D1841" s="98" t="s">
        <v>1044</v>
      </c>
      <c r="E1841" s="98" t="s">
        <v>775</v>
      </c>
      <c r="F1841" s="98" t="n">
        <v>0</v>
      </c>
      <c r="G1841" s="98" t="s">
        <v>3469</v>
      </c>
      <c r="H1841" s="98" t="s">
        <v>3432</v>
      </c>
      <c r="I1841" s="98" t="s">
        <v>1704</v>
      </c>
      <c r="J1841" s="98" t="s">
        <v>1705</v>
      </c>
      <c r="K1841" s="98" t="s">
        <v>1706</v>
      </c>
    </row>
    <row r="1842" customFormat="false" ht="64" hidden="false" customHeight="true" outlineLevel="0" collapsed="false">
      <c r="C1842" s="98" t="s">
        <v>3617</v>
      </c>
      <c r="D1842" s="98" t="s">
        <v>1838</v>
      </c>
      <c r="E1842" s="98" t="s">
        <v>775</v>
      </c>
      <c r="F1842" s="98" t="n">
        <v>0</v>
      </c>
      <c r="G1842" s="98" t="s">
        <v>3469</v>
      </c>
      <c r="H1842" s="98" t="s">
        <v>3432</v>
      </c>
      <c r="I1842" s="98" t="s">
        <v>1704</v>
      </c>
      <c r="J1842" s="98" t="s">
        <v>1705</v>
      </c>
      <c r="K1842" s="98" t="s">
        <v>1706</v>
      </c>
    </row>
    <row r="1843" customFormat="false" ht="64" hidden="false" customHeight="true" outlineLevel="0" collapsed="false">
      <c r="C1843" s="98" t="s">
        <v>3618</v>
      </c>
      <c r="D1843" s="98" t="s">
        <v>1840</v>
      </c>
      <c r="E1843" s="98" t="s">
        <v>775</v>
      </c>
      <c r="F1843" s="98" t="n">
        <v>0</v>
      </c>
      <c r="G1843" s="98" t="s">
        <v>3469</v>
      </c>
      <c r="H1843" s="98" t="s">
        <v>3432</v>
      </c>
      <c r="I1843" s="98" t="s">
        <v>1704</v>
      </c>
      <c r="J1843" s="98" t="s">
        <v>1705</v>
      </c>
      <c r="K1843" s="98" t="s">
        <v>1706</v>
      </c>
    </row>
    <row r="1844" customFormat="false" ht="64" hidden="false" customHeight="true" outlineLevel="0" collapsed="false">
      <c r="C1844" s="98" t="s">
        <v>3619</v>
      </c>
      <c r="D1844" s="98" t="s">
        <v>1700</v>
      </c>
      <c r="E1844" s="98" t="s">
        <v>775</v>
      </c>
      <c r="F1844" s="98" t="n">
        <v>0</v>
      </c>
      <c r="G1844" s="98" t="s">
        <v>3469</v>
      </c>
      <c r="H1844" s="98" t="s">
        <v>3432</v>
      </c>
      <c r="I1844" s="98" t="s">
        <v>1704</v>
      </c>
      <c r="J1844" s="98" t="s">
        <v>1705</v>
      </c>
      <c r="K1844" s="98" t="s">
        <v>1706</v>
      </c>
    </row>
    <row r="1845" customFormat="false" ht="64" hidden="false" customHeight="true" outlineLevel="0" collapsed="false">
      <c r="C1845" s="98" t="s">
        <v>3620</v>
      </c>
      <c r="D1845" s="98" t="s">
        <v>1708</v>
      </c>
      <c r="E1845" s="98" t="s">
        <v>775</v>
      </c>
      <c r="F1845" s="98" t="n">
        <v>0</v>
      </c>
      <c r="G1845" s="98" t="s">
        <v>3469</v>
      </c>
      <c r="H1845" s="98" t="s">
        <v>3432</v>
      </c>
      <c r="I1845" s="98" t="s">
        <v>1704</v>
      </c>
      <c r="J1845" s="98" t="s">
        <v>1705</v>
      </c>
      <c r="K1845" s="98" t="s">
        <v>1706</v>
      </c>
    </row>
    <row r="1846" customFormat="false" ht="64" hidden="false" customHeight="true" outlineLevel="0" collapsed="false">
      <c r="C1846" s="98" t="s">
        <v>3621</v>
      </c>
      <c r="D1846" s="98" t="s">
        <v>1710</v>
      </c>
      <c r="E1846" s="98" t="s">
        <v>775</v>
      </c>
      <c r="F1846" s="98" t="n">
        <v>0</v>
      </c>
      <c r="G1846" s="98" t="s">
        <v>3469</v>
      </c>
      <c r="H1846" s="98" t="s">
        <v>3432</v>
      </c>
      <c r="I1846" s="98" t="s">
        <v>1704</v>
      </c>
      <c r="J1846" s="98" t="s">
        <v>1705</v>
      </c>
      <c r="K1846" s="98" t="s">
        <v>1706</v>
      </c>
    </row>
    <row r="1847" customFormat="false" ht="64" hidden="false" customHeight="true" outlineLevel="0" collapsed="false">
      <c r="C1847" s="98" t="s">
        <v>3622</v>
      </c>
      <c r="D1847" s="98" t="s">
        <v>1712</v>
      </c>
      <c r="E1847" s="98" t="s">
        <v>775</v>
      </c>
      <c r="F1847" s="98" t="n">
        <v>0</v>
      </c>
      <c r="G1847" s="98" t="s">
        <v>3469</v>
      </c>
      <c r="H1847" s="98" t="s">
        <v>3432</v>
      </c>
      <c r="I1847" s="98" t="s">
        <v>1704</v>
      </c>
      <c r="J1847" s="98" t="s">
        <v>1705</v>
      </c>
      <c r="K1847" s="98" t="s">
        <v>1706</v>
      </c>
    </row>
    <row r="1848" customFormat="false" ht="64" hidden="false" customHeight="true" outlineLevel="0" collapsed="false">
      <c r="C1848" s="98" t="s">
        <v>3623</v>
      </c>
      <c r="D1848" s="98" t="s">
        <v>1714</v>
      </c>
      <c r="E1848" s="98" t="s">
        <v>775</v>
      </c>
      <c r="F1848" s="98" t="n">
        <v>0</v>
      </c>
      <c r="G1848" s="98" t="s">
        <v>3469</v>
      </c>
      <c r="H1848" s="98" t="s">
        <v>3432</v>
      </c>
      <c r="I1848" s="98" t="s">
        <v>1704</v>
      </c>
      <c r="J1848" s="98" t="s">
        <v>1705</v>
      </c>
      <c r="K1848" s="98" t="s">
        <v>1706</v>
      </c>
    </row>
    <row r="1849" customFormat="false" ht="64" hidden="false" customHeight="true" outlineLevel="0" collapsed="false">
      <c r="C1849" s="98" t="s">
        <v>3624</v>
      </c>
      <c r="D1849" s="98" t="s">
        <v>1716</v>
      </c>
      <c r="E1849" s="98" t="s">
        <v>775</v>
      </c>
      <c r="F1849" s="98" t="n">
        <v>0</v>
      </c>
      <c r="G1849" s="98" t="s">
        <v>3469</v>
      </c>
      <c r="H1849" s="98" t="s">
        <v>3432</v>
      </c>
      <c r="I1849" s="98" t="s">
        <v>1704</v>
      </c>
      <c r="J1849" s="98" t="s">
        <v>1705</v>
      </c>
      <c r="K1849" s="98" t="s">
        <v>1706</v>
      </c>
    </row>
    <row r="1850" customFormat="false" ht="64" hidden="false" customHeight="true" outlineLevel="0" collapsed="false">
      <c r="C1850" s="98" t="s">
        <v>3625</v>
      </c>
      <c r="D1850" s="98" t="s">
        <v>1718</v>
      </c>
      <c r="E1850" s="98" t="s">
        <v>775</v>
      </c>
      <c r="F1850" s="98" t="n">
        <v>0</v>
      </c>
      <c r="G1850" s="98" t="s">
        <v>3469</v>
      </c>
      <c r="H1850" s="98" t="s">
        <v>3432</v>
      </c>
      <c r="I1850" s="98" t="s">
        <v>1704</v>
      </c>
      <c r="J1850" s="98" t="s">
        <v>1705</v>
      </c>
      <c r="K1850" s="98" t="s">
        <v>1706</v>
      </c>
    </row>
    <row r="1851" customFormat="false" ht="64" hidden="false" customHeight="true" outlineLevel="0" collapsed="false">
      <c r="C1851" s="98" t="s">
        <v>3626</v>
      </c>
      <c r="D1851" s="98" t="s">
        <v>1720</v>
      </c>
      <c r="E1851" s="98" t="s">
        <v>775</v>
      </c>
      <c r="F1851" s="98" t="n">
        <v>0</v>
      </c>
      <c r="G1851" s="98" t="s">
        <v>3469</v>
      </c>
      <c r="H1851" s="98" t="s">
        <v>3432</v>
      </c>
      <c r="I1851" s="98" t="s">
        <v>1704</v>
      </c>
      <c r="J1851" s="98" t="s">
        <v>1705</v>
      </c>
      <c r="K1851" s="98" t="s">
        <v>1706</v>
      </c>
    </row>
    <row r="1852" customFormat="false" ht="64" hidden="false" customHeight="true" outlineLevel="0" collapsed="false">
      <c r="C1852" s="98" t="s">
        <v>3627</v>
      </c>
      <c r="D1852" s="98" t="s">
        <v>1722</v>
      </c>
      <c r="E1852" s="98" t="s">
        <v>775</v>
      </c>
      <c r="F1852" s="98" t="n">
        <v>0</v>
      </c>
      <c r="G1852" s="98" t="s">
        <v>3469</v>
      </c>
      <c r="H1852" s="98" t="s">
        <v>3432</v>
      </c>
      <c r="I1852" s="98" t="s">
        <v>1704</v>
      </c>
      <c r="J1852" s="98" t="s">
        <v>1705</v>
      </c>
      <c r="K1852" s="98" t="s">
        <v>1706</v>
      </c>
    </row>
    <row r="1853" customFormat="false" ht="64" hidden="false" customHeight="true" outlineLevel="0" collapsed="false">
      <c r="C1853" s="98" t="s">
        <v>3628</v>
      </c>
      <c r="D1853" s="98" t="s">
        <v>1724</v>
      </c>
      <c r="E1853" s="98" t="s">
        <v>775</v>
      </c>
      <c r="F1853" s="98" t="n">
        <v>0</v>
      </c>
      <c r="G1853" s="98" t="s">
        <v>3469</v>
      </c>
      <c r="H1853" s="98" t="s">
        <v>3432</v>
      </c>
      <c r="I1853" s="98" t="s">
        <v>1704</v>
      </c>
      <c r="J1853" s="98" t="s">
        <v>1705</v>
      </c>
      <c r="K1853" s="98" t="s">
        <v>1706</v>
      </c>
    </row>
    <row r="1854" customFormat="false" ht="64" hidden="false" customHeight="true" outlineLevel="0" collapsed="false">
      <c r="C1854" s="98" t="s">
        <v>3629</v>
      </c>
      <c r="D1854" s="98" t="s">
        <v>1726</v>
      </c>
      <c r="E1854" s="98" t="s">
        <v>775</v>
      </c>
      <c r="F1854" s="98" t="n">
        <v>0</v>
      </c>
      <c r="G1854" s="98" t="s">
        <v>3469</v>
      </c>
      <c r="H1854" s="98" t="s">
        <v>3432</v>
      </c>
      <c r="I1854" s="98" t="s">
        <v>1704</v>
      </c>
      <c r="J1854" s="98" t="s">
        <v>1705</v>
      </c>
      <c r="K1854" s="98" t="s">
        <v>1706</v>
      </c>
    </row>
    <row r="1855" customFormat="false" ht="64" hidden="false" customHeight="true" outlineLevel="0" collapsed="false">
      <c r="C1855" s="98" t="s">
        <v>3630</v>
      </c>
      <c r="D1855" s="98" t="s">
        <v>1728</v>
      </c>
      <c r="E1855" s="98" t="s">
        <v>775</v>
      </c>
      <c r="F1855" s="98" t="n">
        <v>0</v>
      </c>
      <c r="G1855" s="98" t="s">
        <v>3469</v>
      </c>
      <c r="H1855" s="98" t="s">
        <v>3432</v>
      </c>
      <c r="I1855" s="98" t="s">
        <v>1704</v>
      </c>
      <c r="J1855" s="98" t="s">
        <v>1705</v>
      </c>
      <c r="K1855" s="98" t="s">
        <v>1706</v>
      </c>
    </row>
    <row r="1856" customFormat="false" ht="64" hidden="false" customHeight="true" outlineLevel="0" collapsed="false">
      <c r="C1856" s="98" t="s">
        <v>3631</v>
      </c>
      <c r="D1856" s="98" t="s">
        <v>1730</v>
      </c>
      <c r="E1856" s="98" t="s">
        <v>775</v>
      </c>
      <c r="F1856" s="98" t="n">
        <v>0</v>
      </c>
      <c r="G1856" s="98" t="s">
        <v>3469</v>
      </c>
      <c r="H1856" s="98" t="s">
        <v>3432</v>
      </c>
      <c r="I1856" s="98" t="s">
        <v>1704</v>
      </c>
      <c r="J1856" s="98" t="s">
        <v>1705</v>
      </c>
      <c r="K1856" s="98" t="s">
        <v>1706</v>
      </c>
    </row>
    <row r="1857" customFormat="false" ht="64" hidden="false" customHeight="true" outlineLevel="0" collapsed="false">
      <c r="C1857" s="98" t="s">
        <v>3632</v>
      </c>
      <c r="D1857" s="98" t="s">
        <v>1732</v>
      </c>
      <c r="E1857" s="98" t="s">
        <v>775</v>
      </c>
      <c r="F1857" s="98" t="n">
        <v>0</v>
      </c>
      <c r="G1857" s="98" t="s">
        <v>3469</v>
      </c>
      <c r="H1857" s="98" t="s">
        <v>3432</v>
      </c>
      <c r="I1857" s="98" t="s">
        <v>1704</v>
      </c>
      <c r="J1857" s="98" t="s">
        <v>1705</v>
      </c>
      <c r="K1857" s="98" t="s">
        <v>1706</v>
      </c>
    </row>
    <row r="1858" customFormat="false" ht="64" hidden="false" customHeight="true" outlineLevel="0" collapsed="false">
      <c r="C1858" s="98" t="s">
        <v>3633</v>
      </c>
      <c r="D1858" s="98" t="s">
        <v>1734</v>
      </c>
      <c r="E1858" s="98" t="s">
        <v>775</v>
      </c>
      <c r="F1858" s="98" t="n">
        <v>0</v>
      </c>
      <c r="G1858" s="98" t="s">
        <v>3469</v>
      </c>
      <c r="H1858" s="98" t="s">
        <v>3432</v>
      </c>
      <c r="I1858" s="98" t="s">
        <v>1704</v>
      </c>
      <c r="J1858" s="98" t="s">
        <v>1705</v>
      </c>
      <c r="K1858" s="98" t="s">
        <v>1706</v>
      </c>
    </row>
    <row r="1859" customFormat="false" ht="64" hidden="false" customHeight="true" outlineLevel="0" collapsed="false">
      <c r="C1859" s="98" t="s">
        <v>3634</v>
      </c>
      <c r="D1859" s="98" t="s">
        <v>1736</v>
      </c>
      <c r="E1859" s="98" t="s">
        <v>775</v>
      </c>
      <c r="F1859" s="98" t="n">
        <v>0</v>
      </c>
      <c r="G1859" s="98" t="s">
        <v>3469</v>
      </c>
      <c r="H1859" s="98" t="s">
        <v>3432</v>
      </c>
      <c r="I1859" s="98" t="s">
        <v>1704</v>
      </c>
      <c r="J1859" s="98" t="s">
        <v>1705</v>
      </c>
      <c r="K1859" s="98" t="s">
        <v>1706</v>
      </c>
    </row>
    <row r="1860" customFormat="false" ht="64" hidden="false" customHeight="true" outlineLevel="0" collapsed="false">
      <c r="C1860" s="98" t="s">
        <v>3635</v>
      </c>
      <c r="D1860" s="98" t="s">
        <v>1738</v>
      </c>
      <c r="E1860" s="98" t="s">
        <v>775</v>
      </c>
      <c r="F1860" s="98" t="n">
        <v>0</v>
      </c>
      <c r="G1860" s="98" t="s">
        <v>3469</v>
      </c>
      <c r="H1860" s="98" t="s">
        <v>3432</v>
      </c>
      <c r="I1860" s="98" t="s">
        <v>1704</v>
      </c>
      <c r="J1860" s="98" t="s">
        <v>1705</v>
      </c>
      <c r="K1860" s="98" t="s">
        <v>1706</v>
      </c>
    </row>
    <row r="1861" customFormat="false" ht="64" hidden="false" customHeight="true" outlineLevel="0" collapsed="false">
      <c r="C1861" s="98" t="s">
        <v>3636</v>
      </c>
      <c r="D1861" s="98" t="s">
        <v>1740</v>
      </c>
      <c r="E1861" s="98" t="s">
        <v>775</v>
      </c>
      <c r="F1861" s="98" t="n">
        <v>0</v>
      </c>
      <c r="G1861" s="98" t="s">
        <v>3469</v>
      </c>
      <c r="H1861" s="98" t="s">
        <v>3432</v>
      </c>
      <c r="I1861" s="98" t="s">
        <v>1704</v>
      </c>
      <c r="J1861" s="98" t="s">
        <v>1705</v>
      </c>
      <c r="K1861" s="98" t="s">
        <v>1706</v>
      </c>
    </row>
    <row r="1862" customFormat="false" ht="64" hidden="false" customHeight="true" outlineLevel="0" collapsed="false">
      <c r="C1862" s="98" t="s">
        <v>3637</v>
      </c>
      <c r="D1862" s="98" t="s">
        <v>1742</v>
      </c>
      <c r="E1862" s="98" t="s">
        <v>775</v>
      </c>
      <c r="F1862" s="98" t="n">
        <v>0</v>
      </c>
      <c r="G1862" s="98" t="s">
        <v>3469</v>
      </c>
      <c r="H1862" s="98" t="s">
        <v>3432</v>
      </c>
      <c r="I1862" s="98" t="s">
        <v>1704</v>
      </c>
      <c r="J1862" s="98" t="s">
        <v>1705</v>
      </c>
      <c r="K1862" s="98" t="s">
        <v>1706</v>
      </c>
    </row>
    <row r="1863" customFormat="false" ht="64" hidden="false" customHeight="true" outlineLevel="0" collapsed="false">
      <c r="C1863" s="98" t="s">
        <v>3638</v>
      </c>
      <c r="D1863" s="98" t="s">
        <v>1744</v>
      </c>
      <c r="E1863" s="98" t="s">
        <v>775</v>
      </c>
      <c r="F1863" s="98" t="n">
        <v>0</v>
      </c>
      <c r="G1863" s="98" t="s">
        <v>3469</v>
      </c>
      <c r="H1863" s="98" t="s">
        <v>3432</v>
      </c>
      <c r="I1863" s="98" t="s">
        <v>1704</v>
      </c>
      <c r="J1863" s="98" t="s">
        <v>1705</v>
      </c>
      <c r="K1863" s="98" t="s">
        <v>1706</v>
      </c>
    </row>
    <row r="1864" customFormat="false" ht="64" hidden="false" customHeight="true" outlineLevel="0" collapsed="false">
      <c r="C1864" s="98" t="s">
        <v>3639</v>
      </c>
      <c r="D1864" s="98" t="s">
        <v>1746</v>
      </c>
      <c r="E1864" s="98" t="s">
        <v>775</v>
      </c>
      <c r="F1864" s="98" t="n">
        <v>0</v>
      </c>
      <c r="G1864" s="98" t="s">
        <v>3469</v>
      </c>
      <c r="H1864" s="98" t="s">
        <v>3432</v>
      </c>
      <c r="I1864" s="98" t="s">
        <v>1704</v>
      </c>
      <c r="J1864" s="98" t="s">
        <v>1705</v>
      </c>
      <c r="K1864" s="98" t="s">
        <v>1706</v>
      </c>
    </row>
    <row r="1865" customFormat="false" ht="64" hidden="false" customHeight="true" outlineLevel="0" collapsed="false">
      <c r="C1865" s="98" t="s">
        <v>3640</v>
      </c>
      <c r="D1865" s="98" t="s">
        <v>1748</v>
      </c>
      <c r="E1865" s="98" t="s">
        <v>775</v>
      </c>
      <c r="F1865" s="98" t="n">
        <v>0</v>
      </c>
      <c r="G1865" s="98" t="s">
        <v>3469</v>
      </c>
      <c r="H1865" s="98" t="s">
        <v>3432</v>
      </c>
      <c r="I1865" s="98" t="s">
        <v>1704</v>
      </c>
      <c r="J1865" s="98" t="s">
        <v>1705</v>
      </c>
      <c r="K1865" s="98" t="s">
        <v>1706</v>
      </c>
    </row>
    <row r="1866" customFormat="false" ht="64" hidden="false" customHeight="true" outlineLevel="0" collapsed="false">
      <c r="C1866" s="98" t="s">
        <v>3641</v>
      </c>
      <c r="D1866" s="98" t="s">
        <v>1750</v>
      </c>
      <c r="E1866" s="98" t="s">
        <v>775</v>
      </c>
      <c r="F1866" s="98" t="n">
        <v>0</v>
      </c>
      <c r="G1866" s="98" t="s">
        <v>3469</v>
      </c>
      <c r="H1866" s="98" t="s">
        <v>3432</v>
      </c>
      <c r="I1866" s="98" t="s">
        <v>1704</v>
      </c>
      <c r="J1866" s="98" t="s">
        <v>1705</v>
      </c>
      <c r="K1866" s="98" t="s">
        <v>1706</v>
      </c>
    </row>
    <row r="1867" customFormat="false" ht="64" hidden="false" customHeight="true" outlineLevel="0" collapsed="false">
      <c r="C1867" s="98" t="s">
        <v>3642</v>
      </c>
      <c r="D1867" s="98" t="s">
        <v>1752</v>
      </c>
      <c r="E1867" s="98" t="s">
        <v>775</v>
      </c>
      <c r="F1867" s="98" t="n">
        <v>0</v>
      </c>
      <c r="G1867" s="98" t="s">
        <v>3469</v>
      </c>
      <c r="H1867" s="98" t="s">
        <v>3432</v>
      </c>
      <c r="I1867" s="98" t="s">
        <v>1704</v>
      </c>
      <c r="J1867" s="98" t="s">
        <v>1705</v>
      </c>
      <c r="K1867" s="98" t="s">
        <v>1706</v>
      </c>
    </row>
    <row r="1868" customFormat="false" ht="64" hidden="false" customHeight="true" outlineLevel="0" collapsed="false">
      <c r="C1868" s="98" t="s">
        <v>3643</v>
      </c>
      <c r="D1868" s="98" t="s">
        <v>1754</v>
      </c>
      <c r="E1868" s="98" t="s">
        <v>775</v>
      </c>
      <c r="F1868" s="98" t="n">
        <v>0</v>
      </c>
      <c r="G1868" s="98" t="s">
        <v>3469</v>
      </c>
      <c r="H1868" s="98" t="s">
        <v>3432</v>
      </c>
      <c r="I1868" s="98" t="s">
        <v>1704</v>
      </c>
      <c r="J1868" s="98" t="s">
        <v>1705</v>
      </c>
      <c r="K1868" s="98" t="s">
        <v>1706</v>
      </c>
    </row>
    <row r="1869" customFormat="false" ht="64" hidden="false" customHeight="true" outlineLevel="0" collapsed="false">
      <c r="C1869" s="98" t="s">
        <v>3644</v>
      </c>
      <c r="D1869" s="98" t="s">
        <v>1756</v>
      </c>
      <c r="E1869" s="98" t="s">
        <v>775</v>
      </c>
      <c r="F1869" s="98" t="n">
        <v>0</v>
      </c>
      <c r="G1869" s="98" t="s">
        <v>3469</v>
      </c>
      <c r="H1869" s="98" t="s">
        <v>3432</v>
      </c>
      <c r="I1869" s="98" t="s">
        <v>1704</v>
      </c>
      <c r="J1869" s="98" t="s">
        <v>1705</v>
      </c>
      <c r="K1869" s="98" t="s">
        <v>1706</v>
      </c>
    </row>
    <row r="1870" customFormat="false" ht="64" hidden="false" customHeight="true" outlineLevel="0" collapsed="false">
      <c r="C1870" s="98" t="s">
        <v>3645</v>
      </c>
      <c r="D1870" s="98" t="s">
        <v>1758</v>
      </c>
      <c r="E1870" s="98" t="s">
        <v>775</v>
      </c>
      <c r="F1870" s="98" t="n">
        <v>0</v>
      </c>
      <c r="G1870" s="98" t="s">
        <v>3469</v>
      </c>
      <c r="H1870" s="98" t="s">
        <v>3432</v>
      </c>
      <c r="I1870" s="98" t="s">
        <v>1704</v>
      </c>
      <c r="J1870" s="98" t="s">
        <v>1705</v>
      </c>
      <c r="K1870" s="98" t="s">
        <v>1706</v>
      </c>
    </row>
    <row r="1871" customFormat="false" ht="64" hidden="false" customHeight="true" outlineLevel="0" collapsed="false">
      <c r="C1871" s="98" t="s">
        <v>3646</v>
      </c>
      <c r="D1871" s="98" t="s">
        <v>1760</v>
      </c>
      <c r="E1871" s="98" t="s">
        <v>775</v>
      </c>
      <c r="F1871" s="98" t="n">
        <v>0</v>
      </c>
      <c r="G1871" s="98" t="s">
        <v>3469</v>
      </c>
      <c r="H1871" s="98" t="s">
        <v>3432</v>
      </c>
      <c r="I1871" s="98" t="s">
        <v>1704</v>
      </c>
      <c r="J1871" s="98" t="s">
        <v>1705</v>
      </c>
      <c r="K1871" s="98" t="s">
        <v>1706</v>
      </c>
    </row>
    <row r="1872" customFormat="false" ht="64" hidden="false" customHeight="true" outlineLevel="0" collapsed="false">
      <c r="C1872" s="98" t="s">
        <v>3647</v>
      </c>
      <c r="D1872" s="98" t="s">
        <v>1762</v>
      </c>
      <c r="E1872" s="98" t="s">
        <v>775</v>
      </c>
      <c r="F1872" s="98" t="n">
        <v>0</v>
      </c>
      <c r="G1872" s="98" t="s">
        <v>3469</v>
      </c>
      <c r="H1872" s="98" t="s">
        <v>3432</v>
      </c>
      <c r="I1872" s="98" t="s">
        <v>1704</v>
      </c>
      <c r="J1872" s="98" t="s">
        <v>1705</v>
      </c>
      <c r="K1872" s="98" t="s">
        <v>1706</v>
      </c>
    </row>
    <row r="1873" customFormat="false" ht="64" hidden="false" customHeight="true" outlineLevel="0" collapsed="false">
      <c r="C1873" s="98" t="s">
        <v>3648</v>
      </c>
      <c r="D1873" s="98" t="s">
        <v>1764</v>
      </c>
      <c r="E1873" s="98" t="s">
        <v>775</v>
      </c>
      <c r="F1873" s="98" t="n">
        <v>0</v>
      </c>
      <c r="G1873" s="98" t="s">
        <v>3469</v>
      </c>
      <c r="H1873" s="98" t="s">
        <v>3432</v>
      </c>
      <c r="I1873" s="98" t="s">
        <v>1704</v>
      </c>
      <c r="J1873" s="98" t="s">
        <v>1705</v>
      </c>
      <c r="K1873" s="98" t="s">
        <v>1706</v>
      </c>
    </row>
    <row r="1874" customFormat="false" ht="64" hidden="false" customHeight="true" outlineLevel="0" collapsed="false">
      <c r="C1874" s="98" t="s">
        <v>3649</v>
      </c>
      <c r="D1874" s="98" t="s">
        <v>1829</v>
      </c>
      <c r="E1874" s="98" t="s">
        <v>775</v>
      </c>
      <c r="F1874" s="98" t="n">
        <v>0</v>
      </c>
      <c r="G1874" s="98" t="s">
        <v>3431</v>
      </c>
      <c r="H1874" s="98" t="s">
        <v>3432</v>
      </c>
      <c r="I1874" s="98" t="s">
        <v>1704</v>
      </c>
      <c r="J1874" s="98" t="s">
        <v>1705</v>
      </c>
      <c r="K1874" s="98" t="s">
        <v>1706</v>
      </c>
    </row>
    <row r="1875" customFormat="false" ht="64" hidden="false" customHeight="true" outlineLevel="0" collapsed="false">
      <c r="C1875" s="98" t="s">
        <v>3650</v>
      </c>
      <c r="D1875" s="98" t="s">
        <v>1833</v>
      </c>
      <c r="E1875" s="98" t="s">
        <v>775</v>
      </c>
      <c r="F1875" s="98" t="n">
        <v>0</v>
      </c>
      <c r="G1875" s="98" t="s">
        <v>3431</v>
      </c>
      <c r="H1875" s="98" t="s">
        <v>3432</v>
      </c>
      <c r="I1875" s="98" t="s">
        <v>1704</v>
      </c>
      <c r="J1875" s="98" t="s">
        <v>1705</v>
      </c>
      <c r="K1875" s="98" t="s">
        <v>1706</v>
      </c>
    </row>
    <row r="1876" customFormat="false" ht="64" hidden="false" customHeight="true" outlineLevel="0" collapsed="false">
      <c r="C1876" s="98" t="s">
        <v>3651</v>
      </c>
      <c r="D1876" s="98" t="s">
        <v>1835</v>
      </c>
      <c r="E1876" s="98" t="s">
        <v>775</v>
      </c>
      <c r="F1876" s="98" t="n">
        <v>0</v>
      </c>
      <c r="G1876" s="98" t="s">
        <v>3431</v>
      </c>
      <c r="H1876" s="98" t="s">
        <v>3432</v>
      </c>
      <c r="I1876" s="98" t="s">
        <v>1704</v>
      </c>
      <c r="J1876" s="98" t="s">
        <v>1705</v>
      </c>
      <c r="K1876" s="98" t="s">
        <v>1706</v>
      </c>
    </row>
    <row r="1877" customFormat="false" ht="64" hidden="false" customHeight="true" outlineLevel="0" collapsed="false">
      <c r="C1877" s="98" t="s">
        <v>3652</v>
      </c>
      <c r="D1877" s="98" t="s">
        <v>1044</v>
      </c>
      <c r="E1877" s="98" t="s">
        <v>775</v>
      </c>
      <c r="F1877" s="98" t="n">
        <v>0</v>
      </c>
      <c r="G1877" s="98" t="s">
        <v>3431</v>
      </c>
      <c r="H1877" s="98" t="s">
        <v>3432</v>
      </c>
      <c r="I1877" s="98" t="s">
        <v>1704</v>
      </c>
      <c r="J1877" s="98" t="s">
        <v>1705</v>
      </c>
      <c r="K1877" s="98" t="s">
        <v>1706</v>
      </c>
    </row>
    <row r="1878" customFormat="false" ht="64" hidden="false" customHeight="true" outlineLevel="0" collapsed="false">
      <c r="C1878" s="98" t="s">
        <v>3653</v>
      </c>
      <c r="D1878" s="98" t="s">
        <v>1838</v>
      </c>
      <c r="E1878" s="98" t="s">
        <v>775</v>
      </c>
      <c r="F1878" s="98" t="n">
        <v>0</v>
      </c>
      <c r="G1878" s="98" t="s">
        <v>3431</v>
      </c>
      <c r="H1878" s="98" t="s">
        <v>3432</v>
      </c>
      <c r="I1878" s="98" t="s">
        <v>1704</v>
      </c>
      <c r="J1878" s="98" t="s">
        <v>1705</v>
      </c>
      <c r="K1878" s="98" t="s">
        <v>1706</v>
      </c>
    </row>
    <row r="1879" customFormat="false" ht="64" hidden="false" customHeight="true" outlineLevel="0" collapsed="false">
      <c r="C1879" s="98" t="s">
        <v>3654</v>
      </c>
      <c r="D1879" s="98" t="s">
        <v>1840</v>
      </c>
      <c r="E1879" s="98" t="s">
        <v>775</v>
      </c>
      <c r="F1879" s="98" t="n">
        <v>0</v>
      </c>
      <c r="G1879" s="98" t="s">
        <v>3431</v>
      </c>
      <c r="H1879" s="98" t="s">
        <v>3432</v>
      </c>
      <c r="I1879" s="98" t="s">
        <v>1704</v>
      </c>
      <c r="J1879" s="98" t="s">
        <v>1705</v>
      </c>
      <c r="K1879" s="98" t="s">
        <v>1706</v>
      </c>
    </row>
    <row r="1880" customFormat="false" ht="64" hidden="false" customHeight="true" outlineLevel="0" collapsed="false">
      <c r="C1880" s="98" t="s">
        <v>3655</v>
      </c>
      <c r="D1880" s="98" t="s">
        <v>1700</v>
      </c>
      <c r="E1880" s="98" t="s">
        <v>775</v>
      </c>
      <c r="F1880" s="98" t="n">
        <v>0</v>
      </c>
      <c r="G1880" s="98" t="s">
        <v>3431</v>
      </c>
      <c r="H1880" s="98" t="s">
        <v>3432</v>
      </c>
      <c r="I1880" s="98" t="s">
        <v>1704</v>
      </c>
      <c r="J1880" s="98" t="s">
        <v>1705</v>
      </c>
      <c r="K1880" s="98" t="s">
        <v>1706</v>
      </c>
    </row>
    <row r="1881" customFormat="false" ht="64" hidden="false" customHeight="true" outlineLevel="0" collapsed="false">
      <c r="C1881" s="98" t="s">
        <v>3656</v>
      </c>
      <c r="D1881" s="98" t="s">
        <v>1708</v>
      </c>
      <c r="E1881" s="98" t="s">
        <v>775</v>
      </c>
      <c r="F1881" s="98" t="n">
        <v>0</v>
      </c>
      <c r="G1881" s="98" t="s">
        <v>3431</v>
      </c>
      <c r="H1881" s="98" t="s">
        <v>3432</v>
      </c>
      <c r="I1881" s="98" t="s">
        <v>1704</v>
      </c>
      <c r="J1881" s="98" t="s">
        <v>1705</v>
      </c>
      <c r="K1881" s="98" t="s">
        <v>1706</v>
      </c>
    </row>
    <row r="1882" customFormat="false" ht="64" hidden="false" customHeight="true" outlineLevel="0" collapsed="false">
      <c r="C1882" s="98" t="s">
        <v>3657</v>
      </c>
      <c r="D1882" s="98" t="s">
        <v>1710</v>
      </c>
      <c r="E1882" s="98" t="s">
        <v>775</v>
      </c>
      <c r="F1882" s="98" t="n">
        <v>0</v>
      </c>
      <c r="G1882" s="98" t="s">
        <v>3431</v>
      </c>
      <c r="H1882" s="98" t="s">
        <v>3432</v>
      </c>
      <c r="I1882" s="98" t="s">
        <v>1704</v>
      </c>
      <c r="J1882" s="98" t="s">
        <v>1705</v>
      </c>
      <c r="K1882" s="98" t="s">
        <v>1706</v>
      </c>
    </row>
    <row r="1883" customFormat="false" ht="64" hidden="false" customHeight="true" outlineLevel="0" collapsed="false">
      <c r="C1883" s="98" t="s">
        <v>3658</v>
      </c>
      <c r="D1883" s="98" t="s">
        <v>1712</v>
      </c>
      <c r="E1883" s="98" t="s">
        <v>775</v>
      </c>
      <c r="F1883" s="98" t="n">
        <v>0</v>
      </c>
      <c r="G1883" s="98" t="s">
        <v>3431</v>
      </c>
      <c r="H1883" s="98" t="s">
        <v>3432</v>
      </c>
      <c r="I1883" s="98" t="s">
        <v>1704</v>
      </c>
      <c r="J1883" s="98" t="s">
        <v>1705</v>
      </c>
      <c r="K1883" s="98" t="s">
        <v>1706</v>
      </c>
    </row>
    <row r="1884" customFormat="false" ht="64" hidden="false" customHeight="true" outlineLevel="0" collapsed="false">
      <c r="C1884" s="98" t="s">
        <v>3659</v>
      </c>
      <c r="D1884" s="98" t="s">
        <v>1714</v>
      </c>
      <c r="E1884" s="98" t="s">
        <v>775</v>
      </c>
      <c r="F1884" s="98" t="n">
        <v>0</v>
      </c>
      <c r="G1884" s="98" t="s">
        <v>3431</v>
      </c>
      <c r="H1884" s="98" t="s">
        <v>3432</v>
      </c>
      <c r="I1884" s="98" t="s">
        <v>1704</v>
      </c>
      <c r="J1884" s="98" t="s">
        <v>1705</v>
      </c>
      <c r="K1884" s="98" t="s">
        <v>1706</v>
      </c>
    </row>
    <row r="1885" customFormat="false" ht="64" hidden="false" customHeight="true" outlineLevel="0" collapsed="false">
      <c r="C1885" s="98" t="s">
        <v>3660</v>
      </c>
      <c r="D1885" s="98" t="s">
        <v>1716</v>
      </c>
      <c r="E1885" s="98" t="s">
        <v>775</v>
      </c>
      <c r="F1885" s="98" t="n">
        <v>0</v>
      </c>
      <c r="G1885" s="98" t="s">
        <v>3431</v>
      </c>
      <c r="H1885" s="98" t="s">
        <v>3432</v>
      </c>
      <c r="I1885" s="98" t="s">
        <v>1704</v>
      </c>
      <c r="J1885" s="98" t="s">
        <v>1705</v>
      </c>
      <c r="K1885" s="98" t="s">
        <v>1706</v>
      </c>
    </row>
    <row r="1886" customFormat="false" ht="64" hidden="false" customHeight="true" outlineLevel="0" collapsed="false">
      <c r="C1886" s="98" t="s">
        <v>3661</v>
      </c>
      <c r="D1886" s="98" t="s">
        <v>1718</v>
      </c>
      <c r="E1886" s="98" t="s">
        <v>775</v>
      </c>
      <c r="F1886" s="98" t="n">
        <v>0</v>
      </c>
      <c r="G1886" s="98" t="s">
        <v>3431</v>
      </c>
      <c r="H1886" s="98" t="s">
        <v>3432</v>
      </c>
      <c r="I1886" s="98" t="s">
        <v>1704</v>
      </c>
      <c r="J1886" s="98" t="s">
        <v>1705</v>
      </c>
      <c r="K1886" s="98" t="s">
        <v>1706</v>
      </c>
    </row>
    <row r="1887" customFormat="false" ht="64" hidden="false" customHeight="true" outlineLevel="0" collapsed="false">
      <c r="C1887" s="98" t="s">
        <v>3662</v>
      </c>
      <c r="D1887" s="98" t="s">
        <v>1720</v>
      </c>
      <c r="E1887" s="98" t="s">
        <v>775</v>
      </c>
      <c r="F1887" s="98" t="n">
        <v>0</v>
      </c>
      <c r="G1887" s="98" t="s">
        <v>3431</v>
      </c>
      <c r="H1887" s="98" t="s">
        <v>3432</v>
      </c>
      <c r="I1887" s="98" t="s">
        <v>1704</v>
      </c>
      <c r="J1887" s="98" t="s">
        <v>1705</v>
      </c>
      <c r="K1887" s="98" t="s">
        <v>1706</v>
      </c>
    </row>
    <row r="1888" customFormat="false" ht="64" hidden="false" customHeight="true" outlineLevel="0" collapsed="false">
      <c r="C1888" s="98" t="s">
        <v>3663</v>
      </c>
      <c r="D1888" s="98" t="s">
        <v>1722</v>
      </c>
      <c r="E1888" s="98" t="s">
        <v>775</v>
      </c>
      <c r="F1888" s="98" t="n">
        <v>0</v>
      </c>
      <c r="G1888" s="98" t="s">
        <v>3431</v>
      </c>
      <c r="H1888" s="98" t="s">
        <v>3432</v>
      </c>
      <c r="I1888" s="98" t="s">
        <v>1704</v>
      </c>
      <c r="J1888" s="98" t="s">
        <v>1705</v>
      </c>
      <c r="K1888" s="98" t="s">
        <v>1706</v>
      </c>
    </row>
    <row r="1889" customFormat="false" ht="64" hidden="false" customHeight="true" outlineLevel="0" collapsed="false">
      <c r="C1889" s="98" t="s">
        <v>3664</v>
      </c>
      <c r="D1889" s="98" t="s">
        <v>1724</v>
      </c>
      <c r="E1889" s="98" t="s">
        <v>775</v>
      </c>
      <c r="F1889" s="98" t="n">
        <v>0</v>
      </c>
      <c r="G1889" s="98" t="s">
        <v>3431</v>
      </c>
      <c r="H1889" s="98" t="s">
        <v>3432</v>
      </c>
      <c r="I1889" s="98" t="s">
        <v>1704</v>
      </c>
      <c r="J1889" s="98" t="s">
        <v>1705</v>
      </c>
      <c r="K1889" s="98" t="s">
        <v>1706</v>
      </c>
    </row>
    <row r="1890" customFormat="false" ht="64" hidden="false" customHeight="true" outlineLevel="0" collapsed="false">
      <c r="C1890" s="98" t="s">
        <v>3665</v>
      </c>
      <c r="D1890" s="98" t="s">
        <v>1726</v>
      </c>
      <c r="E1890" s="98" t="s">
        <v>775</v>
      </c>
      <c r="F1890" s="98" t="n">
        <v>0</v>
      </c>
      <c r="G1890" s="98" t="s">
        <v>3431</v>
      </c>
      <c r="H1890" s="98" t="s">
        <v>3432</v>
      </c>
      <c r="I1890" s="98" t="s">
        <v>1704</v>
      </c>
      <c r="J1890" s="98" t="s">
        <v>1705</v>
      </c>
      <c r="K1890" s="98" t="s">
        <v>1706</v>
      </c>
    </row>
    <row r="1891" customFormat="false" ht="64" hidden="false" customHeight="true" outlineLevel="0" collapsed="false">
      <c r="C1891" s="98" t="s">
        <v>3666</v>
      </c>
      <c r="D1891" s="98" t="s">
        <v>1728</v>
      </c>
      <c r="E1891" s="98" t="s">
        <v>775</v>
      </c>
      <c r="F1891" s="98" t="n">
        <v>0</v>
      </c>
      <c r="G1891" s="98" t="s">
        <v>3431</v>
      </c>
      <c r="H1891" s="98" t="s">
        <v>3432</v>
      </c>
      <c r="I1891" s="98" t="s">
        <v>1704</v>
      </c>
      <c r="J1891" s="98" t="s">
        <v>1705</v>
      </c>
      <c r="K1891" s="98" t="s">
        <v>1706</v>
      </c>
    </row>
    <row r="1892" customFormat="false" ht="64" hidden="false" customHeight="true" outlineLevel="0" collapsed="false">
      <c r="C1892" s="98" t="s">
        <v>3667</v>
      </c>
      <c r="D1892" s="98" t="s">
        <v>1730</v>
      </c>
      <c r="E1892" s="98" t="s">
        <v>775</v>
      </c>
      <c r="F1892" s="98" t="n">
        <v>0</v>
      </c>
      <c r="G1892" s="98" t="s">
        <v>3431</v>
      </c>
      <c r="H1892" s="98" t="s">
        <v>3432</v>
      </c>
      <c r="I1892" s="98" t="s">
        <v>1704</v>
      </c>
      <c r="J1892" s="98" t="s">
        <v>1705</v>
      </c>
      <c r="K1892" s="98" t="s">
        <v>1706</v>
      </c>
    </row>
    <row r="1893" customFormat="false" ht="64" hidden="false" customHeight="true" outlineLevel="0" collapsed="false">
      <c r="C1893" s="98" t="s">
        <v>3668</v>
      </c>
      <c r="D1893" s="98" t="s">
        <v>1732</v>
      </c>
      <c r="E1893" s="98" t="s">
        <v>775</v>
      </c>
      <c r="F1893" s="98" t="n">
        <v>0</v>
      </c>
      <c r="G1893" s="98" t="s">
        <v>3431</v>
      </c>
      <c r="H1893" s="98" t="s">
        <v>3432</v>
      </c>
      <c r="I1893" s="98" t="s">
        <v>1704</v>
      </c>
      <c r="J1893" s="98" t="s">
        <v>1705</v>
      </c>
      <c r="K1893" s="98" t="s">
        <v>1706</v>
      </c>
    </row>
    <row r="1894" customFormat="false" ht="64" hidden="false" customHeight="true" outlineLevel="0" collapsed="false">
      <c r="C1894" s="98" t="s">
        <v>3669</v>
      </c>
      <c r="D1894" s="98" t="s">
        <v>1734</v>
      </c>
      <c r="E1894" s="98" t="s">
        <v>775</v>
      </c>
      <c r="F1894" s="98" t="n">
        <v>0</v>
      </c>
      <c r="G1894" s="98" t="s">
        <v>3431</v>
      </c>
      <c r="H1894" s="98" t="s">
        <v>3432</v>
      </c>
      <c r="I1894" s="98" t="s">
        <v>1704</v>
      </c>
      <c r="J1894" s="98" t="s">
        <v>1705</v>
      </c>
      <c r="K1894" s="98" t="s">
        <v>1706</v>
      </c>
    </row>
    <row r="1895" customFormat="false" ht="64" hidden="false" customHeight="true" outlineLevel="0" collapsed="false">
      <c r="C1895" s="98" t="s">
        <v>3670</v>
      </c>
      <c r="D1895" s="98" t="s">
        <v>1736</v>
      </c>
      <c r="E1895" s="98" t="s">
        <v>775</v>
      </c>
      <c r="F1895" s="98" t="n">
        <v>0</v>
      </c>
      <c r="G1895" s="98" t="s">
        <v>3431</v>
      </c>
      <c r="H1895" s="98" t="s">
        <v>3432</v>
      </c>
      <c r="I1895" s="98" t="s">
        <v>1704</v>
      </c>
      <c r="J1895" s="98" t="s">
        <v>1705</v>
      </c>
      <c r="K1895" s="98" t="s">
        <v>1706</v>
      </c>
    </row>
    <row r="1896" customFormat="false" ht="64" hidden="false" customHeight="true" outlineLevel="0" collapsed="false">
      <c r="C1896" s="98" t="s">
        <v>3671</v>
      </c>
      <c r="D1896" s="98" t="s">
        <v>1738</v>
      </c>
      <c r="E1896" s="98" t="s">
        <v>775</v>
      </c>
      <c r="F1896" s="98" t="n">
        <v>0</v>
      </c>
      <c r="G1896" s="98" t="s">
        <v>3431</v>
      </c>
      <c r="H1896" s="98" t="s">
        <v>3432</v>
      </c>
      <c r="I1896" s="98" t="s">
        <v>1704</v>
      </c>
      <c r="J1896" s="98" t="s">
        <v>1705</v>
      </c>
      <c r="K1896" s="98" t="s">
        <v>1706</v>
      </c>
    </row>
    <row r="1897" customFormat="false" ht="64" hidden="false" customHeight="true" outlineLevel="0" collapsed="false">
      <c r="C1897" s="98" t="s">
        <v>3672</v>
      </c>
      <c r="D1897" s="98" t="s">
        <v>1740</v>
      </c>
      <c r="E1897" s="98" t="s">
        <v>775</v>
      </c>
      <c r="F1897" s="98" t="n">
        <v>0</v>
      </c>
      <c r="G1897" s="98" t="s">
        <v>3431</v>
      </c>
      <c r="H1897" s="98" t="s">
        <v>3432</v>
      </c>
      <c r="I1897" s="98" t="s">
        <v>1704</v>
      </c>
      <c r="J1897" s="98" t="s">
        <v>1705</v>
      </c>
      <c r="K1897" s="98" t="s">
        <v>1706</v>
      </c>
    </row>
    <row r="1898" customFormat="false" ht="64" hidden="false" customHeight="true" outlineLevel="0" collapsed="false">
      <c r="C1898" s="98" t="s">
        <v>3673</v>
      </c>
      <c r="D1898" s="98" t="s">
        <v>1742</v>
      </c>
      <c r="E1898" s="98" t="s">
        <v>775</v>
      </c>
      <c r="F1898" s="98" t="n">
        <v>0</v>
      </c>
      <c r="G1898" s="98" t="s">
        <v>3431</v>
      </c>
      <c r="H1898" s="98" t="s">
        <v>3432</v>
      </c>
      <c r="I1898" s="98" t="s">
        <v>1704</v>
      </c>
      <c r="J1898" s="98" t="s">
        <v>1705</v>
      </c>
      <c r="K1898" s="98" t="s">
        <v>1706</v>
      </c>
    </row>
    <row r="1899" customFormat="false" ht="64" hidden="false" customHeight="true" outlineLevel="0" collapsed="false">
      <c r="C1899" s="98" t="s">
        <v>3674</v>
      </c>
      <c r="D1899" s="98" t="s">
        <v>1744</v>
      </c>
      <c r="E1899" s="98" t="s">
        <v>775</v>
      </c>
      <c r="F1899" s="98" t="n">
        <v>0</v>
      </c>
      <c r="G1899" s="98" t="s">
        <v>3431</v>
      </c>
      <c r="H1899" s="98" t="s">
        <v>3432</v>
      </c>
      <c r="I1899" s="98" t="s">
        <v>1704</v>
      </c>
      <c r="J1899" s="98" t="s">
        <v>1705</v>
      </c>
      <c r="K1899" s="98" t="s">
        <v>1706</v>
      </c>
    </row>
    <row r="1900" customFormat="false" ht="64" hidden="false" customHeight="true" outlineLevel="0" collapsed="false">
      <c r="C1900" s="98" t="s">
        <v>3675</v>
      </c>
      <c r="D1900" s="98" t="s">
        <v>1746</v>
      </c>
      <c r="E1900" s="98" t="s">
        <v>775</v>
      </c>
      <c r="F1900" s="98" t="n">
        <v>0</v>
      </c>
      <c r="G1900" s="98" t="s">
        <v>3431</v>
      </c>
      <c r="H1900" s="98" t="s">
        <v>3432</v>
      </c>
      <c r="I1900" s="98" t="s">
        <v>1704</v>
      </c>
      <c r="J1900" s="98" t="s">
        <v>1705</v>
      </c>
      <c r="K1900" s="98" t="s">
        <v>1706</v>
      </c>
    </row>
    <row r="1901" customFormat="false" ht="64" hidden="false" customHeight="true" outlineLevel="0" collapsed="false">
      <c r="C1901" s="98" t="s">
        <v>3676</v>
      </c>
      <c r="D1901" s="98" t="s">
        <v>1748</v>
      </c>
      <c r="E1901" s="98" t="s">
        <v>775</v>
      </c>
      <c r="F1901" s="98" t="n">
        <v>0</v>
      </c>
      <c r="G1901" s="98" t="s">
        <v>3431</v>
      </c>
      <c r="H1901" s="98" t="s">
        <v>3432</v>
      </c>
      <c r="I1901" s="98" t="s">
        <v>1704</v>
      </c>
      <c r="J1901" s="98" t="s">
        <v>1705</v>
      </c>
      <c r="K1901" s="98" t="s">
        <v>1706</v>
      </c>
    </row>
    <row r="1902" customFormat="false" ht="64" hidden="false" customHeight="true" outlineLevel="0" collapsed="false">
      <c r="C1902" s="98" t="s">
        <v>3677</v>
      </c>
      <c r="D1902" s="98" t="s">
        <v>1750</v>
      </c>
      <c r="E1902" s="98" t="s">
        <v>775</v>
      </c>
      <c r="F1902" s="98" t="n">
        <v>0</v>
      </c>
      <c r="G1902" s="98" t="s">
        <v>3431</v>
      </c>
      <c r="H1902" s="98" t="s">
        <v>3432</v>
      </c>
      <c r="I1902" s="98" t="s">
        <v>1704</v>
      </c>
      <c r="J1902" s="98" t="s">
        <v>1705</v>
      </c>
      <c r="K1902" s="98" t="s">
        <v>1706</v>
      </c>
    </row>
    <row r="1903" customFormat="false" ht="64" hidden="false" customHeight="true" outlineLevel="0" collapsed="false">
      <c r="C1903" s="98" t="s">
        <v>3678</v>
      </c>
      <c r="D1903" s="98" t="s">
        <v>1752</v>
      </c>
      <c r="E1903" s="98" t="s">
        <v>775</v>
      </c>
      <c r="F1903" s="98" t="n">
        <v>0</v>
      </c>
      <c r="G1903" s="98" t="s">
        <v>3431</v>
      </c>
      <c r="H1903" s="98" t="s">
        <v>3432</v>
      </c>
      <c r="I1903" s="98" t="s">
        <v>1704</v>
      </c>
      <c r="J1903" s="98" t="s">
        <v>1705</v>
      </c>
      <c r="K1903" s="98" t="s">
        <v>1706</v>
      </c>
    </row>
    <row r="1904" customFormat="false" ht="64" hidden="false" customHeight="true" outlineLevel="0" collapsed="false">
      <c r="C1904" s="98" t="s">
        <v>3679</v>
      </c>
      <c r="D1904" s="98" t="s">
        <v>1754</v>
      </c>
      <c r="E1904" s="98" t="s">
        <v>775</v>
      </c>
      <c r="F1904" s="98" t="n">
        <v>0</v>
      </c>
      <c r="G1904" s="98" t="s">
        <v>3431</v>
      </c>
      <c r="H1904" s="98" t="s">
        <v>3432</v>
      </c>
      <c r="I1904" s="98" t="s">
        <v>1704</v>
      </c>
      <c r="J1904" s="98" t="s">
        <v>1705</v>
      </c>
      <c r="K1904" s="98" t="s">
        <v>1706</v>
      </c>
    </row>
    <row r="1905" customFormat="false" ht="64" hidden="false" customHeight="true" outlineLevel="0" collapsed="false">
      <c r="C1905" s="98" t="s">
        <v>3680</v>
      </c>
      <c r="D1905" s="98" t="s">
        <v>1756</v>
      </c>
      <c r="E1905" s="98" t="s">
        <v>775</v>
      </c>
      <c r="F1905" s="98" t="n">
        <v>0</v>
      </c>
      <c r="G1905" s="98" t="s">
        <v>3431</v>
      </c>
      <c r="H1905" s="98" t="s">
        <v>3432</v>
      </c>
      <c r="I1905" s="98" t="s">
        <v>1704</v>
      </c>
      <c r="J1905" s="98" t="s">
        <v>1705</v>
      </c>
      <c r="K1905" s="98" t="s">
        <v>1706</v>
      </c>
    </row>
    <row r="1906" customFormat="false" ht="64" hidden="false" customHeight="true" outlineLevel="0" collapsed="false">
      <c r="C1906" s="98" t="s">
        <v>3681</v>
      </c>
      <c r="D1906" s="98" t="s">
        <v>1758</v>
      </c>
      <c r="E1906" s="98" t="s">
        <v>775</v>
      </c>
      <c r="F1906" s="98" t="n">
        <v>0</v>
      </c>
      <c r="G1906" s="98" t="s">
        <v>3431</v>
      </c>
      <c r="H1906" s="98" t="s">
        <v>3432</v>
      </c>
      <c r="I1906" s="98" t="s">
        <v>1704</v>
      </c>
      <c r="J1906" s="98" t="s">
        <v>1705</v>
      </c>
      <c r="K1906" s="98" t="s">
        <v>1706</v>
      </c>
    </row>
    <row r="1907" customFormat="false" ht="64" hidden="false" customHeight="true" outlineLevel="0" collapsed="false">
      <c r="C1907" s="98" t="s">
        <v>3682</v>
      </c>
      <c r="D1907" s="98" t="s">
        <v>1760</v>
      </c>
      <c r="E1907" s="98" t="s">
        <v>775</v>
      </c>
      <c r="F1907" s="98" t="n">
        <v>0</v>
      </c>
      <c r="G1907" s="98" t="s">
        <v>3431</v>
      </c>
      <c r="H1907" s="98" t="s">
        <v>3432</v>
      </c>
      <c r="I1907" s="98" t="s">
        <v>1704</v>
      </c>
      <c r="J1907" s="98" t="s">
        <v>1705</v>
      </c>
      <c r="K1907" s="98" t="s">
        <v>1706</v>
      </c>
    </row>
    <row r="1908" customFormat="false" ht="64" hidden="false" customHeight="true" outlineLevel="0" collapsed="false">
      <c r="C1908" s="98" t="s">
        <v>3683</v>
      </c>
      <c r="D1908" s="98" t="s">
        <v>1762</v>
      </c>
      <c r="E1908" s="98" t="s">
        <v>775</v>
      </c>
      <c r="F1908" s="98" t="n">
        <v>0</v>
      </c>
      <c r="G1908" s="98" t="s">
        <v>3431</v>
      </c>
      <c r="H1908" s="98" t="s">
        <v>3432</v>
      </c>
      <c r="I1908" s="98" t="s">
        <v>1704</v>
      </c>
      <c r="J1908" s="98" t="s">
        <v>1705</v>
      </c>
      <c r="K1908" s="98" t="s">
        <v>1706</v>
      </c>
    </row>
    <row r="1909" customFormat="false" ht="64" hidden="false" customHeight="true" outlineLevel="0" collapsed="false">
      <c r="C1909" s="98" t="s">
        <v>3684</v>
      </c>
      <c r="D1909" s="98" t="s">
        <v>1764</v>
      </c>
      <c r="E1909" s="98" t="s">
        <v>775</v>
      </c>
      <c r="F1909" s="98" t="n">
        <v>0</v>
      </c>
      <c r="G1909" s="98" t="s">
        <v>3431</v>
      </c>
      <c r="H1909" s="98" t="s">
        <v>3432</v>
      </c>
      <c r="I1909" s="98" t="s">
        <v>1704</v>
      </c>
      <c r="J1909" s="98" t="s">
        <v>1705</v>
      </c>
      <c r="K1909" s="98" t="s">
        <v>1706</v>
      </c>
    </row>
    <row r="1910" customFormat="false" ht="64" hidden="false" customHeight="true" outlineLevel="0" collapsed="false">
      <c r="C1910" s="98" t="s">
        <v>3685</v>
      </c>
      <c r="D1910" s="98" t="s">
        <v>1829</v>
      </c>
      <c r="E1910" s="98" t="s">
        <v>775</v>
      </c>
      <c r="F1910" s="98" t="n">
        <v>0</v>
      </c>
      <c r="G1910" s="98" t="s">
        <v>3469</v>
      </c>
      <c r="H1910" s="98" t="s">
        <v>3432</v>
      </c>
      <c r="I1910" s="98" t="s">
        <v>1704</v>
      </c>
      <c r="J1910" s="98" t="s">
        <v>1705</v>
      </c>
      <c r="K1910" s="98" t="s">
        <v>1706</v>
      </c>
    </row>
    <row r="1911" customFormat="false" ht="64" hidden="false" customHeight="true" outlineLevel="0" collapsed="false">
      <c r="C1911" s="98" t="s">
        <v>3686</v>
      </c>
      <c r="D1911" s="98" t="s">
        <v>1833</v>
      </c>
      <c r="E1911" s="98" t="s">
        <v>775</v>
      </c>
      <c r="F1911" s="98" t="n">
        <v>0</v>
      </c>
      <c r="G1911" s="98" t="s">
        <v>3469</v>
      </c>
      <c r="H1911" s="98" t="s">
        <v>3432</v>
      </c>
      <c r="I1911" s="98" t="s">
        <v>1704</v>
      </c>
      <c r="J1911" s="98" t="s">
        <v>1705</v>
      </c>
      <c r="K1911" s="98" t="s">
        <v>1706</v>
      </c>
    </row>
    <row r="1912" customFormat="false" ht="64" hidden="false" customHeight="true" outlineLevel="0" collapsed="false">
      <c r="C1912" s="98" t="s">
        <v>3687</v>
      </c>
      <c r="D1912" s="98" t="s">
        <v>1835</v>
      </c>
      <c r="E1912" s="98" t="s">
        <v>775</v>
      </c>
      <c r="F1912" s="98" t="n">
        <v>0</v>
      </c>
      <c r="G1912" s="98" t="s">
        <v>3469</v>
      </c>
      <c r="H1912" s="98" t="s">
        <v>3432</v>
      </c>
      <c r="I1912" s="98" t="s">
        <v>1704</v>
      </c>
      <c r="J1912" s="98" t="s">
        <v>1705</v>
      </c>
      <c r="K1912" s="98" t="s">
        <v>1706</v>
      </c>
    </row>
    <row r="1913" customFormat="false" ht="64" hidden="false" customHeight="true" outlineLevel="0" collapsed="false">
      <c r="C1913" s="98" t="s">
        <v>3688</v>
      </c>
      <c r="D1913" s="98" t="s">
        <v>1044</v>
      </c>
      <c r="E1913" s="98" t="s">
        <v>775</v>
      </c>
      <c r="F1913" s="98" t="n">
        <v>0</v>
      </c>
      <c r="G1913" s="98" t="s">
        <v>3469</v>
      </c>
      <c r="H1913" s="98" t="s">
        <v>3432</v>
      </c>
      <c r="I1913" s="98" t="s">
        <v>1704</v>
      </c>
      <c r="J1913" s="98" t="s">
        <v>1705</v>
      </c>
      <c r="K1913" s="98" t="s">
        <v>1706</v>
      </c>
    </row>
    <row r="1914" customFormat="false" ht="64" hidden="false" customHeight="true" outlineLevel="0" collapsed="false">
      <c r="C1914" s="98" t="s">
        <v>3689</v>
      </c>
      <c r="D1914" s="98" t="s">
        <v>1838</v>
      </c>
      <c r="E1914" s="98" t="s">
        <v>775</v>
      </c>
      <c r="F1914" s="98" t="n">
        <v>0</v>
      </c>
      <c r="G1914" s="98" t="s">
        <v>3469</v>
      </c>
      <c r="H1914" s="98" t="s">
        <v>3432</v>
      </c>
      <c r="I1914" s="98" t="s">
        <v>1704</v>
      </c>
      <c r="J1914" s="98" t="s">
        <v>1705</v>
      </c>
      <c r="K1914" s="98" t="s">
        <v>1706</v>
      </c>
    </row>
    <row r="1915" customFormat="false" ht="64" hidden="false" customHeight="true" outlineLevel="0" collapsed="false">
      <c r="C1915" s="98" t="s">
        <v>3690</v>
      </c>
      <c r="D1915" s="98" t="s">
        <v>1840</v>
      </c>
      <c r="E1915" s="98" t="s">
        <v>775</v>
      </c>
      <c r="F1915" s="98" t="n">
        <v>0</v>
      </c>
      <c r="G1915" s="98" t="s">
        <v>3469</v>
      </c>
      <c r="H1915" s="98" t="s">
        <v>3432</v>
      </c>
      <c r="I1915" s="98" t="s">
        <v>1704</v>
      </c>
      <c r="J1915" s="98" t="s">
        <v>1705</v>
      </c>
      <c r="K1915" s="98" t="s">
        <v>1706</v>
      </c>
    </row>
    <row r="1916" customFormat="false" ht="64" hidden="false" customHeight="true" outlineLevel="0" collapsed="false">
      <c r="C1916" s="98" t="s">
        <v>3691</v>
      </c>
      <c r="D1916" s="98" t="s">
        <v>1700</v>
      </c>
      <c r="E1916" s="98" t="s">
        <v>775</v>
      </c>
      <c r="F1916" s="98" t="n">
        <v>0</v>
      </c>
      <c r="G1916" s="98" t="s">
        <v>3469</v>
      </c>
      <c r="H1916" s="98" t="s">
        <v>3432</v>
      </c>
      <c r="I1916" s="98" t="s">
        <v>1704</v>
      </c>
      <c r="J1916" s="98" t="s">
        <v>1705</v>
      </c>
      <c r="K1916" s="98" t="s">
        <v>1706</v>
      </c>
    </row>
    <row r="1917" customFormat="false" ht="64" hidden="false" customHeight="true" outlineLevel="0" collapsed="false">
      <c r="C1917" s="98" t="s">
        <v>3692</v>
      </c>
      <c r="D1917" s="98" t="s">
        <v>1708</v>
      </c>
      <c r="E1917" s="98" t="s">
        <v>775</v>
      </c>
      <c r="F1917" s="98" t="n">
        <v>0</v>
      </c>
      <c r="G1917" s="98" t="s">
        <v>3469</v>
      </c>
      <c r="H1917" s="98" t="s">
        <v>3432</v>
      </c>
      <c r="I1917" s="98" t="s">
        <v>1704</v>
      </c>
      <c r="J1917" s="98" t="s">
        <v>1705</v>
      </c>
      <c r="K1917" s="98" t="s">
        <v>1706</v>
      </c>
    </row>
    <row r="1918" customFormat="false" ht="64" hidden="false" customHeight="true" outlineLevel="0" collapsed="false">
      <c r="C1918" s="98" t="s">
        <v>3693</v>
      </c>
      <c r="D1918" s="98" t="s">
        <v>1710</v>
      </c>
      <c r="E1918" s="98" t="s">
        <v>775</v>
      </c>
      <c r="F1918" s="98" t="n">
        <v>0</v>
      </c>
      <c r="G1918" s="98" t="s">
        <v>3469</v>
      </c>
      <c r="H1918" s="98" t="s">
        <v>3432</v>
      </c>
      <c r="I1918" s="98" t="s">
        <v>1704</v>
      </c>
      <c r="J1918" s="98" t="s">
        <v>1705</v>
      </c>
      <c r="K1918" s="98" t="s">
        <v>1706</v>
      </c>
    </row>
    <row r="1919" customFormat="false" ht="64" hidden="false" customHeight="true" outlineLevel="0" collapsed="false">
      <c r="C1919" s="98" t="s">
        <v>3694</v>
      </c>
      <c r="D1919" s="98" t="s">
        <v>1712</v>
      </c>
      <c r="E1919" s="98" t="s">
        <v>775</v>
      </c>
      <c r="F1919" s="98" t="n">
        <v>0</v>
      </c>
      <c r="G1919" s="98" t="s">
        <v>3469</v>
      </c>
      <c r="H1919" s="98" t="s">
        <v>3432</v>
      </c>
      <c r="I1919" s="98" t="s">
        <v>1704</v>
      </c>
      <c r="J1919" s="98" t="s">
        <v>1705</v>
      </c>
      <c r="K1919" s="98" t="s">
        <v>1706</v>
      </c>
    </row>
    <row r="1920" customFormat="false" ht="64" hidden="false" customHeight="true" outlineLevel="0" collapsed="false">
      <c r="C1920" s="98" t="s">
        <v>3695</v>
      </c>
      <c r="D1920" s="98" t="s">
        <v>1714</v>
      </c>
      <c r="E1920" s="98" t="s">
        <v>775</v>
      </c>
      <c r="F1920" s="98" t="n">
        <v>0</v>
      </c>
      <c r="G1920" s="98" t="s">
        <v>3469</v>
      </c>
      <c r="H1920" s="98" t="s">
        <v>3432</v>
      </c>
      <c r="I1920" s="98" t="s">
        <v>1704</v>
      </c>
      <c r="J1920" s="98" t="s">
        <v>1705</v>
      </c>
      <c r="K1920" s="98" t="s">
        <v>1706</v>
      </c>
    </row>
    <row r="1921" customFormat="false" ht="64" hidden="false" customHeight="true" outlineLevel="0" collapsed="false">
      <c r="C1921" s="98" t="s">
        <v>3696</v>
      </c>
      <c r="D1921" s="98" t="s">
        <v>1716</v>
      </c>
      <c r="E1921" s="98" t="s">
        <v>775</v>
      </c>
      <c r="F1921" s="98" t="n">
        <v>0</v>
      </c>
      <c r="G1921" s="98" t="s">
        <v>3469</v>
      </c>
      <c r="H1921" s="98" t="s">
        <v>3432</v>
      </c>
      <c r="I1921" s="98" t="s">
        <v>1704</v>
      </c>
      <c r="J1921" s="98" t="s">
        <v>1705</v>
      </c>
      <c r="K1921" s="98" t="s">
        <v>1706</v>
      </c>
    </row>
    <row r="1922" customFormat="false" ht="64" hidden="false" customHeight="true" outlineLevel="0" collapsed="false">
      <c r="C1922" s="98" t="s">
        <v>3697</v>
      </c>
      <c r="D1922" s="98" t="s">
        <v>1718</v>
      </c>
      <c r="E1922" s="98" t="s">
        <v>775</v>
      </c>
      <c r="F1922" s="98" t="n">
        <v>0</v>
      </c>
      <c r="G1922" s="98" t="s">
        <v>3469</v>
      </c>
      <c r="H1922" s="98" t="s">
        <v>3432</v>
      </c>
      <c r="I1922" s="98" t="s">
        <v>1704</v>
      </c>
      <c r="J1922" s="98" t="s">
        <v>1705</v>
      </c>
      <c r="K1922" s="98" t="s">
        <v>1706</v>
      </c>
    </row>
    <row r="1923" customFormat="false" ht="64" hidden="false" customHeight="true" outlineLevel="0" collapsed="false">
      <c r="C1923" s="98" t="s">
        <v>3698</v>
      </c>
      <c r="D1923" s="98" t="s">
        <v>1720</v>
      </c>
      <c r="E1923" s="98" t="s">
        <v>775</v>
      </c>
      <c r="F1923" s="98" t="n">
        <v>0</v>
      </c>
      <c r="G1923" s="98" t="s">
        <v>3469</v>
      </c>
      <c r="H1923" s="98" t="s">
        <v>3432</v>
      </c>
      <c r="I1923" s="98" t="s">
        <v>1704</v>
      </c>
      <c r="J1923" s="98" t="s">
        <v>1705</v>
      </c>
      <c r="K1923" s="98" t="s">
        <v>1706</v>
      </c>
    </row>
    <row r="1924" customFormat="false" ht="64" hidden="false" customHeight="true" outlineLevel="0" collapsed="false">
      <c r="C1924" s="98" t="s">
        <v>3699</v>
      </c>
      <c r="D1924" s="98" t="s">
        <v>1722</v>
      </c>
      <c r="E1924" s="98" t="s">
        <v>775</v>
      </c>
      <c r="F1924" s="98" t="n">
        <v>0</v>
      </c>
      <c r="G1924" s="98" t="s">
        <v>3469</v>
      </c>
      <c r="H1924" s="98" t="s">
        <v>3432</v>
      </c>
      <c r="I1924" s="98" t="s">
        <v>1704</v>
      </c>
      <c r="J1924" s="98" t="s">
        <v>1705</v>
      </c>
      <c r="K1924" s="98" t="s">
        <v>1706</v>
      </c>
    </row>
    <row r="1925" customFormat="false" ht="64" hidden="false" customHeight="true" outlineLevel="0" collapsed="false">
      <c r="C1925" s="98" t="s">
        <v>3700</v>
      </c>
      <c r="D1925" s="98" t="s">
        <v>1724</v>
      </c>
      <c r="E1925" s="98" t="s">
        <v>775</v>
      </c>
      <c r="F1925" s="98" t="n">
        <v>0</v>
      </c>
      <c r="G1925" s="98" t="s">
        <v>3469</v>
      </c>
      <c r="H1925" s="98" t="s">
        <v>3432</v>
      </c>
      <c r="I1925" s="98" t="s">
        <v>1704</v>
      </c>
      <c r="J1925" s="98" t="s">
        <v>1705</v>
      </c>
      <c r="K1925" s="98" t="s">
        <v>1706</v>
      </c>
    </row>
    <row r="1926" customFormat="false" ht="64" hidden="false" customHeight="true" outlineLevel="0" collapsed="false">
      <c r="C1926" s="98" t="s">
        <v>3701</v>
      </c>
      <c r="D1926" s="98" t="s">
        <v>1726</v>
      </c>
      <c r="E1926" s="98" t="s">
        <v>775</v>
      </c>
      <c r="F1926" s="98" t="n">
        <v>0</v>
      </c>
      <c r="G1926" s="98" t="s">
        <v>3469</v>
      </c>
      <c r="H1926" s="98" t="s">
        <v>3432</v>
      </c>
      <c r="I1926" s="98" t="s">
        <v>1704</v>
      </c>
      <c r="J1926" s="98" t="s">
        <v>1705</v>
      </c>
      <c r="K1926" s="98" t="s">
        <v>1706</v>
      </c>
    </row>
    <row r="1927" customFormat="false" ht="64" hidden="false" customHeight="true" outlineLevel="0" collapsed="false">
      <c r="C1927" s="98" t="s">
        <v>3702</v>
      </c>
      <c r="D1927" s="98" t="s">
        <v>1728</v>
      </c>
      <c r="E1927" s="98" t="s">
        <v>775</v>
      </c>
      <c r="F1927" s="98" t="n">
        <v>0</v>
      </c>
      <c r="G1927" s="98" t="s">
        <v>3469</v>
      </c>
      <c r="H1927" s="98" t="s">
        <v>3432</v>
      </c>
      <c r="I1927" s="98" t="s">
        <v>1704</v>
      </c>
      <c r="J1927" s="98" t="s">
        <v>1705</v>
      </c>
      <c r="K1927" s="98" t="s">
        <v>1706</v>
      </c>
    </row>
    <row r="1928" customFormat="false" ht="64" hidden="false" customHeight="true" outlineLevel="0" collapsed="false">
      <c r="C1928" s="98" t="s">
        <v>3703</v>
      </c>
      <c r="D1928" s="98" t="s">
        <v>1730</v>
      </c>
      <c r="E1928" s="98" t="s">
        <v>775</v>
      </c>
      <c r="F1928" s="98" t="n">
        <v>0</v>
      </c>
      <c r="G1928" s="98" t="s">
        <v>3469</v>
      </c>
      <c r="H1928" s="98" t="s">
        <v>3432</v>
      </c>
      <c r="I1928" s="98" t="s">
        <v>1704</v>
      </c>
      <c r="J1928" s="98" t="s">
        <v>1705</v>
      </c>
      <c r="K1928" s="98" t="s">
        <v>1706</v>
      </c>
    </row>
    <row r="1929" customFormat="false" ht="64" hidden="false" customHeight="true" outlineLevel="0" collapsed="false">
      <c r="C1929" s="98" t="s">
        <v>3704</v>
      </c>
      <c r="D1929" s="98" t="s">
        <v>1732</v>
      </c>
      <c r="E1929" s="98" t="s">
        <v>775</v>
      </c>
      <c r="F1929" s="98" t="n">
        <v>0</v>
      </c>
      <c r="G1929" s="98" t="s">
        <v>3469</v>
      </c>
      <c r="H1929" s="98" t="s">
        <v>3432</v>
      </c>
      <c r="I1929" s="98" t="s">
        <v>1704</v>
      </c>
      <c r="J1929" s="98" t="s">
        <v>1705</v>
      </c>
      <c r="K1929" s="98" t="s">
        <v>1706</v>
      </c>
    </row>
    <row r="1930" customFormat="false" ht="64" hidden="false" customHeight="true" outlineLevel="0" collapsed="false">
      <c r="C1930" s="98" t="s">
        <v>3705</v>
      </c>
      <c r="D1930" s="98" t="s">
        <v>1734</v>
      </c>
      <c r="E1930" s="98" t="s">
        <v>775</v>
      </c>
      <c r="F1930" s="98" t="n">
        <v>0</v>
      </c>
      <c r="G1930" s="98" t="s">
        <v>3469</v>
      </c>
      <c r="H1930" s="98" t="s">
        <v>3432</v>
      </c>
      <c r="I1930" s="98" t="s">
        <v>1704</v>
      </c>
      <c r="J1930" s="98" t="s">
        <v>1705</v>
      </c>
      <c r="K1930" s="98" t="s">
        <v>1706</v>
      </c>
    </row>
    <row r="1931" customFormat="false" ht="64" hidden="false" customHeight="true" outlineLevel="0" collapsed="false">
      <c r="C1931" s="98" t="s">
        <v>3706</v>
      </c>
      <c r="D1931" s="98" t="s">
        <v>1736</v>
      </c>
      <c r="E1931" s="98" t="s">
        <v>775</v>
      </c>
      <c r="F1931" s="98" t="n">
        <v>0</v>
      </c>
      <c r="G1931" s="98" t="s">
        <v>3469</v>
      </c>
      <c r="H1931" s="98" t="s">
        <v>3432</v>
      </c>
      <c r="I1931" s="98" t="s">
        <v>1704</v>
      </c>
      <c r="J1931" s="98" t="s">
        <v>1705</v>
      </c>
      <c r="K1931" s="98" t="s">
        <v>1706</v>
      </c>
    </row>
    <row r="1932" customFormat="false" ht="64" hidden="false" customHeight="true" outlineLevel="0" collapsed="false">
      <c r="C1932" s="98" t="s">
        <v>3707</v>
      </c>
      <c r="D1932" s="98" t="s">
        <v>1738</v>
      </c>
      <c r="E1932" s="98" t="s">
        <v>775</v>
      </c>
      <c r="F1932" s="98" t="n">
        <v>0</v>
      </c>
      <c r="G1932" s="98" t="s">
        <v>3469</v>
      </c>
      <c r="H1932" s="98" t="s">
        <v>3432</v>
      </c>
      <c r="I1932" s="98" t="s">
        <v>1704</v>
      </c>
      <c r="J1932" s="98" t="s">
        <v>1705</v>
      </c>
      <c r="K1932" s="98" t="s">
        <v>1706</v>
      </c>
    </row>
    <row r="1933" customFormat="false" ht="64" hidden="false" customHeight="true" outlineLevel="0" collapsed="false">
      <c r="C1933" s="98" t="s">
        <v>3708</v>
      </c>
      <c r="D1933" s="98" t="s">
        <v>1740</v>
      </c>
      <c r="E1933" s="98" t="s">
        <v>775</v>
      </c>
      <c r="F1933" s="98" t="n">
        <v>0</v>
      </c>
      <c r="G1933" s="98" t="s">
        <v>3469</v>
      </c>
      <c r="H1933" s="98" t="s">
        <v>3432</v>
      </c>
      <c r="I1933" s="98" t="s">
        <v>1704</v>
      </c>
      <c r="J1933" s="98" t="s">
        <v>1705</v>
      </c>
      <c r="K1933" s="98" t="s">
        <v>1706</v>
      </c>
    </row>
    <row r="1934" customFormat="false" ht="64" hidden="false" customHeight="true" outlineLevel="0" collapsed="false">
      <c r="C1934" s="98" t="s">
        <v>3709</v>
      </c>
      <c r="D1934" s="98" t="s">
        <v>1742</v>
      </c>
      <c r="E1934" s="98" t="s">
        <v>775</v>
      </c>
      <c r="F1934" s="98" t="n">
        <v>0</v>
      </c>
      <c r="G1934" s="98" t="s">
        <v>3469</v>
      </c>
      <c r="H1934" s="98" t="s">
        <v>3432</v>
      </c>
      <c r="I1934" s="98" t="s">
        <v>1704</v>
      </c>
      <c r="J1934" s="98" t="s">
        <v>1705</v>
      </c>
      <c r="K1934" s="98" t="s">
        <v>1706</v>
      </c>
    </row>
    <row r="1935" customFormat="false" ht="64" hidden="false" customHeight="true" outlineLevel="0" collapsed="false">
      <c r="C1935" s="98" t="s">
        <v>3710</v>
      </c>
      <c r="D1935" s="98" t="s">
        <v>1744</v>
      </c>
      <c r="E1935" s="98" t="s">
        <v>775</v>
      </c>
      <c r="F1935" s="98" t="n">
        <v>0</v>
      </c>
      <c r="G1935" s="98" t="s">
        <v>3469</v>
      </c>
      <c r="H1935" s="98" t="s">
        <v>3432</v>
      </c>
      <c r="I1935" s="98" t="s">
        <v>1704</v>
      </c>
      <c r="J1935" s="98" t="s">
        <v>1705</v>
      </c>
      <c r="K1935" s="98" t="s">
        <v>1706</v>
      </c>
    </row>
    <row r="1936" customFormat="false" ht="64" hidden="false" customHeight="true" outlineLevel="0" collapsed="false">
      <c r="C1936" s="98" t="s">
        <v>3711</v>
      </c>
      <c r="D1936" s="98" t="s">
        <v>1746</v>
      </c>
      <c r="E1936" s="98" t="s">
        <v>775</v>
      </c>
      <c r="F1936" s="98" t="n">
        <v>0</v>
      </c>
      <c r="G1936" s="98" t="s">
        <v>3469</v>
      </c>
      <c r="H1936" s="98" t="s">
        <v>3432</v>
      </c>
      <c r="I1936" s="98" t="s">
        <v>1704</v>
      </c>
      <c r="J1936" s="98" t="s">
        <v>1705</v>
      </c>
      <c r="K1936" s="98" t="s">
        <v>1706</v>
      </c>
    </row>
    <row r="1937" customFormat="false" ht="64" hidden="false" customHeight="true" outlineLevel="0" collapsed="false">
      <c r="C1937" s="98" t="s">
        <v>3712</v>
      </c>
      <c r="D1937" s="98" t="s">
        <v>1748</v>
      </c>
      <c r="E1937" s="98" t="s">
        <v>775</v>
      </c>
      <c r="F1937" s="98" t="n">
        <v>0</v>
      </c>
      <c r="G1937" s="98" t="s">
        <v>3469</v>
      </c>
      <c r="H1937" s="98" t="s">
        <v>3432</v>
      </c>
      <c r="I1937" s="98" t="s">
        <v>1704</v>
      </c>
      <c r="J1937" s="98" t="s">
        <v>1705</v>
      </c>
      <c r="K1937" s="98" t="s">
        <v>1706</v>
      </c>
    </row>
    <row r="1938" customFormat="false" ht="64" hidden="false" customHeight="true" outlineLevel="0" collapsed="false">
      <c r="C1938" s="98" t="s">
        <v>3713</v>
      </c>
      <c r="D1938" s="98" t="s">
        <v>1750</v>
      </c>
      <c r="E1938" s="98" t="s">
        <v>775</v>
      </c>
      <c r="F1938" s="98" t="n">
        <v>0</v>
      </c>
      <c r="G1938" s="98" t="s">
        <v>3469</v>
      </c>
      <c r="H1938" s="98" t="s">
        <v>3432</v>
      </c>
      <c r="I1938" s="98" t="s">
        <v>1704</v>
      </c>
      <c r="J1938" s="98" t="s">
        <v>1705</v>
      </c>
      <c r="K1938" s="98" t="s">
        <v>1706</v>
      </c>
    </row>
    <row r="1939" customFormat="false" ht="64" hidden="false" customHeight="true" outlineLevel="0" collapsed="false">
      <c r="C1939" s="98" t="s">
        <v>3714</v>
      </c>
      <c r="D1939" s="98" t="s">
        <v>1752</v>
      </c>
      <c r="E1939" s="98" t="s">
        <v>775</v>
      </c>
      <c r="F1939" s="98" t="n">
        <v>0</v>
      </c>
      <c r="G1939" s="98" t="s">
        <v>3469</v>
      </c>
      <c r="H1939" s="98" t="s">
        <v>3432</v>
      </c>
      <c r="I1939" s="98" t="s">
        <v>1704</v>
      </c>
      <c r="J1939" s="98" t="s">
        <v>1705</v>
      </c>
      <c r="K1939" s="98" t="s">
        <v>1706</v>
      </c>
    </row>
    <row r="1940" customFormat="false" ht="64" hidden="false" customHeight="true" outlineLevel="0" collapsed="false">
      <c r="C1940" s="98" t="s">
        <v>3715</v>
      </c>
      <c r="D1940" s="98" t="s">
        <v>1754</v>
      </c>
      <c r="E1940" s="98" t="s">
        <v>775</v>
      </c>
      <c r="F1940" s="98" t="n">
        <v>0</v>
      </c>
      <c r="G1940" s="98" t="s">
        <v>3469</v>
      </c>
      <c r="H1940" s="98" t="s">
        <v>3432</v>
      </c>
      <c r="I1940" s="98" t="s">
        <v>1704</v>
      </c>
      <c r="J1940" s="98" t="s">
        <v>1705</v>
      </c>
      <c r="K1940" s="98" t="s">
        <v>1706</v>
      </c>
    </row>
    <row r="1941" customFormat="false" ht="64" hidden="false" customHeight="true" outlineLevel="0" collapsed="false">
      <c r="C1941" s="98" t="s">
        <v>3716</v>
      </c>
      <c r="D1941" s="98" t="s">
        <v>1756</v>
      </c>
      <c r="E1941" s="98" t="s">
        <v>775</v>
      </c>
      <c r="F1941" s="98" t="n">
        <v>0</v>
      </c>
      <c r="G1941" s="98" t="s">
        <v>3469</v>
      </c>
      <c r="H1941" s="98" t="s">
        <v>3432</v>
      </c>
      <c r="I1941" s="98" t="s">
        <v>1704</v>
      </c>
      <c r="J1941" s="98" t="s">
        <v>1705</v>
      </c>
      <c r="K1941" s="98" t="s">
        <v>1706</v>
      </c>
    </row>
    <row r="1942" customFormat="false" ht="64" hidden="false" customHeight="true" outlineLevel="0" collapsed="false">
      <c r="C1942" s="98" t="s">
        <v>3717</v>
      </c>
      <c r="D1942" s="98" t="s">
        <v>1758</v>
      </c>
      <c r="E1942" s="98" t="s">
        <v>775</v>
      </c>
      <c r="F1942" s="98" t="n">
        <v>0</v>
      </c>
      <c r="G1942" s="98" t="s">
        <v>3469</v>
      </c>
      <c r="H1942" s="98" t="s">
        <v>3432</v>
      </c>
      <c r="I1942" s="98" t="s">
        <v>1704</v>
      </c>
      <c r="J1942" s="98" t="s">
        <v>1705</v>
      </c>
      <c r="K1942" s="98" t="s">
        <v>1706</v>
      </c>
    </row>
    <row r="1943" customFormat="false" ht="64" hidden="false" customHeight="true" outlineLevel="0" collapsed="false">
      <c r="C1943" s="98" t="s">
        <v>3718</v>
      </c>
      <c r="D1943" s="98" t="s">
        <v>1760</v>
      </c>
      <c r="E1943" s="98" t="s">
        <v>775</v>
      </c>
      <c r="F1943" s="98" t="n">
        <v>0</v>
      </c>
      <c r="G1943" s="98" t="s">
        <v>3469</v>
      </c>
      <c r="H1943" s="98" t="s">
        <v>3432</v>
      </c>
      <c r="I1943" s="98" t="s">
        <v>1704</v>
      </c>
      <c r="J1943" s="98" t="s">
        <v>1705</v>
      </c>
      <c r="K1943" s="98" t="s">
        <v>1706</v>
      </c>
    </row>
    <row r="1944" customFormat="false" ht="64" hidden="false" customHeight="true" outlineLevel="0" collapsed="false">
      <c r="C1944" s="98" t="s">
        <v>3719</v>
      </c>
      <c r="D1944" s="98" t="s">
        <v>1762</v>
      </c>
      <c r="E1944" s="98" t="s">
        <v>775</v>
      </c>
      <c r="F1944" s="98" t="n">
        <v>0</v>
      </c>
      <c r="G1944" s="98" t="s">
        <v>3469</v>
      </c>
      <c r="H1944" s="98" t="s">
        <v>3432</v>
      </c>
      <c r="I1944" s="98" t="s">
        <v>1704</v>
      </c>
      <c r="J1944" s="98" t="s">
        <v>1705</v>
      </c>
      <c r="K1944" s="98" t="s">
        <v>1706</v>
      </c>
    </row>
    <row r="1945" customFormat="false" ht="64" hidden="false" customHeight="true" outlineLevel="0" collapsed="false">
      <c r="C1945" s="98" t="s">
        <v>3720</v>
      </c>
      <c r="D1945" s="98" t="s">
        <v>1764</v>
      </c>
      <c r="E1945" s="98" t="s">
        <v>775</v>
      </c>
      <c r="F1945" s="98" t="n">
        <v>0</v>
      </c>
      <c r="G1945" s="98" t="s">
        <v>3469</v>
      </c>
      <c r="H1945" s="98" t="s">
        <v>3432</v>
      </c>
      <c r="I1945" s="98" t="s">
        <v>1704</v>
      </c>
      <c r="J1945" s="98" t="s">
        <v>1705</v>
      </c>
      <c r="K1945" s="98" t="s">
        <v>1706</v>
      </c>
    </row>
    <row r="1946" customFormat="false" ht="64" hidden="false" customHeight="true" outlineLevel="0" collapsed="false">
      <c r="C1946" s="98" t="s">
        <v>3721</v>
      </c>
      <c r="D1946" s="98" t="s">
        <v>1829</v>
      </c>
      <c r="E1946" s="98" t="s">
        <v>835</v>
      </c>
      <c r="F1946" s="98" t="n">
        <v>0.0123458511989627</v>
      </c>
      <c r="G1946" s="98" t="s">
        <v>3722</v>
      </c>
      <c r="H1946" s="98" t="s">
        <v>1703</v>
      </c>
      <c r="I1946" s="98" t="s">
        <v>1704</v>
      </c>
      <c r="J1946" s="98" t="s">
        <v>1705</v>
      </c>
      <c r="K1946" s="98" t="s">
        <v>1706</v>
      </c>
    </row>
    <row r="1947" customFormat="false" ht="64" hidden="false" customHeight="true" outlineLevel="0" collapsed="false">
      <c r="C1947" s="98" t="s">
        <v>3723</v>
      </c>
      <c r="D1947" s="98" t="s">
        <v>1833</v>
      </c>
      <c r="E1947" s="98" t="s">
        <v>835</v>
      </c>
      <c r="F1947" s="98" t="n">
        <v>0.0123458511989627</v>
      </c>
      <c r="G1947" s="98" t="s">
        <v>3722</v>
      </c>
      <c r="H1947" s="98" t="s">
        <v>1703</v>
      </c>
      <c r="I1947" s="98" t="s">
        <v>1704</v>
      </c>
      <c r="J1947" s="98" t="s">
        <v>1705</v>
      </c>
      <c r="K1947" s="98" t="s">
        <v>1706</v>
      </c>
    </row>
    <row r="1948" customFormat="false" ht="64" hidden="false" customHeight="true" outlineLevel="0" collapsed="false">
      <c r="C1948" s="98" t="s">
        <v>3724</v>
      </c>
      <c r="D1948" s="98" t="s">
        <v>1835</v>
      </c>
      <c r="E1948" s="98" t="s">
        <v>835</v>
      </c>
      <c r="F1948" s="98" t="n">
        <v>0.0123458511989627</v>
      </c>
      <c r="G1948" s="98" t="s">
        <v>3722</v>
      </c>
      <c r="H1948" s="98" t="s">
        <v>1703</v>
      </c>
      <c r="I1948" s="98" t="s">
        <v>1704</v>
      </c>
      <c r="J1948" s="98" t="s">
        <v>1705</v>
      </c>
      <c r="K1948" s="98" t="s">
        <v>1706</v>
      </c>
    </row>
    <row r="1949" customFormat="false" ht="64" hidden="false" customHeight="true" outlineLevel="0" collapsed="false">
      <c r="C1949" s="98" t="s">
        <v>3725</v>
      </c>
      <c r="D1949" s="98" t="s">
        <v>1044</v>
      </c>
      <c r="E1949" s="98" t="s">
        <v>835</v>
      </c>
      <c r="F1949" s="98" t="n">
        <v>0.0123458511989627</v>
      </c>
      <c r="G1949" s="98" t="s">
        <v>3722</v>
      </c>
      <c r="H1949" s="98" t="s">
        <v>1703</v>
      </c>
      <c r="I1949" s="98" t="s">
        <v>1704</v>
      </c>
      <c r="J1949" s="98" t="s">
        <v>1705</v>
      </c>
      <c r="K1949" s="98" t="s">
        <v>1706</v>
      </c>
    </row>
    <row r="1950" customFormat="false" ht="64" hidden="false" customHeight="true" outlineLevel="0" collapsed="false">
      <c r="C1950" s="98" t="s">
        <v>3726</v>
      </c>
      <c r="D1950" s="98" t="s">
        <v>1838</v>
      </c>
      <c r="E1950" s="98" t="s">
        <v>835</v>
      </c>
      <c r="F1950" s="98" t="n">
        <v>0.0123458511989627</v>
      </c>
      <c r="G1950" s="98" t="s">
        <v>3722</v>
      </c>
      <c r="H1950" s="98" t="s">
        <v>1703</v>
      </c>
      <c r="I1950" s="98" t="s">
        <v>1704</v>
      </c>
      <c r="J1950" s="98" t="s">
        <v>1705</v>
      </c>
      <c r="K1950" s="98" t="s">
        <v>1706</v>
      </c>
    </row>
    <row r="1951" customFormat="false" ht="64" hidden="false" customHeight="true" outlineLevel="0" collapsed="false">
      <c r="C1951" s="98" t="s">
        <v>3727</v>
      </c>
      <c r="D1951" s="98" t="s">
        <v>1840</v>
      </c>
      <c r="E1951" s="98" t="s">
        <v>835</v>
      </c>
      <c r="F1951" s="98" t="n">
        <v>0.0123458511989627</v>
      </c>
      <c r="G1951" s="98" t="s">
        <v>3722</v>
      </c>
      <c r="H1951" s="98" t="s">
        <v>1703</v>
      </c>
      <c r="I1951" s="98" t="s">
        <v>1704</v>
      </c>
      <c r="J1951" s="98" t="s">
        <v>1705</v>
      </c>
      <c r="K1951" s="98" t="s">
        <v>1706</v>
      </c>
    </row>
    <row r="1952" customFormat="false" ht="64" hidden="false" customHeight="true" outlineLevel="0" collapsed="false">
      <c r="C1952" s="98" t="s">
        <v>3728</v>
      </c>
      <c r="D1952" s="98" t="s">
        <v>1700</v>
      </c>
      <c r="E1952" s="98" t="s">
        <v>835</v>
      </c>
      <c r="F1952" s="98" t="n">
        <v>0.0123458511989627</v>
      </c>
      <c r="G1952" s="98" t="s">
        <v>3722</v>
      </c>
      <c r="H1952" s="98" t="s">
        <v>1703</v>
      </c>
      <c r="I1952" s="98" t="s">
        <v>1704</v>
      </c>
      <c r="J1952" s="98" t="s">
        <v>1705</v>
      </c>
      <c r="K1952" s="98" t="s">
        <v>1706</v>
      </c>
    </row>
    <row r="1953" customFormat="false" ht="64" hidden="false" customHeight="true" outlineLevel="0" collapsed="false">
      <c r="C1953" s="98" t="s">
        <v>3729</v>
      </c>
      <c r="D1953" s="98" t="s">
        <v>1708</v>
      </c>
      <c r="E1953" s="98" t="s">
        <v>835</v>
      </c>
      <c r="F1953" s="98" t="n">
        <v>0.0123458511989627</v>
      </c>
      <c r="G1953" s="98" t="s">
        <v>3722</v>
      </c>
      <c r="H1953" s="98" t="s">
        <v>1703</v>
      </c>
      <c r="I1953" s="98" t="s">
        <v>1704</v>
      </c>
      <c r="J1953" s="98" t="s">
        <v>1705</v>
      </c>
      <c r="K1953" s="98" t="s">
        <v>1706</v>
      </c>
    </row>
    <row r="1954" customFormat="false" ht="64" hidden="false" customHeight="true" outlineLevel="0" collapsed="false">
      <c r="C1954" s="98" t="s">
        <v>3730</v>
      </c>
      <c r="D1954" s="98" t="s">
        <v>1710</v>
      </c>
      <c r="E1954" s="98" t="s">
        <v>835</v>
      </c>
      <c r="F1954" s="98" t="n">
        <v>0.0123458511989627</v>
      </c>
      <c r="G1954" s="98" t="s">
        <v>3722</v>
      </c>
      <c r="H1954" s="98" t="s">
        <v>1703</v>
      </c>
      <c r="I1954" s="98" t="s">
        <v>1704</v>
      </c>
      <c r="J1954" s="98" t="s">
        <v>1705</v>
      </c>
      <c r="K1954" s="98" t="s">
        <v>1706</v>
      </c>
    </row>
    <row r="1955" customFormat="false" ht="64" hidden="false" customHeight="true" outlineLevel="0" collapsed="false">
      <c r="C1955" s="98" t="s">
        <v>3731</v>
      </c>
      <c r="D1955" s="98" t="s">
        <v>1712</v>
      </c>
      <c r="E1955" s="98" t="s">
        <v>835</v>
      </c>
      <c r="F1955" s="98" t="n">
        <v>0.0123458511989627</v>
      </c>
      <c r="G1955" s="98" t="s">
        <v>3722</v>
      </c>
      <c r="H1955" s="98" t="s">
        <v>1703</v>
      </c>
      <c r="I1955" s="98" t="s">
        <v>1704</v>
      </c>
      <c r="J1955" s="98" t="s">
        <v>1705</v>
      </c>
      <c r="K1955" s="98" t="s">
        <v>1706</v>
      </c>
    </row>
    <row r="1956" customFormat="false" ht="64" hidden="false" customHeight="true" outlineLevel="0" collapsed="false">
      <c r="C1956" s="98" t="s">
        <v>3732</v>
      </c>
      <c r="D1956" s="98" t="s">
        <v>1714</v>
      </c>
      <c r="E1956" s="98" t="s">
        <v>835</v>
      </c>
      <c r="F1956" s="98" t="n">
        <v>0.0123458511989627</v>
      </c>
      <c r="G1956" s="98" t="s">
        <v>3722</v>
      </c>
      <c r="H1956" s="98" t="s">
        <v>1703</v>
      </c>
      <c r="I1956" s="98" t="s">
        <v>1704</v>
      </c>
      <c r="J1956" s="98" t="s">
        <v>1705</v>
      </c>
      <c r="K1956" s="98" t="s">
        <v>1706</v>
      </c>
    </row>
    <row r="1957" customFormat="false" ht="64" hidden="false" customHeight="true" outlineLevel="0" collapsed="false">
      <c r="C1957" s="98" t="s">
        <v>3733</v>
      </c>
      <c r="D1957" s="98" t="s">
        <v>1716</v>
      </c>
      <c r="E1957" s="98" t="s">
        <v>835</v>
      </c>
      <c r="F1957" s="98" t="n">
        <v>0.0123458511989627</v>
      </c>
      <c r="G1957" s="98" t="s">
        <v>3722</v>
      </c>
      <c r="H1957" s="98" t="s">
        <v>1703</v>
      </c>
      <c r="I1957" s="98" t="s">
        <v>1704</v>
      </c>
      <c r="J1957" s="98" t="s">
        <v>1705</v>
      </c>
      <c r="K1957" s="98" t="s">
        <v>1706</v>
      </c>
    </row>
    <row r="1958" customFormat="false" ht="64" hidden="false" customHeight="true" outlineLevel="0" collapsed="false">
      <c r="C1958" s="98" t="s">
        <v>3734</v>
      </c>
      <c r="D1958" s="98" t="s">
        <v>1718</v>
      </c>
      <c r="E1958" s="98" t="s">
        <v>835</v>
      </c>
      <c r="F1958" s="98" t="n">
        <v>0.0123458511989627</v>
      </c>
      <c r="G1958" s="98" t="s">
        <v>3722</v>
      </c>
      <c r="H1958" s="98" t="s">
        <v>1703</v>
      </c>
      <c r="I1958" s="98" t="s">
        <v>1704</v>
      </c>
      <c r="J1958" s="98" t="s">
        <v>1705</v>
      </c>
      <c r="K1958" s="98" t="s">
        <v>1706</v>
      </c>
    </row>
    <row r="1959" customFormat="false" ht="64" hidden="false" customHeight="true" outlineLevel="0" collapsed="false">
      <c r="C1959" s="98" t="s">
        <v>3735</v>
      </c>
      <c r="D1959" s="98" t="s">
        <v>1720</v>
      </c>
      <c r="E1959" s="98" t="s">
        <v>835</v>
      </c>
      <c r="F1959" s="98" t="n">
        <v>0.0123458511989627</v>
      </c>
      <c r="G1959" s="98" t="s">
        <v>3722</v>
      </c>
      <c r="H1959" s="98" t="s">
        <v>1703</v>
      </c>
      <c r="I1959" s="98" t="s">
        <v>1704</v>
      </c>
      <c r="J1959" s="98" t="s">
        <v>1705</v>
      </c>
      <c r="K1959" s="98" t="s">
        <v>1706</v>
      </c>
    </row>
    <row r="1960" customFormat="false" ht="64" hidden="false" customHeight="true" outlineLevel="0" collapsed="false">
      <c r="C1960" s="98" t="s">
        <v>3736</v>
      </c>
      <c r="D1960" s="98" t="s">
        <v>1722</v>
      </c>
      <c r="E1960" s="98" t="s">
        <v>835</v>
      </c>
      <c r="F1960" s="98" t="n">
        <v>0.0123458511989627</v>
      </c>
      <c r="G1960" s="98" t="s">
        <v>3722</v>
      </c>
      <c r="H1960" s="98" t="s">
        <v>1703</v>
      </c>
      <c r="I1960" s="98" t="s">
        <v>1704</v>
      </c>
      <c r="J1960" s="98" t="s">
        <v>1705</v>
      </c>
      <c r="K1960" s="98" t="s">
        <v>1706</v>
      </c>
    </row>
    <row r="1961" customFormat="false" ht="64" hidden="false" customHeight="true" outlineLevel="0" collapsed="false">
      <c r="C1961" s="98" t="s">
        <v>3737</v>
      </c>
      <c r="D1961" s="98" t="s">
        <v>1724</v>
      </c>
      <c r="E1961" s="98" t="s">
        <v>835</v>
      </c>
      <c r="F1961" s="98" t="n">
        <v>0.0123458511989627</v>
      </c>
      <c r="G1961" s="98" t="s">
        <v>3722</v>
      </c>
      <c r="H1961" s="98" t="s">
        <v>1703</v>
      </c>
      <c r="I1961" s="98" t="s">
        <v>1704</v>
      </c>
      <c r="J1961" s="98" t="s">
        <v>1705</v>
      </c>
      <c r="K1961" s="98" t="s">
        <v>1706</v>
      </c>
    </row>
    <row r="1962" customFormat="false" ht="64" hidden="false" customHeight="true" outlineLevel="0" collapsed="false">
      <c r="C1962" s="98" t="s">
        <v>3738</v>
      </c>
      <c r="D1962" s="98" t="s">
        <v>1726</v>
      </c>
      <c r="E1962" s="98" t="s">
        <v>835</v>
      </c>
      <c r="F1962" s="98" t="n">
        <v>0.0123458511989627</v>
      </c>
      <c r="G1962" s="98" t="s">
        <v>3722</v>
      </c>
      <c r="H1962" s="98" t="s">
        <v>1703</v>
      </c>
      <c r="I1962" s="98" t="s">
        <v>1704</v>
      </c>
      <c r="J1962" s="98" t="s">
        <v>1705</v>
      </c>
      <c r="K1962" s="98" t="s">
        <v>1706</v>
      </c>
    </row>
    <row r="1963" customFormat="false" ht="64" hidden="false" customHeight="true" outlineLevel="0" collapsed="false">
      <c r="C1963" s="98" t="s">
        <v>3739</v>
      </c>
      <c r="D1963" s="98" t="s">
        <v>1728</v>
      </c>
      <c r="E1963" s="98" t="s">
        <v>835</v>
      </c>
      <c r="F1963" s="98" t="n">
        <v>0.0123458511989627</v>
      </c>
      <c r="G1963" s="98" t="s">
        <v>3722</v>
      </c>
      <c r="H1963" s="98" t="s">
        <v>1703</v>
      </c>
      <c r="I1963" s="98" t="s">
        <v>1704</v>
      </c>
      <c r="J1963" s="98" t="s">
        <v>1705</v>
      </c>
      <c r="K1963" s="98" t="s">
        <v>1706</v>
      </c>
    </row>
    <row r="1964" customFormat="false" ht="64" hidden="false" customHeight="true" outlineLevel="0" collapsed="false">
      <c r="C1964" s="98" t="s">
        <v>3740</v>
      </c>
      <c r="D1964" s="98" t="s">
        <v>1730</v>
      </c>
      <c r="E1964" s="98" t="s">
        <v>835</v>
      </c>
      <c r="F1964" s="98" t="n">
        <v>0.0123458511989627</v>
      </c>
      <c r="G1964" s="98" t="s">
        <v>3722</v>
      </c>
      <c r="H1964" s="98" t="s">
        <v>1703</v>
      </c>
      <c r="I1964" s="98" t="s">
        <v>1704</v>
      </c>
      <c r="J1964" s="98" t="s">
        <v>1705</v>
      </c>
      <c r="K1964" s="98" t="s">
        <v>1706</v>
      </c>
    </row>
    <row r="1965" customFormat="false" ht="64" hidden="false" customHeight="true" outlineLevel="0" collapsed="false">
      <c r="C1965" s="98" t="s">
        <v>3741</v>
      </c>
      <c r="D1965" s="98" t="s">
        <v>1732</v>
      </c>
      <c r="E1965" s="98" t="s">
        <v>835</v>
      </c>
      <c r="F1965" s="98" t="n">
        <v>0.0123458511989627</v>
      </c>
      <c r="G1965" s="98" t="s">
        <v>3722</v>
      </c>
      <c r="H1965" s="98" t="s">
        <v>1703</v>
      </c>
      <c r="I1965" s="98" t="s">
        <v>1704</v>
      </c>
      <c r="J1965" s="98" t="s">
        <v>1705</v>
      </c>
      <c r="K1965" s="98" t="s">
        <v>1706</v>
      </c>
    </row>
    <row r="1966" customFormat="false" ht="64" hidden="false" customHeight="true" outlineLevel="0" collapsed="false">
      <c r="C1966" s="98" t="s">
        <v>3742</v>
      </c>
      <c r="D1966" s="98" t="s">
        <v>1734</v>
      </c>
      <c r="E1966" s="98" t="s">
        <v>835</v>
      </c>
      <c r="F1966" s="98" t="n">
        <v>0.0123458511989627</v>
      </c>
      <c r="G1966" s="98" t="s">
        <v>3722</v>
      </c>
      <c r="H1966" s="98" t="s">
        <v>1703</v>
      </c>
      <c r="I1966" s="98" t="s">
        <v>1704</v>
      </c>
      <c r="J1966" s="98" t="s">
        <v>1705</v>
      </c>
      <c r="K1966" s="98" t="s">
        <v>1706</v>
      </c>
    </row>
    <row r="1967" customFormat="false" ht="64" hidden="false" customHeight="true" outlineLevel="0" collapsed="false">
      <c r="C1967" s="98" t="s">
        <v>3743</v>
      </c>
      <c r="D1967" s="98" t="s">
        <v>1736</v>
      </c>
      <c r="E1967" s="98" t="s">
        <v>835</v>
      </c>
      <c r="F1967" s="98" t="n">
        <v>0.0123458511989627</v>
      </c>
      <c r="G1967" s="98" t="s">
        <v>3722</v>
      </c>
      <c r="H1967" s="98" t="s">
        <v>1703</v>
      </c>
      <c r="I1967" s="98" t="s">
        <v>1704</v>
      </c>
      <c r="J1967" s="98" t="s">
        <v>1705</v>
      </c>
      <c r="K1967" s="98" t="s">
        <v>1706</v>
      </c>
    </row>
    <row r="1968" customFormat="false" ht="64" hidden="false" customHeight="true" outlineLevel="0" collapsed="false">
      <c r="C1968" s="98" t="s">
        <v>3744</v>
      </c>
      <c r="D1968" s="98" t="s">
        <v>1738</v>
      </c>
      <c r="E1968" s="98" t="s">
        <v>835</v>
      </c>
      <c r="F1968" s="98" t="n">
        <v>0.0123458511989627</v>
      </c>
      <c r="G1968" s="98" t="s">
        <v>3722</v>
      </c>
      <c r="H1968" s="98" t="s">
        <v>1703</v>
      </c>
      <c r="I1968" s="98" t="s">
        <v>1704</v>
      </c>
      <c r="J1968" s="98" t="s">
        <v>1705</v>
      </c>
      <c r="K1968" s="98" t="s">
        <v>1706</v>
      </c>
    </row>
    <row r="1969" customFormat="false" ht="64" hidden="false" customHeight="true" outlineLevel="0" collapsed="false">
      <c r="C1969" s="98" t="s">
        <v>3745</v>
      </c>
      <c r="D1969" s="98" t="s">
        <v>1740</v>
      </c>
      <c r="E1969" s="98" t="s">
        <v>835</v>
      </c>
      <c r="F1969" s="98" t="n">
        <v>0.0123458511989627</v>
      </c>
      <c r="G1969" s="98" t="s">
        <v>3722</v>
      </c>
      <c r="H1969" s="98" t="s">
        <v>1703</v>
      </c>
      <c r="I1969" s="98" t="s">
        <v>1704</v>
      </c>
      <c r="J1969" s="98" t="s">
        <v>1705</v>
      </c>
      <c r="K1969" s="98" t="s">
        <v>1706</v>
      </c>
    </row>
    <row r="1970" customFormat="false" ht="64" hidden="false" customHeight="true" outlineLevel="0" collapsed="false">
      <c r="C1970" s="98" t="s">
        <v>3746</v>
      </c>
      <c r="D1970" s="98" t="s">
        <v>1742</v>
      </c>
      <c r="E1970" s="98" t="s">
        <v>835</v>
      </c>
      <c r="F1970" s="98" t="n">
        <v>0.0123458511989627</v>
      </c>
      <c r="G1970" s="98" t="s">
        <v>3722</v>
      </c>
      <c r="H1970" s="98" t="s">
        <v>1703</v>
      </c>
      <c r="I1970" s="98" t="s">
        <v>1704</v>
      </c>
      <c r="J1970" s="98" t="s">
        <v>1705</v>
      </c>
      <c r="K1970" s="98" t="s">
        <v>1706</v>
      </c>
    </row>
    <row r="1971" customFormat="false" ht="64" hidden="false" customHeight="true" outlineLevel="0" collapsed="false">
      <c r="C1971" s="98" t="s">
        <v>3747</v>
      </c>
      <c r="D1971" s="98" t="s">
        <v>1744</v>
      </c>
      <c r="E1971" s="98" t="s">
        <v>835</v>
      </c>
      <c r="F1971" s="98" t="n">
        <v>0.0123458511989627</v>
      </c>
      <c r="G1971" s="98" t="s">
        <v>3722</v>
      </c>
      <c r="H1971" s="98" t="s">
        <v>1703</v>
      </c>
      <c r="I1971" s="98" t="s">
        <v>1704</v>
      </c>
      <c r="J1971" s="98" t="s">
        <v>1705</v>
      </c>
      <c r="K1971" s="98" t="s">
        <v>1706</v>
      </c>
    </row>
    <row r="1972" customFormat="false" ht="64" hidden="false" customHeight="true" outlineLevel="0" collapsed="false">
      <c r="C1972" s="98" t="s">
        <v>3748</v>
      </c>
      <c r="D1972" s="98" t="s">
        <v>1746</v>
      </c>
      <c r="E1972" s="98" t="s">
        <v>835</v>
      </c>
      <c r="F1972" s="98" t="n">
        <v>0.0123458511989627</v>
      </c>
      <c r="G1972" s="98" t="s">
        <v>3722</v>
      </c>
      <c r="H1972" s="98" t="s">
        <v>1703</v>
      </c>
      <c r="I1972" s="98" t="s">
        <v>1704</v>
      </c>
      <c r="J1972" s="98" t="s">
        <v>1705</v>
      </c>
      <c r="K1972" s="98" t="s">
        <v>1706</v>
      </c>
    </row>
    <row r="1973" customFormat="false" ht="64" hidden="false" customHeight="true" outlineLevel="0" collapsed="false">
      <c r="C1973" s="98" t="s">
        <v>3749</v>
      </c>
      <c r="D1973" s="98" t="s">
        <v>1748</v>
      </c>
      <c r="E1973" s="98" t="s">
        <v>835</v>
      </c>
      <c r="F1973" s="98" t="n">
        <v>0.0123458511989627</v>
      </c>
      <c r="G1973" s="98" t="s">
        <v>3722</v>
      </c>
      <c r="H1973" s="98" t="s">
        <v>1703</v>
      </c>
      <c r="I1973" s="98" t="s">
        <v>1704</v>
      </c>
      <c r="J1973" s="98" t="s">
        <v>1705</v>
      </c>
      <c r="K1973" s="98" t="s">
        <v>1706</v>
      </c>
    </row>
    <row r="1974" customFormat="false" ht="64" hidden="false" customHeight="true" outlineLevel="0" collapsed="false">
      <c r="C1974" s="98" t="s">
        <v>3750</v>
      </c>
      <c r="D1974" s="98" t="s">
        <v>1750</v>
      </c>
      <c r="E1974" s="98" t="s">
        <v>835</v>
      </c>
      <c r="F1974" s="98" t="n">
        <v>0.0123458511989627</v>
      </c>
      <c r="G1974" s="98" t="s">
        <v>3722</v>
      </c>
      <c r="H1974" s="98" t="s">
        <v>1703</v>
      </c>
      <c r="I1974" s="98" t="s">
        <v>1704</v>
      </c>
      <c r="J1974" s="98" t="s">
        <v>1705</v>
      </c>
      <c r="K1974" s="98" t="s">
        <v>1706</v>
      </c>
    </row>
    <row r="1975" customFormat="false" ht="64" hidden="false" customHeight="true" outlineLevel="0" collapsed="false">
      <c r="C1975" s="98" t="s">
        <v>3751</v>
      </c>
      <c r="D1975" s="98" t="s">
        <v>1752</v>
      </c>
      <c r="E1975" s="98" t="s">
        <v>835</v>
      </c>
      <c r="F1975" s="98" t="n">
        <v>0.0123458511989627</v>
      </c>
      <c r="G1975" s="98" t="s">
        <v>3722</v>
      </c>
      <c r="H1975" s="98" t="s">
        <v>1703</v>
      </c>
      <c r="I1975" s="98" t="s">
        <v>1704</v>
      </c>
      <c r="J1975" s="98" t="s">
        <v>1705</v>
      </c>
      <c r="K1975" s="98" t="s">
        <v>1706</v>
      </c>
    </row>
    <row r="1976" customFormat="false" ht="64" hidden="false" customHeight="true" outlineLevel="0" collapsed="false">
      <c r="C1976" s="98" t="s">
        <v>3752</v>
      </c>
      <c r="D1976" s="98" t="s">
        <v>1754</v>
      </c>
      <c r="E1976" s="98" t="s">
        <v>835</v>
      </c>
      <c r="F1976" s="98" t="n">
        <v>0.0123458511989627</v>
      </c>
      <c r="G1976" s="98" t="s">
        <v>3722</v>
      </c>
      <c r="H1976" s="98" t="s">
        <v>1703</v>
      </c>
      <c r="I1976" s="98" t="s">
        <v>1704</v>
      </c>
      <c r="J1976" s="98" t="s">
        <v>1705</v>
      </c>
      <c r="K1976" s="98" t="s">
        <v>1706</v>
      </c>
    </row>
    <row r="1977" customFormat="false" ht="64" hidden="false" customHeight="true" outlineLevel="0" collapsed="false">
      <c r="C1977" s="98" t="s">
        <v>3753</v>
      </c>
      <c r="D1977" s="98" t="s">
        <v>1756</v>
      </c>
      <c r="E1977" s="98" t="s">
        <v>835</v>
      </c>
      <c r="F1977" s="98" t="n">
        <v>0.0123458511989627</v>
      </c>
      <c r="G1977" s="98" t="s">
        <v>3722</v>
      </c>
      <c r="H1977" s="98" t="s">
        <v>1703</v>
      </c>
      <c r="I1977" s="98" t="s">
        <v>1704</v>
      </c>
      <c r="J1977" s="98" t="s">
        <v>1705</v>
      </c>
      <c r="K1977" s="98" t="s">
        <v>1706</v>
      </c>
    </row>
    <row r="1978" customFormat="false" ht="64" hidden="false" customHeight="true" outlineLevel="0" collapsed="false">
      <c r="C1978" s="98" t="s">
        <v>3754</v>
      </c>
      <c r="D1978" s="98" t="s">
        <v>1758</v>
      </c>
      <c r="E1978" s="98" t="s">
        <v>835</v>
      </c>
      <c r="F1978" s="98" t="n">
        <v>0.0123458511989627</v>
      </c>
      <c r="G1978" s="98" t="s">
        <v>3722</v>
      </c>
      <c r="H1978" s="98" t="s">
        <v>1703</v>
      </c>
      <c r="I1978" s="98" t="s">
        <v>1704</v>
      </c>
      <c r="J1978" s="98" t="s">
        <v>1705</v>
      </c>
      <c r="K1978" s="98" t="s">
        <v>1706</v>
      </c>
    </row>
    <row r="1979" customFormat="false" ht="64" hidden="false" customHeight="true" outlineLevel="0" collapsed="false">
      <c r="C1979" s="98" t="s">
        <v>3755</v>
      </c>
      <c r="D1979" s="98" t="s">
        <v>1760</v>
      </c>
      <c r="E1979" s="98" t="s">
        <v>835</v>
      </c>
      <c r="F1979" s="98" t="n">
        <v>0.0123458511989627</v>
      </c>
      <c r="G1979" s="98" t="s">
        <v>3722</v>
      </c>
      <c r="H1979" s="98" t="s">
        <v>1703</v>
      </c>
      <c r="I1979" s="98" t="s">
        <v>1704</v>
      </c>
      <c r="J1979" s="98" t="s">
        <v>1705</v>
      </c>
      <c r="K1979" s="98" t="s">
        <v>1706</v>
      </c>
    </row>
    <row r="1980" customFormat="false" ht="64" hidden="false" customHeight="true" outlineLevel="0" collapsed="false">
      <c r="C1980" s="98" t="s">
        <v>3756</v>
      </c>
      <c r="D1980" s="98" t="s">
        <v>1762</v>
      </c>
      <c r="E1980" s="98" t="s">
        <v>835</v>
      </c>
      <c r="F1980" s="98" t="n">
        <v>0.0123458511989627</v>
      </c>
      <c r="G1980" s="98" t="s">
        <v>3722</v>
      </c>
      <c r="H1980" s="98" t="s">
        <v>1703</v>
      </c>
      <c r="I1980" s="98" t="s">
        <v>1704</v>
      </c>
      <c r="J1980" s="98" t="s">
        <v>1705</v>
      </c>
      <c r="K1980" s="98" t="s">
        <v>1706</v>
      </c>
    </row>
    <row r="1981" customFormat="false" ht="64" hidden="false" customHeight="true" outlineLevel="0" collapsed="false">
      <c r="C1981" s="98" t="s">
        <v>3757</v>
      </c>
      <c r="D1981" s="98" t="s">
        <v>1764</v>
      </c>
      <c r="E1981" s="98" t="s">
        <v>835</v>
      </c>
      <c r="F1981" s="98" t="n">
        <v>0.0123458511989627</v>
      </c>
      <c r="G1981" s="98" t="s">
        <v>3722</v>
      </c>
      <c r="H1981" s="98" t="s">
        <v>1703</v>
      </c>
      <c r="I1981" s="98" t="s">
        <v>1704</v>
      </c>
      <c r="J1981" s="98" t="s">
        <v>1705</v>
      </c>
      <c r="K1981" s="98" t="s">
        <v>1706</v>
      </c>
    </row>
    <row r="1982" customFormat="false" ht="64" hidden="false" customHeight="true" outlineLevel="0" collapsed="false">
      <c r="C1982" s="98" t="s">
        <v>3758</v>
      </c>
      <c r="D1982" s="98" t="s">
        <v>1829</v>
      </c>
      <c r="E1982" s="98" t="s">
        <v>835</v>
      </c>
      <c r="F1982" s="98" t="n">
        <v>0.0423910246109768</v>
      </c>
      <c r="G1982" s="98" t="s">
        <v>3759</v>
      </c>
      <c r="H1982" s="98" t="s">
        <v>1703</v>
      </c>
      <c r="I1982" s="98" t="s">
        <v>1704</v>
      </c>
      <c r="J1982" s="98" t="s">
        <v>1705</v>
      </c>
      <c r="K1982" s="98" t="s">
        <v>1706</v>
      </c>
    </row>
    <row r="1983" customFormat="false" ht="64" hidden="false" customHeight="true" outlineLevel="0" collapsed="false">
      <c r="C1983" s="98" t="s">
        <v>3760</v>
      </c>
      <c r="D1983" s="98" t="s">
        <v>1833</v>
      </c>
      <c r="E1983" s="98" t="s">
        <v>835</v>
      </c>
      <c r="F1983" s="98" t="n">
        <v>0.0423910246109768</v>
      </c>
      <c r="G1983" s="98" t="s">
        <v>3759</v>
      </c>
      <c r="H1983" s="98" t="s">
        <v>1703</v>
      </c>
      <c r="I1983" s="98" t="s">
        <v>1704</v>
      </c>
      <c r="J1983" s="98" t="s">
        <v>1705</v>
      </c>
      <c r="K1983" s="98" t="s">
        <v>1706</v>
      </c>
    </row>
    <row r="1984" customFormat="false" ht="64" hidden="false" customHeight="true" outlineLevel="0" collapsed="false">
      <c r="C1984" s="98" t="s">
        <v>3761</v>
      </c>
      <c r="D1984" s="98" t="s">
        <v>1835</v>
      </c>
      <c r="E1984" s="98" t="s">
        <v>835</v>
      </c>
      <c r="F1984" s="98" t="n">
        <v>0.0423910246109768</v>
      </c>
      <c r="G1984" s="98" t="s">
        <v>3759</v>
      </c>
      <c r="H1984" s="98" t="s">
        <v>1703</v>
      </c>
      <c r="I1984" s="98" t="s">
        <v>1704</v>
      </c>
      <c r="J1984" s="98" t="s">
        <v>1705</v>
      </c>
      <c r="K1984" s="98" t="s">
        <v>1706</v>
      </c>
    </row>
    <row r="1985" customFormat="false" ht="64" hidden="false" customHeight="true" outlineLevel="0" collapsed="false">
      <c r="C1985" s="98" t="s">
        <v>3762</v>
      </c>
      <c r="D1985" s="98" t="s">
        <v>1044</v>
      </c>
      <c r="E1985" s="98" t="s">
        <v>835</v>
      </c>
      <c r="F1985" s="98" t="n">
        <v>0.0423910246109768</v>
      </c>
      <c r="G1985" s="98" t="s">
        <v>3759</v>
      </c>
      <c r="H1985" s="98" t="s">
        <v>1703</v>
      </c>
      <c r="I1985" s="98" t="s">
        <v>1704</v>
      </c>
      <c r="J1985" s="98" t="s">
        <v>1705</v>
      </c>
      <c r="K1985" s="98" t="s">
        <v>1706</v>
      </c>
    </row>
    <row r="1986" customFormat="false" ht="64" hidden="false" customHeight="true" outlineLevel="0" collapsed="false">
      <c r="C1986" s="98" t="s">
        <v>3763</v>
      </c>
      <c r="D1986" s="98" t="s">
        <v>1838</v>
      </c>
      <c r="E1986" s="98" t="s">
        <v>835</v>
      </c>
      <c r="F1986" s="98" t="n">
        <v>0.0423910246109768</v>
      </c>
      <c r="G1986" s="98" t="s">
        <v>3759</v>
      </c>
      <c r="H1986" s="98" t="s">
        <v>1703</v>
      </c>
      <c r="I1986" s="98" t="s">
        <v>1704</v>
      </c>
      <c r="J1986" s="98" t="s">
        <v>1705</v>
      </c>
      <c r="K1986" s="98" t="s">
        <v>1706</v>
      </c>
    </row>
    <row r="1987" customFormat="false" ht="64" hidden="false" customHeight="true" outlineLevel="0" collapsed="false">
      <c r="C1987" s="98" t="s">
        <v>3764</v>
      </c>
      <c r="D1987" s="98" t="s">
        <v>1840</v>
      </c>
      <c r="E1987" s="98" t="s">
        <v>835</v>
      </c>
      <c r="F1987" s="98" t="n">
        <v>0.0423910246109768</v>
      </c>
      <c r="G1987" s="98" t="s">
        <v>3759</v>
      </c>
      <c r="H1987" s="98" t="s">
        <v>1703</v>
      </c>
      <c r="I1987" s="98" t="s">
        <v>1704</v>
      </c>
      <c r="J1987" s="98" t="s">
        <v>1705</v>
      </c>
      <c r="K1987" s="98" t="s">
        <v>1706</v>
      </c>
    </row>
    <row r="1988" customFormat="false" ht="64" hidden="false" customHeight="true" outlineLevel="0" collapsed="false">
      <c r="C1988" s="98" t="s">
        <v>3765</v>
      </c>
      <c r="D1988" s="98" t="s">
        <v>1700</v>
      </c>
      <c r="E1988" s="98" t="s">
        <v>835</v>
      </c>
      <c r="F1988" s="98" t="n">
        <v>0.0423910246109768</v>
      </c>
      <c r="G1988" s="98" t="s">
        <v>3759</v>
      </c>
      <c r="H1988" s="98" t="s">
        <v>1703</v>
      </c>
      <c r="I1988" s="98" t="s">
        <v>1704</v>
      </c>
      <c r="J1988" s="98" t="s">
        <v>1705</v>
      </c>
      <c r="K1988" s="98" t="s">
        <v>1706</v>
      </c>
    </row>
    <row r="1989" customFormat="false" ht="64" hidden="false" customHeight="true" outlineLevel="0" collapsed="false">
      <c r="C1989" s="98" t="s">
        <v>3766</v>
      </c>
      <c r="D1989" s="98" t="s">
        <v>1708</v>
      </c>
      <c r="E1989" s="98" t="s">
        <v>835</v>
      </c>
      <c r="F1989" s="98" t="n">
        <v>0.0423910246109768</v>
      </c>
      <c r="G1989" s="98" t="s">
        <v>3759</v>
      </c>
      <c r="H1989" s="98" t="s">
        <v>1703</v>
      </c>
      <c r="I1989" s="98" t="s">
        <v>1704</v>
      </c>
      <c r="J1989" s="98" t="s">
        <v>1705</v>
      </c>
      <c r="K1989" s="98" t="s">
        <v>1706</v>
      </c>
    </row>
    <row r="1990" customFormat="false" ht="64" hidden="false" customHeight="true" outlineLevel="0" collapsed="false">
      <c r="C1990" s="98" t="s">
        <v>3767</v>
      </c>
      <c r="D1990" s="98" t="s">
        <v>1710</v>
      </c>
      <c r="E1990" s="98" t="s">
        <v>835</v>
      </c>
      <c r="F1990" s="98" t="n">
        <v>0.0423910246109768</v>
      </c>
      <c r="G1990" s="98" t="s">
        <v>3759</v>
      </c>
      <c r="H1990" s="98" t="s">
        <v>1703</v>
      </c>
      <c r="I1990" s="98" t="s">
        <v>1704</v>
      </c>
      <c r="J1990" s="98" t="s">
        <v>1705</v>
      </c>
      <c r="K1990" s="98" t="s">
        <v>1706</v>
      </c>
    </row>
    <row r="1991" customFormat="false" ht="64" hidden="false" customHeight="true" outlineLevel="0" collapsed="false">
      <c r="C1991" s="98" t="s">
        <v>3768</v>
      </c>
      <c r="D1991" s="98" t="s">
        <v>1712</v>
      </c>
      <c r="E1991" s="98" t="s">
        <v>835</v>
      </c>
      <c r="F1991" s="98" t="n">
        <v>0.0423910246109768</v>
      </c>
      <c r="G1991" s="98" t="s">
        <v>3759</v>
      </c>
      <c r="H1991" s="98" t="s">
        <v>1703</v>
      </c>
      <c r="I1991" s="98" t="s">
        <v>1704</v>
      </c>
      <c r="J1991" s="98" t="s">
        <v>1705</v>
      </c>
      <c r="K1991" s="98" t="s">
        <v>1706</v>
      </c>
    </row>
    <row r="1992" customFormat="false" ht="64" hidden="false" customHeight="true" outlineLevel="0" collapsed="false">
      <c r="C1992" s="98" t="s">
        <v>3769</v>
      </c>
      <c r="D1992" s="98" t="s">
        <v>1714</v>
      </c>
      <c r="E1992" s="98" t="s">
        <v>835</v>
      </c>
      <c r="F1992" s="98" t="n">
        <v>0.0423910246109768</v>
      </c>
      <c r="G1992" s="98" t="s">
        <v>3759</v>
      </c>
      <c r="H1992" s="98" t="s">
        <v>1703</v>
      </c>
      <c r="I1992" s="98" t="s">
        <v>1704</v>
      </c>
      <c r="J1992" s="98" t="s">
        <v>1705</v>
      </c>
      <c r="K1992" s="98" t="s">
        <v>1706</v>
      </c>
    </row>
    <row r="1993" customFormat="false" ht="64" hidden="false" customHeight="true" outlineLevel="0" collapsed="false">
      <c r="C1993" s="98" t="s">
        <v>3770</v>
      </c>
      <c r="D1993" s="98" t="s">
        <v>1716</v>
      </c>
      <c r="E1993" s="98" t="s">
        <v>835</v>
      </c>
      <c r="F1993" s="98" t="n">
        <v>0.0423910246109768</v>
      </c>
      <c r="G1993" s="98" t="s">
        <v>3759</v>
      </c>
      <c r="H1993" s="98" t="s">
        <v>1703</v>
      </c>
      <c r="I1993" s="98" t="s">
        <v>1704</v>
      </c>
      <c r="J1993" s="98" t="s">
        <v>1705</v>
      </c>
      <c r="K1993" s="98" t="s">
        <v>1706</v>
      </c>
    </row>
    <row r="1994" customFormat="false" ht="64" hidden="false" customHeight="true" outlineLevel="0" collapsed="false">
      <c r="C1994" s="98" t="s">
        <v>3771</v>
      </c>
      <c r="D1994" s="98" t="s">
        <v>1718</v>
      </c>
      <c r="E1994" s="98" t="s">
        <v>835</v>
      </c>
      <c r="F1994" s="98" t="n">
        <v>0.0423910246109768</v>
      </c>
      <c r="G1994" s="98" t="s">
        <v>3759</v>
      </c>
      <c r="H1994" s="98" t="s">
        <v>1703</v>
      </c>
      <c r="I1994" s="98" t="s">
        <v>1704</v>
      </c>
      <c r="J1994" s="98" t="s">
        <v>1705</v>
      </c>
      <c r="K1994" s="98" t="s">
        <v>1706</v>
      </c>
    </row>
    <row r="1995" customFormat="false" ht="64" hidden="false" customHeight="true" outlineLevel="0" collapsed="false">
      <c r="C1995" s="98" t="s">
        <v>3772</v>
      </c>
      <c r="D1995" s="98" t="s">
        <v>1720</v>
      </c>
      <c r="E1995" s="98" t="s">
        <v>835</v>
      </c>
      <c r="F1995" s="98" t="n">
        <v>0.0423910246109768</v>
      </c>
      <c r="G1995" s="98" t="s">
        <v>3759</v>
      </c>
      <c r="H1995" s="98" t="s">
        <v>1703</v>
      </c>
      <c r="I1995" s="98" t="s">
        <v>1704</v>
      </c>
      <c r="J1995" s="98" t="s">
        <v>1705</v>
      </c>
      <c r="K1995" s="98" t="s">
        <v>1706</v>
      </c>
    </row>
    <row r="1996" customFormat="false" ht="64" hidden="false" customHeight="true" outlineLevel="0" collapsed="false">
      <c r="C1996" s="98" t="s">
        <v>3773</v>
      </c>
      <c r="D1996" s="98" t="s">
        <v>1722</v>
      </c>
      <c r="E1996" s="98" t="s">
        <v>835</v>
      </c>
      <c r="F1996" s="98" t="n">
        <v>0.0423910246109768</v>
      </c>
      <c r="G1996" s="98" t="s">
        <v>3759</v>
      </c>
      <c r="H1996" s="98" t="s">
        <v>1703</v>
      </c>
      <c r="I1996" s="98" t="s">
        <v>1704</v>
      </c>
      <c r="J1996" s="98" t="s">
        <v>1705</v>
      </c>
      <c r="K1996" s="98" t="s">
        <v>1706</v>
      </c>
    </row>
    <row r="1997" customFormat="false" ht="64" hidden="false" customHeight="true" outlineLevel="0" collapsed="false">
      <c r="C1997" s="98" t="s">
        <v>3774</v>
      </c>
      <c r="D1997" s="98" t="s">
        <v>1724</v>
      </c>
      <c r="E1997" s="98" t="s">
        <v>835</v>
      </c>
      <c r="F1997" s="98" t="n">
        <v>0.0423910246109768</v>
      </c>
      <c r="G1997" s="98" t="s">
        <v>3759</v>
      </c>
      <c r="H1997" s="98" t="s">
        <v>1703</v>
      </c>
      <c r="I1997" s="98" t="s">
        <v>1704</v>
      </c>
      <c r="J1997" s="98" t="s">
        <v>1705</v>
      </c>
      <c r="K1997" s="98" t="s">
        <v>1706</v>
      </c>
    </row>
    <row r="1998" customFormat="false" ht="64" hidden="false" customHeight="true" outlineLevel="0" collapsed="false">
      <c r="C1998" s="98" t="s">
        <v>3775</v>
      </c>
      <c r="D1998" s="98" t="s">
        <v>1726</v>
      </c>
      <c r="E1998" s="98" t="s">
        <v>835</v>
      </c>
      <c r="F1998" s="98" t="n">
        <v>0.0423910246109768</v>
      </c>
      <c r="G1998" s="98" t="s">
        <v>3759</v>
      </c>
      <c r="H1998" s="98" t="s">
        <v>1703</v>
      </c>
      <c r="I1998" s="98" t="s">
        <v>1704</v>
      </c>
      <c r="J1998" s="98" t="s">
        <v>1705</v>
      </c>
      <c r="K1998" s="98" t="s">
        <v>1706</v>
      </c>
    </row>
    <row r="1999" customFormat="false" ht="64" hidden="false" customHeight="true" outlineLevel="0" collapsed="false">
      <c r="C1999" s="98" t="s">
        <v>3776</v>
      </c>
      <c r="D1999" s="98" t="s">
        <v>1728</v>
      </c>
      <c r="E1999" s="98" t="s">
        <v>835</v>
      </c>
      <c r="F1999" s="98" t="n">
        <v>0.0423910246109768</v>
      </c>
      <c r="G1999" s="98" t="s">
        <v>3759</v>
      </c>
      <c r="H1999" s="98" t="s">
        <v>1703</v>
      </c>
      <c r="I1999" s="98" t="s">
        <v>1704</v>
      </c>
      <c r="J1999" s="98" t="s">
        <v>1705</v>
      </c>
      <c r="K1999" s="98" t="s">
        <v>1706</v>
      </c>
    </row>
    <row r="2000" customFormat="false" ht="64" hidden="false" customHeight="true" outlineLevel="0" collapsed="false">
      <c r="C2000" s="98" t="s">
        <v>3777</v>
      </c>
      <c r="D2000" s="98" t="s">
        <v>1730</v>
      </c>
      <c r="E2000" s="98" t="s">
        <v>835</v>
      </c>
      <c r="F2000" s="98" t="n">
        <v>0.0423910246109768</v>
      </c>
      <c r="G2000" s="98" t="s">
        <v>3759</v>
      </c>
      <c r="H2000" s="98" t="s">
        <v>1703</v>
      </c>
      <c r="I2000" s="98" t="s">
        <v>1704</v>
      </c>
      <c r="J2000" s="98" t="s">
        <v>1705</v>
      </c>
      <c r="K2000" s="98" t="s">
        <v>1706</v>
      </c>
    </row>
    <row r="2001" customFormat="false" ht="64" hidden="false" customHeight="true" outlineLevel="0" collapsed="false">
      <c r="C2001" s="98" t="s">
        <v>3778</v>
      </c>
      <c r="D2001" s="98" t="s">
        <v>1732</v>
      </c>
      <c r="E2001" s="98" t="s">
        <v>835</v>
      </c>
      <c r="F2001" s="98" t="n">
        <v>0.0423910246109768</v>
      </c>
      <c r="G2001" s="98" t="s">
        <v>3759</v>
      </c>
      <c r="H2001" s="98" t="s">
        <v>1703</v>
      </c>
      <c r="I2001" s="98" t="s">
        <v>1704</v>
      </c>
      <c r="J2001" s="98" t="s">
        <v>1705</v>
      </c>
      <c r="K2001" s="98" t="s">
        <v>1706</v>
      </c>
    </row>
    <row r="2002" customFormat="false" ht="64" hidden="false" customHeight="true" outlineLevel="0" collapsed="false">
      <c r="C2002" s="98" t="s">
        <v>3779</v>
      </c>
      <c r="D2002" s="98" t="s">
        <v>1734</v>
      </c>
      <c r="E2002" s="98" t="s">
        <v>835</v>
      </c>
      <c r="F2002" s="98" t="n">
        <v>0.0423910246109768</v>
      </c>
      <c r="G2002" s="98" t="s">
        <v>3759</v>
      </c>
      <c r="H2002" s="98" t="s">
        <v>1703</v>
      </c>
      <c r="I2002" s="98" t="s">
        <v>1704</v>
      </c>
      <c r="J2002" s="98" t="s">
        <v>1705</v>
      </c>
      <c r="K2002" s="98" t="s">
        <v>1706</v>
      </c>
    </row>
    <row r="2003" customFormat="false" ht="64" hidden="false" customHeight="true" outlineLevel="0" collapsed="false">
      <c r="C2003" s="98" t="s">
        <v>3780</v>
      </c>
      <c r="D2003" s="98" t="s">
        <v>1736</v>
      </c>
      <c r="E2003" s="98" t="s">
        <v>835</v>
      </c>
      <c r="F2003" s="98" t="n">
        <v>0.0423910246109768</v>
      </c>
      <c r="G2003" s="98" t="s">
        <v>3759</v>
      </c>
      <c r="H2003" s="98" t="s">
        <v>1703</v>
      </c>
      <c r="I2003" s="98" t="s">
        <v>1704</v>
      </c>
      <c r="J2003" s="98" t="s">
        <v>1705</v>
      </c>
      <c r="K2003" s="98" t="s">
        <v>1706</v>
      </c>
    </row>
    <row r="2004" customFormat="false" ht="64" hidden="false" customHeight="true" outlineLevel="0" collapsed="false">
      <c r="C2004" s="98" t="s">
        <v>3781</v>
      </c>
      <c r="D2004" s="98" t="s">
        <v>1738</v>
      </c>
      <c r="E2004" s="98" t="s">
        <v>835</v>
      </c>
      <c r="F2004" s="98" t="n">
        <v>0.0423910246109768</v>
      </c>
      <c r="G2004" s="98" t="s">
        <v>3759</v>
      </c>
      <c r="H2004" s="98" t="s">
        <v>1703</v>
      </c>
      <c r="I2004" s="98" t="s">
        <v>1704</v>
      </c>
      <c r="J2004" s="98" t="s">
        <v>1705</v>
      </c>
      <c r="K2004" s="98" t="s">
        <v>1706</v>
      </c>
    </row>
    <row r="2005" customFormat="false" ht="64" hidden="false" customHeight="true" outlineLevel="0" collapsed="false">
      <c r="C2005" s="98" t="s">
        <v>3782</v>
      </c>
      <c r="D2005" s="98" t="s">
        <v>1740</v>
      </c>
      <c r="E2005" s="98" t="s">
        <v>835</v>
      </c>
      <c r="F2005" s="98" t="n">
        <v>0.0423910246109768</v>
      </c>
      <c r="G2005" s="98" t="s">
        <v>3759</v>
      </c>
      <c r="H2005" s="98" t="s">
        <v>1703</v>
      </c>
      <c r="I2005" s="98" t="s">
        <v>1704</v>
      </c>
      <c r="J2005" s="98" t="s">
        <v>1705</v>
      </c>
      <c r="K2005" s="98" t="s">
        <v>1706</v>
      </c>
    </row>
    <row r="2006" customFormat="false" ht="64" hidden="false" customHeight="true" outlineLevel="0" collapsed="false">
      <c r="C2006" s="98" t="s">
        <v>3783</v>
      </c>
      <c r="D2006" s="98" t="s">
        <v>1742</v>
      </c>
      <c r="E2006" s="98" t="s">
        <v>835</v>
      </c>
      <c r="F2006" s="98" t="n">
        <v>0.0423910246109768</v>
      </c>
      <c r="G2006" s="98" t="s">
        <v>3759</v>
      </c>
      <c r="H2006" s="98" t="s">
        <v>1703</v>
      </c>
      <c r="I2006" s="98" t="s">
        <v>1704</v>
      </c>
      <c r="J2006" s="98" t="s">
        <v>1705</v>
      </c>
      <c r="K2006" s="98" t="s">
        <v>1706</v>
      </c>
    </row>
    <row r="2007" customFormat="false" ht="64" hidden="false" customHeight="true" outlineLevel="0" collapsed="false">
      <c r="C2007" s="98" t="s">
        <v>3784</v>
      </c>
      <c r="D2007" s="98" t="s">
        <v>1744</v>
      </c>
      <c r="E2007" s="98" t="s">
        <v>835</v>
      </c>
      <c r="F2007" s="98" t="n">
        <v>0.0423910246109768</v>
      </c>
      <c r="G2007" s="98" t="s">
        <v>3759</v>
      </c>
      <c r="H2007" s="98" t="s">
        <v>1703</v>
      </c>
      <c r="I2007" s="98" t="s">
        <v>1704</v>
      </c>
      <c r="J2007" s="98" t="s">
        <v>1705</v>
      </c>
      <c r="K2007" s="98" t="s">
        <v>1706</v>
      </c>
    </row>
    <row r="2008" customFormat="false" ht="64" hidden="false" customHeight="true" outlineLevel="0" collapsed="false">
      <c r="C2008" s="98" t="s">
        <v>3785</v>
      </c>
      <c r="D2008" s="98" t="s">
        <v>1746</v>
      </c>
      <c r="E2008" s="98" t="s">
        <v>835</v>
      </c>
      <c r="F2008" s="98" t="n">
        <v>0.0423910246109768</v>
      </c>
      <c r="G2008" s="98" t="s">
        <v>3759</v>
      </c>
      <c r="H2008" s="98" t="s">
        <v>1703</v>
      </c>
      <c r="I2008" s="98" t="s">
        <v>1704</v>
      </c>
      <c r="J2008" s="98" t="s">
        <v>1705</v>
      </c>
      <c r="K2008" s="98" t="s">
        <v>1706</v>
      </c>
    </row>
    <row r="2009" customFormat="false" ht="64" hidden="false" customHeight="true" outlineLevel="0" collapsed="false">
      <c r="C2009" s="98" t="s">
        <v>3786</v>
      </c>
      <c r="D2009" s="98" t="s">
        <v>1748</v>
      </c>
      <c r="E2009" s="98" t="s">
        <v>835</v>
      </c>
      <c r="F2009" s="98" t="n">
        <v>0.0423910246109768</v>
      </c>
      <c r="G2009" s="98" t="s">
        <v>3759</v>
      </c>
      <c r="H2009" s="98" t="s">
        <v>1703</v>
      </c>
      <c r="I2009" s="98" t="s">
        <v>1704</v>
      </c>
      <c r="J2009" s="98" t="s">
        <v>1705</v>
      </c>
      <c r="K2009" s="98" t="s">
        <v>1706</v>
      </c>
    </row>
    <row r="2010" customFormat="false" ht="64" hidden="false" customHeight="true" outlineLevel="0" collapsed="false">
      <c r="C2010" s="98" t="s">
        <v>3787</v>
      </c>
      <c r="D2010" s="98" t="s">
        <v>1750</v>
      </c>
      <c r="E2010" s="98" t="s">
        <v>835</v>
      </c>
      <c r="F2010" s="98" t="n">
        <v>0.0423910246109768</v>
      </c>
      <c r="G2010" s="98" t="s">
        <v>3759</v>
      </c>
      <c r="H2010" s="98" t="s">
        <v>1703</v>
      </c>
      <c r="I2010" s="98" t="s">
        <v>1704</v>
      </c>
      <c r="J2010" s="98" t="s">
        <v>1705</v>
      </c>
      <c r="K2010" s="98" t="s">
        <v>1706</v>
      </c>
    </row>
    <row r="2011" customFormat="false" ht="64" hidden="false" customHeight="true" outlineLevel="0" collapsed="false">
      <c r="C2011" s="98" t="s">
        <v>3788</v>
      </c>
      <c r="D2011" s="98" t="s">
        <v>1752</v>
      </c>
      <c r="E2011" s="98" t="s">
        <v>835</v>
      </c>
      <c r="F2011" s="98" t="n">
        <v>0.0423910246109768</v>
      </c>
      <c r="G2011" s="98" t="s">
        <v>3759</v>
      </c>
      <c r="H2011" s="98" t="s">
        <v>1703</v>
      </c>
      <c r="I2011" s="98" t="s">
        <v>1704</v>
      </c>
      <c r="J2011" s="98" t="s">
        <v>1705</v>
      </c>
      <c r="K2011" s="98" t="s">
        <v>1706</v>
      </c>
    </row>
    <row r="2012" customFormat="false" ht="64" hidden="false" customHeight="true" outlineLevel="0" collapsed="false">
      <c r="C2012" s="98" t="s">
        <v>3789</v>
      </c>
      <c r="D2012" s="98" t="s">
        <v>1754</v>
      </c>
      <c r="E2012" s="98" t="s">
        <v>835</v>
      </c>
      <c r="F2012" s="98" t="n">
        <v>0.0423910246109768</v>
      </c>
      <c r="G2012" s="98" t="s">
        <v>3759</v>
      </c>
      <c r="H2012" s="98" t="s">
        <v>1703</v>
      </c>
      <c r="I2012" s="98" t="s">
        <v>1704</v>
      </c>
      <c r="J2012" s="98" t="s">
        <v>1705</v>
      </c>
      <c r="K2012" s="98" t="s">
        <v>1706</v>
      </c>
    </row>
    <row r="2013" customFormat="false" ht="64" hidden="false" customHeight="true" outlineLevel="0" collapsed="false">
      <c r="C2013" s="98" t="s">
        <v>3790</v>
      </c>
      <c r="D2013" s="98" t="s">
        <v>1756</v>
      </c>
      <c r="E2013" s="98" t="s">
        <v>835</v>
      </c>
      <c r="F2013" s="98" t="n">
        <v>0.0423910246109768</v>
      </c>
      <c r="G2013" s="98" t="s">
        <v>3759</v>
      </c>
      <c r="H2013" s="98" t="s">
        <v>1703</v>
      </c>
      <c r="I2013" s="98" t="s">
        <v>1704</v>
      </c>
      <c r="J2013" s="98" t="s">
        <v>1705</v>
      </c>
      <c r="K2013" s="98" t="s">
        <v>1706</v>
      </c>
    </row>
    <row r="2014" customFormat="false" ht="64" hidden="false" customHeight="true" outlineLevel="0" collapsed="false">
      <c r="C2014" s="98" t="s">
        <v>3791</v>
      </c>
      <c r="D2014" s="98" t="s">
        <v>1758</v>
      </c>
      <c r="E2014" s="98" t="s">
        <v>835</v>
      </c>
      <c r="F2014" s="98" t="n">
        <v>0.0423910246109768</v>
      </c>
      <c r="G2014" s="98" t="s">
        <v>3759</v>
      </c>
      <c r="H2014" s="98" t="s">
        <v>1703</v>
      </c>
      <c r="I2014" s="98" t="s">
        <v>1704</v>
      </c>
      <c r="J2014" s="98" t="s">
        <v>1705</v>
      </c>
      <c r="K2014" s="98" t="s">
        <v>1706</v>
      </c>
    </row>
    <row r="2015" customFormat="false" ht="64" hidden="false" customHeight="true" outlineLevel="0" collapsed="false">
      <c r="C2015" s="98" t="s">
        <v>3792</v>
      </c>
      <c r="D2015" s="98" t="s">
        <v>1760</v>
      </c>
      <c r="E2015" s="98" t="s">
        <v>835</v>
      </c>
      <c r="F2015" s="98" t="n">
        <v>0.0423910246109768</v>
      </c>
      <c r="G2015" s="98" t="s">
        <v>3759</v>
      </c>
      <c r="H2015" s="98" t="s">
        <v>1703</v>
      </c>
      <c r="I2015" s="98" t="s">
        <v>1704</v>
      </c>
      <c r="J2015" s="98" t="s">
        <v>1705</v>
      </c>
      <c r="K2015" s="98" t="s">
        <v>1706</v>
      </c>
    </row>
    <row r="2016" customFormat="false" ht="64" hidden="false" customHeight="true" outlineLevel="0" collapsed="false">
      <c r="C2016" s="98" t="s">
        <v>3793</v>
      </c>
      <c r="D2016" s="98" t="s">
        <v>1762</v>
      </c>
      <c r="E2016" s="98" t="s">
        <v>835</v>
      </c>
      <c r="F2016" s="98" t="n">
        <v>0.0423910246109768</v>
      </c>
      <c r="G2016" s="98" t="s">
        <v>3759</v>
      </c>
      <c r="H2016" s="98" t="s">
        <v>1703</v>
      </c>
      <c r="I2016" s="98" t="s">
        <v>1704</v>
      </c>
      <c r="J2016" s="98" t="s">
        <v>1705</v>
      </c>
      <c r="K2016" s="98" t="s">
        <v>1706</v>
      </c>
    </row>
    <row r="2017" customFormat="false" ht="64" hidden="false" customHeight="true" outlineLevel="0" collapsed="false">
      <c r="C2017" s="98" t="s">
        <v>3794</v>
      </c>
      <c r="D2017" s="98" t="s">
        <v>1764</v>
      </c>
      <c r="E2017" s="98" t="s">
        <v>835</v>
      </c>
      <c r="F2017" s="98" t="n">
        <v>0.0423910246109768</v>
      </c>
      <c r="G2017" s="98" t="s">
        <v>3759</v>
      </c>
      <c r="H2017" s="98" t="s">
        <v>1703</v>
      </c>
      <c r="I2017" s="98" t="s">
        <v>1704</v>
      </c>
      <c r="J2017" s="98" t="s">
        <v>1705</v>
      </c>
      <c r="K2017" s="98" t="s">
        <v>1706</v>
      </c>
    </row>
    <row r="2018" customFormat="false" ht="64" hidden="false" customHeight="true" outlineLevel="0" collapsed="false">
      <c r="C2018" s="98" t="s">
        <v>3795</v>
      </c>
      <c r="D2018" s="98" t="s">
        <v>1829</v>
      </c>
      <c r="E2018" s="98" t="s">
        <v>835</v>
      </c>
      <c r="F2018" s="98" t="n">
        <v>0.0223391071941145</v>
      </c>
      <c r="G2018" s="98" t="s">
        <v>3796</v>
      </c>
      <c r="H2018" s="98" t="s">
        <v>1703</v>
      </c>
      <c r="I2018" s="98" t="s">
        <v>1704</v>
      </c>
      <c r="J2018" s="98" t="s">
        <v>1705</v>
      </c>
      <c r="K2018" s="98" t="s">
        <v>1706</v>
      </c>
    </row>
    <row r="2019" customFormat="false" ht="64" hidden="false" customHeight="true" outlineLevel="0" collapsed="false">
      <c r="C2019" s="98" t="s">
        <v>3797</v>
      </c>
      <c r="D2019" s="98" t="s">
        <v>1833</v>
      </c>
      <c r="E2019" s="98" t="s">
        <v>835</v>
      </c>
      <c r="F2019" s="98" t="n">
        <v>0.0223391071941145</v>
      </c>
      <c r="G2019" s="98" t="s">
        <v>3796</v>
      </c>
      <c r="H2019" s="98" t="s">
        <v>1703</v>
      </c>
      <c r="I2019" s="98" t="s">
        <v>1704</v>
      </c>
      <c r="J2019" s="98" t="s">
        <v>1705</v>
      </c>
      <c r="K2019" s="98" t="s">
        <v>1706</v>
      </c>
    </row>
    <row r="2020" customFormat="false" ht="64" hidden="false" customHeight="true" outlineLevel="0" collapsed="false">
      <c r="C2020" s="98" t="s">
        <v>3798</v>
      </c>
      <c r="D2020" s="98" t="s">
        <v>1835</v>
      </c>
      <c r="E2020" s="98" t="s">
        <v>835</v>
      </c>
      <c r="F2020" s="98" t="n">
        <v>0.0223391071941145</v>
      </c>
      <c r="G2020" s="98" t="s">
        <v>3796</v>
      </c>
      <c r="H2020" s="98" t="s">
        <v>1703</v>
      </c>
      <c r="I2020" s="98" t="s">
        <v>1704</v>
      </c>
      <c r="J2020" s="98" t="s">
        <v>1705</v>
      </c>
      <c r="K2020" s="98" t="s">
        <v>1706</v>
      </c>
    </row>
    <row r="2021" customFormat="false" ht="64" hidden="false" customHeight="true" outlineLevel="0" collapsed="false">
      <c r="C2021" s="98" t="s">
        <v>3799</v>
      </c>
      <c r="D2021" s="98" t="s">
        <v>1044</v>
      </c>
      <c r="E2021" s="98" t="s">
        <v>835</v>
      </c>
      <c r="F2021" s="98" t="n">
        <v>0.0223391071941145</v>
      </c>
      <c r="G2021" s="98" t="s">
        <v>3796</v>
      </c>
      <c r="H2021" s="98" t="s">
        <v>1703</v>
      </c>
      <c r="I2021" s="98" t="s">
        <v>1704</v>
      </c>
      <c r="J2021" s="98" t="s">
        <v>1705</v>
      </c>
      <c r="K2021" s="98" t="s">
        <v>1706</v>
      </c>
    </row>
    <row r="2022" customFormat="false" ht="64" hidden="false" customHeight="true" outlineLevel="0" collapsed="false">
      <c r="C2022" s="98" t="s">
        <v>3800</v>
      </c>
      <c r="D2022" s="98" t="s">
        <v>1838</v>
      </c>
      <c r="E2022" s="98" t="s">
        <v>835</v>
      </c>
      <c r="F2022" s="98" t="n">
        <v>0.0223391071941145</v>
      </c>
      <c r="G2022" s="98" t="s">
        <v>3796</v>
      </c>
      <c r="H2022" s="98" t="s">
        <v>1703</v>
      </c>
      <c r="I2022" s="98" t="s">
        <v>1704</v>
      </c>
      <c r="J2022" s="98" t="s">
        <v>1705</v>
      </c>
      <c r="K2022" s="98" t="s">
        <v>1706</v>
      </c>
    </row>
    <row r="2023" customFormat="false" ht="64" hidden="false" customHeight="true" outlineLevel="0" collapsed="false">
      <c r="C2023" s="98" t="s">
        <v>3801</v>
      </c>
      <c r="D2023" s="98" t="s">
        <v>1840</v>
      </c>
      <c r="E2023" s="98" t="s">
        <v>835</v>
      </c>
      <c r="F2023" s="98" t="n">
        <v>0.0223391071941145</v>
      </c>
      <c r="G2023" s="98" t="s">
        <v>3796</v>
      </c>
      <c r="H2023" s="98" t="s">
        <v>1703</v>
      </c>
      <c r="I2023" s="98" t="s">
        <v>1704</v>
      </c>
      <c r="J2023" s="98" t="s">
        <v>1705</v>
      </c>
      <c r="K2023" s="98" t="s">
        <v>1706</v>
      </c>
    </row>
    <row r="2024" customFormat="false" ht="64" hidden="false" customHeight="true" outlineLevel="0" collapsed="false">
      <c r="C2024" s="98" t="s">
        <v>3802</v>
      </c>
      <c r="D2024" s="98" t="s">
        <v>1700</v>
      </c>
      <c r="E2024" s="98" t="s">
        <v>835</v>
      </c>
      <c r="F2024" s="98" t="n">
        <v>0.0223391071941145</v>
      </c>
      <c r="G2024" s="98" t="s">
        <v>3796</v>
      </c>
      <c r="H2024" s="98" t="s">
        <v>1703</v>
      </c>
      <c r="I2024" s="98" t="s">
        <v>1704</v>
      </c>
      <c r="J2024" s="98" t="s">
        <v>1705</v>
      </c>
      <c r="K2024" s="98" t="s">
        <v>1706</v>
      </c>
    </row>
    <row r="2025" customFormat="false" ht="64" hidden="false" customHeight="true" outlineLevel="0" collapsed="false">
      <c r="C2025" s="98" t="s">
        <v>3803</v>
      </c>
      <c r="D2025" s="98" t="s">
        <v>1708</v>
      </c>
      <c r="E2025" s="98" t="s">
        <v>835</v>
      </c>
      <c r="F2025" s="98" t="n">
        <v>0.0223391071941145</v>
      </c>
      <c r="G2025" s="98" t="s">
        <v>3796</v>
      </c>
      <c r="H2025" s="98" t="s">
        <v>1703</v>
      </c>
      <c r="I2025" s="98" t="s">
        <v>1704</v>
      </c>
      <c r="J2025" s="98" t="s">
        <v>1705</v>
      </c>
      <c r="K2025" s="98" t="s">
        <v>1706</v>
      </c>
    </row>
    <row r="2026" customFormat="false" ht="64" hidden="false" customHeight="true" outlineLevel="0" collapsed="false">
      <c r="C2026" s="98" t="s">
        <v>3804</v>
      </c>
      <c r="D2026" s="98" t="s">
        <v>1710</v>
      </c>
      <c r="E2026" s="98" t="s">
        <v>835</v>
      </c>
      <c r="F2026" s="98" t="n">
        <v>0.0223391071941145</v>
      </c>
      <c r="G2026" s="98" t="s">
        <v>3796</v>
      </c>
      <c r="H2026" s="98" t="s">
        <v>1703</v>
      </c>
      <c r="I2026" s="98" t="s">
        <v>1704</v>
      </c>
      <c r="J2026" s="98" t="s">
        <v>1705</v>
      </c>
      <c r="K2026" s="98" t="s">
        <v>1706</v>
      </c>
    </row>
    <row r="2027" customFormat="false" ht="64" hidden="false" customHeight="true" outlineLevel="0" collapsed="false">
      <c r="C2027" s="98" t="s">
        <v>3805</v>
      </c>
      <c r="D2027" s="98" t="s">
        <v>1712</v>
      </c>
      <c r="E2027" s="98" t="s">
        <v>835</v>
      </c>
      <c r="F2027" s="98" t="n">
        <v>0.0223391071941145</v>
      </c>
      <c r="G2027" s="98" t="s">
        <v>3796</v>
      </c>
      <c r="H2027" s="98" t="s">
        <v>1703</v>
      </c>
      <c r="I2027" s="98" t="s">
        <v>1704</v>
      </c>
      <c r="J2027" s="98" t="s">
        <v>1705</v>
      </c>
      <c r="K2027" s="98" t="s">
        <v>1706</v>
      </c>
    </row>
    <row r="2028" customFormat="false" ht="64" hidden="false" customHeight="true" outlineLevel="0" collapsed="false">
      <c r="C2028" s="98" t="s">
        <v>3806</v>
      </c>
      <c r="D2028" s="98" t="s">
        <v>1714</v>
      </c>
      <c r="E2028" s="98" t="s">
        <v>835</v>
      </c>
      <c r="F2028" s="98" t="n">
        <v>0.0223391071941145</v>
      </c>
      <c r="G2028" s="98" t="s">
        <v>3796</v>
      </c>
      <c r="H2028" s="98" t="s">
        <v>1703</v>
      </c>
      <c r="I2028" s="98" t="s">
        <v>1704</v>
      </c>
      <c r="J2028" s="98" t="s">
        <v>1705</v>
      </c>
      <c r="K2028" s="98" t="s">
        <v>1706</v>
      </c>
    </row>
    <row r="2029" customFormat="false" ht="64" hidden="false" customHeight="true" outlineLevel="0" collapsed="false">
      <c r="C2029" s="98" t="s">
        <v>3807</v>
      </c>
      <c r="D2029" s="98" t="s">
        <v>1716</v>
      </c>
      <c r="E2029" s="98" t="s">
        <v>835</v>
      </c>
      <c r="F2029" s="98" t="n">
        <v>0.0223391071941145</v>
      </c>
      <c r="G2029" s="98" t="s">
        <v>3796</v>
      </c>
      <c r="H2029" s="98" t="s">
        <v>1703</v>
      </c>
      <c r="I2029" s="98" t="s">
        <v>1704</v>
      </c>
      <c r="J2029" s="98" t="s">
        <v>1705</v>
      </c>
      <c r="K2029" s="98" t="s">
        <v>1706</v>
      </c>
    </row>
    <row r="2030" customFormat="false" ht="64" hidden="false" customHeight="true" outlineLevel="0" collapsed="false">
      <c r="C2030" s="98" t="s">
        <v>3808</v>
      </c>
      <c r="D2030" s="98" t="s">
        <v>1718</v>
      </c>
      <c r="E2030" s="98" t="s">
        <v>835</v>
      </c>
      <c r="F2030" s="98" t="n">
        <v>0.0223391071941145</v>
      </c>
      <c r="G2030" s="98" t="s">
        <v>3796</v>
      </c>
      <c r="H2030" s="98" t="s">
        <v>1703</v>
      </c>
      <c r="I2030" s="98" t="s">
        <v>1704</v>
      </c>
      <c r="J2030" s="98" t="s">
        <v>1705</v>
      </c>
      <c r="K2030" s="98" t="s">
        <v>1706</v>
      </c>
    </row>
    <row r="2031" customFormat="false" ht="64" hidden="false" customHeight="true" outlineLevel="0" collapsed="false">
      <c r="C2031" s="98" t="s">
        <v>3809</v>
      </c>
      <c r="D2031" s="98" t="s">
        <v>1720</v>
      </c>
      <c r="E2031" s="98" t="s">
        <v>835</v>
      </c>
      <c r="F2031" s="98" t="n">
        <v>0.0223391071941145</v>
      </c>
      <c r="G2031" s="98" t="s">
        <v>3796</v>
      </c>
      <c r="H2031" s="98" t="s">
        <v>1703</v>
      </c>
      <c r="I2031" s="98" t="s">
        <v>1704</v>
      </c>
      <c r="J2031" s="98" t="s">
        <v>1705</v>
      </c>
      <c r="K2031" s="98" t="s">
        <v>1706</v>
      </c>
    </row>
    <row r="2032" customFormat="false" ht="64" hidden="false" customHeight="true" outlineLevel="0" collapsed="false">
      <c r="C2032" s="98" t="s">
        <v>3810</v>
      </c>
      <c r="D2032" s="98" t="s">
        <v>1722</v>
      </c>
      <c r="E2032" s="98" t="s">
        <v>835</v>
      </c>
      <c r="F2032" s="98" t="n">
        <v>0.0223391071941145</v>
      </c>
      <c r="G2032" s="98" t="s">
        <v>3796</v>
      </c>
      <c r="H2032" s="98" t="s">
        <v>1703</v>
      </c>
      <c r="I2032" s="98" t="s">
        <v>1704</v>
      </c>
      <c r="J2032" s="98" t="s">
        <v>1705</v>
      </c>
      <c r="K2032" s="98" t="s">
        <v>1706</v>
      </c>
    </row>
    <row r="2033" customFormat="false" ht="64" hidden="false" customHeight="true" outlineLevel="0" collapsed="false">
      <c r="C2033" s="98" t="s">
        <v>3811</v>
      </c>
      <c r="D2033" s="98" t="s">
        <v>1724</v>
      </c>
      <c r="E2033" s="98" t="s">
        <v>835</v>
      </c>
      <c r="F2033" s="98" t="n">
        <v>0.0223391071941145</v>
      </c>
      <c r="G2033" s="98" t="s">
        <v>3796</v>
      </c>
      <c r="H2033" s="98" t="s">
        <v>1703</v>
      </c>
      <c r="I2033" s="98" t="s">
        <v>1704</v>
      </c>
      <c r="J2033" s="98" t="s">
        <v>1705</v>
      </c>
      <c r="K2033" s="98" t="s">
        <v>1706</v>
      </c>
    </row>
    <row r="2034" customFormat="false" ht="64" hidden="false" customHeight="true" outlineLevel="0" collapsed="false">
      <c r="C2034" s="98" t="s">
        <v>3812</v>
      </c>
      <c r="D2034" s="98" t="s">
        <v>1726</v>
      </c>
      <c r="E2034" s="98" t="s">
        <v>835</v>
      </c>
      <c r="F2034" s="98" t="n">
        <v>0.0223391071941145</v>
      </c>
      <c r="G2034" s="98" t="s">
        <v>3796</v>
      </c>
      <c r="H2034" s="98" t="s">
        <v>1703</v>
      </c>
      <c r="I2034" s="98" t="s">
        <v>1704</v>
      </c>
      <c r="J2034" s="98" t="s">
        <v>1705</v>
      </c>
      <c r="K2034" s="98" t="s">
        <v>1706</v>
      </c>
    </row>
    <row r="2035" customFormat="false" ht="64" hidden="false" customHeight="true" outlineLevel="0" collapsed="false">
      <c r="C2035" s="98" t="s">
        <v>3813</v>
      </c>
      <c r="D2035" s="98" t="s">
        <v>1728</v>
      </c>
      <c r="E2035" s="98" t="s">
        <v>835</v>
      </c>
      <c r="F2035" s="98" t="n">
        <v>0.0223391071941145</v>
      </c>
      <c r="G2035" s="98" t="s">
        <v>3796</v>
      </c>
      <c r="H2035" s="98" t="s">
        <v>1703</v>
      </c>
      <c r="I2035" s="98" t="s">
        <v>1704</v>
      </c>
      <c r="J2035" s="98" t="s">
        <v>1705</v>
      </c>
      <c r="K2035" s="98" t="s">
        <v>1706</v>
      </c>
    </row>
    <row r="2036" customFormat="false" ht="64" hidden="false" customHeight="true" outlineLevel="0" collapsed="false">
      <c r="C2036" s="98" t="s">
        <v>3814</v>
      </c>
      <c r="D2036" s="98" t="s">
        <v>1730</v>
      </c>
      <c r="E2036" s="98" t="s">
        <v>835</v>
      </c>
      <c r="F2036" s="98" t="n">
        <v>0.0223391071941145</v>
      </c>
      <c r="G2036" s="98" t="s">
        <v>3796</v>
      </c>
      <c r="H2036" s="98" t="s">
        <v>1703</v>
      </c>
      <c r="I2036" s="98" t="s">
        <v>1704</v>
      </c>
      <c r="J2036" s="98" t="s">
        <v>1705</v>
      </c>
      <c r="K2036" s="98" t="s">
        <v>1706</v>
      </c>
    </row>
    <row r="2037" customFormat="false" ht="64" hidden="false" customHeight="true" outlineLevel="0" collapsed="false">
      <c r="C2037" s="98" t="s">
        <v>3815</v>
      </c>
      <c r="D2037" s="98" t="s">
        <v>1732</v>
      </c>
      <c r="E2037" s="98" t="s">
        <v>835</v>
      </c>
      <c r="F2037" s="98" t="n">
        <v>0.0223391071941145</v>
      </c>
      <c r="G2037" s="98" t="s">
        <v>3796</v>
      </c>
      <c r="H2037" s="98" t="s">
        <v>1703</v>
      </c>
      <c r="I2037" s="98" t="s">
        <v>1704</v>
      </c>
      <c r="J2037" s="98" t="s">
        <v>1705</v>
      </c>
      <c r="K2037" s="98" t="s">
        <v>1706</v>
      </c>
    </row>
    <row r="2038" customFormat="false" ht="64" hidden="false" customHeight="true" outlineLevel="0" collapsed="false">
      <c r="C2038" s="98" t="s">
        <v>3816</v>
      </c>
      <c r="D2038" s="98" t="s">
        <v>1734</v>
      </c>
      <c r="E2038" s="98" t="s">
        <v>835</v>
      </c>
      <c r="F2038" s="98" t="n">
        <v>0.0223391071941145</v>
      </c>
      <c r="G2038" s="98" t="s">
        <v>3796</v>
      </c>
      <c r="H2038" s="98" t="s">
        <v>1703</v>
      </c>
      <c r="I2038" s="98" t="s">
        <v>1704</v>
      </c>
      <c r="J2038" s="98" t="s">
        <v>1705</v>
      </c>
      <c r="K2038" s="98" t="s">
        <v>1706</v>
      </c>
    </row>
    <row r="2039" customFormat="false" ht="64" hidden="false" customHeight="true" outlineLevel="0" collapsed="false">
      <c r="C2039" s="98" t="s">
        <v>3817</v>
      </c>
      <c r="D2039" s="98" t="s">
        <v>1736</v>
      </c>
      <c r="E2039" s="98" t="s">
        <v>835</v>
      </c>
      <c r="F2039" s="98" t="n">
        <v>0.0223391071941145</v>
      </c>
      <c r="G2039" s="98" t="s">
        <v>3796</v>
      </c>
      <c r="H2039" s="98" t="s">
        <v>1703</v>
      </c>
      <c r="I2039" s="98" t="s">
        <v>1704</v>
      </c>
      <c r="J2039" s="98" t="s">
        <v>1705</v>
      </c>
      <c r="K2039" s="98" t="s">
        <v>1706</v>
      </c>
    </row>
    <row r="2040" customFormat="false" ht="64" hidden="false" customHeight="true" outlineLevel="0" collapsed="false">
      <c r="C2040" s="98" t="s">
        <v>3818</v>
      </c>
      <c r="D2040" s="98" t="s">
        <v>1738</v>
      </c>
      <c r="E2040" s="98" t="s">
        <v>835</v>
      </c>
      <c r="F2040" s="98" t="n">
        <v>0.0223391071941145</v>
      </c>
      <c r="G2040" s="98" t="s">
        <v>3796</v>
      </c>
      <c r="H2040" s="98" t="s">
        <v>1703</v>
      </c>
      <c r="I2040" s="98" t="s">
        <v>1704</v>
      </c>
      <c r="J2040" s="98" t="s">
        <v>1705</v>
      </c>
      <c r="K2040" s="98" t="s">
        <v>1706</v>
      </c>
    </row>
    <row r="2041" customFormat="false" ht="64" hidden="false" customHeight="true" outlineLevel="0" collapsed="false">
      <c r="C2041" s="98" t="s">
        <v>3819</v>
      </c>
      <c r="D2041" s="98" t="s">
        <v>1740</v>
      </c>
      <c r="E2041" s="98" t="s">
        <v>835</v>
      </c>
      <c r="F2041" s="98" t="n">
        <v>0.0223391071941145</v>
      </c>
      <c r="G2041" s="98" t="s">
        <v>3796</v>
      </c>
      <c r="H2041" s="98" t="s">
        <v>1703</v>
      </c>
      <c r="I2041" s="98" t="s">
        <v>1704</v>
      </c>
      <c r="J2041" s="98" t="s">
        <v>1705</v>
      </c>
      <c r="K2041" s="98" t="s">
        <v>1706</v>
      </c>
    </row>
    <row r="2042" customFormat="false" ht="64" hidden="false" customHeight="true" outlineLevel="0" collapsed="false">
      <c r="C2042" s="98" t="s">
        <v>3820</v>
      </c>
      <c r="D2042" s="98" t="s">
        <v>1742</v>
      </c>
      <c r="E2042" s="98" t="s">
        <v>835</v>
      </c>
      <c r="F2042" s="98" t="n">
        <v>0.0223391071941145</v>
      </c>
      <c r="G2042" s="98" t="s">
        <v>3796</v>
      </c>
      <c r="H2042" s="98" t="s">
        <v>1703</v>
      </c>
      <c r="I2042" s="98" t="s">
        <v>1704</v>
      </c>
      <c r="J2042" s="98" t="s">
        <v>1705</v>
      </c>
      <c r="K2042" s="98" t="s">
        <v>1706</v>
      </c>
    </row>
    <row r="2043" customFormat="false" ht="64" hidden="false" customHeight="true" outlineLevel="0" collapsed="false">
      <c r="C2043" s="98" t="s">
        <v>3821</v>
      </c>
      <c r="D2043" s="98" t="s">
        <v>1744</v>
      </c>
      <c r="E2043" s="98" t="s">
        <v>835</v>
      </c>
      <c r="F2043" s="98" t="n">
        <v>0.0223391071941145</v>
      </c>
      <c r="G2043" s="98" t="s">
        <v>3796</v>
      </c>
      <c r="H2043" s="98" t="s">
        <v>1703</v>
      </c>
      <c r="I2043" s="98" t="s">
        <v>1704</v>
      </c>
      <c r="J2043" s="98" t="s">
        <v>1705</v>
      </c>
      <c r="K2043" s="98" t="s">
        <v>1706</v>
      </c>
    </row>
    <row r="2044" customFormat="false" ht="64" hidden="false" customHeight="true" outlineLevel="0" collapsed="false">
      <c r="C2044" s="98" t="s">
        <v>3822</v>
      </c>
      <c r="D2044" s="98" t="s">
        <v>1746</v>
      </c>
      <c r="E2044" s="98" t="s">
        <v>835</v>
      </c>
      <c r="F2044" s="98" t="n">
        <v>0.0223391071941145</v>
      </c>
      <c r="G2044" s="98" t="s">
        <v>3796</v>
      </c>
      <c r="H2044" s="98" t="s">
        <v>1703</v>
      </c>
      <c r="I2044" s="98" t="s">
        <v>1704</v>
      </c>
      <c r="J2044" s="98" t="s">
        <v>1705</v>
      </c>
      <c r="K2044" s="98" t="s">
        <v>1706</v>
      </c>
    </row>
    <row r="2045" customFormat="false" ht="64" hidden="false" customHeight="true" outlineLevel="0" collapsed="false">
      <c r="C2045" s="98" t="s">
        <v>3823</v>
      </c>
      <c r="D2045" s="98" t="s">
        <v>1748</v>
      </c>
      <c r="E2045" s="98" t="s">
        <v>835</v>
      </c>
      <c r="F2045" s="98" t="n">
        <v>0.0223391071941145</v>
      </c>
      <c r="G2045" s="98" t="s">
        <v>3796</v>
      </c>
      <c r="H2045" s="98" t="s">
        <v>1703</v>
      </c>
      <c r="I2045" s="98" t="s">
        <v>1704</v>
      </c>
      <c r="J2045" s="98" t="s">
        <v>1705</v>
      </c>
      <c r="K2045" s="98" t="s">
        <v>1706</v>
      </c>
    </row>
    <row r="2046" customFormat="false" ht="64" hidden="false" customHeight="true" outlineLevel="0" collapsed="false">
      <c r="C2046" s="98" t="s">
        <v>3824</v>
      </c>
      <c r="D2046" s="98" t="s">
        <v>1750</v>
      </c>
      <c r="E2046" s="98" t="s">
        <v>835</v>
      </c>
      <c r="F2046" s="98" t="n">
        <v>0.0223391071941145</v>
      </c>
      <c r="G2046" s="98" t="s">
        <v>3796</v>
      </c>
      <c r="H2046" s="98" t="s">
        <v>1703</v>
      </c>
      <c r="I2046" s="98" t="s">
        <v>1704</v>
      </c>
      <c r="J2046" s="98" t="s">
        <v>1705</v>
      </c>
      <c r="K2046" s="98" t="s">
        <v>1706</v>
      </c>
    </row>
    <row r="2047" customFormat="false" ht="64" hidden="false" customHeight="true" outlineLevel="0" collapsed="false">
      <c r="C2047" s="98" t="s">
        <v>3825</v>
      </c>
      <c r="D2047" s="98" t="s">
        <v>1752</v>
      </c>
      <c r="E2047" s="98" t="s">
        <v>835</v>
      </c>
      <c r="F2047" s="98" t="n">
        <v>0.0223391071941145</v>
      </c>
      <c r="G2047" s="98" t="s">
        <v>3796</v>
      </c>
      <c r="H2047" s="98" t="s">
        <v>1703</v>
      </c>
      <c r="I2047" s="98" t="s">
        <v>1704</v>
      </c>
      <c r="J2047" s="98" t="s">
        <v>1705</v>
      </c>
      <c r="K2047" s="98" t="s">
        <v>1706</v>
      </c>
    </row>
    <row r="2048" customFormat="false" ht="64" hidden="false" customHeight="true" outlineLevel="0" collapsed="false">
      <c r="C2048" s="98" t="s">
        <v>3826</v>
      </c>
      <c r="D2048" s="98" t="s">
        <v>1754</v>
      </c>
      <c r="E2048" s="98" t="s">
        <v>835</v>
      </c>
      <c r="F2048" s="98" t="n">
        <v>0.0223391071941145</v>
      </c>
      <c r="G2048" s="98" t="s">
        <v>3796</v>
      </c>
      <c r="H2048" s="98" t="s">
        <v>1703</v>
      </c>
      <c r="I2048" s="98" t="s">
        <v>1704</v>
      </c>
      <c r="J2048" s="98" t="s">
        <v>1705</v>
      </c>
      <c r="K2048" s="98" t="s">
        <v>1706</v>
      </c>
    </row>
    <row r="2049" customFormat="false" ht="64" hidden="false" customHeight="true" outlineLevel="0" collapsed="false">
      <c r="C2049" s="98" t="s">
        <v>3827</v>
      </c>
      <c r="D2049" s="98" t="s">
        <v>1756</v>
      </c>
      <c r="E2049" s="98" t="s">
        <v>835</v>
      </c>
      <c r="F2049" s="98" t="n">
        <v>0.0223391071941145</v>
      </c>
      <c r="G2049" s="98" t="s">
        <v>3796</v>
      </c>
      <c r="H2049" s="98" t="s">
        <v>1703</v>
      </c>
      <c r="I2049" s="98" t="s">
        <v>1704</v>
      </c>
      <c r="J2049" s="98" t="s">
        <v>1705</v>
      </c>
      <c r="K2049" s="98" t="s">
        <v>1706</v>
      </c>
    </row>
    <row r="2050" customFormat="false" ht="64" hidden="false" customHeight="true" outlineLevel="0" collapsed="false">
      <c r="C2050" s="98" t="s">
        <v>3828</v>
      </c>
      <c r="D2050" s="98" t="s">
        <v>1758</v>
      </c>
      <c r="E2050" s="98" t="s">
        <v>835</v>
      </c>
      <c r="F2050" s="98" t="n">
        <v>0.0223391071941145</v>
      </c>
      <c r="G2050" s="98" t="s">
        <v>3796</v>
      </c>
      <c r="H2050" s="98" t="s">
        <v>1703</v>
      </c>
      <c r="I2050" s="98" t="s">
        <v>1704</v>
      </c>
      <c r="J2050" s="98" t="s">
        <v>1705</v>
      </c>
      <c r="K2050" s="98" t="s">
        <v>1706</v>
      </c>
    </row>
    <row r="2051" customFormat="false" ht="64" hidden="false" customHeight="true" outlineLevel="0" collapsed="false">
      <c r="C2051" s="98" t="s">
        <v>3829</v>
      </c>
      <c r="D2051" s="98" t="s">
        <v>1760</v>
      </c>
      <c r="E2051" s="98" t="s">
        <v>835</v>
      </c>
      <c r="F2051" s="98" t="n">
        <v>0.0223391071941145</v>
      </c>
      <c r="G2051" s="98" t="s">
        <v>3796</v>
      </c>
      <c r="H2051" s="98" t="s">
        <v>1703</v>
      </c>
      <c r="I2051" s="98" t="s">
        <v>1704</v>
      </c>
      <c r="J2051" s="98" t="s">
        <v>1705</v>
      </c>
      <c r="K2051" s="98" t="s">
        <v>1706</v>
      </c>
    </row>
    <row r="2052" customFormat="false" ht="64" hidden="false" customHeight="true" outlineLevel="0" collapsed="false">
      <c r="C2052" s="98" t="s">
        <v>3830</v>
      </c>
      <c r="D2052" s="98" t="s">
        <v>1762</v>
      </c>
      <c r="E2052" s="98" t="s">
        <v>835</v>
      </c>
      <c r="F2052" s="98" t="n">
        <v>0.0223391071941145</v>
      </c>
      <c r="G2052" s="98" t="s">
        <v>3796</v>
      </c>
      <c r="H2052" s="98" t="s">
        <v>1703</v>
      </c>
      <c r="I2052" s="98" t="s">
        <v>1704</v>
      </c>
      <c r="J2052" s="98" t="s">
        <v>1705</v>
      </c>
      <c r="K2052" s="98" t="s">
        <v>1706</v>
      </c>
    </row>
    <row r="2053" customFormat="false" ht="64" hidden="false" customHeight="true" outlineLevel="0" collapsed="false">
      <c r="C2053" s="98" t="s">
        <v>3831</v>
      </c>
      <c r="D2053" s="98" t="s">
        <v>1764</v>
      </c>
      <c r="E2053" s="98" t="s">
        <v>835</v>
      </c>
      <c r="F2053" s="98" t="n">
        <v>0.0223391071941145</v>
      </c>
      <c r="G2053" s="98" t="s">
        <v>3796</v>
      </c>
      <c r="H2053" s="98" t="s">
        <v>1703</v>
      </c>
      <c r="I2053" s="98" t="s">
        <v>1704</v>
      </c>
      <c r="J2053" s="98" t="s">
        <v>1705</v>
      </c>
      <c r="K2053" s="98" t="s">
        <v>1706</v>
      </c>
    </row>
    <row r="2054" customFormat="false" ht="64" hidden="false" customHeight="true" outlineLevel="0" collapsed="false">
      <c r="C2054" s="98" t="s">
        <v>3832</v>
      </c>
      <c r="D2054" s="98" t="s">
        <v>1829</v>
      </c>
      <c r="E2054" s="98" t="s">
        <v>835</v>
      </c>
      <c r="F2054" s="98" t="n">
        <v>0.0714435328000255</v>
      </c>
      <c r="G2054" s="98" t="s">
        <v>3833</v>
      </c>
      <c r="H2054" s="98" t="s">
        <v>2250</v>
      </c>
      <c r="I2054" s="98" t="s">
        <v>1704</v>
      </c>
      <c r="J2054" s="98" t="s">
        <v>1705</v>
      </c>
      <c r="K2054" s="98" t="s">
        <v>1706</v>
      </c>
    </row>
    <row r="2055" customFormat="false" ht="64" hidden="false" customHeight="true" outlineLevel="0" collapsed="false">
      <c r="C2055" s="98" t="s">
        <v>3834</v>
      </c>
      <c r="D2055" s="98" t="s">
        <v>1833</v>
      </c>
      <c r="E2055" s="98" t="s">
        <v>835</v>
      </c>
      <c r="F2055" s="98" t="n">
        <v>0.0714435328000255</v>
      </c>
      <c r="G2055" s="98" t="s">
        <v>3833</v>
      </c>
      <c r="H2055" s="98" t="s">
        <v>2250</v>
      </c>
      <c r="I2055" s="98" t="s">
        <v>1704</v>
      </c>
      <c r="J2055" s="98" t="s">
        <v>1705</v>
      </c>
      <c r="K2055" s="98" t="s">
        <v>1706</v>
      </c>
    </row>
    <row r="2056" customFormat="false" ht="64" hidden="false" customHeight="true" outlineLevel="0" collapsed="false">
      <c r="C2056" s="98" t="s">
        <v>3835</v>
      </c>
      <c r="D2056" s="98" t="s">
        <v>1835</v>
      </c>
      <c r="E2056" s="98" t="s">
        <v>835</v>
      </c>
      <c r="F2056" s="98" t="n">
        <v>0.0714435328000255</v>
      </c>
      <c r="G2056" s="98" t="s">
        <v>3833</v>
      </c>
      <c r="H2056" s="98" t="s">
        <v>2250</v>
      </c>
      <c r="I2056" s="98" t="s">
        <v>1704</v>
      </c>
      <c r="J2056" s="98" t="s">
        <v>1705</v>
      </c>
      <c r="K2056" s="98" t="s">
        <v>1706</v>
      </c>
    </row>
    <row r="2057" customFormat="false" ht="64" hidden="false" customHeight="true" outlineLevel="0" collapsed="false">
      <c r="C2057" s="98" t="s">
        <v>3836</v>
      </c>
      <c r="D2057" s="98" t="s">
        <v>1044</v>
      </c>
      <c r="E2057" s="98" t="s">
        <v>835</v>
      </c>
      <c r="F2057" s="98" t="n">
        <v>0.0714435328000255</v>
      </c>
      <c r="G2057" s="98" t="s">
        <v>3833</v>
      </c>
      <c r="H2057" s="98" t="s">
        <v>2250</v>
      </c>
      <c r="I2057" s="98" t="s">
        <v>1704</v>
      </c>
      <c r="J2057" s="98" t="s">
        <v>1705</v>
      </c>
      <c r="K2057" s="98" t="s">
        <v>1706</v>
      </c>
    </row>
    <row r="2058" customFormat="false" ht="64" hidden="false" customHeight="true" outlineLevel="0" collapsed="false">
      <c r="C2058" s="98" t="s">
        <v>3837</v>
      </c>
      <c r="D2058" s="98" t="s">
        <v>1838</v>
      </c>
      <c r="E2058" s="98" t="s">
        <v>835</v>
      </c>
      <c r="F2058" s="98" t="n">
        <v>0.0714435328000255</v>
      </c>
      <c r="G2058" s="98" t="s">
        <v>3833</v>
      </c>
      <c r="H2058" s="98" t="s">
        <v>2250</v>
      </c>
      <c r="I2058" s="98" t="s">
        <v>1704</v>
      </c>
      <c r="J2058" s="98" t="s">
        <v>1705</v>
      </c>
      <c r="K2058" s="98" t="s">
        <v>1706</v>
      </c>
    </row>
    <row r="2059" customFormat="false" ht="64" hidden="false" customHeight="true" outlineLevel="0" collapsed="false">
      <c r="C2059" s="98" t="s">
        <v>3838</v>
      </c>
      <c r="D2059" s="98" t="s">
        <v>1840</v>
      </c>
      <c r="E2059" s="98" t="s">
        <v>835</v>
      </c>
      <c r="F2059" s="98" t="n">
        <v>0.0714435328000255</v>
      </c>
      <c r="G2059" s="98" t="s">
        <v>3833</v>
      </c>
      <c r="H2059" s="98" t="s">
        <v>2250</v>
      </c>
      <c r="I2059" s="98" t="s">
        <v>1704</v>
      </c>
      <c r="J2059" s="98" t="s">
        <v>1705</v>
      </c>
      <c r="K2059" s="98" t="s">
        <v>1706</v>
      </c>
    </row>
    <row r="2060" customFormat="false" ht="64" hidden="false" customHeight="true" outlineLevel="0" collapsed="false">
      <c r="C2060" s="98" t="s">
        <v>3839</v>
      </c>
      <c r="D2060" s="98" t="s">
        <v>1700</v>
      </c>
      <c r="E2060" s="98" t="s">
        <v>835</v>
      </c>
      <c r="F2060" s="98" t="n">
        <v>0.0714435328000255</v>
      </c>
      <c r="G2060" s="98" t="s">
        <v>3833</v>
      </c>
      <c r="H2060" s="98" t="s">
        <v>2250</v>
      </c>
      <c r="I2060" s="98" t="s">
        <v>1704</v>
      </c>
      <c r="J2060" s="98" t="s">
        <v>1705</v>
      </c>
      <c r="K2060" s="98" t="s">
        <v>1706</v>
      </c>
    </row>
    <row r="2061" customFormat="false" ht="64" hidden="false" customHeight="true" outlineLevel="0" collapsed="false">
      <c r="C2061" s="98" t="s">
        <v>3840</v>
      </c>
      <c r="D2061" s="98" t="s">
        <v>1708</v>
      </c>
      <c r="E2061" s="98" t="s">
        <v>835</v>
      </c>
      <c r="F2061" s="98" t="n">
        <v>0.0714435328000255</v>
      </c>
      <c r="G2061" s="98" t="s">
        <v>3833</v>
      </c>
      <c r="H2061" s="98" t="s">
        <v>2250</v>
      </c>
      <c r="I2061" s="98" t="s">
        <v>1704</v>
      </c>
      <c r="J2061" s="98" t="s">
        <v>1705</v>
      </c>
      <c r="K2061" s="98" t="s">
        <v>1706</v>
      </c>
    </row>
    <row r="2062" customFormat="false" ht="64" hidden="false" customHeight="true" outlineLevel="0" collapsed="false">
      <c r="C2062" s="98" t="s">
        <v>3841</v>
      </c>
      <c r="D2062" s="98" t="s">
        <v>1710</v>
      </c>
      <c r="E2062" s="98" t="s">
        <v>835</v>
      </c>
      <c r="F2062" s="98" t="n">
        <v>0.0714435328000255</v>
      </c>
      <c r="G2062" s="98" t="s">
        <v>3833</v>
      </c>
      <c r="H2062" s="98" t="s">
        <v>2250</v>
      </c>
      <c r="I2062" s="98" t="s">
        <v>1704</v>
      </c>
      <c r="J2062" s="98" t="s">
        <v>1705</v>
      </c>
      <c r="K2062" s="98" t="s">
        <v>1706</v>
      </c>
    </row>
    <row r="2063" customFormat="false" ht="64" hidden="false" customHeight="true" outlineLevel="0" collapsed="false">
      <c r="C2063" s="98" t="s">
        <v>3842</v>
      </c>
      <c r="D2063" s="98" t="s">
        <v>1712</v>
      </c>
      <c r="E2063" s="98" t="s">
        <v>835</v>
      </c>
      <c r="F2063" s="98" t="n">
        <v>0.0714435328000255</v>
      </c>
      <c r="G2063" s="98" t="s">
        <v>3833</v>
      </c>
      <c r="H2063" s="98" t="s">
        <v>2250</v>
      </c>
      <c r="I2063" s="98" t="s">
        <v>1704</v>
      </c>
      <c r="J2063" s="98" t="s">
        <v>1705</v>
      </c>
      <c r="K2063" s="98" t="s">
        <v>1706</v>
      </c>
    </row>
    <row r="2064" customFormat="false" ht="64" hidden="false" customHeight="true" outlineLevel="0" collapsed="false">
      <c r="C2064" s="98" t="s">
        <v>3843</v>
      </c>
      <c r="D2064" s="98" t="s">
        <v>1714</v>
      </c>
      <c r="E2064" s="98" t="s">
        <v>835</v>
      </c>
      <c r="F2064" s="98" t="n">
        <v>0.0714435328000255</v>
      </c>
      <c r="G2064" s="98" t="s">
        <v>3833</v>
      </c>
      <c r="H2064" s="98" t="s">
        <v>2250</v>
      </c>
      <c r="I2064" s="98" t="s">
        <v>1704</v>
      </c>
      <c r="J2064" s="98" t="s">
        <v>1705</v>
      </c>
      <c r="K2064" s="98" t="s">
        <v>1706</v>
      </c>
    </row>
    <row r="2065" customFormat="false" ht="64" hidden="false" customHeight="true" outlineLevel="0" collapsed="false">
      <c r="C2065" s="98" t="s">
        <v>3844</v>
      </c>
      <c r="D2065" s="98" t="s">
        <v>1716</v>
      </c>
      <c r="E2065" s="98" t="s">
        <v>835</v>
      </c>
      <c r="F2065" s="98" t="n">
        <v>0.0714435328000255</v>
      </c>
      <c r="G2065" s="98" t="s">
        <v>3833</v>
      </c>
      <c r="H2065" s="98" t="s">
        <v>2250</v>
      </c>
      <c r="I2065" s="98" t="s">
        <v>1704</v>
      </c>
      <c r="J2065" s="98" t="s">
        <v>1705</v>
      </c>
      <c r="K2065" s="98" t="s">
        <v>1706</v>
      </c>
    </row>
    <row r="2066" customFormat="false" ht="64" hidden="false" customHeight="true" outlineLevel="0" collapsed="false">
      <c r="C2066" s="98" t="s">
        <v>3845</v>
      </c>
      <c r="D2066" s="98" t="s">
        <v>1718</v>
      </c>
      <c r="E2066" s="98" t="s">
        <v>835</v>
      </c>
      <c r="F2066" s="98" t="n">
        <v>0.0714435328000255</v>
      </c>
      <c r="G2066" s="98" t="s">
        <v>3833</v>
      </c>
      <c r="H2066" s="98" t="s">
        <v>2250</v>
      </c>
      <c r="I2066" s="98" t="s">
        <v>1704</v>
      </c>
      <c r="J2066" s="98" t="s">
        <v>1705</v>
      </c>
      <c r="K2066" s="98" t="s">
        <v>1706</v>
      </c>
    </row>
    <row r="2067" customFormat="false" ht="64" hidden="false" customHeight="true" outlineLevel="0" collapsed="false">
      <c r="C2067" s="98" t="s">
        <v>3846</v>
      </c>
      <c r="D2067" s="98" t="s">
        <v>1720</v>
      </c>
      <c r="E2067" s="98" t="s">
        <v>835</v>
      </c>
      <c r="F2067" s="98" t="n">
        <v>0.0714435328000255</v>
      </c>
      <c r="G2067" s="98" t="s">
        <v>3833</v>
      </c>
      <c r="H2067" s="98" t="s">
        <v>2250</v>
      </c>
      <c r="I2067" s="98" t="s">
        <v>1704</v>
      </c>
      <c r="J2067" s="98" t="s">
        <v>1705</v>
      </c>
      <c r="K2067" s="98" t="s">
        <v>1706</v>
      </c>
    </row>
    <row r="2068" customFormat="false" ht="64" hidden="false" customHeight="true" outlineLevel="0" collapsed="false">
      <c r="C2068" s="98" t="s">
        <v>3847</v>
      </c>
      <c r="D2068" s="98" t="s">
        <v>1722</v>
      </c>
      <c r="E2068" s="98" t="s">
        <v>835</v>
      </c>
      <c r="F2068" s="98" t="n">
        <v>0.0714435328000255</v>
      </c>
      <c r="G2068" s="98" t="s">
        <v>3833</v>
      </c>
      <c r="H2068" s="98" t="s">
        <v>2250</v>
      </c>
      <c r="I2068" s="98" t="s">
        <v>1704</v>
      </c>
      <c r="J2068" s="98" t="s">
        <v>1705</v>
      </c>
      <c r="K2068" s="98" t="s">
        <v>1706</v>
      </c>
    </row>
    <row r="2069" customFormat="false" ht="64" hidden="false" customHeight="true" outlineLevel="0" collapsed="false">
      <c r="C2069" s="98" t="s">
        <v>3848</v>
      </c>
      <c r="D2069" s="98" t="s">
        <v>1724</v>
      </c>
      <c r="E2069" s="98" t="s">
        <v>835</v>
      </c>
      <c r="F2069" s="98" t="n">
        <v>0.0714435328000255</v>
      </c>
      <c r="G2069" s="98" t="s">
        <v>3833</v>
      </c>
      <c r="H2069" s="98" t="s">
        <v>2250</v>
      </c>
      <c r="I2069" s="98" t="s">
        <v>1704</v>
      </c>
      <c r="J2069" s="98" t="s">
        <v>1705</v>
      </c>
      <c r="K2069" s="98" t="s">
        <v>1706</v>
      </c>
    </row>
    <row r="2070" customFormat="false" ht="64" hidden="false" customHeight="true" outlineLevel="0" collapsed="false">
      <c r="C2070" s="98" t="s">
        <v>3849</v>
      </c>
      <c r="D2070" s="98" t="s">
        <v>1726</v>
      </c>
      <c r="E2070" s="98" t="s">
        <v>835</v>
      </c>
      <c r="F2070" s="98" t="n">
        <v>0.0714435328000255</v>
      </c>
      <c r="G2070" s="98" t="s">
        <v>3833</v>
      </c>
      <c r="H2070" s="98" t="s">
        <v>2250</v>
      </c>
      <c r="I2070" s="98" t="s">
        <v>1704</v>
      </c>
      <c r="J2070" s="98" t="s">
        <v>1705</v>
      </c>
      <c r="K2070" s="98" t="s">
        <v>1706</v>
      </c>
    </row>
    <row r="2071" customFormat="false" ht="64" hidden="false" customHeight="true" outlineLevel="0" collapsed="false">
      <c r="C2071" s="98" t="s">
        <v>3850</v>
      </c>
      <c r="D2071" s="98" t="s">
        <v>1728</v>
      </c>
      <c r="E2071" s="98" t="s">
        <v>835</v>
      </c>
      <c r="F2071" s="98" t="n">
        <v>0.0714435328000255</v>
      </c>
      <c r="G2071" s="98" t="s">
        <v>3833</v>
      </c>
      <c r="H2071" s="98" t="s">
        <v>2250</v>
      </c>
      <c r="I2071" s="98" t="s">
        <v>1704</v>
      </c>
      <c r="J2071" s="98" t="s">
        <v>1705</v>
      </c>
      <c r="K2071" s="98" t="s">
        <v>1706</v>
      </c>
    </row>
    <row r="2072" customFormat="false" ht="64" hidden="false" customHeight="true" outlineLevel="0" collapsed="false">
      <c r="C2072" s="98" t="s">
        <v>3851</v>
      </c>
      <c r="D2072" s="98" t="s">
        <v>1730</v>
      </c>
      <c r="E2072" s="98" t="s">
        <v>835</v>
      </c>
      <c r="F2072" s="98" t="n">
        <v>0.0714435328000255</v>
      </c>
      <c r="G2072" s="98" t="s">
        <v>3833</v>
      </c>
      <c r="H2072" s="98" t="s">
        <v>2250</v>
      </c>
      <c r="I2072" s="98" t="s">
        <v>1704</v>
      </c>
      <c r="J2072" s="98" t="s">
        <v>1705</v>
      </c>
      <c r="K2072" s="98" t="s">
        <v>1706</v>
      </c>
    </row>
    <row r="2073" customFormat="false" ht="64" hidden="false" customHeight="true" outlineLevel="0" collapsed="false">
      <c r="C2073" s="98" t="s">
        <v>3852</v>
      </c>
      <c r="D2073" s="98" t="s">
        <v>1732</v>
      </c>
      <c r="E2073" s="98" t="s">
        <v>835</v>
      </c>
      <c r="F2073" s="98" t="n">
        <v>0.0714435328000255</v>
      </c>
      <c r="G2073" s="98" t="s">
        <v>3833</v>
      </c>
      <c r="H2073" s="98" t="s">
        <v>2250</v>
      </c>
      <c r="I2073" s="98" t="s">
        <v>1704</v>
      </c>
      <c r="J2073" s="98" t="s">
        <v>1705</v>
      </c>
      <c r="K2073" s="98" t="s">
        <v>1706</v>
      </c>
    </row>
    <row r="2074" customFormat="false" ht="64" hidden="false" customHeight="true" outlineLevel="0" collapsed="false">
      <c r="C2074" s="98" t="s">
        <v>3853</v>
      </c>
      <c r="D2074" s="98" t="s">
        <v>1734</v>
      </c>
      <c r="E2074" s="98" t="s">
        <v>835</v>
      </c>
      <c r="F2074" s="98" t="n">
        <v>0.0714435328000255</v>
      </c>
      <c r="G2074" s="98" t="s">
        <v>3833</v>
      </c>
      <c r="H2074" s="98" t="s">
        <v>2250</v>
      </c>
      <c r="I2074" s="98" t="s">
        <v>1704</v>
      </c>
      <c r="J2074" s="98" t="s">
        <v>1705</v>
      </c>
      <c r="K2074" s="98" t="s">
        <v>1706</v>
      </c>
    </row>
    <row r="2075" customFormat="false" ht="64" hidden="false" customHeight="true" outlineLevel="0" collapsed="false">
      <c r="C2075" s="98" t="s">
        <v>3854</v>
      </c>
      <c r="D2075" s="98" t="s">
        <v>1736</v>
      </c>
      <c r="E2075" s="98" t="s">
        <v>835</v>
      </c>
      <c r="F2075" s="98" t="n">
        <v>0.0714435328000255</v>
      </c>
      <c r="G2075" s="98" t="s">
        <v>3833</v>
      </c>
      <c r="H2075" s="98" t="s">
        <v>2250</v>
      </c>
      <c r="I2075" s="98" t="s">
        <v>1704</v>
      </c>
      <c r="J2075" s="98" t="s">
        <v>1705</v>
      </c>
      <c r="K2075" s="98" t="s">
        <v>1706</v>
      </c>
    </row>
    <row r="2076" customFormat="false" ht="64" hidden="false" customHeight="true" outlineLevel="0" collapsed="false">
      <c r="C2076" s="98" t="s">
        <v>3855</v>
      </c>
      <c r="D2076" s="98" t="s">
        <v>1738</v>
      </c>
      <c r="E2076" s="98" t="s">
        <v>835</v>
      </c>
      <c r="F2076" s="98" t="n">
        <v>0.0714435328000255</v>
      </c>
      <c r="G2076" s="98" t="s">
        <v>3833</v>
      </c>
      <c r="H2076" s="98" t="s">
        <v>2250</v>
      </c>
      <c r="I2076" s="98" t="s">
        <v>1704</v>
      </c>
      <c r="J2076" s="98" t="s">
        <v>1705</v>
      </c>
      <c r="K2076" s="98" t="s">
        <v>1706</v>
      </c>
    </row>
    <row r="2077" customFormat="false" ht="64" hidden="false" customHeight="true" outlineLevel="0" collapsed="false">
      <c r="C2077" s="98" t="s">
        <v>3856</v>
      </c>
      <c r="D2077" s="98" t="s">
        <v>1740</v>
      </c>
      <c r="E2077" s="98" t="s">
        <v>835</v>
      </c>
      <c r="F2077" s="98" t="n">
        <v>0.0714435328000255</v>
      </c>
      <c r="G2077" s="98" t="s">
        <v>3833</v>
      </c>
      <c r="H2077" s="98" t="s">
        <v>2250</v>
      </c>
      <c r="I2077" s="98" t="s">
        <v>1704</v>
      </c>
      <c r="J2077" s="98" t="s">
        <v>1705</v>
      </c>
      <c r="K2077" s="98" t="s">
        <v>1706</v>
      </c>
    </row>
    <row r="2078" customFormat="false" ht="64" hidden="false" customHeight="true" outlineLevel="0" collapsed="false">
      <c r="C2078" s="98" t="s">
        <v>3857</v>
      </c>
      <c r="D2078" s="98" t="s">
        <v>1742</v>
      </c>
      <c r="E2078" s="98" t="s">
        <v>835</v>
      </c>
      <c r="F2078" s="98" t="n">
        <v>0.0714435328000255</v>
      </c>
      <c r="G2078" s="98" t="s">
        <v>3833</v>
      </c>
      <c r="H2078" s="98" t="s">
        <v>2250</v>
      </c>
      <c r="I2078" s="98" t="s">
        <v>1704</v>
      </c>
      <c r="J2078" s="98" t="s">
        <v>1705</v>
      </c>
      <c r="K2078" s="98" t="s">
        <v>1706</v>
      </c>
    </row>
    <row r="2079" customFormat="false" ht="64" hidden="false" customHeight="true" outlineLevel="0" collapsed="false">
      <c r="C2079" s="98" t="s">
        <v>3858</v>
      </c>
      <c r="D2079" s="98" t="s">
        <v>1744</v>
      </c>
      <c r="E2079" s="98" t="s">
        <v>835</v>
      </c>
      <c r="F2079" s="98" t="n">
        <v>0.0714435328000255</v>
      </c>
      <c r="G2079" s="98" t="s">
        <v>3833</v>
      </c>
      <c r="H2079" s="98" t="s">
        <v>2250</v>
      </c>
      <c r="I2079" s="98" t="s">
        <v>1704</v>
      </c>
      <c r="J2079" s="98" t="s">
        <v>1705</v>
      </c>
      <c r="K2079" s="98" t="s">
        <v>1706</v>
      </c>
    </row>
    <row r="2080" customFormat="false" ht="64" hidden="false" customHeight="true" outlineLevel="0" collapsed="false">
      <c r="C2080" s="98" t="s">
        <v>3859</v>
      </c>
      <c r="D2080" s="98" t="s">
        <v>1746</v>
      </c>
      <c r="E2080" s="98" t="s">
        <v>835</v>
      </c>
      <c r="F2080" s="98" t="n">
        <v>0.0714435328000255</v>
      </c>
      <c r="G2080" s="98" t="s">
        <v>3833</v>
      </c>
      <c r="H2080" s="98" t="s">
        <v>2250</v>
      </c>
      <c r="I2080" s="98" t="s">
        <v>1704</v>
      </c>
      <c r="J2080" s="98" t="s">
        <v>1705</v>
      </c>
      <c r="K2080" s="98" t="s">
        <v>1706</v>
      </c>
    </row>
    <row r="2081" customFormat="false" ht="64" hidden="false" customHeight="true" outlineLevel="0" collapsed="false">
      <c r="C2081" s="98" t="s">
        <v>3860</v>
      </c>
      <c r="D2081" s="98" t="s">
        <v>1748</v>
      </c>
      <c r="E2081" s="98" t="s">
        <v>835</v>
      </c>
      <c r="F2081" s="98" t="n">
        <v>0.0714435328000255</v>
      </c>
      <c r="G2081" s="98" t="s">
        <v>3833</v>
      </c>
      <c r="H2081" s="98" t="s">
        <v>2250</v>
      </c>
      <c r="I2081" s="98" t="s">
        <v>1704</v>
      </c>
      <c r="J2081" s="98" t="s">
        <v>1705</v>
      </c>
      <c r="K2081" s="98" t="s">
        <v>1706</v>
      </c>
    </row>
    <row r="2082" customFormat="false" ht="64" hidden="false" customHeight="true" outlineLevel="0" collapsed="false">
      <c r="C2082" s="98" t="s">
        <v>3861</v>
      </c>
      <c r="D2082" s="98" t="s">
        <v>1750</v>
      </c>
      <c r="E2082" s="98" t="s">
        <v>835</v>
      </c>
      <c r="F2082" s="98" t="n">
        <v>0.0714435328000255</v>
      </c>
      <c r="G2082" s="98" t="s">
        <v>3833</v>
      </c>
      <c r="H2082" s="98" t="s">
        <v>2250</v>
      </c>
      <c r="I2082" s="98" t="s">
        <v>1704</v>
      </c>
      <c r="J2082" s="98" t="s">
        <v>1705</v>
      </c>
      <c r="K2082" s="98" t="s">
        <v>1706</v>
      </c>
    </row>
    <row r="2083" customFormat="false" ht="64" hidden="false" customHeight="true" outlineLevel="0" collapsed="false">
      <c r="C2083" s="98" t="s">
        <v>3862</v>
      </c>
      <c r="D2083" s="98" t="s">
        <v>1752</v>
      </c>
      <c r="E2083" s="98" t="s">
        <v>835</v>
      </c>
      <c r="F2083" s="98" t="n">
        <v>0.0714435328000255</v>
      </c>
      <c r="G2083" s="98" t="s">
        <v>3833</v>
      </c>
      <c r="H2083" s="98" t="s">
        <v>2250</v>
      </c>
      <c r="I2083" s="98" t="s">
        <v>1704</v>
      </c>
      <c r="J2083" s="98" t="s">
        <v>1705</v>
      </c>
      <c r="K2083" s="98" t="s">
        <v>1706</v>
      </c>
    </row>
    <row r="2084" customFormat="false" ht="64" hidden="false" customHeight="true" outlineLevel="0" collapsed="false">
      <c r="C2084" s="98" t="s">
        <v>3863</v>
      </c>
      <c r="D2084" s="98" t="s">
        <v>1754</v>
      </c>
      <c r="E2084" s="98" t="s">
        <v>835</v>
      </c>
      <c r="F2084" s="98" t="n">
        <v>0.0714435328000255</v>
      </c>
      <c r="G2084" s="98" t="s">
        <v>3833</v>
      </c>
      <c r="H2084" s="98" t="s">
        <v>2250</v>
      </c>
      <c r="I2084" s="98" t="s">
        <v>1704</v>
      </c>
      <c r="J2084" s="98" t="s">
        <v>1705</v>
      </c>
      <c r="K2084" s="98" t="s">
        <v>1706</v>
      </c>
    </row>
    <row r="2085" customFormat="false" ht="64" hidden="false" customHeight="true" outlineLevel="0" collapsed="false">
      <c r="C2085" s="98" t="s">
        <v>3864</v>
      </c>
      <c r="D2085" s="98" t="s">
        <v>1756</v>
      </c>
      <c r="E2085" s="98" t="s">
        <v>835</v>
      </c>
      <c r="F2085" s="98" t="n">
        <v>0.0714435328000255</v>
      </c>
      <c r="G2085" s="98" t="s">
        <v>3833</v>
      </c>
      <c r="H2085" s="98" t="s">
        <v>2250</v>
      </c>
      <c r="I2085" s="98" t="s">
        <v>1704</v>
      </c>
      <c r="J2085" s="98" t="s">
        <v>1705</v>
      </c>
      <c r="K2085" s="98" t="s">
        <v>1706</v>
      </c>
    </row>
    <row r="2086" customFormat="false" ht="64" hidden="false" customHeight="true" outlineLevel="0" collapsed="false">
      <c r="C2086" s="98" t="s">
        <v>3865</v>
      </c>
      <c r="D2086" s="98" t="s">
        <v>1758</v>
      </c>
      <c r="E2086" s="98" t="s">
        <v>835</v>
      </c>
      <c r="F2086" s="98" t="n">
        <v>0.0714435328000255</v>
      </c>
      <c r="G2086" s="98" t="s">
        <v>3833</v>
      </c>
      <c r="H2086" s="98" t="s">
        <v>2250</v>
      </c>
      <c r="I2086" s="98" t="s">
        <v>1704</v>
      </c>
      <c r="J2086" s="98" t="s">
        <v>1705</v>
      </c>
      <c r="K2086" s="98" t="s">
        <v>1706</v>
      </c>
    </row>
    <row r="2087" customFormat="false" ht="64" hidden="false" customHeight="true" outlineLevel="0" collapsed="false">
      <c r="C2087" s="98" t="s">
        <v>3866</v>
      </c>
      <c r="D2087" s="98" t="s">
        <v>1760</v>
      </c>
      <c r="E2087" s="98" t="s">
        <v>835</v>
      </c>
      <c r="F2087" s="98" t="n">
        <v>0.0714435328000255</v>
      </c>
      <c r="G2087" s="98" t="s">
        <v>3833</v>
      </c>
      <c r="H2087" s="98" t="s">
        <v>2250</v>
      </c>
      <c r="I2087" s="98" t="s">
        <v>1704</v>
      </c>
      <c r="J2087" s="98" t="s">
        <v>1705</v>
      </c>
      <c r="K2087" s="98" t="s">
        <v>1706</v>
      </c>
    </row>
    <row r="2088" customFormat="false" ht="64" hidden="false" customHeight="true" outlineLevel="0" collapsed="false">
      <c r="C2088" s="98" t="s">
        <v>3867</v>
      </c>
      <c r="D2088" s="98" t="s">
        <v>1762</v>
      </c>
      <c r="E2088" s="98" t="s">
        <v>835</v>
      </c>
      <c r="F2088" s="98" t="n">
        <v>0.0714435328000255</v>
      </c>
      <c r="G2088" s="98" t="s">
        <v>3833</v>
      </c>
      <c r="H2088" s="98" t="s">
        <v>2250</v>
      </c>
      <c r="I2088" s="98" t="s">
        <v>1704</v>
      </c>
      <c r="J2088" s="98" t="s">
        <v>1705</v>
      </c>
      <c r="K2088" s="98" t="s">
        <v>1706</v>
      </c>
    </row>
    <row r="2089" customFormat="false" ht="64" hidden="false" customHeight="true" outlineLevel="0" collapsed="false">
      <c r="C2089" s="98" t="s">
        <v>3868</v>
      </c>
      <c r="D2089" s="98" t="s">
        <v>1764</v>
      </c>
      <c r="E2089" s="98" t="s">
        <v>835</v>
      </c>
      <c r="F2089" s="98" t="n">
        <v>0.0714435328000255</v>
      </c>
      <c r="G2089" s="98" t="s">
        <v>3833</v>
      </c>
      <c r="H2089" s="98" t="s">
        <v>2250</v>
      </c>
      <c r="I2089" s="98" t="s">
        <v>1704</v>
      </c>
      <c r="J2089" s="98" t="s">
        <v>1705</v>
      </c>
      <c r="K2089" s="98" t="s">
        <v>1706</v>
      </c>
    </row>
    <row r="2090" customFormat="false" ht="64" hidden="false" customHeight="true" outlineLevel="0" collapsed="false">
      <c r="C2090" s="98" t="s">
        <v>3869</v>
      </c>
      <c r="D2090" s="98" t="s">
        <v>1829</v>
      </c>
      <c r="E2090" s="98" t="s">
        <v>3870</v>
      </c>
      <c r="F2090" s="98" t="n">
        <v>30</v>
      </c>
      <c r="G2090" s="98" t="s">
        <v>3871</v>
      </c>
      <c r="H2090" s="98" t="s">
        <v>3872</v>
      </c>
      <c r="I2090" s="98" t="s">
        <v>1704</v>
      </c>
      <c r="J2090" s="98" t="s">
        <v>1705</v>
      </c>
      <c r="K2090" s="98" t="s">
        <v>1706</v>
      </c>
    </row>
    <row r="2091" customFormat="false" ht="64" hidden="false" customHeight="true" outlineLevel="0" collapsed="false">
      <c r="C2091" s="98" t="s">
        <v>3873</v>
      </c>
      <c r="D2091" s="98" t="s">
        <v>1833</v>
      </c>
      <c r="E2091" s="98" t="s">
        <v>3870</v>
      </c>
      <c r="F2091" s="98" t="n">
        <v>30</v>
      </c>
      <c r="G2091" s="98" t="s">
        <v>3871</v>
      </c>
      <c r="H2091" s="98" t="s">
        <v>3872</v>
      </c>
      <c r="I2091" s="98" t="s">
        <v>1704</v>
      </c>
      <c r="J2091" s="98" t="s">
        <v>1705</v>
      </c>
      <c r="K2091" s="98" t="s">
        <v>1706</v>
      </c>
    </row>
    <row r="2092" customFormat="false" ht="64" hidden="false" customHeight="true" outlineLevel="0" collapsed="false">
      <c r="C2092" s="98" t="s">
        <v>3874</v>
      </c>
      <c r="D2092" s="98" t="s">
        <v>1835</v>
      </c>
      <c r="E2092" s="98" t="s">
        <v>3870</v>
      </c>
      <c r="F2092" s="98" t="n">
        <v>30</v>
      </c>
      <c r="G2092" s="98" t="s">
        <v>3871</v>
      </c>
      <c r="H2092" s="98" t="s">
        <v>3872</v>
      </c>
      <c r="I2092" s="98" t="s">
        <v>1704</v>
      </c>
      <c r="J2092" s="98" t="s">
        <v>1705</v>
      </c>
      <c r="K2092" s="98" t="s">
        <v>1706</v>
      </c>
    </row>
    <row r="2093" customFormat="false" ht="64" hidden="false" customHeight="true" outlineLevel="0" collapsed="false">
      <c r="C2093" s="98" t="s">
        <v>3875</v>
      </c>
      <c r="D2093" s="98" t="s">
        <v>1044</v>
      </c>
      <c r="E2093" s="98" t="s">
        <v>3870</v>
      </c>
      <c r="F2093" s="98" t="n">
        <v>30</v>
      </c>
      <c r="G2093" s="98" t="s">
        <v>3871</v>
      </c>
      <c r="H2093" s="98" t="s">
        <v>3872</v>
      </c>
      <c r="I2093" s="98" t="s">
        <v>1704</v>
      </c>
      <c r="J2093" s="98" t="s">
        <v>1705</v>
      </c>
      <c r="K2093" s="98" t="s">
        <v>1706</v>
      </c>
    </row>
    <row r="2094" customFormat="false" ht="64" hidden="false" customHeight="true" outlineLevel="0" collapsed="false">
      <c r="C2094" s="98" t="s">
        <v>3876</v>
      </c>
      <c r="D2094" s="98" t="s">
        <v>1838</v>
      </c>
      <c r="E2094" s="98" t="s">
        <v>3870</v>
      </c>
      <c r="F2094" s="98" t="n">
        <v>30</v>
      </c>
      <c r="G2094" s="98" t="s">
        <v>3871</v>
      </c>
      <c r="H2094" s="98" t="s">
        <v>3872</v>
      </c>
      <c r="I2094" s="98" t="s">
        <v>1704</v>
      </c>
      <c r="J2094" s="98" t="s">
        <v>1705</v>
      </c>
      <c r="K2094" s="98" t="s">
        <v>1706</v>
      </c>
    </row>
    <row r="2095" customFormat="false" ht="64" hidden="false" customHeight="true" outlineLevel="0" collapsed="false">
      <c r="C2095" s="98" t="s">
        <v>3877</v>
      </c>
      <c r="D2095" s="98" t="s">
        <v>1840</v>
      </c>
      <c r="E2095" s="98" t="s">
        <v>3870</v>
      </c>
      <c r="F2095" s="98" t="n">
        <v>30</v>
      </c>
      <c r="G2095" s="98" t="s">
        <v>3871</v>
      </c>
      <c r="H2095" s="98" t="s">
        <v>3872</v>
      </c>
      <c r="I2095" s="98" t="s">
        <v>1704</v>
      </c>
      <c r="J2095" s="98" t="s">
        <v>1705</v>
      </c>
      <c r="K2095" s="98" t="s">
        <v>1706</v>
      </c>
    </row>
    <row r="2096" customFormat="false" ht="64" hidden="false" customHeight="true" outlineLevel="0" collapsed="false">
      <c r="C2096" s="98" t="s">
        <v>3878</v>
      </c>
      <c r="D2096" s="98" t="s">
        <v>1700</v>
      </c>
      <c r="E2096" s="98" t="s">
        <v>3870</v>
      </c>
      <c r="F2096" s="98" t="n">
        <v>30</v>
      </c>
      <c r="G2096" s="98" t="s">
        <v>3871</v>
      </c>
      <c r="H2096" s="98" t="s">
        <v>3872</v>
      </c>
      <c r="I2096" s="98" t="s">
        <v>1704</v>
      </c>
      <c r="J2096" s="98" t="s">
        <v>1705</v>
      </c>
      <c r="K2096" s="98" t="s">
        <v>1706</v>
      </c>
    </row>
    <row r="2097" customFormat="false" ht="64" hidden="false" customHeight="true" outlineLevel="0" collapsed="false">
      <c r="C2097" s="98" t="s">
        <v>3879</v>
      </c>
      <c r="D2097" s="98" t="s">
        <v>1708</v>
      </c>
      <c r="E2097" s="98" t="s">
        <v>3870</v>
      </c>
      <c r="F2097" s="98" t="n">
        <v>30</v>
      </c>
      <c r="G2097" s="98" t="s">
        <v>3871</v>
      </c>
      <c r="H2097" s="98" t="s">
        <v>3872</v>
      </c>
      <c r="I2097" s="98" t="s">
        <v>1704</v>
      </c>
      <c r="J2097" s="98" t="s">
        <v>1705</v>
      </c>
      <c r="K2097" s="98" t="s">
        <v>1706</v>
      </c>
    </row>
    <row r="2098" customFormat="false" ht="64" hidden="false" customHeight="true" outlineLevel="0" collapsed="false">
      <c r="C2098" s="98" t="s">
        <v>3880</v>
      </c>
      <c r="D2098" s="98" t="s">
        <v>1710</v>
      </c>
      <c r="E2098" s="98" t="s">
        <v>3870</v>
      </c>
      <c r="F2098" s="98" t="n">
        <v>30</v>
      </c>
      <c r="G2098" s="98" t="s">
        <v>3871</v>
      </c>
      <c r="H2098" s="98" t="s">
        <v>3872</v>
      </c>
      <c r="I2098" s="98" t="s">
        <v>1704</v>
      </c>
      <c r="J2098" s="98" t="s">
        <v>1705</v>
      </c>
      <c r="K2098" s="98" t="s">
        <v>1706</v>
      </c>
    </row>
    <row r="2099" customFormat="false" ht="64" hidden="false" customHeight="true" outlineLevel="0" collapsed="false">
      <c r="C2099" s="98" t="s">
        <v>3881</v>
      </c>
      <c r="D2099" s="98" t="s">
        <v>1712</v>
      </c>
      <c r="E2099" s="98" t="s">
        <v>3870</v>
      </c>
      <c r="F2099" s="98" t="n">
        <v>30</v>
      </c>
      <c r="G2099" s="98" t="s">
        <v>3871</v>
      </c>
      <c r="H2099" s="98" t="s">
        <v>3872</v>
      </c>
      <c r="I2099" s="98" t="s">
        <v>1704</v>
      </c>
      <c r="J2099" s="98" t="s">
        <v>1705</v>
      </c>
      <c r="K2099" s="98" t="s">
        <v>1706</v>
      </c>
    </row>
    <row r="2100" customFormat="false" ht="64" hidden="false" customHeight="true" outlineLevel="0" collapsed="false">
      <c r="C2100" s="98" t="s">
        <v>3882</v>
      </c>
      <c r="D2100" s="98" t="s">
        <v>1714</v>
      </c>
      <c r="E2100" s="98" t="s">
        <v>3870</v>
      </c>
      <c r="F2100" s="98" t="n">
        <v>30</v>
      </c>
      <c r="G2100" s="98" t="s">
        <v>3871</v>
      </c>
      <c r="H2100" s="98" t="s">
        <v>3872</v>
      </c>
      <c r="I2100" s="98" t="s">
        <v>1704</v>
      </c>
      <c r="J2100" s="98" t="s">
        <v>1705</v>
      </c>
      <c r="K2100" s="98" t="s">
        <v>1706</v>
      </c>
    </row>
    <row r="2101" customFormat="false" ht="64" hidden="false" customHeight="true" outlineLevel="0" collapsed="false">
      <c r="C2101" s="98" t="s">
        <v>3883</v>
      </c>
      <c r="D2101" s="98" t="s">
        <v>1716</v>
      </c>
      <c r="E2101" s="98" t="s">
        <v>3870</v>
      </c>
      <c r="F2101" s="98" t="n">
        <v>30</v>
      </c>
      <c r="G2101" s="98" t="s">
        <v>3871</v>
      </c>
      <c r="H2101" s="98" t="s">
        <v>3872</v>
      </c>
      <c r="I2101" s="98" t="s">
        <v>1704</v>
      </c>
      <c r="J2101" s="98" t="s">
        <v>1705</v>
      </c>
      <c r="K2101" s="98" t="s">
        <v>1706</v>
      </c>
    </row>
    <row r="2102" customFormat="false" ht="64" hidden="false" customHeight="true" outlineLevel="0" collapsed="false">
      <c r="C2102" s="98" t="s">
        <v>3884</v>
      </c>
      <c r="D2102" s="98" t="s">
        <v>1718</v>
      </c>
      <c r="E2102" s="98" t="s">
        <v>3870</v>
      </c>
      <c r="F2102" s="98" t="n">
        <v>30</v>
      </c>
      <c r="G2102" s="98" t="s">
        <v>3871</v>
      </c>
      <c r="H2102" s="98" t="s">
        <v>3872</v>
      </c>
      <c r="I2102" s="98" t="s">
        <v>1704</v>
      </c>
      <c r="J2102" s="98" t="s">
        <v>1705</v>
      </c>
      <c r="K2102" s="98" t="s">
        <v>1706</v>
      </c>
    </row>
    <row r="2103" customFormat="false" ht="64" hidden="false" customHeight="true" outlineLevel="0" collapsed="false">
      <c r="C2103" s="98" t="s">
        <v>3885</v>
      </c>
      <c r="D2103" s="98" t="s">
        <v>1720</v>
      </c>
      <c r="E2103" s="98" t="s">
        <v>3870</v>
      </c>
      <c r="F2103" s="98" t="n">
        <v>30</v>
      </c>
      <c r="G2103" s="98" t="s">
        <v>3871</v>
      </c>
      <c r="H2103" s="98" t="s">
        <v>3872</v>
      </c>
      <c r="I2103" s="98" t="s">
        <v>1704</v>
      </c>
      <c r="J2103" s="98" t="s">
        <v>1705</v>
      </c>
      <c r="K2103" s="98" t="s">
        <v>1706</v>
      </c>
    </row>
    <row r="2104" customFormat="false" ht="64" hidden="false" customHeight="true" outlineLevel="0" collapsed="false">
      <c r="C2104" s="98" t="s">
        <v>3886</v>
      </c>
      <c r="D2104" s="98" t="s">
        <v>1722</v>
      </c>
      <c r="E2104" s="98" t="s">
        <v>3870</v>
      </c>
      <c r="F2104" s="98" t="n">
        <v>30</v>
      </c>
      <c r="G2104" s="98" t="s">
        <v>3871</v>
      </c>
      <c r="H2104" s="98" t="s">
        <v>3872</v>
      </c>
      <c r="I2104" s="98" t="s">
        <v>1704</v>
      </c>
      <c r="J2104" s="98" t="s">
        <v>1705</v>
      </c>
      <c r="K2104" s="98" t="s">
        <v>1706</v>
      </c>
    </row>
    <row r="2105" customFormat="false" ht="64" hidden="false" customHeight="true" outlineLevel="0" collapsed="false">
      <c r="C2105" s="98" t="s">
        <v>3887</v>
      </c>
      <c r="D2105" s="98" t="s">
        <v>1724</v>
      </c>
      <c r="E2105" s="98" t="s">
        <v>3870</v>
      </c>
      <c r="F2105" s="98" t="n">
        <v>30</v>
      </c>
      <c r="G2105" s="98" t="s">
        <v>3871</v>
      </c>
      <c r="H2105" s="98" t="s">
        <v>3872</v>
      </c>
      <c r="I2105" s="98" t="s">
        <v>1704</v>
      </c>
      <c r="J2105" s="98" t="s">
        <v>1705</v>
      </c>
      <c r="K2105" s="98" t="s">
        <v>1706</v>
      </c>
    </row>
    <row r="2106" customFormat="false" ht="64" hidden="false" customHeight="true" outlineLevel="0" collapsed="false">
      <c r="C2106" s="98" t="s">
        <v>3888</v>
      </c>
      <c r="D2106" s="98" t="s">
        <v>1726</v>
      </c>
      <c r="E2106" s="98" t="s">
        <v>3870</v>
      </c>
      <c r="F2106" s="98" t="n">
        <v>30</v>
      </c>
      <c r="G2106" s="98" t="s">
        <v>3871</v>
      </c>
      <c r="H2106" s="98" t="s">
        <v>3872</v>
      </c>
      <c r="I2106" s="98" t="s">
        <v>1704</v>
      </c>
      <c r="J2106" s="98" t="s">
        <v>1705</v>
      </c>
      <c r="K2106" s="98" t="s">
        <v>1706</v>
      </c>
    </row>
    <row r="2107" customFormat="false" ht="64" hidden="false" customHeight="true" outlineLevel="0" collapsed="false">
      <c r="C2107" s="98" t="s">
        <v>3889</v>
      </c>
      <c r="D2107" s="98" t="s">
        <v>1728</v>
      </c>
      <c r="E2107" s="98" t="s">
        <v>3870</v>
      </c>
      <c r="F2107" s="98" t="n">
        <v>30</v>
      </c>
      <c r="G2107" s="98" t="s">
        <v>3871</v>
      </c>
      <c r="H2107" s="98" t="s">
        <v>3872</v>
      </c>
      <c r="I2107" s="98" t="s">
        <v>1704</v>
      </c>
      <c r="J2107" s="98" t="s">
        <v>1705</v>
      </c>
      <c r="K2107" s="98" t="s">
        <v>1706</v>
      </c>
    </row>
    <row r="2108" customFormat="false" ht="64" hidden="false" customHeight="true" outlineLevel="0" collapsed="false">
      <c r="C2108" s="98" t="s">
        <v>3890</v>
      </c>
      <c r="D2108" s="98" t="s">
        <v>1730</v>
      </c>
      <c r="E2108" s="98" t="s">
        <v>3870</v>
      </c>
      <c r="F2108" s="98" t="n">
        <v>30</v>
      </c>
      <c r="G2108" s="98" t="s">
        <v>3871</v>
      </c>
      <c r="H2108" s="98" t="s">
        <v>3872</v>
      </c>
      <c r="I2108" s="98" t="s">
        <v>1704</v>
      </c>
      <c r="J2108" s="98" t="s">
        <v>1705</v>
      </c>
      <c r="K2108" s="98" t="s">
        <v>1706</v>
      </c>
    </row>
    <row r="2109" customFormat="false" ht="64" hidden="false" customHeight="true" outlineLevel="0" collapsed="false">
      <c r="C2109" s="98" t="s">
        <v>3891</v>
      </c>
      <c r="D2109" s="98" t="s">
        <v>1732</v>
      </c>
      <c r="E2109" s="98" t="s">
        <v>3870</v>
      </c>
      <c r="F2109" s="98" t="n">
        <v>30</v>
      </c>
      <c r="G2109" s="98" t="s">
        <v>3871</v>
      </c>
      <c r="H2109" s="98" t="s">
        <v>3872</v>
      </c>
      <c r="I2109" s="98" t="s">
        <v>1704</v>
      </c>
      <c r="J2109" s="98" t="s">
        <v>1705</v>
      </c>
      <c r="K2109" s="98" t="s">
        <v>1706</v>
      </c>
    </row>
    <row r="2110" customFormat="false" ht="64" hidden="false" customHeight="true" outlineLevel="0" collapsed="false">
      <c r="C2110" s="98" t="s">
        <v>3892</v>
      </c>
      <c r="D2110" s="98" t="s">
        <v>1734</v>
      </c>
      <c r="E2110" s="98" t="s">
        <v>3870</v>
      </c>
      <c r="F2110" s="98" t="n">
        <v>30</v>
      </c>
      <c r="G2110" s="98" t="s">
        <v>3871</v>
      </c>
      <c r="H2110" s="98" t="s">
        <v>3872</v>
      </c>
      <c r="I2110" s="98" t="s">
        <v>1704</v>
      </c>
      <c r="J2110" s="98" t="s">
        <v>1705</v>
      </c>
      <c r="K2110" s="98" t="s">
        <v>1706</v>
      </c>
    </row>
    <row r="2111" customFormat="false" ht="64" hidden="false" customHeight="true" outlineLevel="0" collapsed="false">
      <c r="C2111" s="98" t="s">
        <v>3893</v>
      </c>
      <c r="D2111" s="98" t="s">
        <v>1736</v>
      </c>
      <c r="E2111" s="98" t="s">
        <v>3870</v>
      </c>
      <c r="F2111" s="98" t="n">
        <v>30</v>
      </c>
      <c r="G2111" s="98" t="s">
        <v>3871</v>
      </c>
      <c r="H2111" s="98" t="s">
        <v>3872</v>
      </c>
      <c r="I2111" s="98" t="s">
        <v>1704</v>
      </c>
      <c r="J2111" s="98" t="s">
        <v>1705</v>
      </c>
      <c r="K2111" s="98" t="s">
        <v>1706</v>
      </c>
    </row>
    <row r="2112" customFormat="false" ht="64" hidden="false" customHeight="true" outlineLevel="0" collapsed="false">
      <c r="C2112" s="98" t="s">
        <v>3894</v>
      </c>
      <c r="D2112" s="98" t="s">
        <v>1738</v>
      </c>
      <c r="E2112" s="98" t="s">
        <v>3870</v>
      </c>
      <c r="F2112" s="98" t="n">
        <v>30</v>
      </c>
      <c r="G2112" s="98" t="s">
        <v>3871</v>
      </c>
      <c r="H2112" s="98" t="s">
        <v>3872</v>
      </c>
      <c r="I2112" s="98" t="s">
        <v>1704</v>
      </c>
      <c r="J2112" s="98" t="s">
        <v>1705</v>
      </c>
      <c r="K2112" s="98" t="s">
        <v>1706</v>
      </c>
    </row>
    <row r="2113" customFormat="false" ht="64" hidden="false" customHeight="true" outlineLevel="0" collapsed="false">
      <c r="C2113" s="98" t="s">
        <v>3895</v>
      </c>
      <c r="D2113" s="98" t="s">
        <v>1740</v>
      </c>
      <c r="E2113" s="98" t="s">
        <v>3870</v>
      </c>
      <c r="F2113" s="98" t="n">
        <v>30</v>
      </c>
      <c r="G2113" s="98" t="s">
        <v>3871</v>
      </c>
      <c r="H2113" s="98" t="s">
        <v>3872</v>
      </c>
      <c r="I2113" s="98" t="s">
        <v>1704</v>
      </c>
      <c r="J2113" s="98" t="s">
        <v>1705</v>
      </c>
      <c r="K2113" s="98" t="s">
        <v>1706</v>
      </c>
    </row>
    <row r="2114" customFormat="false" ht="64" hidden="false" customHeight="true" outlineLevel="0" collapsed="false">
      <c r="C2114" s="98" t="s">
        <v>3896</v>
      </c>
      <c r="D2114" s="98" t="s">
        <v>1742</v>
      </c>
      <c r="E2114" s="98" t="s">
        <v>3870</v>
      </c>
      <c r="F2114" s="98" t="n">
        <v>30</v>
      </c>
      <c r="G2114" s="98" t="s">
        <v>3871</v>
      </c>
      <c r="H2114" s="98" t="s">
        <v>3872</v>
      </c>
      <c r="I2114" s="98" t="s">
        <v>1704</v>
      </c>
      <c r="J2114" s="98" t="s">
        <v>1705</v>
      </c>
      <c r="K2114" s="98" t="s">
        <v>1706</v>
      </c>
    </row>
    <row r="2115" customFormat="false" ht="64" hidden="false" customHeight="true" outlineLevel="0" collapsed="false">
      <c r="C2115" s="98" t="s">
        <v>3897</v>
      </c>
      <c r="D2115" s="98" t="s">
        <v>1744</v>
      </c>
      <c r="E2115" s="98" t="s">
        <v>3870</v>
      </c>
      <c r="F2115" s="98" t="n">
        <v>30</v>
      </c>
      <c r="G2115" s="98" t="s">
        <v>3871</v>
      </c>
      <c r="H2115" s="98" t="s">
        <v>3872</v>
      </c>
      <c r="I2115" s="98" t="s">
        <v>1704</v>
      </c>
      <c r="J2115" s="98" t="s">
        <v>1705</v>
      </c>
      <c r="K2115" s="98" t="s">
        <v>1706</v>
      </c>
    </row>
    <row r="2116" customFormat="false" ht="64" hidden="false" customHeight="true" outlineLevel="0" collapsed="false">
      <c r="C2116" s="98" t="s">
        <v>3898</v>
      </c>
      <c r="D2116" s="98" t="s">
        <v>1746</v>
      </c>
      <c r="E2116" s="98" t="s">
        <v>3870</v>
      </c>
      <c r="F2116" s="98" t="n">
        <v>30</v>
      </c>
      <c r="G2116" s="98" t="s">
        <v>3871</v>
      </c>
      <c r="H2116" s="98" t="s">
        <v>3872</v>
      </c>
      <c r="I2116" s="98" t="s">
        <v>1704</v>
      </c>
      <c r="J2116" s="98" t="s">
        <v>1705</v>
      </c>
      <c r="K2116" s="98" t="s">
        <v>1706</v>
      </c>
    </row>
    <row r="2117" customFormat="false" ht="64" hidden="false" customHeight="true" outlineLevel="0" collapsed="false">
      <c r="C2117" s="98" t="s">
        <v>3899</v>
      </c>
      <c r="D2117" s="98" t="s">
        <v>1748</v>
      </c>
      <c r="E2117" s="98" t="s">
        <v>3870</v>
      </c>
      <c r="F2117" s="98" t="n">
        <v>30</v>
      </c>
      <c r="G2117" s="98" t="s">
        <v>3871</v>
      </c>
      <c r="H2117" s="98" t="s">
        <v>3872</v>
      </c>
      <c r="I2117" s="98" t="s">
        <v>1704</v>
      </c>
      <c r="J2117" s="98" t="s">
        <v>1705</v>
      </c>
      <c r="K2117" s="98" t="s">
        <v>1706</v>
      </c>
    </row>
    <row r="2118" customFormat="false" ht="64" hidden="false" customHeight="true" outlineLevel="0" collapsed="false">
      <c r="C2118" s="98" t="s">
        <v>3900</v>
      </c>
      <c r="D2118" s="98" t="s">
        <v>1750</v>
      </c>
      <c r="E2118" s="98" t="s">
        <v>3870</v>
      </c>
      <c r="F2118" s="98" t="n">
        <v>30</v>
      </c>
      <c r="G2118" s="98" t="s">
        <v>3871</v>
      </c>
      <c r="H2118" s="98" t="s">
        <v>3872</v>
      </c>
      <c r="I2118" s="98" t="s">
        <v>1704</v>
      </c>
      <c r="J2118" s="98" t="s">
        <v>1705</v>
      </c>
      <c r="K2118" s="98" t="s">
        <v>1706</v>
      </c>
    </row>
    <row r="2119" customFormat="false" ht="64" hidden="false" customHeight="true" outlineLevel="0" collapsed="false">
      <c r="C2119" s="98" t="s">
        <v>3901</v>
      </c>
      <c r="D2119" s="98" t="s">
        <v>1752</v>
      </c>
      <c r="E2119" s="98" t="s">
        <v>3870</v>
      </c>
      <c r="F2119" s="98" t="n">
        <v>30</v>
      </c>
      <c r="G2119" s="98" t="s">
        <v>3871</v>
      </c>
      <c r="H2119" s="98" t="s">
        <v>3872</v>
      </c>
      <c r="I2119" s="98" t="s">
        <v>1704</v>
      </c>
      <c r="J2119" s="98" t="s">
        <v>1705</v>
      </c>
      <c r="K2119" s="98" t="s">
        <v>1706</v>
      </c>
    </row>
    <row r="2120" customFormat="false" ht="64" hidden="false" customHeight="true" outlineLevel="0" collapsed="false">
      <c r="C2120" s="98" t="s">
        <v>3902</v>
      </c>
      <c r="D2120" s="98" t="s">
        <v>1754</v>
      </c>
      <c r="E2120" s="98" t="s">
        <v>3870</v>
      </c>
      <c r="F2120" s="98" t="n">
        <v>30</v>
      </c>
      <c r="G2120" s="98" t="s">
        <v>3871</v>
      </c>
      <c r="H2120" s="98" t="s">
        <v>3872</v>
      </c>
      <c r="I2120" s="98" t="s">
        <v>1704</v>
      </c>
      <c r="J2120" s="98" t="s">
        <v>1705</v>
      </c>
      <c r="K2120" s="98" t="s">
        <v>1706</v>
      </c>
    </row>
    <row r="2121" customFormat="false" ht="64" hidden="false" customHeight="true" outlineLevel="0" collapsed="false">
      <c r="C2121" s="98" t="s">
        <v>3903</v>
      </c>
      <c r="D2121" s="98" t="s">
        <v>1756</v>
      </c>
      <c r="E2121" s="98" t="s">
        <v>3870</v>
      </c>
      <c r="F2121" s="98" t="n">
        <v>30</v>
      </c>
      <c r="G2121" s="98" t="s">
        <v>3871</v>
      </c>
      <c r="H2121" s="98" t="s">
        <v>3872</v>
      </c>
      <c r="I2121" s="98" t="s">
        <v>1704</v>
      </c>
      <c r="J2121" s="98" t="s">
        <v>1705</v>
      </c>
      <c r="K2121" s="98" t="s">
        <v>1706</v>
      </c>
    </row>
    <row r="2122" customFormat="false" ht="64" hidden="false" customHeight="true" outlineLevel="0" collapsed="false">
      <c r="C2122" s="98" t="s">
        <v>3904</v>
      </c>
      <c r="D2122" s="98" t="s">
        <v>1758</v>
      </c>
      <c r="E2122" s="98" t="s">
        <v>3870</v>
      </c>
      <c r="F2122" s="98" t="n">
        <v>30</v>
      </c>
      <c r="G2122" s="98" t="s">
        <v>3871</v>
      </c>
      <c r="H2122" s="98" t="s">
        <v>3872</v>
      </c>
      <c r="I2122" s="98" t="s">
        <v>1704</v>
      </c>
      <c r="J2122" s="98" t="s">
        <v>1705</v>
      </c>
      <c r="K2122" s="98" t="s">
        <v>1706</v>
      </c>
    </row>
    <row r="2123" customFormat="false" ht="64" hidden="false" customHeight="true" outlineLevel="0" collapsed="false">
      <c r="C2123" s="98" t="s">
        <v>3905</v>
      </c>
      <c r="D2123" s="98" t="s">
        <v>1760</v>
      </c>
      <c r="E2123" s="98" t="s">
        <v>3870</v>
      </c>
      <c r="F2123" s="98" t="n">
        <v>30</v>
      </c>
      <c r="G2123" s="98" t="s">
        <v>3871</v>
      </c>
      <c r="H2123" s="98" t="s">
        <v>3872</v>
      </c>
      <c r="I2123" s="98" t="s">
        <v>1704</v>
      </c>
      <c r="J2123" s="98" t="s">
        <v>1705</v>
      </c>
      <c r="K2123" s="98" t="s">
        <v>1706</v>
      </c>
    </row>
    <row r="2124" customFormat="false" ht="64" hidden="false" customHeight="true" outlineLevel="0" collapsed="false">
      <c r="C2124" s="98" t="s">
        <v>3906</v>
      </c>
      <c r="D2124" s="98" t="s">
        <v>1762</v>
      </c>
      <c r="E2124" s="98" t="s">
        <v>3870</v>
      </c>
      <c r="F2124" s="98" t="n">
        <v>30</v>
      </c>
      <c r="G2124" s="98" t="s">
        <v>3871</v>
      </c>
      <c r="H2124" s="98" t="s">
        <v>3872</v>
      </c>
      <c r="I2124" s="98" t="s">
        <v>1704</v>
      </c>
      <c r="J2124" s="98" t="s">
        <v>1705</v>
      </c>
      <c r="K2124" s="98" t="s">
        <v>1706</v>
      </c>
    </row>
    <row r="2125" customFormat="false" ht="64" hidden="false" customHeight="true" outlineLevel="0" collapsed="false">
      <c r="C2125" s="98" t="s">
        <v>3907</v>
      </c>
      <c r="D2125" s="98" t="s">
        <v>1764</v>
      </c>
      <c r="E2125" s="98" t="s">
        <v>3870</v>
      </c>
      <c r="F2125" s="98" t="n">
        <v>30</v>
      </c>
      <c r="G2125" s="98" t="s">
        <v>3871</v>
      </c>
      <c r="H2125" s="98" t="s">
        <v>3872</v>
      </c>
      <c r="I2125" s="98" t="s">
        <v>1704</v>
      </c>
      <c r="J2125" s="98" t="s">
        <v>1705</v>
      </c>
      <c r="K2125" s="98" t="s">
        <v>1706</v>
      </c>
    </row>
    <row r="2126" customFormat="false" ht="64" hidden="false" customHeight="true" outlineLevel="0" collapsed="false">
      <c r="C2126" s="98" t="s">
        <v>3908</v>
      </c>
      <c r="D2126" s="98" t="s">
        <v>1829</v>
      </c>
      <c r="E2126" s="98" t="s">
        <v>3870</v>
      </c>
      <c r="F2126" s="98" t="n">
        <v>10</v>
      </c>
      <c r="G2126" s="98" t="s">
        <v>3871</v>
      </c>
      <c r="H2126" s="98" t="s">
        <v>3872</v>
      </c>
      <c r="I2126" s="98" t="s">
        <v>1704</v>
      </c>
      <c r="J2126" s="98" t="s">
        <v>1705</v>
      </c>
      <c r="K2126" s="98" t="s">
        <v>1706</v>
      </c>
    </row>
    <row r="2127" customFormat="false" ht="64" hidden="false" customHeight="true" outlineLevel="0" collapsed="false">
      <c r="C2127" s="98" t="s">
        <v>3909</v>
      </c>
      <c r="D2127" s="98" t="s">
        <v>1833</v>
      </c>
      <c r="E2127" s="98" t="s">
        <v>3870</v>
      </c>
      <c r="F2127" s="98" t="n">
        <v>10</v>
      </c>
      <c r="G2127" s="98" t="s">
        <v>3871</v>
      </c>
      <c r="H2127" s="98" t="s">
        <v>3872</v>
      </c>
      <c r="I2127" s="98" t="s">
        <v>1704</v>
      </c>
      <c r="J2127" s="98" t="s">
        <v>1705</v>
      </c>
      <c r="K2127" s="98" t="s">
        <v>1706</v>
      </c>
    </row>
    <row r="2128" customFormat="false" ht="64" hidden="false" customHeight="true" outlineLevel="0" collapsed="false">
      <c r="C2128" s="98" t="s">
        <v>3910</v>
      </c>
      <c r="D2128" s="98" t="s">
        <v>1835</v>
      </c>
      <c r="E2128" s="98" t="s">
        <v>3870</v>
      </c>
      <c r="F2128" s="98" t="n">
        <v>10</v>
      </c>
      <c r="G2128" s="98" t="s">
        <v>3871</v>
      </c>
      <c r="H2128" s="98" t="s">
        <v>3872</v>
      </c>
      <c r="I2128" s="98" t="s">
        <v>1704</v>
      </c>
      <c r="J2128" s="98" t="s">
        <v>1705</v>
      </c>
      <c r="K2128" s="98" t="s">
        <v>1706</v>
      </c>
    </row>
    <row r="2129" customFormat="false" ht="64" hidden="false" customHeight="true" outlineLevel="0" collapsed="false">
      <c r="C2129" s="98" t="s">
        <v>3911</v>
      </c>
      <c r="D2129" s="98" t="s">
        <v>1044</v>
      </c>
      <c r="E2129" s="98" t="s">
        <v>3870</v>
      </c>
      <c r="F2129" s="98" t="n">
        <v>10</v>
      </c>
      <c r="G2129" s="98" t="s">
        <v>3871</v>
      </c>
      <c r="H2129" s="98" t="s">
        <v>3872</v>
      </c>
      <c r="I2129" s="98" t="s">
        <v>1704</v>
      </c>
      <c r="J2129" s="98" t="s">
        <v>1705</v>
      </c>
      <c r="K2129" s="98" t="s">
        <v>1706</v>
      </c>
    </row>
    <row r="2130" customFormat="false" ht="64" hidden="false" customHeight="true" outlineLevel="0" collapsed="false">
      <c r="C2130" s="98" t="s">
        <v>3912</v>
      </c>
      <c r="D2130" s="98" t="s">
        <v>1838</v>
      </c>
      <c r="E2130" s="98" t="s">
        <v>3870</v>
      </c>
      <c r="F2130" s="98" t="n">
        <v>10</v>
      </c>
      <c r="G2130" s="98" t="s">
        <v>3871</v>
      </c>
      <c r="H2130" s="98" t="s">
        <v>3872</v>
      </c>
      <c r="I2130" s="98" t="s">
        <v>1704</v>
      </c>
      <c r="J2130" s="98" t="s">
        <v>1705</v>
      </c>
      <c r="K2130" s="98" t="s">
        <v>1706</v>
      </c>
    </row>
    <row r="2131" customFormat="false" ht="64" hidden="false" customHeight="true" outlineLevel="0" collapsed="false">
      <c r="C2131" s="98" t="s">
        <v>3913</v>
      </c>
      <c r="D2131" s="98" t="s">
        <v>1840</v>
      </c>
      <c r="E2131" s="98" t="s">
        <v>3870</v>
      </c>
      <c r="F2131" s="98" t="n">
        <v>10</v>
      </c>
      <c r="G2131" s="98" t="s">
        <v>3871</v>
      </c>
      <c r="H2131" s="98" t="s">
        <v>3872</v>
      </c>
      <c r="I2131" s="98" t="s">
        <v>1704</v>
      </c>
      <c r="J2131" s="98" t="s">
        <v>1705</v>
      </c>
      <c r="K2131" s="98" t="s">
        <v>1706</v>
      </c>
    </row>
    <row r="2132" customFormat="false" ht="64" hidden="false" customHeight="true" outlineLevel="0" collapsed="false">
      <c r="C2132" s="98" t="s">
        <v>3914</v>
      </c>
      <c r="D2132" s="98" t="s">
        <v>1700</v>
      </c>
      <c r="E2132" s="98" t="s">
        <v>3870</v>
      </c>
      <c r="F2132" s="98" t="n">
        <v>10</v>
      </c>
      <c r="G2132" s="98" t="s">
        <v>3871</v>
      </c>
      <c r="H2132" s="98" t="s">
        <v>3872</v>
      </c>
      <c r="I2132" s="98" t="s">
        <v>1704</v>
      </c>
      <c r="J2132" s="98" t="s">
        <v>1705</v>
      </c>
      <c r="K2132" s="98" t="s">
        <v>1706</v>
      </c>
    </row>
    <row r="2133" customFormat="false" ht="64" hidden="false" customHeight="true" outlineLevel="0" collapsed="false">
      <c r="C2133" s="98" t="s">
        <v>3915</v>
      </c>
      <c r="D2133" s="98" t="s">
        <v>1708</v>
      </c>
      <c r="E2133" s="98" t="s">
        <v>3870</v>
      </c>
      <c r="F2133" s="98" t="n">
        <v>10</v>
      </c>
      <c r="G2133" s="98" t="s">
        <v>3871</v>
      </c>
      <c r="H2133" s="98" t="s">
        <v>3872</v>
      </c>
      <c r="I2133" s="98" t="s">
        <v>1704</v>
      </c>
      <c r="J2133" s="98" t="s">
        <v>1705</v>
      </c>
      <c r="K2133" s="98" t="s">
        <v>1706</v>
      </c>
    </row>
    <row r="2134" customFormat="false" ht="64" hidden="false" customHeight="true" outlineLevel="0" collapsed="false">
      <c r="C2134" s="98" t="s">
        <v>3916</v>
      </c>
      <c r="D2134" s="98" t="s">
        <v>1710</v>
      </c>
      <c r="E2134" s="98" t="s">
        <v>3870</v>
      </c>
      <c r="F2134" s="98" t="n">
        <v>10</v>
      </c>
      <c r="G2134" s="98" t="s">
        <v>3871</v>
      </c>
      <c r="H2134" s="98" t="s">
        <v>3872</v>
      </c>
      <c r="I2134" s="98" t="s">
        <v>1704</v>
      </c>
      <c r="J2134" s="98" t="s">
        <v>1705</v>
      </c>
      <c r="K2134" s="98" t="s">
        <v>1706</v>
      </c>
    </row>
    <row r="2135" customFormat="false" ht="64" hidden="false" customHeight="true" outlineLevel="0" collapsed="false">
      <c r="C2135" s="98" t="s">
        <v>3917</v>
      </c>
      <c r="D2135" s="98" t="s">
        <v>1712</v>
      </c>
      <c r="E2135" s="98" t="s">
        <v>3870</v>
      </c>
      <c r="F2135" s="98" t="n">
        <v>10</v>
      </c>
      <c r="G2135" s="98" t="s">
        <v>3871</v>
      </c>
      <c r="H2135" s="98" t="s">
        <v>3872</v>
      </c>
      <c r="I2135" s="98" t="s">
        <v>1704</v>
      </c>
      <c r="J2135" s="98" t="s">
        <v>1705</v>
      </c>
      <c r="K2135" s="98" t="s">
        <v>1706</v>
      </c>
    </row>
    <row r="2136" customFormat="false" ht="64" hidden="false" customHeight="true" outlineLevel="0" collapsed="false">
      <c r="C2136" s="98" t="s">
        <v>3918</v>
      </c>
      <c r="D2136" s="98" t="s">
        <v>1714</v>
      </c>
      <c r="E2136" s="98" t="s">
        <v>3870</v>
      </c>
      <c r="F2136" s="98" t="n">
        <v>10</v>
      </c>
      <c r="G2136" s="98" t="s">
        <v>3871</v>
      </c>
      <c r="H2136" s="98" t="s">
        <v>3872</v>
      </c>
      <c r="I2136" s="98" t="s">
        <v>1704</v>
      </c>
      <c r="J2136" s="98" t="s">
        <v>1705</v>
      </c>
      <c r="K2136" s="98" t="s">
        <v>1706</v>
      </c>
    </row>
    <row r="2137" customFormat="false" ht="64" hidden="false" customHeight="true" outlineLevel="0" collapsed="false">
      <c r="C2137" s="98" t="s">
        <v>3919</v>
      </c>
      <c r="D2137" s="98" t="s">
        <v>1716</v>
      </c>
      <c r="E2137" s="98" t="s">
        <v>3870</v>
      </c>
      <c r="F2137" s="98" t="n">
        <v>10</v>
      </c>
      <c r="G2137" s="98" t="s">
        <v>3871</v>
      </c>
      <c r="H2137" s="98" t="s">
        <v>3872</v>
      </c>
      <c r="I2137" s="98" t="s">
        <v>1704</v>
      </c>
      <c r="J2137" s="98" t="s">
        <v>1705</v>
      </c>
      <c r="K2137" s="98" t="s">
        <v>1706</v>
      </c>
    </row>
    <row r="2138" customFormat="false" ht="64" hidden="false" customHeight="true" outlineLevel="0" collapsed="false">
      <c r="C2138" s="98" t="s">
        <v>3920</v>
      </c>
      <c r="D2138" s="98" t="s">
        <v>1718</v>
      </c>
      <c r="E2138" s="98" t="s">
        <v>3870</v>
      </c>
      <c r="F2138" s="98" t="n">
        <v>10</v>
      </c>
      <c r="G2138" s="98" t="s">
        <v>3871</v>
      </c>
      <c r="H2138" s="98" t="s">
        <v>3872</v>
      </c>
      <c r="I2138" s="98" t="s">
        <v>1704</v>
      </c>
      <c r="J2138" s="98" t="s">
        <v>1705</v>
      </c>
      <c r="K2138" s="98" t="s">
        <v>1706</v>
      </c>
    </row>
    <row r="2139" customFormat="false" ht="64" hidden="false" customHeight="true" outlineLevel="0" collapsed="false">
      <c r="C2139" s="98" t="s">
        <v>3921</v>
      </c>
      <c r="D2139" s="98" t="s">
        <v>1720</v>
      </c>
      <c r="E2139" s="98" t="s">
        <v>3870</v>
      </c>
      <c r="F2139" s="98" t="n">
        <v>10</v>
      </c>
      <c r="G2139" s="98" t="s">
        <v>3871</v>
      </c>
      <c r="H2139" s="98" t="s">
        <v>3872</v>
      </c>
      <c r="I2139" s="98" t="s">
        <v>1704</v>
      </c>
      <c r="J2139" s="98" t="s">
        <v>1705</v>
      </c>
      <c r="K2139" s="98" t="s">
        <v>1706</v>
      </c>
    </row>
    <row r="2140" customFormat="false" ht="64" hidden="false" customHeight="true" outlineLevel="0" collapsed="false">
      <c r="C2140" s="98" t="s">
        <v>3922</v>
      </c>
      <c r="D2140" s="98" t="s">
        <v>1722</v>
      </c>
      <c r="E2140" s="98" t="s">
        <v>3870</v>
      </c>
      <c r="F2140" s="98" t="n">
        <v>10</v>
      </c>
      <c r="G2140" s="98" t="s">
        <v>3871</v>
      </c>
      <c r="H2140" s="98" t="s">
        <v>3872</v>
      </c>
      <c r="I2140" s="98" t="s">
        <v>1704</v>
      </c>
      <c r="J2140" s="98" t="s">
        <v>1705</v>
      </c>
      <c r="K2140" s="98" t="s">
        <v>1706</v>
      </c>
    </row>
    <row r="2141" customFormat="false" ht="64" hidden="false" customHeight="true" outlineLevel="0" collapsed="false">
      <c r="C2141" s="98" t="s">
        <v>3923</v>
      </c>
      <c r="D2141" s="98" t="s">
        <v>1724</v>
      </c>
      <c r="E2141" s="98" t="s">
        <v>3870</v>
      </c>
      <c r="F2141" s="98" t="n">
        <v>10</v>
      </c>
      <c r="G2141" s="98" t="s">
        <v>3871</v>
      </c>
      <c r="H2141" s="98" t="s">
        <v>3872</v>
      </c>
      <c r="I2141" s="98" t="s">
        <v>1704</v>
      </c>
      <c r="J2141" s="98" t="s">
        <v>1705</v>
      </c>
      <c r="K2141" s="98" t="s">
        <v>1706</v>
      </c>
    </row>
    <row r="2142" customFormat="false" ht="64" hidden="false" customHeight="true" outlineLevel="0" collapsed="false">
      <c r="C2142" s="98" t="s">
        <v>3924</v>
      </c>
      <c r="D2142" s="98" t="s">
        <v>1726</v>
      </c>
      <c r="E2142" s="98" t="s">
        <v>3870</v>
      </c>
      <c r="F2142" s="98" t="n">
        <v>10</v>
      </c>
      <c r="G2142" s="98" t="s">
        <v>3871</v>
      </c>
      <c r="H2142" s="98" t="s">
        <v>3872</v>
      </c>
      <c r="I2142" s="98" t="s">
        <v>1704</v>
      </c>
      <c r="J2142" s="98" t="s">
        <v>1705</v>
      </c>
      <c r="K2142" s="98" t="s">
        <v>1706</v>
      </c>
    </row>
    <row r="2143" customFormat="false" ht="64" hidden="false" customHeight="true" outlineLevel="0" collapsed="false">
      <c r="C2143" s="98" t="s">
        <v>3925</v>
      </c>
      <c r="D2143" s="98" t="s">
        <v>1728</v>
      </c>
      <c r="E2143" s="98" t="s">
        <v>3870</v>
      </c>
      <c r="F2143" s="98" t="n">
        <v>10</v>
      </c>
      <c r="G2143" s="98" t="s">
        <v>3871</v>
      </c>
      <c r="H2143" s="98" t="s">
        <v>3872</v>
      </c>
      <c r="I2143" s="98" t="s">
        <v>1704</v>
      </c>
      <c r="J2143" s="98" t="s">
        <v>1705</v>
      </c>
      <c r="K2143" s="98" t="s">
        <v>1706</v>
      </c>
    </row>
    <row r="2144" customFormat="false" ht="64" hidden="false" customHeight="true" outlineLevel="0" collapsed="false">
      <c r="C2144" s="98" t="s">
        <v>3926</v>
      </c>
      <c r="D2144" s="98" t="s">
        <v>1730</v>
      </c>
      <c r="E2144" s="98" t="s">
        <v>3870</v>
      </c>
      <c r="F2144" s="98" t="n">
        <v>10</v>
      </c>
      <c r="G2144" s="98" t="s">
        <v>3871</v>
      </c>
      <c r="H2144" s="98" t="s">
        <v>3872</v>
      </c>
      <c r="I2144" s="98" t="s">
        <v>1704</v>
      </c>
      <c r="J2144" s="98" t="s">
        <v>1705</v>
      </c>
      <c r="K2144" s="98" t="s">
        <v>1706</v>
      </c>
    </row>
    <row r="2145" customFormat="false" ht="64" hidden="false" customHeight="true" outlineLevel="0" collapsed="false">
      <c r="C2145" s="98" t="s">
        <v>3927</v>
      </c>
      <c r="D2145" s="98" t="s">
        <v>1732</v>
      </c>
      <c r="E2145" s="98" t="s">
        <v>3870</v>
      </c>
      <c r="F2145" s="98" t="n">
        <v>10</v>
      </c>
      <c r="G2145" s="98" t="s">
        <v>3871</v>
      </c>
      <c r="H2145" s="98" t="s">
        <v>3872</v>
      </c>
      <c r="I2145" s="98" t="s">
        <v>1704</v>
      </c>
      <c r="J2145" s="98" t="s">
        <v>1705</v>
      </c>
      <c r="K2145" s="98" t="s">
        <v>1706</v>
      </c>
    </row>
    <row r="2146" customFormat="false" ht="64" hidden="false" customHeight="true" outlineLevel="0" collapsed="false">
      <c r="C2146" s="98" t="s">
        <v>3928</v>
      </c>
      <c r="D2146" s="98" t="s">
        <v>1734</v>
      </c>
      <c r="E2146" s="98" t="s">
        <v>3870</v>
      </c>
      <c r="F2146" s="98" t="n">
        <v>10</v>
      </c>
      <c r="G2146" s="98" t="s">
        <v>3871</v>
      </c>
      <c r="H2146" s="98" t="s">
        <v>3872</v>
      </c>
      <c r="I2146" s="98" t="s">
        <v>1704</v>
      </c>
      <c r="J2146" s="98" t="s">
        <v>1705</v>
      </c>
      <c r="K2146" s="98" t="s">
        <v>1706</v>
      </c>
    </row>
    <row r="2147" customFormat="false" ht="64" hidden="false" customHeight="true" outlineLevel="0" collapsed="false">
      <c r="C2147" s="98" t="s">
        <v>3929</v>
      </c>
      <c r="D2147" s="98" t="s">
        <v>1736</v>
      </c>
      <c r="E2147" s="98" t="s">
        <v>3870</v>
      </c>
      <c r="F2147" s="98" t="n">
        <v>10</v>
      </c>
      <c r="G2147" s="98" t="s">
        <v>3871</v>
      </c>
      <c r="H2147" s="98" t="s">
        <v>3872</v>
      </c>
      <c r="I2147" s="98" t="s">
        <v>1704</v>
      </c>
      <c r="J2147" s="98" t="s">
        <v>1705</v>
      </c>
      <c r="K2147" s="98" t="s">
        <v>1706</v>
      </c>
    </row>
    <row r="2148" customFormat="false" ht="64" hidden="false" customHeight="true" outlineLevel="0" collapsed="false">
      <c r="C2148" s="98" t="s">
        <v>3930</v>
      </c>
      <c r="D2148" s="98" t="s">
        <v>1738</v>
      </c>
      <c r="E2148" s="98" t="s">
        <v>3870</v>
      </c>
      <c r="F2148" s="98" t="n">
        <v>10</v>
      </c>
      <c r="G2148" s="98" t="s">
        <v>3871</v>
      </c>
      <c r="H2148" s="98" t="s">
        <v>3872</v>
      </c>
      <c r="I2148" s="98" t="s">
        <v>1704</v>
      </c>
      <c r="J2148" s="98" t="s">
        <v>1705</v>
      </c>
      <c r="K2148" s="98" t="s">
        <v>1706</v>
      </c>
    </row>
    <row r="2149" customFormat="false" ht="64" hidden="false" customHeight="true" outlineLevel="0" collapsed="false">
      <c r="C2149" s="98" t="s">
        <v>3931</v>
      </c>
      <c r="D2149" s="98" t="s">
        <v>1740</v>
      </c>
      <c r="E2149" s="98" t="s">
        <v>3870</v>
      </c>
      <c r="F2149" s="98" t="n">
        <v>10</v>
      </c>
      <c r="G2149" s="98" t="s">
        <v>3871</v>
      </c>
      <c r="H2149" s="98" t="s">
        <v>3872</v>
      </c>
      <c r="I2149" s="98" t="s">
        <v>1704</v>
      </c>
      <c r="J2149" s="98" t="s">
        <v>1705</v>
      </c>
      <c r="K2149" s="98" t="s">
        <v>1706</v>
      </c>
    </row>
    <row r="2150" customFormat="false" ht="64" hidden="false" customHeight="true" outlineLevel="0" collapsed="false">
      <c r="C2150" s="98" t="s">
        <v>3932</v>
      </c>
      <c r="D2150" s="98" t="s">
        <v>1742</v>
      </c>
      <c r="E2150" s="98" t="s">
        <v>3870</v>
      </c>
      <c r="F2150" s="98" t="n">
        <v>10</v>
      </c>
      <c r="G2150" s="98" t="s">
        <v>3871</v>
      </c>
      <c r="H2150" s="98" t="s">
        <v>3872</v>
      </c>
      <c r="I2150" s="98" t="s">
        <v>1704</v>
      </c>
      <c r="J2150" s="98" t="s">
        <v>1705</v>
      </c>
      <c r="K2150" s="98" t="s">
        <v>1706</v>
      </c>
    </row>
    <row r="2151" customFormat="false" ht="64" hidden="false" customHeight="true" outlineLevel="0" collapsed="false">
      <c r="C2151" s="98" t="s">
        <v>3933</v>
      </c>
      <c r="D2151" s="98" t="s">
        <v>1744</v>
      </c>
      <c r="E2151" s="98" t="s">
        <v>3870</v>
      </c>
      <c r="F2151" s="98" t="n">
        <v>10</v>
      </c>
      <c r="G2151" s="98" t="s">
        <v>3871</v>
      </c>
      <c r="H2151" s="98" t="s">
        <v>3872</v>
      </c>
      <c r="I2151" s="98" t="s">
        <v>1704</v>
      </c>
      <c r="J2151" s="98" t="s">
        <v>1705</v>
      </c>
      <c r="K2151" s="98" t="s">
        <v>1706</v>
      </c>
    </row>
    <row r="2152" customFormat="false" ht="64" hidden="false" customHeight="true" outlineLevel="0" collapsed="false">
      <c r="C2152" s="98" t="s">
        <v>3934</v>
      </c>
      <c r="D2152" s="98" t="s">
        <v>1746</v>
      </c>
      <c r="E2152" s="98" t="s">
        <v>3870</v>
      </c>
      <c r="F2152" s="98" t="n">
        <v>10</v>
      </c>
      <c r="G2152" s="98" t="s">
        <v>3871</v>
      </c>
      <c r="H2152" s="98" t="s">
        <v>3872</v>
      </c>
      <c r="I2152" s="98" t="s">
        <v>1704</v>
      </c>
      <c r="J2152" s="98" t="s">
        <v>1705</v>
      </c>
      <c r="K2152" s="98" t="s">
        <v>1706</v>
      </c>
    </row>
    <row r="2153" customFormat="false" ht="64" hidden="false" customHeight="true" outlineLevel="0" collapsed="false">
      <c r="C2153" s="98" t="s">
        <v>3935</v>
      </c>
      <c r="D2153" s="98" t="s">
        <v>1748</v>
      </c>
      <c r="E2153" s="98" t="s">
        <v>3870</v>
      </c>
      <c r="F2153" s="98" t="n">
        <v>10</v>
      </c>
      <c r="G2153" s="98" t="s">
        <v>3871</v>
      </c>
      <c r="H2153" s="98" t="s">
        <v>3872</v>
      </c>
      <c r="I2153" s="98" t="s">
        <v>1704</v>
      </c>
      <c r="J2153" s="98" t="s">
        <v>1705</v>
      </c>
      <c r="K2153" s="98" t="s">
        <v>1706</v>
      </c>
    </row>
    <row r="2154" customFormat="false" ht="64" hidden="false" customHeight="true" outlineLevel="0" collapsed="false">
      <c r="C2154" s="98" t="s">
        <v>3936</v>
      </c>
      <c r="D2154" s="98" t="s">
        <v>1750</v>
      </c>
      <c r="E2154" s="98" t="s">
        <v>3870</v>
      </c>
      <c r="F2154" s="98" t="n">
        <v>10</v>
      </c>
      <c r="G2154" s="98" t="s">
        <v>3871</v>
      </c>
      <c r="H2154" s="98" t="s">
        <v>3872</v>
      </c>
      <c r="I2154" s="98" t="s">
        <v>1704</v>
      </c>
      <c r="J2154" s="98" t="s">
        <v>1705</v>
      </c>
      <c r="K2154" s="98" t="s">
        <v>1706</v>
      </c>
    </row>
    <row r="2155" customFormat="false" ht="64" hidden="false" customHeight="true" outlineLevel="0" collapsed="false">
      <c r="C2155" s="98" t="s">
        <v>3937</v>
      </c>
      <c r="D2155" s="98" t="s">
        <v>1752</v>
      </c>
      <c r="E2155" s="98" t="s">
        <v>3870</v>
      </c>
      <c r="F2155" s="98" t="n">
        <v>10</v>
      </c>
      <c r="G2155" s="98" t="s">
        <v>3871</v>
      </c>
      <c r="H2155" s="98" t="s">
        <v>3872</v>
      </c>
      <c r="I2155" s="98" t="s">
        <v>1704</v>
      </c>
      <c r="J2155" s="98" t="s">
        <v>1705</v>
      </c>
      <c r="K2155" s="98" t="s">
        <v>1706</v>
      </c>
    </row>
    <row r="2156" customFormat="false" ht="64" hidden="false" customHeight="true" outlineLevel="0" collapsed="false">
      <c r="C2156" s="98" t="s">
        <v>3938</v>
      </c>
      <c r="D2156" s="98" t="s">
        <v>1754</v>
      </c>
      <c r="E2156" s="98" t="s">
        <v>3870</v>
      </c>
      <c r="F2156" s="98" t="n">
        <v>10</v>
      </c>
      <c r="G2156" s="98" t="s">
        <v>3871</v>
      </c>
      <c r="H2156" s="98" t="s">
        <v>3872</v>
      </c>
      <c r="I2156" s="98" t="s">
        <v>1704</v>
      </c>
      <c r="J2156" s="98" t="s">
        <v>1705</v>
      </c>
      <c r="K2156" s="98" t="s">
        <v>1706</v>
      </c>
    </row>
    <row r="2157" customFormat="false" ht="64" hidden="false" customHeight="true" outlineLevel="0" collapsed="false">
      <c r="C2157" s="98" t="s">
        <v>3939</v>
      </c>
      <c r="D2157" s="98" t="s">
        <v>1756</v>
      </c>
      <c r="E2157" s="98" t="s">
        <v>3870</v>
      </c>
      <c r="F2157" s="98" t="n">
        <v>10</v>
      </c>
      <c r="G2157" s="98" t="s">
        <v>3871</v>
      </c>
      <c r="H2157" s="98" t="s">
        <v>3872</v>
      </c>
      <c r="I2157" s="98" t="s">
        <v>1704</v>
      </c>
      <c r="J2157" s="98" t="s">
        <v>1705</v>
      </c>
      <c r="K2157" s="98" t="s">
        <v>1706</v>
      </c>
    </row>
    <row r="2158" customFormat="false" ht="64" hidden="false" customHeight="true" outlineLevel="0" collapsed="false">
      <c r="C2158" s="98" t="s">
        <v>3940</v>
      </c>
      <c r="D2158" s="98" t="s">
        <v>1758</v>
      </c>
      <c r="E2158" s="98" t="s">
        <v>3870</v>
      </c>
      <c r="F2158" s="98" t="n">
        <v>10</v>
      </c>
      <c r="G2158" s="98" t="s">
        <v>3871</v>
      </c>
      <c r="H2158" s="98" t="s">
        <v>3872</v>
      </c>
      <c r="I2158" s="98" t="s">
        <v>1704</v>
      </c>
      <c r="J2158" s="98" t="s">
        <v>1705</v>
      </c>
      <c r="K2158" s="98" t="s">
        <v>1706</v>
      </c>
    </row>
    <row r="2159" customFormat="false" ht="64" hidden="false" customHeight="true" outlineLevel="0" collapsed="false">
      <c r="C2159" s="98" t="s">
        <v>3941</v>
      </c>
      <c r="D2159" s="98" t="s">
        <v>1760</v>
      </c>
      <c r="E2159" s="98" t="s">
        <v>3870</v>
      </c>
      <c r="F2159" s="98" t="n">
        <v>10</v>
      </c>
      <c r="G2159" s="98" t="s">
        <v>3871</v>
      </c>
      <c r="H2159" s="98" t="s">
        <v>3872</v>
      </c>
      <c r="I2159" s="98" t="s">
        <v>1704</v>
      </c>
      <c r="J2159" s="98" t="s">
        <v>1705</v>
      </c>
      <c r="K2159" s="98" t="s">
        <v>1706</v>
      </c>
    </row>
    <row r="2160" customFormat="false" ht="64" hidden="false" customHeight="true" outlineLevel="0" collapsed="false">
      <c r="C2160" s="98" t="s">
        <v>3942</v>
      </c>
      <c r="D2160" s="98" t="s">
        <v>1762</v>
      </c>
      <c r="E2160" s="98" t="s">
        <v>3870</v>
      </c>
      <c r="F2160" s="98" t="n">
        <v>10</v>
      </c>
      <c r="G2160" s="98" t="s">
        <v>3871</v>
      </c>
      <c r="H2160" s="98" t="s">
        <v>3872</v>
      </c>
      <c r="I2160" s="98" t="s">
        <v>1704</v>
      </c>
      <c r="J2160" s="98" t="s">
        <v>1705</v>
      </c>
      <c r="K2160" s="98" t="s">
        <v>1706</v>
      </c>
    </row>
    <row r="2161" customFormat="false" ht="64" hidden="false" customHeight="true" outlineLevel="0" collapsed="false">
      <c r="C2161" s="98" t="s">
        <v>3943</v>
      </c>
      <c r="D2161" s="98" t="s">
        <v>1764</v>
      </c>
      <c r="E2161" s="98" t="s">
        <v>3870</v>
      </c>
      <c r="F2161" s="98" t="n">
        <v>10</v>
      </c>
      <c r="G2161" s="98" t="s">
        <v>3871</v>
      </c>
      <c r="H2161" s="98" t="s">
        <v>3872</v>
      </c>
      <c r="I2161" s="98" t="s">
        <v>1704</v>
      </c>
      <c r="J2161" s="98" t="s">
        <v>1705</v>
      </c>
      <c r="K2161" s="98" t="s">
        <v>1706</v>
      </c>
    </row>
    <row r="2162" customFormat="false" ht="64" hidden="false" customHeight="true" outlineLevel="0" collapsed="false">
      <c r="C2162" s="98" t="s">
        <v>3944</v>
      </c>
      <c r="D2162" s="98" t="s">
        <v>1829</v>
      </c>
      <c r="E2162" s="98" t="s">
        <v>3870</v>
      </c>
      <c r="F2162" s="98" t="n">
        <v>5</v>
      </c>
      <c r="G2162" s="98" t="s">
        <v>3871</v>
      </c>
      <c r="H2162" s="98" t="s">
        <v>3872</v>
      </c>
      <c r="I2162" s="98" t="s">
        <v>1704</v>
      </c>
      <c r="J2162" s="98" t="s">
        <v>1705</v>
      </c>
      <c r="K2162" s="98" t="s">
        <v>1706</v>
      </c>
    </row>
    <row r="2163" customFormat="false" ht="64" hidden="false" customHeight="true" outlineLevel="0" collapsed="false">
      <c r="C2163" s="98" t="s">
        <v>3945</v>
      </c>
      <c r="D2163" s="98" t="s">
        <v>1833</v>
      </c>
      <c r="E2163" s="98" t="s">
        <v>3870</v>
      </c>
      <c r="F2163" s="98" t="n">
        <v>5</v>
      </c>
      <c r="G2163" s="98" t="s">
        <v>3871</v>
      </c>
      <c r="H2163" s="98" t="s">
        <v>3872</v>
      </c>
      <c r="I2163" s="98" t="s">
        <v>1704</v>
      </c>
      <c r="J2163" s="98" t="s">
        <v>1705</v>
      </c>
      <c r="K2163" s="98" t="s">
        <v>1706</v>
      </c>
    </row>
    <row r="2164" customFormat="false" ht="64" hidden="false" customHeight="true" outlineLevel="0" collapsed="false">
      <c r="C2164" s="98" t="s">
        <v>3946</v>
      </c>
      <c r="D2164" s="98" t="s">
        <v>1835</v>
      </c>
      <c r="E2164" s="98" t="s">
        <v>3870</v>
      </c>
      <c r="F2164" s="98" t="n">
        <v>5</v>
      </c>
      <c r="G2164" s="98" t="s">
        <v>3871</v>
      </c>
      <c r="H2164" s="98" t="s">
        <v>3872</v>
      </c>
      <c r="I2164" s="98" t="s">
        <v>1704</v>
      </c>
      <c r="J2164" s="98" t="s">
        <v>1705</v>
      </c>
      <c r="K2164" s="98" t="s">
        <v>1706</v>
      </c>
    </row>
    <row r="2165" customFormat="false" ht="64" hidden="false" customHeight="true" outlineLevel="0" collapsed="false">
      <c r="C2165" s="98" t="s">
        <v>3947</v>
      </c>
      <c r="D2165" s="98" t="s">
        <v>1044</v>
      </c>
      <c r="E2165" s="98" t="s">
        <v>3870</v>
      </c>
      <c r="F2165" s="98" t="n">
        <v>5</v>
      </c>
      <c r="G2165" s="98" t="s">
        <v>3871</v>
      </c>
      <c r="H2165" s="98" t="s">
        <v>3872</v>
      </c>
      <c r="I2165" s="98" t="s">
        <v>1704</v>
      </c>
      <c r="J2165" s="98" t="s">
        <v>1705</v>
      </c>
      <c r="K2165" s="98" t="s">
        <v>1706</v>
      </c>
    </row>
    <row r="2166" customFormat="false" ht="64" hidden="false" customHeight="true" outlineLevel="0" collapsed="false">
      <c r="C2166" s="98" t="s">
        <v>3948</v>
      </c>
      <c r="D2166" s="98" t="s">
        <v>1838</v>
      </c>
      <c r="E2166" s="98" t="s">
        <v>3870</v>
      </c>
      <c r="F2166" s="98" t="n">
        <v>5</v>
      </c>
      <c r="G2166" s="98" t="s">
        <v>3871</v>
      </c>
      <c r="H2166" s="98" t="s">
        <v>3872</v>
      </c>
      <c r="I2166" s="98" t="s">
        <v>1704</v>
      </c>
      <c r="J2166" s="98" t="s">
        <v>1705</v>
      </c>
      <c r="K2166" s="98" t="s">
        <v>1706</v>
      </c>
    </row>
    <row r="2167" customFormat="false" ht="64" hidden="false" customHeight="true" outlineLevel="0" collapsed="false">
      <c r="C2167" s="98" t="s">
        <v>3949</v>
      </c>
      <c r="D2167" s="98" t="s">
        <v>1840</v>
      </c>
      <c r="E2167" s="98" t="s">
        <v>3870</v>
      </c>
      <c r="F2167" s="98" t="n">
        <v>5</v>
      </c>
      <c r="G2167" s="98" t="s">
        <v>3871</v>
      </c>
      <c r="H2167" s="98" t="s">
        <v>3872</v>
      </c>
      <c r="I2167" s="98" t="s">
        <v>1704</v>
      </c>
      <c r="J2167" s="98" t="s">
        <v>1705</v>
      </c>
      <c r="K2167" s="98" t="s">
        <v>1706</v>
      </c>
    </row>
    <row r="2168" customFormat="false" ht="64" hidden="false" customHeight="true" outlineLevel="0" collapsed="false">
      <c r="C2168" s="98" t="s">
        <v>3950</v>
      </c>
      <c r="D2168" s="98" t="s">
        <v>1700</v>
      </c>
      <c r="E2168" s="98" t="s">
        <v>3870</v>
      </c>
      <c r="F2168" s="98" t="n">
        <v>5</v>
      </c>
      <c r="G2168" s="98" t="s">
        <v>3871</v>
      </c>
      <c r="H2168" s="98" t="s">
        <v>3872</v>
      </c>
      <c r="I2168" s="98" t="s">
        <v>1704</v>
      </c>
      <c r="J2168" s="98" t="s">
        <v>1705</v>
      </c>
      <c r="K2168" s="98" t="s">
        <v>1706</v>
      </c>
    </row>
    <row r="2169" customFormat="false" ht="64" hidden="false" customHeight="true" outlineLevel="0" collapsed="false">
      <c r="C2169" s="98" t="s">
        <v>3951</v>
      </c>
      <c r="D2169" s="98" t="s">
        <v>1708</v>
      </c>
      <c r="E2169" s="98" t="s">
        <v>3870</v>
      </c>
      <c r="F2169" s="98" t="n">
        <v>5</v>
      </c>
      <c r="G2169" s="98" t="s">
        <v>3871</v>
      </c>
      <c r="H2169" s="98" t="s">
        <v>3872</v>
      </c>
      <c r="I2169" s="98" t="s">
        <v>1704</v>
      </c>
      <c r="J2169" s="98" t="s">
        <v>1705</v>
      </c>
      <c r="K2169" s="98" t="s">
        <v>1706</v>
      </c>
    </row>
    <row r="2170" customFormat="false" ht="64" hidden="false" customHeight="true" outlineLevel="0" collapsed="false">
      <c r="C2170" s="98" t="s">
        <v>3952</v>
      </c>
      <c r="D2170" s="98" t="s">
        <v>1710</v>
      </c>
      <c r="E2170" s="98" t="s">
        <v>3870</v>
      </c>
      <c r="F2170" s="98" t="n">
        <v>5</v>
      </c>
      <c r="G2170" s="98" t="s">
        <v>3871</v>
      </c>
      <c r="H2170" s="98" t="s">
        <v>3872</v>
      </c>
      <c r="I2170" s="98" t="s">
        <v>1704</v>
      </c>
      <c r="J2170" s="98" t="s">
        <v>1705</v>
      </c>
      <c r="K2170" s="98" t="s">
        <v>1706</v>
      </c>
    </row>
    <row r="2171" customFormat="false" ht="64" hidden="false" customHeight="true" outlineLevel="0" collapsed="false">
      <c r="C2171" s="98" t="s">
        <v>3953</v>
      </c>
      <c r="D2171" s="98" t="s">
        <v>1712</v>
      </c>
      <c r="E2171" s="98" t="s">
        <v>3870</v>
      </c>
      <c r="F2171" s="98" t="n">
        <v>5</v>
      </c>
      <c r="G2171" s="98" t="s">
        <v>3871</v>
      </c>
      <c r="H2171" s="98" t="s">
        <v>3872</v>
      </c>
      <c r="I2171" s="98" t="s">
        <v>1704</v>
      </c>
      <c r="J2171" s="98" t="s">
        <v>1705</v>
      </c>
      <c r="K2171" s="98" t="s">
        <v>1706</v>
      </c>
    </row>
    <row r="2172" customFormat="false" ht="64" hidden="false" customHeight="true" outlineLevel="0" collapsed="false">
      <c r="C2172" s="98" t="s">
        <v>3954</v>
      </c>
      <c r="D2172" s="98" t="s">
        <v>1714</v>
      </c>
      <c r="E2172" s="98" t="s">
        <v>3870</v>
      </c>
      <c r="F2172" s="98" t="n">
        <v>5</v>
      </c>
      <c r="G2172" s="98" t="s">
        <v>3871</v>
      </c>
      <c r="H2172" s="98" t="s">
        <v>3872</v>
      </c>
      <c r="I2172" s="98" t="s">
        <v>1704</v>
      </c>
      <c r="J2172" s="98" t="s">
        <v>1705</v>
      </c>
      <c r="K2172" s="98" t="s">
        <v>1706</v>
      </c>
    </row>
    <row r="2173" customFormat="false" ht="64" hidden="false" customHeight="true" outlineLevel="0" collapsed="false">
      <c r="C2173" s="98" t="s">
        <v>3955</v>
      </c>
      <c r="D2173" s="98" t="s">
        <v>1716</v>
      </c>
      <c r="E2173" s="98" t="s">
        <v>3870</v>
      </c>
      <c r="F2173" s="98" t="n">
        <v>5</v>
      </c>
      <c r="G2173" s="98" t="s">
        <v>3871</v>
      </c>
      <c r="H2173" s="98" t="s">
        <v>3872</v>
      </c>
      <c r="I2173" s="98" t="s">
        <v>1704</v>
      </c>
      <c r="J2173" s="98" t="s">
        <v>1705</v>
      </c>
      <c r="K2173" s="98" t="s">
        <v>1706</v>
      </c>
    </row>
    <row r="2174" customFormat="false" ht="64" hidden="false" customHeight="true" outlineLevel="0" collapsed="false">
      <c r="C2174" s="98" t="s">
        <v>3956</v>
      </c>
      <c r="D2174" s="98" t="s">
        <v>1718</v>
      </c>
      <c r="E2174" s="98" t="s">
        <v>3870</v>
      </c>
      <c r="F2174" s="98" t="n">
        <v>5</v>
      </c>
      <c r="G2174" s="98" t="s">
        <v>3871</v>
      </c>
      <c r="H2174" s="98" t="s">
        <v>3872</v>
      </c>
      <c r="I2174" s="98" t="s">
        <v>1704</v>
      </c>
      <c r="J2174" s="98" t="s">
        <v>1705</v>
      </c>
      <c r="K2174" s="98" t="s">
        <v>1706</v>
      </c>
    </row>
    <row r="2175" customFormat="false" ht="64" hidden="false" customHeight="true" outlineLevel="0" collapsed="false">
      <c r="C2175" s="98" t="s">
        <v>3957</v>
      </c>
      <c r="D2175" s="98" t="s">
        <v>1720</v>
      </c>
      <c r="E2175" s="98" t="s">
        <v>3870</v>
      </c>
      <c r="F2175" s="98" t="n">
        <v>5</v>
      </c>
      <c r="G2175" s="98" t="s">
        <v>3871</v>
      </c>
      <c r="H2175" s="98" t="s">
        <v>3872</v>
      </c>
      <c r="I2175" s="98" t="s">
        <v>1704</v>
      </c>
      <c r="J2175" s="98" t="s">
        <v>1705</v>
      </c>
      <c r="K2175" s="98" t="s">
        <v>1706</v>
      </c>
    </row>
    <row r="2176" customFormat="false" ht="64" hidden="false" customHeight="true" outlineLevel="0" collapsed="false">
      <c r="C2176" s="98" t="s">
        <v>3958</v>
      </c>
      <c r="D2176" s="98" t="s">
        <v>1722</v>
      </c>
      <c r="E2176" s="98" t="s">
        <v>3870</v>
      </c>
      <c r="F2176" s="98" t="n">
        <v>5</v>
      </c>
      <c r="G2176" s="98" t="s">
        <v>3871</v>
      </c>
      <c r="H2176" s="98" t="s">
        <v>3872</v>
      </c>
      <c r="I2176" s="98" t="s">
        <v>1704</v>
      </c>
      <c r="J2176" s="98" t="s">
        <v>1705</v>
      </c>
      <c r="K2176" s="98" t="s">
        <v>1706</v>
      </c>
    </row>
    <row r="2177" customFormat="false" ht="64" hidden="false" customHeight="true" outlineLevel="0" collapsed="false">
      <c r="C2177" s="98" t="s">
        <v>3959</v>
      </c>
      <c r="D2177" s="98" t="s">
        <v>1724</v>
      </c>
      <c r="E2177" s="98" t="s">
        <v>3870</v>
      </c>
      <c r="F2177" s="98" t="n">
        <v>5</v>
      </c>
      <c r="G2177" s="98" t="s">
        <v>3871</v>
      </c>
      <c r="H2177" s="98" t="s">
        <v>3872</v>
      </c>
      <c r="I2177" s="98" t="s">
        <v>1704</v>
      </c>
      <c r="J2177" s="98" t="s">
        <v>1705</v>
      </c>
      <c r="K2177" s="98" t="s">
        <v>1706</v>
      </c>
    </row>
    <row r="2178" customFormat="false" ht="64" hidden="false" customHeight="true" outlineLevel="0" collapsed="false">
      <c r="C2178" s="98" t="s">
        <v>3960</v>
      </c>
      <c r="D2178" s="98" t="s">
        <v>1726</v>
      </c>
      <c r="E2178" s="98" t="s">
        <v>3870</v>
      </c>
      <c r="F2178" s="98" t="n">
        <v>5</v>
      </c>
      <c r="G2178" s="98" t="s">
        <v>3871</v>
      </c>
      <c r="H2178" s="98" t="s">
        <v>3872</v>
      </c>
      <c r="I2178" s="98" t="s">
        <v>1704</v>
      </c>
      <c r="J2178" s="98" t="s">
        <v>1705</v>
      </c>
      <c r="K2178" s="98" t="s">
        <v>1706</v>
      </c>
    </row>
    <row r="2179" customFormat="false" ht="64" hidden="false" customHeight="true" outlineLevel="0" collapsed="false">
      <c r="C2179" s="98" t="s">
        <v>3961</v>
      </c>
      <c r="D2179" s="98" t="s">
        <v>1728</v>
      </c>
      <c r="E2179" s="98" t="s">
        <v>3870</v>
      </c>
      <c r="F2179" s="98" t="n">
        <v>5</v>
      </c>
      <c r="G2179" s="98" t="s">
        <v>3871</v>
      </c>
      <c r="H2179" s="98" t="s">
        <v>3872</v>
      </c>
      <c r="I2179" s="98" t="s">
        <v>1704</v>
      </c>
      <c r="J2179" s="98" t="s">
        <v>1705</v>
      </c>
      <c r="K2179" s="98" t="s">
        <v>1706</v>
      </c>
    </row>
    <row r="2180" customFormat="false" ht="64" hidden="false" customHeight="true" outlineLevel="0" collapsed="false">
      <c r="C2180" s="98" t="s">
        <v>3962</v>
      </c>
      <c r="D2180" s="98" t="s">
        <v>1730</v>
      </c>
      <c r="E2180" s="98" t="s">
        <v>3870</v>
      </c>
      <c r="F2180" s="98" t="n">
        <v>5</v>
      </c>
      <c r="G2180" s="98" t="s">
        <v>3871</v>
      </c>
      <c r="H2180" s="98" t="s">
        <v>3872</v>
      </c>
      <c r="I2180" s="98" t="s">
        <v>1704</v>
      </c>
      <c r="J2180" s="98" t="s">
        <v>1705</v>
      </c>
      <c r="K2180" s="98" t="s">
        <v>1706</v>
      </c>
    </row>
    <row r="2181" customFormat="false" ht="64" hidden="false" customHeight="true" outlineLevel="0" collapsed="false">
      <c r="C2181" s="98" t="s">
        <v>3963</v>
      </c>
      <c r="D2181" s="98" t="s">
        <v>1732</v>
      </c>
      <c r="E2181" s="98" t="s">
        <v>3870</v>
      </c>
      <c r="F2181" s="98" t="n">
        <v>5</v>
      </c>
      <c r="G2181" s="98" t="s">
        <v>3871</v>
      </c>
      <c r="H2181" s="98" t="s">
        <v>3872</v>
      </c>
      <c r="I2181" s="98" t="s">
        <v>1704</v>
      </c>
      <c r="J2181" s="98" t="s">
        <v>1705</v>
      </c>
      <c r="K2181" s="98" t="s">
        <v>1706</v>
      </c>
    </row>
    <row r="2182" customFormat="false" ht="64" hidden="false" customHeight="true" outlineLevel="0" collapsed="false">
      <c r="C2182" s="98" t="s">
        <v>3964</v>
      </c>
      <c r="D2182" s="98" t="s">
        <v>1734</v>
      </c>
      <c r="E2182" s="98" t="s">
        <v>3870</v>
      </c>
      <c r="F2182" s="98" t="n">
        <v>5</v>
      </c>
      <c r="G2182" s="98" t="s">
        <v>3871</v>
      </c>
      <c r="H2182" s="98" t="s">
        <v>3872</v>
      </c>
      <c r="I2182" s="98" t="s">
        <v>1704</v>
      </c>
      <c r="J2182" s="98" t="s">
        <v>1705</v>
      </c>
      <c r="K2182" s="98" t="s">
        <v>1706</v>
      </c>
    </row>
    <row r="2183" customFormat="false" ht="64" hidden="false" customHeight="true" outlineLevel="0" collapsed="false">
      <c r="C2183" s="98" t="s">
        <v>3965</v>
      </c>
      <c r="D2183" s="98" t="s">
        <v>1736</v>
      </c>
      <c r="E2183" s="98" t="s">
        <v>3870</v>
      </c>
      <c r="F2183" s="98" t="n">
        <v>5</v>
      </c>
      <c r="G2183" s="98" t="s">
        <v>3871</v>
      </c>
      <c r="H2183" s="98" t="s">
        <v>3872</v>
      </c>
      <c r="I2183" s="98" t="s">
        <v>1704</v>
      </c>
      <c r="J2183" s="98" t="s">
        <v>1705</v>
      </c>
      <c r="K2183" s="98" t="s">
        <v>1706</v>
      </c>
    </row>
    <row r="2184" customFormat="false" ht="64" hidden="false" customHeight="true" outlineLevel="0" collapsed="false">
      <c r="C2184" s="98" t="s">
        <v>3966</v>
      </c>
      <c r="D2184" s="98" t="s">
        <v>1738</v>
      </c>
      <c r="E2184" s="98" t="s">
        <v>3870</v>
      </c>
      <c r="F2184" s="98" t="n">
        <v>5</v>
      </c>
      <c r="G2184" s="98" t="s">
        <v>3871</v>
      </c>
      <c r="H2184" s="98" t="s">
        <v>3872</v>
      </c>
      <c r="I2184" s="98" t="s">
        <v>1704</v>
      </c>
      <c r="J2184" s="98" t="s">
        <v>1705</v>
      </c>
      <c r="K2184" s="98" t="s">
        <v>1706</v>
      </c>
    </row>
    <row r="2185" customFormat="false" ht="64" hidden="false" customHeight="true" outlineLevel="0" collapsed="false">
      <c r="C2185" s="98" t="s">
        <v>3967</v>
      </c>
      <c r="D2185" s="98" t="s">
        <v>1740</v>
      </c>
      <c r="E2185" s="98" t="s">
        <v>3870</v>
      </c>
      <c r="F2185" s="98" t="n">
        <v>5</v>
      </c>
      <c r="G2185" s="98" t="s">
        <v>3871</v>
      </c>
      <c r="H2185" s="98" t="s">
        <v>3872</v>
      </c>
      <c r="I2185" s="98" t="s">
        <v>1704</v>
      </c>
      <c r="J2185" s="98" t="s">
        <v>1705</v>
      </c>
      <c r="K2185" s="98" t="s">
        <v>1706</v>
      </c>
    </row>
    <row r="2186" customFormat="false" ht="64" hidden="false" customHeight="true" outlineLevel="0" collapsed="false">
      <c r="C2186" s="98" t="s">
        <v>3968</v>
      </c>
      <c r="D2186" s="98" t="s">
        <v>1742</v>
      </c>
      <c r="E2186" s="98" t="s">
        <v>3870</v>
      </c>
      <c r="F2186" s="98" t="n">
        <v>5</v>
      </c>
      <c r="G2186" s="98" t="s">
        <v>3871</v>
      </c>
      <c r="H2186" s="98" t="s">
        <v>3872</v>
      </c>
      <c r="I2186" s="98" t="s">
        <v>1704</v>
      </c>
      <c r="J2186" s="98" t="s">
        <v>1705</v>
      </c>
      <c r="K2186" s="98" t="s">
        <v>1706</v>
      </c>
    </row>
    <row r="2187" customFormat="false" ht="64" hidden="false" customHeight="true" outlineLevel="0" collapsed="false">
      <c r="C2187" s="98" t="s">
        <v>3969</v>
      </c>
      <c r="D2187" s="98" t="s">
        <v>1744</v>
      </c>
      <c r="E2187" s="98" t="s">
        <v>3870</v>
      </c>
      <c r="F2187" s="98" t="n">
        <v>5</v>
      </c>
      <c r="G2187" s="98" t="s">
        <v>3871</v>
      </c>
      <c r="H2187" s="98" t="s">
        <v>3872</v>
      </c>
      <c r="I2187" s="98" t="s">
        <v>1704</v>
      </c>
      <c r="J2187" s="98" t="s">
        <v>1705</v>
      </c>
      <c r="K2187" s="98" t="s">
        <v>1706</v>
      </c>
    </row>
    <row r="2188" customFormat="false" ht="64" hidden="false" customHeight="true" outlineLevel="0" collapsed="false">
      <c r="C2188" s="98" t="s">
        <v>3970</v>
      </c>
      <c r="D2188" s="98" t="s">
        <v>1746</v>
      </c>
      <c r="E2188" s="98" t="s">
        <v>3870</v>
      </c>
      <c r="F2188" s="98" t="n">
        <v>5</v>
      </c>
      <c r="G2188" s="98" t="s">
        <v>3871</v>
      </c>
      <c r="H2188" s="98" t="s">
        <v>3872</v>
      </c>
      <c r="I2188" s="98" t="s">
        <v>1704</v>
      </c>
      <c r="J2188" s="98" t="s">
        <v>1705</v>
      </c>
      <c r="K2188" s="98" t="s">
        <v>1706</v>
      </c>
    </row>
    <row r="2189" customFormat="false" ht="64" hidden="false" customHeight="true" outlineLevel="0" collapsed="false">
      <c r="C2189" s="98" t="s">
        <v>3971</v>
      </c>
      <c r="D2189" s="98" t="s">
        <v>1748</v>
      </c>
      <c r="E2189" s="98" t="s">
        <v>3870</v>
      </c>
      <c r="F2189" s="98" t="n">
        <v>5</v>
      </c>
      <c r="G2189" s="98" t="s">
        <v>3871</v>
      </c>
      <c r="H2189" s="98" t="s">
        <v>3872</v>
      </c>
      <c r="I2189" s="98" t="s">
        <v>1704</v>
      </c>
      <c r="J2189" s="98" t="s">
        <v>1705</v>
      </c>
      <c r="K2189" s="98" t="s">
        <v>1706</v>
      </c>
    </row>
    <row r="2190" customFormat="false" ht="64" hidden="false" customHeight="true" outlineLevel="0" collapsed="false">
      <c r="C2190" s="98" t="s">
        <v>3972</v>
      </c>
      <c r="D2190" s="98" t="s">
        <v>1750</v>
      </c>
      <c r="E2190" s="98" t="s">
        <v>3870</v>
      </c>
      <c r="F2190" s="98" t="n">
        <v>5</v>
      </c>
      <c r="G2190" s="98" t="s">
        <v>3871</v>
      </c>
      <c r="H2190" s="98" t="s">
        <v>3872</v>
      </c>
      <c r="I2190" s="98" t="s">
        <v>1704</v>
      </c>
      <c r="J2190" s="98" t="s">
        <v>1705</v>
      </c>
      <c r="K2190" s="98" t="s">
        <v>1706</v>
      </c>
    </row>
    <row r="2191" customFormat="false" ht="64" hidden="false" customHeight="true" outlineLevel="0" collapsed="false">
      <c r="C2191" s="98" t="s">
        <v>3973</v>
      </c>
      <c r="D2191" s="98" t="s">
        <v>1752</v>
      </c>
      <c r="E2191" s="98" t="s">
        <v>3870</v>
      </c>
      <c r="F2191" s="98" t="n">
        <v>5</v>
      </c>
      <c r="G2191" s="98" t="s">
        <v>3871</v>
      </c>
      <c r="H2191" s="98" t="s">
        <v>3872</v>
      </c>
      <c r="I2191" s="98" t="s">
        <v>1704</v>
      </c>
      <c r="J2191" s="98" t="s">
        <v>1705</v>
      </c>
      <c r="K2191" s="98" t="s">
        <v>1706</v>
      </c>
    </row>
    <row r="2192" customFormat="false" ht="64" hidden="false" customHeight="true" outlineLevel="0" collapsed="false">
      <c r="C2192" s="98" t="s">
        <v>3974</v>
      </c>
      <c r="D2192" s="98" t="s">
        <v>1754</v>
      </c>
      <c r="E2192" s="98" t="s">
        <v>3870</v>
      </c>
      <c r="F2192" s="98" t="n">
        <v>5</v>
      </c>
      <c r="G2192" s="98" t="s">
        <v>3871</v>
      </c>
      <c r="H2192" s="98" t="s">
        <v>3872</v>
      </c>
      <c r="I2192" s="98" t="s">
        <v>1704</v>
      </c>
      <c r="J2192" s="98" t="s">
        <v>1705</v>
      </c>
      <c r="K2192" s="98" t="s">
        <v>1706</v>
      </c>
    </row>
    <row r="2193" customFormat="false" ht="64" hidden="false" customHeight="true" outlineLevel="0" collapsed="false">
      <c r="C2193" s="98" t="s">
        <v>3975</v>
      </c>
      <c r="D2193" s="98" t="s">
        <v>1756</v>
      </c>
      <c r="E2193" s="98" t="s">
        <v>3870</v>
      </c>
      <c r="F2193" s="98" t="n">
        <v>5</v>
      </c>
      <c r="G2193" s="98" t="s">
        <v>3871</v>
      </c>
      <c r="H2193" s="98" t="s">
        <v>3872</v>
      </c>
      <c r="I2193" s="98" t="s">
        <v>1704</v>
      </c>
      <c r="J2193" s="98" t="s">
        <v>1705</v>
      </c>
      <c r="K2193" s="98" t="s">
        <v>1706</v>
      </c>
    </row>
    <row r="2194" customFormat="false" ht="64" hidden="false" customHeight="true" outlineLevel="0" collapsed="false">
      <c r="C2194" s="98" t="s">
        <v>3976</v>
      </c>
      <c r="D2194" s="98" t="s">
        <v>1758</v>
      </c>
      <c r="E2194" s="98" t="s">
        <v>3870</v>
      </c>
      <c r="F2194" s="98" t="n">
        <v>5</v>
      </c>
      <c r="G2194" s="98" t="s">
        <v>3871</v>
      </c>
      <c r="H2194" s="98" t="s">
        <v>3872</v>
      </c>
      <c r="I2194" s="98" t="s">
        <v>1704</v>
      </c>
      <c r="J2194" s="98" t="s">
        <v>1705</v>
      </c>
      <c r="K2194" s="98" t="s">
        <v>1706</v>
      </c>
    </row>
    <row r="2195" customFormat="false" ht="64" hidden="false" customHeight="true" outlineLevel="0" collapsed="false">
      <c r="C2195" s="98" t="s">
        <v>3977</v>
      </c>
      <c r="D2195" s="98" t="s">
        <v>1760</v>
      </c>
      <c r="E2195" s="98" t="s">
        <v>3870</v>
      </c>
      <c r="F2195" s="98" t="n">
        <v>5</v>
      </c>
      <c r="G2195" s="98" t="s">
        <v>3871</v>
      </c>
      <c r="H2195" s="98" t="s">
        <v>3872</v>
      </c>
      <c r="I2195" s="98" t="s">
        <v>1704</v>
      </c>
      <c r="J2195" s="98" t="s">
        <v>1705</v>
      </c>
      <c r="K2195" s="98" t="s">
        <v>1706</v>
      </c>
    </row>
    <row r="2196" customFormat="false" ht="64" hidden="false" customHeight="true" outlineLevel="0" collapsed="false">
      <c r="C2196" s="98" t="s">
        <v>3978</v>
      </c>
      <c r="D2196" s="98" t="s">
        <v>1762</v>
      </c>
      <c r="E2196" s="98" t="s">
        <v>3870</v>
      </c>
      <c r="F2196" s="98" t="n">
        <v>5</v>
      </c>
      <c r="G2196" s="98" t="s">
        <v>3871</v>
      </c>
      <c r="H2196" s="98" t="s">
        <v>3872</v>
      </c>
      <c r="I2196" s="98" t="s">
        <v>1704</v>
      </c>
      <c r="J2196" s="98" t="s">
        <v>1705</v>
      </c>
      <c r="K2196" s="98" t="s">
        <v>1706</v>
      </c>
    </row>
    <row r="2197" customFormat="false" ht="64" hidden="false" customHeight="true" outlineLevel="0" collapsed="false">
      <c r="C2197" s="98" t="s">
        <v>3979</v>
      </c>
      <c r="D2197" s="98" t="s">
        <v>1764</v>
      </c>
      <c r="E2197" s="98" t="s">
        <v>3870</v>
      </c>
      <c r="F2197" s="98" t="n">
        <v>5</v>
      </c>
      <c r="G2197" s="98" t="s">
        <v>3871</v>
      </c>
      <c r="H2197" s="98" t="s">
        <v>3872</v>
      </c>
      <c r="I2197" s="98" t="s">
        <v>1704</v>
      </c>
      <c r="J2197" s="98" t="s">
        <v>1705</v>
      </c>
      <c r="K2197" s="98" t="s">
        <v>1706</v>
      </c>
    </row>
    <row r="2198" customFormat="false" ht="64" hidden="false" customHeight="true" outlineLevel="0" collapsed="false">
      <c r="C2198" s="98" t="s">
        <v>3980</v>
      </c>
      <c r="D2198" s="98" t="s">
        <v>1829</v>
      </c>
      <c r="E2198" s="98" t="s">
        <v>3870</v>
      </c>
      <c r="F2198" s="98" t="n">
        <v>5</v>
      </c>
      <c r="G2198" s="98" t="s">
        <v>3871</v>
      </c>
      <c r="H2198" s="98" t="s">
        <v>3872</v>
      </c>
      <c r="I2198" s="98" t="s">
        <v>1704</v>
      </c>
      <c r="J2198" s="98" t="s">
        <v>1705</v>
      </c>
      <c r="K2198" s="98" t="s">
        <v>1706</v>
      </c>
    </row>
    <row r="2199" customFormat="false" ht="64" hidden="false" customHeight="true" outlineLevel="0" collapsed="false">
      <c r="C2199" s="98" t="s">
        <v>3981</v>
      </c>
      <c r="D2199" s="98" t="s">
        <v>1833</v>
      </c>
      <c r="E2199" s="98" t="s">
        <v>3870</v>
      </c>
      <c r="F2199" s="98" t="n">
        <v>5</v>
      </c>
      <c r="G2199" s="98" t="s">
        <v>3871</v>
      </c>
      <c r="H2199" s="98" t="s">
        <v>3872</v>
      </c>
      <c r="I2199" s="98" t="s">
        <v>1704</v>
      </c>
      <c r="J2199" s="98" t="s">
        <v>1705</v>
      </c>
      <c r="K2199" s="98" t="s">
        <v>1706</v>
      </c>
    </row>
    <row r="2200" customFormat="false" ht="64" hidden="false" customHeight="true" outlineLevel="0" collapsed="false">
      <c r="C2200" s="98" t="s">
        <v>3982</v>
      </c>
      <c r="D2200" s="98" t="s">
        <v>1835</v>
      </c>
      <c r="E2200" s="98" t="s">
        <v>3870</v>
      </c>
      <c r="F2200" s="98" t="n">
        <v>5</v>
      </c>
      <c r="G2200" s="98" t="s">
        <v>3871</v>
      </c>
      <c r="H2200" s="98" t="s">
        <v>3872</v>
      </c>
      <c r="I2200" s="98" t="s">
        <v>1704</v>
      </c>
      <c r="J2200" s="98" t="s">
        <v>1705</v>
      </c>
      <c r="K2200" s="98" t="s">
        <v>1706</v>
      </c>
    </row>
    <row r="2201" customFormat="false" ht="64" hidden="false" customHeight="true" outlineLevel="0" collapsed="false">
      <c r="C2201" s="98" t="s">
        <v>3983</v>
      </c>
      <c r="D2201" s="98" t="s">
        <v>1044</v>
      </c>
      <c r="E2201" s="98" t="s">
        <v>3870</v>
      </c>
      <c r="F2201" s="98" t="n">
        <v>5</v>
      </c>
      <c r="G2201" s="98" t="s">
        <v>3871</v>
      </c>
      <c r="H2201" s="98" t="s">
        <v>3872</v>
      </c>
      <c r="I2201" s="98" t="s">
        <v>1704</v>
      </c>
      <c r="J2201" s="98" t="s">
        <v>1705</v>
      </c>
      <c r="K2201" s="98" t="s">
        <v>1706</v>
      </c>
    </row>
    <row r="2202" customFormat="false" ht="64" hidden="false" customHeight="true" outlineLevel="0" collapsed="false">
      <c r="C2202" s="98" t="s">
        <v>3984</v>
      </c>
      <c r="D2202" s="98" t="s">
        <v>1838</v>
      </c>
      <c r="E2202" s="98" t="s">
        <v>3870</v>
      </c>
      <c r="F2202" s="98" t="n">
        <v>5</v>
      </c>
      <c r="G2202" s="98" t="s">
        <v>3871</v>
      </c>
      <c r="H2202" s="98" t="s">
        <v>3872</v>
      </c>
      <c r="I2202" s="98" t="s">
        <v>1704</v>
      </c>
      <c r="J2202" s="98" t="s">
        <v>1705</v>
      </c>
      <c r="K2202" s="98" t="s">
        <v>1706</v>
      </c>
    </row>
    <row r="2203" customFormat="false" ht="64" hidden="false" customHeight="true" outlineLevel="0" collapsed="false">
      <c r="C2203" s="98" t="s">
        <v>3985</v>
      </c>
      <c r="D2203" s="98" t="s">
        <v>1840</v>
      </c>
      <c r="E2203" s="98" t="s">
        <v>3870</v>
      </c>
      <c r="F2203" s="98" t="n">
        <v>5</v>
      </c>
      <c r="G2203" s="98" t="s">
        <v>3871</v>
      </c>
      <c r="H2203" s="98" t="s">
        <v>3872</v>
      </c>
      <c r="I2203" s="98" t="s">
        <v>1704</v>
      </c>
      <c r="J2203" s="98" t="s">
        <v>1705</v>
      </c>
      <c r="K2203" s="98" t="s">
        <v>1706</v>
      </c>
    </row>
    <row r="2204" customFormat="false" ht="64" hidden="false" customHeight="true" outlineLevel="0" collapsed="false">
      <c r="C2204" s="98" t="s">
        <v>3986</v>
      </c>
      <c r="D2204" s="98" t="s">
        <v>1700</v>
      </c>
      <c r="E2204" s="98" t="s">
        <v>3870</v>
      </c>
      <c r="F2204" s="98" t="n">
        <v>5</v>
      </c>
      <c r="G2204" s="98" t="s">
        <v>3871</v>
      </c>
      <c r="H2204" s="98" t="s">
        <v>3872</v>
      </c>
      <c r="I2204" s="98" t="s">
        <v>1704</v>
      </c>
      <c r="J2204" s="98" t="s">
        <v>1705</v>
      </c>
      <c r="K2204" s="98" t="s">
        <v>1706</v>
      </c>
    </row>
    <row r="2205" customFormat="false" ht="64" hidden="false" customHeight="true" outlineLevel="0" collapsed="false">
      <c r="C2205" s="98" t="s">
        <v>3987</v>
      </c>
      <c r="D2205" s="98" t="s">
        <v>1708</v>
      </c>
      <c r="E2205" s="98" t="s">
        <v>3870</v>
      </c>
      <c r="F2205" s="98" t="n">
        <v>5</v>
      </c>
      <c r="G2205" s="98" t="s">
        <v>3871</v>
      </c>
      <c r="H2205" s="98" t="s">
        <v>3872</v>
      </c>
      <c r="I2205" s="98" t="s">
        <v>1704</v>
      </c>
      <c r="J2205" s="98" t="s">
        <v>1705</v>
      </c>
      <c r="K2205" s="98" t="s">
        <v>1706</v>
      </c>
    </row>
    <row r="2206" customFormat="false" ht="64" hidden="false" customHeight="true" outlineLevel="0" collapsed="false">
      <c r="C2206" s="98" t="s">
        <v>3988</v>
      </c>
      <c r="D2206" s="98" t="s">
        <v>1710</v>
      </c>
      <c r="E2206" s="98" t="s">
        <v>3870</v>
      </c>
      <c r="F2206" s="98" t="n">
        <v>5</v>
      </c>
      <c r="G2206" s="98" t="s">
        <v>3871</v>
      </c>
      <c r="H2206" s="98" t="s">
        <v>3872</v>
      </c>
      <c r="I2206" s="98" t="s">
        <v>1704</v>
      </c>
      <c r="J2206" s="98" t="s">
        <v>1705</v>
      </c>
      <c r="K2206" s="98" t="s">
        <v>1706</v>
      </c>
    </row>
    <row r="2207" customFormat="false" ht="64" hidden="false" customHeight="true" outlineLevel="0" collapsed="false">
      <c r="C2207" s="98" t="s">
        <v>3989</v>
      </c>
      <c r="D2207" s="98" t="s">
        <v>1712</v>
      </c>
      <c r="E2207" s="98" t="s">
        <v>3870</v>
      </c>
      <c r="F2207" s="98" t="n">
        <v>5</v>
      </c>
      <c r="G2207" s="98" t="s">
        <v>3871</v>
      </c>
      <c r="H2207" s="98" t="s">
        <v>3872</v>
      </c>
      <c r="I2207" s="98" t="s">
        <v>1704</v>
      </c>
      <c r="J2207" s="98" t="s">
        <v>1705</v>
      </c>
      <c r="K2207" s="98" t="s">
        <v>1706</v>
      </c>
    </row>
    <row r="2208" customFormat="false" ht="64" hidden="false" customHeight="true" outlineLevel="0" collapsed="false">
      <c r="C2208" s="98" t="s">
        <v>3990</v>
      </c>
      <c r="D2208" s="98" t="s">
        <v>1714</v>
      </c>
      <c r="E2208" s="98" t="s">
        <v>3870</v>
      </c>
      <c r="F2208" s="98" t="n">
        <v>5</v>
      </c>
      <c r="G2208" s="98" t="s">
        <v>3871</v>
      </c>
      <c r="H2208" s="98" t="s">
        <v>3872</v>
      </c>
      <c r="I2208" s="98" t="s">
        <v>1704</v>
      </c>
      <c r="J2208" s="98" t="s">
        <v>1705</v>
      </c>
      <c r="K2208" s="98" t="s">
        <v>1706</v>
      </c>
    </row>
    <row r="2209" customFormat="false" ht="64" hidden="false" customHeight="true" outlineLevel="0" collapsed="false">
      <c r="C2209" s="98" t="s">
        <v>3991</v>
      </c>
      <c r="D2209" s="98" t="s">
        <v>1716</v>
      </c>
      <c r="E2209" s="98" t="s">
        <v>3870</v>
      </c>
      <c r="F2209" s="98" t="n">
        <v>5</v>
      </c>
      <c r="G2209" s="98" t="s">
        <v>3871</v>
      </c>
      <c r="H2209" s="98" t="s">
        <v>3872</v>
      </c>
      <c r="I2209" s="98" t="s">
        <v>1704</v>
      </c>
      <c r="J2209" s="98" t="s">
        <v>1705</v>
      </c>
      <c r="K2209" s="98" t="s">
        <v>1706</v>
      </c>
    </row>
    <row r="2210" customFormat="false" ht="64" hidden="false" customHeight="true" outlineLevel="0" collapsed="false">
      <c r="C2210" s="98" t="s">
        <v>3992</v>
      </c>
      <c r="D2210" s="98" t="s">
        <v>1718</v>
      </c>
      <c r="E2210" s="98" t="s">
        <v>3870</v>
      </c>
      <c r="F2210" s="98" t="n">
        <v>5</v>
      </c>
      <c r="G2210" s="98" t="s">
        <v>3871</v>
      </c>
      <c r="H2210" s="98" t="s">
        <v>3872</v>
      </c>
      <c r="I2210" s="98" t="s">
        <v>1704</v>
      </c>
      <c r="J2210" s="98" t="s">
        <v>1705</v>
      </c>
      <c r="K2210" s="98" t="s">
        <v>1706</v>
      </c>
    </row>
    <row r="2211" customFormat="false" ht="64" hidden="false" customHeight="true" outlineLevel="0" collapsed="false">
      <c r="C2211" s="98" t="s">
        <v>3993</v>
      </c>
      <c r="D2211" s="98" t="s">
        <v>1720</v>
      </c>
      <c r="E2211" s="98" t="s">
        <v>3870</v>
      </c>
      <c r="F2211" s="98" t="n">
        <v>5</v>
      </c>
      <c r="G2211" s="98" t="s">
        <v>3871</v>
      </c>
      <c r="H2211" s="98" t="s">
        <v>3872</v>
      </c>
      <c r="I2211" s="98" t="s">
        <v>1704</v>
      </c>
      <c r="J2211" s="98" t="s">
        <v>1705</v>
      </c>
      <c r="K2211" s="98" t="s">
        <v>1706</v>
      </c>
    </row>
    <row r="2212" customFormat="false" ht="64" hidden="false" customHeight="true" outlineLevel="0" collapsed="false">
      <c r="C2212" s="98" t="s">
        <v>3994</v>
      </c>
      <c r="D2212" s="98" t="s">
        <v>1722</v>
      </c>
      <c r="E2212" s="98" t="s">
        <v>3870</v>
      </c>
      <c r="F2212" s="98" t="n">
        <v>5</v>
      </c>
      <c r="G2212" s="98" t="s">
        <v>3871</v>
      </c>
      <c r="H2212" s="98" t="s">
        <v>3872</v>
      </c>
      <c r="I2212" s="98" t="s">
        <v>1704</v>
      </c>
      <c r="J2212" s="98" t="s">
        <v>1705</v>
      </c>
      <c r="K2212" s="98" t="s">
        <v>1706</v>
      </c>
    </row>
    <row r="2213" customFormat="false" ht="64" hidden="false" customHeight="true" outlineLevel="0" collapsed="false">
      <c r="C2213" s="98" t="s">
        <v>3995</v>
      </c>
      <c r="D2213" s="98" t="s">
        <v>1724</v>
      </c>
      <c r="E2213" s="98" t="s">
        <v>3870</v>
      </c>
      <c r="F2213" s="98" t="n">
        <v>5</v>
      </c>
      <c r="G2213" s="98" t="s">
        <v>3871</v>
      </c>
      <c r="H2213" s="98" t="s">
        <v>3872</v>
      </c>
      <c r="I2213" s="98" t="s">
        <v>1704</v>
      </c>
      <c r="J2213" s="98" t="s">
        <v>1705</v>
      </c>
      <c r="K2213" s="98" t="s">
        <v>1706</v>
      </c>
    </row>
    <row r="2214" customFormat="false" ht="64" hidden="false" customHeight="true" outlineLevel="0" collapsed="false">
      <c r="C2214" s="98" t="s">
        <v>3996</v>
      </c>
      <c r="D2214" s="98" t="s">
        <v>1726</v>
      </c>
      <c r="E2214" s="98" t="s">
        <v>3870</v>
      </c>
      <c r="F2214" s="98" t="n">
        <v>5</v>
      </c>
      <c r="G2214" s="98" t="s">
        <v>3871</v>
      </c>
      <c r="H2214" s="98" t="s">
        <v>3872</v>
      </c>
      <c r="I2214" s="98" t="s">
        <v>1704</v>
      </c>
      <c r="J2214" s="98" t="s">
        <v>1705</v>
      </c>
      <c r="K2214" s="98" t="s">
        <v>1706</v>
      </c>
    </row>
    <row r="2215" customFormat="false" ht="64" hidden="false" customHeight="true" outlineLevel="0" collapsed="false">
      <c r="C2215" s="98" t="s">
        <v>3997</v>
      </c>
      <c r="D2215" s="98" t="s">
        <v>1728</v>
      </c>
      <c r="E2215" s="98" t="s">
        <v>3870</v>
      </c>
      <c r="F2215" s="98" t="n">
        <v>5</v>
      </c>
      <c r="G2215" s="98" t="s">
        <v>3871</v>
      </c>
      <c r="H2215" s="98" t="s">
        <v>3872</v>
      </c>
      <c r="I2215" s="98" t="s">
        <v>1704</v>
      </c>
      <c r="J2215" s="98" t="s">
        <v>1705</v>
      </c>
      <c r="K2215" s="98" t="s">
        <v>1706</v>
      </c>
    </row>
    <row r="2216" customFormat="false" ht="64" hidden="false" customHeight="true" outlineLevel="0" collapsed="false">
      <c r="C2216" s="98" t="s">
        <v>3998</v>
      </c>
      <c r="D2216" s="98" t="s">
        <v>1730</v>
      </c>
      <c r="E2216" s="98" t="s">
        <v>3870</v>
      </c>
      <c r="F2216" s="98" t="n">
        <v>5</v>
      </c>
      <c r="G2216" s="98" t="s">
        <v>3871</v>
      </c>
      <c r="H2216" s="98" t="s">
        <v>3872</v>
      </c>
      <c r="I2216" s="98" t="s">
        <v>1704</v>
      </c>
      <c r="J2216" s="98" t="s">
        <v>1705</v>
      </c>
      <c r="K2216" s="98" t="s">
        <v>1706</v>
      </c>
    </row>
    <row r="2217" customFormat="false" ht="64" hidden="false" customHeight="true" outlineLevel="0" collapsed="false">
      <c r="C2217" s="98" t="s">
        <v>3999</v>
      </c>
      <c r="D2217" s="98" t="s">
        <v>1732</v>
      </c>
      <c r="E2217" s="98" t="s">
        <v>3870</v>
      </c>
      <c r="F2217" s="98" t="n">
        <v>5</v>
      </c>
      <c r="G2217" s="98" t="s">
        <v>3871</v>
      </c>
      <c r="H2217" s="98" t="s">
        <v>3872</v>
      </c>
      <c r="I2217" s="98" t="s">
        <v>1704</v>
      </c>
      <c r="J2217" s="98" t="s">
        <v>1705</v>
      </c>
      <c r="K2217" s="98" t="s">
        <v>1706</v>
      </c>
    </row>
    <row r="2218" customFormat="false" ht="64" hidden="false" customHeight="true" outlineLevel="0" collapsed="false">
      <c r="C2218" s="98" t="s">
        <v>4000</v>
      </c>
      <c r="D2218" s="98" t="s">
        <v>1734</v>
      </c>
      <c r="E2218" s="98" t="s">
        <v>3870</v>
      </c>
      <c r="F2218" s="98" t="n">
        <v>5</v>
      </c>
      <c r="G2218" s="98" t="s">
        <v>3871</v>
      </c>
      <c r="H2218" s="98" t="s">
        <v>3872</v>
      </c>
      <c r="I2218" s="98" t="s">
        <v>1704</v>
      </c>
      <c r="J2218" s="98" t="s">
        <v>1705</v>
      </c>
      <c r="K2218" s="98" t="s">
        <v>1706</v>
      </c>
    </row>
    <row r="2219" customFormat="false" ht="64" hidden="false" customHeight="true" outlineLevel="0" collapsed="false">
      <c r="C2219" s="98" t="s">
        <v>4001</v>
      </c>
      <c r="D2219" s="98" t="s">
        <v>1736</v>
      </c>
      <c r="E2219" s="98" t="s">
        <v>3870</v>
      </c>
      <c r="F2219" s="98" t="n">
        <v>5</v>
      </c>
      <c r="G2219" s="98" t="s">
        <v>3871</v>
      </c>
      <c r="H2219" s="98" t="s">
        <v>3872</v>
      </c>
      <c r="I2219" s="98" t="s">
        <v>1704</v>
      </c>
      <c r="J2219" s="98" t="s">
        <v>1705</v>
      </c>
      <c r="K2219" s="98" t="s">
        <v>1706</v>
      </c>
    </row>
    <row r="2220" customFormat="false" ht="64" hidden="false" customHeight="true" outlineLevel="0" collapsed="false">
      <c r="C2220" s="98" t="s">
        <v>4002</v>
      </c>
      <c r="D2220" s="98" t="s">
        <v>1738</v>
      </c>
      <c r="E2220" s="98" t="s">
        <v>3870</v>
      </c>
      <c r="F2220" s="98" t="n">
        <v>5</v>
      </c>
      <c r="G2220" s="98" t="s">
        <v>3871</v>
      </c>
      <c r="H2220" s="98" t="s">
        <v>3872</v>
      </c>
      <c r="I2220" s="98" t="s">
        <v>1704</v>
      </c>
      <c r="J2220" s="98" t="s">
        <v>1705</v>
      </c>
      <c r="K2220" s="98" t="s">
        <v>1706</v>
      </c>
    </row>
    <row r="2221" customFormat="false" ht="64" hidden="false" customHeight="true" outlineLevel="0" collapsed="false">
      <c r="C2221" s="98" t="s">
        <v>4003</v>
      </c>
      <c r="D2221" s="98" t="s">
        <v>1740</v>
      </c>
      <c r="E2221" s="98" t="s">
        <v>3870</v>
      </c>
      <c r="F2221" s="98" t="n">
        <v>5</v>
      </c>
      <c r="G2221" s="98" t="s">
        <v>3871</v>
      </c>
      <c r="H2221" s="98" t="s">
        <v>3872</v>
      </c>
      <c r="I2221" s="98" t="s">
        <v>1704</v>
      </c>
      <c r="J2221" s="98" t="s">
        <v>1705</v>
      </c>
      <c r="K2221" s="98" t="s">
        <v>1706</v>
      </c>
    </row>
    <row r="2222" customFormat="false" ht="64" hidden="false" customHeight="true" outlineLevel="0" collapsed="false">
      <c r="C2222" s="98" t="s">
        <v>4004</v>
      </c>
      <c r="D2222" s="98" t="s">
        <v>1742</v>
      </c>
      <c r="E2222" s="98" t="s">
        <v>3870</v>
      </c>
      <c r="F2222" s="98" t="n">
        <v>5</v>
      </c>
      <c r="G2222" s="98" t="s">
        <v>3871</v>
      </c>
      <c r="H2222" s="98" t="s">
        <v>3872</v>
      </c>
      <c r="I2222" s="98" t="s">
        <v>1704</v>
      </c>
      <c r="J2222" s="98" t="s">
        <v>1705</v>
      </c>
      <c r="K2222" s="98" t="s">
        <v>1706</v>
      </c>
    </row>
    <row r="2223" customFormat="false" ht="64" hidden="false" customHeight="true" outlineLevel="0" collapsed="false">
      <c r="C2223" s="98" t="s">
        <v>4005</v>
      </c>
      <c r="D2223" s="98" t="s">
        <v>1744</v>
      </c>
      <c r="E2223" s="98" t="s">
        <v>3870</v>
      </c>
      <c r="F2223" s="98" t="n">
        <v>5</v>
      </c>
      <c r="G2223" s="98" t="s">
        <v>3871</v>
      </c>
      <c r="H2223" s="98" t="s">
        <v>3872</v>
      </c>
      <c r="I2223" s="98" t="s">
        <v>1704</v>
      </c>
      <c r="J2223" s="98" t="s">
        <v>1705</v>
      </c>
      <c r="K2223" s="98" t="s">
        <v>1706</v>
      </c>
    </row>
    <row r="2224" customFormat="false" ht="64" hidden="false" customHeight="true" outlineLevel="0" collapsed="false">
      <c r="C2224" s="98" t="s">
        <v>4006</v>
      </c>
      <c r="D2224" s="98" t="s">
        <v>1746</v>
      </c>
      <c r="E2224" s="98" t="s">
        <v>3870</v>
      </c>
      <c r="F2224" s="98" t="n">
        <v>5</v>
      </c>
      <c r="G2224" s="98" t="s">
        <v>3871</v>
      </c>
      <c r="H2224" s="98" t="s">
        <v>3872</v>
      </c>
      <c r="I2224" s="98" t="s">
        <v>1704</v>
      </c>
      <c r="J2224" s="98" t="s">
        <v>1705</v>
      </c>
      <c r="K2224" s="98" t="s">
        <v>1706</v>
      </c>
    </row>
    <row r="2225" customFormat="false" ht="64" hidden="false" customHeight="true" outlineLevel="0" collapsed="false">
      <c r="C2225" s="98" t="s">
        <v>4007</v>
      </c>
      <c r="D2225" s="98" t="s">
        <v>1748</v>
      </c>
      <c r="E2225" s="98" t="s">
        <v>3870</v>
      </c>
      <c r="F2225" s="98" t="n">
        <v>5</v>
      </c>
      <c r="G2225" s="98" t="s">
        <v>3871</v>
      </c>
      <c r="H2225" s="98" t="s">
        <v>3872</v>
      </c>
      <c r="I2225" s="98" t="s">
        <v>1704</v>
      </c>
      <c r="J2225" s="98" t="s">
        <v>1705</v>
      </c>
      <c r="K2225" s="98" t="s">
        <v>1706</v>
      </c>
    </row>
    <row r="2226" customFormat="false" ht="64" hidden="false" customHeight="true" outlineLevel="0" collapsed="false">
      <c r="C2226" s="98" t="s">
        <v>4008</v>
      </c>
      <c r="D2226" s="98" t="s">
        <v>1750</v>
      </c>
      <c r="E2226" s="98" t="s">
        <v>3870</v>
      </c>
      <c r="F2226" s="98" t="n">
        <v>5</v>
      </c>
      <c r="G2226" s="98" t="s">
        <v>3871</v>
      </c>
      <c r="H2226" s="98" t="s">
        <v>3872</v>
      </c>
      <c r="I2226" s="98" t="s">
        <v>1704</v>
      </c>
      <c r="J2226" s="98" t="s">
        <v>1705</v>
      </c>
      <c r="K2226" s="98" t="s">
        <v>1706</v>
      </c>
    </row>
    <row r="2227" customFormat="false" ht="64" hidden="false" customHeight="true" outlineLevel="0" collapsed="false">
      <c r="C2227" s="98" t="s">
        <v>4009</v>
      </c>
      <c r="D2227" s="98" t="s">
        <v>1752</v>
      </c>
      <c r="E2227" s="98" t="s">
        <v>3870</v>
      </c>
      <c r="F2227" s="98" t="n">
        <v>5</v>
      </c>
      <c r="G2227" s="98" t="s">
        <v>3871</v>
      </c>
      <c r="H2227" s="98" t="s">
        <v>3872</v>
      </c>
      <c r="I2227" s="98" t="s">
        <v>1704</v>
      </c>
      <c r="J2227" s="98" t="s">
        <v>1705</v>
      </c>
      <c r="K2227" s="98" t="s">
        <v>1706</v>
      </c>
    </row>
    <row r="2228" customFormat="false" ht="64" hidden="false" customHeight="true" outlineLevel="0" collapsed="false">
      <c r="C2228" s="98" t="s">
        <v>4010</v>
      </c>
      <c r="D2228" s="98" t="s">
        <v>1754</v>
      </c>
      <c r="E2228" s="98" t="s">
        <v>3870</v>
      </c>
      <c r="F2228" s="98" t="n">
        <v>5</v>
      </c>
      <c r="G2228" s="98" t="s">
        <v>3871</v>
      </c>
      <c r="H2228" s="98" t="s">
        <v>3872</v>
      </c>
      <c r="I2228" s="98" t="s">
        <v>1704</v>
      </c>
      <c r="J2228" s="98" t="s">
        <v>1705</v>
      </c>
      <c r="K2228" s="98" t="s">
        <v>1706</v>
      </c>
    </row>
    <row r="2229" customFormat="false" ht="64" hidden="false" customHeight="true" outlineLevel="0" collapsed="false">
      <c r="C2229" s="98" t="s">
        <v>4011</v>
      </c>
      <c r="D2229" s="98" t="s">
        <v>1756</v>
      </c>
      <c r="E2229" s="98" t="s">
        <v>3870</v>
      </c>
      <c r="F2229" s="98" t="n">
        <v>5</v>
      </c>
      <c r="G2229" s="98" t="s">
        <v>3871</v>
      </c>
      <c r="H2229" s="98" t="s">
        <v>3872</v>
      </c>
      <c r="I2229" s="98" t="s">
        <v>1704</v>
      </c>
      <c r="J2229" s="98" t="s">
        <v>1705</v>
      </c>
      <c r="K2229" s="98" t="s">
        <v>1706</v>
      </c>
    </row>
    <row r="2230" customFormat="false" ht="64" hidden="false" customHeight="true" outlineLevel="0" collapsed="false">
      <c r="C2230" s="98" t="s">
        <v>4012</v>
      </c>
      <c r="D2230" s="98" t="s">
        <v>1758</v>
      </c>
      <c r="E2230" s="98" t="s">
        <v>3870</v>
      </c>
      <c r="F2230" s="98" t="n">
        <v>5</v>
      </c>
      <c r="G2230" s="98" t="s">
        <v>3871</v>
      </c>
      <c r="H2230" s="98" t="s">
        <v>3872</v>
      </c>
      <c r="I2230" s="98" t="s">
        <v>1704</v>
      </c>
      <c r="J2230" s="98" t="s">
        <v>1705</v>
      </c>
      <c r="K2230" s="98" t="s">
        <v>1706</v>
      </c>
    </row>
    <row r="2231" customFormat="false" ht="64" hidden="false" customHeight="true" outlineLevel="0" collapsed="false">
      <c r="C2231" s="98" t="s">
        <v>4013</v>
      </c>
      <c r="D2231" s="98" t="s">
        <v>1760</v>
      </c>
      <c r="E2231" s="98" t="s">
        <v>3870</v>
      </c>
      <c r="F2231" s="98" t="n">
        <v>5</v>
      </c>
      <c r="G2231" s="98" t="s">
        <v>3871</v>
      </c>
      <c r="H2231" s="98" t="s">
        <v>3872</v>
      </c>
      <c r="I2231" s="98" t="s">
        <v>1704</v>
      </c>
      <c r="J2231" s="98" t="s">
        <v>1705</v>
      </c>
      <c r="K2231" s="98" t="s">
        <v>1706</v>
      </c>
    </row>
    <row r="2232" customFormat="false" ht="64" hidden="false" customHeight="true" outlineLevel="0" collapsed="false">
      <c r="C2232" s="98" t="s">
        <v>4014</v>
      </c>
      <c r="D2232" s="98" t="s">
        <v>1762</v>
      </c>
      <c r="E2232" s="98" t="s">
        <v>3870</v>
      </c>
      <c r="F2232" s="98" t="n">
        <v>5</v>
      </c>
      <c r="G2232" s="98" t="s">
        <v>3871</v>
      </c>
      <c r="H2232" s="98" t="s">
        <v>3872</v>
      </c>
      <c r="I2232" s="98" t="s">
        <v>1704</v>
      </c>
      <c r="J2232" s="98" t="s">
        <v>1705</v>
      </c>
      <c r="K2232" s="98" t="s">
        <v>1706</v>
      </c>
    </row>
    <row r="2233" customFormat="false" ht="64" hidden="false" customHeight="true" outlineLevel="0" collapsed="false">
      <c r="C2233" s="98" t="s">
        <v>4015</v>
      </c>
      <c r="D2233" s="98" t="s">
        <v>1764</v>
      </c>
      <c r="E2233" s="98" t="s">
        <v>3870</v>
      </c>
      <c r="F2233" s="98" t="n">
        <v>5</v>
      </c>
      <c r="G2233" s="98" t="s">
        <v>3871</v>
      </c>
      <c r="H2233" s="98" t="s">
        <v>3872</v>
      </c>
      <c r="I2233" s="98" t="s">
        <v>1704</v>
      </c>
      <c r="J2233" s="98" t="s">
        <v>1705</v>
      </c>
      <c r="K2233" s="98" t="s">
        <v>1706</v>
      </c>
    </row>
    <row r="2234" customFormat="false" ht="64" hidden="false" customHeight="true" outlineLevel="0" collapsed="false">
      <c r="C2234" s="98" t="s">
        <v>4016</v>
      </c>
      <c r="D2234" s="98" t="s">
        <v>1829</v>
      </c>
      <c r="E2234" s="98" t="s">
        <v>3870</v>
      </c>
      <c r="F2234" s="98" t="n">
        <v>5</v>
      </c>
      <c r="G2234" s="98" t="s">
        <v>3871</v>
      </c>
      <c r="H2234" s="98" t="s">
        <v>3872</v>
      </c>
      <c r="I2234" s="98" t="s">
        <v>1704</v>
      </c>
      <c r="J2234" s="98" t="s">
        <v>1705</v>
      </c>
      <c r="K2234" s="98" t="s">
        <v>1706</v>
      </c>
    </row>
    <row r="2235" customFormat="false" ht="64" hidden="false" customHeight="true" outlineLevel="0" collapsed="false">
      <c r="C2235" s="98" t="s">
        <v>4017</v>
      </c>
      <c r="D2235" s="98" t="s">
        <v>1833</v>
      </c>
      <c r="E2235" s="98" t="s">
        <v>3870</v>
      </c>
      <c r="F2235" s="98" t="n">
        <v>5</v>
      </c>
      <c r="G2235" s="98" t="s">
        <v>3871</v>
      </c>
      <c r="H2235" s="98" t="s">
        <v>3872</v>
      </c>
      <c r="I2235" s="98" t="s">
        <v>1704</v>
      </c>
      <c r="J2235" s="98" t="s">
        <v>1705</v>
      </c>
      <c r="K2235" s="98" t="s">
        <v>1706</v>
      </c>
    </row>
    <row r="2236" customFormat="false" ht="64" hidden="false" customHeight="true" outlineLevel="0" collapsed="false">
      <c r="C2236" s="98" t="s">
        <v>4018</v>
      </c>
      <c r="D2236" s="98" t="s">
        <v>1835</v>
      </c>
      <c r="E2236" s="98" t="s">
        <v>3870</v>
      </c>
      <c r="F2236" s="98" t="n">
        <v>5</v>
      </c>
      <c r="G2236" s="98" t="s">
        <v>3871</v>
      </c>
      <c r="H2236" s="98" t="s">
        <v>3872</v>
      </c>
      <c r="I2236" s="98" t="s">
        <v>1704</v>
      </c>
      <c r="J2236" s="98" t="s">
        <v>1705</v>
      </c>
      <c r="K2236" s="98" t="s">
        <v>1706</v>
      </c>
    </row>
    <row r="2237" customFormat="false" ht="64" hidden="false" customHeight="true" outlineLevel="0" collapsed="false">
      <c r="C2237" s="98" t="s">
        <v>4019</v>
      </c>
      <c r="D2237" s="98" t="s">
        <v>1044</v>
      </c>
      <c r="E2237" s="98" t="s">
        <v>3870</v>
      </c>
      <c r="F2237" s="98" t="n">
        <v>5</v>
      </c>
      <c r="G2237" s="98" t="s">
        <v>3871</v>
      </c>
      <c r="H2237" s="98" t="s">
        <v>3872</v>
      </c>
      <c r="I2237" s="98" t="s">
        <v>1704</v>
      </c>
      <c r="J2237" s="98" t="s">
        <v>1705</v>
      </c>
      <c r="K2237" s="98" t="s">
        <v>1706</v>
      </c>
    </row>
    <row r="2238" customFormat="false" ht="64" hidden="false" customHeight="true" outlineLevel="0" collapsed="false">
      <c r="C2238" s="98" t="s">
        <v>4020</v>
      </c>
      <c r="D2238" s="98" t="s">
        <v>1838</v>
      </c>
      <c r="E2238" s="98" t="s">
        <v>3870</v>
      </c>
      <c r="F2238" s="98" t="n">
        <v>5</v>
      </c>
      <c r="G2238" s="98" t="s">
        <v>3871</v>
      </c>
      <c r="H2238" s="98" t="s">
        <v>3872</v>
      </c>
      <c r="I2238" s="98" t="s">
        <v>1704</v>
      </c>
      <c r="J2238" s="98" t="s">
        <v>1705</v>
      </c>
      <c r="K2238" s="98" t="s">
        <v>1706</v>
      </c>
    </row>
    <row r="2239" customFormat="false" ht="64" hidden="false" customHeight="true" outlineLevel="0" collapsed="false">
      <c r="C2239" s="98" t="s">
        <v>4021</v>
      </c>
      <c r="D2239" s="98" t="s">
        <v>1840</v>
      </c>
      <c r="E2239" s="98" t="s">
        <v>3870</v>
      </c>
      <c r="F2239" s="98" t="n">
        <v>5</v>
      </c>
      <c r="G2239" s="98" t="s">
        <v>3871</v>
      </c>
      <c r="H2239" s="98" t="s">
        <v>3872</v>
      </c>
      <c r="I2239" s="98" t="s">
        <v>1704</v>
      </c>
      <c r="J2239" s="98" t="s">
        <v>1705</v>
      </c>
      <c r="K2239" s="98" t="s">
        <v>1706</v>
      </c>
    </row>
    <row r="2240" customFormat="false" ht="64" hidden="false" customHeight="true" outlineLevel="0" collapsed="false">
      <c r="C2240" s="98" t="s">
        <v>4022</v>
      </c>
      <c r="D2240" s="98" t="s">
        <v>1700</v>
      </c>
      <c r="E2240" s="98" t="s">
        <v>3870</v>
      </c>
      <c r="F2240" s="98" t="n">
        <v>5</v>
      </c>
      <c r="G2240" s="98" t="s">
        <v>3871</v>
      </c>
      <c r="H2240" s="98" t="s">
        <v>3872</v>
      </c>
      <c r="I2240" s="98" t="s">
        <v>1704</v>
      </c>
      <c r="J2240" s="98" t="s">
        <v>1705</v>
      </c>
      <c r="K2240" s="98" t="s">
        <v>1706</v>
      </c>
    </row>
    <row r="2241" customFormat="false" ht="64" hidden="false" customHeight="true" outlineLevel="0" collapsed="false">
      <c r="C2241" s="98" t="s">
        <v>4023</v>
      </c>
      <c r="D2241" s="98" t="s">
        <v>1708</v>
      </c>
      <c r="E2241" s="98" t="s">
        <v>3870</v>
      </c>
      <c r="F2241" s="98" t="n">
        <v>5</v>
      </c>
      <c r="G2241" s="98" t="s">
        <v>3871</v>
      </c>
      <c r="H2241" s="98" t="s">
        <v>3872</v>
      </c>
      <c r="I2241" s="98" t="s">
        <v>1704</v>
      </c>
      <c r="J2241" s="98" t="s">
        <v>1705</v>
      </c>
      <c r="K2241" s="98" t="s">
        <v>1706</v>
      </c>
    </row>
    <row r="2242" customFormat="false" ht="64" hidden="false" customHeight="true" outlineLevel="0" collapsed="false">
      <c r="C2242" s="98" t="s">
        <v>4024</v>
      </c>
      <c r="D2242" s="98" t="s">
        <v>1710</v>
      </c>
      <c r="E2242" s="98" t="s">
        <v>3870</v>
      </c>
      <c r="F2242" s="98" t="n">
        <v>5</v>
      </c>
      <c r="G2242" s="98" t="s">
        <v>3871</v>
      </c>
      <c r="H2242" s="98" t="s">
        <v>3872</v>
      </c>
      <c r="I2242" s="98" t="s">
        <v>1704</v>
      </c>
      <c r="J2242" s="98" t="s">
        <v>1705</v>
      </c>
      <c r="K2242" s="98" t="s">
        <v>1706</v>
      </c>
    </row>
    <row r="2243" customFormat="false" ht="64" hidden="false" customHeight="true" outlineLevel="0" collapsed="false">
      <c r="C2243" s="98" t="s">
        <v>4025</v>
      </c>
      <c r="D2243" s="98" t="s">
        <v>1712</v>
      </c>
      <c r="E2243" s="98" t="s">
        <v>3870</v>
      </c>
      <c r="F2243" s="98" t="n">
        <v>5</v>
      </c>
      <c r="G2243" s="98" t="s">
        <v>3871</v>
      </c>
      <c r="H2243" s="98" t="s">
        <v>3872</v>
      </c>
      <c r="I2243" s="98" t="s">
        <v>1704</v>
      </c>
      <c r="J2243" s="98" t="s">
        <v>1705</v>
      </c>
      <c r="K2243" s="98" t="s">
        <v>1706</v>
      </c>
    </row>
    <row r="2244" customFormat="false" ht="64" hidden="false" customHeight="true" outlineLevel="0" collapsed="false">
      <c r="C2244" s="98" t="s">
        <v>4026</v>
      </c>
      <c r="D2244" s="98" t="s">
        <v>1714</v>
      </c>
      <c r="E2244" s="98" t="s">
        <v>3870</v>
      </c>
      <c r="F2244" s="98" t="n">
        <v>5</v>
      </c>
      <c r="G2244" s="98" t="s">
        <v>3871</v>
      </c>
      <c r="H2244" s="98" t="s">
        <v>3872</v>
      </c>
      <c r="I2244" s="98" t="s">
        <v>1704</v>
      </c>
      <c r="J2244" s="98" t="s">
        <v>1705</v>
      </c>
      <c r="K2244" s="98" t="s">
        <v>1706</v>
      </c>
    </row>
    <row r="2245" customFormat="false" ht="64" hidden="false" customHeight="true" outlineLevel="0" collapsed="false">
      <c r="C2245" s="98" t="s">
        <v>4027</v>
      </c>
      <c r="D2245" s="98" t="s">
        <v>1716</v>
      </c>
      <c r="E2245" s="98" t="s">
        <v>3870</v>
      </c>
      <c r="F2245" s="98" t="n">
        <v>5</v>
      </c>
      <c r="G2245" s="98" t="s">
        <v>3871</v>
      </c>
      <c r="H2245" s="98" t="s">
        <v>3872</v>
      </c>
      <c r="I2245" s="98" t="s">
        <v>1704</v>
      </c>
      <c r="J2245" s="98" t="s">
        <v>1705</v>
      </c>
      <c r="K2245" s="98" t="s">
        <v>1706</v>
      </c>
    </row>
    <row r="2246" customFormat="false" ht="64" hidden="false" customHeight="true" outlineLevel="0" collapsed="false">
      <c r="C2246" s="98" t="s">
        <v>4028</v>
      </c>
      <c r="D2246" s="98" t="s">
        <v>1718</v>
      </c>
      <c r="E2246" s="98" t="s">
        <v>3870</v>
      </c>
      <c r="F2246" s="98" t="n">
        <v>5</v>
      </c>
      <c r="G2246" s="98" t="s">
        <v>3871</v>
      </c>
      <c r="H2246" s="98" t="s">
        <v>3872</v>
      </c>
      <c r="I2246" s="98" t="s">
        <v>1704</v>
      </c>
      <c r="J2246" s="98" t="s">
        <v>1705</v>
      </c>
      <c r="K2246" s="98" t="s">
        <v>1706</v>
      </c>
    </row>
    <row r="2247" customFormat="false" ht="64" hidden="false" customHeight="true" outlineLevel="0" collapsed="false">
      <c r="C2247" s="98" t="s">
        <v>4029</v>
      </c>
      <c r="D2247" s="98" t="s">
        <v>1720</v>
      </c>
      <c r="E2247" s="98" t="s">
        <v>3870</v>
      </c>
      <c r="F2247" s="98" t="n">
        <v>5</v>
      </c>
      <c r="G2247" s="98" t="s">
        <v>3871</v>
      </c>
      <c r="H2247" s="98" t="s">
        <v>3872</v>
      </c>
      <c r="I2247" s="98" t="s">
        <v>1704</v>
      </c>
      <c r="J2247" s="98" t="s">
        <v>1705</v>
      </c>
      <c r="K2247" s="98" t="s">
        <v>1706</v>
      </c>
    </row>
    <row r="2248" customFormat="false" ht="64" hidden="false" customHeight="true" outlineLevel="0" collapsed="false">
      <c r="C2248" s="98" t="s">
        <v>4030</v>
      </c>
      <c r="D2248" s="98" t="s">
        <v>1722</v>
      </c>
      <c r="E2248" s="98" t="s">
        <v>3870</v>
      </c>
      <c r="F2248" s="98" t="n">
        <v>5</v>
      </c>
      <c r="G2248" s="98" t="s">
        <v>3871</v>
      </c>
      <c r="H2248" s="98" t="s">
        <v>3872</v>
      </c>
      <c r="I2248" s="98" t="s">
        <v>1704</v>
      </c>
      <c r="J2248" s="98" t="s">
        <v>1705</v>
      </c>
      <c r="K2248" s="98" t="s">
        <v>1706</v>
      </c>
    </row>
    <row r="2249" customFormat="false" ht="64" hidden="false" customHeight="true" outlineLevel="0" collapsed="false">
      <c r="C2249" s="98" t="s">
        <v>4031</v>
      </c>
      <c r="D2249" s="98" t="s">
        <v>1724</v>
      </c>
      <c r="E2249" s="98" t="s">
        <v>3870</v>
      </c>
      <c r="F2249" s="98" t="n">
        <v>5</v>
      </c>
      <c r="G2249" s="98" t="s">
        <v>3871</v>
      </c>
      <c r="H2249" s="98" t="s">
        <v>3872</v>
      </c>
      <c r="I2249" s="98" t="s">
        <v>1704</v>
      </c>
      <c r="J2249" s="98" t="s">
        <v>1705</v>
      </c>
      <c r="K2249" s="98" t="s">
        <v>1706</v>
      </c>
    </row>
    <row r="2250" customFormat="false" ht="64" hidden="false" customHeight="true" outlineLevel="0" collapsed="false">
      <c r="C2250" s="98" t="s">
        <v>4032</v>
      </c>
      <c r="D2250" s="98" t="s">
        <v>1726</v>
      </c>
      <c r="E2250" s="98" t="s">
        <v>3870</v>
      </c>
      <c r="F2250" s="98" t="n">
        <v>5</v>
      </c>
      <c r="G2250" s="98" t="s">
        <v>3871</v>
      </c>
      <c r="H2250" s="98" t="s">
        <v>3872</v>
      </c>
      <c r="I2250" s="98" t="s">
        <v>1704</v>
      </c>
      <c r="J2250" s="98" t="s">
        <v>1705</v>
      </c>
      <c r="K2250" s="98" t="s">
        <v>1706</v>
      </c>
    </row>
    <row r="2251" customFormat="false" ht="64" hidden="false" customHeight="true" outlineLevel="0" collapsed="false">
      <c r="C2251" s="98" t="s">
        <v>4033</v>
      </c>
      <c r="D2251" s="98" t="s">
        <v>1728</v>
      </c>
      <c r="E2251" s="98" t="s">
        <v>3870</v>
      </c>
      <c r="F2251" s="98" t="n">
        <v>5</v>
      </c>
      <c r="G2251" s="98" t="s">
        <v>3871</v>
      </c>
      <c r="H2251" s="98" t="s">
        <v>3872</v>
      </c>
      <c r="I2251" s="98" t="s">
        <v>1704</v>
      </c>
      <c r="J2251" s="98" t="s">
        <v>1705</v>
      </c>
      <c r="K2251" s="98" t="s">
        <v>1706</v>
      </c>
    </row>
    <row r="2252" customFormat="false" ht="64" hidden="false" customHeight="true" outlineLevel="0" collapsed="false">
      <c r="C2252" s="98" t="s">
        <v>4034</v>
      </c>
      <c r="D2252" s="98" t="s">
        <v>1730</v>
      </c>
      <c r="E2252" s="98" t="s">
        <v>3870</v>
      </c>
      <c r="F2252" s="98" t="n">
        <v>5</v>
      </c>
      <c r="G2252" s="98" t="s">
        <v>3871</v>
      </c>
      <c r="H2252" s="98" t="s">
        <v>3872</v>
      </c>
      <c r="I2252" s="98" t="s">
        <v>1704</v>
      </c>
      <c r="J2252" s="98" t="s">
        <v>1705</v>
      </c>
      <c r="K2252" s="98" t="s">
        <v>1706</v>
      </c>
    </row>
    <row r="2253" customFormat="false" ht="64" hidden="false" customHeight="true" outlineLevel="0" collapsed="false">
      <c r="C2253" s="98" t="s">
        <v>4035</v>
      </c>
      <c r="D2253" s="98" t="s">
        <v>1732</v>
      </c>
      <c r="E2253" s="98" t="s">
        <v>3870</v>
      </c>
      <c r="F2253" s="98" t="n">
        <v>5</v>
      </c>
      <c r="G2253" s="98" t="s">
        <v>3871</v>
      </c>
      <c r="H2253" s="98" t="s">
        <v>3872</v>
      </c>
      <c r="I2253" s="98" t="s">
        <v>1704</v>
      </c>
      <c r="J2253" s="98" t="s">
        <v>1705</v>
      </c>
      <c r="K2253" s="98" t="s">
        <v>1706</v>
      </c>
    </row>
    <row r="2254" customFormat="false" ht="64" hidden="false" customHeight="true" outlineLevel="0" collapsed="false">
      <c r="C2254" s="98" t="s">
        <v>4036</v>
      </c>
      <c r="D2254" s="98" t="s">
        <v>1734</v>
      </c>
      <c r="E2254" s="98" t="s">
        <v>3870</v>
      </c>
      <c r="F2254" s="98" t="n">
        <v>5</v>
      </c>
      <c r="G2254" s="98" t="s">
        <v>3871</v>
      </c>
      <c r="H2254" s="98" t="s">
        <v>3872</v>
      </c>
      <c r="I2254" s="98" t="s">
        <v>1704</v>
      </c>
      <c r="J2254" s="98" t="s">
        <v>1705</v>
      </c>
      <c r="K2254" s="98" t="s">
        <v>1706</v>
      </c>
    </row>
    <row r="2255" customFormat="false" ht="64" hidden="false" customHeight="true" outlineLevel="0" collapsed="false">
      <c r="C2255" s="98" t="s">
        <v>4037</v>
      </c>
      <c r="D2255" s="98" t="s">
        <v>1736</v>
      </c>
      <c r="E2255" s="98" t="s">
        <v>3870</v>
      </c>
      <c r="F2255" s="98" t="n">
        <v>5</v>
      </c>
      <c r="G2255" s="98" t="s">
        <v>3871</v>
      </c>
      <c r="H2255" s="98" t="s">
        <v>3872</v>
      </c>
      <c r="I2255" s="98" t="s">
        <v>1704</v>
      </c>
      <c r="J2255" s="98" t="s">
        <v>1705</v>
      </c>
      <c r="K2255" s="98" t="s">
        <v>1706</v>
      </c>
    </row>
    <row r="2256" customFormat="false" ht="64" hidden="false" customHeight="true" outlineLevel="0" collapsed="false">
      <c r="C2256" s="98" t="s">
        <v>4038</v>
      </c>
      <c r="D2256" s="98" t="s">
        <v>1738</v>
      </c>
      <c r="E2256" s="98" t="s">
        <v>3870</v>
      </c>
      <c r="F2256" s="98" t="n">
        <v>5</v>
      </c>
      <c r="G2256" s="98" t="s">
        <v>3871</v>
      </c>
      <c r="H2256" s="98" t="s">
        <v>3872</v>
      </c>
      <c r="I2256" s="98" t="s">
        <v>1704</v>
      </c>
      <c r="J2256" s="98" t="s">
        <v>1705</v>
      </c>
      <c r="K2256" s="98" t="s">
        <v>1706</v>
      </c>
    </row>
    <row r="2257" customFormat="false" ht="64" hidden="false" customHeight="true" outlineLevel="0" collapsed="false">
      <c r="C2257" s="98" t="s">
        <v>4039</v>
      </c>
      <c r="D2257" s="98" t="s">
        <v>1740</v>
      </c>
      <c r="E2257" s="98" t="s">
        <v>3870</v>
      </c>
      <c r="F2257" s="98" t="n">
        <v>5</v>
      </c>
      <c r="G2257" s="98" t="s">
        <v>3871</v>
      </c>
      <c r="H2257" s="98" t="s">
        <v>3872</v>
      </c>
      <c r="I2257" s="98" t="s">
        <v>1704</v>
      </c>
      <c r="J2257" s="98" t="s">
        <v>1705</v>
      </c>
      <c r="K2257" s="98" t="s">
        <v>1706</v>
      </c>
    </row>
    <row r="2258" customFormat="false" ht="64" hidden="false" customHeight="true" outlineLevel="0" collapsed="false">
      <c r="C2258" s="98" t="s">
        <v>4040</v>
      </c>
      <c r="D2258" s="98" t="s">
        <v>1742</v>
      </c>
      <c r="E2258" s="98" t="s">
        <v>3870</v>
      </c>
      <c r="F2258" s="98" t="n">
        <v>5</v>
      </c>
      <c r="G2258" s="98" t="s">
        <v>3871</v>
      </c>
      <c r="H2258" s="98" t="s">
        <v>3872</v>
      </c>
      <c r="I2258" s="98" t="s">
        <v>1704</v>
      </c>
      <c r="J2258" s="98" t="s">
        <v>1705</v>
      </c>
      <c r="K2258" s="98" t="s">
        <v>1706</v>
      </c>
    </row>
    <row r="2259" customFormat="false" ht="64" hidden="false" customHeight="true" outlineLevel="0" collapsed="false">
      <c r="C2259" s="98" t="s">
        <v>4041</v>
      </c>
      <c r="D2259" s="98" t="s">
        <v>1744</v>
      </c>
      <c r="E2259" s="98" t="s">
        <v>3870</v>
      </c>
      <c r="F2259" s="98" t="n">
        <v>5</v>
      </c>
      <c r="G2259" s="98" t="s">
        <v>3871</v>
      </c>
      <c r="H2259" s="98" t="s">
        <v>3872</v>
      </c>
      <c r="I2259" s="98" t="s">
        <v>1704</v>
      </c>
      <c r="J2259" s="98" t="s">
        <v>1705</v>
      </c>
      <c r="K2259" s="98" t="s">
        <v>1706</v>
      </c>
    </row>
    <row r="2260" customFormat="false" ht="64" hidden="false" customHeight="true" outlineLevel="0" collapsed="false">
      <c r="C2260" s="98" t="s">
        <v>4042</v>
      </c>
      <c r="D2260" s="98" t="s">
        <v>1746</v>
      </c>
      <c r="E2260" s="98" t="s">
        <v>3870</v>
      </c>
      <c r="F2260" s="98" t="n">
        <v>5</v>
      </c>
      <c r="G2260" s="98" t="s">
        <v>3871</v>
      </c>
      <c r="H2260" s="98" t="s">
        <v>3872</v>
      </c>
      <c r="I2260" s="98" t="s">
        <v>1704</v>
      </c>
      <c r="J2260" s="98" t="s">
        <v>1705</v>
      </c>
      <c r="K2260" s="98" t="s">
        <v>1706</v>
      </c>
    </row>
    <row r="2261" customFormat="false" ht="64" hidden="false" customHeight="true" outlineLevel="0" collapsed="false">
      <c r="C2261" s="98" t="s">
        <v>4043</v>
      </c>
      <c r="D2261" s="98" t="s">
        <v>1748</v>
      </c>
      <c r="E2261" s="98" t="s">
        <v>3870</v>
      </c>
      <c r="F2261" s="98" t="n">
        <v>5</v>
      </c>
      <c r="G2261" s="98" t="s">
        <v>3871</v>
      </c>
      <c r="H2261" s="98" t="s">
        <v>3872</v>
      </c>
      <c r="I2261" s="98" t="s">
        <v>1704</v>
      </c>
      <c r="J2261" s="98" t="s">
        <v>1705</v>
      </c>
      <c r="K2261" s="98" t="s">
        <v>1706</v>
      </c>
    </row>
    <row r="2262" customFormat="false" ht="64" hidden="false" customHeight="true" outlineLevel="0" collapsed="false">
      <c r="C2262" s="98" t="s">
        <v>4044</v>
      </c>
      <c r="D2262" s="98" t="s">
        <v>1750</v>
      </c>
      <c r="E2262" s="98" t="s">
        <v>3870</v>
      </c>
      <c r="F2262" s="98" t="n">
        <v>5</v>
      </c>
      <c r="G2262" s="98" t="s">
        <v>3871</v>
      </c>
      <c r="H2262" s="98" t="s">
        <v>3872</v>
      </c>
      <c r="I2262" s="98" t="s">
        <v>1704</v>
      </c>
      <c r="J2262" s="98" t="s">
        <v>1705</v>
      </c>
      <c r="K2262" s="98" t="s">
        <v>1706</v>
      </c>
    </row>
    <row r="2263" customFormat="false" ht="64" hidden="false" customHeight="true" outlineLevel="0" collapsed="false">
      <c r="C2263" s="98" t="s">
        <v>4045</v>
      </c>
      <c r="D2263" s="98" t="s">
        <v>1752</v>
      </c>
      <c r="E2263" s="98" t="s">
        <v>3870</v>
      </c>
      <c r="F2263" s="98" t="n">
        <v>5</v>
      </c>
      <c r="G2263" s="98" t="s">
        <v>3871</v>
      </c>
      <c r="H2263" s="98" t="s">
        <v>3872</v>
      </c>
      <c r="I2263" s="98" t="s">
        <v>1704</v>
      </c>
      <c r="J2263" s="98" t="s">
        <v>1705</v>
      </c>
      <c r="K2263" s="98" t="s">
        <v>1706</v>
      </c>
    </row>
    <row r="2264" customFormat="false" ht="64" hidden="false" customHeight="true" outlineLevel="0" collapsed="false">
      <c r="C2264" s="98" t="s">
        <v>4046</v>
      </c>
      <c r="D2264" s="98" t="s">
        <v>1754</v>
      </c>
      <c r="E2264" s="98" t="s">
        <v>3870</v>
      </c>
      <c r="F2264" s="98" t="n">
        <v>5</v>
      </c>
      <c r="G2264" s="98" t="s">
        <v>3871</v>
      </c>
      <c r="H2264" s="98" t="s">
        <v>3872</v>
      </c>
      <c r="I2264" s="98" t="s">
        <v>1704</v>
      </c>
      <c r="J2264" s="98" t="s">
        <v>1705</v>
      </c>
      <c r="K2264" s="98" t="s">
        <v>1706</v>
      </c>
    </row>
    <row r="2265" customFormat="false" ht="64" hidden="false" customHeight="true" outlineLevel="0" collapsed="false">
      <c r="C2265" s="98" t="s">
        <v>4047</v>
      </c>
      <c r="D2265" s="98" t="s">
        <v>1756</v>
      </c>
      <c r="E2265" s="98" t="s">
        <v>3870</v>
      </c>
      <c r="F2265" s="98" t="n">
        <v>5</v>
      </c>
      <c r="G2265" s="98" t="s">
        <v>3871</v>
      </c>
      <c r="H2265" s="98" t="s">
        <v>3872</v>
      </c>
      <c r="I2265" s="98" t="s">
        <v>1704</v>
      </c>
      <c r="J2265" s="98" t="s">
        <v>1705</v>
      </c>
      <c r="K2265" s="98" t="s">
        <v>1706</v>
      </c>
    </row>
    <row r="2266" customFormat="false" ht="64" hidden="false" customHeight="true" outlineLevel="0" collapsed="false">
      <c r="C2266" s="98" t="s">
        <v>4048</v>
      </c>
      <c r="D2266" s="98" t="s">
        <v>1758</v>
      </c>
      <c r="E2266" s="98" t="s">
        <v>3870</v>
      </c>
      <c r="F2266" s="98" t="n">
        <v>5</v>
      </c>
      <c r="G2266" s="98" t="s">
        <v>3871</v>
      </c>
      <c r="H2266" s="98" t="s">
        <v>3872</v>
      </c>
      <c r="I2266" s="98" t="s">
        <v>1704</v>
      </c>
      <c r="J2266" s="98" t="s">
        <v>1705</v>
      </c>
      <c r="K2266" s="98" t="s">
        <v>1706</v>
      </c>
    </row>
    <row r="2267" customFormat="false" ht="64" hidden="false" customHeight="true" outlineLevel="0" collapsed="false">
      <c r="C2267" s="98" t="s">
        <v>4049</v>
      </c>
      <c r="D2267" s="98" t="s">
        <v>1760</v>
      </c>
      <c r="E2267" s="98" t="s">
        <v>3870</v>
      </c>
      <c r="F2267" s="98" t="n">
        <v>5</v>
      </c>
      <c r="G2267" s="98" t="s">
        <v>3871</v>
      </c>
      <c r="H2267" s="98" t="s">
        <v>3872</v>
      </c>
      <c r="I2267" s="98" t="s">
        <v>1704</v>
      </c>
      <c r="J2267" s="98" t="s">
        <v>1705</v>
      </c>
      <c r="K2267" s="98" t="s">
        <v>1706</v>
      </c>
    </row>
    <row r="2268" customFormat="false" ht="64" hidden="false" customHeight="true" outlineLevel="0" collapsed="false">
      <c r="C2268" s="98" t="s">
        <v>4050</v>
      </c>
      <c r="D2268" s="98" t="s">
        <v>1762</v>
      </c>
      <c r="E2268" s="98" t="s">
        <v>3870</v>
      </c>
      <c r="F2268" s="98" t="n">
        <v>5</v>
      </c>
      <c r="G2268" s="98" t="s">
        <v>3871</v>
      </c>
      <c r="H2268" s="98" t="s">
        <v>3872</v>
      </c>
      <c r="I2268" s="98" t="s">
        <v>1704</v>
      </c>
      <c r="J2268" s="98" t="s">
        <v>1705</v>
      </c>
      <c r="K2268" s="98" t="s">
        <v>1706</v>
      </c>
    </row>
    <row r="2269" customFormat="false" ht="64" hidden="false" customHeight="true" outlineLevel="0" collapsed="false">
      <c r="C2269" s="98" t="s">
        <v>4051</v>
      </c>
      <c r="D2269" s="98" t="s">
        <v>1764</v>
      </c>
      <c r="E2269" s="98" t="s">
        <v>3870</v>
      </c>
      <c r="F2269" s="98" t="n">
        <v>5</v>
      </c>
      <c r="G2269" s="98" t="s">
        <v>3871</v>
      </c>
      <c r="H2269" s="98" t="s">
        <v>3872</v>
      </c>
      <c r="I2269" s="98" t="s">
        <v>1704</v>
      </c>
      <c r="J2269" s="98" t="s">
        <v>1705</v>
      </c>
      <c r="K2269" s="98" t="s">
        <v>1706</v>
      </c>
    </row>
    <row r="2270" customFormat="false" ht="64" hidden="false" customHeight="true" outlineLevel="0" collapsed="false">
      <c r="C2270" s="98" t="s">
        <v>4052</v>
      </c>
      <c r="D2270" s="98" t="s">
        <v>1829</v>
      </c>
      <c r="E2270" s="98" t="s">
        <v>3870</v>
      </c>
      <c r="F2270" s="98" t="n">
        <v>10</v>
      </c>
      <c r="G2270" s="98" t="s">
        <v>3871</v>
      </c>
      <c r="H2270" s="98" t="s">
        <v>3872</v>
      </c>
      <c r="I2270" s="98" t="s">
        <v>1704</v>
      </c>
      <c r="J2270" s="98" t="s">
        <v>1705</v>
      </c>
      <c r="K2270" s="98" t="s">
        <v>1706</v>
      </c>
    </row>
    <row r="2271" customFormat="false" ht="64" hidden="false" customHeight="true" outlineLevel="0" collapsed="false">
      <c r="C2271" s="98" t="s">
        <v>4053</v>
      </c>
      <c r="D2271" s="98" t="s">
        <v>1833</v>
      </c>
      <c r="E2271" s="98" t="s">
        <v>3870</v>
      </c>
      <c r="F2271" s="98" t="n">
        <v>10</v>
      </c>
      <c r="G2271" s="98" t="s">
        <v>3871</v>
      </c>
      <c r="H2271" s="98" t="s">
        <v>3872</v>
      </c>
      <c r="I2271" s="98" t="s">
        <v>1704</v>
      </c>
      <c r="J2271" s="98" t="s">
        <v>1705</v>
      </c>
      <c r="K2271" s="98" t="s">
        <v>1706</v>
      </c>
    </row>
    <row r="2272" customFormat="false" ht="64" hidden="false" customHeight="true" outlineLevel="0" collapsed="false">
      <c r="C2272" s="98" t="s">
        <v>4054</v>
      </c>
      <c r="D2272" s="98" t="s">
        <v>1835</v>
      </c>
      <c r="E2272" s="98" t="s">
        <v>3870</v>
      </c>
      <c r="F2272" s="98" t="n">
        <v>10</v>
      </c>
      <c r="G2272" s="98" t="s">
        <v>3871</v>
      </c>
      <c r="H2272" s="98" t="s">
        <v>3872</v>
      </c>
      <c r="I2272" s="98" t="s">
        <v>1704</v>
      </c>
      <c r="J2272" s="98" t="s">
        <v>1705</v>
      </c>
      <c r="K2272" s="98" t="s">
        <v>1706</v>
      </c>
    </row>
    <row r="2273" customFormat="false" ht="64" hidden="false" customHeight="true" outlineLevel="0" collapsed="false">
      <c r="C2273" s="98" t="s">
        <v>4055</v>
      </c>
      <c r="D2273" s="98" t="s">
        <v>1044</v>
      </c>
      <c r="E2273" s="98" t="s">
        <v>3870</v>
      </c>
      <c r="F2273" s="98" t="n">
        <v>10</v>
      </c>
      <c r="G2273" s="98" t="s">
        <v>3871</v>
      </c>
      <c r="H2273" s="98" t="s">
        <v>3872</v>
      </c>
      <c r="I2273" s="98" t="s">
        <v>1704</v>
      </c>
      <c r="J2273" s="98" t="s">
        <v>1705</v>
      </c>
      <c r="K2273" s="98" t="s">
        <v>1706</v>
      </c>
    </row>
    <row r="2274" customFormat="false" ht="64" hidden="false" customHeight="true" outlineLevel="0" collapsed="false">
      <c r="C2274" s="98" t="s">
        <v>4056</v>
      </c>
      <c r="D2274" s="98" t="s">
        <v>1838</v>
      </c>
      <c r="E2274" s="98" t="s">
        <v>3870</v>
      </c>
      <c r="F2274" s="98" t="n">
        <v>10</v>
      </c>
      <c r="G2274" s="98" t="s">
        <v>3871</v>
      </c>
      <c r="H2274" s="98" t="s">
        <v>3872</v>
      </c>
      <c r="I2274" s="98" t="s">
        <v>1704</v>
      </c>
      <c r="J2274" s="98" t="s">
        <v>1705</v>
      </c>
      <c r="K2274" s="98" t="s">
        <v>1706</v>
      </c>
    </row>
    <row r="2275" customFormat="false" ht="64" hidden="false" customHeight="true" outlineLevel="0" collapsed="false">
      <c r="C2275" s="98" t="s">
        <v>4057</v>
      </c>
      <c r="D2275" s="98" t="s">
        <v>1840</v>
      </c>
      <c r="E2275" s="98" t="s">
        <v>3870</v>
      </c>
      <c r="F2275" s="98" t="n">
        <v>10</v>
      </c>
      <c r="G2275" s="98" t="s">
        <v>3871</v>
      </c>
      <c r="H2275" s="98" t="s">
        <v>3872</v>
      </c>
      <c r="I2275" s="98" t="s">
        <v>1704</v>
      </c>
      <c r="J2275" s="98" t="s">
        <v>1705</v>
      </c>
      <c r="K2275" s="98" t="s">
        <v>1706</v>
      </c>
    </row>
    <row r="2276" customFormat="false" ht="64" hidden="false" customHeight="true" outlineLevel="0" collapsed="false">
      <c r="C2276" s="98" t="s">
        <v>4058</v>
      </c>
      <c r="D2276" s="98" t="s">
        <v>1700</v>
      </c>
      <c r="E2276" s="98" t="s">
        <v>3870</v>
      </c>
      <c r="F2276" s="98" t="n">
        <v>10</v>
      </c>
      <c r="G2276" s="98" t="s">
        <v>3871</v>
      </c>
      <c r="H2276" s="98" t="s">
        <v>3872</v>
      </c>
      <c r="I2276" s="98" t="s">
        <v>1704</v>
      </c>
      <c r="J2276" s="98" t="s">
        <v>1705</v>
      </c>
      <c r="K2276" s="98" t="s">
        <v>1706</v>
      </c>
    </row>
    <row r="2277" customFormat="false" ht="64" hidden="false" customHeight="true" outlineLevel="0" collapsed="false">
      <c r="C2277" s="98" t="s">
        <v>4059</v>
      </c>
      <c r="D2277" s="98" t="s">
        <v>1708</v>
      </c>
      <c r="E2277" s="98" t="s">
        <v>3870</v>
      </c>
      <c r="F2277" s="98" t="n">
        <v>10</v>
      </c>
      <c r="G2277" s="98" t="s">
        <v>3871</v>
      </c>
      <c r="H2277" s="98" t="s">
        <v>3872</v>
      </c>
      <c r="I2277" s="98" t="s">
        <v>1704</v>
      </c>
      <c r="J2277" s="98" t="s">
        <v>1705</v>
      </c>
      <c r="K2277" s="98" t="s">
        <v>1706</v>
      </c>
    </row>
    <row r="2278" customFormat="false" ht="64" hidden="false" customHeight="true" outlineLevel="0" collapsed="false">
      <c r="C2278" s="98" t="s">
        <v>4060</v>
      </c>
      <c r="D2278" s="98" t="s">
        <v>1710</v>
      </c>
      <c r="E2278" s="98" t="s">
        <v>3870</v>
      </c>
      <c r="F2278" s="98" t="n">
        <v>10</v>
      </c>
      <c r="G2278" s="98" t="s">
        <v>3871</v>
      </c>
      <c r="H2278" s="98" t="s">
        <v>3872</v>
      </c>
      <c r="I2278" s="98" t="s">
        <v>1704</v>
      </c>
      <c r="J2278" s="98" t="s">
        <v>1705</v>
      </c>
      <c r="K2278" s="98" t="s">
        <v>1706</v>
      </c>
    </row>
    <row r="2279" customFormat="false" ht="64" hidden="false" customHeight="true" outlineLevel="0" collapsed="false">
      <c r="C2279" s="98" t="s">
        <v>4061</v>
      </c>
      <c r="D2279" s="98" t="s">
        <v>1712</v>
      </c>
      <c r="E2279" s="98" t="s">
        <v>3870</v>
      </c>
      <c r="F2279" s="98" t="n">
        <v>10</v>
      </c>
      <c r="G2279" s="98" t="s">
        <v>3871</v>
      </c>
      <c r="H2279" s="98" t="s">
        <v>3872</v>
      </c>
      <c r="I2279" s="98" t="s">
        <v>1704</v>
      </c>
      <c r="J2279" s="98" t="s">
        <v>1705</v>
      </c>
      <c r="K2279" s="98" t="s">
        <v>1706</v>
      </c>
    </row>
    <row r="2280" customFormat="false" ht="64" hidden="false" customHeight="true" outlineLevel="0" collapsed="false">
      <c r="C2280" s="98" t="s">
        <v>4062</v>
      </c>
      <c r="D2280" s="98" t="s">
        <v>1714</v>
      </c>
      <c r="E2280" s="98" t="s">
        <v>3870</v>
      </c>
      <c r="F2280" s="98" t="n">
        <v>10</v>
      </c>
      <c r="G2280" s="98" t="s">
        <v>3871</v>
      </c>
      <c r="H2280" s="98" t="s">
        <v>3872</v>
      </c>
      <c r="I2280" s="98" t="s">
        <v>1704</v>
      </c>
      <c r="J2280" s="98" t="s">
        <v>1705</v>
      </c>
      <c r="K2280" s="98" t="s">
        <v>1706</v>
      </c>
    </row>
    <row r="2281" customFormat="false" ht="64" hidden="false" customHeight="true" outlineLevel="0" collapsed="false">
      <c r="C2281" s="98" t="s">
        <v>4063</v>
      </c>
      <c r="D2281" s="98" t="s">
        <v>1716</v>
      </c>
      <c r="E2281" s="98" t="s">
        <v>3870</v>
      </c>
      <c r="F2281" s="98" t="n">
        <v>10</v>
      </c>
      <c r="G2281" s="98" t="s">
        <v>3871</v>
      </c>
      <c r="H2281" s="98" t="s">
        <v>3872</v>
      </c>
      <c r="I2281" s="98" t="s">
        <v>1704</v>
      </c>
      <c r="J2281" s="98" t="s">
        <v>1705</v>
      </c>
      <c r="K2281" s="98" t="s">
        <v>1706</v>
      </c>
    </row>
    <row r="2282" customFormat="false" ht="64" hidden="false" customHeight="true" outlineLevel="0" collapsed="false">
      <c r="C2282" s="98" t="s">
        <v>4064</v>
      </c>
      <c r="D2282" s="98" t="s">
        <v>1718</v>
      </c>
      <c r="E2282" s="98" t="s">
        <v>3870</v>
      </c>
      <c r="F2282" s="98" t="n">
        <v>10</v>
      </c>
      <c r="G2282" s="98" t="s">
        <v>3871</v>
      </c>
      <c r="H2282" s="98" t="s">
        <v>3872</v>
      </c>
      <c r="I2282" s="98" t="s">
        <v>1704</v>
      </c>
      <c r="J2282" s="98" t="s">
        <v>1705</v>
      </c>
      <c r="K2282" s="98" t="s">
        <v>1706</v>
      </c>
    </row>
    <row r="2283" customFormat="false" ht="64" hidden="false" customHeight="true" outlineLevel="0" collapsed="false">
      <c r="C2283" s="98" t="s">
        <v>4065</v>
      </c>
      <c r="D2283" s="98" t="s">
        <v>1720</v>
      </c>
      <c r="E2283" s="98" t="s">
        <v>3870</v>
      </c>
      <c r="F2283" s="98" t="n">
        <v>10</v>
      </c>
      <c r="G2283" s="98" t="s">
        <v>3871</v>
      </c>
      <c r="H2283" s="98" t="s">
        <v>3872</v>
      </c>
      <c r="I2283" s="98" t="s">
        <v>1704</v>
      </c>
      <c r="J2283" s="98" t="s">
        <v>1705</v>
      </c>
      <c r="K2283" s="98" t="s">
        <v>1706</v>
      </c>
    </row>
    <row r="2284" customFormat="false" ht="64" hidden="false" customHeight="true" outlineLevel="0" collapsed="false">
      <c r="C2284" s="98" t="s">
        <v>4066</v>
      </c>
      <c r="D2284" s="98" t="s">
        <v>1722</v>
      </c>
      <c r="E2284" s="98" t="s">
        <v>3870</v>
      </c>
      <c r="F2284" s="98" t="n">
        <v>10</v>
      </c>
      <c r="G2284" s="98" t="s">
        <v>3871</v>
      </c>
      <c r="H2284" s="98" t="s">
        <v>3872</v>
      </c>
      <c r="I2284" s="98" t="s">
        <v>1704</v>
      </c>
      <c r="J2284" s="98" t="s">
        <v>1705</v>
      </c>
      <c r="K2284" s="98" t="s">
        <v>1706</v>
      </c>
    </row>
    <row r="2285" customFormat="false" ht="64" hidden="false" customHeight="true" outlineLevel="0" collapsed="false">
      <c r="C2285" s="98" t="s">
        <v>4067</v>
      </c>
      <c r="D2285" s="98" t="s">
        <v>1724</v>
      </c>
      <c r="E2285" s="98" t="s">
        <v>3870</v>
      </c>
      <c r="F2285" s="98" t="n">
        <v>10</v>
      </c>
      <c r="G2285" s="98" t="s">
        <v>3871</v>
      </c>
      <c r="H2285" s="98" t="s">
        <v>3872</v>
      </c>
      <c r="I2285" s="98" t="s">
        <v>1704</v>
      </c>
      <c r="J2285" s="98" t="s">
        <v>1705</v>
      </c>
      <c r="K2285" s="98" t="s">
        <v>1706</v>
      </c>
    </row>
    <row r="2286" customFormat="false" ht="64" hidden="false" customHeight="true" outlineLevel="0" collapsed="false">
      <c r="C2286" s="98" t="s">
        <v>4068</v>
      </c>
      <c r="D2286" s="98" t="s">
        <v>1726</v>
      </c>
      <c r="E2286" s="98" t="s">
        <v>3870</v>
      </c>
      <c r="F2286" s="98" t="n">
        <v>10</v>
      </c>
      <c r="G2286" s="98" t="s">
        <v>3871</v>
      </c>
      <c r="H2286" s="98" t="s">
        <v>3872</v>
      </c>
      <c r="I2286" s="98" t="s">
        <v>1704</v>
      </c>
      <c r="J2286" s="98" t="s">
        <v>1705</v>
      </c>
      <c r="K2286" s="98" t="s">
        <v>1706</v>
      </c>
    </row>
    <row r="2287" customFormat="false" ht="64" hidden="false" customHeight="true" outlineLevel="0" collapsed="false">
      <c r="C2287" s="98" t="s">
        <v>4069</v>
      </c>
      <c r="D2287" s="98" t="s">
        <v>1728</v>
      </c>
      <c r="E2287" s="98" t="s">
        <v>3870</v>
      </c>
      <c r="F2287" s="98" t="n">
        <v>10</v>
      </c>
      <c r="G2287" s="98" t="s">
        <v>3871</v>
      </c>
      <c r="H2287" s="98" t="s">
        <v>3872</v>
      </c>
      <c r="I2287" s="98" t="s">
        <v>1704</v>
      </c>
      <c r="J2287" s="98" t="s">
        <v>1705</v>
      </c>
      <c r="K2287" s="98" t="s">
        <v>1706</v>
      </c>
    </row>
    <row r="2288" customFormat="false" ht="64" hidden="false" customHeight="true" outlineLevel="0" collapsed="false">
      <c r="C2288" s="98" t="s">
        <v>4070</v>
      </c>
      <c r="D2288" s="98" t="s">
        <v>1730</v>
      </c>
      <c r="E2288" s="98" t="s">
        <v>3870</v>
      </c>
      <c r="F2288" s="98" t="n">
        <v>10</v>
      </c>
      <c r="G2288" s="98" t="s">
        <v>3871</v>
      </c>
      <c r="H2288" s="98" t="s">
        <v>3872</v>
      </c>
      <c r="I2288" s="98" t="s">
        <v>1704</v>
      </c>
      <c r="J2288" s="98" t="s">
        <v>1705</v>
      </c>
      <c r="K2288" s="98" t="s">
        <v>1706</v>
      </c>
    </row>
    <row r="2289" customFormat="false" ht="64" hidden="false" customHeight="true" outlineLevel="0" collapsed="false">
      <c r="C2289" s="98" t="s">
        <v>4071</v>
      </c>
      <c r="D2289" s="98" t="s">
        <v>1732</v>
      </c>
      <c r="E2289" s="98" t="s">
        <v>3870</v>
      </c>
      <c r="F2289" s="98" t="n">
        <v>10</v>
      </c>
      <c r="G2289" s="98" t="s">
        <v>3871</v>
      </c>
      <c r="H2289" s="98" t="s">
        <v>3872</v>
      </c>
      <c r="I2289" s="98" t="s">
        <v>1704</v>
      </c>
      <c r="J2289" s="98" t="s">
        <v>1705</v>
      </c>
      <c r="K2289" s="98" t="s">
        <v>1706</v>
      </c>
    </row>
    <row r="2290" customFormat="false" ht="64" hidden="false" customHeight="true" outlineLevel="0" collapsed="false">
      <c r="C2290" s="98" t="s">
        <v>4072</v>
      </c>
      <c r="D2290" s="98" t="s">
        <v>1734</v>
      </c>
      <c r="E2290" s="98" t="s">
        <v>3870</v>
      </c>
      <c r="F2290" s="98" t="n">
        <v>10</v>
      </c>
      <c r="G2290" s="98" t="s">
        <v>3871</v>
      </c>
      <c r="H2290" s="98" t="s">
        <v>3872</v>
      </c>
      <c r="I2290" s="98" t="s">
        <v>1704</v>
      </c>
      <c r="J2290" s="98" t="s">
        <v>1705</v>
      </c>
      <c r="K2290" s="98" t="s">
        <v>1706</v>
      </c>
    </row>
    <row r="2291" customFormat="false" ht="64" hidden="false" customHeight="true" outlineLevel="0" collapsed="false">
      <c r="C2291" s="98" t="s">
        <v>4073</v>
      </c>
      <c r="D2291" s="98" t="s">
        <v>1736</v>
      </c>
      <c r="E2291" s="98" t="s">
        <v>3870</v>
      </c>
      <c r="F2291" s="98" t="n">
        <v>10</v>
      </c>
      <c r="G2291" s="98" t="s">
        <v>3871</v>
      </c>
      <c r="H2291" s="98" t="s">
        <v>3872</v>
      </c>
      <c r="I2291" s="98" t="s">
        <v>1704</v>
      </c>
      <c r="J2291" s="98" t="s">
        <v>1705</v>
      </c>
      <c r="K2291" s="98" t="s">
        <v>1706</v>
      </c>
    </row>
    <row r="2292" customFormat="false" ht="64" hidden="false" customHeight="true" outlineLevel="0" collapsed="false">
      <c r="C2292" s="98" t="s">
        <v>4074</v>
      </c>
      <c r="D2292" s="98" t="s">
        <v>1738</v>
      </c>
      <c r="E2292" s="98" t="s">
        <v>3870</v>
      </c>
      <c r="F2292" s="98" t="n">
        <v>10</v>
      </c>
      <c r="G2292" s="98" t="s">
        <v>3871</v>
      </c>
      <c r="H2292" s="98" t="s">
        <v>3872</v>
      </c>
      <c r="I2292" s="98" t="s">
        <v>1704</v>
      </c>
      <c r="J2292" s="98" t="s">
        <v>1705</v>
      </c>
      <c r="K2292" s="98" t="s">
        <v>1706</v>
      </c>
    </row>
    <row r="2293" customFormat="false" ht="64" hidden="false" customHeight="true" outlineLevel="0" collapsed="false">
      <c r="C2293" s="98" t="s">
        <v>4075</v>
      </c>
      <c r="D2293" s="98" t="s">
        <v>1740</v>
      </c>
      <c r="E2293" s="98" t="s">
        <v>3870</v>
      </c>
      <c r="F2293" s="98" t="n">
        <v>10</v>
      </c>
      <c r="G2293" s="98" t="s">
        <v>3871</v>
      </c>
      <c r="H2293" s="98" t="s">
        <v>3872</v>
      </c>
      <c r="I2293" s="98" t="s">
        <v>1704</v>
      </c>
      <c r="J2293" s="98" t="s">
        <v>1705</v>
      </c>
      <c r="K2293" s="98" t="s">
        <v>1706</v>
      </c>
    </row>
    <row r="2294" customFormat="false" ht="64" hidden="false" customHeight="true" outlineLevel="0" collapsed="false">
      <c r="C2294" s="98" t="s">
        <v>4076</v>
      </c>
      <c r="D2294" s="98" t="s">
        <v>1742</v>
      </c>
      <c r="E2294" s="98" t="s">
        <v>3870</v>
      </c>
      <c r="F2294" s="98" t="n">
        <v>10</v>
      </c>
      <c r="G2294" s="98" t="s">
        <v>3871</v>
      </c>
      <c r="H2294" s="98" t="s">
        <v>3872</v>
      </c>
      <c r="I2294" s="98" t="s">
        <v>1704</v>
      </c>
      <c r="J2294" s="98" t="s">
        <v>1705</v>
      </c>
      <c r="K2294" s="98" t="s">
        <v>1706</v>
      </c>
    </row>
    <row r="2295" customFormat="false" ht="64" hidden="false" customHeight="true" outlineLevel="0" collapsed="false">
      <c r="C2295" s="98" t="s">
        <v>4077</v>
      </c>
      <c r="D2295" s="98" t="s">
        <v>1744</v>
      </c>
      <c r="E2295" s="98" t="s">
        <v>3870</v>
      </c>
      <c r="F2295" s="98" t="n">
        <v>10</v>
      </c>
      <c r="G2295" s="98" t="s">
        <v>3871</v>
      </c>
      <c r="H2295" s="98" t="s">
        <v>3872</v>
      </c>
      <c r="I2295" s="98" t="s">
        <v>1704</v>
      </c>
      <c r="J2295" s="98" t="s">
        <v>1705</v>
      </c>
      <c r="K2295" s="98" t="s">
        <v>1706</v>
      </c>
    </row>
    <row r="2296" customFormat="false" ht="64" hidden="false" customHeight="true" outlineLevel="0" collapsed="false">
      <c r="C2296" s="98" t="s">
        <v>4078</v>
      </c>
      <c r="D2296" s="98" t="s">
        <v>1746</v>
      </c>
      <c r="E2296" s="98" t="s">
        <v>3870</v>
      </c>
      <c r="F2296" s="98" t="n">
        <v>10</v>
      </c>
      <c r="G2296" s="98" t="s">
        <v>3871</v>
      </c>
      <c r="H2296" s="98" t="s">
        <v>3872</v>
      </c>
      <c r="I2296" s="98" t="s">
        <v>1704</v>
      </c>
      <c r="J2296" s="98" t="s">
        <v>1705</v>
      </c>
      <c r="K2296" s="98" t="s">
        <v>1706</v>
      </c>
    </row>
    <row r="2297" customFormat="false" ht="64" hidden="false" customHeight="true" outlineLevel="0" collapsed="false">
      <c r="C2297" s="98" t="s">
        <v>4079</v>
      </c>
      <c r="D2297" s="98" t="s">
        <v>1748</v>
      </c>
      <c r="E2297" s="98" t="s">
        <v>3870</v>
      </c>
      <c r="F2297" s="98" t="n">
        <v>10</v>
      </c>
      <c r="G2297" s="98" t="s">
        <v>3871</v>
      </c>
      <c r="H2297" s="98" t="s">
        <v>3872</v>
      </c>
      <c r="I2297" s="98" t="s">
        <v>1704</v>
      </c>
      <c r="J2297" s="98" t="s">
        <v>1705</v>
      </c>
      <c r="K2297" s="98" t="s">
        <v>1706</v>
      </c>
    </row>
    <row r="2298" customFormat="false" ht="64" hidden="false" customHeight="true" outlineLevel="0" collapsed="false">
      <c r="C2298" s="98" t="s">
        <v>4080</v>
      </c>
      <c r="D2298" s="98" t="s">
        <v>1750</v>
      </c>
      <c r="E2298" s="98" t="s">
        <v>3870</v>
      </c>
      <c r="F2298" s="98" t="n">
        <v>10</v>
      </c>
      <c r="G2298" s="98" t="s">
        <v>3871</v>
      </c>
      <c r="H2298" s="98" t="s">
        <v>3872</v>
      </c>
      <c r="I2298" s="98" t="s">
        <v>1704</v>
      </c>
      <c r="J2298" s="98" t="s">
        <v>1705</v>
      </c>
      <c r="K2298" s="98" t="s">
        <v>1706</v>
      </c>
    </row>
    <row r="2299" customFormat="false" ht="64" hidden="false" customHeight="true" outlineLevel="0" collapsed="false">
      <c r="C2299" s="98" t="s">
        <v>4081</v>
      </c>
      <c r="D2299" s="98" t="s">
        <v>1752</v>
      </c>
      <c r="E2299" s="98" t="s">
        <v>3870</v>
      </c>
      <c r="F2299" s="98" t="n">
        <v>10</v>
      </c>
      <c r="G2299" s="98" t="s">
        <v>3871</v>
      </c>
      <c r="H2299" s="98" t="s">
        <v>3872</v>
      </c>
      <c r="I2299" s="98" t="s">
        <v>1704</v>
      </c>
      <c r="J2299" s="98" t="s">
        <v>1705</v>
      </c>
      <c r="K2299" s="98" t="s">
        <v>1706</v>
      </c>
    </row>
    <row r="2300" customFormat="false" ht="64" hidden="false" customHeight="true" outlineLevel="0" collapsed="false">
      <c r="C2300" s="98" t="s">
        <v>4082</v>
      </c>
      <c r="D2300" s="98" t="s">
        <v>1754</v>
      </c>
      <c r="E2300" s="98" t="s">
        <v>3870</v>
      </c>
      <c r="F2300" s="98" t="n">
        <v>10</v>
      </c>
      <c r="G2300" s="98" t="s">
        <v>3871</v>
      </c>
      <c r="H2300" s="98" t="s">
        <v>3872</v>
      </c>
      <c r="I2300" s="98" t="s">
        <v>1704</v>
      </c>
      <c r="J2300" s="98" t="s">
        <v>1705</v>
      </c>
      <c r="K2300" s="98" t="s">
        <v>1706</v>
      </c>
    </row>
    <row r="2301" customFormat="false" ht="64" hidden="false" customHeight="true" outlineLevel="0" collapsed="false">
      <c r="C2301" s="98" t="s">
        <v>4083</v>
      </c>
      <c r="D2301" s="98" t="s">
        <v>1756</v>
      </c>
      <c r="E2301" s="98" t="s">
        <v>3870</v>
      </c>
      <c r="F2301" s="98" t="n">
        <v>10</v>
      </c>
      <c r="G2301" s="98" t="s">
        <v>3871</v>
      </c>
      <c r="H2301" s="98" t="s">
        <v>3872</v>
      </c>
      <c r="I2301" s="98" t="s">
        <v>1704</v>
      </c>
      <c r="J2301" s="98" t="s">
        <v>1705</v>
      </c>
      <c r="K2301" s="98" t="s">
        <v>1706</v>
      </c>
    </row>
    <row r="2302" customFormat="false" ht="64" hidden="false" customHeight="true" outlineLevel="0" collapsed="false">
      <c r="C2302" s="98" t="s">
        <v>4084</v>
      </c>
      <c r="D2302" s="98" t="s">
        <v>1758</v>
      </c>
      <c r="E2302" s="98" t="s">
        <v>3870</v>
      </c>
      <c r="F2302" s="98" t="n">
        <v>10</v>
      </c>
      <c r="G2302" s="98" t="s">
        <v>3871</v>
      </c>
      <c r="H2302" s="98" t="s">
        <v>3872</v>
      </c>
      <c r="I2302" s="98" t="s">
        <v>1704</v>
      </c>
      <c r="J2302" s="98" t="s">
        <v>1705</v>
      </c>
      <c r="K2302" s="98" t="s">
        <v>1706</v>
      </c>
    </row>
    <row r="2303" customFormat="false" ht="64" hidden="false" customHeight="true" outlineLevel="0" collapsed="false">
      <c r="C2303" s="98" t="s">
        <v>4085</v>
      </c>
      <c r="D2303" s="98" t="s">
        <v>1760</v>
      </c>
      <c r="E2303" s="98" t="s">
        <v>3870</v>
      </c>
      <c r="F2303" s="98" t="n">
        <v>10</v>
      </c>
      <c r="G2303" s="98" t="s">
        <v>3871</v>
      </c>
      <c r="H2303" s="98" t="s">
        <v>3872</v>
      </c>
      <c r="I2303" s="98" t="s">
        <v>1704</v>
      </c>
      <c r="J2303" s="98" t="s">
        <v>1705</v>
      </c>
      <c r="K2303" s="98" t="s">
        <v>1706</v>
      </c>
    </row>
    <row r="2304" customFormat="false" ht="64" hidden="false" customHeight="true" outlineLevel="0" collapsed="false">
      <c r="C2304" s="98" t="s">
        <v>4086</v>
      </c>
      <c r="D2304" s="98" t="s">
        <v>1762</v>
      </c>
      <c r="E2304" s="98" t="s">
        <v>3870</v>
      </c>
      <c r="F2304" s="98" t="n">
        <v>10</v>
      </c>
      <c r="G2304" s="98" t="s">
        <v>3871</v>
      </c>
      <c r="H2304" s="98" t="s">
        <v>3872</v>
      </c>
      <c r="I2304" s="98" t="s">
        <v>1704</v>
      </c>
      <c r="J2304" s="98" t="s">
        <v>1705</v>
      </c>
      <c r="K2304" s="98" t="s">
        <v>1706</v>
      </c>
    </row>
    <row r="2305" customFormat="false" ht="64" hidden="false" customHeight="true" outlineLevel="0" collapsed="false">
      <c r="C2305" s="98" t="s">
        <v>4087</v>
      </c>
      <c r="D2305" s="98" t="s">
        <v>1764</v>
      </c>
      <c r="E2305" s="98" t="s">
        <v>3870</v>
      </c>
      <c r="F2305" s="98" t="n">
        <v>10</v>
      </c>
      <c r="G2305" s="98" t="s">
        <v>3871</v>
      </c>
      <c r="H2305" s="98" t="s">
        <v>3872</v>
      </c>
      <c r="I2305" s="98" t="s">
        <v>1704</v>
      </c>
      <c r="J2305" s="98" t="s">
        <v>1705</v>
      </c>
      <c r="K2305" s="98" t="s">
        <v>1706</v>
      </c>
    </row>
    <row r="2306" customFormat="false" ht="64" hidden="false" customHeight="true" outlineLevel="0" collapsed="false">
      <c r="C2306" s="98" t="s">
        <v>4088</v>
      </c>
      <c r="D2306" s="98" t="s">
        <v>1829</v>
      </c>
      <c r="E2306" s="98" t="s">
        <v>3870</v>
      </c>
      <c r="F2306" s="98" t="n">
        <v>3</v>
      </c>
      <c r="G2306" s="98" t="s">
        <v>3871</v>
      </c>
      <c r="H2306" s="98" t="s">
        <v>3872</v>
      </c>
      <c r="I2306" s="98" t="s">
        <v>1704</v>
      </c>
      <c r="J2306" s="98" t="s">
        <v>1705</v>
      </c>
      <c r="K2306" s="98" t="s">
        <v>1706</v>
      </c>
    </row>
    <row r="2307" customFormat="false" ht="64" hidden="false" customHeight="true" outlineLevel="0" collapsed="false">
      <c r="C2307" s="98" t="s">
        <v>4089</v>
      </c>
      <c r="D2307" s="98" t="s">
        <v>1833</v>
      </c>
      <c r="E2307" s="98" t="s">
        <v>3870</v>
      </c>
      <c r="F2307" s="98" t="n">
        <v>3</v>
      </c>
      <c r="G2307" s="98" t="s">
        <v>3871</v>
      </c>
      <c r="H2307" s="98" t="s">
        <v>3872</v>
      </c>
      <c r="I2307" s="98" t="s">
        <v>1704</v>
      </c>
      <c r="J2307" s="98" t="s">
        <v>1705</v>
      </c>
      <c r="K2307" s="98" t="s">
        <v>1706</v>
      </c>
    </row>
    <row r="2308" customFormat="false" ht="64" hidden="false" customHeight="true" outlineLevel="0" collapsed="false">
      <c r="C2308" s="98" t="s">
        <v>4090</v>
      </c>
      <c r="D2308" s="98" t="s">
        <v>1835</v>
      </c>
      <c r="E2308" s="98" t="s">
        <v>3870</v>
      </c>
      <c r="F2308" s="98" t="n">
        <v>3</v>
      </c>
      <c r="G2308" s="98" t="s">
        <v>3871</v>
      </c>
      <c r="H2308" s="98" t="s">
        <v>3872</v>
      </c>
      <c r="I2308" s="98" t="s">
        <v>1704</v>
      </c>
      <c r="J2308" s="98" t="s">
        <v>1705</v>
      </c>
      <c r="K2308" s="98" t="s">
        <v>1706</v>
      </c>
    </row>
    <row r="2309" customFormat="false" ht="64" hidden="false" customHeight="true" outlineLevel="0" collapsed="false">
      <c r="C2309" s="98" t="s">
        <v>4091</v>
      </c>
      <c r="D2309" s="98" t="s">
        <v>1044</v>
      </c>
      <c r="E2309" s="98" t="s">
        <v>3870</v>
      </c>
      <c r="F2309" s="98" t="n">
        <v>3</v>
      </c>
      <c r="G2309" s="98" t="s">
        <v>3871</v>
      </c>
      <c r="H2309" s="98" t="s">
        <v>3872</v>
      </c>
      <c r="I2309" s="98" t="s">
        <v>1704</v>
      </c>
      <c r="J2309" s="98" t="s">
        <v>1705</v>
      </c>
      <c r="K2309" s="98" t="s">
        <v>1706</v>
      </c>
    </row>
    <row r="2310" customFormat="false" ht="64" hidden="false" customHeight="true" outlineLevel="0" collapsed="false">
      <c r="C2310" s="98" t="s">
        <v>4092</v>
      </c>
      <c r="D2310" s="98" t="s">
        <v>1838</v>
      </c>
      <c r="E2310" s="98" t="s">
        <v>3870</v>
      </c>
      <c r="F2310" s="98" t="n">
        <v>3</v>
      </c>
      <c r="G2310" s="98" t="s">
        <v>3871</v>
      </c>
      <c r="H2310" s="98" t="s">
        <v>3872</v>
      </c>
      <c r="I2310" s="98" t="s">
        <v>1704</v>
      </c>
      <c r="J2310" s="98" t="s">
        <v>1705</v>
      </c>
      <c r="K2310" s="98" t="s">
        <v>1706</v>
      </c>
    </row>
    <row r="2311" customFormat="false" ht="64" hidden="false" customHeight="true" outlineLevel="0" collapsed="false">
      <c r="C2311" s="98" t="s">
        <v>4093</v>
      </c>
      <c r="D2311" s="98" t="s">
        <v>1840</v>
      </c>
      <c r="E2311" s="98" t="s">
        <v>3870</v>
      </c>
      <c r="F2311" s="98" t="n">
        <v>3</v>
      </c>
      <c r="G2311" s="98" t="s">
        <v>3871</v>
      </c>
      <c r="H2311" s="98" t="s">
        <v>3872</v>
      </c>
      <c r="I2311" s="98" t="s">
        <v>1704</v>
      </c>
      <c r="J2311" s="98" t="s">
        <v>1705</v>
      </c>
      <c r="K2311" s="98" t="s">
        <v>1706</v>
      </c>
    </row>
    <row r="2312" customFormat="false" ht="64" hidden="false" customHeight="true" outlineLevel="0" collapsed="false">
      <c r="C2312" s="98" t="s">
        <v>4094</v>
      </c>
      <c r="D2312" s="98" t="s">
        <v>1700</v>
      </c>
      <c r="E2312" s="98" t="s">
        <v>3870</v>
      </c>
      <c r="F2312" s="98" t="n">
        <v>3</v>
      </c>
      <c r="G2312" s="98" t="s">
        <v>3871</v>
      </c>
      <c r="H2312" s="98" t="s">
        <v>3872</v>
      </c>
      <c r="I2312" s="98" t="s">
        <v>1704</v>
      </c>
      <c r="J2312" s="98" t="s">
        <v>1705</v>
      </c>
      <c r="K2312" s="98" t="s">
        <v>1706</v>
      </c>
    </row>
    <row r="2313" customFormat="false" ht="64" hidden="false" customHeight="true" outlineLevel="0" collapsed="false">
      <c r="C2313" s="98" t="s">
        <v>4095</v>
      </c>
      <c r="D2313" s="98" t="s">
        <v>1708</v>
      </c>
      <c r="E2313" s="98" t="s">
        <v>3870</v>
      </c>
      <c r="F2313" s="98" t="n">
        <v>3</v>
      </c>
      <c r="G2313" s="98" t="s">
        <v>3871</v>
      </c>
      <c r="H2313" s="98" t="s">
        <v>3872</v>
      </c>
      <c r="I2313" s="98" t="s">
        <v>1704</v>
      </c>
      <c r="J2313" s="98" t="s">
        <v>1705</v>
      </c>
      <c r="K2313" s="98" t="s">
        <v>1706</v>
      </c>
    </row>
    <row r="2314" customFormat="false" ht="64" hidden="false" customHeight="true" outlineLevel="0" collapsed="false">
      <c r="C2314" s="98" t="s">
        <v>4096</v>
      </c>
      <c r="D2314" s="98" t="s">
        <v>1710</v>
      </c>
      <c r="E2314" s="98" t="s">
        <v>3870</v>
      </c>
      <c r="F2314" s="98" t="n">
        <v>3</v>
      </c>
      <c r="G2314" s="98" t="s">
        <v>3871</v>
      </c>
      <c r="H2314" s="98" t="s">
        <v>3872</v>
      </c>
      <c r="I2314" s="98" t="s">
        <v>1704</v>
      </c>
      <c r="J2314" s="98" t="s">
        <v>1705</v>
      </c>
      <c r="K2314" s="98" t="s">
        <v>1706</v>
      </c>
    </row>
    <row r="2315" customFormat="false" ht="64" hidden="false" customHeight="true" outlineLevel="0" collapsed="false">
      <c r="C2315" s="98" t="s">
        <v>4097</v>
      </c>
      <c r="D2315" s="98" t="s">
        <v>1712</v>
      </c>
      <c r="E2315" s="98" t="s">
        <v>3870</v>
      </c>
      <c r="F2315" s="98" t="n">
        <v>3</v>
      </c>
      <c r="G2315" s="98" t="s">
        <v>3871</v>
      </c>
      <c r="H2315" s="98" t="s">
        <v>3872</v>
      </c>
      <c r="I2315" s="98" t="s">
        <v>1704</v>
      </c>
      <c r="J2315" s="98" t="s">
        <v>1705</v>
      </c>
      <c r="K2315" s="98" t="s">
        <v>1706</v>
      </c>
    </row>
    <row r="2316" customFormat="false" ht="64" hidden="false" customHeight="true" outlineLevel="0" collapsed="false">
      <c r="C2316" s="98" t="s">
        <v>4098</v>
      </c>
      <c r="D2316" s="98" t="s">
        <v>1714</v>
      </c>
      <c r="E2316" s="98" t="s">
        <v>3870</v>
      </c>
      <c r="F2316" s="98" t="n">
        <v>3</v>
      </c>
      <c r="G2316" s="98" t="s">
        <v>3871</v>
      </c>
      <c r="H2316" s="98" t="s">
        <v>3872</v>
      </c>
      <c r="I2316" s="98" t="s">
        <v>1704</v>
      </c>
      <c r="J2316" s="98" t="s">
        <v>1705</v>
      </c>
      <c r="K2316" s="98" t="s">
        <v>1706</v>
      </c>
    </row>
    <row r="2317" customFormat="false" ht="64" hidden="false" customHeight="true" outlineLevel="0" collapsed="false">
      <c r="C2317" s="98" t="s">
        <v>4099</v>
      </c>
      <c r="D2317" s="98" t="s">
        <v>1716</v>
      </c>
      <c r="E2317" s="98" t="s">
        <v>3870</v>
      </c>
      <c r="F2317" s="98" t="n">
        <v>3</v>
      </c>
      <c r="G2317" s="98" t="s">
        <v>3871</v>
      </c>
      <c r="H2317" s="98" t="s">
        <v>3872</v>
      </c>
      <c r="I2317" s="98" t="s">
        <v>1704</v>
      </c>
      <c r="J2317" s="98" t="s">
        <v>1705</v>
      </c>
      <c r="K2317" s="98" t="s">
        <v>1706</v>
      </c>
    </row>
    <row r="2318" customFormat="false" ht="64" hidden="false" customHeight="true" outlineLevel="0" collapsed="false">
      <c r="C2318" s="98" t="s">
        <v>4100</v>
      </c>
      <c r="D2318" s="98" t="s">
        <v>1718</v>
      </c>
      <c r="E2318" s="98" t="s">
        <v>3870</v>
      </c>
      <c r="F2318" s="98" t="n">
        <v>3</v>
      </c>
      <c r="G2318" s="98" t="s">
        <v>3871</v>
      </c>
      <c r="H2318" s="98" t="s">
        <v>3872</v>
      </c>
      <c r="I2318" s="98" t="s">
        <v>1704</v>
      </c>
      <c r="J2318" s="98" t="s">
        <v>1705</v>
      </c>
      <c r="K2318" s="98" t="s">
        <v>1706</v>
      </c>
    </row>
    <row r="2319" customFormat="false" ht="64" hidden="false" customHeight="true" outlineLevel="0" collapsed="false">
      <c r="C2319" s="98" t="s">
        <v>4101</v>
      </c>
      <c r="D2319" s="98" t="s">
        <v>1720</v>
      </c>
      <c r="E2319" s="98" t="s">
        <v>3870</v>
      </c>
      <c r="F2319" s="98" t="n">
        <v>3</v>
      </c>
      <c r="G2319" s="98" t="s">
        <v>3871</v>
      </c>
      <c r="H2319" s="98" t="s">
        <v>3872</v>
      </c>
      <c r="I2319" s="98" t="s">
        <v>1704</v>
      </c>
      <c r="J2319" s="98" t="s">
        <v>1705</v>
      </c>
      <c r="K2319" s="98" t="s">
        <v>1706</v>
      </c>
    </row>
    <row r="2320" customFormat="false" ht="64" hidden="false" customHeight="true" outlineLevel="0" collapsed="false">
      <c r="C2320" s="98" t="s">
        <v>4102</v>
      </c>
      <c r="D2320" s="98" t="s">
        <v>1722</v>
      </c>
      <c r="E2320" s="98" t="s">
        <v>3870</v>
      </c>
      <c r="F2320" s="98" t="n">
        <v>3</v>
      </c>
      <c r="G2320" s="98" t="s">
        <v>3871</v>
      </c>
      <c r="H2320" s="98" t="s">
        <v>3872</v>
      </c>
      <c r="I2320" s="98" t="s">
        <v>1704</v>
      </c>
      <c r="J2320" s="98" t="s">
        <v>1705</v>
      </c>
      <c r="K2320" s="98" t="s">
        <v>1706</v>
      </c>
    </row>
    <row r="2321" customFormat="false" ht="64" hidden="false" customHeight="true" outlineLevel="0" collapsed="false">
      <c r="C2321" s="98" t="s">
        <v>4103</v>
      </c>
      <c r="D2321" s="98" t="s">
        <v>1724</v>
      </c>
      <c r="E2321" s="98" t="s">
        <v>3870</v>
      </c>
      <c r="F2321" s="98" t="n">
        <v>3</v>
      </c>
      <c r="G2321" s="98" t="s">
        <v>3871</v>
      </c>
      <c r="H2321" s="98" t="s">
        <v>3872</v>
      </c>
      <c r="I2321" s="98" t="s">
        <v>1704</v>
      </c>
      <c r="J2321" s="98" t="s">
        <v>1705</v>
      </c>
      <c r="K2321" s="98" t="s">
        <v>1706</v>
      </c>
    </row>
    <row r="2322" customFormat="false" ht="64" hidden="false" customHeight="true" outlineLevel="0" collapsed="false">
      <c r="C2322" s="98" t="s">
        <v>4104</v>
      </c>
      <c r="D2322" s="98" t="s">
        <v>1726</v>
      </c>
      <c r="E2322" s="98" t="s">
        <v>3870</v>
      </c>
      <c r="F2322" s="98" t="n">
        <v>3</v>
      </c>
      <c r="G2322" s="98" t="s">
        <v>3871</v>
      </c>
      <c r="H2322" s="98" t="s">
        <v>3872</v>
      </c>
      <c r="I2322" s="98" t="s">
        <v>1704</v>
      </c>
      <c r="J2322" s="98" t="s">
        <v>1705</v>
      </c>
      <c r="K2322" s="98" t="s">
        <v>1706</v>
      </c>
    </row>
    <row r="2323" customFormat="false" ht="64" hidden="false" customHeight="true" outlineLevel="0" collapsed="false">
      <c r="C2323" s="98" t="s">
        <v>4105</v>
      </c>
      <c r="D2323" s="98" t="s">
        <v>1728</v>
      </c>
      <c r="E2323" s="98" t="s">
        <v>3870</v>
      </c>
      <c r="F2323" s="98" t="n">
        <v>3</v>
      </c>
      <c r="G2323" s="98" t="s">
        <v>3871</v>
      </c>
      <c r="H2323" s="98" t="s">
        <v>3872</v>
      </c>
      <c r="I2323" s="98" t="s">
        <v>1704</v>
      </c>
      <c r="J2323" s="98" t="s">
        <v>1705</v>
      </c>
      <c r="K2323" s="98" t="s">
        <v>1706</v>
      </c>
    </row>
    <row r="2324" customFormat="false" ht="64" hidden="false" customHeight="true" outlineLevel="0" collapsed="false">
      <c r="C2324" s="98" t="s">
        <v>4106</v>
      </c>
      <c r="D2324" s="98" t="s">
        <v>1730</v>
      </c>
      <c r="E2324" s="98" t="s">
        <v>3870</v>
      </c>
      <c r="F2324" s="98" t="n">
        <v>3</v>
      </c>
      <c r="G2324" s="98" t="s">
        <v>3871</v>
      </c>
      <c r="H2324" s="98" t="s">
        <v>3872</v>
      </c>
      <c r="I2324" s="98" t="s">
        <v>1704</v>
      </c>
      <c r="J2324" s="98" t="s">
        <v>1705</v>
      </c>
      <c r="K2324" s="98" t="s">
        <v>1706</v>
      </c>
    </row>
    <row r="2325" customFormat="false" ht="64" hidden="false" customHeight="true" outlineLevel="0" collapsed="false">
      <c r="C2325" s="98" t="s">
        <v>4107</v>
      </c>
      <c r="D2325" s="98" t="s">
        <v>1732</v>
      </c>
      <c r="E2325" s="98" t="s">
        <v>3870</v>
      </c>
      <c r="F2325" s="98" t="n">
        <v>3</v>
      </c>
      <c r="G2325" s="98" t="s">
        <v>3871</v>
      </c>
      <c r="H2325" s="98" t="s">
        <v>3872</v>
      </c>
      <c r="I2325" s="98" t="s">
        <v>1704</v>
      </c>
      <c r="J2325" s="98" t="s">
        <v>1705</v>
      </c>
      <c r="K2325" s="98" t="s">
        <v>1706</v>
      </c>
    </row>
    <row r="2326" customFormat="false" ht="64" hidden="false" customHeight="true" outlineLevel="0" collapsed="false">
      <c r="C2326" s="98" t="s">
        <v>4108</v>
      </c>
      <c r="D2326" s="98" t="s">
        <v>1734</v>
      </c>
      <c r="E2326" s="98" t="s">
        <v>3870</v>
      </c>
      <c r="F2326" s="98" t="n">
        <v>3</v>
      </c>
      <c r="G2326" s="98" t="s">
        <v>3871</v>
      </c>
      <c r="H2326" s="98" t="s">
        <v>3872</v>
      </c>
      <c r="I2326" s="98" t="s">
        <v>1704</v>
      </c>
      <c r="J2326" s="98" t="s">
        <v>1705</v>
      </c>
      <c r="K2326" s="98" t="s">
        <v>1706</v>
      </c>
    </row>
    <row r="2327" customFormat="false" ht="64" hidden="false" customHeight="true" outlineLevel="0" collapsed="false">
      <c r="C2327" s="98" t="s">
        <v>4109</v>
      </c>
      <c r="D2327" s="98" t="s">
        <v>1736</v>
      </c>
      <c r="E2327" s="98" t="s">
        <v>3870</v>
      </c>
      <c r="F2327" s="98" t="n">
        <v>3</v>
      </c>
      <c r="G2327" s="98" t="s">
        <v>3871</v>
      </c>
      <c r="H2327" s="98" t="s">
        <v>3872</v>
      </c>
      <c r="I2327" s="98" t="s">
        <v>1704</v>
      </c>
      <c r="J2327" s="98" t="s">
        <v>1705</v>
      </c>
      <c r="K2327" s="98" t="s">
        <v>1706</v>
      </c>
    </row>
    <row r="2328" customFormat="false" ht="64" hidden="false" customHeight="true" outlineLevel="0" collapsed="false">
      <c r="C2328" s="98" t="s">
        <v>4110</v>
      </c>
      <c r="D2328" s="98" t="s">
        <v>1738</v>
      </c>
      <c r="E2328" s="98" t="s">
        <v>3870</v>
      </c>
      <c r="F2328" s="98" t="n">
        <v>3</v>
      </c>
      <c r="G2328" s="98" t="s">
        <v>3871</v>
      </c>
      <c r="H2328" s="98" t="s">
        <v>3872</v>
      </c>
      <c r="I2328" s="98" t="s">
        <v>1704</v>
      </c>
      <c r="J2328" s="98" t="s">
        <v>1705</v>
      </c>
      <c r="K2328" s="98" t="s">
        <v>1706</v>
      </c>
    </row>
    <row r="2329" customFormat="false" ht="64" hidden="false" customHeight="true" outlineLevel="0" collapsed="false">
      <c r="C2329" s="98" t="s">
        <v>4111</v>
      </c>
      <c r="D2329" s="98" t="s">
        <v>1740</v>
      </c>
      <c r="E2329" s="98" t="s">
        <v>3870</v>
      </c>
      <c r="F2329" s="98" t="n">
        <v>3</v>
      </c>
      <c r="G2329" s="98" t="s">
        <v>3871</v>
      </c>
      <c r="H2329" s="98" t="s">
        <v>3872</v>
      </c>
      <c r="I2329" s="98" t="s">
        <v>1704</v>
      </c>
      <c r="J2329" s="98" t="s">
        <v>1705</v>
      </c>
      <c r="K2329" s="98" t="s">
        <v>1706</v>
      </c>
    </row>
    <row r="2330" customFormat="false" ht="64" hidden="false" customHeight="true" outlineLevel="0" collapsed="false">
      <c r="C2330" s="98" t="s">
        <v>4112</v>
      </c>
      <c r="D2330" s="98" t="s">
        <v>1742</v>
      </c>
      <c r="E2330" s="98" t="s">
        <v>3870</v>
      </c>
      <c r="F2330" s="98" t="n">
        <v>3</v>
      </c>
      <c r="G2330" s="98" t="s">
        <v>3871</v>
      </c>
      <c r="H2330" s="98" t="s">
        <v>3872</v>
      </c>
      <c r="I2330" s="98" t="s">
        <v>1704</v>
      </c>
      <c r="J2330" s="98" t="s">
        <v>1705</v>
      </c>
      <c r="K2330" s="98" t="s">
        <v>1706</v>
      </c>
    </row>
    <row r="2331" customFormat="false" ht="64" hidden="false" customHeight="true" outlineLevel="0" collapsed="false">
      <c r="C2331" s="98" t="s">
        <v>4113</v>
      </c>
      <c r="D2331" s="98" t="s">
        <v>1744</v>
      </c>
      <c r="E2331" s="98" t="s">
        <v>3870</v>
      </c>
      <c r="F2331" s="98" t="n">
        <v>3</v>
      </c>
      <c r="G2331" s="98" t="s">
        <v>3871</v>
      </c>
      <c r="H2331" s="98" t="s">
        <v>3872</v>
      </c>
      <c r="I2331" s="98" t="s">
        <v>1704</v>
      </c>
      <c r="J2331" s="98" t="s">
        <v>1705</v>
      </c>
      <c r="K2331" s="98" t="s">
        <v>1706</v>
      </c>
    </row>
    <row r="2332" customFormat="false" ht="64" hidden="false" customHeight="true" outlineLevel="0" collapsed="false">
      <c r="C2332" s="98" t="s">
        <v>4114</v>
      </c>
      <c r="D2332" s="98" t="s">
        <v>1746</v>
      </c>
      <c r="E2332" s="98" t="s">
        <v>3870</v>
      </c>
      <c r="F2332" s="98" t="n">
        <v>3</v>
      </c>
      <c r="G2332" s="98" t="s">
        <v>3871</v>
      </c>
      <c r="H2332" s="98" t="s">
        <v>3872</v>
      </c>
      <c r="I2332" s="98" t="s">
        <v>1704</v>
      </c>
      <c r="J2332" s="98" t="s">
        <v>1705</v>
      </c>
      <c r="K2332" s="98" t="s">
        <v>1706</v>
      </c>
    </row>
    <row r="2333" customFormat="false" ht="64" hidden="false" customHeight="true" outlineLevel="0" collapsed="false">
      <c r="C2333" s="98" t="s">
        <v>4115</v>
      </c>
      <c r="D2333" s="98" t="s">
        <v>1748</v>
      </c>
      <c r="E2333" s="98" t="s">
        <v>3870</v>
      </c>
      <c r="F2333" s="98" t="n">
        <v>3</v>
      </c>
      <c r="G2333" s="98" t="s">
        <v>3871</v>
      </c>
      <c r="H2333" s="98" t="s">
        <v>3872</v>
      </c>
      <c r="I2333" s="98" t="s">
        <v>1704</v>
      </c>
      <c r="J2333" s="98" t="s">
        <v>1705</v>
      </c>
      <c r="K2333" s="98" t="s">
        <v>1706</v>
      </c>
    </row>
    <row r="2334" customFormat="false" ht="64" hidden="false" customHeight="true" outlineLevel="0" collapsed="false">
      <c r="C2334" s="98" t="s">
        <v>4116</v>
      </c>
      <c r="D2334" s="98" t="s">
        <v>1750</v>
      </c>
      <c r="E2334" s="98" t="s">
        <v>3870</v>
      </c>
      <c r="F2334" s="98" t="n">
        <v>3</v>
      </c>
      <c r="G2334" s="98" t="s">
        <v>3871</v>
      </c>
      <c r="H2334" s="98" t="s">
        <v>3872</v>
      </c>
      <c r="I2334" s="98" t="s">
        <v>1704</v>
      </c>
      <c r="J2334" s="98" t="s">
        <v>1705</v>
      </c>
      <c r="K2334" s="98" t="s">
        <v>1706</v>
      </c>
    </row>
    <row r="2335" customFormat="false" ht="64" hidden="false" customHeight="true" outlineLevel="0" collapsed="false">
      <c r="C2335" s="98" t="s">
        <v>4117</v>
      </c>
      <c r="D2335" s="98" t="s">
        <v>1752</v>
      </c>
      <c r="E2335" s="98" t="s">
        <v>3870</v>
      </c>
      <c r="F2335" s="98" t="n">
        <v>3</v>
      </c>
      <c r="G2335" s="98" t="s">
        <v>3871</v>
      </c>
      <c r="H2335" s="98" t="s">
        <v>3872</v>
      </c>
      <c r="I2335" s="98" t="s">
        <v>1704</v>
      </c>
      <c r="J2335" s="98" t="s">
        <v>1705</v>
      </c>
      <c r="K2335" s="98" t="s">
        <v>1706</v>
      </c>
    </row>
    <row r="2336" customFormat="false" ht="64" hidden="false" customHeight="true" outlineLevel="0" collapsed="false">
      <c r="C2336" s="98" t="s">
        <v>4118</v>
      </c>
      <c r="D2336" s="98" t="s">
        <v>1754</v>
      </c>
      <c r="E2336" s="98" t="s">
        <v>3870</v>
      </c>
      <c r="F2336" s="98" t="n">
        <v>3</v>
      </c>
      <c r="G2336" s="98" t="s">
        <v>3871</v>
      </c>
      <c r="H2336" s="98" t="s">
        <v>3872</v>
      </c>
      <c r="I2336" s="98" t="s">
        <v>1704</v>
      </c>
      <c r="J2336" s="98" t="s">
        <v>1705</v>
      </c>
      <c r="K2336" s="98" t="s">
        <v>1706</v>
      </c>
    </row>
    <row r="2337" customFormat="false" ht="64" hidden="false" customHeight="true" outlineLevel="0" collapsed="false">
      <c r="C2337" s="98" t="s">
        <v>4119</v>
      </c>
      <c r="D2337" s="98" t="s">
        <v>1756</v>
      </c>
      <c r="E2337" s="98" t="s">
        <v>3870</v>
      </c>
      <c r="F2337" s="98" t="n">
        <v>3</v>
      </c>
      <c r="G2337" s="98" t="s">
        <v>3871</v>
      </c>
      <c r="H2337" s="98" t="s">
        <v>3872</v>
      </c>
      <c r="I2337" s="98" t="s">
        <v>1704</v>
      </c>
      <c r="J2337" s="98" t="s">
        <v>1705</v>
      </c>
      <c r="K2337" s="98" t="s">
        <v>1706</v>
      </c>
    </row>
    <row r="2338" customFormat="false" ht="64" hidden="false" customHeight="true" outlineLevel="0" collapsed="false">
      <c r="C2338" s="98" t="s">
        <v>4120</v>
      </c>
      <c r="D2338" s="98" t="s">
        <v>1758</v>
      </c>
      <c r="E2338" s="98" t="s">
        <v>3870</v>
      </c>
      <c r="F2338" s="98" t="n">
        <v>3</v>
      </c>
      <c r="G2338" s="98" t="s">
        <v>3871</v>
      </c>
      <c r="H2338" s="98" t="s">
        <v>3872</v>
      </c>
      <c r="I2338" s="98" t="s">
        <v>1704</v>
      </c>
      <c r="J2338" s="98" t="s">
        <v>1705</v>
      </c>
      <c r="K2338" s="98" t="s">
        <v>1706</v>
      </c>
    </row>
    <row r="2339" customFormat="false" ht="64" hidden="false" customHeight="true" outlineLevel="0" collapsed="false">
      <c r="C2339" s="98" t="s">
        <v>4121</v>
      </c>
      <c r="D2339" s="98" t="s">
        <v>1760</v>
      </c>
      <c r="E2339" s="98" t="s">
        <v>3870</v>
      </c>
      <c r="F2339" s="98" t="n">
        <v>3</v>
      </c>
      <c r="G2339" s="98" t="s">
        <v>3871</v>
      </c>
      <c r="H2339" s="98" t="s">
        <v>3872</v>
      </c>
      <c r="I2339" s="98" t="s">
        <v>1704</v>
      </c>
      <c r="J2339" s="98" t="s">
        <v>1705</v>
      </c>
      <c r="K2339" s="98" t="s">
        <v>1706</v>
      </c>
    </row>
    <row r="2340" customFormat="false" ht="64" hidden="false" customHeight="true" outlineLevel="0" collapsed="false">
      <c r="C2340" s="98" t="s">
        <v>4122</v>
      </c>
      <c r="D2340" s="98" t="s">
        <v>1762</v>
      </c>
      <c r="E2340" s="98" t="s">
        <v>3870</v>
      </c>
      <c r="F2340" s="98" t="n">
        <v>3</v>
      </c>
      <c r="G2340" s="98" t="s">
        <v>3871</v>
      </c>
      <c r="H2340" s="98" t="s">
        <v>3872</v>
      </c>
      <c r="I2340" s="98" t="s">
        <v>1704</v>
      </c>
      <c r="J2340" s="98" t="s">
        <v>1705</v>
      </c>
      <c r="K2340" s="98" t="s">
        <v>1706</v>
      </c>
    </row>
    <row r="2341" customFormat="false" ht="64" hidden="false" customHeight="true" outlineLevel="0" collapsed="false">
      <c r="C2341" s="98" t="s">
        <v>4123</v>
      </c>
      <c r="D2341" s="98" t="s">
        <v>1764</v>
      </c>
      <c r="E2341" s="98" t="s">
        <v>3870</v>
      </c>
      <c r="F2341" s="98" t="n">
        <v>3</v>
      </c>
      <c r="G2341" s="98" t="s">
        <v>3871</v>
      </c>
      <c r="H2341" s="98" t="s">
        <v>3872</v>
      </c>
      <c r="I2341" s="98" t="s">
        <v>1704</v>
      </c>
      <c r="J2341" s="98" t="s">
        <v>1705</v>
      </c>
      <c r="K2341" s="98" t="s">
        <v>1706</v>
      </c>
    </row>
    <row r="2342" customFormat="false" ht="64" hidden="false" customHeight="true" outlineLevel="0" collapsed="false">
      <c r="C2342" s="98" t="s">
        <v>4124</v>
      </c>
      <c r="D2342" s="98" t="s">
        <v>1829</v>
      </c>
      <c r="E2342" s="98" t="s">
        <v>835</v>
      </c>
      <c r="F2342" s="98" t="n">
        <v>0.1</v>
      </c>
      <c r="G2342" s="98" t="s">
        <v>4125</v>
      </c>
      <c r="H2342" s="98" t="s">
        <v>2250</v>
      </c>
      <c r="I2342" s="98" t="s">
        <v>1704</v>
      </c>
      <c r="J2342" s="98" t="s">
        <v>1705</v>
      </c>
      <c r="K2342" s="98" t="s">
        <v>1706</v>
      </c>
    </row>
    <row r="2343" customFormat="false" ht="64" hidden="false" customHeight="true" outlineLevel="0" collapsed="false">
      <c r="C2343" s="98" t="s">
        <v>4126</v>
      </c>
      <c r="D2343" s="98" t="s">
        <v>1833</v>
      </c>
      <c r="E2343" s="98" t="s">
        <v>835</v>
      </c>
      <c r="F2343" s="98" t="n">
        <v>0.1</v>
      </c>
      <c r="G2343" s="98" t="s">
        <v>4125</v>
      </c>
      <c r="H2343" s="98" t="s">
        <v>2250</v>
      </c>
      <c r="I2343" s="98" t="s">
        <v>1704</v>
      </c>
      <c r="J2343" s="98" t="s">
        <v>1705</v>
      </c>
      <c r="K2343" s="98" t="s">
        <v>1706</v>
      </c>
    </row>
    <row r="2344" customFormat="false" ht="64" hidden="false" customHeight="true" outlineLevel="0" collapsed="false">
      <c r="C2344" s="98" t="s">
        <v>4127</v>
      </c>
      <c r="D2344" s="98" t="s">
        <v>1835</v>
      </c>
      <c r="E2344" s="98" t="s">
        <v>835</v>
      </c>
      <c r="F2344" s="98" t="n">
        <v>0.1</v>
      </c>
      <c r="G2344" s="98" t="s">
        <v>4125</v>
      </c>
      <c r="H2344" s="98" t="s">
        <v>2250</v>
      </c>
      <c r="I2344" s="98" t="s">
        <v>1704</v>
      </c>
      <c r="J2344" s="98" t="s">
        <v>1705</v>
      </c>
      <c r="K2344" s="98" t="s">
        <v>1706</v>
      </c>
    </row>
    <row r="2345" customFormat="false" ht="64" hidden="false" customHeight="true" outlineLevel="0" collapsed="false">
      <c r="C2345" s="98" t="s">
        <v>4128</v>
      </c>
      <c r="D2345" s="98" t="s">
        <v>1044</v>
      </c>
      <c r="E2345" s="98" t="s">
        <v>835</v>
      </c>
      <c r="F2345" s="98" t="n">
        <v>0.1</v>
      </c>
      <c r="G2345" s="98" t="s">
        <v>4125</v>
      </c>
      <c r="H2345" s="98" t="s">
        <v>2250</v>
      </c>
      <c r="I2345" s="98" t="s">
        <v>1704</v>
      </c>
      <c r="J2345" s="98" t="s">
        <v>1705</v>
      </c>
      <c r="K2345" s="98" t="s">
        <v>1706</v>
      </c>
    </row>
    <row r="2346" customFormat="false" ht="64" hidden="false" customHeight="true" outlineLevel="0" collapsed="false">
      <c r="C2346" s="98" t="s">
        <v>4129</v>
      </c>
      <c r="D2346" s="98" t="s">
        <v>1838</v>
      </c>
      <c r="E2346" s="98" t="s">
        <v>835</v>
      </c>
      <c r="F2346" s="98" t="n">
        <v>0.1</v>
      </c>
      <c r="G2346" s="98" t="s">
        <v>4125</v>
      </c>
      <c r="H2346" s="98" t="s">
        <v>2250</v>
      </c>
      <c r="I2346" s="98" t="s">
        <v>1704</v>
      </c>
      <c r="J2346" s="98" t="s">
        <v>1705</v>
      </c>
      <c r="K2346" s="98" t="s">
        <v>1706</v>
      </c>
    </row>
    <row r="2347" customFormat="false" ht="64" hidden="false" customHeight="true" outlineLevel="0" collapsed="false">
      <c r="C2347" s="98" t="s">
        <v>4130</v>
      </c>
      <c r="D2347" s="98" t="s">
        <v>1840</v>
      </c>
      <c r="E2347" s="98" t="s">
        <v>835</v>
      </c>
      <c r="F2347" s="98" t="n">
        <v>0.1</v>
      </c>
      <c r="G2347" s="98" t="s">
        <v>4125</v>
      </c>
      <c r="H2347" s="98" t="s">
        <v>2250</v>
      </c>
      <c r="I2347" s="98" t="s">
        <v>1704</v>
      </c>
      <c r="J2347" s="98" t="s">
        <v>1705</v>
      </c>
      <c r="K2347" s="98" t="s">
        <v>1706</v>
      </c>
    </row>
    <row r="2348" customFormat="false" ht="64" hidden="false" customHeight="true" outlineLevel="0" collapsed="false">
      <c r="C2348" s="98" t="s">
        <v>4131</v>
      </c>
      <c r="D2348" s="98" t="s">
        <v>1700</v>
      </c>
      <c r="E2348" s="98" t="s">
        <v>835</v>
      </c>
      <c r="F2348" s="98" t="n">
        <v>0.1</v>
      </c>
      <c r="G2348" s="98" t="s">
        <v>4125</v>
      </c>
      <c r="H2348" s="98" t="s">
        <v>2250</v>
      </c>
      <c r="I2348" s="98" t="s">
        <v>1704</v>
      </c>
      <c r="J2348" s="98" t="s">
        <v>1705</v>
      </c>
      <c r="K2348" s="98" t="s">
        <v>1706</v>
      </c>
    </row>
    <row r="2349" customFormat="false" ht="64" hidden="false" customHeight="true" outlineLevel="0" collapsed="false">
      <c r="C2349" s="98" t="s">
        <v>4132</v>
      </c>
      <c r="D2349" s="98" t="s">
        <v>1708</v>
      </c>
      <c r="E2349" s="98" t="s">
        <v>835</v>
      </c>
      <c r="F2349" s="98" t="n">
        <v>0.1</v>
      </c>
      <c r="G2349" s="98" t="s">
        <v>4125</v>
      </c>
      <c r="H2349" s="98" t="s">
        <v>2250</v>
      </c>
      <c r="I2349" s="98" t="s">
        <v>1704</v>
      </c>
      <c r="J2349" s="98" t="s">
        <v>1705</v>
      </c>
      <c r="K2349" s="98" t="s">
        <v>1706</v>
      </c>
    </row>
    <row r="2350" customFormat="false" ht="64" hidden="false" customHeight="true" outlineLevel="0" collapsed="false">
      <c r="C2350" s="98" t="s">
        <v>4133</v>
      </c>
      <c r="D2350" s="98" t="s">
        <v>1710</v>
      </c>
      <c r="E2350" s="98" t="s">
        <v>835</v>
      </c>
      <c r="F2350" s="98" t="n">
        <v>0.1</v>
      </c>
      <c r="G2350" s="98" t="s">
        <v>4125</v>
      </c>
      <c r="H2350" s="98" t="s">
        <v>2250</v>
      </c>
      <c r="I2350" s="98" t="s">
        <v>1704</v>
      </c>
      <c r="J2350" s="98" t="s">
        <v>1705</v>
      </c>
      <c r="K2350" s="98" t="s">
        <v>1706</v>
      </c>
    </row>
    <row r="2351" customFormat="false" ht="64" hidden="false" customHeight="true" outlineLevel="0" collapsed="false">
      <c r="C2351" s="98" t="s">
        <v>4134</v>
      </c>
      <c r="D2351" s="98" t="s">
        <v>1712</v>
      </c>
      <c r="E2351" s="98" t="s">
        <v>835</v>
      </c>
      <c r="F2351" s="98" t="n">
        <v>0.1</v>
      </c>
      <c r="G2351" s="98" t="s">
        <v>4125</v>
      </c>
      <c r="H2351" s="98" t="s">
        <v>2250</v>
      </c>
      <c r="I2351" s="98" t="s">
        <v>1704</v>
      </c>
      <c r="J2351" s="98" t="s">
        <v>1705</v>
      </c>
      <c r="K2351" s="98" t="s">
        <v>1706</v>
      </c>
    </row>
    <row r="2352" customFormat="false" ht="64" hidden="false" customHeight="true" outlineLevel="0" collapsed="false">
      <c r="C2352" s="98" t="s">
        <v>4135</v>
      </c>
      <c r="D2352" s="98" t="s">
        <v>1714</v>
      </c>
      <c r="E2352" s="98" t="s">
        <v>835</v>
      </c>
      <c r="F2352" s="98" t="n">
        <v>0.1</v>
      </c>
      <c r="G2352" s="98" t="s">
        <v>4125</v>
      </c>
      <c r="H2352" s="98" t="s">
        <v>2250</v>
      </c>
      <c r="I2352" s="98" t="s">
        <v>1704</v>
      </c>
      <c r="J2352" s="98" t="s">
        <v>1705</v>
      </c>
      <c r="K2352" s="98" t="s">
        <v>1706</v>
      </c>
    </row>
    <row r="2353" customFormat="false" ht="64" hidden="false" customHeight="true" outlineLevel="0" collapsed="false">
      <c r="C2353" s="98" t="s">
        <v>4136</v>
      </c>
      <c r="D2353" s="98" t="s">
        <v>1716</v>
      </c>
      <c r="E2353" s="98" t="s">
        <v>835</v>
      </c>
      <c r="F2353" s="98" t="n">
        <v>0.1</v>
      </c>
      <c r="G2353" s="98" t="s">
        <v>4125</v>
      </c>
      <c r="H2353" s="98" t="s">
        <v>2250</v>
      </c>
      <c r="I2353" s="98" t="s">
        <v>1704</v>
      </c>
      <c r="J2353" s="98" t="s">
        <v>1705</v>
      </c>
      <c r="K2353" s="98" t="s">
        <v>1706</v>
      </c>
    </row>
    <row r="2354" customFormat="false" ht="64" hidden="false" customHeight="true" outlineLevel="0" collapsed="false">
      <c r="C2354" s="98" t="s">
        <v>4137</v>
      </c>
      <c r="D2354" s="98" t="s">
        <v>1718</v>
      </c>
      <c r="E2354" s="98" t="s">
        <v>835</v>
      </c>
      <c r="F2354" s="98" t="n">
        <v>0.1</v>
      </c>
      <c r="G2354" s="98" t="s">
        <v>4125</v>
      </c>
      <c r="H2354" s="98" t="s">
        <v>2250</v>
      </c>
      <c r="I2354" s="98" t="s">
        <v>1704</v>
      </c>
      <c r="J2354" s="98" t="s">
        <v>1705</v>
      </c>
      <c r="K2354" s="98" t="s">
        <v>1706</v>
      </c>
    </row>
    <row r="2355" customFormat="false" ht="64" hidden="false" customHeight="true" outlineLevel="0" collapsed="false">
      <c r="C2355" s="98" t="s">
        <v>4138</v>
      </c>
      <c r="D2355" s="98" t="s">
        <v>1720</v>
      </c>
      <c r="E2355" s="98" t="s">
        <v>835</v>
      </c>
      <c r="F2355" s="98" t="n">
        <v>0.1</v>
      </c>
      <c r="G2355" s="98" t="s">
        <v>4125</v>
      </c>
      <c r="H2355" s="98" t="s">
        <v>2250</v>
      </c>
      <c r="I2355" s="98" t="s">
        <v>1704</v>
      </c>
      <c r="J2355" s="98" t="s">
        <v>1705</v>
      </c>
      <c r="K2355" s="98" t="s">
        <v>1706</v>
      </c>
    </row>
    <row r="2356" customFormat="false" ht="64" hidden="false" customHeight="true" outlineLevel="0" collapsed="false">
      <c r="C2356" s="98" t="s">
        <v>4139</v>
      </c>
      <c r="D2356" s="98" t="s">
        <v>1722</v>
      </c>
      <c r="E2356" s="98" t="s">
        <v>835</v>
      </c>
      <c r="F2356" s="98" t="n">
        <v>0.1</v>
      </c>
      <c r="G2356" s="98" t="s">
        <v>4125</v>
      </c>
      <c r="H2356" s="98" t="s">
        <v>2250</v>
      </c>
      <c r="I2356" s="98" t="s">
        <v>1704</v>
      </c>
      <c r="J2356" s="98" t="s">
        <v>1705</v>
      </c>
      <c r="K2356" s="98" t="s">
        <v>1706</v>
      </c>
    </row>
    <row r="2357" customFormat="false" ht="64" hidden="false" customHeight="true" outlineLevel="0" collapsed="false">
      <c r="C2357" s="98" t="s">
        <v>4140</v>
      </c>
      <c r="D2357" s="98" t="s">
        <v>1724</v>
      </c>
      <c r="E2357" s="98" t="s">
        <v>835</v>
      </c>
      <c r="F2357" s="98" t="n">
        <v>0.1</v>
      </c>
      <c r="G2357" s="98" t="s">
        <v>4125</v>
      </c>
      <c r="H2357" s="98" t="s">
        <v>2250</v>
      </c>
      <c r="I2357" s="98" t="s">
        <v>1704</v>
      </c>
      <c r="J2357" s="98" t="s">
        <v>1705</v>
      </c>
      <c r="K2357" s="98" t="s">
        <v>1706</v>
      </c>
    </row>
    <row r="2358" customFormat="false" ht="64" hidden="false" customHeight="true" outlineLevel="0" collapsed="false">
      <c r="C2358" s="98" t="s">
        <v>4141</v>
      </c>
      <c r="D2358" s="98" t="s">
        <v>1726</v>
      </c>
      <c r="E2358" s="98" t="s">
        <v>835</v>
      </c>
      <c r="F2358" s="98" t="n">
        <v>0.1</v>
      </c>
      <c r="G2358" s="98" t="s">
        <v>4125</v>
      </c>
      <c r="H2358" s="98" t="s">
        <v>2250</v>
      </c>
      <c r="I2358" s="98" t="s">
        <v>1704</v>
      </c>
      <c r="J2358" s="98" t="s">
        <v>1705</v>
      </c>
      <c r="K2358" s="98" t="s">
        <v>1706</v>
      </c>
    </row>
    <row r="2359" customFormat="false" ht="64" hidden="false" customHeight="true" outlineLevel="0" collapsed="false">
      <c r="C2359" s="98" t="s">
        <v>4142</v>
      </c>
      <c r="D2359" s="98" t="s">
        <v>1728</v>
      </c>
      <c r="E2359" s="98" t="s">
        <v>835</v>
      </c>
      <c r="F2359" s="98" t="n">
        <v>0.1</v>
      </c>
      <c r="G2359" s="98" t="s">
        <v>4125</v>
      </c>
      <c r="H2359" s="98" t="s">
        <v>2250</v>
      </c>
      <c r="I2359" s="98" t="s">
        <v>1704</v>
      </c>
      <c r="J2359" s="98" t="s">
        <v>1705</v>
      </c>
      <c r="K2359" s="98" t="s">
        <v>1706</v>
      </c>
    </row>
    <row r="2360" customFormat="false" ht="64" hidden="false" customHeight="true" outlineLevel="0" collapsed="false">
      <c r="C2360" s="98" t="s">
        <v>4143</v>
      </c>
      <c r="D2360" s="98" t="s">
        <v>1730</v>
      </c>
      <c r="E2360" s="98" t="s">
        <v>835</v>
      </c>
      <c r="F2360" s="98" t="n">
        <v>0.1</v>
      </c>
      <c r="G2360" s="98" t="s">
        <v>4125</v>
      </c>
      <c r="H2360" s="98" t="s">
        <v>2250</v>
      </c>
      <c r="I2360" s="98" t="s">
        <v>1704</v>
      </c>
      <c r="J2360" s="98" t="s">
        <v>1705</v>
      </c>
      <c r="K2360" s="98" t="s">
        <v>1706</v>
      </c>
    </row>
    <row r="2361" customFormat="false" ht="64" hidden="false" customHeight="true" outlineLevel="0" collapsed="false">
      <c r="C2361" s="98" t="s">
        <v>4144</v>
      </c>
      <c r="D2361" s="98" t="s">
        <v>1732</v>
      </c>
      <c r="E2361" s="98" t="s">
        <v>835</v>
      </c>
      <c r="F2361" s="98" t="n">
        <v>0.1</v>
      </c>
      <c r="G2361" s="98" t="s">
        <v>4125</v>
      </c>
      <c r="H2361" s="98" t="s">
        <v>2250</v>
      </c>
      <c r="I2361" s="98" t="s">
        <v>1704</v>
      </c>
      <c r="J2361" s="98" t="s">
        <v>1705</v>
      </c>
      <c r="K2361" s="98" t="s">
        <v>1706</v>
      </c>
    </row>
    <row r="2362" customFormat="false" ht="64" hidden="false" customHeight="true" outlineLevel="0" collapsed="false">
      <c r="C2362" s="98" t="s">
        <v>4145</v>
      </c>
      <c r="D2362" s="98" t="s">
        <v>1734</v>
      </c>
      <c r="E2362" s="98" t="s">
        <v>835</v>
      </c>
      <c r="F2362" s="98" t="n">
        <v>0.1</v>
      </c>
      <c r="G2362" s="98" t="s">
        <v>4125</v>
      </c>
      <c r="H2362" s="98" t="s">
        <v>2250</v>
      </c>
      <c r="I2362" s="98" t="s">
        <v>1704</v>
      </c>
      <c r="J2362" s="98" t="s">
        <v>1705</v>
      </c>
      <c r="K2362" s="98" t="s">
        <v>1706</v>
      </c>
    </row>
    <row r="2363" customFormat="false" ht="64" hidden="false" customHeight="true" outlineLevel="0" collapsed="false">
      <c r="C2363" s="98" t="s">
        <v>4146</v>
      </c>
      <c r="D2363" s="98" t="s">
        <v>1736</v>
      </c>
      <c r="E2363" s="98" t="s">
        <v>835</v>
      </c>
      <c r="F2363" s="98" t="n">
        <v>0.1</v>
      </c>
      <c r="G2363" s="98" t="s">
        <v>4125</v>
      </c>
      <c r="H2363" s="98" t="s">
        <v>2250</v>
      </c>
      <c r="I2363" s="98" t="s">
        <v>1704</v>
      </c>
      <c r="J2363" s="98" t="s">
        <v>1705</v>
      </c>
      <c r="K2363" s="98" t="s">
        <v>1706</v>
      </c>
    </row>
    <row r="2364" customFormat="false" ht="64" hidden="false" customHeight="true" outlineLevel="0" collapsed="false">
      <c r="C2364" s="98" t="s">
        <v>4147</v>
      </c>
      <c r="D2364" s="98" t="s">
        <v>1738</v>
      </c>
      <c r="E2364" s="98" t="s">
        <v>835</v>
      </c>
      <c r="F2364" s="98" t="n">
        <v>0.1</v>
      </c>
      <c r="G2364" s="98" t="s">
        <v>4125</v>
      </c>
      <c r="H2364" s="98" t="s">
        <v>2250</v>
      </c>
      <c r="I2364" s="98" t="s">
        <v>1704</v>
      </c>
      <c r="J2364" s="98" t="s">
        <v>1705</v>
      </c>
      <c r="K2364" s="98" t="s">
        <v>1706</v>
      </c>
    </row>
    <row r="2365" customFormat="false" ht="64" hidden="false" customHeight="true" outlineLevel="0" collapsed="false">
      <c r="C2365" s="98" t="s">
        <v>4148</v>
      </c>
      <c r="D2365" s="98" t="s">
        <v>1740</v>
      </c>
      <c r="E2365" s="98" t="s">
        <v>835</v>
      </c>
      <c r="F2365" s="98" t="n">
        <v>0.1</v>
      </c>
      <c r="G2365" s="98" t="s">
        <v>4125</v>
      </c>
      <c r="H2365" s="98" t="s">
        <v>2250</v>
      </c>
      <c r="I2365" s="98" t="s">
        <v>1704</v>
      </c>
      <c r="J2365" s="98" t="s">
        <v>1705</v>
      </c>
      <c r="K2365" s="98" t="s">
        <v>1706</v>
      </c>
    </row>
    <row r="2366" customFormat="false" ht="64" hidden="false" customHeight="true" outlineLevel="0" collapsed="false">
      <c r="C2366" s="98" t="s">
        <v>4149</v>
      </c>
      <c r="D2366" s="98" t="s">
        <v>1742</v>
      </c>
      <c r="E2366" s="98" t="s">
        <v>835</v>
      </c>
      <c r="F2366" s="98" t="n">
        <v>0.1</v>
      </c>
      <c r="G2366" s="98" t="s">
        <v>4125</v>
      </c>
      <c r="H2366" s="98" t="s">
        <v>2250</v>
      </c>
      <c r="I2366" s="98" t="s">
        <v>1704</v>
      </c>
      <c r="J2366" s="98" t="s">
        <v>1705</v>
      </c>
      <c r="K2366" s="98" t="s">
        <v>1706</v>
      </c>
    </row>
    <row r="2367" customFormat="false" ht="64" hidden="false" customHeight="true" outlineLevel="0" collapsed="false">
      <c r="C2367" s="98" t="s">
        <v>4150</v>
      </c>
      <c r="D2367" s="98" t="s">
        <v>1744</v>
      </c>
      <c r="E2367" s="98" t="s">
        <v>835</v>
      </c>
      <c r="F2367" s="98" t="n">
        <v>0.1</v>
      </c>
      <c r="G2367" s="98" t="s">
        <v>4125</v>
      </c>
      <c r="H2367" s="98" t="s">
        <v>2250</v>
      </c>
      <c r="I2367" s="98" t="s">
        <v>1704</v>
      </c>
      <c r="J2367" s="98" t="s">
        <v>1705</v>
      </c>
      <c r="K2367" s="98" t="s">
        <v>1706</v>
      </c>
    </row>
    <row r="2368" customFormat="false" ht="64" hidden="false" customHeight="true" outlineLevel="0" collapsed="false">
      <c r="C2368" s="98" t="s">
        <v>4151</v>
      </c>
      <c r="D2368" s="98" t="s">
        <v>1746</v>
      </c>
      <c r="E2368" s="98" t="s">
        <v>835</v>
      </c>
      <c r="F2368" s="98" t="n">
        <v>0.1</v>
      </c>
      <c r="G2368" s="98" t="s">
        <v>4125</v>
      </c>
      <c r="H2368" s="98" t="s">
        <v>2250</v>
      </c>
      <c r="I2368" s="98" t="s">
        <v>1704</v>
      </c>
      <c r="J2368" s="98" t="s">
        <v>1705</v>
      </c>
      <c r="K2368" s="98" t="s">
        <v>1706</v>
      </c>
    </row>
    <row r="2369" customFormat="false" ht="64" hidden="false" customHeight="true" outlineLevel="0" collapsed="false">
      <c r="C2369" s="98" t="s">
        <v>4152</v>
      </c>
      <c r="D2369" s="98" t="s">
        <v>1748</v>
      </c>
      <c r="E2369" s="98" t="s">
        <v>835</v>
      </c>
      <c r="F2369" s="98" t="n">
        <v>0.1</v>
      </c>
      <c r="G2369" s="98" t="s">
        <v>4125</v>
      </c>
      <c r="H2369" s="98" t="s">
        <v>2250</v>
      </c>
      <c r="I2369" s="98" t="s">
        <v>1704</v>
      </c>
      <c r="J2369" s="98" t="s">
        <v>1705</v>
      </c>
      <c r="K2369" s="98" t="s">
        <v>1706</v>
      </c>
    </row>
    <row r="2370" customFormat="false" ht="64" hidden="false" customHeight="true" outlineLevel="0" collapsed="false">
      <c r="C2370" s="98" t="s">
        <v>4153</v>
      </c>
      <c r="D2370" s="98" t="s">
        <v>1750</v>
      </c>
      <c r="E2370" s="98" t="s">
        <v>835</v>
      </c>
      <c r="F2370" s="98" t="n">
        <v>0.1</v>
      </c>
      <c r="G2370" s="98" t="s">
        <v>4125</v>
      </c>
      <c r="H2370" s="98" t="s">
        <v>2250</v>
      </c>
      <c r="I2370" s="98" t="s">
        <v>1704</v>
      </c>
      <c r="J2370" s="98" t="s">
        <v>1705</v>
      </c>
      <c r="K2370" s="98" t="s">
        <v>1706</v>
      </c>
    </row>
    <row r="2371" customFormat="false" ht="64" hidden="false" customHeight="true" outlineLevel="0" collapsed="false">
      <c r="C2371" s="98" t="s">
        <v>4154</v>
      </c>
      <c r="D2371" s="98" t="s">
        <v>1752</v>
      </c>
      <c r="E2371" s="98" t="s">
        <v>835</v>
      </c>
      <c r="F2371" s="98" t="n">
        <v>0.1</v>
      </c>
      <c r="G2371" s="98" t="s">
        <v>4125</v>
      </c>
      <c r="H2371" s="98" t="s">
        <v>2250</v>
      </c>
      <c r="I2371" s="98" t="s">
        <v>1704</v>
      </c>
      <c r="J2371" s="98" t="s">
        <v>1705</v>
      </c>
      <c r="K2371" s="98" t="s">
        <v>1706</v>
      </c>
    </row>
    <row r="2372" customFormat="false" ht="64" hidden="false" customHeight="true" outlineLevel="0" collapsed="false">
      <c r="C2372" s="98" t="s">
        <v>4155</v>
      </c>
      <c r="D2372" s="98" t="s">
        <v>1754</v>
      </c>
      <c r="E2372" s="98" t="s">
        <v>835</v>
      </c>
      <c r="F2372" s="98" t="n">
        <v>0.1</v>
      </c>
      <c r="G2372" s="98" t="s">
        <v>4125</v>
      </c>
      <c r="H2372" s="98" t="s">
        <v>2250</v>
      </c>
      <c r="I2372" s="98" t="s">
        <v>1704</v>
      </c>
      <c r="J2372" s="98" t="s">
        <v>1705</v>
      </c>
      <c r="K2372" s="98" t="s">
        <v>1706</v>
      </c>
    </row>
    <row r="2373" customFormat="false" ht="64" hidden="false" customHeight="true" outlineLevel="0" collapsed="false">
      <c r="C2373" s="98" t="s">
        <v>4156</v>
      </c>
      <c r="D2373" s="98" t="s">
        <v>1756</v>
      </c>
      <c r="E2373" s="98" t="s">
        <v>835</v>
      </c>
      <c r="F2373" s="98" t="n">
        <v>0.1</v>
      </c>
      <c r="G2373" s="98" t="s">
        <v>4125</v>
      </c>
      <c r="H2373" s="98" t="s">
        <v>2250</v>
      </c>
      <c r="I2373" s="98" t="s">
        <v>1704</v>
      </c>
      <c r="J2373" s="98" t="s">
        <v>1705</v>
      </c>
      <c r="K2373" s="98" t="s">
        <v>1706</v>
      </c>
    </row>
    <row r="2374" customFormat="false" ht="64" hidden="false" customHeight="true" outlineLevel="0" collapsed="false">
      <c r="C2374" s="98" t="s">
        <v>4157</v>
      </c>
      <c r="D2374" s="98" t="s">
        <v>1758</v>
      </c>
      <c r="E2374" s="98" t="s">
        <v>835</v>
      </c>
      <c r="F2374" s="98" t="n">
        <v>0.1</v>
      </c>
      <c r="G2374" s="98" t="s">
        <v>4125</v>
      </c>
      <c r="H2374" s="98" t="s">
        <v>2250</v>
      </c>
      <c r="I2374" s="98" t="s">
        <v>1704</v>
      </c>
      <c r="J2374" s="98" t="s">
        <v>1705</v>
      </c>
      <c r="K2374" s="98" t="s">
        <v>1706</v>
      </c>
    </row>
    <row r="2375" customFormat="false" ht="64" hidden="false" customHeight="true" outlineLevel="0" collapsed="false">
      <c r="C2375" s="98" t="s">
        <v>4158</v>
      </c>
      <c r="D2375" s="98" t="s">
        <v>1760</v>
      </c>
      <c r="E2375" s="98" t="s">
        <v>835</v>
      </c>
      <c r="F2375" s="98" t="n">
        <v>0.1</v>
      </c>
      <c r="G2375" s="98" t="s">
        <v>4125</v>
      </c>
      <c r="H2375" s="98" t="s">
        <v>2250</v>
      </c>
      <c r="I2375" s="98" t="s">
        <v>1704</v>
      </c>
      <c r="J2375" s="98" t="s">
        <v>1705</v>
      </c>
      <c r="K2375" s="98" t="s">
        <v>1706</v>
      </c>
    </row>
    <row r="2376" customFormat="false" ht="64" hidden="false" customHeight="true" outlineLevel="0" collapsed="false">
      <c r="C2376" s="98" t="s">
        <v>4159</v>
      </c>
      <c r="D2376" s="98" t="s">
        <v>1762</v>
      </c>
      <c r="E2376" s="98" t="s">
        <v>835</v>
      </c>
      <c r="F2376" s="98" t="n">
        <v>0.1</v>
      </c>
      <c r="G2376" s="98" t="s">
        <v>4125</v>
      </c>
      <c r="H2376" s="98" t="s">
        <v>2250</v>
      </c>
      <c r="I2376" s="98" t="s">
        <v>1704</v>
      </c>
      <c r="J2376" s="98" t="s">
        <v>1705</v>
      </c>
      <c r="K2376" s="98" t="s">
        <v>1706</v>
      </c>
    </row>
    <row r="2377" customFormat="false" ht="64" hidden="false" customHeight="true" outlineLevel="0" collapsed="false">
      <c r="C2377" s="98" t="s">
        <v>4160</v>
      </c>
      <c r="D2377" s="98" t="s">
        <v>1764</v>
      </c>
      <c r="E2377" s="98" t="s">
        <v>835</v>
      </c>
      <c r="F2377" s="98" t="n">
        <v>0.1</v>
      </c>
      <c r="G2377" s="98" t="s">
        <v>4125</v>
      </c>
      <c r="H2377" s="98" t="s">
        <v>2250</v>
      </c>
      <c r="I2377" s="98" t="s">
        <v>1704</v>
      </c>
      <c r="J2377" s="98" t="s">
        <v>1705</v>
      </c>
      <c r="K2377" s="98" t="s">
        <v>1706</v>
      </c>
    </row>
    <row r="2378" customFormat="false" ht="64" hidden="false" customHeight="true" outlineLevel="0" collapsed="false">
      <c r="C2378" s="98" t="s">
        <v>4161</v>
      </c>
      <c r="D2378" s="98" t="s">
        <v>1829</v>
      </c>
      <c r="E2378" s="98" t="s">
        <v>811</v>
      </c>
      <c r="F2378" s="98" t="n">
        <v>0</v>
      </c>
      <c r="G2378" s="98" t="s">
        <v>4162</v>
      </c>
      <c r="H2378" s="98" t="s">
        <v>1703</v>
      </c>
      <c r="I2378" s="98" t="s">
        <v>1704</v>
      </c>
      <c r="J2378" s="98" t="s">
        <v>1705</v>
      </c>
      <c r="K2378" s="98" t="s">
        <v>1706</v>
      </c>
    </row>
    <row r="2379" customFormat="false" ht="64" hidden="false" customHeight="true" outlineLevel="0" collapsed="false">
      <c r="C2379" s="98" t="s">
        <v>4163</v>
      </c>
      <c r="D2379" s="98" t="s">
        <v>1833</v>
      </c>
      <c r="E2379" s="98" t="s">
        <v>811</v>
      </c>
      <c r="F2379" s="98" t="n">
        <v>0</v>
      </c>
      <c r="G2379" s="98" t="s">
        <v>4162</v>
      </c>
      <c r="H2379" s="98" t="s">
        <v>1703</v>
      </c>
      <c r="I2379" s="98" t="s">
        <v>1704</v>
      </c>
      <c r="J2379" s="98" t="s">
        <v>1705</v>
      </c>
      <c r="K2379" s="98" t="s">
        <v>1706</v>
      </c>
    </row>
    <row r="2380" customFormat="false" ht="64" hidden="false" customHeight="true" outlineLevel="0" collapsed="false">
      <c r="C2380" s="98" t="s">
        <v>4164</v>
      </c>
      <c r="D2380" s="98" t="s">
        <v>1835</v>
      </c>
      <c r="E2380" s="98" t="s">
        <v>811</v>
      </c>
      <c r="F2380" s="98" t="n">
        <v>0</v>
      </c>
      <c r="G2380" s="98" t="s">
        <v>4162</v>
      </c>
      <c r="H2380" s="98" t="s">
        <v>1703</v>
      </c>
      <c r="I2380" s="98" t="s">
        <v>1704</v>
      </c>
      <c r="J2380" s="98" t="s">
        <v>1705</v>
      </c>
      <c r="K2380" s="98" t="s">
        <v>1706</v>
      </c>
    </row>
    <row r="2381" customFormat="false" ht="64" hidden="false" customHeight="true" outlineLevel="0" collapsed="false">
      <c r="C2381" s="98" t="s">
        <v>4165</v>
      </c>
      <c r="D2381" s="98" t="s">
        <v>1044</v>
      </c>
      <c r="E2381" s="98" t="s">
        <v>811</v>
      </c>
      <c r="F2381" s="98" t="n">
        <v>0</v>
      </c>
      <c r="G2381" s="98" t="s">
        <v>4162</v>
      </c>
      <c r="H2381" s="98" t="s">
        <v>1703</v>
      </c>
      <c r="I2381" s="98" t="s">
        <v>1704</v>
      </c>
      <c r="J2381" s="98" t="s">
        <v>1705</v>
      </c>
      <c r="K2381" s="98" t="s">
        <v>1706</v>
      </c>
    </row>
    <row r="2382" customFormat="false" ht="64" hidden="false" customHeight="true" outlineLevel="0" collapsed="false">
      <c r="C2382" s="98" t="s">
        <v>4166</v>
      </c>
      <c r="D2382" s="98" t="s">
        <v>1838</v>
      </c>
      <c r="E2382" s="98" t="s">
        <v>811</v>
      </c>
      <c r="F2382" s="98" t="n">
        <v>0</v>
      </c>
      <c r="G2382" s="98" t="s">
        <v>4162</v>
      </c>
      <c r="H2382" s="98" t="s">
        <v>1703</v>
      </c>
      <c r="I2382" s="98" t="s">
        <v>1704</v>
      </c>
      <c r="J2382" s="98" t="s">
        <v>1705</v>
      </c>
      <c r="K2382" s="98" t="s">
        <v>1706</v>
      </c>
    </row>
    <row r="2383" customFormat="false" ht="64" hidden="false" customHeight="true" outlineLevel="0" collapsed="false">
      <c r="C2383" s="98" t="s">
        <v>4167</v>
      </c>
      <c r="D2383" s="98" t="s">
        <v>1840</v>
      </c>
      <c r="E2383" s="98" t="s">
        <v>811</v>
      </c>
      <c r="F2383" s="98" t="n">
        <v>0</v>
      </c>
      <c r="G2383" s="98" t="s">
        <v>4162</v>
      </c>
      <c r="H2383" s="98" t="s">
        <v>1703</v>
      </c>
      <c r="I2383" s="98" t="s">
        <v>1704</v>
      </c>
      <c r="J2383" s="98" t="s">
        <v>1705</v>
      </c>
      <c r="K2383" s="98" t="s">
        <v>1706</v>
      </c>
    </row>
    <row r="2384" customFormat="false" ht="64" hidden="false" customHeight="true" outlineLevel="0" collapsed="false">
      <c r="C2384" s="98" t="s">
        <v>4168</v>
      </c>
      <c r="D2384" s="98" t="s">
        <v>1700</v>
      </c>
      <c r="E2384" s="98" t="s">
        <v>811</v>
      </c>
      <c r="F2384" s="98" t="n">
        <v>0</v>
      </c>
      <c r="G2384" s="98" t="s">
        <v>4162</v>
      </c>
      <c r="H2384" s="98" t="s">
        <v>1703</v>
      </c>
      <c r="I2384" s="98" t="s">
        <v>1704</v>
      </c>
      <c r="J2384" s="98" t="s">
        <v>1705</v>
      </c>
      <c r="K2384" s="98" t="s">
        <v>1706</v>
      </c>
    </row>
    <row r="2385" customFormat="false" ht="64" hidden="false" customHeight="true" outlineLevel="0" collapsed="false">
      <c r="C2385" s="98" t="s">
        <v>4169</v>
      </c>
      <c r="D2385" s="98" t="s">
        <v>1708</v>
      </c>
      <c r="E2385" s="98" t="s">
        <v>811</v>
      </c>
      <c r="F2385" s="98" t="n">
        <v>0</v>
      </c>
      <c r="G2385" s="98" t="s">
        <v>4162</v>
      </c>
      <c r="H2385" s="98" t="s">
        <v>1703</v>
      </c>
      <c r="I2385" s="98" t="s">
        <v>1704</v>
      </c>
      <c r="J2385" s="98" t="s">
        <v>1705</v>
      </c>
      <c r="K2385" s="98" t="s">
        <v>1706</v>
      </c>
    </row>
    <row r="2386" customFormat="false" ht="64" hidden="false" customHeight="true" outlineLevel="0" collapsed="false">
      <c r="C2386" s="98" t="s">
        <v>4170</v>
      </c>
      <c r="D2386" s="98" t="s">
        <v>1710</v>
      </c>
      <c r="E2386" s="98" t="s">
        <v>811</v>
      </c>
      <c r="F2386" s="98" t="n">
        <v>0</v>
      </c>
      <c r="G2386" s="98" t="s">
        <v>4162</v>
      </c>
      <c r="H2386" s="98" t="s">
        <v>1703</v>
      </c>
      <c r="I2386" s="98" t="s">
        <v>1704</v>
      </c>
      <c r="J2386" s="98" t="s">
        <v>1705</v>
      </c>
      <c r="K2386" s="98" t="s">
        <v>1706</v>
      </c>
    </row>
    <row r="2387" customFormat="false" ht="64" hidden="false" customHeight="true" outlineLevel="0" collapsed="false">
      <c r="C2387" s="98" t="s">
        <v>4171</v>
      </c>
      <c r="D2387" s="98" t="s">
        <v>1712</v>
      </c>
      <c r="E2387" s="98" t="s">
        <v>811</v>
      </c>
      <c r="F2387" s="98" t="n">
        <v>0</v>
      </c>
      <c r="G2387" s="98" t="s">
        <v>4162</v>
      </c>
      <c r="H2387" s="98" t="s">
        <v>1703</v>
      </c>
      <c r="I2387" s="98" t="s">
        <v>1704</v>
      </c>
      <c r="J2387" s="98" t="s">
        <v>1705</v>
      </c>
      <c r="K2387" s="98" t="s">
        <v>1706</v>
      </c>
    </row>
    <row r="2388" customFormat="false" ht="64" hidden="false" customHeight="true" outlineLevel="0" collapsed="false">
      <c r="C2388" s="98" t="s">
        <v>4172</v>
      </c>
      <c r="D2388" s="98" t="s">
        <v>1714</v>
      </c>
      <c r="E2388" s="98" t="s">
        <v>811</v>
      </c>
      <c r="F2388" s="98" t="n">
        <v>0</v>
      </c>
      <c r="G2388" s="98" t="s">
        <v>4162</v>
      </c>
      <c r="H2388" s="98" t="s">
        <v>1703</v>
      </c>
      <c r="I2388" s="98" t="s">
        <v>1704</v>
      </c>
      <c r="J2388" s="98" t="s">
        <v>1705</v>
      </c>
      <c r="K2388" s="98" t="s">
        <v>1706</v>
      </c>
    </row>
    <row r="2389" customFormat="false" ht="64" hidden="false" customHeight="true" outlineLevel="0" collapsed="false">
      <c r="C2389" s="98" t="s">
        <v>4173</v>
      </c>
      <c r="D2389" s="98" t="s">
        <v>1716</v>
      </c>
      <c r="E2389" s="98" t="s">
        <v>811</v>
      </c>
      <c r="F2389" s="98" t="n">
        <v>0</v>
      </c>
      <c r="G2389" s="98" t="s">
        <v>4162</v>
      </c>
      <c r="H2389" s="98" t="s">
        <v>1703</v>
      </c>
      <c r="I2389" s="98" t="s">
        <v>1704</v>
      </c>
      <c r="J2389" s="98" t="s">
        <v>1705</v>
      </c>
      <c r="K2389" s="98" t="s">
        <v>1706</v>
      </c>
    </row>
    <row r="2390" customFormat="false" ht="64" hidden="false" customHeight="true" outlineLevel="0" collapsed="false">
      <c r="C2390" s="98" t="s">
        <v>4174</v>
      </c>
      <c r="D2390" s="98" t="s">
        <v>1718</v>
      </c>
      <c r="E2390" s="98" t="s">
        <v>811</v>
      </c>
      <c r="F2390" s="98" t="n">
        <v>0</v>
      </c>
      <c r="G2390" s="98" t="s">
        <v>4162</v>
      </c>
      <c r="H2390" s="98" t="s">
        <v>1703</v>
      </c>
      <c r="I2390" s="98" t="s">
        <v>1704</v>
      </c>
      <c r="J2390" s="98" t="s">
        <v>1705</v>
      </c>
      <c r="K2390" s="98" t="s">
        <v>1706</v>
      </c>
    </row>
    <row r="2391" customFormat="false" ht="64" hidden="false" customHeight="true" outlineLevel="0" collapsed="false">
      <c r="C2391" s="98" t="s">
        <v>4175</v>
      </c>
      <c r="D2391" s="98" t="s">
        <v>1720</v>
      </c>
      <c r="E2391" s="98" t="s">
        <v>811</v>
      </c>
      <c r="F2391" s="98" t="n">
        <v>0</v>
      </c>
      <c r="G2391" s="98" t="s">
        <v>4162</v>
      </c>
      <c r="H2391" s="98" t="s">
        <v>1703</v>
      </c>
      <c r="I2391" s="98" t="s">
        <v>1704</v>
      </c>
      <c r="J2391" s="98" t="s">
        <v>1705</v>
      </c>
      <c r="K2391" s="98" t="s">
        <v>1706</v>
      </c>
    </row>
    <row r="2392" customFormat="false" ht="64" hidden="false" customHeight="true" outlineLevel="0" collapsed="false">
      <c r="C2392" s="98" t="s">
        <v>4176</v>
      </c>
      <c r="D2392" s="98" t="s">
        <v>1722</v>
      </c>
      <c r="E2392" s="98" t="s">
        <v>811</v>
      </c>
      <c r="F2392" s="98" t="n">
        <v>0</v>
      </c>
      <c r="G2392" s="98" t="s">
        <v>4162</v>
      </c>
      <c r="H2392" s="98" t="s">
        <v>1703</v>
      </c>
      <c r="I2392" s="98" t="s">
        <v>1704</v>
      </c>
      <c r="J2392" s="98" t="s">
        <v>1705</v>
      </c>
      <c r="K2392" s="98" t="s">
        <v>1706</v>
      </c>
    </row>
    <row r="2393" customFormat="false" ht="64" hidden="false" customHeight="true" outlineLevel="0" collapsed="false">
      <c r="C2393" s="98" t="s">
        <v>4177</v>
      </c>
      <c r="D2393" s="98" t="s">
        <v>1724</v>
      </c>
      <c r="E2393" s="98" t="s">
        <v>811</v>
      </c>
      <c r="F2393" s="98" t="n">
        <v>0</v>
      </c>
      <c r="G2393" s="98" t="s">
        <v>4162</v>
      </c>
      <c r="H2393" s="98" t="s">
        <v>1703</v>
      </c>
      <c r="I2393" s="98" t="s">
        <v>1704</v>
      </c>
      <c r="J2393" s="98" t="s">
        <v>1705</v>
      </c>
      <c r="K2393" s="98" t="s">
        <v>1706</v>
      </c>
    </row>
    <row r="2394" customFormat="false" ht="64" hidden="false" customHeight="true" outlineLevel="0" collapsed="false">
      <c r="C2394" s="98" t="s">
        <v>4178</v>
      </c>
      <c r="D2394" s="98" t="s">
        <v>1726</v>
      </c>
      <c r="E2394" s="98" t="s">
        <v>811</v>
      </c>
      <c r="F2394" s="98" t="n">
        <v>0</v>
      </c>
      <c r="G2394" s="98" t="s">
        <v>4162</v>
      </c>
      <c r="H2394" s="98" t="s">
        <v>1703</v>
      </c>
      <c r="I2394" s="98" t="s">
        <v>1704</v>
      </c>
      <c r="J2394" s="98" t="s">
        <v>1705</v>
      </c>
      <c r="K2394" s="98" t="s">
        <v>1706</v>
      </c>
    </row>
    <row r="2395" customFormat="false" ht="64" hidden="false" customHeight="true" outlineLevel="0" collapsed="false">
      <c r="C2395" s="98" t="s">
        <v>4179</v>
      </c>
      <c r="D2395" s="98" t="s">
        <v>1728</v>
      </c>
      <c r="E2395" s="98" t="s">
        <v>811</v>
      </c>
      <c r="F2395" s="98" t="n">
        <v>0</v>
      </c>
      <c r="G2395" s="98" t="s">
        <v>4162</v>
      </c>
      <c r="H2395" s="98" t="s">
        <v>1703</v>
      </c>
      <c r="I2395" s="98" t="s">
        <v>1704</v>
      </c>
      <c r="J2395" s="98" t="s">
        <v>1705</v>
      </c>
      <c r="K2395" s="98" t="s">
        <v>1706</v>
      </c>
    </row>
    <row r="2396" customFormat="false" ht="64" hidden="false" customHeight="true" outlineLevel="0" collapsed="false">
      <c r="C2396" s="98" t="s">
        <v>4180</v>
      </c>
      <c r="D2396" s="98" t="s">
        <v>1730</v>
      </c>
      <c r="E2396" s="98" t="s">
        <v>811</v>
      </c>
      <c r="F2396" s="98" t="n">
        <v>0</v>
      </c>
      <c r="G2396" s="98" t="s">
        <v>4162</v>
      </c>
      <c r="H2396" s="98" t="s">
        <v>1703</v>
      </c>
      <c r="I2396" s="98" t="s">
        <v>1704</v>
      </c>
      <c r="J2396" s="98" t="s">
        <v>1705</v>
      </c>
      <c r="K2396" s="98" t="s">
        <v>1706</v>
      </c>
    </row>
    <row r="2397" customFormat="false" ht="64" hidden="false" customHeight="true" outlineLevel="0" collapsed="false">
      <c r="C2397" s="98" t="s">
        <v>4181</v>
      </c>
      <c r="D2397" s="98" t="s">
        <v>1732</v>
      </c>
      <c r="E2397" s="98" t="s">
        <v>811</v>
      </c>
      <c r="F2397" s="98" t="n">
        <v>0</v>
      </c>
      <c r="G2397" s="98" t="s">
        <v>4162</v>
      </c>
      <c r="H2397" s="98" t="s">
        <v>1703</v>
      </c>
      <c r="I2397" s="98" t="s">
        <v>1704</v>
      </c>
      <c r="J2397" s="98" t="s">
        <v>1705</v>
      </c>
      <c r="K2397" s="98" t="s">
        <v>1706</v>
      </c>
    </row>
    <row r="2398" customFormat="false" ht="64" hidden="false" customHeight="true" outlineLevel="0" collapsed="false">
      <c r="C2398" s="98" t="s">
        <v>4182</v>
      </c>
      <c r="D2398" s="98" t="s">
        <v>1734</v>
      </c>
      <c r="E2398" s="98" t="s">
        <v>811</v>
      </c>
      <c r="F2398" s="98" t="n">
        <v>0</v>
      </c>
      <c r="G2398" s="98" t="s">
        <v>4162</v>
      </c>
      <c r="H2398" s="98" t="s">
        <v>1703</v>
      </c>
      <c r="I2398" s="98" t="s">
        <v>1704</v>
      </c>
      <c r="J2398" s="98" t="s">
        <v>1705</v>
      </c>
      <c r="K2398" s="98" t="s">
        <v>1706</v>
      </c>
    </row>
    <row r="2399" customFormat="false" ht="64" hidden="false" customHeight="true" outlineLevel="0" collapsed="false">
      <c r="C2399" s="98" t="s">
        <v>4183</v>
      </c>
      <c r="D2399" s="98" t="s">
        <v>1736</v>
      </c>
      <c r="E2399" s="98" t="s">
        <v>811</v>
      </c>
      <c r="F2399" s="98" t="n">
        <v>0</v>
      </c>
      <c r="G2399" s="98" t="s">
        <v>4162</v>
      </c>
      <c r="H2399" s="98" t="s">
        <v>1703</v>
      </c>
      <c r="I2399" s="98" t="s">
        <v>1704</v>
      </c>
      <c r="J2399" s="98" t="s">
        <v>1705</v>
      </c>
      <c r="K2399" s="98" t="s">
        <v>1706</v>
      </c>
    </row>
    <row r="2400" customFormat="false" ht="64" hidden="false" customHeight="true" outlineLevel="0" collapsed="false">
      <c r="C2400" s="98" t="s">
        <v>4184</v>
      </c>
      <c r="D2400" s="98" t="s">
        <v>1738</v>
      </c>
      <c r="E2400" s="98" t="s">
        <v>811</v>
      </c>
      <c r="F2400" s="98" t="n">
        <v>0</v>
      </c>
      <c r="G2400" s="98" t="s">
        <v>4162</v>
      </c>
      <c r="H2400" s="98" t="s">
        <v>1703</v>
      </c>
      <c r="I2400" s="98" t="s">
        <v>1704</v>
      </c>
      <c r="J2400" s="98" t="s">
        <v>1705</v>
      </c>
      <c r="K2400" s="98" t="s">
        <v>1706</v>
      </c>
    </row>
    <row r="2401" customFormat="false" ht="64" hidden="false" customHeight="true" outlineLevel="0" collapsed="false">
      <c r="C2401" s="98" t="s">
        <v>4185</v>
      </c>
      <c r="D2401" s="98" t="s">
        <v>1740</v>
      </c>
      <c r="E2401" s="98" t="s">
        <v>811</v>
      </c>
      <c r="F2401" s="98" t="n">
        <v>0</v>
      </c>
      <c r="G2401" s="98" t="s">
        <v>4162</v>
      </c>
      <c r="H2401" s="98" t="s">
        <v>1703</v>
      </c>
      <c r="I2401" s="98" t="s">
        <v>1704</v>
      </c>
      <c r="J2401" s="98" t="s">
        <v>1705</v>
      </c>
      <c r="K2401" s="98" t="s">
        <v>1706</v>
      </c>
    </row>
    <row r="2402" customFormat="false" ht="64" hidden="false" customHeight="true" outlineLevel="0" collapsed="false">
      <c r="C2402" s="98" t="s">
        <v>4186</v>
      </c>
      <c r="D2402" s="98" t="s">
        <v>1742</v>
      </c>
      <c r="E2402" s="98" t="s">
        <v>811</v>
      </c>
      <c r="F2402" s="98" t="n">
        <v>0</v>
      </c>
      <c r="G2402" s="98" t="s">
        <v>4162</v>
      </c>
      <c r="H2402" s="98" t="s">
        <v>1703</v>
      </c>
      <c r="I2402" s="98" t="s">
        <v>1704</v>
      </c>
      <c r="J2402" s="98" t="s">
        <v>1705</v>
      </c>
      <c r="K2402" s="98" t="s">
        <v>1706</v>
      </c>
    </row>
    <row r="2403" customFormat="false" ht="64" hidden="false" customHeight="true" outlineLevel="0" collapsed="false">
      <c r="C2403" s="98" t="s">
        <v>4187</v>
      </c>
      <c r="D2403" s="98" t="s">
        <v>1744</v>
      </c>
      <c r="E2403" s="98" t="s">
        <v>811</v>
      </c>
      <c r="F2403" s="98" t="n">
        <v>0</v>
      </c>
      <c r="G2403" s="98" t="s">
        <v>4162</v>
      </c>
      <c r="H2403" s="98" t="s">
        <v>1703</v>
      </c>
      <c r="I2403" s="98" t="s">
        <v>1704</v>
      </c>
      <c r="J2403" s="98" t="s">
        <v>1705</v>
      </c>
      <c r="K2403" s="98" t="s">
        <v>1706</v>
      </c>
    </row>
    <row r="2404" customFormat="false" ht="64" hidden="false" customHeight="true" outlineLevel="0" collapsed="false">
      <c r="C2404" s="98" t="s">
        <v>4188</v>
      </c>
      <c r="D2404" s="98" t="s">
        <v>1746</v>
      </c>
      <c r="E2404" s="98" t="s">
        <v>811</v>
      </c>
      <c r="F2404" s="98" t="n">
        <v>0</v>
      </c>
      <c r="G2404" s="98" t="s">
        <v>4162</v>
      </c>
      <c r="H2404" s="98" t="s">
        <v>1703</v>
      </c>
      <c r="I2404" s="98" t="s">
        <v>1704</v>
      </c>
      <c r="J2404" s="98" t="s">
        <v>1705</v>
      </c>
      <c r="K2404" s="98" t="s">
        <v>1706</v>
      </c>
    </row>
    <row r="2405" customFormat="false" ht="64" hidden="false" customHeight="true" outlineLevel="0" collapsed="false">
      <c r="C2405" s="98" t="s">
        <v>4189</v>
      </c>
      <c r="D2405" s="98" t="s">
        <v>1748</v>
      </c>
      <c r="E2405" s="98" t="s">
        <v>811</v>
      </c>
      <c r="F2405" s="98" t="n">
        <v>0</v>
      </c>
      <c r="G2405" s="98" t="s">
        <v>4162</v>
      </c>
      <c r="H2405" s="98" t="s">
        <v>1703</v>
      </c>
      <c r="I2405" s="98" t="s">
        <v>1704</v>
      </c>
      <c r="J2405" s="98" t="s">
        <v>1705</v>
      </c>
      <c r="K2405" s="98" t="s">
        <v>1706</v>
      </c>
    </row>
    <row r="2406" customFormat="false" ht="64" hidden="false" customHeight="true" outlineLevel="0" collapsed="false">
      <c r="C2406" s="98" t="s">
        <v>4190</v>
      </c>
      <c r="D2406" s="98" t="s">
        <v>1750</v>
      </c>
      <c r="E2406" s="98" t="s">
        <v>811</v>
      </c>
      <c r="F2406" s="98" t="n">
        <v>0</v>
      </c>
      <c r="G2406" s="98" t="s">
        <v>4162</v>
      </c>
      <c r="H2406" s="98" t="s">
        <v>1703</v>
      </c>
      <c r="I2406" s="98" t="s">
        <v>1704</v>
      </c>
      <c r="J2406" s="98" t="s">
        <v>1705</v>
      </c>
      <c r="K2406" s="98" t="s">
        <v>1706</v>
      </c>
    </row>
    <row r="2407" customFormat="false" ht="64" hidden="false" customHeight="true" outlineLevel="0" collapsed="false">
      <c r="C2407" s="98" t="s">
        <v>4191</v>
      </c>
      <c r="D2407" s="98" t="s">
        <v>1752</v>
      </c>
      <c r="E2407" s="98" t="s">
        <v>811</v>
      </c>
      <c r="F2407" s="98" t="n">
        <v>0</v>
      </c>
      <c r="G2407" s="98" t="s">
        <v>4162</v>
      </c>
      <c r="H2407" s="98" t="s">
        <v>1703</v>
      </c>
      <c r="I2407" s="98" t="s">
        <v>1704</v>
      </c>
      <c r="J2407" s="98" t="s">
        <v>1705</v>
      </c>
      <c r="K2407" s="98" t="s">
        <v>1706</v>
      </c>
    </row>
    <row r="2408" customFormat="false" ht="64" hidden="false" customHeight="true" outlineLevel="0" collapsed="false">
      <c r="C2408" s="98" t="s">
        <v>4192</v>
      </c>
      <c r="D2408" s="98" t="s">
        <v>1754</v>
      </c>
      <c r="E2408" s="98" t="s">
        <v>811</v>
      </c>
      <c r="F2408" s="98" t="n">
        <v>0</v>
      </c>
      <c r="G2408" s="98" t="s">
        <v>4162</v>
      </c>
      <c r="H2408" s="98" t="s">
        <v>1703</v>
      </c>
      <c r="I2408" s="98" t="s">
        <v>1704</v>
      </c>
      <c r="J2408" s="98" t="s">
        <v>1705</v>
      </c>
      <c r="K2408" s="98" t="s">
        <v>1706</v>
      </c>
    </row>
    <row r="2409" customFormat="false" ht="64" hidden="false" customHeight="true" outlineLevel="0" collapsed="false">
      <c r="C2409" s="98" t="s">
        <v>4193</v>
      </c>
      <c r="D2409" s="98" t="s">
        <v>1756</v>
      </c>
      <c r="E2409" s="98" t="s">
        <v>811</v>
      </c>
      <c r="F2409" s="98" t="n">
        <v>0</v>
      </c>
      <c r="G2409" s="98" t="s">
        <v>4162</v>
      </c>
      <c r="H2409" s="98" t="s">
        <v>1703</v>
      </c>
      <c r="I2409" s="98" t="s">
        <v>1704</v>
      </c>
      <c r="J2409" s="98" t="s">
        <v>1705</v>
      </c>
      <c r="K2409" s="98" t="s">
        <v>1706</v>
      </c>
    </row>
    <row r="2410" customFormat="false" ht="64" hidden="false" customHeight="true" outlineLevel="0" collapsed="false">
      <c r="C2410" s="98" t="s">
        <v>4194</v>
      </c>
      <c r="D2410" s="98" t="s">
        <v>1758</v>
      </c>
      <c r="E2410" s="98" t="s">
        <v>811</v>
      </c>
      <c r="F2410" s="98" t="n">
        <v>0</v>
      </c>
      <c r="G2410" s="98" t="s">
        <v>4162</v>
      </c>
      <c r="H2410" s="98" t="s">
        <v>1703</v>
      </c>
      <c r="I2410" s="98" t="s">
        <v>1704</v>
      </c>
      <c r="J2410" s="98" t="s">
        <v>1705</v>
      </c>
      <c r="K2410" s="98" t="s">
        <v>1706</v>
      </c>
    </row>
    <row r="2411" customFormat="false" ht="64" hidden="false" customHeight="true" outlineLevel="0" collapsed="false">
      <c r="C2411" s="98" t="s">
        <v>4195</v>
      </c>
      <c r="D2411" s="98" t="s">
        <v>1760</v>
      </c>
      <c r="E2411" s="98" t="s">
        <v>811</v>
      </c>
      <c r="F2411" s="98" t="n">
        <v>0</v>
      </c>
      <c r="G2411" s="98" t="s">
        <v>4162</v>
      </c>
      <c r="H2411" s="98" t="s">
        <v>1703</v>
      </c>
      <c r="I2411" s="98" t="s">
        <v>1704</v>
      </c>
      <c r="J2411" s="98" t="s">
        <v>1705</v>
      </c>
      <c r="K2411" s="98" t="s">
        <v>1706</v>
      </c>
    </row>
    <row r="2412" customFormat="false" ht="64" hidden="false" customHeight="true" outlineLevel="0" collapsed="false">
      <c r="C2412" s="98" t="s">
        <v>4196</v>
      </c>
      <c r="D2412" s="98" t="s">
        <v>1762</v>
      </c>
      <c r="E2412" s="98" t="s">
        <v>811</v>
      </c>
      <c r="F2412" s="98" t="n">
        <v>0</v>
      </c>
      <c r="G2412" s="98" t="s">
        <v>4162</v>
      </c>
      <c r="H2412" s="98" t="s">
        <v>1703</v>
      </c>
      <c r="I2412" s="98" t="s">
        <v>1704</v>
      </c>
      <c r="J2412" s="98" t="s">
        <v>1705</v>
      </c>
      <c r="K2412" s="98" t="s">
        <v>1706</v>
      </c>
    </row>
    <row r="2413" customFormat="false" ht="64" hidden="false" customHeight="true" outlineLevel="0" collapsed="false">
      <c r="C2413" s="98" t="s">
        <v>4197</v>
      </c>
      <c r="D2413" s="98" t="s">
        <v>1764</v>
      </c>
      <c r="E2413" s="98" t="s">
        <v>811</v>
      </c>
      <c r="F2413" s="98" t="n">
        <v>0</v>
      </c>
      <c r="G2413" s="98" t="s">
        <v>4162</v>
      </c>
      <c r="H2413" s="98" t="s">
        <v>1703</v>
      </c>
      <c r="I2413" s="98" t="s">
        <v>1704</v>
      </c>
      <c r="J2413" s="98" t="s">
        <v>1705</v>
      </c>
      <c r="K2413" s="98" t="s">
        <v>1706</v>
      </c>
    </row>
    <row r="2414" customFormat="false" ht="64" hidden="false" customHeight="true" outlineLevel="0" collapsed="false">
      <c r="C2414" s="98" t="s">
        <v>4198</v>
      </c>
      <c r="D2414" s="98" t="s">
        <v>1829</v>
      </c>
      <c r="E2414" s="98" t="s">
        <v>1830</v>
      </c>
      <c r="F2414" s="98" t="n">
        <v>13.4981373941248</v>
      </c>
      <c r="G2414" s="98" t="s">
        <v>4199</v>
      </c>
      <c r="H2414" s="98" t="s">
        <v>1703</v>
      </c>
      <c r="I2414" s="98" t="s">
        <v>1704</v>
      </c>
      <c r="J2414" s="98" t="s">
        <v>1705</v>
      </c>
      <c r="K2414" s="98" t="s">
        <v>1706</v>
      </c>
    </row>
    <row r="2415" customFormat="false" ht="64" hidden="false" customHeight="true" outlineLevel="0" collapsed="false">
      <c r="C2415" s="98" t="s">
        <v>4200</v>
      </c>
      <c r="D2415" s="98" t="s">
        <v>1833</v>
      </c>
      <c r="E2415" s="98" t="s">
        <v>1830</v>
      </c>
      <c r="F2415" s="98" t="n">
        <v>13.4981373941248</v>
      </c>
      <c r="G2415" s="98" t="s">
        <v>4199</v>
      </c>
      <c r="H2415" s="98" t="s">
        <v>1703</v>
      </c>
      <c r="I2415" s="98" t="s">
        <v>1704</v>
      </c>
      <c r="J2415" s="98" t="s">
        <v>1705</v>
      </c>
      <c r="K2415" s="98" t="s">
        <v>1706</v>
      </c>
    </row>
    <row r="2416" customFormat="false" ht="64" hidden="false" customHeight="true" outlineLevel="0" collapsed="false">
      <c r="C2416" s="98" t="s">
        <v>4201</v>
      </c>
      <c r="D2416" s="98" t="s">
        <v>1835</v>
      </c>
      <c r="E2416" s="98" t="s">
        <v>1830</v>
      </c>
      <c r="F2416" s="98" t="n">
        <v>13.4981373941248</v>
      </c>
      <c r="G2416" s="98" t="s">
        <v>4199</v>
      </c>
      <c r="H2416" s="98" t="s">
        <v>1703</v>
      </c>
      <c r="I2416" s="98" t="s">
        <v>1704</v>
      </c>
      <c r="J2416" s="98" t="s">
        <v>1705</v>
      </c>
      <c r="K2416" s="98" t="s">
        <v>1706</v>
      </c>
    </row>
    <row r="2417" customFormat="false" ht="64" hidden="false" customHeight="true" outlineLevel="0" collapsed="false">
      <c r="C2417" s="98" t="s">
        <v>4202</v>
      </c>
      <c r="D2417" s="98" t="s">
        <v>1044</v>
      </c>
      <c r="E2417" s="98" t="s">
        <v>1830</v>
      </c>
      <c r="F2417" s="98" t="n">
        <v>13.4981373941248</v>
      </c>
      <c r="G2417" s="98" t="s">
        <v>4199</v>
      </c>
      <c r="H2417" s="98" t="s">
        <v>1703</v>
      </c>
      <c r="I2417" s="98" t="s">
        <v>1704</v>
      </c>
      <c r="J2417" s="98" t="s">
        <v>1705</v>
      </c>
      <c r="K2417" s="98" t="s">
        <v>1706</v>
      </c>
    </row>
    <row r="2418" customFormat="false" ht="64" hidden="false" customHeight="true" outlineLevel="0" collapsed="false">
      <c r="C2418" s="98" t="s">
        <v>4203</v>
      </c>
      <c r="D2418" s="98" t="s">
        <v>1838</v>
      </c>
      <c r="E2418" s="98" t="s">
        <v>1830</v>
      </c>
      <c r="F2418" s="98" t="n">
        <v>13.4981373941248</v>
      </c>
      <c r="G2418" s="98" t="s">
        <v>4199</v>
      </c>
      <c r="H2418" s="98" t="s">
        <v>1703</v>
      </c>
      <c r="I2418" s="98" t="s">
        <v>1704</v>
      </c>
      <c r="J2418" s="98" t="s">
        <v>1705</v>
      </c>
      <c r="K2418" s="98" t="s">
        <v>1706</v>
      </c>
    </row>
    <row r="2419" customFormat="false" ht="64" hidden="false" customHeight="true" outlineLevel="0" collapsed="false">
      <c r="C2419" s="98" t="s">
        <v>4204</v>
      </c>
      <c r="D2419" s="98" t="s">
        <v>1840</v>
      </c>
      <c r="E2419" s="98" t="s">
        <v>1830</v>
      </c>
      <c r="F2419" s="98" t="n">
        <v>13.4981373941248</v>
      </c>
      <c r="G2419" s="98" t="s">
        <v>4199</v>
      </c>
      <c r="H2419" s="98" t="s">
        <v>1703</v>
      </c>
      <c r="I2419" s="98" t="s">
        <v>1704</v>
      </c>
      <c r="J2419" s="98" t="s">
        <v>1705</v>
      </c>
      <c r="K2419" s="98" t="s">
        <v>1706</v>
      </c>
    </row>
    <row r="2420" customFormat="false" ht="64" hidden="false" customHeight="true" outlineLevel="0" collapsed="false">
      <c r="C2420" s="98" t="s">
        <v>4205</v>
      </c>
      <c r="D2420" s="98" t="s">
        <v>1700</v>
      </c>
      <c r="E2420" s="98" t="s">
        <v>1830</v>
      </c>
      <c r="F2420" s="98" t="n">
        <v>13.4981373941248</v>
      </c>
      <c r="G2420" s="98" t="s">
        <v>4199</v>
      </c>
      <c r="H2420" s="98" t="s">
        <v>1703</v>
      </c>
      <c r="I2420" s="98" t="s">
        <v>1704</v>
      </c>
      <c r="J2420" s="98" t="s">
        <v>1705</v>
      </c>
      <c r="K2420" s="98" t="s">
        <v>1706</v>
      </c>
    </row>
    <row r="2421" customFormat="false" ht="64" hidden="false" customHeight="true" outlineLevel="0" collapsed="false">
      <c r="C2421" s="98" t="s">
        <v>4206</v>
      </c>
      <c r="D2421" s="98" t="s">
        <v>1708</v>
      </c>
      <c r="E2421" s="98" t="s">
        <v>1830</v>
      </c>
      <c r="F2421" s="98" t="n">
        <v>13.4981373941248</v>
      </c>
      <c r="G2421" s="98" t="s">
        <v>4199</v>
      </c>
      <c r="H2421" s="98" t="s">
        <v>1703</v>
      </c>
      <c r="I2421" s="98" t="s">
        <v>1704</v>
      </c>
      <c r="J2421" s="98" t="s">
        <v>1705</v>
      </c>
      <c r="K2421" s="98" t="s">
        <v>1706</v>
      </c>
    </row>
    <row r="2422" customFormat="false" ht="64" hidden="false" customHeight="true" outlineLevel="0" collapsed="false">
      <c r="C2422" s="98" t="s">
        <v>4207</v>
      </c>
      <c r="D2422" s="98" t="s">
        <v>1710</v>
      </c>
      <c r="E2422" s="98" t="s">
        <v>1830</v>
      </c>
      <c r="F2422" s="98" t="n">
        <v>13.4981373941248</v>
      </c>
      <c r="G2422" s="98" t="s">
        <v>4199</v>
      </c>
      <c r="H2422" s="98" t="s">
        <v>1703</v>
      </c>
      <c r="I2422" s="98" t="s">
        <v>1704</v>
      </c>
      <c r="J2422" s="98" t="s">
        <v>1705</v>
      </c>
      <c r="K2422" s="98" t="s">
        <v>1706</v>
      </c>
    </row>
    <row r="2423" customFormat="false" ht="64" hidden="false" customHeight="true" outlineLevel="0" collapsed="false">
      <c r="C2423" s="98" t="s">
        <v>4208</v>
      </c>
      <c r="D2423" s="98" t="s">
        <v>1712</v>
      </c>
      <c r="E2423" s="98" t="s">
        <v>1830</v>
      </c>
      <c r="F2423" s="98" t="n">
        <v>13.4981373941248</v>
      </c>
      <c r="G2423" s="98" t="s">
        <v>4199</v>
      </c>
      <c r="H2423" s="98" t="s">
        <v>1703</v>
      </c>
      <c r="I2423" s="98" t="s">
        <v>1704</v>
      </c>
      <c r="J2423" s="98" t="s">
        <v>1705</v>
      </c>
      <c r="K2423" s="98" t="s">
        <v>1706</v>
      </c>
    </row>
    <row r="2424" customFormat="false" ht="64" hidden="false" customHeight="true" outlineLevel="0" collapsed="false">
      <c r="C2424" s="98" t="s">
        <v>4209</v>
      </c>
      <c r="D2424" s="98" t="s">
        <v>1714</v>
      </c>
      <c r="E2424" s="98" t="s">
        <v>1830</v>
      </c>
      <c r="F2424" s="98" t="n">
        <v>13.4981373941248</v>
      </c>
      <c r="G2424" s="98" t="s">
        <v>4199</v>
      </c>
      <c r="H2424" s="98" t="s">
        <v>1703</v>
      </c>
      <c r="I2424" s="98" t="s">
        <v>1704</v>
      </c>
      <c r="J2424" s="98" t="s">
        <v>1705</v>
      </c>
      <c r="K2424" s="98" t="s">
        <v>1706</v>
      </c>
    </row>
    <row r="2425" customFormat="false" ht="64" hidden="false" customHeight="true" outlineLevel="0" collapsed="false">
      <c r="C2425" s="98" t="s">
        <v>4210</v>
      </c>
      <c r="D2425" s="98" t="s">
        <v>1716</v>
      </c>
      <c r="E2425" s="98" t="s">
        <v>1830</v>
      </c>
      <c r="F2425" s="98" t="n">
        <v>13.4981373941248</v>
      </c>
      <c r="G2425" s="98" t="s">
        <v>4199</v>
      </c>
      <c r="H2425" s="98" t="s">
        <v>1703</v>
      </c>
      <c r="I2425" s="98" t="s">
        <v>1704</v>
      </c>
      <c r="J2425" s="98" t="s">
        <v>1705</v>
      </c>
      <c r="K2425" s="98" t="s">
        <v>1706</v>
      </c>
    </row>
    <row r="2426" customFormat="false" ht="64" hidden="false" customHeight="true" outlineLevel="0" collapsed="false">
      <c r="C2426" s="98" t="s">
        <v>4211</v>
      </c>
      <c r="D2426" s="98" t="s">
        <v>1718</v>
      </c>
      <c r="E2426" s="98" t="s">
        <v>1830</v>
      </c>
      <c r="F2426" s="98" t="n">
        <v>13.4981373941248</v>
      </c>
      <c r="G2426" s="98" t="s">
        <v>4199</v>
      </c>
      <c r="H2426" s="98" t="s">
        <v>1703</v>
      </c>
      <c r="I2426" s="98" t="s">
        <v>1704</v>
      </c>
      <c r="J2426" s="98" t="s">
        <v>1705</v>
      </c>
      <c r="K2426" s="98" t="s">
        <v>1706</v>
      </c>
    </row>
    <row r="2427" customFormat="false" ht="64" hidden="false" customHeight="true" outlineLevel="0" collapsed="false">
      <c r="C2427" s="98" t="s">
        <v>4212</v>
      </c>
      <c r="D2427" s="98" t="s">
        <v>1720</v>
      </c>
      <c r="E2427" s="98" t="s">
        <v>1830</v>
      </c>
      <c r="F2427" s="98" t="n">
        <v>13.4981373941248</v>
      </c>
      <c r="G2427" s="98" t="s">
        <v>4199</v>
      </c>
      <c r="H2427" s="98" t="s">
        <v>1703</v>
      </c>
      <c r="I2427" s="98" t="s">
        <v>1704</v>
      </c>
      <c r="J2427" s="98" t="s">
        <v>1705</v>
      </c>
      <c r="K2427" s="98" t="s">
        <v>1706</v>
      </c>
    </row>
    <row r="2428" customFormat="false" ht="64" hidden="false" customHeight="true" outlineLevel="0" collapsed="false">
      <c r="C2428" s="98" t="s">
        <v>4213</v>
      </c>
      <c r="D2428" s="98" t="s">
        <v>1722</v>
      </c>
      <c r="E2428" s="98" t="s">
        <v>1830</v>
      </c>
      <c r="F2428" s="98" t="n">
        <v>13.4981373941248</v>
      </c>
      <c r="G2428" s="98" t="s">
        <v>4199</v>
      </c>
      <c r="H2428" s="98" t="s">
        <v>1703</v>
      </c>
      <c r="I2428" s="98" t="s">
        <v>1704</v>
      </c>
      <c r="J2428" s="98" t="s">
        <v>1705</v>
      </c>
      <c r="K2428" s="98" t="s">
        <v>1706</v>
      </c>
    </row>
    <row r="2429" customFormat="false" ht="64" hidden="false" customHeight="true" outlineLevel="0" collapsed="false">
      <c r="C2429" s="98" t="s">
        <v>4214</v>
      </c>
      <c r="D2429" s="98" t="s">
        <v>1724</v>
      </c>
      <c r="E2429" s="98" t="s">
        <v>1830</v>
      </c>
      <c r="F2429" s="98" t="n">
        <v>13.4981373941248</v>
      </c>
      <c r="G2429" s="98" t="s">
        <v>4199</v>
      </c>
      <c r="H2429" s="98" t="s">
        <v>1703</v>
      </c>
      <c r="I2429" s="98" t="s">
        <v>1704</v>
      </c>
      <c r="J2429" s="98" t="s">
        <v>1705</v>
      </c>
      <c r="K2429" s="98" t="s">
        <v>1706</v>
      </c>
    </row>
    <row r="2430" customFormat="false" ht="64" hidden="false" customHeight="true" outlineLevel="0" collapsed="false">
      <c r="C2430" s="98" t="s">
        <v>4215</v>
      </c>
      <c r="D2430" s="98" t="s">
        <v>1726</v>
      </c>
      <c r="E2430" s="98" t="s">
        <v>1830</v>
      </c>
      <c r="F2430" s="98" t="n">
        <v>13.4981373941248</v>
      </c>
      <c r="G2430" s="98" t="s">
        <v>4199</v>
      </c>
      <c r="H2430" s="98" t="s">
        <v>1703</v>
      </c>
      <c r="I2430" s="98" t="s">
        <v>1704</v>
      </c>
      <c r="J2430" s="98" t="s">
        <v>1705</v>
      </c>
      <c r="K2430" s="98" t="s">
        <v>1706</v>
      </c>
    </row>
    <row r="2431" customFormat="false" ht="64" hidden="false" customHeight="true" outlineLevel="0" collapsed="false">
      <c r="C2431" s="98" t="s">
        <v>4216</v>
      </c>
      <c r="D2431" s="98" t="s">
        <v>1728</v>
      </c>
      <c r="E2431" s="98" t="s">
        <v>1830</v>
      </c>
      <c r="F2431" s="98" t="n">
        <v>13.4981373941248</v>
      </c>
      <c r="G2431" s="98" t="s">
        <v>4199</v>
      </c>
      <c r="H2431" s="98" t="s">
        <v>1703</v>
      </c>
      <c r="I2431" s="98" t="s">
        <v>1704</v>
      </c>
      <c r="J2431" s="98" t="s">
        <v>1705</v>
      </c>
      <c r="K2431" s="98" t="s">
        <v>1706</v>
      </c>
    </row>
    <row r="2432" customFormat="false" ht="64" hidden="false" customHeight="true" outlineLevel="0" collapsed="false">
      <c r="C2432" s="98" t="s">
        <v>4217</v>
      </c>
      <c r="D2432" s="98" t="s">
        <v>1730</v>
      </c>
      <c r="E2432" s="98" t="s">
        <v>1830</v>
      </c>
      <c r="F2432" s="98" t="n">
        <v>13.4981373941248</v>
      </c>
      <c r="G2432" s="98" t="s">
        <v>4199</v>
      </c>
      <c r="H2432" s="98" t="s">
        <v>1703</v>
      </c>
      <c r="I2432" s="98" t="s">
        <v>1704</v>
      </c>
      <c r="J2432" s="98" t="s">
        <v>1705</v>
      </c>
      <c r="K2432" s="98" t="s">
        <v>1706</v>
      </c>
    </row>
    <row r="2433" customFormat="false" ht="64" hidden="false" customHeight="true" outlineLevel="0" collapsed="false">
      <c r="C2433" s="98" t="s">
        <v>4218</v>
      </c>
      <c r="D2433" s="98" t="s">
        <v>1732</v>
      </c>
      <c r="E2433" s="98" t="s">
        <v>1830</v>
      </c>
      <c r="F2433" s="98" t="n">
        <v>13.4981373941248</v>
      </c>
      <c r="G2433" s="98" t="s">
        <v>4199</v>
      </c>
      <c r="H2433" s="98" t="s">
        <v>1703</v>
      </c>
      <c r="I2433" s="98" t="s">
        <v>1704</v>
      </c>
      <c r="J2433" s="98" t="s">
        <v>1705</v>
      </c>
      <c r="K2433" s="98" t="s">
        <v>1706</v>
      </c>
    </row>
    <row r="2434" customFormat="false" ht="64" hidden="false" customHeight="true" outlineLevel="0" collapsed="false">
      <c r="C2434" s="98" t="s">
        <v>4219</v>
      </c>
      <c r="D2434" s="98" t="s">
        <v>1734</v>
      </c>
      <c r="E2434" s="98" t="s">
        <v>1830</v>
      </c>
      <c r="F2434" s="98" t="n">
        <v>13.4981373941248</v>
      </c>
      <c r="G2434" s="98" t="s">
        <v>4199</v>
      </c>
      <c r="H2434" s="98" t="s">
        <v>1703</v>
      </c>
      <c r="I2434" s="98" t="s">
        <v>1704</v>
      </c>
      <c r="J2434" s="98" t="s">
        <v>1705</v>
      </c>
      <c r="K2434" s="98" t="s">
        <v>1706</v>
      </c>
    </row>
    <row r="2435" customFormat="false" ht="64" hidden="false" customHeight="true" outlineLevel="0" collapsed="false">
      <c r="C2435" s="98" t="s">
        <v>4220</v>
      </c>
      <c r="D2435" s="98" t="s">
        <v>1736</v>
      </c>
      <c r="E2435" s="98" t="s">
        <v>1830</v>
      </c>
      <c r="F2435" s="98" t="n">
        <v>13.4981373941248</v>
      </c>
      <c r="G2435" s="98" t="s">
        <v>4199</v>
      </c>
      <c r="H2435" s="98" t="s">
        <v>1703</v>
      </c>
      <c r="I2435" s="98" t="s">
        <v>1704</v>
      </c>
      <c r="J2435" s="98" t="s">
        <v>1705</v>
      </c>
      <c r="K2435" s="98" t="s">
        <v>1706</v>
      </c>
    </row>
    <row r="2436" customFormat="false" ht="64" hidden="false" customHeight="true" outlineLevel="0" collapsed="false">
      <c r="C2436" s="98" t="s">
        <v>4221</v>
      </c>
      <c r="D2436" s="98" t="s">
        <v>1738</v>
      </c>
      <c r="E2436" s="98" t="s">
        <v>1830</v>
      </c>
      <c r="F2436" s="98" t="n">
        <v>13.4981373941248</v>
      </c>
      <c r="G2436" s="98" t="s">
        <v>4199</v>
      </c>
      <c r="H2436" s="98" t="s">
        <v>1703</v>
      </c>
      <c r="I2436" s="98" t="s">
        <v>1704</v>
      </c>
      <c r="J2436" s="98" t="s">
        <v>1705</v>
      </c>
      <c r="K2436" s="98" t="s">
        <v>1706</v>
      </c>
    </row>
    <row r="2437" customFormat="false" ht="64" hidden="false" customHeight="true" outlineLevel="0" collapsed="false">
      <c r="C2437" s="98" t="s">
        <v>4222</v>
      </c>
      <c r="D2437" s="98" t="s">
        <v>1740</v>
      </c>
      <c r="E2437" s="98" t="s">
        <v>1830</v>
      </c>
      <c r="F2437" s="98" t="n">
        <v>13.4981373941248</v>
      </c>
      <c r="G2437" s="98" t="s">
        <v>4199</v>
      </c>
      <c r="H2437" s="98" t="s">
        <v>1703</v>
      </c>
      <c r="I2437" s="98" t="s">
        <v>1704</v>
      </c>
      <c r="J2437" s="98" t="s">
        <v>1705</v>
      </c>
      <c r="K2437" s="98" t="s">
        <v>1706</v>
      </c>
    </row>
    <row r="2438" customFormat="false" ht="64" hidden="false" customHeight="true" outlineLevel="0" collapsed="false">
      <c r="C2438" s="98" t="s">
        <v>4223</v>
      </c>
      <c r="D2438" s="98" t="s">
        <v>1742</v>
      </c>
      <c r="E2438" s="98" t="s">
        <v>1830</v>
      </c>
      <c r="F2438" s="98" t="n">
        <v>13.4981373941248</v>
      </c>
      <c r="G2438" s="98" t="s">
        <v>4199</v>
      </c>
      <c r="H2438" s="98" t="s">
        <v>1703</v>
      </c>
      <c r="I2438" s="98" t="s">
        <v>1704</v>
      </c>
      <c r="J2438" s="98" t="s">
        <v>1705</v>
      </c>
      <c r="K2438" s="98" t="s">
        <v>1706</v>
      </c>
    </row>
    <row r="2439" customFormat="false" ht="64" hidden="false" customHeight="true" outlineLevel="0" collapsed="false">
      <c r="C2439" s="98" t="s">
        <v>4224</v>
      </c>
      <c r="D2439" s="98" t="s">
        <v>1744</v>
      </c>
      <c r="E2439" s="98" t="s">
        <v>1830</v>
      </c>
      <c r="F2439" s="98" t="n">
        <v>13.4981373941248</v>
      </c>
      <c r="G2439" s="98" t="s">
        <v>4199</v>
      </c>
      <c r="H2439" s="98" t="s">
        <v>1703</v>
      </c>
      <c r="I2439" s="98" t="s">
        <v>1704</v>
      </c>
      <c r="J2439" s="98" t="s">
        <v>1705</v>
      </c>
      <c r="K2439" s="98" t="s">
        <v>1706</v>
      </c>
    </row>
    <row r="2440" customFormat="false" ht="64" hidden="false" customHeight="true" outlineLevel="0" collapsed="false">
      <c r="C2440" s="98" t="s">
        <v>4225</v>
      </c>
      <c r="D2440" s="98" t="s">
        <v>1746</v>
      </c>
      <c r="E2440" s="98" t="s">
        <v>1830</v>
      </c>
      <c r="F2440" s="98" t="n">
        <v>13.4981373941248</v>
      </c>
      <c r="G2440" s="98" t="s">
        <v>4199</v>
      </c>
      <c r="H2440" s="98" t="s">
        <v>1703</v>
      </c>
      <c r="I2440" s="98" t="s">
        <v>1704</v>
      </c>
      <c r="J2440" s="98" t="s">
        <v>1705</v>
      </c>
      <c r="K2440" s="98" t="s">
        <v>1706</v>
      </c>
    </row>
    <row r="2441" customFormat="false" ht="64" hidden="false" customHeight="true" outlineLevel="0" collapsed="false">
      <c r="C2441" s="98" t="s">
        <v>4226</v>
      </c>
      <c r="D2441" s="98" t="s">
        <v>1748</v>
      </c>
      <c r="E2441" s="98" t="s">
        <v>1830</v>
      </c>
      <c r="F2441" s="98" t="n">
        <v>13.4981373941248</v>
      </c>
      <c r="G2441" s="98" t="s">
        <v>4199</v>
      </c>
      <c r="H2441" s="98" t="s">
        <v>1703</v>
      </c>
      <c r="I2441" s="98" t="s">
        <v>1704</v>
      </c>
      <c r="J2441" s="98" t="s">
        <v>1705</v>
      </c>
      <c r="K2441" s="98" t="s">
        <v>1706</v>
      </c>
    </row>
    <row r="2442" customFormat="false" ht="64" hidden="false" customHeight="true" outlineLevel="0" collapsed="false">
      <c r="C2442" s="98" t="s">
        <v>4227</v>
      </c>
      <c r="D2442" s="98" t="s">
        <v>1750</v>
      </c>
      <c r="E2442" s="98" t="s">
        <v>1830</v>
      </c>
      <c r="F2442" s="98" t="n">
        <v>13.4981373941248</v>
      </c>
      <c r="G2442" s="98" t="s">
        <v>4199</v>
      </c>
      <c r="H2442" s="98" t="s">
        <v>1703</v>
      </c>
      <c r="I2442" s="98" t="s">
        <v>1704</v>
      </c>
      <c r="J2442" s="98" t="s">
        <v>1705</v>
      </c>
      <c r="K2442" s="98" t="s">
        <v>1706</v>
      </c>
    </row>
    <row r="2443" customFormat="false" ht="64" hidden="false" customHeight="true" outlineLevel="0" collapsed="false">
      <c r="C2443" s="98" t="s">
        <v>4228</v>
      </c>
      <c r="D2443" s="98" t="s">
        <v>1752</v>
      </c>
      <c r="E2443" s="98" t="s">
        <v>1830</v>
      </c>
      <c r="F2443" s="98" t="n">
        <v>13.4981373941248</v>
      </c>
      <c r="G2443" s="98" t="s">
        <v>4199</v>
      </c>
      <c r="H2443" s="98" t="s">
        <v>1703</v>
      </c>
      <c r="I2443" s="98" t="s">
        <v>1704</v>
      </c>
      <c r="J2443" s="98" t="s">
        <v>1705</v>
      </c>
      <c r="K2443" s="98" t="s">
        <v>1706</v>
      </c>
    </row>
    <row r="2444" customFormat="false" ht="64" hidden="false" customHeight="true" outlineLevel="0" collapsed="false">
      <c r="C2444" s="98" t="s">
        <v>4229</v>
      </c>
      <c r="D2444" s="98" t="s">
        <v>1754</v>
      </c>
      <c r="E2444" s="98" t="s">
        <v>1830</v>
      </c>
      <c r="F2444" s="98" t="n">
        <v>13.4981373941248</v>
      </c>
      <c r="G2444" s="98" t="s">
        <v>4199</v>
      </c>
      <c r="H2444" s="98" t="s">
        <v>1703</v>
      </c>
      <c r="I2444" s="98" t="s">
        <v>1704</v>
      </c>
      <c r="J2444" s="98" t="s">
        <v>1705</v>
      </c>
      <c r="K2444" s="98" t="s">
        <v>1706</v>
      </c>
    </row>
    <row r="2445" customFormat="false" ht="64" hidden="false" customHeight="true" outlineLevel="0" collapsed="false">
      <c r="C2445" s="98" t="s">
        <v>4230</v>
      </c>
      <c r="D2445" s="98" t="s">
        <v>1756</v>
      </c>
      <c r="E2445" s="98" t="s">
        <v>1830</v>
      </c>
      <c r="F2445" s="98" t="n">
        <v>13.4981373941248</v>
      </c>
      <c r="G2445" s="98" t="s">
        <v>4199</v>
      </c>
      <c r="H2445" s="98" t="s">
        <v>1703</v>
      </c>
      <c r="I2445" s="98" t="s">
        <v>1704</v>
      </c>
      <c r="J2445" s="98" t="s">
        <v>1705</v>
      </c>
      <c r="K2445" s="98" t="s">
        <v>1706</v>
      </c>
    </row>
    <row r="2446" customFormat="false" ht="64" hidden="false" customHeight="true" outlineLevel="0" collapsed="false">
      <c r="C2446" s="98" t="s">
        <v>4231</v>
      </c>
      <c r="D2446" s="98" t="s">
        <v>1758</v>
      </c>
      <c r="E2446" s="98" t="s">
        <v>1830</v>
      </c>
      <c r="F2446" s="98" t="n">
        <v>13.4981373941248</v>
      </c>
      <c r="G2446" s="98" t="s">
        <v>4199</v>
      </c>
      <c r="H2446" s="98" t="s">
        <v>1703</v>
      </c>
      <c r="I2446" s="98" t="s">
        <v>1704</v>
      </c>
      <c r="J2446" s="98" t="s">
        <v>1705</v>
      </c>
      <c r="K2446" s="98" t="s">
        <v>1706</v>
      </c>
    </row>
    <row r="2447" customFormat="false" ht="64" hidden="false" customHeight="true" outlineLevel="0" collapsed="false">
      <c r="C2447" s="98" t="s">
        <v>4232</v>
      </c>
      <c r="D2447" s="98" t="s">
        <v>1760</v>
      </c>
      <c r="E2447" s="98" t="s">
        <v>1830</v>
      </c>
      <c r="F2447" s="98" t="n">
        <v>13.4981373941248</v>
      </c>
      <c r="G2447" s="98" t="s">
        <v>4199</v>
      </c>
      <c r="H2447" s="98" t="s">
        <v>1703</v>
      </c>
      <c r="I2447" s="98" t="s">
        <v>1704</v>
      </c>
      <c r="J2447" s="98" t="s">
        <v>1705</v>
      </c>
      <c r="K2447" s="98" t="s">
        <v>1706</v>
      </c>
    </row>
    <row r="2448" customFormat="false" ht="64" hidden="false" customHeight="true" outlineLevel="0" collapsed="false">
      <c r="C2448" s="98" t="s">
        <v>4233</v>
      </c>
      <c r="D2448" s="98" t="s">
        <v>1762</v>
      </c>
      <c r="E2448" s="98" t="s">
        <v>1830</v>
      </c>
      <c r="F2448" s="98" t="n">
        <v>13.4981373941248</v>
      </c>
      <c r="G2448" s="98" t="s">
        <v>4199</v>
      </c>
      <c r="H2448" s="98" t="s">
        <v>1703</v>
      </c>
      <c r="I2448" s="98" t="s">
        <v>1704</v>
      </c>
      <c r="J2448" s="98" t="s">
        <v>1705</v>
      </c>
      <c r="K2448" s="98" t="s">
        <v>1706</v>
      </c>
    </row>
    <row r="2449" customFormat="false" ht="64" hidden="false" customHeight="true" outlineLevel="0" collapsed="false">
      <c r="C2449" s="98" t="s">
        <v>4234</v>
      </c>
      <c r="D2449" s="98" t="s">
        <v>1764</v>
      </c>
      <c r="E2449" s="98" t="s">
        <v>1830</v>
      </c>
      <c r="F2449" s="98" t="n">
        <v>13.4981373941248</v>
      </c>
      <c r="G2449" s="98" t="s">
        <v>4199</v>
      </c>
      <c r="H2449" s="98" t="s">
        <v>1703</v>
      </c>
      <c r="I2449" s="98" t="s">
        <v>1704</v>
      </c>
      <c r="J2449" s="98" t="s">
        <v>1705</v>
      </c>
      <c r="K2449" s="98" t="s">
        <v>1706</v>
      </c>
    </row>
    <row r="2450" customFormat="false" ht="64" hidden="false" customHeight="true" outlineLevel="0" collapsed="false">
      <c r="C2450" s="98" t="s">
        <v>4235</v>
      </c>
      <c r="D2450" s="98" t="s">
        <v>1829</v>
      </c>
      <c r="E2450" s="98" t="s">
        <v>835</v>
      </c>
      <c r="F2450" s="98" t="n">
        <v>0</v>
      </c>
      <c r="G2450" s="98" t="s">
        <v>4236</v>
      </c>
      <c r="H2450" s="98" t="s">
        <v>1767</v>
      </c>
      <c r="I2450" s="98" t="s">
        <v>1704</v>
      </c>
      <c r="J2450" s="98" t="s">
        <v>1705</v>
      </c>
      <c r="K2450" s="98" t="s">
        <v>1706</v>
      </c>
    </row>
    <row r="2451" customFormat="false" ht="64" hidden="false" customHeight="true" outlineLevel="0" collapsed="false">
      <c r="C2451" s="98" t="s">
        <v>4237</v>
      </c>
      <c r="D2451" s="98" t="s">
        <v>1833</v>
      </c>
      <c r="E2451" s="98" t="s">
        <v>835</v>
      </c>
      <c r="F2451" s="98" t="n">
        <v>0</v>
      </c>
      <c r="G2451" s="98" t="s">
        <v>4236</v>
      </c>
      <c r="H2451" s="98" t="s">
        <v>1767</v>
      </c>
      <c r="I2451" s="98" t="s">
        <v>1704</v>
      </c>
      <c r="J2451" s="98" t="s">
        <v>1705</v>
      </c>
      <c r="K2451" s="98" t="s">
        <v>1706</v>
      </c>
    </row>
    <row r="2452" customFormat="false" ht="64" hidden="false" customHeight="true" outlineLevel="0" collapsed="false">
      <c r="C2452" s="98" t="s">
        <v>4238</v>
      </c>
      <c r="D2452" s="98" t="s">
        <v>1835</v>
      </c>
      <c r="E2452" s="98" t="s">
        <v>835</v>
      </c>
      <c r="F2452" s="98" t="n">
        <v>0</v>
      </c>
      <c r="G2452" s="98" t="s">
        <v>4236</v>
      </c>
      <c r="H2452" s="98" t="s">
        <v>1767</v>
      </c>
      <c r="I2452" s="98" t="s">
        <v>1704</v>
      </c>
      <c r="J2452" s="98" t="s">
        <v>1705</v>
      </c>
      <c r="K2452" s="98" t="s">
        <v>1706</v>
      </c>
    </row>
    <row r="2453" customFormat="false" ht="64" hidden="false" customHeight="true" outlineLevel="0" collapsed="false">
      <c r="C2453" s="98" t="s">
        <v>4239</v>
      </c>
      <c r="D2453" s="98" t="s">
        <v>1044</v>
      </c>
      <c r="E2453" s="98" t="s">
        <v>835</v>
      </c>
      <c r="F2453" s="98" t="n">
        <v>0</v>
      </c>
      <c r="G2453" s="98" t="s">
        <v>4236</v>
      </c>
      <c r="H2453" s="98" t="s">
        <v>1767</v>
      </c>
      <c r="I2453" s="98" t="s">
        <v>1704</v>
      </c>
      <c r="J2453" s="98" t="s">
        <v>1705</v>
      </c>
      <c r="K2453" s="98" t="s">
        <v>1706</v>
      </c>
    </row>
    <row r="2454" customFormat="false" ht="64" hidden="false" customHeight="true" outlineLevel="0" collapsed="false">
      <c r="C2454" s="98" t="s">
        <v>4240</v>
      </c>
      <c r="D2454" s="98" t="s">
        <v>1838</v>
      </c>
      <c r="E2454" s="98" t="s">
        <v>835</v>
      </c>
      <c r="F2454" s="98" t="n">
        <v>0</v>
      </c>
      <c r="G2454" s="98" t="s">
        <v>4236</v>
      </c>
      <c r="H2454" s="98" t="s">
        <v>1767</v>
      </c>
      <c r="I2454" s="98" t="s">
        <v>1704</v>
      </c>
      <c r="J2454" s="98" t="s">
        <v>1705</v>
      </c>
      <c r="K2454" s="98" t="s">
        <v>1706</v>
      </c>
    </row>
    <row r="2455" customFormat="false" ht="64" hidden="false" customHeight="true" outlineLevel="0" collapsed="false">
      <c r="C2455" s="98" t="s">
        <v>4241</v>
      </c>
      <c r="D2455" s="98" t="s">
        <v>1840</v>
      </c>
      <c r="E2455" s="98" t="s">
        <v>835</v>
      </c>
      <c r="F2455" s="98" t="n">
        <v>0</v>
      </c>
      <c r="G2455" s="98" t="s">
        <v>4236</v>
      </c>
      <c r="H2455" s="98" t="s">
        <v>1767</v>
      </c>
      <c r="I2455" s="98" t="s">
        <v>1704</v>
      </c>
      <c r="J2455" s="98" t="s">
        <v>1705</v>
      </c>
      <c r="K2455" s="98" t="s">
        <v>1706</v>
      </c>
    </row>
    <row r="2456" customFormat="false" ht="64" hidden="false" customHeight="true" outlineLevel="0" collapsed="false">
      <c r="C2456" s="98" t="s">
        <v>4242</v>
      </c>
      <c r="D2456" s="98" t="s">
        <v>1700</v>
      </c>
      <c r="E2456" s="98" t="s">
        <v>835</v>
      </c>
      <c r="F2456" s="98" t="n">
        <v>0</v>
      </c>
      <c r="G2456" s="98" t="s">
        <v>4236</v>
      </c>
      <c r="H2456" s="98" t="s">
        <v>1767</v>
      </c>
      <c r="I2456" s="98" t="s">
        <v>1704</v>
      </c>
      <c r="J2456" s="98" t="s">
        <v>1705</v>
      </c>
      <c r="K2456" s="98" t="s">
        <v>1706</v>
      </c>
    </row>
    <row r="2457" customFormat="false" ht="64" hidden="false" customHeight="true" outlineLevel="0" collapsed="false">
      <c r="C2457" s="98" t="s">
        <v>4243</v>
      </c>
      <c r="D2457" s="98" t="s">
        <v>1708</v>
      </c>
      <c r="E2457" s="98" t="s">
        <v>835</v>
      </c>
      <c r="F2457" s="98" t="n">
        <v>0</v>
      </c>
      <c r="G2457" s="98" t="s">
        <v>4236</v>
      </c>
      <c r="H2457" s="98" t="s">
        <v>1767</v>
      </c>
      <c r="I2457" s="98" t="s">
        <v>1704</v>
      </c>
      <c r="J2457" s="98" t="s">
        <v>1705</v>
      </c>
      <c r="K2457" s="98" t="s">
        <v>1706</v>
      </c>
    </row>
    <row r="2458" customFormat="false" ht="64" hidden="false" customHeight="true" outlineLevel="0" collapsed="false">
      <c r="C2458" s="98" t="s">
        <v>4244</v>
      </c>
      <c r="D2458" s="98" t="s">
        <v>1710</v>
      </c>
      <c r="E2458" s="98" t="s">
        <v>835</v>
      </c>
      <c r="F2458" s="98" t="n">
        <v>0</v>
      </c>
      <c r="G2458" s="98" t="s">
        <v>4236</v>
      </c>
      <c r="H2458" s="98" t="s">
        <v>1767</v>
      </c>
      <c r="I2458" s="98" t="s">
        <v>1704</v>
      </c>
      <c r="J2458" s="98" t="s">
        <v>1705</v>
      </c>
      <c r="K2458" s="98" t="s">
        <v>1706</v>
      </c>
    </row>
    <row r="2459" customFormat="false" ht="64" hidden="false" customHeight="true" outlineLevel="0" collapsed="false">
      <c r="C2459" s="98" t="s">
        <v>4245</v>
      </c>
      <c r="D2459" s="98" t="s">
        <v>1712</v>
      </c>
      <c r="E2459" s="98" t="s">
        <v>835</v>
      </c>
      <c r="F2459" s="98" t="n">
        <v>0</v>
      </c>
      <c r="G2459" s="98" t="s">
        <v>4236</v>
      </c>
      <c r="H2459" s="98" t="s">
        <v>1767</v>
      </c>
      <c r="I2459" s="98" t="s">
        <v>1704</v>
      </c>
      <c r="J2459" s="98" t="s">
        <v>1705</v>
      </c>
      <c r="K2459" s="98" t="s">
        <v>1706</v>
      </c>
    </row>
    <row r="2460" customFormat="false" ht="64" hidden="false" customHeight="true" outlineLevel="0" collapsed="false">
      <c r="C2460" s="98" t="s">
        <v>4246</v>
      </c>
      <c r="D2460" s="98" t="s">
        <v>1714</v>
      </c>
      <c r="E2460" s="98" t="s">
        <v>835</v>
      </c>
      <c r="F2460" s="98" t="n">
        <v>0</v>
      </c>
      <c r="G2460" s="98" t="s">
        <v>4236</v>
      </c>
      <c r="H2460" s="98" t="s">
        <v>1767</v>
      </c>
      <c r="I2460" s="98" t="s">
        <v>1704</v>
      </c>
      <c r="J2460" s="98" t="s">
        <v>1705</v>
      </c>
      <c r="K2460" s="98" t="s">
        <v>1706</v>
      </c>
    </row>
    <row r="2461" customFormat="false" ht="64" hidden="false" customHeight="true" outlineLevel="0" collapsed="false">
      <c r="C2461" s="98" t="s">
        <v>4247</v>
      </c>
      <c r="D2461" s="98" t="s">
        <v>1716</v>
      </c>
      <c r="E2461" s="98" t="s">
        <v>835</v>
      </c>
      <c r="F2461" s="98" t="n">
        <v>0</v>
      </c>
      <c r="G2461" s="98" t="s">
        <v>4236</v>
      </c>
      <c r="H2461" s="98" t="s">
        <v>1767</v>
      </c>
      <c r="I2461" s="98" t="s">
        <v>1704</v>
      </c>
      <c r="J2461" s="98" t="s">
        <v>1705</v>
      </c>
      <c r="K2461" s="98" t="s">
        <v>1706</v>
      </c>
    </row>
    <row r="2462" customFormat="false" ht="64" hidden="false" customHeight="true" outlineLevel="0" collapsed="false">
      <c r="C2462" s="98" t="s">
        <v>4248</v>
      </c>
      <c r="D2462" s="98" t="s">
        <v>1718</v>
      </c>
      <c r="E2462" s="98" t="s">
        <v>835</v>
      </c>
      <c r="F2462" s="98" t="n">
        <v>0</v>
      </c>
      <c r="G2462" s="98" t="s">
        <v>4236</v>
      </c>
      <c r="H2462" s="98" t="s">
        <v>1767</v>
      </c>
      <c r="I2462" s="98" t="s">
        <v>1704</v>
      </c>
      <c r="J2462" s="98" t="s">
        <v>1705</v>
      </c>
      <c r="K2462" s="98" t="s">
        <v>1706</v>
      </c>
    </row>
    <row r="2463" customFormat="false" ht="64" hidden="false" customHeight="true" outlineLevel="0" collapsed="false">
      <c r="C2463" s="98" t="s">
        <v>4249</v>
      </c>
      <c r="D2463" s="98" t="s">
        <v>1720</v>
      </c>
      <c r="E2463" s="98" t="s">
        <v>835</v>
      </c>
      <c r="F2463" s="98" t="n">
        <v>0</v>
      </c>
      <c r="G2463" s="98" t="s">
        <v>4236</v>
      </c>
      <c r="H2463" s="98" t="s">
        <v>1767</v>
      </c>
      <c r="I2463" s="98" t="s">
        <v>1704</v>
      </c>
      <c r="J2463" s="98" t="s">
        <v>1705</v>
      </c>
      <c r="K2463" s="98" t="s">
        <v>1706</v>
      </c>
    </row>
    <row r="2464" customFormat="false" ht="64" hidden="false" customHeight="true" outlineLevel="0" collapsed="false">
      <c r="C2464" s="98" t="s">
        <v>4250</v>
      </c>
      <c r="D2464" s="98" t="s">
        <v>1722</v>
      </c>
      <c r="E2464" s="98" t="s">
        <v>835</v>
      </c>
      <c r="F2464" s="98" t="n">
        <v>0</v>
      </c>
      <c r="G2464" s="98" t="s">
        <v>4236</v>
      </c>
      <c r="H2464" s="98" t="s">
        <v>1767</v>
      </c>
      <c r="I2464" s="98" t="s">
        <v>1704</v>
      </c>
      <c r="J2464" s="98" t="s">
        <v>1705</v>
      </c>
      <c r="K2464" s="98" t="s">
        <v>1706</v>
      </c>
    </row>
    <row r="2465" customFormat="false" ht="64" hidden="false" customHeight="true" outlineLevel="0" collapsed="false">
      <c r="C2465" s="98" t="s">
        <v>4251</v>
      </c>
      <c r="D2465" s="98" t="s">
        <v>1724</v>
      </c>
      <c r="E2465" s="98" t="s">
        <v>835</v>
      </c>
      <c r="F2465" s="98" t="n">
        <v>0</v>
      </c>
      <c r="G2465" s="98" t="s">
        <v>4236</v>
      </c>
      <c r="H2465" s="98" t="s">
        <v>1767</v>
      </c>
      <c r="I2465" s="98" t="s">
        <v>1704</v>
      </c>
      <c r="J2465" s="98" t="s">
        <v>1705</v>
      </c>
      <c r="K2465" s="98" t="s">
        <v>1706</v>
      </c>
    </row>
    <row r="2466" customFormat="false" ht="64" hidden="false" customHeight="true" outlineLevel="0" collapsed="false">
      <c r="C2466" s="98" t="s">
        <v>4252</v>
      </c>
      <c r="D2466" s="98" t="s">
        <v>1726</v>
      </c>
      <c r="E2466" s="98" t="s">
        <v>835</v>
      </c>
      <c r="F2466" s="98" t="n">
        <v>0</v>
      </c>
      <c r="G2466" s="98" t="s">
        <v>4236</v>
      </c>
      <c r="H2466" s="98" t="s">
        <v>1767</v>
      </c>
      <c r="I2466" s="98" t="s">
        <v>1704</v>
      </c>
      <c r="J2466" s="98" t="s">
        <v>1705</v>
      </c>
      <c r="K2466" s="98" t="s">
        <v>1706</v>
      </c>
    </row>
    <row r="2467" customFormat="false" ht="64" hidden="false" customHeight="true" outlineLevel="0" collapsed="false">
      <c r="C2467" s="98" t="s">
        <v>4253</v>
      </c>
      <c r="D2467" s="98" t="s">
        <v>1728</v>
      </c>
      <c r="E2467" s="98" t="s">
        <v>835</v>
      </c>
      <c r="F2467" s="98" t="n">
        <v>0</v>
      </c>
      <c r="G2467" s="98" t="s">
        <v>4236</v>
      </c>
      <c r="H2467" s="98" t="s">
        <v>1767</v>
      </c>
      <c r="I2467" s="98" t="s">
        <v>1704</v>
      </c>
      <c r="J2467" s="98" t="s">
        <v>1705</v>
      </c>
      <c r="K2467" s="98" t="s">
        <v>1706</v>
      </c>
    </row>
    <row r="2468" customFormat="false" ht="64" hidden="false" customHeight="true" outlineLevel="0" collapsed="false">
      <c r="C2468" s="98" t="s">
        <v>4254</v>
      </c>
      <c r="D2468" s="98" t="s">
        <v>1730</v>
      </c>
      <c r="E2468" s="98" t="s">
        <v>835</v>
      </c>
      <c r="F2468" s="98" t="n">
        <v>0</v>
      </c>
      <c r="G2468" s="98" t="s">
        <v>4236</v>
      </c>
      <c r="H2468" s="98" t="s">
        <v>1767</v>
      </c>
      <c r="I2468" s="98" t="s">
        <v>1704</v>
      </c>
      <c r="J2468" s="98" t="s">
        <v>1705</v>
      </c>
      <c r="K2468" s="98" t="s">
        <v>1706</v>
      </c>
    </row>
    <row r="2469" customFormat="false" ht="64" hidden="false" customHeight="true" outlineLevel="0" collapsed="false">
      <c r="C2469" s="98" t="s">
        <v>4255</v>
      </c>
      <c r="D2469" s="98" t="s">
        <v>1732</v>
      </c>
      <c r="E2469" s="98" t="s">
        <v>835</v>
      </c>
      <c r="F2469" s="98" t="n">
        <v>0</v>
      </c>
      <c r="G2469" s="98" t="s">
        <v>4236</v>
      </c>
      <c r="H2469" s="98" t="s">
        <v>1767</v>
      </c>
      <c r="I2469" s="98" t="s">
        <v>1704</v>
      </c>
      <c r="J2469" s="98" t="s">
        <v>1705</v>
      </c>
      <c r="K2469" s="98" t="s">
        <v>1706</v>
      </c>
    </row>
    <row r="2470" customFormat="false" ht="64" hidden="false" customHeight="true" outlineLevel="0" collapsed="false">
      <c r="C2470" s="98" t="s">
        <v>4256</v>
      </c>
      <c r="D2470" s="98" t="s">
        <v>1734</v>
      </c>
      <c r="E2470" s="98" t="s">
        <v>835</v>
      </c>
      <c r="F2470" s="98" t="n">
        <v>0</v>
      </c>
      <c r="G2470" s="98" t="s">
        <v>4236</v>
      </c>
      <c r="H2470" s="98" t="s">
        <v>1767</v>
      </c>
      <c r="I2470" s="98" t="s">
        <v>1704</v>
      </c>
      <c r="J2470" s="98" t="s">
        <v>1705</v>
      </c>
      <c r="K2470" s="98" t="s">
        <v>1706</v>
      </c>
    </row>
    <row r="2471" customFormat="false" ht="64" hidden="false" customHeight="true" outlineLevel="0" collapsed="false">
      <c r="C2471" s="98" t="s">
        <v>4257</v>
      </c>
      <c r="D2471" s="98" t="s">
        <v>1736</v>
      </c>
      <c r="E2471" s="98" t="s">
        <v>835</v>
      </c>
      <c r="F2471" s="98" t="n">
        <v>0</v>
      </c>
      <c r="G2471" s="98" t="s">
        <v>4236</v>
      </c>
      <c r="H2471" s="98" t="s">
        <v>1767</v>
      </c>
      <c r="I2471" s="98" t="s">
        <v>1704</v>
      </c>
      <c r="J2471" s="98" t="s">
        <v>1705</v>
      </c>
      <c r="K2471" s="98" t="s">
        <v>1706</v>
      </c>
    </row>
    <row r="2472" customFormat="false" ht="64" hidden="false" customHeight="true" outlineLevel="0" collapsed="false">
      <c r="C2472" s="98" t="s">
        <v>4258</v>
      </c>
      <c r="D2472" s="98" t="s">
        <v>1738</v>
      </c>
      <c r="E2472" s="98" t="s">
        <v>835</v>
      </c>
      <c r="F2472" s="98" t="n">
        <v>0</v>
      </c>
      <c r="G2472" s="98" t="s">
        <v>4236</v>
      </c>
      <c r="H2472" s="98" t="s">
        <v>1767</v>
      </c>
      <c r="I2472" s="98" t="s">
        <v>1704</v>
      </c>
      <c r="J2472" s="98" t="s">
        <v>1705</v>
      </c>
      <c r="K2472" s="98" t="s">
        <v>1706</v>
      </c>
    </row>
    <row r="2473" customFormat="false" ht="64" hidden="false" customHeight="true" outlineLevel="0" collapsed="false">
      <c r="C2473" s="98" t="s">
        <v>4259</v>
      </c>
      <c r="D2473" s="98" t="s">
        <v>1740</v>
      </c>
      <c r="E2473" s="98" t="s">
        <v>835</v>
      </c>
      <c r="F2473" s="98" t="n">
        <v>0</v>
      </c>
      <c r="G2473" s="98" t="s">
        <v>4236</v>
      </c>
      <c r="H2473" s="98" t="s">
        <v>1767</v>
      </c>
      <c r="I2473" s="98" t="s">
        <v>1704</v>
      </c>
      <c r="J2473" s="98" t="s">
        <v>1705</v>
      </c>
      <c r="K2473" s="98" t="s">
        <v>1706</v>
      </c>
    </row>
    <row r="2474" customFormat="false" ht="64" hidden="false" customHeight="true" outlineLevel="0" collapsed="false">
      <c r="C2474" s="98" t="s">
        <v>4260</v>
      </c>
      <c r="D2474" s="98" t="s">
        <v>1742</v>
      </c>
      <c r="E2474" s="98" t="s">
        <v>835</v>
      </c>
      <c r="F2474" s="98" t="n">
        <v>0</v>
      </c>
      <c r="G2474" s="98" t="s">
        <v>4236</v>
      </c>
      <c r="H2474" s="98" t="s">
        <v>1767</v>
      </c>
      <c r="I2474" s="98" t="s">
        <v>1704</v>
      </c>
      <c r="J2474" s="98" t="s">
        <v>1705</v>
      </c>
      <c r="K2474" s="98" t="s">
        <v>1706</v>
      </c>
    </row>
    <row r="2475" customFormat="false" ht="64" hidden="false" customHeight="true" outlineLevel="0" collapsed="false">
      <c r="C2475" s="98" t="s">
        <v>4261</v>
      </c>
      <c r="D2475" s="98" t="s">
        <v>1744</v>
      </c>
      <c r="E2475" s="98" t="s">
        <v>835</v>
      </c>
      <c r="F2475" s="98" t="n">
        <v>0</v>
      </c>
      <c r="G2475" s="98" t="s">
        <v>4236</v>
      </c>
      <c r="H2475" s="98" t="s">
        <v>1767</v>
      </c>
      <c r="I2475" s="98" t="s">
        <v>1704</v>
      </c>
      <c r="J2475" s="98" t="s">
        <v>1705</v>
      </c>
      <c r="K2475" s="98" t="s">
        <v>1706</v>
      </c>
    </row>
    <row r="2476" customFormat="false" ht="64" hidden="false" customHeight="true" outlineLevel="0" collapsed="false">
      <c r="C2476" s="98" t="s">
        <v>4262</v>
      </c>
      <c r="D2476" s="98" t="s">
        <v>1746</v>
      </c>
      <c r="E2476" s="98" t="s">
        <v>835</v>
      </c>
      <c r="F2476" s="98" t="n">
        <v>0</v>
      </c>
      <c r="G2476" s="98" t="s">
        <v>4236</v>
      </c>
      <c r="H2476" s="98" t="s">
        <v>1767</v>
      </c>
      <c r="I2476" s="98" t="s">
        <v>1704</v>
      </c>
      <c r="J2476" s="98" t="s">
        <v>1705</v>
      </c>
      <c r="K2476" s="98" t="s">
        <v>1706</v>
      </c>
    </row>
    <row r="2477" customFormat="false" ht="64" hidden="false" customHeight="true" outlineLevel="0" collapsed="false">
      <c r="C2477" s="98" t="s">
        <v>4263</v>
      </c>
      <c r="D2477" s="98" t="s">
        <v>1748</v>
      </c>
      <c r="E2477" s="98" t="s">
        <v>835</v>
      </c>
      <c r="F2477" s="98" t="n">
        <v>0</v>
      </c>
      <c r="G2477" s="98" t="s">
        <v>4236</v>
      </c>
      <c r="H2477" s="98" t="s">
        <v>1767</v>
      </c>
      <c r="I2477" s="98" t="s">
        <v>1704</v>
      </c>
      <c r="J2477" s="98" t="s">
        <v>1705</v>
      </c>
      <c r="K2477" s="98" t="s">
        <v>1706</v>
      </c>
    </row>
    <row r="2478" customFormat="false" ht="64" hidden="false" customHeight="true" outlineLevel="0" collapsed="false">
      <c r="C2478" s="98" t="s">
        <v>4264</v>
      </c>
      <c r="D2478" s="98" t="s">
        <v>1750</v>
      </c>
      <c r="E2478" s="98" t="s">
        <v>835</v>
      </c>
      <c r="F2478" s="98" t="n">
        <v>0</v>
      </c>
      <c r="G2478" s="98" t="s">
        <v>4236</v>
      </c>
      <c r="H2478" s="98" t="s">
        <v>1767</v>
      </c>
      <c r="I2478" s="98" t="s">
        <v>1704</v>
      </c>
      <c r="J2478" s="98" t="s">
        <v>1705</v>
      </c>
      <c r="K2478" s="98" t="s">
        <v>1706</v>
      </c>
    </row>
    <row r="2479" customFormat="false" ht="64" hidden="false" customHeight="true" outlineLevel="0" collapsed="false">
      <c r="C2479" s="98" t="s">
        <v>4265</v>
      </c>
      <c r="D2479" s="98" t="s">
        <v>1752</v>
      </c>
      <c r="E2479" s="98" t="s">
        <v>835</v>
      </c>
      <c r="F2479" s="98" t="n">
        <v>0</v>
      </c>
      <c r="G2479" s="98" t="s">
        <v>4236</v>
      </c>
      <c r="H2479" s="98" t="s">
        <v>1767</v>
      </c>
      <c r="I2479" s="98" t="s">
        <v>1704</v>
      </c>
      <c r="J2479" s="98" t="s">
        <v>1705</v>
      </c>
      <c r="K2479" s="98" t="s">
        <v>1706</v>
      </c>
    </row>
    <row r="2480" customFormat="false" ht="64" hidden="false" customHeight="true" outlineLevel="0" collapsed="false">
      <c r="C2480" s="98" t="s">
        <v>4266</v>
      </c>
      <c r="D2480" s="98" t="s">
        <v>1754</v>
      </c>
      <c r="E2480" s="98" t="s">
        <v>835</v>
      </c>
      <c r="F2480" s="98" t="n">
        <v>0</v>
      </c>
      <c r="G2480" s="98" t="s">
        <v>4236</v>
      </c>
      <c r="H2480" s="98" t="s">
        <v>1767</v>
      </c>
      <c r="I2480" s="98" t="s">
        <v>1704</v>
      </c>
      <c r="J2480" s="98" t="s">
        <v>1705</v>
      </c>
      <c r="K2480" s="98" t="s">
        <v>1706</v>
      </c>
    </row>
    <row r="2481" customFormat="false" ht="64" hidden="false" customHeight="true" outlineLevel="0" collapsed="false">
      <c r="C2481" s="98" t="s">
        <v>4267</v>
      </c>
      <c r="D2481" s="98" t="s">
        <v>1756</v>
      </c>
      <c r="E2481" s="98" t="s">
        <v>835</v>
      </c>
      <c r="F2481" s="98" t="n">
        <v>0</v>
      </c>
      <c r="G2481" s="98" t="s">
        <v>4236</v>
      </c>
      <c r="H2481" s="98" t="s">
        <v>1767</v>
      </c>
      <c r="I2481" s="98" t="s">
        <v>1704</v>
      </c>
      <c r="J2481" s="98" t="s">
        <v>1705</v>
      </c>
      <c r="K2481" s="98" t="s">
        <v>1706</v>
      </c>
    </row>
    <row r="2482" customFormat="false" ht="64" hidden="false" customHeight="true" outlineLevel="0" collapsed="false">
      <c r="C2482" s="98" t="s">
        <v>4268</v>
      </c>
      <c r="D2482" s="98" t="s">
        <v>1758</v>
      </c>
      <c r="E2482" s="98" t="s">
        <v>835</v>
      </c>
      <c r="F2482" s="98" t="n">
        <v>0</v>
      </c>
      <c r="G2482" s="98" t="s">
        <v>4236</v>
      </c>
      <c r="H2482" s="98" t="s">
        <v>1767</v>
      </c>
      <c r="I2482" s="98" t="s">
        <v>1704</v>
      </c>
      <c r="J2482" s="98" t="s">
        <v>1705</v>
      </c>
      <c r="K2482" s="98" t="s">
        <v>1706</v>
      </c>
    </row>
    <row r="2483" customFormat="false" ht="64" hidden="false" customHeight="true" outlineLevel="0" collapsed="false">
      <c r="C2483" s="98" t="s">
        <v>4269</v>
      </c>
      <c r="D2483" s="98" t="s">
        <v>1760</v>
      </c>
      <c r="E2483" s="98" t="s">
        <v>835</v>
      </c>
      <c r="F2483" s="98" t="n">
        <v>0</v>
      </c>
      <c r="G2483" s="98" t="s">
        <v>4236</v>
      </c>
      <c r="H2483" s="98" t="s">
        <v>1767</v>
      </c>
      <c r="I2483" s="98" t="s">
        <v>1704</v>
      </c>
      <c r="J2483" s="98" t="s">
        <v>1705</v>
      </c>
      <c r="K2483" s="98" t="s">
        <v>1706</v>
      </c>
    </row>
    <row r="2484" customFormat="false" ht="64" hidden="false" customHeight="true" outlineLevel="0" collapsed="false">
      <c r="C2484" s="98" t="s">
        <v>4270</v>
      </c>
      <c r="D2484" s="98" t="s">
        <v>1762</v>
      </c>
      <c r="E2484" s="98" t="s">
        <v>835</v>
      </c>
      <c r="F2484" s="98" t="n">
        <v>0</v>
      </c>
      <c r="G2484" s="98" t="s">
        <v>4236</v>
      </c>
      <c r="H2484" s="98" t="s">
        <v>1767</v>
      </c>
      <c r="I2484" s="98" t="s">
        <v>1704</v>
      </c>
      <c r="J2484" s="98" t="s">
        <v>1705</v>
      </c>
      <c r="K2484" s="98" t="s">
        <v>1706</v>
      </c>
    </row>
    <row r="2485" customFormat="false" ht="64" hidden="false" customHeight="true" outlineLevel="0" collapsed="false">
      <c r="C2485" s="98" t="s">
        <v>4271</v>
      </c>
      <c r="D2485" s="98" t="s">
        <v>1764</v>
      </c>
      <c r="E2485" s="98" t="s">
        <v>835</v>
      </c>
      <c r="F2485" s="98" t="n">
        <v>0</v>
      </c>
      <c r="G2485" s="98" t="s">
        <v>4236</v>
      </c>
      <c r="H2485" s="98" t="s">
        <v>1767</v>
      </c>
      <c r="I2485" s="98" t="s">
        <v>1704</v>
      </c>
      <c r="J2485" s="98" t="s">
        <v>1705</v>
      </c>
      <c r="K2485" s="98" t="s">
        <v>1706</v>
      </c>
    </row>
    <row r="2486" customFormat="false" ht="64" hidden="false" customHeight="true" outlineLevel="0" collapsed="false">
      <c r="C2486" s="98" t="s">
        <v>4272</v>
      </c>
      <c r="D2486" s="98" t="s">
        <v>1829</v>
      </c>
      <c r="E2486" s="98" t="s">
        <v>835</v>
      </c>
      <c r="F2486" s="98" t="n">
        <v>0</v>
      </c>
      <c r="G2486" s="98" t="s">
        <v>4273</v>
      </c>
      <c r="H2486" s="98" t="s">
        <v>1767</v>
      </c>
      <c r="I2486" s="98" t="s">
        <v>1704</v>
      </c>
      <c r="J2486" s="98" t="s">
        <v>1705</v>
      </c>
      <c r="K2486" s="98" t="s">
        <v>1706</v>
      </c>
    </row>
    <row r="2487" customFormat="false" ht="64" hidden="false" customHeight="true" outlineLevel="0" collapsed="false">
      <c r="C2487" s="98" t="s">
        <v>4274</v>
      </c>
      <c r="D2487" s="98" t="s">
        <v>1833</v>
      </c>
      <c r="E2487" s="98" t="s">
        <v>835</v>
      </c>
      <c r="F2487" s="98" t="n">
        <v>0</v>
      </c>
      <c r="G2487" s="98" t="s">
        <v>4273</v>
      </c>
      <c r="H2487" s="98" t="s">
        <v>1767</v>
      </c>
      <c r="I2487" s="98" t="s">
        <v>1704</v>
      </c>
      <c r="J2487" s="98" t="s">
        <v>1705</v>
      </c>
      <c r="K2487" s="98" t="s">
        <v>1706</v>
      </c>
    </row>
    <row r="2488" customFormat="false" ht="64" hidden="false" customHeight="true" outlineLevel="0" collapsed="false">
      <c r="C2488" s="98" t="s">
        <v>4275</v>
      </c>
      <c r="D2488" s="98" t="s">
        <v>1835</v>
      </c>
      <c r="E2488" s="98" t="s">
        <v>835</v>
      </c>
      <c r="F2488" s="98" t="n">
        <v>0</v>
      </c>
      <c r="G2488" s="98" t="s">
        <v>4273</v>
      </c>
      <c r="H2488" s="98" t="s">
        <v>1767</v>
      </c>
      <c r="I2488" s="98" t="s">
        <v>1704</v>
      </c>
      <c r="J2488" s="98" t="s">
        <v>1705</v>
      </c>
      <c r="K2488" s="98" t="s">
        <v>1706</v>
      </c>
    </row>
    <row r="2489" customFormat="false" ht="64" hidden="false" customHeight="true" outlineLevel="0" collapsed="false">
      <c r="C2489" s="98" t="s">
        <v>4276</v>
      </c>
      <c r="D2489" s="98" t="s">
        <v>1044</v>
      </c>
      <c r="E2489" s="98" t="s">
        <v>835</v>
      </c>
      <c r="F2489" s="98" t="n">
        <v>0</v>
      </c>
      <c r="G2489" s="98" t="s">
        <v>4273</v>
      </c>
      <c r="H2489" s="98" t="s">
        <v>1767</v>
      </c>
      <c r="I2489" s="98" t="s">
        <v>1704</v>
      </c>
      <c r="J2489" s="98" t="s">
        <v>1705</v>
      </c>
      <c r="K2489" s="98" t="s">
        <v>1706</v>
      </c>
    </row>
    <row r="2490" customFormat="false" ht="64" hidden="false" customHeight="true" outlineLevel="0" collapsed="false">
      <c r="C2490" s="98" t="s">
        <v>4277</v>
      </c>
      <c r="D2490" s="98" t="s">
        <v>1838</v>
      </c>
      <c r="E2490" s="98" t="s">
        <v>835</v>
      </c>
      <c r="F2490" s="98" t="n">
        <v>0</v>
      </c>
      <c r="G2490" s="98" t="s">
        <v>4273</v>
      </c>
      <c r="H2490" s="98" t="s">
        <v>1767</v>
      </c>
      <c r="I2490" s="98" t="s">
        <v>1704</v>
      </c>
      <c r="J2490" s="98" t="s">
        <v>1705</v>
      </c>
      <c r="K2490" s="98" t="s">
        <v>1706</v>
      </c>
    </row>
    <row r="2491" customFormat="false" ht="64" hidden="false" customHeight="true" outlineLevel="0" collapsed="false">
      <c r="C2491" s="98" t="s">
        <v>4278</v>
      </c>
      <c r="D2491" s="98" t="s">
        <v>1840</v>
      </c>
      <c r="E2491" s="98" t="s">
        <v>835</v>
      </c>
      <c r="F2491" s="98" t="n">
        <v>0</v>
      </c>
      <c r="G2491" s="98" t="s">
        <v>4273</v>
      </c>
      <c r="H2491" s="98" t="s">
        <v>1767</v>
      </c>
      <c r="I2491" s="98" t="s">
        <v>1704</v>
      </c>
      <c r="J2491" s="98" t="s">
        <v>1705</v>
      </c>
      <c r="K2491" s="98" t="s">
        <v>1706</v>
      </c>
    </row>
    <row r="2492" customFormat="false" ht="64" hidden="false" customHeight="true" outlineLevel="0" collapsed="false">
      <c r="C2492" s="98" t="s">
        <v>4279</v>
      </c>
      <c r="D2492" s="98" t="s">
        <v>1700</v>
      </c>
      <c r="E2492" s="98" t="s">
        <v>835</v>
      </c>
      <c r="F2492" s="98" t="n">
        <v>0</v>
      </c>
      <c r="G2492" s="98" t="s">
        <v>4273</v>
      </c>
      <c r="H2492" s="98" t="s">
        <v>1767</v>
      </c>
      <c r="I2492" s="98" t="s">
        <v>1704</v>
      </c>
      <c r="J2492" s="98" t="s">
        <v>1705</v>
      </c>
      <c r="K2492" s="98" t="s">
        <v>1706</v>
      </c>
    </row>
    <row r="2493" customFormat="false" ht="64" hidden="false" customHeight="true" outlineLevel="0" collapsed="false">
      <c r="C2493" s="98" t="s">
        <v>4280</v>
      </c>
      <c r="D2493" s="98" t="s">
        <v>1708</v>
      </c>
      <c r="E2493" s="98" t="s">
        <v>835</v>
      </c>
      <c r="F2493" s="98" t="n">
        <v>0</v>
      </c>
      <c r="G2493" s="98" t="s">
        <v>4273</v>
      </c>
      <c r="H2493" s="98" t="s">
        <v>1767</v>
      </c>
      <c r="I2493" s="98" t="s">
        <v>1704</v>
      </c>
      <c r="J2493" s="98" t="s">
        <v>1705</v>
      </c>
      <c r="K2493" s="98" t="s">
        <v>1706</v>
      </c>
    </row>
    <row r="2494" customFormat="false" ht="64" hidden="false" customHeight="true" outlineLevel="0" collapsed="false">
      <c r="C2494" s="98" t="s">
        <v>4281</v>
      </c>
      <c r="D2494" s="98" t="s">
        <v>1710</v>
      </c>
      <c r="E2494" s="98" t="s">
        <v>835</v>
      </c>
      <c r="F2494" s="98" t="n">
        <v>0</v>
      </c>
      <c r="G2494" s="98" t="s">
        <v>4273</v>
      </c>
      <c r="H2494" s="98" t="s">
        <v>1767</v>
      </c>
      <c r="I2494" s="98" t="s">
        <v>1704</v>
      </c>
      <c r="J2494" s="98" t="s">
        <v>1705</v>
      </c>
      <c r="K2494" s="98" t="s">
        <v>1706</v>
      </c>
    </row>
    <row r="2495" customFormat="false" ht="64" hidden="false" customHeight="true" outlineLevel="0" collapsed="false">
      <c r="C2495" s="98" t="s">
        <v>4282</v>
      </c>
      <c r="D2495" s="98" t="s">
        <v>1712</v>
      </c>
      <c r="E2495" s="98" t="s">
        <v>835</v>
      </c>
      <c r="F2495" s="98" t="n">
        <v>0</v>
      </c>
      <c r="G2495" s="98" t="s">
        <v>4273</v>
      </c>
      <c r="H2495" s="98" t="s">
        <v>1767</v>
      </c>
      <c r="I2495" s="98" t="s">
        <v>1704</v>
      </c>
      <c r="J2495" s="98" t="s">
        <v>1705</v>
      </c>
      <c r="K2495" s="98" t="s">
        <v>1706</v>
      </c>
    </row>
    <row r="2496" customFormat="false" ht="64" hidden="false" customHeight="true" outlineLevel="0" collapsed="false">
      <c r="C2496" s="98" t="s">
        <v>4283</v>
      </c>
      <c r="D2496" s="98" t="s">
        <v>1714</v>
      </c>
      <c r="E2496" s="98" t="s">
        <v>835</v>
      </c>
      <c r="F2496" s="98" t="n">
        <v>0</v>
      </c>
      <c r="G2496" s="98" t="s">
        <v>4273</v>
      </c>
      <c r="H2496" s="98" t="s">
        <v>1767</v>
      </c>
      <c r="I2496" s="98" t="s">
        <v>1704</v>
      </c>
      <c r="J2496" s="98" t="s">
        <v>1705</v>
      </c>
      <c r="K2496" s="98" t="s">
        <v>1706</v>
      </c>
    </row>
    <row r="2497" customFormat="false" ht="64" hidden="false" customHeight="true" outlineLevel="0" collapsed="false">
      <c r="C2497" s="98" t="s">
        <v>4284</v>
      </c>
      <c r="D2497" s="98" t="s">
        <v>1716</v>
      </c>
      <c r="E2497" s="98" t="s">
        <v>835</v>
      </c>
      <c r="F2497" s="98" t="n">
        <v>0</v>
      </c>
      <c r="G2497" s="98" t="s">
        <v>4273</v>
      </c>
      <c r="H2497" s="98" t="s">
        <v>1767</v>
      </c>
      <c r="I2497" s="98" t="s">
        <v>1704</v>
      </c>
      <c r="J2497" s="98" t="s">
        <v>1705</v>
      </c>
      <c r="K2497" s="98" t="s">
        <v>1706</v>
      </c>
    </row>
    <row r="2498" customFormat="false" ht="64" hidden="false" customHeight="true" outlineLevel="0" collapsed="false">
      <c r="C2498" s="98" t="s">
        <v>4285</v>
      </c>
      <c r="D2498" s="98" t="s">
        <v>1718</v>
      </c>
      <c r="E2498" s="98" t="s">
        <v>835</v>
      </c>
      <c r="F2498" s="98" t="n">
        <v>0</v>
      </c>
      <c r="G2498" s="98" t="s">
        <v>4273</v>
      </c>
      <c r="H2498" s="98" t="s">
        <v>1767</v>
      </c>
      <c r="I2498" s="98" t="s">
        <v>1704</v>
      </c>
      <c r="J2498" s="98" t="s">
        <v>1705</v>
      </c>
      <c r="K2498" s="98" t="s">
        <v>1706</v>
      </c>
    </row>
    <row r="2499" customFormat="false" ht="64" hidden="false" customHeight="true" outlineLevel="0" collapsed="false">
      <c r="C2499" s="98" t="s">
        <v>4286</v>
      </c>
      <c r="D2499" s="98" t="s">
        <v>1720</v>
      </c>
      <c r="E2499" s="98" t="s">
        <v>835</v>
      </c>
      <c r="F2499" s="98" t="n">
        <v>0</v>
      </c>
      <c r="G2499" s="98" t="s">
        <v>4273</v>
      </c>
      <c r="H2499" s="98" t="s">
        <v>1767</v>
      </c>
      <c r="I2499" s="98" t="s">
        <v>1704</v>
      </c>
      <c r="J2499" s="98" t="s">
        <v>1705</v>
      </c>
      <c r="K2499" s="98" t="s">
        <v>1706</v>
      </c>
    </row>
    <row r="2500" customFormat="false" ht="64" hidden="false" customHeight="true" outlineLevel="0" collapsed="false">
      <c r="C2500" s="98" t="s">
        <v>4287</v>
      </c>
      <c r="D2500" s="98" t="s">
        <v>1722</v>
      </c>
      <c r="E2500" s="98" t="s">
        <v>835</v>
      </c>
      <c r="F2500" s="98" t="n">
        <v>0</v>
      </c>
      <c r="G2500" s="98" t="s">
        <v>4273</v>
      </c>
      <c r="H2500" s="98" t="s">
        <v>1767</v>
      </c>
      <c r="I2500" s="98" t="s">
        <v>1704</v>
      </c>
      <c r="J2500" s="98" t="s">
        <v>1705</v>
      </c>
      <c r="K2500" s="98" t="s">
        <v>1706</v>
      </c>
    </row>
    <row r="2501" customFormat="false" ht="64" hidden="false" customHeight="true" outlineLevel="0" collapsed="false">
      <c r="C2501" s="98" t="s">
        <v>4288</v>
      </c>
      <c r="D2501" s="98" t="s">
        <v>1724</v>
      </c>
      <c r="E2501" s="98" t="s">
        <v>835</v>
      </c>
      <c r="F2501" s="98" t="n">
        <v>0</v>
      </c>
      <c r="G2501" s="98" t="s">
        <v>4273</v>
      </c>
      <c r="H2501" s="98" t="s">
        <v>1767</v>
      </c>
      <c r="I2501" s="98" t="s">
        <v>1704</v>
      </c>
      <c r="J2501" s="98" t="s">
        <v>1705</v>
      </c>
      <c r="K2501" s="98" t="s">
        <v>1706</v>
      </c>
    </row>
    <row r="2502" customFormat="false" ht="64" hidden="false" customHeight="true" outlineLevel="0" collapsed="false">
      <c r="C2502" s="98" t="s">
        <v>4289</v>
      </c>
      <c r="D2502" s="98" t="s">
        <v>1726</v>
      </c>
      <c r="E2502" s="98" t="s">
        <v>835</v>
      </c>
      <c r="F2502" s="98" t="n">
        <v>0</v>
      </c>
      <c r="G2502" s="98" t="s">
        <v>4273</v>
      </c>
      <c r="H2502" s="98" t="s">
        <v>1767</v>
      </c>
      <c r="I2502" s="98" t="s">
        <v>1704</v>
      </c>
      <c r="J2502" s="98" t="s">
        <v>1705</v>
      </c>
      <c r="K2502" s="98" t="s">
        <v>1706</v>
      </c>
    </row>
    <row r="2503" customFormat="false" ht="64" hidden="false" customHeight="true" outlineLevel="0" collapsed="false">
      <c r="C2503" s="98" t="s">
        <v>4290</v>
      </c>
      <c r="D2503" s="98" t="s">
        <v>1728</v>
      </c>
      <c r="E2503" s="98" t="s">
        <v>835</v>
      </c>
      <c r="F2503" s="98" t="n">
        <v>0</v>
      </c>
      <c r="G2503" s="98" t="s">
        <v>4273</v>
      </c>
      <c r="H2503" s="98" t="s">
        <v>1767</v>
      </c>
      <c r="I2503" s="98" t="s">
        <v>1704</v>
      </c>
      <c r="J2503" s="98" t="s">
        <v>1705</v>
      </c>
      <c r="K2503" s="98" t="s">
        <v>1706</v>
      </c>
    </row>
    <row r="2504" customFormat="false" ht="64" hidden="false" customHeight="true" outlineLevel="0" collapsed="false">
      <c r="C2504" s="98" t="s">
        <v>4291</v>
      </c>
      <c r="D2504" s="98" t="s">
        <v>1730</v>
      </c>
      <c r="E2504" s="98" t="s">
        <v>835</v>
      </c>
      <c r="F2504" s="98" t="n">
        <v>0</v>
      </c>
      <c r="G2504" s="98" t="s">
        <v>4273</v>
      </c>
      <c r="H2504" s="98" t="s">
        <v>1767</v>
      </c>
      <c r="I2504" s="98" t="s">
        <v>1704</v>
      </c>
      <c r="J2504" s="98" t="s">
        <v>1705</v>
      </c>
      <c r="K2504" s="98" t="s">
        <v>1706</v>
      </c>
    </row>
    <row r="2505" customFormat="false" ht="64" hidden="false" customHeight="true" outlineLevel="0" collapsed="false">
      <c r="C2505" s="98" t="s">
        <v>4292</v>
      </c>
      <c r="D2505" s="98" t="s">
        <v>1732</v>
      </c>
      <c r="E2505" s="98" t="s">
        <v>835</v>
      </c>
      <c r="F2505" s="98" t="n">
        <v>0</v>
      </c>
      <c r="G2505" s="98" t="s">
        <v>4273</v>
      </c>
      <c r="H2505" s="98" t="s">
        <v>1767</v>
      </c>
      <c r="I2505" s="98" t="s">
        <v>1704</v>
      </c>
      <c r="J2505" s="98" t="s">
        <v>1705</v>
      </c>
      <c r="K2505" s="98" t="s">
        <v>1706</v>
      </c>
    </row>
    <row r="2506" customFormat="false" ht="64" hidden="false" customHeight="true" outlineLevel="0" collapsed="false">
      <c r="C2506" s="98" t="s">
        <v>4293</v>
      </c>
      <c r="D2506" s="98" t="s">
        <v>1734</v>
      </c>
      <c r="E2506" s="98" t="s">
        <v>835</v>
      </c>
      <c r="F2506" s="98" t="n">
        <v>0</v>
      </c>
      <c r="G2506" s="98" t="s">
        <v>4273</v>
      </c>
      <c r="H2506" s="98" t="s">
        <v>1767</v>
      </c>
      <c r="I2506" s="98" t="s">
        <v>1704</v>
      </c>
      <c r="J2506" s="98" t="s">
        <v>1705</v>
      </c>
      <c r="K2506" s="98" t="s">
        <v>1706</v>
      </c>
    </row>
    <row r="2507" customFormat="false" ht="64" hidden="false" customHeight="true" outlineLevel="0" collapsed="false">
      <c r="C2507" s="98" t="s">
        <v>4294</v>
      </c>
      <c r="D2507" s="98" t="s">
        <v>1736</v>
      </c>
      <c r="E2507" s="98" t="s">
        <v>835</v>
      </c>
      <c r="F2507" s="98" t="n">
        <v>0</v>
      </c>
      <c r="G2507" s="98" t="s">
        <v>4273</v>
      </c>
      <c r="H2507" s="98" t="s">
        <v>1767</v>
      </c>
      <c r="I2507" s="98" t="s">
        <v>1704</v>
      </c>
      <c r="J2507" s="98" t="s">
        <v>1705</v>
      </c>
      <c r="K2507" s="98" t="s">
        <v>1706</v>
      </c>
    </row>
    <row r="2508" customFormat="false" ht="64" hidden="false" customHeight="true" outlineLevel="0" collapsed="false">
      <c r="C2508" s="98" t="s">
        <v>4295</v>
      </c>
      <c r="D2508" s="98" t="s">
        <v>1738</v>
      </c>
      <c r="E2508" s="98" t="s">
        <v>835</v>
      </c>
      <c r="F2508" s="98" t="n">
        <v>0</v>
      </c>
      <c r="G2508" s="98" t="s">
        <v>4273</v>
      </c>
      <c r="H2508" s="98" t="s">
        <v>1767</v>
      </c>
      <c r="I2508" s="98" t="s">
        <v>1704</v>
      </c>
      <c r="J2508" s="98" t="s">
        <v>1705</v>
      </c>
      <c r="K2508" s="98" t="s">
        <v>1706</v>
      </c>
    </row>
    <row r="2509" customFormat="false" ht="64" hidden="false" customHeight="true" outlineLevel="0" collapsed="false">
      <c r="C2509" s="98" t="s">
        <v>4296</v>
      </c>
      <c r="D2509" s="98" t="s">
        <v>1740</v>
      </c>
      <c r="E2509" s="98" t="s">
        <v>835</v>
      </c>
      <c r="F2509" s="98" t="n">
        <v>0</v>
      </c>
      <c r="G2509" s="98" t="s">
        <v>4273</v>
      </c>
      <c r="H2509" s="98" t="s">
        <v>1767</v>
      </c>
      <c r="I2509" s="98" t="s">
        <v>1704</v>
      </c>
      <c r="J2509" s="98" t="s">
        <v>1705</v>
      </c>
      <c r="K2509" s="98" t="s">
        <v>1706</v>
      </c>
    </row>
    <row r="2510" customFormat="false" ht="64" hidden="false" customHeight="true" outlineLevel="0" collapsed="false">
      <c r="C2510" s="98" t="s">
        <v>4297</v>
      </c>
      <c r="D2510" s="98" t="s">
        <v>1742</v>
      </c>
      <c r="E2510" s="98" t="s">
        <v>835</v>
      </c>
      <c r="F2510" s="98" t="n">
        <v>0</v>
      </c>
      <c r="G2510" s="98" t="s">
        <v>4273</v>
      </c>
      <c r="H2510" s="98" t="s">
        <v>1767</v>
      </c>
      <c r="I2510" s="98" t="s">
        <v>1704</v>
      </c>
      <c r="J2510" s="98" t="s">
        <v>1705</v>
      </c>
      <c r="K2510" s="98" t="s">
        <v>1706</v>
      </c>
    </row>
    <row r="2511" customFormat="false" ht="64" hidden="false" customHeight="true" outlineLevel="0" collapsed="false">
      <c r="C2511" s="98" t="s">
        <v>4298</v>
      </c>
      <c r="D2511" s="98" t="s">
        <v>1744</v>
      </c>
      <c r="E2511" s="98" t="s">
        <v>835</v>
      </c>
      <c r="F2511" s="98" t="n">
        <v>0</v>
      </c>
      <c r="G2511" s="98" t="s">
        <v>4273</v>
      </c>
      <c r="H2511" s="98" t="s">
        <v>1767</v>
      </c>
      <c r="I2511" s="98" t="s">
        <v>1704</v>
      </c>
      <c r="J2511" s="98" t="s">
        <v>1705</v>
      </c>
      <c r="K2511" s="98" t="s">
        <v>1706</v>
      </c>
    </row>
    <row r="2512" customFormat="false" ht="64" hidden="false" customHeight="true" outlineLevel="0" collapsed="false">
      <c r="C2512" s="98" t="s">
        <v>4299</v>
      </c>
      <c r="D2512" s="98" t="s">
        <v>1746</v>
      </c>
      <c r="E2512" s="98" t="s">
        <v>835</v>
      </c>
      <c r="F2512" s="98" t="n">
        <v>0</v>
      </c>
      <c r="G2512" s="98" t="s">
        <v>4273</v>
      </c>
      <c r="H2512" s="98" t="s">
        <v>1767</v>
      </c>
      <c r="I2512" s="98" t="s">
        <v>1704</v>
      </c>
      <c r="J2512" s="98" t="s">
        <v>1705</v>
      </c>
      <c r="K2512" s="98" t="s">
        <v>1706</v>
      </c>
    </row>
    <row r="2513" customFormat="false" ht="64" hidden="false" customHeight="true" outlineLevel="0" collapsed="false">
      <c r="C2513" s="98" t="s">
        <v>4300</v>
      </c>
      <c r="D2513" s="98" t="s">
        <v>1748</v>
      </c>
      <c r="E2513" s="98" t="s">
        <v>835</v>
      </c>
      <c r="F2513" s="98" t="n">
        <v>0</v>
      </c>
      <c r="G2513" s="98" t="s">
        <v>4273</v>
      </c>
      <c r="H2513" s="98" t="s">
        <v>1767</v>
      </c>
      <c r="I2513" s="98" t="s">
        <v>1704</v>
      </c>
      <c r="J2513" s="98" t="s">
        <v>1705</v>
      </c>
      <c r="K2513" s="98" t="s">
        <v>1706</v>
      </c>
    </row>
    <row r="2514" customFormat="false" ht="64" hidden="false" customHeight="true" outlineLevel="0" collapsed="false">
      <c r="C2514" s="98" t="s">
        <v>4301</v>
      </c>
      <c r="D2514" s="98" t="s">
        <v>1750</v>
      </c>
      <c r="E2514" s="98" t="s">
        <v>835</v>
      </c>
      <c r="F2514" s="98" t="n">
        <v>0</v>
      </c>
      <c r="G2514" s="98" t="s">
        <v>4273</v>
      </c>
      <c r="H2514" s="98" t="s">
        <v>1767</v>
      </c>
      <c r="I2514" s="98" t="s">
        <v>1704</v>
      </c>
      <c r="J2514" s="98" t="s">
        <v>1705</v>
      </c>
      <c r="K2514" s="98" t="s">
        <v>1706</v>
      </c>
    </row>
    <row r="2515" customFormat="false" ht="64" hidden="false" customHeight="true" outlineLevel="0" collapsed="false">
      <c r="C2515" s="98" t="s">
        <v>4302</v>
      </c>
      <c r="D2515" s="98" t="s">
        <v>1752</v>
      </c>
      <c r="E2515" s="98" t="s">
        <v>835</v>
      </c>
      <c r="F2515" s="98" t="n">
        <v>0</v>
      </c>
      <c r="G2515" s="98" t="s">
        <v>4273</v>
      </c>
      <c r="H2515" s="98" t="s">
        <v>1767</v>
      </c>
      <c r="I2515" s="98" t="s">
        <v>1704</v>
      </c>
      <c r="J2515" s="98" t="s">
        <v>1705</v>
      </c>
      <c r="K2515" s="98" t="s">
        <v>1706</v>
      </c>
    </row>
    <row r="2516" customFormat="false" ht="64" hidden="false" customHeight="true" outlineLevel="0" collapsed="false">
      <c r="C2516" s="98" t="s">
        <v>4303</v>
      </c>
      <c r="D2516" s="98" t="s">
        <v>1754</v>
      </c>
      <c r="E2516" s="98" t="s">
        <v>835</v>
      </c>
      <c r="F2516" s="98" t="n">
        <v>0</v>
      </c>
      <c r="G2516" s="98" t="s">
        <v>4273</v>
      </c>
      <c r="H2516" s="98" t="s">
        <v>1767</v>
      </c>
      <c r="I2516" s="98" t="s">
        <v>1704</v>
      </c>
      <c r="J2516" s="98" t="s">
        <v>1705</v>
      </c>
      <c r="K2516" s="98" t="s">
        <v>1706</v>
      </c>
    </row>
    <row r="2517" customFormat="false" ht="64" hidden="false" customHeight="true" outlineLevel="0" collapsed="false">
      <c r="C2517" s="98" t="s">
        <v>4304</v>
      </c>
      <c r="D2517" s="98" t="s">
        <v>1756</v>
      </c>
      <c r="E2517" s="98" t="s">
        <v>835</v>
      </c>
      <c r="F2517" s="98" t="n">
        <v>0</v>
      </c>
      <c r="G2517" s="98" t="s">
        <v>4273</v>
      </c>
      <c r="H2517" s="98" t="s">
        <v>1767</v>
      </c>
      <c r="I2517" s="98" t="s">
        <v>1704</v>
      </c>
      <c r="J2517" s="98" t="s">
        <v>1705</v>
      </c>
      <c r="K2517" s="98" t="s">
        <v>1706</v>
      </c>
    </row>
    <row r="2518" customFormat="false" ht="64" hidden="false" customHeight="true" outlineLevel="0" collapsed="false">
      <c r="C2518" s="98" t="s">
        <v>4305</v>
      </c>
      <c r="D2518" s="98" t="s">
        <v>1758</v>
      </c>
      <c r="E2518" s="98" t="s">
        <v>835</v>
      </c>
      <c r="F2518" s="98" t="n">
        <v>0</v>
      </c>
      <c r="G2518" s="98" t="s">
        <v>4273</v>
      </c>
      <c r="H2518" s="98" t="s">
        <v>1767</v>
      </c>
      <c r="I2518" s="98" t="s">
        <v>1704</v>
      </c>
      <c r="J2518" s="98" t="s">
        <v>1705</v>
      </c>
      <c r="K2518" s="98" t="s">
        <v>1706</v>
      </c>
    </row>
    <row r="2519" customFormat="false" ht="64" hidden="false" customHeight="true" outlineLevel="0" collapsed="false">
      <c r="C2519" s="98" t="s">
        <v>4306</v>
      </c>
      <c r="D2519" s="98" t="s">
        <v>1760</v>
      </c>
      <c r="E2519" s="98" t="s">
        <v>835</v>
      </c>
      <c r="F2519" s="98" t="n">
        <v>0</v>
      </c>
      <c r="G2519" s="98" t="s">
        <v>4273</v>
      </c>
      <c r="H2519" s="98" t="s">
        <v>1767</v>
      </c>
      <c r="I2519" s="98" t="s">
        <v>1704</v>
      </c>
      <c r="J2519" s="98" t="s">
        <v>1705</v>
      </c>
      <c r="K2519" s="98" t="s">
        <v>1706</v>
      </c>
    </row>
    <row r="2520" customFormat="false" ht="64" hidden="false" customHeight="true" outlineLevel="0" collapsed="false">
      <c r="C2520" s="98" t="s">
        <v>4307</v>
      </c>
      <c r="D2520" s="98" t="s">
        <v>1762</v>
      </c>
      <c r="E2520" s="98" t="s">
        <v>835</v>
      </c>
      <c r="F2520" s="98" t="n">
        <v>0</v>
      </c>
      <c r="G2520" s="98" t="s">
        <v>4273</v>
      </c>
      <c r="H2520" s="98" t="s">
        <v>1767</v>
      </c>
      <c r="I2520" s="98" t="s">
        <v>1704</v>
      </c>
      <c r="J2520" s="98" t="s">
        <v>1705</v>
      </c>
      <c r="K2520" s="98" t="s">
        <v>1706</v>
      </c>
    </row>
    <row r="2521" customFormat="false" ht="64" hidden="false" customHeight="true" outlineLevel="0" collapsed="false">
      <c r="C2521" s="98" t="s">
        <v>4308</v>
      </c>
      <c r="D2521" s="98" t="s">
        <v>1764</v>
      </c>
      <c r="E2521" s="98" t="s">
        <v>835</v>
      </c>
      <c r="F2521" s="98" t="n">
        <v>0</v>
      </c>
      <c r="G2521" s="98" t="s">
        <v>4273</v>
      </c>
      <c r="H2521" s="98" t="s">
        <v>1767</v>
      </c>
      <c r="I2521" s="98" t="s">
        <v>1704</v>
      </c>
      <c r="J2521" s="98" t="s">
        <v>1705</v>
      </c>
      <c r="K2521" s="98" t="s">
        <v>1706</v>
      </c>
    </row>
    <row r="2522" customFormat="false" ht="64" hidden="false" customHeight="true" outlineLevel="0" collapsed="false">
      <c r="C2522" s="98" t="s">
        <v>4309</v>
      </c>
      <c r="D2522" s="98" t="s">
        <v>1829</v>
      </c>
      <c r="E2522" s="98" t="s">
        <v>811</v>
      </c>
      <c r="F2522" s="98" t="n">
        <v>0</v>
      </c>
      <c r="G2522" s="98" t="s">
        <v>4310</v>
      </c>
      <c r="H2522" s="98" t="s">
        <v>1703</v>
      </c>
      <c r="I2522" s="98" t="s">
        <v>1704</v>
      </c>
      <c r="J2522" s="98" t="s">
        <v>1705</v>
      </c>
      <c r="K2522" s="98" t="s">
        <v>1706</v>
      </c>
    </row>
    <row r="2523" customFormat="false" ht="64" hidden="false" customHeight="true" outlineLevel="0" collapsed="false">
      <c r="C2523" s="98" t="s">
        <v>4311</v>
      </c>
      <c r="D2523" s="98" t="s">
        <v>1833</v>
      </c>
      <c r="E2523" s="98" t="s">
        <v>811</v>
      </c>
      <c r="F2523" s="98" t="n">
        <v>0</v>
      </c>
      <c r="G2523" s="98" t="s">
        <v>4310</v>
      </c>
      <c r="H2523" s="98" t="s">
        <v>1703</v>
      </c>
      <c r="I2523" s="98" t="s">
        <v>1704</v>
      </c>
      <c r="J2523" s="98" t="s">
        <v>1705</v>
      </c>
      <c r="K2523" s="98" t="s">
        <v>1706</v>
      </c>
    </row>
    <row r="2524" customFormat="false" ht="64" hidden="false" customHeight="true" outlineLevel="0" collapsed="false">
      <c r="C2524" s="98" t="s">
        <v>4312</v>
      </c>
      <c r="D2524" s="98" t="s">
        <v>1835</v>
      </c>
      <c r="E2524" s="98" t="s">
        <v>811</v>
      </c>
      <c r="F2524" s="98" t="n">
        <v>0</v>
      </c>
      <c r="G2524" s="98" t="s">
        <v>4310</v>
      </c>
      <c r="H2524" s="98" t="s">
        <v>1703</v>
      </c>
      <c r="I2524" s="98" t="s">
        <v>1704</v>
      </c>
      <c r="J2524" s="98" t="s">
        <v>1705</v>
      </c>
      <c r="K2524" s="98" t="s">
        <v>1706</v>
      </c>
    </row>
    <row r="2525" customFormat="false" ht="64" hidden="false" customHeight="true" outlineLevel="0" collapsed="false">
      <c r="C2525" s="98" t="s">
        <v>4313</v>
      </c>
      <c r="D2525" s="98" t="s">
        <v>1044</v>
      </c>
      <c r="E2525" s="98" t="s">
        <v>811</v>
      </c>
      <c r="F2525" s="98" t="n">
        <v>0</v>
      </c>
      <c r="G2525" s="98" t="s">
        <v>4310</v>
      </c>
      <c r="H2525" s="98" t="s">
        <v>1703</v>
      </c>
      <c r="I2525" s="98" t="s">
        <v>1704</v>
      </c>
      <c r="J2525" s="98" t="s">
        <v>1705</v>
      </c>
      <c r="K2525" s="98" t="s">
        <v>1706</v>
      </c>
    </row>
    <row r="2526" customFormat="false" ht="64" hidden="false" customHeight="true" outlineLevel="0" collapsed="false">
      <c r="C2526" s="98" t="s">
        <v>4314</v>
      </c>
      <c r="D2526" s="98" t="s">
        <v>1838</v>
      </c>
      <c r="E2526" s="98" t="s">
        <v>811</v>
      </c>
      <c r="F2526" s="98" t="n">
        <v>0</v>
      </c>
      <c r="G2526" s="98" t="s">
        <v>4310</v>
      </c>
      <c r="H2526" s="98" t="s">
        <v>1703</v>
      </c>
      <c r="I2526" s="98" t="s">
        <v>1704</v>
      </c>
      <c r="J2526" s="98" t="s">
        <v>1705</v>
      </c>
      <c r="K2526" s="98" t="s">
        <v>1706</v>
      </c>
    </row>
    <row r="2527" customFormat="false" ht="64" hidden="false" customHeight="true" outlineLevel="0" collapsed="false">
      <c r="C2527" s="98" t="s">
        <v>4315</v>
      </c>
      <c r="D2527" s="98" t="s">
        <v>1840</v>
      </c>
      <c r="E2527" s="98" t="s">
        <v>811</v>
      </c>
      <c r="F2527" s="98" t="n">
        <v>0</v>
      </c>
      <c r="G2527" s="98" t="s">
        <v>4310</v>
      </c>
      <c r="H2527" s="98" t="s">
        <v>1703</v>
      </c>
      <c r="I2527" s="98" t="s">
        <v>1704</v>
      </c>
      <c r="J2527" s="98" t="s">
        <v>1705</v>
      </c>
      <c r="K2527" s="98" t="s">
        <v>1706</v>
      </c>
    </row>
    <row r="2528" customFormat="false" ht="64" hidden="false" customHeight="true" outlineLevel="0" collapsed="false">
      <c r="C2528" s="98" t="s">
        <v>4316</v>
      </c>
      <c r="D2528" s="98" t="s">
        <v>1700</v>
      </c>
      <c r="E2528" s="98" t="s">
        <v>811</v>
      </c>
      <c r="F2528" s="98" t="n">
        <v>0</v>
      </c>
      <c r="G2528" s="98" t="s">
        <v>4310</v>
      </c>
      <c r="H2528" s="98" t="s">
        <v>1703</v>
      </c>
      <c r="I2528" s="98" t="s">
        <v>1704</v>
      </c>
      <c r="J2528" s="98" t="s">
        <v>1705</v>
      </c>
      <c r="K2528" s="98" t="s">
        <v>1706</v>
      </c>
    </row>
    <row r="2529" customFormat="false" ht="64" hidden="false" customHeight="true" outlineLevel="0" collapsed="false">
      <c r="C2529" s="98" t="s">
        <v>4317</v>
      </c>
      <c r="D2529" s="98" t="s">
        <v>1708</v>
      </c>
      <c r="E2529" s="98" t="s">
        <v>811</v>
      </c>
      <c r="F2529" s="98" t="n">
        <v>0</v>
      </c>
      <c r="G2529" s="98" t="s">
        <v>4310</v>
      </c>
      <c r="H2529" s="98" t="s">
        <v>1703</v>
      </c>
      <c r="I2529" s="98" t="s">
        <v>1704</v>
      </c>
      <c r="J2529" s="98" t="s">
        <v>1705</v>
      </c>
      <c r="K2529" s="98" t="s">
        <v>1706</v>
      </c>
    </row>
    <row r="2530" customFormat="false" ht="64" hidden="false" customHeight="true" outlineLevel="0" collapsed="false">
      <c r="C2530" s="98" t="s">
        <v>4318</v>
      </c>
      <c r="D2530" s="98" t="s">
        <v>1710</v>
      </c>
      <c r="E2530" s="98" t="s">
        <v>811</v>
      </c>
      <c r="F2530" s="98" t="n">
        <v>0</v>
      </c>
      <c r="G2530" s="98" t="s">
        <v>4310</v>
      </c>
      <c r="H2530" s="98" t="s">
        <v>1703</v>
      </c>
      <c r="I2530" s="98" t="s">
        <v>1704</v>
      </c>
      <c r="J2530" s="98" t="s">
        <v>1705</v>
      </c>
      <c r="K2530" s="98" t="s">
        <v>1706</v>
      </c>
    </row>
    <row r="2531" customFormat="false" ht="64" hidden="false" customHeight="true" outlineLevel="0" collapsed="false">
      <c r="C2531" s="98" t="s">
        <v>4319</v>
      </c>
      <c r="D2531" s="98" t="s">
        <v>1712</v>
      </c>
      <c r="E2531" s="98" t="s">
        <v>811</v>
      </c>
      <c r="F2531" s="98" t="n">
        <v>0</v>
      </c>
      <c r="G2531" s="98" t="s">
        <v>4310</v>
      </c>
      <c r="H2531" s="98" t="s">
        <v>1703</v>
      </c>
      <c r="I2531" s="98" t="s">
        <v>1704</v>
      </c>
      <c r="J2531" s="98" t="s">
        <v>1705</v>
      </c>
      <c r="K2531" s="98" t="s">
        <v>1706</v>
      </c>
    </row>
    <row r="2532" customFormat="false" ht="64" hidden="false" customHeight="true" outlineLevel="0" collapsed="false">
      <c r="C2532" s="98" t="s">
        <v>4320</v>
      </c>
      <c r="D2532" s="98" t="s">
        <v>1714</v>
      </c>
      <c r="E2532" s="98" t="s">
        <v>811</v>
      </c>
      <c r="F2532" s="98" t="n">
        <v>0</v>
      </c>
      <c r="G2532" s="98" t="s">
        <v>4310</v>
      </c>
      <c r="H2532" s="98" t="s">
        <v>1703</v>
      </c>
      <c r="I2532" s="98" t="s">
        <v>1704</v>
      </c>
      <c r="J2532" s="98" t="s">
        <v>1705</v>
      </c>
      <c r="K2532" s="98" t="s">
        <v>1706</v>
      </c>
    </row>
    <row r="2533" customFormat="false" ht="64" hidden="false" customHeight="true" outlineLevel="0" collapsed="false">
      <c r="C2533" s="98" t="s">
        <v>4321</v>
      </c>
      <c r="D2533" s="98" t="s">
        <v>1716</v>
      </c>
      <c r="E2533" s="98" t="s">
        <v>811</v>
      </c>
      <c r="F2533" s="98" t="n">
        <v>0</v>
      </c>
      <c r="G2533" s="98" t="s">
        <v>4310</v>
      </c>
      <c r="H2533" s="98" t="s">
        <v>1703</v>
      </c>
      <c r="I2533" s="98" t="s">
        <v>1704</v>
      </c>
      <c r="J2533" s="98" t="s">
        <v>1705</v>
      </c>
      <c r="K2533" s="98" t="s">
        <v>1706</v>
      </c>
    </row>
    <row r="2534" customFormat="false" ht="64" hidden="false" customHeight="true" outlineLevel="0" collapsed="false">
      <c r="C2534" s="98" t="s">
        <v>4322</v>
      </c>
      <c r="D2534" s="98" t="s">
        <v>1718</v>
      </c>
      <c r="E2534" s="98" t="s">
        <v>811</v>
      </c>
      <c r="F2534" s="98" t="n">
        <v>0</v>
      </c>
      <c r="G2534" s="98" t="s">
        <v>4310</v>
      </c>
      <c r="H2534" s="98" t="s">
        <v>1703</v>
      </c>
      <c r="I2534" s="98" t="s">
        <v>1704</v>
      </c>
      <c r="J2534" s="98" t="s">
        <v>1705</v>
      </c>
      <c r="K2534" s="98" t="s">
        <v>1706</v>
      </c>
    </row>
    <row r="2535" customFormat="false" ht="64" hidden="false" customHeight="true" outlineLevel="0" collapsed="false">
      <c r="C2535" s="98" t="s">
        <v>4323</v>
      </c>
      <c r="D2535" s="98" t="s">
        <v>1720</v>
      </c>
      <c r="E2535" s="98" t="s">
        <v>811</v>
      </c>
      <c r="F2535" s="98" t="n">
        <v>0</v>
      </c>
      <c r="G2535" s="98" t="s">
        <v>4310</v>
      </c>
      <c r="H2535" s="98" t="s">
        <v>1703</v>
      </c>
      <c r="I2535" s="98" t="s">
        <v>1704</v>
      </c>
      <c r="J2535" s="98" t="s">
        <v>1705</v>
      </c>
      <c r="K2535" s="98" t="s">
        <v>1706</v>
      </c>
    </row>
    <row r="2536" customFormat="false" ht="64" hidden="false" customHeight="true" outlineLevel="0" collapsed="false">
      <c r="C2536" s="98" t="s">
        <v>4324</v>
      </c>
      <c r="D2536" s="98" t="s">
        <v>1722</v>
      </c>
      <c r="E2536" s="98" t="s">
        <v>811</v>
      </c>
      <c r="F2536" s="98" t="n">
        <v>0</v>
      </c>
      <c r="G2536" s="98" t="s">
        <v>4310</v>
      </c>
      <c r="H2536" s="98" t="s">
        <v>1703</v>
      </c>
      <c r="I2536" s="98" t="s">
        <v>1704</v>
      </c>
      <c r="J2536" s="98" t="s">
        <v>1705</v>
      </c>
      <c r="K2536" s="98" t="s">
        <v>1706</v>
      </c>
    </row>
    <row r="2537" customFormat="false" ht="64" hidden="false" customHeight="true" outlineLevel="0" collapsed="false">
      <c r="C2537" s="98" t="s">
        <v>4325</v>
      </c>
      <c r="D2537" s="98" t="s">
        <v>1724</v>
      </c>
      <c r="E2537" s="98" t="s">
        <v>811</v>
      </c>
      <c r="F2537" s="98" t="n">
        <v>0</v>
      </c>
      <c r="G2537" s="98" t="s">
        <v>4310</v>
      </c>
      <c r="H2537" s="98" t="s">
        <v>1703</v>
      </c>
      <c r="I2537" s="98" t="s">
        <v>1704</v>
      </c>
      <c r="J2537" s="98" t="s">
        <v>1705</v>
      </c>
      <c r="K2537" s="98" t="s">
        <v>1706</v>
      </c>
    </row>
    <row r="2538" customFormat="false" ht="64" hidden="false" customHeight="true" outlineLevel="0" collapsed="false">
      <c r="C2538" s="98" t="s">
        <v>4326</v>
      </c>
      <c r="D2538" s="98" t="s">
        <v>1726</v>
      </c>
      <c r="E2538" s="98" t="s">
        <v>811</v>
      </c>
      <c r="F2538" s="98" t="n">
        <v>0</v>
      </c>
      <c r="G2538" s="98" t="s">
        <v>4310</v>
      </c>
      <c r="H2538" s="98" t="s">
        <v>1703</v>
      </c>
      <c r="I2538" s="98" t="s">
        <v>1704</v>
      </c>
      <c r="J2538" s="98" t="s">
        <v>1705</v>
      </c>
      <c r="K2538" s="98" t="s">
        <v>1706</v>
      </c>
    </row>
    <row r="2539" customFormat="false" ht="64" hidden="false" customHeight="true" outlineLevel="0" collapsed="false">
      <c r="C2539" s="98" t="s">
        <v>4327</v>
      </c>
      <c r="D2539" s="98" t="s">
        <v>1728</v>
      </c>
      <c r="E2539" s="98" t="s">
        <v>811</v>
      </c>
      <c r="F2539" s="98" t="n">
        <v>0</v>
      </c>
      <c r="G2539" s="98" t="s">
        <v>4310</v>
      </c>
      <c r="H2539" s="98" t="s">
        <v>1703</v>
      </c>
      <c r="I2539" s="98" t="s">
        <v>1704</v>
      </c>
      <c r="J2539" s="98" t="s">
        <v>1705</v>
      </c>
      <c r="K2539" s="98" t="s">
        <v>1706</v>
      </c>
    </row>
    <row r="2540" customFormat="false" ht="64" hidden="false" customHeight="true" outlineLevel="0" collapsed="false">
      <c r="C2540" s="98" t="s">
        <v>4328</v>
      </c>
      <c r="D2540" s="98" t="s">
        <v>1730</v>
      </c>
      <c r="E2540" s="98" t="s">
        <v>811</v>
      </c>
      <c r="F2540" s="98" t="n">
        <v>0</v>
      </c>
      <c r="G2540" s="98" t="s">
        <v>4310</v>
      </c>
      <c r="H2540" s="98" t="s">
        <v>1703</v>
      </c>
      <c r="I2540" s="98" t="s">
        <v>1704</v>
      </c>
      <c r="J2540" s="98" t="s">
        <v>1705</v>
      </c>
      <c r="K2540" s="98" t="s">
        <v>1706</v>
      </c>
    </row>
    <row r="2541" customFormat="false" ht="64" hidden="false" customHeight="true" outlineLevel="0" collapsed="false">
      <c r="C2541" s="98" t="s">
        <v>4329</v>
      </c>
      <c r="D2541" s="98" t="s">
        <v>1732</v>
      </c>
      <c r="E2541" s="98" t="s">
        <v>811</v>
      </c>
      <c r="F2541" s="98" t="n">
        <v>0</v>
      </c>
      <c r="G2541" s="98" t="s">
        <v>4310</v>
      </c>
      <c r="H2541" s="98" t="s">
        <v>1703</v>
      </c>
      <c r="I2541" s="98" t="s">
        <v>1704</v>
      </c>
      <c r="J2541" s="98" t="s">
        <v>1705</v>
      </c>
      <c r="K2541" s="98" t="s">
        <v>1706</v>
      </c>
    </row>
    <row r="2542" customFormat="false" ht="64" hidden="false" customHeight="true" outlineLevel="0" collapsed="false">
      <c r="C2542" s="98" t="s">
        <v>4330</v>
      </c>
      <c r="D2542" s="98" t="s">
        <v>1734</v>
      </c>
      <c r="E2542" s="98" t="s">
        <v>811</v>
      </c>
      <c r="F2542" s="98" t="n">
        <v>0</v>
      </c>
      <c r="G2542" s="98" t="s">
        <v>4310</v>
      </c>
      <c r="H2542" s="98" t="s">
        <v>1703</v>
      </c>
      <c r="I2542" s="98" t="s">
        <v>1704</v>
      </c>
      <c r="J2542" s="98" t="s">
        <v>1705</v>
      </c>
      <c r="K2542" s="98" t="s">
        <v>1706</v>
      </c>
    </row>
    <row r="2543" customFormat="false" ht="64" hidden="false" customHeight="true" outlineLevel="0" collapsed="false">
      <c r="C2543" s="98" t="s">
        <v>4331</v>
      </c>
      <c r="D2543" s="98" t="s">
        <v>1736</v>
      </c>
      <c r="E2543" s="98" t="s">
        <v>811</v>
      </c>
      <c r="F2543" s="98" t="n">
        <v>0</v>
      </c>
      <c r="G2543" s="98" t="s">
        <v>4310</v>
      </c>
      <c r="H2543" s="98" t="s">
        <v>1703</v>
      </c>
      <c r="I2543" s="98" t="s">
        <v>1704</v>
      </c>
      <c r="J2543" s="98" t="s">
        <v>1705</v>
      </c>
      <c r="K2543" s="98" t="s">
        <v>1706</v>
      </c>
    </row>
    <row r="2544" customFormat="false" ht="64" hidden="false" customHeight="true" outlineLevel="0" collapsed="false">
      <c r="C2544" s="98" t="s">
        <v>4332</v>
      </c>
      <c r="D2544" s="98" t="s">
        <v>1738</v>
      </c>
      <c r="E2544" s="98" t="s">
        <v>811</v>
      </c>
      <c r="F2544" s="98" t="n">
        <v>0</v>
      </c>
      <c r="G2544" s="98" t="s">
        <v>4310</v>
      </c>
      <c r="H2544" s="98" t="s">
        <v>1703</v>
      </c>
      <c r="I2544" s="98" t="s">
        <v>1704</v>
      </c>
      <c r="J2544" s="98" t="s">
        <v>1705</v>
      </c>
      <c r="K2544" s="98" t="s">
        <v>1706</v>
      </c>
    </row>
    <row r="2545" customFormat="false" ht="64" hidden="false" customHeight="true" outlineLevel="0" collapsed="false">
      <c r="C2545" s="98" t="s">
        <v>4333</v>
      </c>
      <c r="D2545" s="98" t="s">
        <v>1740</v>
      </c>
      <c r="E2545" s="98" t="s">
        <v>811</v>
      </c>
      <c r="F2545" s="98" t="n">
        <v>0</v>
      </c>
      <c r="G2545" s="98" t="s">
        <v>4310</v>
      </c>
      <c r="H2545" s="98" t="s">
        <v>1703</v>
      </c>
      <c r="I2545" s="98" t="s">
        <v>1704</v>
      </c>
      <c r="J2545" s="98" t="s">
        <v>1705</v>
      </c>
      <c r="K2545" s="98" t="s">
        <v>1706</v>
      </c>
    </row>
    <row r="2546" customFormat="false" ht="64" hidden="false" customHeight="true" outlineLevel="0" collapsed="false">
      <c r="C2546" s="98" t="s">
        <v>4334</v>
      </c>
      <c r="D2546" s="98" t="s">
        <v>1742</v>
      </c>
      <c r="E2546" s="98" t="s">
        <v>811</v>
      </c>
      <c r="F2546" s="98" t="n">
        <v>0</v>
      </c>
      <c r="G2546" s="98" t="s">
        <v>4310</v>
      </c>
      <c r="H2546" s="98" t="s">
        <v>1703</v>
      </c>
      <c r="I2546" s="98" t="s">
        <v>1704</v>
      </c>
      <c r="J2546" s="98" t="s">
        <v>1705</v>
      </c>
      <c r="K2546" s="98" t="s">
        <v>1706</v>
      </c>
    </row>
    <row r="2547" customFormat="false" ht="64" hidden="false" customHeight="true" outlineLevel="0" collapsed="false">
      <c r="C2547" s="98" t="s">
        <v>4335</v>
      </c>
      <c r="D2547" s="98" t="s">
        <v>1744</v>
      </c>
      <c r="E2547" s="98" t="s">
        <v>811</v>
      </c>
      <c r="F2547" s="98" t="n">
        <v>0</v>
      </c>
      <c r="G2547" s="98" t="s">
        <v>4310</v>
      </c>
      <c r="H2547" s="98" t="s">
        <v>1703</v>
      </c>
      <c r="I2547" s="98" t="s">
        <v>1704</v>
      </c>
      <c r="J2547" s="98" t="s">
        <v>1705</v>
      </c>
      <c r="K2547" s="98" t="s">
        <v>1706</v>
      </c>
    </row>
    <row r="2548" customFormat="false" ht="64" hidden="false" customHeight="true" outlineLevel="0" collapsed="false">
      <c r="C2548" s="98" t="s">
        <v>4336</v>
      </c>
      <c r="D2548" s="98" t="s">
        <v>1746</v>
      </c>
      <c r="E2548" s="98" t="s">
        <v>811</v>
      </c>
      <c r="F2548" s="98" t="n">
        <v>0</v>
      </c>
      <c r="G2548" s="98" t="s">
        <v>4310</v>
      </c>
      <c r="H2548" s="98" t="s">
        <v>1703</v>
      </c>
      <c r="I2548" s="98" t="s">
        <v>1704</v>
      </c>
      <c r="J2548" s="98" t="s">
        <v>1705</v>
      </c>
      <c r="K2548" s="98" t="s">
        <v>1706</v>
      </c>
    </row>
    <row r="2549" customFormat="false" ht="64" hidden="false" customHeight="true" outlineLevel="0" collapsed="false">
      <c r="C2549" s="98" t="s">
        <v>4337</v>
      </c>
      <c r="D2549" s="98" t="s">
        <v>1748</v>
      </c>
      <c r="E2549" s="98" t="s">
        <v>811</v>
      </c>
      <c r="F2549" s="98" t="n">
        <v>0</v>
      </c>
      <c r="G2549" s="98" t="s">
        <v>4310</v>
      </c>
      <c r="H2549" s="98" t="s">
        <v>1703</v>
      </c>
      <c r="I2549" s="98" t="s">
        <v>1704</v>
      </c>
      <c r="J2549" s="98" t="s">
        <v>1705</v>
      </c>
      <c r="K2549" s="98" t="s">
        <v>1706</v>
      </c>
    </row>
    <row r="2550" customFormat="false" ht="64" hidden="false" customHeight="true" outlineLevel="0" collapsed="false">
      <c r="C2550" s="98" t="s">
        <v>4338</v>
      </c>
      <c r="D2550" s="98" t="s">
        <v>1750</v>
      </c>
      <c r="E2550" s="98" t="s">
        <v>811</v>
      </c>
      <c r="F2550" s="98" t="n">
        <v>0</v>
      </c>
      <c r="G2550" s="98" t="s">
        <v>4310</v>
      </c>
      <c r="H2550" s="98" t="s">
        <v>1703</v>
      </c>
      <c r="I2550" s="98" t="s">
        <v>1704</v>
      </c>
      <c r="J2550" s="98" t="s">
        <v>1705</v>
      </c>
      <c r="K2550" s="98" t="s">
        <v>1706</v>
      </c>
    </row>
    <row r="2551" customFormat="false" ht="64" hidden="false" customHeight="true" outlineLevel="0" collapsed="false">
      <c r="C2551" s="98" t="s">
        <v>4339</v>
      </c>
      <c r="D2551" s="98" t="s">
        <v>1752</v>
      </c>
      <c r="E2551" s="98" t="s">
        <v>811</v>
      </c>
      <c r="F2551" s="98" t="n">
        <v>0</v>
      </c>
      <c r="G2551" s="98" t="s">
        <v>4310</v>
      </c>
      <c r="H2551" s="98" t="s">
        <v>1703</v>
      </c>
      <c r="I2551" s="98" t="s">
        <v>1704</v>
      </c>
      <c r="J2551" s="98" t="s">
        <v>1705</v>
      </c>
      <c r="K2551" s="98" t="s">
        <v>1706</v>
      </c>
    </row>
    <row r="2552" customFormat="false" ht="64" hidden="false" customHeight="true" outlineLevel="0" collapsed="false">
      <c r="C2552" s="98" t="s">
        <v>4340</v>
      </c>
      <c r="D2552" s="98" t="s">
        <v>1754</v>
      </c>
      <c r="E2552" s="98" t="s">
        <v>811</v>
      </c>
      <c r="F2552" s="98" t="n">
        <v>0</v>
      </c>
      <c r="G2552" s="98" t="s">
        <v>4310</v>
      </c>
      <c r="H2552" s="98" t="s">
        <v>1703</v>
      </c>
      <c r="I2552" s="98" t="s">
        <v>1704</v>
      </c>
      <c r="J2552" s="98" t="s">
        <v>1705</v>
      </c>
      <c r="K2552" s="98" t="s">
        <v>1706</v>
      </c>
    </row>
    <row r="2553" customFormat="false" ht="64" hidden="false" customHeight="true" outlineLevel="0" collapsed="false">
      <c r="C2553" s="98" t="s">
        <v>4341</v>
      </c>
      <c r="D2553" s="98" t="s">
        <v>1756</v>
      </c>
      <c r="E2553" s="98" t="s">
        <v>811</v>
      </c>
      <c r="F2553" s="98" t="n">
        <v>0</v>
      </c>
      <c r="G2553" s="98" t="s">
        <v>4310</v>
      </c>
      <c r="H2553" s="98" t="s">
        <v>1703</v>
      </c>
      <c r="I2553" s="98" t="s">
        <v>1704</v>
      </c>
      <c r="J2553" s="98" t="s">
        <v>1705</v>
      </c>
      <c r="K2553" s="98" t="s">
        <v>1706</v>
      </c>
    </row>
    <row r="2554" customFormat="false" ht="64" hidden="false" customHeight="true" outlineLevel="0" collapsed="false">
      <c r="C2554" s="98" t="s">
        <v>4342</v>
      </c>
      <c r="D2554" s="98" t="s">
        <v>1758</v>
      </c>
      <c r="E2554" s="98" t="s">
        <v>811</v>
      </c>
      <c r="F2554" s="98" t="n">
        <v>0</v>
      </c>
      <c r="G2554" s="98" t="s">
        <v>4310</v>
      </c>
      <c r="H2554" s="98" t="s">
        <v>1703</v>
      </c>
      <c r="I2554" s="98" t="s">
        <v>1704</v>
      </c>
      <c r="J2554" s="98" t="s">
        <v>1705</v>
      </c>
      <c r="K2554" s="98" t="s">
        <v>1706</v>
      </c>
    </row>
    <row r="2555" customFormat="false" ht="64" hidden="false" customHeight="true" outlineLevel="0" collapsed="false">
      <c r="C2555" s="98" t="s">
        <v>4343</v>
      </c>
      <c r="D2555" s="98" t="s">
        <v>1760</v>
      </c>
      <c r="E2555" s="98" t="s">
        <v>811</v>
      </c>
      <c r="F2555" s="98" t="n">
        <v>0</v>
      </c>
      <c r="G2555" s="98" t="s">
        <v>4310</v>
      </c>
      <c r="H2555" s="98" t="s">
        <v>1703</v>
      </c>
      <c r="I2555" s="98" t="s">
        <v>1704</v>
      </c>
      <c r="J2555" s="98" t="s">
        <v>1705</v>
      </c>
      <c r="K2555" s="98" t="s">
        <v>1706</v>
      </c>
    </row>
    <row r="2556" customFormat="false" ht="64" hidden="false" customHeight="true" outlineLevel="0" collapsed="false">
      <c r="C2556" s="98" t="s">
        <v>4344</v>
      </c>
      <c r="D2556" s="98" t="s">
        <v>1762</v>
      </c>
      <c r="E2556" s="98" t="s">
        <v>811</v>
      </c>
      <c r="F2556" s="98" t="n">
        <v>0</v>
      </c>
      <c r="G2556" s="98" t="s">
        <v>4310</v>
      </c>
      <c r="H2556" s="98" t="s">
        <v>1703</v>
      </c>
      <c r="I2556" s="98" t="s">
        <v>1704</v>
      </c>
      <c r="J2556" s="98" t="s">
        <v>1705</v>
      </c>
      <c r="K2556" s="98" t="s">
        <v>1706</v>
      </c>
    </row>
    <row r="2557" customFormat="false" ht="64" hidden="false" customHeight="true" outlineLevel="0" collapsed="false">
      <c r="C2557" s="98" t="s">
        <v>4345</v>
      </c>
      <c r="D2557" s="98" t="s">
        <v>1764</v>
      </c>
      <c r="E2557" s="98" t="s">
        <v>811</v>
      </c>
      <c r="F2557" s="98" t="n">
        <v>0</v>
      </c>
      <c r="G2557" s="98" t="s">
        <v>4310</v>
      </c>
      <c r="H2557" s="98" t="s">
        <v>1703</v>
      </c>
      <c r="I2557" s="98" t="s">
        <v>1704</v>
      </c>
      <c r="J2557" s="98" t="s">
        <v>1705</v>
      </c>
      <c r="K2557" s="98" t="s">
        <v>1706</v>
      </c>
    </row>
    <row r="2558" customFormat="false" ht="64" hidden="false" customHeight="true" outlineLevel="0" collapsed="false">
      <c r="C2558" s="98" t="s">
        <v>4346</v>
      </c>
      <c r="D2558" s="98" t="s">
        <v>1829</v>
      </c>
      <c r="E2558" s="98" t="s">
        <v>811</v>
      </c>
      <c r="F2558" s="98" t="n">
        <v>0</v>
      </c>
      <c r="G2558" s="98" t="s">
        <v>4347</v>
      </c>
      <c r="H2558" s="98" t="s">
        <v>1703</v>
      </c>
      <c r="I2558" s="98" t="s">
        <v>1704</v>
      </c>
      <c r="J2558" s="98" t="s">
        <v>1705</v>
      </c>
      <c r="K2558" s="98" t="s">
        <v>1706</v>
      </c>
    </row>
    <row r="2559" customFormat="false" ht="64" hidden="false" customHeight="true" outlineLevel="0" collapsed="false">
      <c r="C2559" s="98" t="s">
        <v>4348</v>
      </c>
      <c r="D2559" s="98" t="s">
        <v>1833</v>
      </c>
      <c r="E2559" s="98" t="s">
        <v>811</v>
      </c>
      <c r="F2559" s="98" t="n">
        <v>0</v>
      </c>
      <c r="G2559" s="98" t="s">
        <v>4347</v>
      </c>
      <c r="H2559" s="98" t="s">
        <v>1703</v>
      </c>
      <c r="I2559" s="98" t="s">
        <v>1704</v>
      </c>
      <c r="J2559" s="98" t="s">
        <v>1705</v>
      </c>
      <c r="K2559" s="98" t="s">
        <v>1706</v>
      </c>
    </row>
    <row r="2560" customFormat="false" ht="64" hidden="false" customHeight="true" outlineLevel="0" collapsed="false">
      <c r="C2560" s="98" t="s">
        <v>4349</v>
      </c>
      <c r="D2560" s="98" t="s">
        <v>1835</v>
      </c>
      <c r="E2560" s="98" t="s">
        <v>811</v>
      </c>
      <c r="F2560" s="98" t="n">
        <v>0</v>
      </c>
      <c r="G2560" s="98" t="s">
        <v>4347</v>
      </c>
      <c r="H2560" s="98" t="s">
        <v>1703</v>
      </c>
      <c r="I2560" s="98" t="s">
        <v>1704</v>
      </c>
      <c r="J2560" s="98" t="s">
        <v>1705</v>
      </c>
      <c r="K2560" s="98" t="s">
        <v>1706</v>
      </c>
    </row>
    <row r="2561" customFormat="false" ht="64" hidden="false" customHeight="true" outlineLevel="0" collapsed="false">
      <c r="C2561" s="98" t="s">
        <v>4350</v>
      </c>
      <c r="D2561" s="98" t="s">
        <v>1044</v>
      </c>
      <c r="E2561" s="98" t="s">
        <v>811</v>
      </c>
      <c r="F2561" s="98" t="n">
        <v>0</v>
      </c>
      <c r="G2561" s="98" t="s">
        <v>4347</v>
      </c>
      <c r="H2561" s="98" t="s">
        <v>1703</v>
      </c>
      <c r="I2561" s="98" t="s">
        <v>1704</v>
      </c>
      <c r="J2561" s="98" t="s">
        <v>1705</v>
      </c>
      <c r="K2561" s="98" t="s">
        <v>1706</v>
      </c>
    </row>
    <row r="2562" customFormat="false" ht="64" hidden="false" customHeight="true" outlineLevel="0" collapsed="false">
      <c r="C2562" s="98" t="s">
        <v>4351</v>
      </c>
      <c r="D2562" s="98" t="s">
        <v>1838</v>
      </c>
      <c r="E2562" s="98" t="s">
        <v>811</v>
      </c>
      <c r="F2562" s="98" t="n">
        <v>0</v>
      </c>
      <c r="G2562" s="98" t="s">
        <v>4347</v>
      </c>
      <c r="H2562" s="98" t="s">
        <v>1703</v>
      </c>
      <c r="I2562" s="98" t="s">
        <v>1704</v>
      </c>
      <c r="J2562" s="98" t="s">
        <v>1705</v>
      </c>
      <c r="K2562" s="98" t="s">
        <v>1706</v>
      </c>
    </row>
    <row r="2563" customFormat="false" ht="64" hidden="false" customHeight="true" outlineLevel="0" collapsed="false">
      <c r="C2563" s="98" t="s">
        <v>4352</v>
      </c>
      <c r="D2563" s="98" t="s">
        <v>1840</v>
      </c>
      <c r="E2563" s="98" t="s">
        <v>811</v>
      </c>
      <c r="F2563" s="98" t="n">
        <v>0</v>
      </c>
      <c r="G2563" s="98" t="s">
        <v>4347</v>
      </c>
      <c r="H2563" s="98" t="s">
        <v>1703</v>
      </c>
      <c r="I2563" s="98" t="s">
        <v>1704</v>
      </c>
      <c r="J2563" s="98" t="s">
        <v>1705</v>
      </c>
      <c r="K2563" s="98" t="s">
        <v>1706</v>
      </c>
    </row>
    <row r="2564" customFormat="false" ht="64" hidden="false" customHeight="true" outlineLevel="0" collapsed="false">
      <c r="C2564" s="98" t="s">
        <v>4353</v>
      </c>
      <c r="D2564" s="98" t="s">
        <v>1700</v>
      </c>
      <c r="E2564" s="98" t="s">
        <v>811</v>
      </c>
      <c r="F2564" s="98" t="n">
        <v>0</v>
      </c>
      <c r="G2564" s="98" t="s">
        <v>4347</v>
      </c>
      <c r="H2564" s="98" t="s">
        <v>1703</v>
      </c>
      <c r="I2564" s="98" t="s">
        <v>1704</v>
      </c>
      <c r="J2564" s="98" t="s">
        <v>1705</v>
      </c>
      <c r="K2564" s="98" t="s">
        <v>1706</v>
      </c>
    </row>
    <row r="2565" customFormat="false" ht="64" hidden="false" customHeight="true" outlineLevel="0" collapsed="false">
      <c r="C2565" s="98" t="s">
        <v>4354</v>
      </c>
      <c r="D2565" s="98" t="s">
        <v>1708</v>
      </c>
      <c r="E2565" s="98" t="s">
        <v>811</v>
      </c>
      <c r="F2565" s="98" t="n">
        <v>0</v>
      </c>
      <c r="G2565" s="98" t="s">
        <v>4347</v>
      </c>
      <c r="H2565" s="98" t="s">
        <v>1703</v>
      </c>
      <c r="I2565" s="98" t="s">
        <v>1704</v>
      </c>
      <c r="J2565" s="98" t="s">
        <v>1705</v>
      </c>
      <c r="K2565" s="98" t="s">
        <v>1706</v>
      </c>
    </row>
    <row r="2566" customFormat="false" ht="64" hidden="false" customHeight="true" outlineLevel="0" collapsed="false">
      <c r="C2566" s="98" t="s">
        <v>4355</v>
      </c>
      <c r="D2566" s="98" t="s">
        <v>1710</v>
      </c>
      <c r="E2566" s="98" t="s">
        <v>811</v>
      </c>
      <c r="F2566" s="98" t="n">
        <v>0</v>
      </c>
      <c r="G2566" s="98" t="s">
        <v>4347</v>
      </c>
      <c r="H2566" s="98" t="s">
        <v>1703</v>
      </c>
      <c r="I2566" s="98" t="s">
        <v>1704</v>
      </c>
      <c r="J2566" s="98" t="s">
        <v>1705</v>
      </c>
      <c r="K2566" s="98" t="s">
        <v>1706</v>
      </c>
    </row>
    <row r="2567" customFormat="false" ht="64" hidden="false" customHeight="true" outlineLevel="0" collapsed="false">
      <c r="C2567" s="98" t="s">
        <v>4356</v>
      </c>
      <c r="D2567" s="98" t="s">
        <v>1712</v>
      </c>
      <c r="E2567" s="98" t="s">
        <v>811</v>
      </c>
      <c r="F2567" s="98" t="n">
        <v>0</v>
      </c>
      <c r="G2567" s="98" t="s">
        <v>4347</v>
      </c>
      <c r="H2567" s="98" t="s">
        <v>1703</v>
      </c>
      <c r="I2567" s="98" t="s">
        <v>1704</v>
      </c>
      <c r="J2567" s="98" t="s">
        <v>1705</v>
      </c>
      <c r="K2567" s="98" t="s">
        <v>1706</v>
      </c>
    </row>
    <row r="2568" customFormat="false" ht="64" hidden="false" customHeight="true" outlineLevel="0" collapsed="false">
      <c r="C2568" s="98" t="s">
        <v>4357</v>
      </c>
      <c r="D2568" s="98" t="s">
        <v>1714</v>
      </c>
      <c r="E2568" s="98" t="s">
        <v>811</v>
      </c>
      <c r="F2568" s="98" t="n">
        <v>0</v>
      </c>
      <c r="G2568" s="98" t="s">
        <v>4347</v>
      </c>
      <c r="H2568" s="98" t="s">
        <v>1703</v>
      </c>
      <c r="I2568" s="98" t="s">
        <v>1704</v>
      </c>
      <c r="J2568" s="98" t="s">
        <v>1705</v>
      </c>
      <c r="K2568" s="98" t="s">
        <v>1706</v>
      </c>
    </row>
    <row r="2569" customFormat="false" ht="64" hidden="false" customHeight="true" outlineLevel="0" collapsed="false">
      <c r="C2569" s="98" t="s">
        <v>4358</v>
      </c>
      <c r="D2569" s="98" t="s">
        <v>1716</v>
      </c>
      <c r="E2569" s="98" t="s">
        <v>811</v>
      </c>
      <c r="F2569" s="98" t="n">
        <v>0</v>
      </c>
      <c r="G2569" s="98" t="s">
        <v>4347</v>
      </c>
      <c r="H2569" s="98" t="s">
        <v>1703</v>
      </c>
      <c r="I2569" s="98" t="s">
        <v>1704</v>
      </c>
      <c r="J2569" s="98" t="s">
        <v>1705</v>
      </c>
      <c r="K2569" s="98" t="s">
        <v>1706</v>
      </c>
    </row>
    <row r="2570" customFormat="false" ht="64" hidden="false" customHeight="true" outlineLevel="0" collapsed="false">
      <c r="C2570" s="98" t="s">
        <v>4359</v>
      </c>
      <c r="D2570" s="98" t="s">
        <v>1718</v>
      </c>
      <c r="E2570" s="98" t="s">
        <v>811</v>
      </c>
      <c r="F2570" s="98" t="n">
        <v>0</v>
      </c>
      <c r="G2570" s="98" t="s">
        <v>4347</v>
      </c>
      <c r="H2570" s="98" t="s">
        <v>1703</v>
      </c>
      <c r="I2570" s="98" t="s">
        <v>1704</v>
      </c>
      <c r="J2570" s="98" t="s">
        <v>1705</v>
      </c>
      <c r="K2570" s="98" t="s">
        <v>1706</v>
      </c>
    </row>
    <row r="2571" customFormat="false" ht="64" hidden="false" customHeight="true" outlineLevel="0" collapsed="false">
      <c r="C2571" s="98" t="s">
        <v>4360</v>
      </c>
      <c r="D2571" s="98" t="s">
        <v>1720</v>
      </c>
      <c r="E2571" s="98" t="s">
        <v>811</v>
      </c>
      <c r="F2571" s="98" t="n">
        <v>0</v>
      </c>
      <c r="G2571" s="98" t="s">
        <v>4347</v>
      </c>
      <c r="H2571" s="98" t="s">
        <v>1703</v>
      </c>
      <c r="I2571" s="98" t="s">
        <v>1704</v>
      </c>
      <c r="J2571" s="98" t="s">
        <v>1705</v>
      </c>
      <c r="K2571" s="98" t="s">
        <v>1706</v>
      </c>
    </row>
    <row r="2572" customFormat="false" ht="64" hidden="false" customHeight="true" outlineLevel="0" collapsed="false">
      <c r="C2572" s="98" t="s">
        <v>4361</v>
      </c>
      <c r="D2572" s="98" t="s">
        <v>1722</v>
      </c>
      <c r="E2572" s="98" t="s">
        <v>811</v>
      </c>
      <c r="F2572" s="98" t="n">
        <v>0</v>
      </c>
      <c r="G2572" s="98" t="s">
        <v>4347</v>
      </c>
      <c r="H2572" s="98" t="s">
        <v>1703</v>
      </c>
      <c r="I2572" s="98" t="s">
        <v>1704</v>
      </c>
      <c r="J2572" s="98" t="s">
        <v>1705</v>
      </c>
      <c r="K2572" s="98" t="s">
        <v>1706</v>
      </c>
    </row>
    <row r="2573" customFormat="false" ht="64" hidden="false" customHeight="true" outlineLevel="0" collapsed="false">
      <c r="C2573" s="98" t="s">
        <v>4362</v>
      </c>
      <c r="D2573" s="98" t="s">
        <v>1724</v>
      </c>
      <c r="E2573" s="98" t="s">
        <v>811</v>
      </c>
      <c r="F2573" s="98" t="n">
        <v>0</v>
      </c>
      <c r="G2573" s="98" t="s">
        <v>4347</v>
      </c>
      <c r="H2573" s="98" t="s">
        <v>1703</v>
      </c>
      <c r="I2573" s="98" t="s">
        <v>1704</v>
      </c>
      <c r="J2573" s="98" t="s">
        <v>1705</v>
      </c>
      <c r="K2573" s="98" t="s">
        <v>1706</v>
      </c>
    </row>
    <row r="2574" customFormat="false" ht="64" hidden="false" customHeight="true" outlineLevel="0" collapsed="false">
      <c r="C2574" s="98" t="s">
        <v>4363</v>
      </c>
      <c r="D2574" s="98" t="s">
        <v>1726</v>
      </c>
      <c r="E2574" s="98" t="s">
        <v>811</v>
      </c>
      <c r="F2574" s="98" t="n">
        <v>0</v>
      </c>
      <c r="G2574" s="98" t="s">
        <v>4347</v>
      </c>
      <c r="H2574" s="98" t="s">
        <v>1703</v>
      </c>
      <c r="I2574" s="98" t="s">
        <v>1704</v>
      </c>
      <c r="J2574" s="98" t="s">
        <v>1705</v>
      </c>
      <c r="K2574" s="98" t="s">
        <v>1706</v>
      </c>
    </row>
    <row r="2575" customFormat="false" ht="64" hidden="false" customHeight="true" outlineLevel="0" collapsed="false">
      <c r="C2575" s="98" t="s">
        <v>4364</v>
      </c>
      <c r="D2575" s="98" t="s">
        <v>1728</v>
      </c>
      <c r="E2575" s="98" t="s">
        <v>811</v>
      </c>
      <c r="F2575" s="98" t="n">
        <v>0</v>
      </c>
      <c r="G2575" s="98" t="s">
        <v>4347</v>
      </c>
      <c r="H2575" s="98" t="s">
        <v>1703</v>
      </c>
      <c r="I2575" s="98" t="s">
        <v>1704</v>
      </c>
      <c r="J2575" s="98" t="s">
        <v>1705</v>
      </c>
      <c r="K2575" s="98" t="s">
        <v>1706</v>
      </c>
    </row>
    <row r="2576" customFormat="false" ht="64" hidden="false" customHeight="true" outlineLevel="0" collapsed="false">
      <c r="C2576" s="98" t="s">
        <v>4365</v>
      </c>
      <c r="D2576" s="98" t="s">
        <v>1730</v>
      </c>
      <c r="E2576" s="98" t="s">
        <v>811</v>
      </c>
      <c r="F2576" s="98" t="n">
        <v>0</v>
      </c>
      <c r="G2576" s="98" t="s">
        <v>4347</v>
      </c>
      <c r="H2576" s="98" t="s">
        <v>1703</v>
      </c>
      <c r="I2576" s="98" t="s">
        <v>1704</v>
      </c>
      <c r="J2576" s="98" t="s">
        <v>1705</v>
      </c>
      <c r="K2576" s="98" t="s">
        <v>1706</v>
      </c>
    </row>
    <row r="2577" customFormat="false" ht="64" hidden="false" customHeight="true" outlineLevel="0" collapsed="false">
      <c r="C2577" s="98" t="s">
        <v>4366</v>
      </c>
      <c r="D2577" s="98" t="s">
        <v>1732</v>
      </c>
      <c r="E2577" s="98" t="s">
        <v>811</v>
      </c>
      <c r="F2577" s="98" t="n">
        <v>0</v>
      </c>
      <c r="G2577" s="98" t="s">
        <v>4347</v>
      </c>
      <c r="H2577" s="98" t="s">
        <v>1703</v>
      </c>
      <c r="I2577" s="98" t="s">
        <v>1704</v>
      </c>
      <c r="J2577" s="98" t="s">
        <v>1705</v>
      </c>
      <c r="K2577" s="98" t="s">
        <v>1706</v>
      </c>
    </row>
    <row r="2578" customFormat="false" ht="64" hidden="false" customHeight="true" outlineLevel="0" collapsed="false">
      <c r="C2578" s="98" t="s">
        <v>4367</v>
      </c>
      <c r="D2578" s="98" t="s">
        <v>1734</v>
      </c>
      <c r="E2578" s="98" t="s">
        <v>811</v>
      </c>
      <c r="F2578" s="98" t="n">
        <v>0</v>
      </c>
      <c r="G2578" s="98" t="s">
        <v>4347</v>
      </c>
      <c r="H2578" s="98" t="s">
        <v>1703</v>
      </c>
      <c r="I2578" s="98" t="s">
        <v>1704</v>
      </c>
      <c r="J2578" s="98" t="s">
        <v>1705</v>
      </c>
      <c r="K2578" s="98" t="s">
        <v>1706</v>
      </c>
    </row>
    <row r="2579" customFormat="false" ht="64" hidden="false" customHeight="true" outlineLevel="0" collapsed="false">
      <c r="C2579" s="98" t="s">
        <v>4368</v>
      </c>
      <c r="D2579" s="98" t="s">
        <v>1736</v>
      </c>
      <c r="E2579" s="98" t="s">
        <v>811</v>
      </c>
      <c r="F2579" s="98" t="n">
        <v>0</v>
      </c>
      <c r="G2579" s="98" t="s">
        <v>4347</v>
      </c>
      <c r="H2579" s="98" t="s">
        <v>1703</v>
      </c>
      <c r="I2579" s="98" t="s">
        <v>1704</v>
      </c>
      <c r="J2579" s="98" t="s">
        <v>1705</v>
      </c>
      <c r="K2579" s="98" t="s">
        <v>1706</v>
      </c>
    </row>
    <row r="2580" customFormat="false" ht="64" hidden="false" customHeight="true" outlineLevel="0" collapsed="false">
      <c r="C2580" s="98" t="s">
        <v>4369</v>
      </c>
      <c r="D2580" s="98" t="s">
        <v>1738</v>
      </c>
      <c r="E2580" s="98" t="s">
        <v>811</v>
      </c>
      <c r="F2580" s="98" t="n">
        <v>0</v>
      </c>
      <c r="G2580" s="98" t="s">
        <v>4347</v>
      </c>
      <c r="H2580" s="98" t="s">
        <v>1703</v>
      </c>
      <c r="I2580" s="98" t="s">
        <v>1704</v>
      </c>
      <c r="J2580" s="98" t="s">
        <v>1705</v>
      </c>
      <c r="K2580" s="98" t="s">
        <v>1706</v>
      </c>
    </row>
    <row r="2581" customFormat="false" ht="64" hidden="false" customHeight="true" outlineLevel="0" collapsed="false">
      <c r="C2581" s="98" t="s">
        <v>4370</v>
      </c>
      <c r="D2581" s="98" t="s">
        <v>1740</v>
      </c>
      <c r="E2581" s="98" t="s">
        <v>811</v>
      </c>
      <c r="F2581" s="98" t="n">
        <v>0</v>
      </c>
      <c r="G2581" s="98" t="s">
        <v>4347</v>
      </c>
      <c r="H2581" s="98" t="s">
        <v>1703</v>
      </c>
      <c r="I2581" s="98" t="s">
        <v>1704</v>
      </c>
      <c r="J2581" s="98" t="s">
        <v>1705</v>
      </c>
      <c r="K2581" s="98" t="s">
        <v>1706</v>
      </c>
    </row>
    <row r="2582" customFormat="false" ht="64" hidden="false" customHeight="true" outlineLevel="0" collapsed="false">
      <c r="C2582" s="98" t="s">
        <v>4371</v>
      </c>
      <c r="D2582" s="98" t="s">
        <v>1742</v>
      </c>
      <c r="E2582" s="98" t="s">
        <v>811</v>
      </c>
      <c r="F2582" s="98" t="n">
        <v>0</v>
      </c>
      <c r="G2582" s="98" t="s">
        <v>4347</v>
      </c>
      <c r="H2582" s="98" t="s">
        <v>1703</v>
      </c>
      <c r="I2582" s="98" t="s">
        <v>1704</v>
      </c>
      <c r="J2582" s="98" t="s">
        <v>1705</v>
      </c>
      <c r="K2582" s="98" t="s">
        <v>1706</v>
      </c>
    </row>
    <row r="2583" customFormat="false" ht="64" hidden="false" customHeight="true" outlineLevel="0" collapsed="false">
      <c r="C2583" s="98" t="s">
        <v>4372</v>
      </c>
      <c r="D2583" s="98" t="s">
        <v>1744</v>
      </c>
      <c r="E2583" s="98" t="s">
        <v>811</v>
      </c>
      <c r="F2583" s="98" t="n">
        <v>0</v>
      </c>
      <c r="G2583" s="98" t="s">
        <v>4347</v>
      </c>
      <c r="H2583" s="98" t="s">
        <v>1703</v>
      </c>
      <c r="I2583" s="98" t="s">
        <v>1704</v>
      </c>
      <c r="J2583" s="98" t="s">
        <v>1705</v>
      </c>
      <c r="K2583" s="98" t="s">
        <v>1706</v>
      </c>
    </row>
    <row r="2584" customFormat="false" ht="64" hidden="false" customHeight="true" outlineLevel="0" collapsed="false">
      <c r="C2584" s="98" t="s">
        <v>4373</v>
      </c>
      <c r="D2584" s="98" t="s">
        <v>1746</v>
      </c>
      <c r="E2584" s="98" t="s">
        <v>811</v>
      </c>
      <c r="F2584" s="98" t="n">
        <v>0</v>
      </c>
      <c r="G2584" s="98" t="s">
        <v>4347</v>
      </c>
      <c r="H2584" s="98" t="s">
        <v>1703</v>
      </c>
      <c r="I2584" s="98" t="s">
        <v>1704</v>
      </c>
      <c r="J2584" s="98" t="s">
        <v>1705</v>
      </c>
      <c r="K2584" s="98" t="s">
        <v>1706</v>
      </c>
    </row>
    <row r="2585" customFormat="false" ht="64" hidden="false" customHeight="true" outlineLevel="0" collapsed="false">
      <c r="C2585" s="98" t="s">
        <v>4374</v>
      </c>
      <c r="D2585" s="98" t="s">
        <v>1748</v>
      </c>
      <c r="E2585" s="98" t="s">
        <v>811</v>
      </c>
      <c r="F2585" s="98" t="n">
        <v>0</v>
      </c>
      <c r="G2585" s="98" t="s">
        <v>4347</v>
      </c>
      <c r="H2585" s="98" t="s">
        <v>1703</v>
      </c>
      <c r="I2585" s="98" t="s">
        <v>1704</v>
      </c>
      <c r="J2585" s="98" t="s">
        <v>1705</v>
      </c>
      <c r="K2585" s="98" t="s">
        <v>1706</v>
      </c>
    </row>
    <row r="2586" customFormat="false" ht="64" hidden="false" customHeight="true" outlineLevel="0" collapsed="false">
      <c r="C2586" s="98" t="s">
        <v>4375</v>
      </c>
      <c r="D2586" s="98" t="s">
        <v>1750</v>
      </c>
      <c r="E2586" s="98" t="s">
        <v>811</v>
      </c>
      <c r="F2586" s="98" t="n">
        <v>0</v>
      </c>
      <c r="G2586" s="98" t="s">
        <v>4347</v>
      </c>
      <c r="H2586" s="98" t="s">
        <v>1703</v>
      </c>
      <c r="I2586" s="98" t="s">
        <v>1704</v>
      </c>
      <c r="J2586" s="98" t="s">
        <v>1705</v>
      </c>
      <c r="K2586" s="98" t="s">
        <v>1706</v>
      </c>
    </row>
    <row r="2587" customFormat="false" ht="64" hidden="false" customHeight="true" outlineLevel="0" collapsed="false">
      <c r="C2587" s="98" t="s">
        <v>4376</v>
      </c>
      <c r="D2587" s="98" t="s">
        <v>1752</v>
      </c>
      <c r="E2587" s="98" t="s">
        <v>811</v>
      </c>
      <c r="F2587" s="98" t="n">
        <v>0</v>
      </c>
      <c r="G2587" s="98" t="s">
        <v>4347</v>
      </c>
      <c r="H2587" s="98" t="s">
        <v>1703</v>
      </c>
      <c r="I2587" s="98" t="s">
        <v>1704</v>
      </c>
      <c r="J2587" s="98" t="s">
        <v>1705</v>
      </c>
      <c r="K2587" s="98" t="s">
        <v>1706</v>
      </c>
    </row>
    <row r="2588" customFormat="false" ht="64" hidden="false" customHeight="true" outlineLevel="0" collapsed="false">
      <c r="C2588" s="98" t="s">
        <v>4377</v>
      </c>
      <c r="D2588" s="98" t="s">
        <v>1754</v>
      </c>
      <c r="E2588" s="98" t="s">
        <v>811</v>
      </c>
      <c r="F2588" s="98" t="n">
        <v>0</v>
      </c>
      <c r="G2588" s="98" t="s">
        <v>4347</v>
      </c>
      <c r="H2588" s="98" t="s">
        <v>1703</v>
      </c>
      <c r="I2588" s="98" t="s">
        <v>1704</v>
      </c>
      <c r="J2588" s="98" t="s">
        <v>1705</v>
      </c>
      <c r="K2588" s="98" t="s">
        <v>1706</v>
      </c>
    </row>
    <row r="2589" customFormat="false" ht="64" hidden="false" customHeight="true" outlineLevel="0" collapsed="false">
      <c r="C2589" s="98" t="s">
        <v>4378</v>
      </c>
      <c r="D2589" s="98" t="s">
        <v>1756</v>
      </c>
      <c r="E2589" s="98" t="s">
        <v>811</v>
      </c>
      <c r="F2589" s="98" t="n">
        <v>0</v>
      </c>
      <c r="G2589" s="98" t="s">
        <v>4347</v>
      </c>
      <c r="H2589" s="98" t="s">
        <v>1703</v>
      </c>
      <c r="I2589" s="98" t="s">
        <v>1704</v>
      </c>
      <c r="J2589" s="98" t="s">
        <v>1705</v>
      </c>
      <c r="K2589" s="98" t="s">
        <v>1706</v>
      </c>
    </row>
    <row r="2590" customFormat="false" ht="64" hidden="false" customHeight="true" outlineLevel="0" collapsed="false">
      <c r="C2590" s="98" t="s">
        <v>4379</v>
      </c>
      <c r="D2590" s="98" t="s">
        <v>1758</v>
      </c>
      <c r="E2590" s="98" t="s">
        <v>811</v>
      </c>
      <c r="F2590" s="98" t="n">
        <v>0</v>
      </c>
      <c r="G2590" s="98" t="s">
        <v>4347</v>
      </c>
      <c r="H2590" s="98" t="s">
        <v>1703</v>
      </c>
      <c r="I2590" s="98" t="s">
        <v>1704</v>
      </c>
      <c r="J2590" s="98" t="s">
        <v>1705</v>
      </c>
      <c r="K2590" s="98" t="s">
        <v>1706</v>
      </c>
    </row>
    <row r="2591" customFormat="false" ht="64" hidden="false" customHeight="true" outlineLevel="0" collapsed="false">
      <c r="C2591" s="98" t="s">
        <v>4380</v>
      </c>
      <c r="D2591" s="98" t="s">
        <v>1760</v>
      </c>
      <c r="E2591" s="98" t="s">
        <v>811</v>
      </c>
      <c r="F2591" s="98" t="n">
        <v>0</v>
      </c>
      <c r="G2591" s="98" t="s">
        <v>4347</v>
      </c>
      <c r="H2591" s="98" t="s">
        <v>1703</v>
      </c>
      <c r="I2591" s="98" t="s">
        <v>1704</v>
      </c>
      <c r="J2591" s="98" t="s">
        <v>1705</v>
      </c>
      <c r="K2591" s="98" t="s">
        <v>1706</v>
      </c>
    </row>
    <row r="2592" customFormat="false" ht="64" hidden="false" customHeight="true" outlineLevel="0" collapsed="false">
      <c r="C2592" s="98" t="s">
        <v>4381</v>
      </c>
      <c r="D2592" s="98" t="s">
        <v>1762</v>
      </c>
      <c r="E2592" s="98" t="s">
        <v>811</v>
      </c>
      <c r="F2592" s="98" t="n">
        <v>0</v>
      </c>
      <c r="G2592" s="98" t="s">
        <v>4347</v>
      </c>
      <c r="H2592" s="98" t="s">
        <v>1703</v>
      </c>
      <c r="I2592" s="98" t="s">
        <v>1704</v>
      </c>
      <c r="J2592" s="98" t="s">
        <v>1705</v>
      </c>
      <c r="K2592" s="98" t="s">
        <v>1706</v>
      </c>
    </row>
    <row r="2593" customFormat="false" ht="64" hidden="false" customHeight="true" outlineLevel="0" collapsed="false">
      <c r="C2593" s="98" t="s">
        <v>4382</v>
      </c>
      <c r="D2593" s="98" t="s">
        <v>1764</v>
      </c>
      <c r="E2593" s="98" t="s">
        <v>811</v>
      </c>
      <c r="F2593" s="98" t="n">
        <v>0</v>
      </c>
      <c r="G2593" s="98" t="s">
        <v>4347</v>
      </c>
      <c r="H2593" s="98" t="s">
        <v>1703</v>
      </c>
      <c r="I2593" s="98" t="s">
        <v>1704</v>
      </c>
      <c r="J2593" s="98" t="s">
        <v>1705</v>
      </c>
      <c r="K2593" s="98" t="s">
        <v>1706</v>
      </c>
    </row>
    <row r="2594" customFormat="false" ht="64" hidden="false" customHeight="true" outlineLevel="0" collapsed="false">
      <c r="C2594" s="98" t="s">
        <v>4383</v>
      </c>
      <c r="D2594" s="98" t="s">
        <v>1829</v>
      </c>
      <c r="E2594" s="98" t="s">
        <v>811</v>
      </c>
      <c r="F2594" s="98" t="n">
        <v>0</v>
      </c>
      <c r="G2594" s="98" t="s">
        <v>4310</v>
      </c>
      <c r="H2594" s="98" t="s">
        <v>1703</v>
      </c>
      <c r="I2594" s="98" t="s">
        <v>1704</v>
      </c>
      <c r="J2594" s="98" t="s">
        <v>1705</v>
      </c>
      <c r="K2594" s="98" t="s">
        <v>1706</v>
      </c>
    </row>
    <row r="2595" customFormat="false" ht="64" hidden="false" customHeight="true" outlineLevel="0" collapsed="false">
      <c r="C2595" s="98" t="s">
        <v>4384</v>
      </c>
      <c r="D2595" s="98" t="s">
        <v>1833</v>
      </c>
      <c r="E2595" s="98" t="s">
        <v>811</v>
      </c>
      <c r="F2595" s="98" t="n">
        <v>0</v>
      </c>
      <c r="G2595" s="98" t="s">
        <v>4310</v>
      </c>
      <c r="H2595" s="98" t="s">
        <v>1703</v>
      </c>
      <c r="I2595" s="98" t="s">
        <v>1704</v>
      </c>
      <c r="J2595" s="98" t="s">
        <v>1705</v>
      </c>
      <c r="K2595" s="98" t="s">
        <v>1706</v>
      </c>
    </row>
    <row r="2596" customFormat="false" ht="64" hidden="false" customHeight="true" outlineLevel="0" collapsed="false">
      <c r="C2596" s="98" t="s">
        <v>4385</v>
      </c>
      <c r="D2596" s="98" t="s">
        <v>1835</v>
      </c>
      <c r="E2596" s="98" t="s">
        <v>811</v>
      </c>
      <c r="F2596" s="98" t="n">
        <v>0</v>
      </c>
      <c r="G2596" s="98" t="s">
        <v>4310</v>
      </c>
      <c r="H2596" s="98" t="s">
        <v>1703</v>
      </c>
      <c r="I2596" s="98" t="s">
        <v>1704</v>
      </c>
      <c r="J2596" s="98" t="s">
        <v>1705</v>
      </c>
      <c r="K2596" s="98" t="s">
        <v>1706</v>
      </c>
    </row>
    <row r="2597" customFormat="false" ht="64" hidden="false" customHeight="true" outlineLevel="0" collapsed="false">
      <c r="C2597" s="98" t="s">
        <v>4386</v>
      </c>
      <c r="D2597" s="98" t="s">
        <v>1044</v>
      </c>
      <c r="E2597" s="98" t="s">
        <v>811</v>
      </c>
      <c r="F2597" s="98" t="n">
        <v>0</v>
      </c>
      <c r="G2597" s="98" t="s">
        <v>4310</v>
      </c>
      <c r="H2597" s="98" t="s">
        <v>1703</v>
      </c>
      <c r="I2597" s="98" t="s">
        <v>1704</v>
      </c>
      <c r="J2597" s="98" t="s">
        <v>1705</v>
      </c>
      <c r="K2597" s="98" t="s">
        <v>1706</v>
      </c>
    </row>
    <row r="2598" customFormat="false" ht="64" hidden="false" customHeight="true" outlineLevel="0" collapsed="false">
      <c r="C2598" s="98" t="s">
        <v>4387</v>
      </c>
      <c r="D2598" s="98" t="s">
        <v>1838</v>
      </c>
      <c r="E2598" s="98" t="s">
        <v>811</v>
      </c>
      <c r="F2598" s="98" t="n">
        <v>0</v>
      </c>
      <c r="G2598" s="98" t="s">
        <v>4310</v>
      </c>
      <c r="H2598" s="98" t="s">
        <v>1703</v>
      </c>
      <c r="I2598" s="98" t="s">
        <v>1704</v>
      </c>
      <c r="J2598" s="98" t="s">
        <v>1705</v>
      </c>
      <c r="K2598" s="98" t="s">
        <v>1706</v>
      </c>
    </row>
    <row r="2599" customFormat="false" ht="64" hidden="false" customHeight="true" outlineLevel="0" collapsed="false">
      <c r="C2599" s="98" t="s">
        <v>4388</v>
      </c>
      <c r="D2599" s="98" t="s">
        <v>1840</v>
      </c>
      <c r="E2599" s="98" t="s">
        <v>811</v>
      </c>
      <c r="F2599" s="98" t="n">
        <v>0</v>
      </c>
      <c r="G2599" s="98" t="s">
        <v>4310</v>
      </c>
      <c r="H2599" s="98" t="s">
        <v>1703</v>
      </c>
      <c r="I2599" s="98" t="s">
        <v>1704</v>
      </c>
      <c r="J2599" s="98" t="s">
        <v>1705</v>
      </c>
      <c r="K2599" s="98" t="s">
        <v>1706</v>
      </c>
    </row>
    <row r="2600" customFormat="false" ht="64" hidden="false" customHeight="true" outlineLevel="0" collapsed="false">
      <c r="C2600" s="98" t="s">
        <v>4389</v>
      </c>
      <c r="D2600" s="98" t="s">
        <v>1700</v>
      </c>
      <c r="E2600" s="98" t="s">
        <v>811</v>
      </c>
      <c r="F2600" s="98" t="n">
        <v>0</v>
      </c>
      <c r="G2600" s="98" t="s">
        <v>4310</v>
      </c>
      <c r="H2600" s="98" t="s">
        <v>1703</v>
      </c>
      <c r="I2600" s="98" t="s">
        <v>1704</v>
      </c>
      <c r="J2600" s="98" t="s">
        <v>1705</v>
      </c>
      <c r="K2600" s="98" t="s">
        <v>1706</v>
      </c>
    </row>
    <row r="2601" customFormat="false" ht="64" hidden="false" customHeight="true" outlineLevel="0" collapsed="false">
      <c r="C2601" s="98" t="s">
        <v>4390</v>
      </c>
      <c r="D2601" s="98" t="s">
        <v>1708</v>
      </c>
      <c r="E2601" s="98" t="s">
        <v>811</v>
      </c>
      <c r="F2601" s="98" t="n">
        <v>0</v>
      </c>
      <c r="G2601" s="98" t="s">
        <v>4310</v>
      </c>
      <c r="H2601" s="98" t="s">
        <v>1703</v>
      </c>
      <c r="I2601" s="98" t="s">
        <v>1704</v>
      </c>
      <c r="J2601" s="98" t="s">
        <v>1705</v>
      </c>
      <c r="K2601" s="98" t="s">
        <v>1706</v>
      </c>
    </row>
    <row r="2602" customFormat="false" ht="64" hidden="false" customHeight="true" outlineLevel="0" collapsed="false">
      <c r="C2602" s="98" t="s">
        <v>4391</v>
      </c>
      <c r="D2602" s="98" t="s">
        <v>1710</v>
      </c>
      <c r="E2602" s="98" t="s">
        <v>811</v>
      </c>
      <c r="F2602" s="98" t="n">
        <v>0</v>
      </c>
      <c r="G2602" s="98" t="s">
        <v>4310</v>
      </c>
      <c r="H2602" s="98" t="s">
        <v>1703</v>
      </c>
      <c r="I2602" s="98" t="s">
        <v>1704</v>
      </c>
      <c r="J2602" s="98" t="s">
        <v>1705</v>
      </c>
      <c r="K2602" s="98" t="s">
        <v>1706</v>
      </c>
    </row>
    <row r="2603" customFormat="false" ht="64" hidden="false" customHeight="true" outlineLevel="0" collapsed="false">
      <c r="C2603" s="98" t="s">
        <v>4392</v>
      </c>
      <c r="D2603" s="98" t="s">
        <v>1712</v>
      </c>
      <c r="E2603" s="98" t="s">
        <v>811</v>
      </c>
      <c r="F2603" s="98" t="n">
        <v>0</v>
      </c>
      <c r="G2603" s="98" t="s">
        <v>4310</v>
      </c>
      <c r="H2603" s="98" t="s">
        <v>1703</v>
      </c>
      <c r="I2603" s="98" t="s">
        <v>1704</v>
      </c>
      <c r="J2603" s="98" t="s">
        <v>1705</v>
      </c>
      <c r="K2603" s="98" t="s">
        <v>1706</v>
      </c>
    </row>
    <row r="2604" customFormat="false" ht="64" hidden="false" customHeight="true" outlineLevel="0" collapsed="false">
      <c r="C2604" s="98" t="s">
        <v>4393</v>
      </c>
      <c r="D2604" s="98" t="s">
        <v>1714</v>
      </c>
      <c r="E2604" s="98" t="s">
        <v>811</v>
      </c>
      <c r="F2604" s="98" t="n">
        <v>0</v>
      </c>
      <c r="G2604" s="98" t="s">
        <v>4310</v>
      </c>
      <c r="H2604" s="98" t="s">
        <v>1703</v>
      </c>
      <c r="I2604" s="98" t="s">
        <v>1704</v>
      </c>
      <c r="J2604" s="98" t="s">
        <v>1705</v>
      </c>
      <c r="K2604" s="98" t="s">
        <v>1706</v>
      </c>
    </row>
    <row r="2605" customFormat="false" ht="64" hidden="false" customHeight="true" outlineLevel="0" collapsed="false">
      <c r="C2605" s="98" t="s">
        <v>4394</v>
      </c>
      <c r="D2605" s="98" t="s">
        <v>1716</v>
      </c>
      <c r="E2605" s="98" t="s">
        <v>811</v>
      </c>
      <c r="F2605" s="98" t="n">
        <v>0</v>
      </c>
      <c r="G2605" s="98" t="s">
        <v>4310</v>
      </c>
      <c r="H2605" s="98" t="s">
        <v>1703</v>
      </c>
      <c r="I2605" s="98" t="s">
        <v>1704</v>
      </c>
      <c r="J2605" s="98" t="s">
        <v>1705</v>
      </c>
      <c r="K2605" s="98" t="s">
        <v>1706</v>
      </c>
    </row>
    <row r="2606" customFormat="false" ht="64" hidden="false" customHeight="true" outlineLevel="0" collapsed="false">
      <c r="C2606" s="98" t="s">
        <v>4395</v>
      </c>
      <c r="D2606" s="98" t="s">
        <v>1718</v>
      </c>
      <c r="E2606" s="98" t="s">
        <v>811</v>
      </c>
      <c r="F2606" s="98" t="n">
        <v>0</v>
      </c>
      <c r="G2606" s="98" t="s">
        <v>4310</v>
      </c>
      <c r="H2606" s="98" t="s">
        <v>1703</v>
      </c>
      <c r="I2606" s="98" t="s">
        <v>1704</v>
      </c>
      <c r="J2606" s="98" t="s">
        <v>1705</v>
      </c>
      <c r="K2606" s="98" t="s">
        <v>1706</v>
      </c>
    </row>
    <row r="2607" customFormat="false" ht="64" hidden="false" customHeight="true" outlineLevel="0" collapsed="false">
      <c r="C2607" s="98" t="s">
        <v>4396</v>
      </c>
      <c r="D2607" s="98" t="s">
        <v>1720</v>
      </c>
      <c r="E2607" s="98" t="s">
        <v>811</v>
      </c>
      <c r="F2607" s="98" t="n">
        <v>0</v>
      </c>
      <c r="G2607" s="98" t="s">
        <v>4310</v>
      </c>
      <c r="H2607" s="98" t="s">
        <v>1703</v>
      </c>
      <c r="I2607" s="98" t="s">
        <v>1704</v>
      </c>
      <c r="J2607" s="98" t="s">
        <v>1705</v>
      </c>
      <c r="K2607" s="98" t="s">
        <v>1706</v>
      </c>
    </row>
    <row r="2608" customFormat="false" ht="64" hidden="false" customHeight="true" outlineLevel="0" collapsed="false">
      <c r="C2608" s="98" t="s">
        <v>4397</v>
      </c>
      <c r="D2608" s="98" t="s">
        <v>1722</v>
      </c>
      <c r="E2608" s="98" t="s">
        <v>811</v>
      </c>
      <c r="F2608" s="98" t="n">
        <v>0</v>
      </c>
      <c r="G2608" s="98" t="s">
        <v>4310</v>
      </c>
      <c r="H2608" s="98" t="s">
        <v>1703</v>
      </c>
      <c r="I2608" s="98" t="s">
        <v>1704</v>
      </c>
      <c r="J2608" s="98" t="s">
        <v>1705</v>
      </c>
      <c r="K2608" s="98" t="s">
        <v>1706</v>
      </c>
    </row>
    <row r="2609" customFormat="false" ht="64" hidden="false" customHeight="true" outlineLevel="0" collapsed="false">
      <c r="C2609" s="98" t="s">
        <v>4398</v>
      </c>
      <c r="D2609" s="98" t="s">
        <v>1724</v>
      </c>
      <c r="E2609" s="98" t="s">
        <v>811</v>
      </c>
      <c r="F2609" s="98" t="n">
        <v>0</v>
      </c>
      <c r="G2609" s="98" t="s">
        <v>4310</v>
      </c>
      <c r="H2609" s="98" t="s">
        <v>1703</v>
      </c>
      <c r="I2609" s="98" t="s">
        <v>1704</v>
      </c>
      <c r="J2609" s="98" t="s">
        <v>1705</v>
      </c>
      <c r="K2609" s="98" t="s">
        <v>1706</v>
      </c>
    </row>
    <row r="2610" customFormat="false" ht="64" hidden="false" customHeight="true" outlineLevel="0" collapsed="false">
      <c r="C2610" s="98" t="s">
        <v>4399</v>
      </c>
      <c r="D2610" s="98" t="s">
        <v>1726</v>
      </c>
      <c r="E2610" s="98" t="s">
        <v>811</v>
      </c>
      <c r="F2610" s="98" t="n">
        <v>0</v>
      </c>
      <c r="G2610" s="98" t="s">
        <v>4310</v>
      </c>
      <c r="H2610" s="98" t="s">
        <v>1703</v>
      </c>
      <c r="I2610" s="98" t="s">
        <v>1704</v>
      </c>
      <c r="J2610" s="98" t="s">
        <v>1705</v>
      </c>
      <c r="K2610" s="98" t="s">
        <v>1706</v>
      </c>
    </row>
    <row r="2611" customFormat="false" ht="64" hidden="false" customHeight="true" outlineLevel="0" collapsed="false">
      <c r="C2611" s="98" t="s">
        <v>4400</v>
      </c>
      <c r="D2611" s="98" t="s">
        <v>1728</v>
      </c>
      <c r="E2611" s="98" t="s">
        <v>811</v>
      </c>
      <c r="F2611" s="98" t="n">
        <v>0</v>
      </c>
      <c r="G2611" s="98" t="s">
        <v>4310</v>
      </c>
      <c r="H2611" s="98" t="s">
        <v>1703</v>
      </c>
      <c r="I2611" s="98" t="s">
        <v>1704</v>
      </c>
      <c r="J2611" s="98" t="s">
        <v>1705</v>
      </c>
      <c r="K2611" s="98" t="s">
        <v>1706</v>
      </c>
    </row>
    <row r="2612" customFormat="false" ht="64" hidden="false" customHeight="true" outlineLevel="0" collapsed="false">
      <c r="C2612" s="98" t="s">
        <v>4401</v>
      </c>
      <c r="D2612" s="98" t="s">
        <v>1730</v>
      </c>
      <c r="E2612" s="98" t="s">
        <v>811</v>
      </c>
      <c r="F2612" s="98" t="n">
        <v>0</v>
      </c>
      <c r="G2612" s="98" t="s">
        <v>4310</v>
      </c>
      <c r="H2612" s="98" t="s">
        <v>1703</v>
      </c>
      <c r="I2612" s="98" t="s">
        <v>1704</v>
      </c>
      <c r="J2612" s="98" t="s">
        <v>1705</v>
      </c>
      <c r="K2612" s="98" t="s">
        <v>1706</v>
      </c>
    </row>
    <row r="2613" customFormat="false" ht="64" hidden="false" customHeight="true" outlineLevel="0" collapsed="false">
      <c r="C2613" s="98" t="s">
        <v>4402</v>
      </c>
      <c r="D2613" s="98" t="s">
        <v>1732</v>
      </c>
      <c r="E2613" s="98" t="s">
        <v>811</v>
      </c>
      <c r="F2613" s="98" t="n">
        <v>0</v>
      </c>
      <c r="G2613" s="98" t="s">
        <v>4310</v>
      </c>
      <c r="H2613" s="98" t="s">
        <v>1703</v>
      </c>
      <c r="I2613" s="98" t="s">
        <v>1704</v>
      </c>
      <c r="J2613" s="98" t="s">
        <v>1705</v>
      </c>
      <c r="K2613" s="98" t="s">
        <v>1706</v>
      </c>
    </row>
    <row r="2614" customFormat="false" ht="64" hidden="false" customHeight="true" outlineLevel="0" collapsed="false">
      <c r="C2614" s="98" t="s">
        <v>4403</v>
      </c>
      <c r="D2614" s="98" t="s">
        <v>1734</v>
      </c>
      <c r="E2614" s="98" t="s">
        <v>811</v>
      </c>
      <c r="F2614" s="98" t="n">
        <v>0</v>
      </c>
      <c r="G2614" s="98" t="s">
        <v>4310</v>
      </c>
      <c r="H2614" s="98" t="s">
        <v>1703</v>
      </c>
      <c r="I2614" s="98" t="s">
        <v>1704</v>
      </c>
      <c r="J2614" s="98" t="s">
        <v>1705</v>
      </c>
      <c r="K2614" s="98" t="s">
        <v>1706</v>
      </c>
    </row>
    <row r="2615" customFormat="false" ht="64" hidden="false" customHeight="true" outlineLevel="0" collapsed="false">
      <c r="C2615" s="98" t="s">
        <v>4404</v>
      </c>
      <c r="D2615" s="98" t="s">
        <v>1736</v>
      </c>
      <c r="E2615" s="98" t="s">
        <v>811</v>
      </c>
      <c r="F2615" s="98" t="n">
        <v>0</v>
      </c>
      <c r="G2615" s="98" t="s">
        <v>4310</v>
      </c>
      <c r="H2615" s="98" t="s">
        <v>1703</v>
      </c>
      <c r="I2615" s="98" t="s">
        <v>1704</v>
      </c>
      <c r="J2615" s="98" t="s">
        <v>1705</v>
      </c>
      <c r="K2615" s="98" t="s">
        <v>1706</v>
      </c>
    </row>
    <row r="2616" customFormat="false" ht="64" hidden="false" customHeight="true" outlineLevel="0" collapsed="false">
      <c r="C2616" s="98" t="s">
        <v>4405</v>
      </c>
      <c r="D2616" s="98" t="s">
        <v>1738</v>
      </c>
      <c r="E2616" s="98" t="s">
        <v>811</v>
      </c>
      <c r="F2616" s="98" t="n">
        <v>0</v>
      </c>
      <c r="G2616" s="98" t="s">
        <v>4310</v>
      </c>
      <c r="H2616" s="98" t="s">
        <v>1703</v>
      </c>
      <c r="I2616" s="98" t="s">
        <v>1704</v>
      </c>
      <c r="J2616" s="98" t="s">
        <v>1705</v>
      </c>
      <c r="K2616" s="98" t="s">
        <v>1706</v>
      </c>
    </row>
    <row r="2617" customFormat="false" ht="64" hidden="false" customHeight="true" outlineLevel="0" collapsed="false">
      <c r="C2617" s="98" t="s">
        <v>4406</v>
      </c>
      <c r="D2617" s="98" t="s">
        <v>1740</v>
      </c>
      <c r="E2617" s="98" t="s">
        <v>811</v>
      </c>
      <c r="F2617" s="98" t="n">
        <v>0</v>
      </c>
      <c r="G2617" s="98" t="s">
        <v>4310</v>
      </c>
      <c r="H2617" s="98" t="s">
        <v>1703</v>
      </c>
      <c r="I2617" s="98" t="s">
        <v>1704</v>
      </c>
      <c r="J2617" s="98" t="s">
        <v>1705</v>
      </c>
      <c r="K2617" s="98" t="s">
        <v>1706</v>
      </c>
    </row>
    <row r="2618" customFormat="false" ht="64" hidden="false" customHeight="true" outlineLevel="0" collapsed="false">
      <c r="C2618" s="98" t="s">
        <v>4407</v>
      </c>
      <c r="D2618" s="98" t="s">
        <v>1742</v>
      </c>
      <c r="E2618" s="98" t="s">
        <v>811</v>
      </c>
      <c r="F2618" s="98" t="n">
        <v>0</v>
      </c>
      <c r="G2618" s="98" t="s">
        <v>4310</v>
      </c>
      <c r="H2618" s="98" t="s">
        <v>1703</v>
      </c>
      <c r="I2618" s="98" t="s">
        <v>1704</v>
      </c>
      <c r="J2618" s="98" t="s">
        <v>1705</v>
      </c>
      <c r="K2618" s="98" t="s">
        <v>1706</v>
      </c>
    </row>
    <row r="2619" customFormat="false" ht="64" hidden="false" customHeight="true" outlineLevel="0" collapsed="false">
      <c r="C2619" s="98" t="s">
        <v>4408</v>
      </c>
      <c r="D2619" s="98" t="s">
        <v>1744</v>
      </c>
      <c r="E2619" s="98" t="s">
        <v>811</v>
      </c>
      <c r="F2619" s="98" t="n">
        <v>0</v>
      </c>
      <c r="G2619" s="98" t="s">
        <v>4310</v>
      </c>
      <c r="H2619" s="98" t="s">
        <v>1703</v>
      </c>
      <c r="I2619" s="98" t="s">
        <v>1704</v>
      </c>
      <c r="J2619" s="98" t="s">
        <v>1705</v>
      </c>
      <c r="K2619" s="98" t="s">
        <v>1706</v>
      </c>
    </row>
    <row r="2620" customFormat="false" ht="64" hidden="false" customHeight="true" outlineLevel="0" collapsed="false">
      <c r="C2620" s="98" t="s">
        <v>4409</v>
      </c>
      <c r="D2620" s="98" t="s">
        <v>1746</v>
      </c>
      <c r="E2620" s="98" t="s">
        <v>811</v>
      </c>
      <c r="F2620" s="98" t="n">
        <v>0</v>
      </c>
      <c r="G2620" s="98" t="s">
        <v>4310</v>
      </c>
      <c r="H2620" s="98" t="s">
        <v>1703</v>
      </c>
      <c r="I2620" s="98" t="s">
        <v>1704</v>
      </c>
      <c r="J2620" s="98" t="s">
        <v>1705</v>
      </c>
      <c r="K2620" s="98" t="s">
        <v>1706</v>
      </c>
    </row>
    <row r="2621" customFormat="false" ht="64" hidden="false" customHeight="true" outlineLevel="0" collapsed="false">
      <c r="C2621" s="98" t="s">
        <v>4410</v>
      </c>
      <c r="D2621" s="98" t="s">
        <v>1748</v>
      </c>
      <c r="E2621" s="98" t="s">
        <v>811</v>
      </c>
      <c r="F2621" s="98" t="n">
        <v>0</v>
      </c>
      <c r="G2621" s="98" t="s">
        <v>4310</v>
      </c>
      <c r="H2621" s="98" t="s">
        <v>1703</v>
      </c>
      <c r="I2621" s="98" t="s">
        <v>1704</v>
      </c>
      <c r="J2621" s="98" t="s">
        <v>1705</v>
      </c>
      <c r="K2621" s="98" t="s">
        <v>1706</v>
      </c>
    </row>
    <row r="2622" customFormat="false" ht="64" hidden="false" customHeight="true" outlineLevel="0" collapsed="false">
      <c r="C2622" s="98" t="s">
        <v>4411</v>
      </c>
      <c r="D2622" s="98" t="s">
        <v>1750</v>
      </c>
      <c r="E2622" s="98" t="s">
        <v>811</v>
      </c>
      <c r="F2622" s="98" t="n">
        <v>0</v>
      </c>
      <c r="G2622" s="98" t="s">
        <v>4310</v>
      </c>
      <c r="H2622" s="98" t="s">
        <v>1703</v>
      </c>
      <c r="I2622" s="98" t="s">
        <v>1704</v>
      </c>
      <c r="J2622" s="98" t="s">
        <v>1705</v>
      </c>
      <c r="K2622" s="98" t="s">
        <v>1706</v>
      </c>
    </row>
    <row r="2623" customFormat="false" ht="64" hidden="false" customHeight="true" outlineLevel="0" collapsed="false">
      <c r="C2623" s="98" t="s">
        <v>4412</v>
      </c>
      <c r="D2623" s="98" t="s">
        <v>1752</v>
      </c>
      <c r="E2623" s="98" t="s">
        <v>811</v>
      </c>
      <c r="F2623" s="98" t="n">
        <v>0</v>
      </c>
      <c r="G2623" s="98" t="s">
        <v>4310</v>
      </c>
      <c r="H2623" s="98" t="s">
        <v>1703</v>
      </c>
      <c r="I2623" s="98" t="s">
        <v>1704</v>
      </c>
      <c r="J2623" s="98" t="s">
        <v>1705</v>
      </c>
      <c r="K2623" s="98" t="s">
        <v>1706</v>
      </c>
    </row>
    <row r="2624" customFormat="false" ht="64" hidden="false" customHeight="true" outlineLevel="0" collapsed="false">
      <c r="C2624" s="98" t="s">
        <v>4413</v>
      </c>
      <c r="D2624" s="98" t="s">
        <v>1754</v>
      </c>
      <c r="E2624" s="98" t="s">
        <v>811</v>
      </c>
      <c r="F2624" s="98" t="n">
        <v>0</v>
      </c>
      <c r="G2624" s="98" t="s">
        <v>4310</v>
      </c>
      <c r="H2624" s="98" t="s">
        <v>1703</v>
      </c>
      <c r="I2624" s="98" t="s">
        <v>1704</v>
      </c>
      <c r="J2624" s="98" t="s">
        <v>1705</v>
      </c>
      <c r="K2624" s="98" t="s">
        <v>1706</v>
      </c>
    </row>
    <row r="2625" customFormat="false" ht="64" hidden="false" customHeight="true" outlineLevel="0" collapsed="false">
      <c r="C2625" s="98" t="s">
        <v>4414</v>
      </c>
      <c r="D2625" s="98" t="s">
        <v>1756</v>
      </c>
      <c r="E2625" s="98" t="s">
        <v>811</v>
      </c>
      <c r="F2625" s="98" t="n">
        <v>0</v>
      </c>
      <c r="G2625" s="98" t="s">
        <v>4310</v>
      </c>
      <c r="H2625" s="98" t="s">
        <v>1703</v>
      </c>
      <c r="I2625" s="98" t="s">
        <v>1704</v>
      </c>
      <c r="J2625" s="98" t="s">
        <v>1705</v>
      </c>
      <c r="K2625" s="98" t="s">
        <v>1706</v>
      </c>
    </row>
    <row r="2626" customFormat="false" ht="64" hidden="false" customHeight="true" outlineLevel="0" collapsed="false">
      <c r="C2626" s="98" t="s">
        <v>4415</v>
      </c>
      <c r="D2626" s="98" t="s">
        <v>1758</v>
      </c>
      <c r="E2626" s="98" t="s">
        <v>811</v>
      </c>
      <c r="F2626" s="98" t="n">
        <v>0</v>
      </c>
      <c r="G2626" s="98" t="s">
        <v>4310</v>
      </c>
      <c r="H2626" s="98" t="s">
        <v>1703</v>
      </c>
      <c r="I2626" s="98" t="s">
        <v>1704</v>
      </c>
      <c r="J2626" s="98" t="s">
        <v>1705</v>
      </c>
      <c r="K2626" s="98" t="s">
        <v>1706</v>
      </c>
    </row>
    <row r="2627" customFormat="false" ht="64" hidden="false" customHeight="true" outlineLevel="0" collapsed="false">
      <c r="C2627" s="98" t="s">
        <v>4416</v>
      </c>
      <c r="D2627" s="98" t="s">
        <v>1760</v>
      </c>
      <c r="E2627" s="98" t="s">
        <v>811</v>
      </c>
      <c r="F2627" s="98" t="n">
        <v>0</v>
      </c>
      <c r="G2627" s="98" t="s">
        <v>4310</v>
      </c>
      <c r="H2627" s="98" t="s">
        <v>1703</v>
      </c>
      <c r="I2627" s="98" t="s">
        <v>1704</v>
      </c>
      <c r="J2627" s="98" t="s">
        <v>1705</v>
      </c>
      <c r="K2627" s="98" t="s">
        <v>1706</v>
      </c>
    </row>
    <row r="2628" customFormat="false" ht="64" hidden="false" customHeight="true" outlineLevel="0" collapsed="false">
      <c r="C2628" s="98" t="s">
        <v>4417</v>
      </c>
      <c r="D2628" s="98" t="s">
        <v>1762</v>
      </c>
      <c r="E2628" s="98" t="s">
        <v>811</v>
      </c>
      <c r="F2628" s="98" t="n">
        <v>0</v>
      </c>
      <c r="G2628" s="98" t="s">
        <v>4310</v>
      </c>
      <c r="H2628" s="98" t="s">
        <v>1703</v>
      </c>
      <c r="I2628" s="98" t="s">
        <v>1704</v>
      </c>
      <c r="J2628" s="98" t="s">
        <v>1705</v>
      </c>
      <c r="K2628" s="98" t="s">
        <v>1706</v>
      </c>
    </row>
    <row r="2629" customFormat="false" ht="64" hidden="false" customHeight="true" outlineLevel="0" collapsed="false">
      <c r="C2629" s="98" t="s">
        <v>4418</v>
      </c>
      <c r="D2629" s="98" t="s">
        <v>1764</v>
      </c>
      <c r="E2629" s="98" t="s">
        <v>811</v>
      </c>
      <c r="F2629" s="98" t="n">
        <v>0</v>
      </c>
      <c r="G2629" s="98" t="s">
        <v>4310</v>
      </c>
      <c r="H2629" s="98" t="s">
        <v>1703</v>
      </c>
      <c r="I2629" s="98" t="s">
        <v>1704</v>
      </c>
      <c r="J2629" s="98" t="s">
        <v>1705</v>
      </c>
      <c r="K2629" s="98" t="s">
        <v>1706</v>
      </c>
    </row>
    <row r="2630" customFormat="false" ht="64" hidden="false" customHeight="true" outlineLevel="0" collapsed="false">
      <c r="C2630" s="98" t="s">
        <v>4419</v>
      </c>
      <c r="D2630" s="98" t="s">
        <v>1829</v>
      </c>
      <c r="E2630" s="98" t="s">
        <v>811</v>
      </c>
      <c r="F2630" s="98" t="n">
        <v>0</v>
      </c>
      <c r="G2630" s="98" t="s">
        <v>4347</v>
      </c>
      <c r="H2630" s="98" t="s">
        <v>1703</v>
      </c>
      <c r="I2630" s="98" t="s">
        <v>1704</v>
      </c>
      <c r="J2630" s="98" t="s">
        <v>1705</v>
      </c>
      <c r="K2630" s="98" t="s">
        <v>1706</v>
      </c>
    </row>
    <row r="2631" customFormat="false" ht="64" hidden="false" customHeight="true" outlineLevel="0" collapsed="false">
      <c r="C2631" s="98" t="s">
        <v>4420</v>
      </c>
      <c r="D2631" s="98" t="s">
        <v>1833</v>
      </c>
      <c r="E2631" s="98" t="s">
        <v>811</v>
      </c>
      <c r="F2631" s="98" t="n">
        <v>0</v>
      </c>
      <c r="G2631" s="98" t="s">
        <v>4347</v>
      </c>
      <c r="H2631" s="98" t="s">
        <v>1703</v>
      </c>
      <c r="I2631" s="98" t="s">
        <v>1704</v>
      </c>
      <c r="J2631" s="98" t="s">
        <v>1705</v>
      </c>
      <c r="K2631" s="98" t="s">
        <v>1706</v>
      </c>
    </row>
    <row r="2632" customFormat="false" ht="64" hidden="false" customHeight="true" outlineLevel="0" collapsed="false">
      <c r="C2632" s="98" t="s">
        <v>4421</v>
      </c>
      <c r="D2632" s="98" t="s">
        <v>1835</v>
      </c>
      <c r="E2632" s="98" t="s">
        <v>811</v>
      </c>
      <c r="F2632" s="98" t="n">
        <v>0</v>
      </c>
      <c r="G2632" s="98" t="s">
        <v>4347</v>
      </c>
      <c r="H2632" s="98" t="s">
        <v>1703</v>
      </c>
      <c r="I2632" s="98" t="s">
        <v>1704</v>
      </c>
      <c r="J2632" s="98" t="s">
        <v>1705</v>
      </c>
      <c r="K2632" s="98" t="s">
        <v>1706</v>
      </c>
    </row>
    <row r="2633" customFormat="false" ht="64" hidden="false" customHeight="true" outlineLevel="0" collapsed="false">
      <c r="C2633" s="98" t="s">
        <v>4422</v>
      </c>
      <c r="D2633" s="98" t="s">
        <v>1044</v>
      </c>
      <c r="E2633" s="98" t="s">
        <v>811</v>
      </c>
      <c r="F2633" s="98" t="n">
        <v>0</v>
      </c>
      <c r="G2633" s="98" t="s">
        <v>4347</v>
      </c>
      <c r="H2633" s="98" t="s">
        <v>1703</v>
      </c>
      <c r="I2633" s="98" t="s">
        <v>1704</v>
      </c>
      <c r="J2633" s="98" t="s">
        <v>1705</v>
      </c>
      <c r="K2633" s="98" t="s">
        <v>1706</v>
      </c>
    </row>
    <row r="2634" customFormat="false" ht="64" hidden="false" customHeight="true" outlineLevel="0" collapsed="false">
      <c r="C2634" s="98" t="s">
        <v>4423</v>
      </c>
      <c r="D2634" s="98" t="s">
        <v>1838</v>
      </c>
      <c r="E2634" s="98" t="s">
        <v>811</v>
      </c>
      <c r="F2634" s="98" t="n">
        <v>0</v>
      </c>
      <c r="G2634" s="98" t="s">
        <v>4347</v>
      </c>
      <c r="H2634" s="98" t="s">
        <v>1703</v>
      </c>
      <c r="I2634" s="98" t="s">
        <v>1704</v>
      </c>
      <c r="J2634" s="98" t="s">
        <v>1705</v>
      </c>
      <c r="K2634" s="98" t="s">
        <v>1706</v>
      </c>
    </row>
    <row r="2635" customFormat="false" ht="64" hidden="false" customHeight="true" outlineLevel="0" collapsed="false">
      <c r="C2635" s="98" t="s">
        <v>4424</v>
      </c>
      <c r="D2635" s="98" t="s">
        <v>1840</v>
      </c>
      <c r="E2635" s="98" t="s">
        <v>811</v>
      </c>
      <c r="F2635" s="98" t="n">
        <v>0</v>
      </c>
      <c r="G2635" s="98" t="s">
        <v>4347</v>
      </c>
      <c r="H2635" s="98" t="s">
        <v>1703</v>
      </c>
      <c r="I2635" s="98" t="s">
        <v>1704</v>
      </c>
      <c r="J2635" s="98" t="s">
        <v>1705</v>
      </c>
      <c r="K2635" s="98" t="s">
        <v>1706</v>
      </c>
    </row>
    <row r="2636" customFormat="false" ht="64" hidden="false" customHeight="true" outlineLevel="0" collapsed="false">
      <c r="C2636" s="98" t="s">
        <v>4425</v>
      </c>
      <c r="D2636" s="98" t="s">
        <v>1700</v>
      </c>
      <c r="E2636" s="98" t="s">
        <v>811</v>
      </c>
      <c r="F2636" s="98" t="n">
        <v>0</v>
      </c>
      <c r="G2636" s="98" t="s">
        <v>4347</v>
      </c>
      <c r="H2636" s="98" t="s">
        <v>1703</v>
      </c>
      <c r="I2636" s="98" t="s">
        <v>1704</v>
      </c>
      <c r="J2636" s="98" t="s">
        <v>1705</v>
      </c>
      <c r="K2636" s="98" t="s">
        <v>1706</v>
      </c>
    </row>
    <row r="2637" customFormat="false" ht="64" hidden="false" customHeight="true" outlineLevel="0" collapsed="false">
      <c r="C2637" s="98" t="s">
        <v>4426</v>
      </c>
      <c r="D2637" s="98" t="s">
        <v>1708</v>
      </c>
      <c r="E2637" s="98" t="s">
        <v>811</v>
      </c>
      <c r="F2637" s="98" t="n">
        <v>0</v>
      </c>
      <c r="G2637" s="98" t="s">
        <v>4347</v>
      </c>
      <c r="H2637" s="98" t="s">
        <v>1703</v>
      </c>
      <c r="I2637" s="98" t="s">
        <v>1704</v>
      </c>
      <c r="J2637" s="98" t="s">
        <v>1705</v>
      </c>
      <c r="K2637" s="98" t="s">
        <v>1706</v>
      </c>
    </row>
    <row r="2638" customFormat="false" ht="64" hidden="false" customHeight="true" outlineLevel="0" collapsed="false">
      <c r="C2638" s="98" t="s">
        <v>4427</v>
      </c>
      <c r="D2638" s="98" t="s">
        <v>1710</v>
      </c>
      <c r="E2638" s="98" t="s">
        <v>811</v>
      </c>
      <c r="F2638" s="98" t="n">
        <v>0</v>
      </c>
      <c r="G2638" s="98" t="s">
        <v>4347</v>
      </c>
      <c r="H2638" s="98" t="s">
        <v>1703</v>
      </c>
      <c r="I2638" s="98" t="s">
        <v>1704</v>
      </c>
      <c r="J2638" s="98" t="s">
        <v>1705</v>
      </c>
      <c r="K2638" s="98" t="s">
        <v>1706</v>
      </c>
    </row>
    <row r="2639" customFormat="false" ht="64" hidden="false" customHeight="true" outlineLevel="0" collapsed="false">
      <c r="C2639" s="98" t="s">
        <v>4428</v>
      </c>
      <c r="D2639" s="98" t="s">
        <v>1712</v>
      </c>
      <c r="E2639" s="98" t="s">
        <v>811</v>
      </c>
      <c r="F2639" s="98" t="n">
        <v>0</v>
      </c>
      <c r="G2639" s="98" t="s">
        <v>4347</v>
      </c>
      <c r="H2639" s="98" t="s">
        <v>1703</v>
      </c>
      <c r="I2639" s="98" t="s">
        <v>1704</v>
      </c>
      <c r="J2639" s="98" t="s">
        <v>1705</v>
      </c>
      <c r="K2639" s="98" t="s">
        <v>1706</v>
      </c>
    </row>
    <row r="2640" customFormat="false" ht="64" hidden="false" customHeight="true" outlineLevel="0" collapsed="false">
      <c r="C2640" s="98" t="s">
        <v>4429</v>
      </c>
      <c r="D2640" s="98" t="s">
        <v>1714</v>
      </c>
      <c r="E2640" s="98" t="s">
        <v>811</v>
      </c>
      <c r="F2640" s="98" t="n">
        <v>0</v>
      </c>
      <c r="G2640" s="98" t="s">
        <v>4347</v>
      </c>
      <c r="H2640" s="98" t="s">
        <v>1703</v>
      </c>
      <c r="I2640" s="98" t="s">
        <v>1704</v>
      </c>
      <c r="J2640" s="98" t="s">
        <v>1705</v>
      </c>
      <c r="K2640" s="98" t="s">
        <v>1706</v>
      </c>
    </row>
    <row r="2641" customFormat="false" ht="64" hidden="false" customHeight="true" outlineLevel="0" collapsed="false">
      <c r="C2641" s="98" t="s">
        <v>4430</v>
      </c>
      <c r="D2641" s="98" t="s">
        <v>1716</v>
      </c>
      <c r="E2641" s="98" t="s">
        <v>811</v>
      </c>
      <c r="F2641" s="98" t="n">
        <v>0</v>
      </c>
      <c r="G2641" s="98" t="s">
        <v>4347</v>
      </c>
      <c r="H2641" s="98" t="s">
        <v>1703</v>
      </c>
      <c r="I2641" s="98" t="s">
        <v>1704</v>
      </c>
      <c r="J2641" s="98" t="s">
        <v>1705</v>
      </c>
      <c r="K2641" s="98" t="s">
        <v>1706</v>
      </c>
    </row>
    <row r="2642" customFormat="false" ht="64" hidden="false" customHeight="true" outlineLevel="0" collapsed="false">
      <c r="C2642" s="98" t="s">
        <v>4431</v>
      </c>
      <c r="D2642" s="98" t="s">
        <v>1718</v>
      </c>
      <c r="E2642" s="98" t="s">
        <v>811</v>
      </c>
      <c r="F2642" s="98" t="n">
        <v>0</v>
      </c>
      <c r="G2642" s="98" t="s">
        <v>4347</v>
      </c>
      <c r="H2642" s="98" t="s">
        <v>1703</v>
      </c>
      <c r="I2642" s="98" t="s">
        <v>1704</v>
      </c>
      <c r="J2642" s="98" t="s">
        <v>1705</v>
      </c>
      <c r="K2642" s="98" t="s">
        <v>1706</v>
      </c>
    </row>
    <row r="2643" customFormat="false" ht="64" hidden="false" customHeight="true" outlineLevel="0" collapsed="false">
      <c r="C2643" s="98" t="s">
        <v>4432</v>
      </c>
      <c r="D2643" s="98" t="s">
        <v>1720</v>
      </c>
      <c r="E2643" s="98" t="s">
        <v>811</v>
      </c>
      <c r="F2643" s="98" t="n">
        <v>0</v>
      </c>
      <c r="G2643" s="98" t="s">
        <v>4347</v>
      </c>
      <c r="H2643" s="98" t="s">
        <v>1703</v>
      </c>
      <c r="I2643" s="98" t="s">
        <v>1704</v>
      </c>
      <c r="J2643" s="98" t="s">
        <v>1705</v>
      </c>
      <c r="K2643" s="98" t="s">
        <v>1706</v>
      </c>
    </row>
    <row r="2644" customFormat="false" ht="64" hidden="false" customHeight="true" outlineLevel="0" collapsed="false">
      <c r="C2644" s="98" t="s">
        <v>4433</v>
      </c>
      <c r="D2644" s="98" t="s">
        <v>1722</v>
      </c>
      <c r="E2644" s="98" t="s">
        <v>811</v>
      </c>
      <c r="F2644" s="98" t="n">
        <v>0</v>
      </c>
      <c r="G2644" s="98" t="s">
        <v>4347</v>
      </c>
      <c r="H2644" s="98" t="s">
        <v>1703</v>
      </c>
      <c r="I2644" s="98" t="s">
        <v>1704</v>
      </c>
      <c r="J2644" s="98" t="s">
        <v>1705</v>
      </c>
      <c r="K2644" s="98" t="s">
        <v>1706</v>
      </c>
    </row>
    <row r="2645" customFormat="false" ht="64" hidden="false" customHeight="true" outlineLevel="0" collapsed="false">
      <c r="C2645" s="98" t="s">
        <v>4434</v>
      </c>
      <c r="D2645" s="98" t="s">
        <v>1724</v>
      </c>
      <c r="E2645" s="98" t="s">
        <v>811</v>
      </c>
      <c r="F2645" s="98" t="n">
        <v>0</v>
      </c>
      <c r="G2645" s="98" t="s">
        <v>4347</v>
      </c>
      <c r="H2645" s="98" t="s">
        <v>1703</v>
      </c>
      <c r="I2645" s="98" t="s">
        <v>1704</v>
      </c>
      <c r="J2645" s="98" t="s">
        <v>1705</v>
      </c>
      <c r="K2645" s="98" t="s">
        <v>1706</v>
      </c>
    </row>
    <row r="2646" customFormat="false" ht="64" hidden="false" customHeight="true" outlineLevel="0" collapsed="false">
      <c r="C2646" s="98" t="s">
        <v>4435</v>
      </c>
      <c r="D2646" s="98" t="s">
        <v>1726</v>
      </c>
      <c r="E2646" s="98" t="s">
        <v>811</v>
      </c>
      <c r="F2646" s="98" t="n">
        <v>0</v>
      </c>
      <c r="G2646" s="98" t="s">
        <v>4347</v>
      </c>
      <c r="H2646" s="98" t="s">
        <v>1703</v>
      </c>
      <c r="I2646" s="98" t="s">
        <v>1704</v>
      </c>
      <c r="J2646" s="98" t="s">
        <v>1705</v>
      </c>
      <c r="K2646" s="98" t="s">
        <v>1706</v>
      </c>
    </row>
    <row r="2647" customFormat="false" ht="64" hidden="false" customHeight="true" outlineLevel="0" collapsed="false">
      <c r="C2647" s="98" t="s">
        <v>4436</v>
      </c>
      <c r="D2647" s="98" t="s">
        <v>1728</v>
      </c>
      <c r="E2647" s="98" t="s">
        <v>811</v>
      </c>
      <c r="F2647" s="98" t="n">
        <v>0</v>
      </c>
      <c r="G2647" s="98" t="s">
        <v>4347</v>
      </c>
      <c r="H2647" s="98" t="s">
        <v>1703</v>
      </c>
      <c r="I2647" s="98" t="s">
        <v>1704</v>
      </c>
      <c r="J2647" s="98" t="s">
        <v>1705</v>
      </c>
      <c r="K2647" s="98" t="s">
        <v>1706</v>
      </c>
    </row>
    <row r="2648" customFormat="false" ht="64" hidden="false" customHeight="true" outlineLevel="0" collapsed="false">
      <c r="C2648" s="98" t="s">
        <v>4437</v>
      </c>
      <c r="D2648" s="98" t="s">
        <v>1730</v>
      </c>
      <c r="E2648" s="98" t="s">
        <v>811</v>
      </c>
      <c r="F2648" s="98" t="n">
        <v>0</v>
      </c>
      <c r="G2648" s="98" t="s">
        <v>4347</v>
      </c>
      <c r="H2648" s="98" t="s">
        <v>1703</v>
      </c>
      <c r="I2648" s="98" t="s">
        <v>1704</v>
      </c>
      <c r="J2648" s="98" t="s">
        <v>1705</v>
      </c>
      <c r="K2648" s="98" t="s">
        <v>1706</v>
      </c>
    </row>
    <row r="2649" customFormat="false" ht="64" hidden="false" customHeight="true" outlineLevel="0" collapsed="false">
      <c r="C2649" s="98" t="s">
        <v>4438</v>
      </c>
      <c r="D2649" s="98" t="s">
        <v>1732</v>
      </c>
      <c r="E2649" s="98" t="s">
        <v>811</v>
      </c>
      <c r="F2649" s="98" t="n">
        <v>0</v>
      </c>
      <c r="G2649" s="98" t="s">
        <v>4347</v>
      </c>
      <c r="H2649" s="98" t="s">
        <v>1703</v>
      </c>
      <c r="I2649" s="98" t="s">
        <v>1704</v>
      </c>
      <c r="J2649" s="98" t="s">
        <v>1705</v>
      </c>
      <c r="K2649" s="98" t="s">
        <v>1706</v>
      </c>
    </row>
    <row r="2650" customFormat="false" ht="64" hidden="false" customHeight="true" outlineLevel="0" collapsed="false">
      <c r="C2650" s="98" t="s">
        <v>4439</v>
      </c>
      <c r="D2650" s="98" t="s">
        <v>1734</v>
      </c>
      <c r="E2650" s="98" t="s">
        <v>811</v>
      </c>
      <c r="F2650" s="98" t="n">
        <v>0</v>
      </c>
      <c r="G2650" s="98" t="s">
        <v>4347</v>
      </c>
      <c r="H2650" s="98" t="s">
        <v>1703</v>
      </c>
      <c r="I2650" s="98" t="s">
        <v>1704</v>
      </c>
      <c r="J2650" s="98" t="s">
        <v>1705</v>
      </c>
      <c r="K2650" s="98" t="s">
        <v>1706</v>
      </c>
    </row>
    <row r="2651" customFormat="false" ht="64" hidden="false" customHeight="true" outlineLevel="0" collapsed="false">
      <c r="C2651" s="98" t="s">
        <v>4440</v>
      </c>
      <c r="D2651" s="98" t="s">
        <v>1736</v>
      </c>
      <c r="E2651" s="98" t="s">
        <v>811</v>
      </c>
      <c r="F2651" s="98" t="n">
        <v>0</v>
      </c>
      <c r="G2651" s="98" t="s">
        <v>4347</v>
      </c>
      <c r="H2651" s="98" t="s">
        <v>1703</v>
      </c>
      <c r="I2651" s="98" t="s">
        <v>1704</v>
      </c>
      <c r="J2651" s="98" t="s">
        <v>1705</v>
      </c>
      <c r="K2651" s="98" t="s">
        <v>1706</v>
      </c>
    </row>
    <row r="2652" customFormat="false" ht="64" hidden="false" customHeight="true" outlineLevel="0" collapsed="false">
      <c r="C2652" s="98" t="s">
        <v>4441</v>
      </c>
      <c r="D2652" s="98" t="s">
        <v>1738</v>
      </c>
      <c r="E2652" s="98" t="s">
        <v>811</v>
      </c>
      <c r="F2652" s="98" t="n">
        <v>0</v>
      </c>
      <c r="G2652" s="98" t="s">
        <v>4347</v>
      </c>
      <c r="H2652" s="98" t="s">
        <v>1703</v>
      </c>
      <c r="I2652" s="98" t="s">
        <v>1704</v>
      </c>
      <c r="J2652" s="98" t="s">
        <v>1705</v>
      </c>
      <c r="K2652" s="98" t="s">
        <v>1706</v>
      </c>
    </row>
    <row r="2653" customFormat="false" ht="64" hidden="false" customHeight="true" outlineLevel="0" collapsed="false">
      <c r="C2653" s="98" t="s">
        <v>4442</v>
      </c>
      <c r="D2653" s="98" t="s">
        <v>1740</v>
      </c>
      <c r="E2653" s="98" t="s">
        <v>811</v>
      </c>
      <c r="F2653" s="98" t="n">
        <v>0</v>
      </c>
      <c r="G2653" s="98" t="s">
        <v>4347</v>
      </c>
      <c r="H2653" s="98" t="s">
        <v>1703</v>
      </c>
      <c r="I2653" s="98" t="s">
        <v>1704</v>
      </c>
      <c r="J2653" s="98" t="s">
        <v>1705</v>
      </c>
      <c r="K2653" s="98" t="s">
        <v>1706</v>
      </c>
    </row>
    <row r="2654" customFormat="false" ht="64" hidden="false" customHeight="true" outlineLevel="0" collapsed="false">
      <c r="C2654" s="98" t="s">
        <v>4443</v>
      </c>
      <c r="D2654" s="98" t="s">
        <v>1742</v>
      </c>
      <c r="E2654" s="98" t="s">
        <v>811</v>
      </c>
      <c r="F2654" s="98" t="n">
        <v>0</v>
      </c>
      <c r="G2654" s="98" t="s">
        <v>4347</v>
      </c>
      <c r="H2654" s="98" t="s">
        <v>1703</v>
      </c>
      <c r="I2654" s="98" t="s">
        <v>1704</v>
      </c>
      <c r="J2654" s="98" t="s">
        <v>1705</v>
      </c>
      <c r="K2654" s="98" t="s">
        <v>1706</v>
      </c>
    </row>
    <row r="2655" customFormat="false" ht="64" hidden="false" customHeight="true" outlineLevel="0" collapsed="false">
      <c r="C2655" s="98" t="s">
        <v>4444</v>
      </c>
      <c r="D2655" s="98" t="s">
        <v>1744</v>
      </c>
      <c r="E2655" s="98" t="s">
        <v>811</v>
      </c>
      <c r="F2655" s="98" t="n">
        <v>0</v>
      </c>
      <c r="G2655" s="98" t="s">
        <v>4347</v>
      </c>
      <c r="H2655" s="98" t="s">
        <v>1703</v>
      </c>
      <c r="I2655" s="98" t="s">
        <v>1704</v>
      </c>
      <c r="J2655" s="98" t="s">
        <v>1705</v>
      </c>
      <c r="K2655" s="98" t="s">
        <v>1706</v>
      </c>
    </row>
    <row r="2656" customFormat="false" ht="64" hidden="false" customHeight="true" outlineLevel="0" collapsed="false">
      <c r="C2656" s="98" t="s">
        <v>4445</v>
      </c>
      <c r="D2656" s="98" t="s">
        <v>1746</v>
      </c>
      <c r="E2656" s="98" t="s">
        <v>811</v>
      </c>
      <c r="F2656" s="98" t="n">
        <v>0</v>
      </c>
      <c r="G2656" s="98" t="s">
        <v>4347</v>
      </c>
      <c r="H2656" s="98" t="s">
        <v>1703</v>
      </c>
      <c r="I2656" s="98" t="s">
        <v>1704</v>
      </c>
      <c r="J2656" s="98" t="s">
        <v>1705</v>
      </c>
      <c r="K2656" s="98" t="s">
        <v>1706</v>
      </c>
    </row>
    <row r="2657" customFormat="false" ht="64" hidden="false" customHeight="true" outlineLevel="0" collapsed="false">
      <c r="C2657" s="98" t="s">
        <v>4446</v>
      </c>
      <c r="D2657" s="98" t="s">
        <v>1748</v>
      </c>
      <c r="E2657" s="98" t="s">
        <v>811</v>
      </c>
      <c r="F2657" s="98" t="n">
        <v>0</v>
      </c>
      <c r="G2657" s="98" t="s">
        <v>4347</v>
      </c>
      <c r="H2657" s="98" t="s">
        <v>1703</v>
      </c>
      <c r="I2657" s="98" t="s">
        <v>1704</v>
      </c>
      <c r="J2657" s="98" t="s">
        <v>1705</v>
      </c>
      <c r="K2657" s="98" t="s">
        <v>1706</v>
      </c>
    </row>
    <row r="2658" customFormat="false" ht="64" hidden="false" customHeight="true" outlineLevel="0" collapsed="false">
      <c r="C2658" s="98" t="s">
        <v>4447</v>
      </c>
      <c r="D2658" s="98" t="s">
        <v>1750</v>
      </c>
      <c r="E2658" s="98" t="s">
        <v>811</v>
      </c>
      <c r="F2658" s="98" t="n">
        <v>0</v>
      </c>
      <c r="G2658" s="98" t="s">
        <v>4347</v>
      </c>
      <c r="H2658" s="98" t="s">
        <v>1703</v>
      </c>
      <c r="I2658" s="98" t="s">
        <v>1704</v>
      </c>
      <c r="J2658" s="98" t="s">
        <v>1705</v>
      </c>
      <c r="K2658" s="98" t="s">
        <v>1706</v>
      </c>
    </row>
    <row r="2659" customFormat="false" ht="64" hidden="false" customHeight="true" outlineLevel="0" collapsed="false">
      <c r="C2659" s="98" t="s">
        <v>4448</v>
      </c>
      <c r="D2659" s="98" t="s">
        <v>1752</v>
      </c>
      <c r="E2659" s="98" t="s">
        <v>811</v>
      </c>
      <c r="F2659" s="98" t="n">
        <v>0</v>
      </c>
      <c r="G2659" s="98" t="s">
        <v>4347</v>
      </c>
      <c r="H2659" s="98" t="s">
        <v>1703</v>
      </c>
      <c r="I2659" s="98" t="s">
        <v>1704</v>
      </c>
      <c r="J2659" s="98" t="s">
        <v>1705</v>
      </c>
      <c r="K2659" s="98" t="s">
        <v>1706</v>
      </c>
    </row>
    <row r="2660" customFormat="false" ht="64" hidden="false" customHeight="true" outlineLevel="0" collapsed="false">
      <c r="C2660" s="98" t="s">
        <v>4449</v>
      </c>
      <c r="D2660" s="98" t="s">
        <v>1754</v>
      </c>
      <c r="E2660" s="98" t="s">
        <v>811</v>
      </c>
      <c r="F2660" s="98" t="n">
        <v>0</v>
      </c>
      <c r="G2660" s="98" t="s">
        <v>4347</v>
      </c>
      <c r="H2660" s="98" t="s">
        <v>1703</v>
      </c>
      <c r="I2660" s="98" t="s">
        <v>1704</v>
      </c>
      <c r="J2660" s="98" t="s">
        <v>1705</v>
      </c>
      <c r="K2660" s="98" t="s">
        <v>1706</v>
      </c>
    </row>
    <row r="2661" customFormat="false" ht="64" hidden="false" customHeight="true" outlineLevel="0" collapsed="false">
      <c r="C2661" s="98" t="s">
        <v>4450</v>
      </c>
      <c r="D2661" s="98" t="s">
        <v>1756</v>
      </c>
      <c r="E2661" s="98" t="s">
        <v>811</v>
      </c>
      <c r="F2661" s="98" t="n">
        <v>0</v>
      </c>
      <c r="G2661" s="98" t="s">
        <v>4347</v>
      </c>
      <c r="H2661" s="98" t="s">
        <v>1703</v>
      </c>
      <c r="I2661" s="98" t="s">
        <v>1704</v>
      </c>
      <c r="J2661" s="98" t="s">
        <v>1705</v>
      </c>
      <c r="K2661" s="98" t="s">
        <v>1706</v>
      </c>
    </row>
    <row r="2662" customFormat="false" ht="64" hidden="false" customHeight="true" outlineLevel="0" collapsed="false">
      <c r="C2662" s="98" t="s">
        <v>4451</v>
      </c>
      <c r="D2662" s="98" t="s">
        <v>1758</v>
      </c>
      <c r="E2662" s="98" t="s">
        <v>811</v>
      </c>
      <c r="F2662" s="98" t="n">
        <v>0</v>
      </c>
      <c r="G2662" s="98" t="s">
        <v>4347</v>
      </c>
      <c r="H2662" s="98" t="s">
        <v>1703</v>
      </c>
      <c r="I2662" s="98" t="s">
        <v>1704</v>
      </c>
      <c r="J2662" s="98" t="s">
        <v>1705</v>
      </c>
      <c r="K2662" s="98" t="s">
        <v>1706</v>
      </c>
    </row>
    <row r="2663" customFormat="false" ht="64" hidden="false" customHeight="true" outlineLevel="0" collapsed="false">
      <c r="C2663" s="98" t="s">
        <v>4452</v>
      </c>
      <c r="D2663" s="98" t="s">
        <v>1760</v>
      </c>
      <c r="E2663" s="98" t="s">
        <v>811</v>
      </c>
      <c r="F2663" s="98" t="n">
        <v>0</v>
      </c>
      <c r="G2663" s="98" t="s">
        <v>4347</v>
      </c>
      <c r="H2663" s="98" t="s">
        <v>1703</v>
      </c>
      <c r="I2663" s="98" t="s">
        <v>1704</v>
      </c>
      <c r="J2663" s="98" t="s">
        <v>1705</v>
      </c>
      <c r="K2663" s="98" t="s">
        <v>1706</v>
      </c>
    </row>
    <row r="2664" customFormat="false" ht="64" hidden="false" customHeight="true" outlineLevel="0" collapsed="false">
      <c r="C2664" s="98" t="s">
        <v>4453</v>
      </c>
      <c r="D2664" s="98" t="s">
        <v>1762</v>
      </c>
      <c r="E2664" s="98" t="s">
        <v>811</v>
      </c>
      <c r="F2664" s="98" t="n">
        <v>0</v>
      </c>
      <c r="G2664" s="98" t="s">
        <v>4347</v>
      </c>
      <c r="H2664" s="98" t="s">
        <v>1703</v>
      </c>
      <c r="I2664" s="98" t="s">
        <v>1704</v>
      </c>
      <c r="J2664" s="98" t="s">
        <v>1705</v>
      </c>
      <c r="K2664" s="98" t="s">
        <v>1706</v>
      </c>
    </row>
    <row r="2665" customFormat="false" ht="64" hidden="false" customHeight="true" outlineLevel="0" collapsed="false">
      <c r="C2665" s="98" t="s">
        <v>4454</v>
      </c>
      <c r="D2665" s="98" t="s">
        <v>1764</v>
      </c>
      <c r="E2665" s="98" t="s">
        <v>811</v>
      </c>
      <c r="F2665" s="98" t="n">
        <v>0</v>
      </c>
      <c r="G2665" s="98" t="s">
        <v>4347</v>
      </c>
      <c r="H2665" s="98" t="s">
        <v>1703</v>
      </c>
      <c r="I2665" s="98" t="s">
        <v>1704</v>
      </c>
      <c r="J2665" s="98" t="s">
        <v>1705</v>
      </c>
      <c r="K2665" s="98" t="s">
        <v>1706</v>
      </c>
    </row>
    <row r="2666" customFormat="false" ht="64" hidden="false" customHeight="true" outlineLevel="0" collapsed="false">
      <c r="C2666" s="98" t="s">
        <v>4455</v>
      </c>
      <c r="D2666" s="98" t="s">
        <v>1829</v>
      </c>
      <c r="E2666" s="98" t="s">
        <v>811</v>
      </c>
      <c r="F2666" s="98" t="n">
        <v>0</v>
      </c>
      <c r="G2666" s="98" t="s">
        <v>4310</v>
      </c>
      <c r="H2666" s="98" t="s">
        <v>1703</v>
      </c>
      <c r="I2666" s="98" t="s">
        <v>1704</v>
      </c>
      <c r="J2666" s="98" t="s">
        <v>1705</v>
      </c>
      <c r="K2666" s="98" t="s">
        <v>1706</v>
      </c>
    </row>
    <row r="2667" customFormat="false" ht="64" hidden="false" customHeight="true" outlineLevel="0" collapsed="false">
      <c r="C2667" s="98" t="s">
        <v>4456</v>
      </c>
      <c r="D2667" s="98" t="s">
        <v>1833</v>
      </c>
      <c r="E2667" s="98" t="s">
        <v>811</v>
      </c>
      <c r="F2667" s="98" t="n">
        <v>0</v>
      </c>
      <c r="G2667" s="98" t="s">
        <v>4310</v>
      </c>
      <c r="H2667" s="98" t="s">
        <v>1703</v>
      </c>
      <c r="I2667" s="98" t="s">
        <v>1704</v>
      </c>
      <c r="J2667" s="98" t="s">
        <v>1705</v>
      </c>
      <c r="K2667" s="98" t="s">
        <v>1706</v>
      </c>
    </row>
    <row r="2668" customFormat="false" ht="64" hidden="false" customHeight="true" outlineLevel="0" collapsed="false">
      <c r="C2668" s="98" t="s">
        <v>4457</v>
      </c>
      <c r="D2668" s="98" t="s">
        <v>1835</v>
      </c>
      <c r="E2668" s="98" t="s">
        <v>811</v>
      </c>
      <c r="F2668" s="98" t="n">
        <v>0</v>
      </c>
      <c r="G2668" s="98" t="s">
        <v>4310</v>
      </c>
      <c r="H2668" s="98" t="s">
        <v>1703</v>
      </c>
      <c r="I2668" s="98" t="s">
        <v>1704</v>
      </c>
      <c r="J2668" s="98" t="s">
        <v>1705</v>
      </c>
      <c r="K2668" s="98" t="s">
        <v>1706</v>
      </c>
    </row>
    <row r="2669" customFormat="false" ht="64" hidden="false" customHeight="true" outlineLevel="0" collapsed="false">
      <c r="C2669" s="98" t="s">
        <v>4458</v>
      </c>
      <c r="D2669" s="98" t="s">
        <v>1044</v>
      </c>
      <c r="E2669" s="98" t="s">
        <v>811</v>
      </c>
      <c r="F2669" s="98" t="n">
        <v>0</v>
      </c>
      <c r="G2669" s="98" t="s">
        <v>4310</v>
      </c>
      <c r="H2669" s="98" t="s">
        <v>1703</v>
      </c>
      <c r="I2669" s="98" t="s">
        <v>1704</v>
      </c>
      <c r="J2669" s="98" t="s">
        <v>1705</v>
      </c>
      <c r="K2669" s="98" t="s">
        <v>1706</v>
      </c>
    </row>
    <row r="2670" customFormat="false" ht="64" hidden="false" customHeight="true" outlineLevel="0" collapsed="false">
      <c r="C2670" s="98" t="s">
        <v>4459</v>
      </c>
      <c r="D2670" s="98" t="s">
        <v>1838</v>
      </c>
      <c r="E2670" s="98" t="s">
        <v>811</v>
      </c>
      <c r="F2670" s="98" t="n">
        <v>0</v>
      </c>
      <c r="G2670" s="98" t="s">
        <v>4310</v>
      </c>
      <c r="H2670" s="98" t="s">
        <v>1703</v>
      </c>
      <c r="I2670" s="98" t="s">
        <v>1704</v>
      </c>
      <c r="J2670" s="98" t="s">
        <v>1705</v>
      </c>
      <c r="K2670" s="98" t="s">
        <v>1706</v>
      </c>
    </row>
    <row r="2671" customFormat="false" ht="64" hidden="false" customHeight="true" outlineLevel="0" collapsed="false">
      <c r="C2671" s="98" t="s">
        <v>4460</v>
      </c>
      <c r="D2671" s="98" t="s">
        <v>1840</v>
      </c>
      <c r="E2671" s="98" t="s">
        <v>811</v>
      </c>
      <c r="F2671" s="98" t="n">
        <v>0</v>
      </c>
      <c r="G2671" s="98" t="s">
        <v>4310</v>
      </c>
      <c r="H2671" s="98" t="s">
        <v>1703</v>
      </c>
      <c r="I2671" s="98" t="s">
        <v>1704</v>
      </c>
      <c r="J2671" s="98" t="s">
        <v>1705</v>
      </c>
      <c r="K2671" s="98" t="s">
        <v>1706</v>
      </c>
    </row>
    <row r="2672" customFormat="false" ht="64" hidden="false" customHeight="true" outlineLevel="0" collapsed="false">
      <c r="C2672" s="98" t="s">
        <v>4461</v>
      </c>
      <c r="D2672" s="98" t="s">
        <v>1700</v>
      </c>
      <c r="E2672" s="98" t="s">
        <v>811</v>
      </c>
      <c r="F2672" s="98" t="n">
        <v>0</v>
      </c>
      <c r="G2672" s="98" t="s">
        <v>4310</v>
      </c>
      <c r="H2672" s="98" t="s">
        <v>1703</v>
      </c>
      <c r="I2672" s="98" t="s">
        <v>1704</v>
      </c>
      <c r="J2672" s="98" t="s">
        <v>1705</v>
      </c>
      <c r="K2672" s="98" t="s">
        <v>1706</v>
      </c>
    </row>
    <row r="2673" customFormat="false" ht="64" hidden="false" customHeight="true" outlineLevel="0" collapsed="false">
      <c r="C2673" s="98" t="s">
        <v>4462</v>
      </c>
      <c r="D2673" s="98" t="s">
        <v>1708</v>
      </c>
      <c r="E2673" s="98" t="s">
        <v>811</v>
      </c>
      <c r="F2673" s="98" t="n">
        <v>0</v>
      </c>
      <c r="G2673" s="98" t="s">
        <v>4310</v>
      </c>
      <c r="H2673" s="98" t="s">
        <v>1703</v>
      </c>
      <c r="I2673" s="98" t="s">
        <v>1704</v>
      </c>
      <c r="J2673" s="98" t="s">
        <v>1705</v>
      </c>
      <c r="K2673" s="98" t="s">
        <v>1706</v>
      </c>
    </row>
    <row r="2674" customFormat="false" ht="64" hidden="false" customHeight="true" outlineLevel="0" collapsed="false">
      <c r="C2674" s="98" t="s">
        <v>4463</v>
      </c>
      <c r="D2674" s="98" t="s">
        <v>1710</v>
      </c>
      <c r="E2674" s="98" t="s">
        <v>811</v>
      </c>
      <c r="F2674" s="98" t="n">
        <v>0</v>
      </c>
      <c r="G2674" s="98" t="s">
        <v>4310</v>
      </c>
      <c r="H2674" s="98" t="s">
        <v>1703</v>
      </c>
      <c r="I2674" s="98" t="s">
        <v>1704</v>
      </c>
      <c r="J2674" s="98" t="s">
        <v>1705</v>
      </c>
      <c r="K2674" s="98" t="s">
        <v>1706</v>
      </c>
    </row>
    <row r="2675" customFormat="false" ht="64" hidden="false" customHeight="true" outlineLevel="0" collapsed="false">
      <c r="C2675" s="98" t="s">
        <v>4464</v>
      </c>
      <c r="D2675" s="98" t="s">
        <v>1712</v>
      </c>
      <c r="E2675" s="98" t="s">
        <v>811</v>
      </c>
      <c r="F2675" s="98" t="n">
        <v>0</v>
      </c>
      <c r="G2675" s="98" t="s">
        <v>4310</v>
      </c>
      <c r="H2675" s="98" t="s">
        <v>1703</v>
      </c>
      <c r="I2675" s="98" t="s">
        <v>1704</v>
      </c>
      <c r="J2675" s="98" t="s">
        <v>1705</v>
      </c>
      <c r="K2675" s="98" t="s">
        <v>1706</v>
      </c>
    </row>
    <row r="2676" customFormat="false" ht="64" hidden="false" customHeight="true" outlineLevel="0" collapsed="false">
      <c r="C2676" s="98" t="s">
        <v>4465</v>
      </c>
      <c r="D2676" s="98" t="s">
        <v>1714</v>
      </c>
      <c r="E2676" s="98" t="s">
        <v>811</v>
      </c>
      <c r="F2676" s="98" t="n">
        <v>0</v>
      </c>
      <c r="G2676" s="98" t="s">
        <v>4310</v>
      </c>
      <c r="H2676" s="98" t="s">
        <v>1703</v>
      </c>
      <c r="I2676" s="98" t="s">
        <v>1704</v>
      </c>
      <c r="J2676" s="98" t="s">
        <v>1705</v>
      </c>
      <c r="K2676" s="98" t="s">
        <v>1706</v>
      </c>
    </row>
    <row r="2677" customFormat="false" ht="64" hidden="false" customHeight="true" outlineLevel="0" collapsed="false">
      <c r="C2677" s="98" t="s">
        <v>4466</v>
      </c>
      <c r="D2677" s="98" t="s">
        <v>1716</v>
      </c>
      <c r="E2677" s="98" t="s">
        <v>811</v>
      </c>
      <c r="F2677" s="98" t="n">
        <v>0</v>
      </c>
      <c r="G2677" s="98" t="s">
        <v>4310</v>
      </c>
      <c r="H2677" s="98" t="s">
        <v>1703</v>
      </c>
      <c r="I2677" s="98" t="s">
        <v>1704</v>
      </c>
      <c r="J2677" s="98" t="s">
        <v>1705</v>
      </c>
      <c r="K2677" s="98" t="s">
        <v>1706</v>
      </c>
    </row>
    <row r="2678" customFormat="false" ht="64" hidden="false" customHeight="true" outlineLevel="0" collapsed="false">
      <c r="C2678" s="98" t="s">
        <v>4467</v>
      </c>
      <c r="D2678" s="98" t="s">
        <v>1718</v>
      </c>
      <c r="E2678" s="98" t="s">
        <v>811</v>
      </c>
      <c r="F2678" s="98" t="n">
        <v>0</v>
      </c>
      <c r="G2678" s="98" t="s">
        <v>4310</v>
      </c>
      <c r="H2678" s="98" t="s">
        <v>1703</v>
      </c>
      <c r="I2678" s="98" t="s">
        <v>1704</v>
      </c>
      <c r="J2678" s="98" t="s">
        <v>1705</v>
      </c>
      <c r="K2678" s="98" t="s">
        <v>1706</v>
      </c>
    </row>
    <row r="2679" customFormat="false" ht="64" hidden="false" customHeight="true" outlineLevel="0" collapsed="false">
      <c r="C2679" s="98" t="s">
        <v>4468</v>
      </c>
      <c r="D2679" s="98" t="s">
        <v>1720</v>
      </c>
      <c r="E2679" s="98" t="s">
        <v>811</v>
      </c>
      <c r="F2679" s="98" t="n">
        <v>0</v>
      </c>
      <c r="G2679" s="98" t="s">
        <v>4310</v>
      </c>
      <c r="H2679" s="98" t="s">
        <v>1703</v>
      </c>
      <c r="I2679" s="98" t="s">
        <v>1704</v>
      </c>
      <c r="J2679" s="98" t="s">
        <v>1705</v>
      </c>
      <c r="K2679" s="98" t="s">
        <v>1706</v>
      </c>
    </row>
    <row r="2680" customFormat="false" ht="64" hidden="false" customHeight="true" outlineLevel="0" collapsed="false">
      <c r="C2680" s="98" t="s">
        <v>4469</v>
      </c>
      <c r="D2680" s="98" t="s">
        <v>1722</v>
      </c>
      <c r="E2680" s="98" t="s">
        <v>811</v>
      </c>
      <c r="F2680" s="98" t="n">
        <v>0</v>
      </c>
      <c r="G2680" s="98" t="s">
        <v>4310</v>
      </c>
      <c r="H2680" s="98" t="s">
        <v>1703</v>
      </c>
      <c r="I2680" s="98" t="s">
        <v>1704</v>
      </c>
      <c r="J2680" s="98" t="s">
        <v>1705</v>
      </c>
      <c r="K2680" s="98" t="s">
        <v>1706</v>
      </c>
    </row>
    <row r="2681" customFormat="false" ht="64" hidden="false" customHeight="true" outlineLevel="0" collapsed="false">
      <c r="C2681" s="98" t="s">
        <v>4470</v>
      </c>
      <c r="D2681" s="98" t="s">
        <v>1724</v>
      </c>
      <c r="E2681" s="98" t="s">
        <v>811</v>
      </c>
      <c r="F2681" s="98" t="n">
        <v>0</v>
      </c>
      <c r="G2681" s="98" t="s">
        <v>4310</v>
      </c>
      <c r="H2681" s="98" t="s">
        <v>1703</v>
      </c>
      <c r="I2681" s="98" t="s">
        <v>1704</v>
      </c>
      <c r="J2681" s="98" t="s">
        <v>1705</v>
      </c>
      <c r="K2681" s="98" t="s">
        <v>1706</v>
      </c>
    </row>
    <row r="2682" customFormat="false" ht="64" hidden="false" customHeight="true" outlineLevel="0" collapsed="false">
      <c r="C2682" s="98" t="s">
        <v>4471</v>
      </c>
      <c r="D2682" s="98" t="s">
        <v>1726</v>
      </c>
      <c r="E2682" s="98" t="s">
        <v>811</v>
      </c>
      <c r="F2682" s="98" t="n">
        <v>0</v>
      </c>
      <c r="G2682" s="98" t="s">
        <v>4310</v>
      </c>
      <c r="H2682" s="98" t="s">
        <v>1703</v>
      </c>
      <c r="I2682" s="98" t="s">
        <v>1704</v>
      </c>
      <c r="J2682" s="98" t="s">
        <v>1705</v>
      </c>
      <c r="K2682" s="98" t="s">
        <v>1706</v>
      </c>
    </row>
    <row r="2683" customFormat="false" ht="64" hidden="false" customHeight="true" outlineLevel="0" collapsed="false">
      <c r="C2683" s="98" t="s">
        <v>4472</v>
      </c>
      <c r="D2683" s="98" t="s">
        <v>1728</v>
      </c>
      <c r="E2683" s="98" t="s">
        <v>811</v>
      </c>
      <c r="F2683" s="98" t="n">
        <v>0</v>
      </c>
      <c r="G2683" s="98" t="s">
        <v>4310</v>
      </c>
      <c r="H2683" s="98" t="s">
        <v>1703</v>
      </c>
      <c r="I2683" s="98" t="s">
        <v>1704</v>
      </c>
      <c r="J2683" s="98" t="s">
        <v>1705</v>
      </c>
      <c r="K2683" s="98" t="s">
        <v>1706</v>
      </c>
    </row>
    <row r="2684" customFormat="false" ht="64" hidden="false" customHeight="true" outlineLevel="0" collapsed="false">
      <c r="C2684" s="98" t="s">
        <v>4473</v>
      </c>
      <c r="D2684" s="98" t="s">
        <v>1730</v>
      </c>
      <c r="E2684" s="98" t="s">
        <v>811</v>
      </c>
      <c r="F2684" s="98" t="n">
        <v>0</v>
      </c>
      <c r="G2684" s="98" t="s">
        <v>4310</v>
      </c>
      <c r="H2684" s="98" t="s">
        <v>1703</v>
      </c>
      <c r="I2684" s="98" t="s">
        <v>1704</v>
      </c>
      <c r="J2684" s="98" t="s">
        <v>1705</v>
      </c>
      <c r="K2684" s="98" t="s">
        <v>1706</v>
      </c>
    </row>
    <row r="2685" customFormat="false" ht="64" hidden="false" customHeight="true" outlineLevel="0" collapsed="false">
      <c r="C2685" s="98" t="s">
        <v>4474</v>
      </c>
      <c r="D2685" s="98" t="s">
        <v>1732</v>
      </c>
      <c r="E2685" s="98" t="s">
        <v>811</v>
      </c>
      <c r="F2685" s="98" t="n">
        <v>0</v>
      </c>
      <c r="G2685" s="98" t="s">
        <v>4310</v>
      </c>
      <c r="H2685" s="98" t="s">
        <v>1703</v>
      </c>
      <c r="I2685" s="98" t="s">
        <v>1704</v>
      </c>
      <c r="J2685" s="98" t="s">
        <v>1705</v>
      </c>
      <c r="K2685" s="98" t="s">
        <v>1706</v>
      </c>
    </row>
    <row r="2686" customFormat="false" ht="64" hidden="false" customHeight="true" outlineLevel="0" collapsed="false">
      <c r="C2686" s="98" t="s">
        <v>4475</v>
      </c>
      <c r="D2686" s="98" t="s">
        <v>1734</v>
      </c>
      <c r="E2686" s="98" t="s">
        <v>811</v>
      </c>
      <c r="F2686" s="98" t="n">
        <v>0</v>
      </c>
      <c r="G2686" s="98" t="s">
        <v>4310</v>
      </c>
      <c r="H2686" s="98" t="s">
        <v>1703</v>
      </c>
      <c r="I2686" s="98" t="s">
        <v>1704</v>
      </c>
      <c r="J2686" s="98" t="s">
        <v>1705</v>
      </c>
      <c r="K2686" s="98" t="s">
        <v>1706</v>
      </c>
    </row>
    <row r="2687" customFormat="false" ht="64" hidden="false" customHeight="true" outlineLevel="0" collapsed="false">
      <c r="C2687" s="98" t="s">
        <v>4476</v>
      </c>
      <c r="D2687" s="98" t="s">
        <v>1736</v>
      </c>
      <c r="E2687" s="98" t="s">
        <v>811</v>
      </c>
      <c r="F2687" s="98" t="n">
        <v>0</v>
      </c>
      <c r="G2687" s="98" t="s">
        <v>4310</v>
      </c>
      <c r="H2687" s="98" t="s">
        <v>1703</v>
      </c>
      <c r="I2687" s="98" t="s">
        <v>1704</v>
      </c>
      <c r="J2687" s="98" t="s">
        <v>1705</v>
      </c>
      <c r="K2687" s="98" t="s">
        <v>1706</v>
      </c>
    </row>
    <row r="2688" customFormat="false" ht="64" hidden="false" customHeight="true" outlineLevel="0" collapsed="false">
      <c r="C2688" s="98" t="s">
        <v>4477</v>
      </c>
      <c r="D2688" s="98" t="s">
        <v>1738</v>
      </c>
      <c r="E2688" s="98" t="s">
        <v>811</v>
      </c>
      <c r="F2688" s="98" t="n">
        <v>0</v>
      </c>
      <c r="G2688" s="98" t="s">
        <v>4310</v>
      </c>
      <c r="H2688" s="98" t="s">
        <v>1703</v>
      </c>
      <c r="I2688" s="98" t="s">
        <v>1704</v>
      </c>
      <c r="J2688" s="98" t="s">
        <v>1705</v>
      </c>
      <c r="K2688" s="98" t="s">
        <v>1706</v>
      </c>
    </row>
    <row r="2689" customFormat="false" ht="64" hidden="false" customHeight="true" outlineLevel="0" collapsed="false">
      <c r="C2689" s="98" t="s">
        <v>4478</v>
      </c>
      <c r="D2689" s="98" t="s">
        <v>1740</v>
      </c>
      <c r="E2689" s="98" t="s">
        <v>811</v>
      </c>
      <c r="F2689" s="98" t="n">
        <v>0</v>
      </c>
      <c r="G2689" s="98" t="s">
        <v>4310</v>
      </c>
      <c r="H2689" s="98" t="s">
        <v>1703</v>
      </c>
      <c r="I2689" s="98" t="s">
        <v>1704</v>
      </c>
      <c r="J2689" s="98" t="s">
        <v>1705</v>
      </c>
      <c r="K2689" s="98" t="s">
        <v>1706</v>
      </c>
    </row>
    <row r="2690" customFormat="false" ht="64" hidden="false" customHeight="true" outlineLevel="0" collapsed="false">
      <c r="C2690" s="98" t="s">
        <v>4479</v>
      </c>
      <c r="D2690" s="98" t="s">
        <v>1742</v>
      </c>
      <c r="E2690" s="98" t="s">
        <v>811</v>
      </c>
      <c r="F2690" s="98" t="n">
        <v>0</v>
      </c>
      <c r="G2690" s="98" t="s">
        <v>4310</v>
      </c>
      <c r="H2690" s="98" t="s">
        <v>1703</v>
      </c>
      <c r="I2690" s="98" t="s">
        <v>1704</v>
      </c>
      <c r="J2690" s="98" t="s">
        <v>1705</v>
      </c>
      <c r="K2690" s="98" t="s">
        <v>1706</v>
      </c>
    </row>
    <row r="2691" customFormat="false" ht="64" hidden="false" customHeight="true" outlineLevel="0" collapsed="false">
      <c r="C2691" s="98" t="s">
        <v>4480</v>
      </c>
      <c r="D2691" s="98" t="s">
        <v>1744</v>
      </c>
      <c r="E2691" s="98" t="s">
        <v>811</v>
      </c>
      <c r="F2691" s="98" t="n">
        <v>0</v>
      </c>
      <c r="G2691" s="98" t="s">
        <v>4310</v>
      </c>
      <c r="H2691" s="98" t="s">
        <v>1703</v>
      </c>
      <c r="I2691" s="98" t="s">
        <v>1704</v>
      </c>
      <c r="J2691" s="98" t="s">
        <v>1705</v>
      </c>
      <c r="K2691" s="98" t="s">
        <v>1706</v>
      </c>
    </row>
    <row r="2692" customFormat="false" ht="64" hidden="false" customHeight="true" outlineLevel="0" collapsed="false">
      <c r="C2692" s="98" t="s">
        <v>4481</v>
      </c>
      <c r="D2692" s="98" t="s">
        <v>1746</v>
      </c>
      <c r="E2692" s="98" t="s">
        <v>811</v>
      </c>
      <c r="F2692" s="98" t="n">
        <v>0</v>
      </c>
      <c r="G2692" s="98" t="s">
        <v>4310</v>
      </c>
      <c r="H2692" s="98" t="s">
        <v>1703</v>
      </c>
      <c r="I2692" s="98" t="s">
        <v>1704</v>
      </c>
      <c r="J2692" s="98" t="s">
        <v>1705</v>
      </c>
      <c r="K2692" s="98" t="s">
        <v>1706</v>
      </c>
    </row>
    <row r="2693" customFormat="false" ht="64" hidden="false" customHeight="true" outlineLevel="0" collapsed="false">
      <c r="C2693" s="98" t="s">
        <v>4482</v>
      </c>
      <c r="D2693" s="98" t="s">
        <v>1748</v>
      </c>
      <c r="E2693" s="98" t="s">
        <v>811</v>
      </c>
      <c r="F2693" s="98" t="n">
        <v>0</v>
      </c>
      <c r="G2693" s="98" t="s">
        <v>4310</v>
      </c>
      <c r="H2693" s="98" t="s">
        <v>1703</v>
      </c>
      <c r="I2693" s="98" t="s">
        <v>1704</v>
      </c>
      <c r="J2693" s="98" t="s">
        <v>1705</v>
      </c>
      <c r="K2693" s="98" t="s">
        <v>1706</v>
      </c>
    </row>
    <row r="2694" customFormat="false" ht="64" hidden="false" customHeight="true" outlineLevel="0" collapsed="false">
      <c r="C2694" s="98" t="s">
        <v>4483</v>
      </c>
      <c r="D2694" s="98" t="s">
        <v>1750</v>
      </c>
      <c r="E2694" s="98" t="s">
        <v>811</v>
      </c>
      <c r="F2694" s="98" t="n">
        <v>0</v>
      </c>
      <c r="G2694" s="98" t="s">
        <v>4310</v>
      </c>
      <c r="H2694" s="98" t="s">
        <v>1703</v>
      </c>
      <c r="I2694" s="98" t="s">
        <v>1704</v>
      </c>
      <c r="J2694" s="98" t="s">
        <v>1705</v>
      </c>
      <c r="K2694" s="98" t="s">
        <v>1706</v>
      </c>
    </row>
    <row r="2695" customFormat="false" ht="64" hidden="false" customHeight="true" outlineLevel="0" collapsed="false">
      <c r="C2695" s="98" t="s">
        <v>4484</v>
      </c>
      <c r="D2695" s="98" t="s">
        <v>1752</v>
      </c>
      <c r="E2695" s="98" t="s">
        <v>811</v>
      </c>
      <c r="F2695" s="98" t="n">
        <v>0</v>
      </c>
      <c r="G2695" s="98" t="s">
        <v>4310</v>
      </c>
      <c r="H2695" s="98" t="s">
        <v>1703</v>
      </c>
      <c r="I2695" s="98" t="s">
        <v>1704</v>
      </c>
      <c r="J2695" s="98" t="s">
        <v>1705</v>
      </c>
      <c r="K2695" s="98" t="s">
        <v>1706</v>
      </c>
    </row>
    <row r="2696" customFormat="false" ht="64" hidden="false" customHeight="true" outlineLevel="0" collapsed="false">
      <c r="C2696" s="98" t="s">
        <v>4485</v>
      </c>
      <c r="D2696" s="98" t="s">
        <v>1754</v>
      </c>
      <c r="E2696" s="98" t="s">
        <v>811</v>
      </c>
      <c r="F2696" s="98" t="n">
        <v>0</v>
      </c>
      <c r="G2696" s="98" t="s">
        <v>4310</v>
      </c>
      <c r="H2696" s="98" t="s">
        <v>1703</v>
      </c>
      <c r="I2696" s="98" t="s">
        <v>1704</v>
      </c>
      <c r="J2696" s="98" t="s">
        <v>1705</v>
      </c>
      <c r="K2696" s="98" t="s">
        <v>1706</v>
      </c>
    </row>
    <row r="2697" customFormat="false" ht="64" hidden="false" customHeight="true" outlineLevel="0" collapsed="false">
      <c r="C2697" s="98" t="s">
        <v>4486</v>
      </c>
      <c r="D2697" s="98" t="s">
        <v>1756</v>
      </c>
      <c r="E2697" s="98" t="s">
        <v>811</v>
      </c>
      <c r="F2697" s="98" t="n">
        <v>0</v>
      </c>
      <c r="G2697" s="98" t="s">
        <v>4310</v>
      </c>
      <c r="H2697" s="98" t="s">
        <v>1703</v>
      </c>
      <c r="I2697" s="98" t="s">
        <v>1704</v>
      </c>
      <c r="J2697" s="98" t="s">
        <v>1705</v>
      </c>
      <c r="K2697" s="98" t="s">
        <v>1706</v>
      </c>
    </row>
    <row r="2698" customFormat="false" ht="64" hidden="false" customHeight="true" outlineLevel="0" collapsed="false">
      <c r="C2698" s="98" t="s">
        <v>4487</v>
      </c>
      <c r="D2698" s="98" t="s">
        <v>1758</v>
      </c>
      <c r="E2698" s="98" t="s">
        <v>811</v>
      </c>
      <c r="F2698" s="98" t="n">
        <v>0</v>
      </c>
      <c r="G2698" s="98" t="s">
        <v>4310</v>
      </c>
      <c r="H2698" s="98" t="s">
        <v>1703</v>
      </c>
      <c r="I2698" s="98" t="s">
        <v>1704</v>
      </c>
      <c r="J2698" s="98" t="s">
        <v>1705</v>
      </c>
      <c r="K2698" s="98" t="s">
        <v>1706</v>
      </c>
    </row>
    <row r="2699" customFormat="false" ht="64" hidden="false" customHeight="true" outlineLevel="0" collapsed="false">
      <c r="C2699" s="98" t="s">
        <v>4488</v>
      </c>
      <c r="D2699" s="98" t="s">
        <v>1760</v>
      </c>
      <c r="E2699" s="98" t="s">
        <v>811</v>
      </c>
      <c r="F2699" s="98" t="n">
        <v>0</v>
      </c>
      <c r="G2699" s="98" t="s">
        <v>4310</v>
      </c>
      <c r="H2699" s="98" t="s">
        <v>1703</v>
      </c>
      <c r="I2699" s="98" t="s">
        <v>1704</v>
      </c>
      <c r="J2699" s="98" t="s">
        <v>1705</v>
      </c>
      <c r="K2699" s="98" t="s">
        <v>1706</v>
      </c>
    </row>
    <row r="2700" customFormat="false" ht="64" hidden="false" customHeight="true" outlineLevel="0" collapsed="false">
      <c r="C2700" s="98" t="s">
        <v>4489</v>
      </c>
      <c r="D2700" s="98" t="s">
        <v>1762</v>
      </c>
      <c r="E2700" s="98" t="s">
        <v>811</v>
      </c>
      <c r="F2700" s="98" t="n">
        <v>0</v>
      </c>
      <c r="G2700" s="98" t="s">
        <v>4310</v>
      </c>
      <c r="H2700" s="98" t="s">
        <v>1703</v>
      </c>
      <c r="I2700" s="98" t="s">
        <v>1704</v>
      </c>
      <c r="J2700" s="98" t="s">
        <v>1705</v>
      </c>
      <c r="K2700" s="98" t="s">
        <v>1706</v>
      </c>
    </row>
    <row r="2701" customFormat="false" ht="64" hidden="false" customHeight="true" outlineLevel="0" collapsed="false">
      <c r="C2701" s="98" t="s">
        <v>4490</v>
      </c>
      <c r="D2701" s="98" t="s">
        <v>1764</v>
      </c>
      <c r="E2701" s="98" t="s">
        <v>811</v>
      </c>
      <c r="F2701" s="98" t="n">
        <v>0</v>
      </c>
      <c r="G2701" s="98" t="s">
        <v>4310</v>
      </c>
      <c r="H2701" s="98" t="s">
        <v>1703</v>
      </c>
      <c r="I2701" s="98" t="s">
        <v>1704</v>
      </c>
      <c r="J2701" s="98" t="s">
        <v>1705</v>
      </c>
      <c r="K2701" s="98" t="s">
        <v>1706</v>
      </c>
    </row>
    <row r="2702" customFormat="false" ht="64" hidden="false" customHeight="true" outlineLevel="0" collapsed="false">
      <c r="C2702" s="98" t="s">
        <v>4491</v>
      </c>
      <c r="D2702" s="98" t="s">
        <v>1829</v>
      </c>
      <c r="E2702" s="98" t="s">
        <v>811</v>
      </c>
      <c r="F2702" s="98" t="n">
        <v>0</v>
      </c>
      <c r="G2702" s="98" t="s">
        <v>4347</v>
      </c>
      <c r="H2702" s="98" t="s">
        <v>1703</v>
      </c>
      <c r="I2702" s="98" t="s">
        <v>1704</v>
      </c>
      <c r="J2702" s="98" t="s">
        <v>1705</v>
      </c>
      <c r="K2702" s="98" t="s">
        <v>1706</v>
      </c>
    </row>
    <row r="2703" customFormat="false" ht="64" hidden="false" customHeight="true" outlineLevel="0" collapsed="false">
      <c r="C2703" s="98" t="s">
        <v>4492</v>
      </c>
      <c r="D2703" s="98" t="s">
        <v>1833</v>
      </c>
      <c r="E2703" s="98" t="s">
        <v>811</v>
      </c>
      <c r="F2703" s="98" t="n">
        <v>0</v>
      </c>
      <c r="G2703" s="98" t="s">
        <v>4347</v>
      </c>
      <c r="H2703" s="98" t="s">
        <v>1703</v>
      </c>
      <c r="I2703" s="98" t="s">
        <v>1704</v>
      </c>
      <c r="J2703" s="98" t="s">
        <v>1705</v>
      </c>
      <c r="K2703" s="98" t="s">
        <v>1706</v>
      </c>
    </row>
    <row r="2704" customFormat="false" ht="64" hidden="false" customHeight="true" outlineLevel="0" collapsed="false">
      <c r="C2704" s="98" t="s">
        <v>4493</v>
      </c>
      <c r="D2704" s="98" t="s">
        <v>1835</v>
      </c>
      <c r="E2704" s="98" t="s">
        <v>811</v>
      </c>
      <c r="F2704" s="98" t="n">
        <v>0</v>
      </c>
      <c r="G2704" s="98" t="s">
        <v>4347</v>
      </c>
      <c r="H2704" s="98" t="s">
        <v>1703</v>
      </c>
      <c r="I2704" s="98" t="s">
        <v>1704</v>
      </c>
      <c r="J2704" s="98" t="s">
        <v>1705</v>
      </c>
      <c r="K2704" s="98" t="s">
        <v>1706</v>
      </c>
    </row>
    <row r="2705" customFormat="false" ht="64" hidden="false" customHeight="true" outlineLevel="0" collapsed="false">
      <c r="C2705" s="98" t="s">
        <v>4494</v>
      </c>
      <c r="D2705" s="98" t="s">
        <v>1044</v>
      </c>
      <c r="E2705" s="98" t="s">
        <v>811</v>
      </c>
      <c r="F2705" s="98" t="n">
        <v>0</v>
      </c>
      <c r="G2705" s="98" t="s">
        <v>4347</v>
      </c>
      <c r="H2705" s="98" t="s">
        <v>1703</v>
      </c>
      <c r="I2705" s="98" t="s">
        <v>1704</v>
      </c>
      <c r="J2705" s="98" t="s">
        <v>1705</v>
      </c>
      <c r="K2705" s="98" t="s">
        <v>1706</v>
      </c>
    </row>
    <row r="2706" customFormat="false" ht="64" hidden="false" customHeight="true" outlineLevel="0" collapsed="false">
      <c r="C2706" s="98" t="s">
        <v>4495</v>
      </c>
      <c r="D2706" s="98" t="s">
        <v>1838</v>
      </c>
      <c r="E2706" s="98" t="s">
        <v>811</v>
      </c>
      <c r="F2706" s="98" t="n">
        <v>0</v>
      </c>
      <c r="G2706" s="98" t="s">
        <v>4347</v>
      </c>
      <c r="H2706" s="98" t="s">
        <v>1703</v>
      </c>
      <c r="I2706" s="98" t="s">
        <v>1704</v>
      </c>
      <c r="J2706" s="98" t="s">
        <v>1705</v>
      </c>
      <c r="K2706" s="98" t="s">
        <v>1706</v>
      </c>
    </row>
    <row r="2707" customFormat="false" ht="64" hidden="false" customHeight="true" outlineLevel="0" collapsed="false">
      <c r="C2707" s="98" t="s">
        <v>4496</v>
      </c>
      <c r="D2707" s="98" t="s">
        <v>1840</v>
      </c>
      <c r="E2707" s="98" t="s">
        <v>811</v>
      </c>
      <c r="F2707" s="98" t="n">
        <v>0</v>
      </c>
      <c r="G2707" s="98" t="s">
        <v>4347</v>
      </c>
      <c r="H2707" s="98" t="s">
        <v>1703</v>
      </c>
      <c r="I2707" s="98" t="s">
        <v>1704</v>
      </c>
      <c r="J2707" s="98" t="s">
        <v>1705</v>
      </c>
      <c r="K2707" s="98" t="s">
        <v>1706</v>
      </c>
    </row>
    <row r="2708" customFormat="false" ht="64" hidden="false" customHeight="true" outlineLevel="0" collapsed="false">
      <c r="C2708" s="98" t="s">
        <v>4497</v>
      </c>
      <c r="D2708" s="98" t="s">
        <v>1700</v>
      </c>
      <c r="E2708" s="98" t="s">
        <v>811</v>
      </c>
      <c r="F2708" s="98" t="n">
        <v>0</v>
      </c>
      <c r="G2708" s="98" t="s">
        <v>4347</v>
      </c>
      <c r="H2708" s="98" t="s">
        <v>1703</v>
      </c>
      <c r="I2708" s="98" t="s">
        <v>1704</v>
      </c>
      <c r="J2708" s="98" t="s">
        <v>1705</v>
      </c>
      <c r="K2708" s="98" t="s">
        <v>1706</v>
      </c>
    </row>
    <row r="2709" customFormat="false" ht="64" hidden="false" customHeight="true" outlineLevel="0" collapsed="false">
      <c r="C2709" s="98" t="s">
        <v>4498</v>
      </c>
      <c r="D2709" s="98" t="s">
        <v>1708</v>
      </c>
      <c r="E2709" s="98" t="s">
        <v>811</v>
      </c>
      <c r="F2709" s="98" t="n">
        <v>0</v>
      </c>
      <c r="G2709" s="98" t="s">
        <v>4347</v>
      </c>
      <c r="H2709" s="98" t="s">
        <v>1703</v>
      </c>
      <c r="I2709" s="98" t="s">
        <v>1704</v>
      </c>
      <c r="J2709" s="98" t="s">
        <v>1705</v>
      </c>
      <c r="K2709" s="98" t="s">
        <v>1706</v>
      </c>
    </row>
    <row r="2710" customFormat="false" ht="64" hidden="false" customHeight="true" outlineLevel="0" collapsed="false">
      <c r="C2710" s="98" t="s">
        <v>4499</v>
      </c>
      <c r="D2710" s="98" t="s">
        <v>1710</v>
      </c>
      <c r="E2710" s="98" t="s">
        <v>811</v>
      </c>
      <c r="F2710" s="98" t="n">
        <v>0</v>
      </c>
      <c r="G2710" s="98" t="s">
        <v>4347</v>
      </c>
      <c r="H2710" s="98" t="s">
        <v>1703</v>
      </c>
      <c r="I2710" s="98" t="s">
        <v>1704</v>
      </c>
      <c r="J2710" s="98" t="s">
        <v>1705</v>
      </c>
      <c r="K2710" s="98" t="s">
        <v>1706</v>
      </c>
    </row>
    <row r="2711" customFormat="false" ht="64" hidden="false" customHeight="true" outlineLevel="0" collapsed="false">
      <c r="C2711" s="98" t="s">
        <v>4500</v>
      </c>
      <c r="D2711" s="98" t="s">
        <v>1712</v>
      </c>
      <c r="E2711" s="98" t="s">
        <v>811</v>
      </c>
      <c r="F2711" s="98" t="n">
        <v>0</v>
      </c>
      <c r="G2711" s="98" t="s">
        <v>4347</v>
      </c>
      <c r="H2711" s="98" t="s">
        <v>1703</v>
      </c>
      <c r="I2711" s="98" t="s">
        <v>1704</v>
      </c>
      <c r="J2711" s="98" t="s">
        <v>1705</v>
      </c>
      <c r="K2711" s="98" t="s">
        <v>1706</v>
      </c>
    </row>
    <row r="2712" customFormat="false" ht="64" hidden="false" customHeight="true" outlineLevel="0" collapsed="false">
      <c r="C2712" s="98" t="s">
        <v>4501</v>
      </c>
      <c r="D2712" s="98" t="s">
        <v>1714</v>
      </c>
      <c r="E2712" s="98" t="s">
        <v>811</v>
      </c>
      <c r="F2712" s="98" t="n">
        <v>0</v>
      </c>
      <c r="G2712" s="98" t="s">
        <v>4347</v>
      </c>
      <c r="H2712" s="98" t="s">
        <v>1703</v>
      </c>
      <c r="I2712" s="98" t="s">
        <v>1704</v>
      </c>
      <c r="J2712" s="98" t="s">
        <v>1705</v>
      </c>
      <c r="K2712" s="98" t="s">
        <v>1706</v>
      </c>
    </row>
    <row r="2713" customFormat="false" ht="64" hidden="false" customHeight="true" outlineLevel="0" collapsed="false">
      <c r="C2713" s="98" t="s">
        <v>4502</v>
      </c>
      <c r="D2713" s="98" t="s">
        <v>1716</v>
      </c>
      <c r="E2713" s="98" t="s">
        <v>811</v>
      </c>
      <c r="F2713" s="98" t="n">
        <v>0</v>
      </c>
      <c r="G2713" s="98" t="s">
        <v>4347</v>
      </c>
      <c r="H2713" s="98" t="s">
        <v>1703</v>
      </c>
      <c r="I2713" s="98" t="s">
        <v>1704</v>
      </c>
      <c r="J2713" s="98" t="s">
        <v>1705</v>
      </c>
      <c r="K2713" s="98" t="s">
        <v>1706</v>
      </c>
    </row>
    <row r="2714" customFormat="false" ht="64" hidden="false" customHeight="true" outlineLevel="0" collapsed="false">
      <c r="C2714" s="98" t="s">
        <v>4503</v>
      </c>
      <c r="D2714" s="98" t="s">
        <v>1718</v>
      </c>
      <c r="E2714" s="98" t="s">
        <v>811</v>
      </c>
      <c r="F2714" s="98" t="n">
        <v>0</v>
      </c>
      <c r="G2714" s="98" t="s">
        <v>4347</v>
      </c>
      <c r="H2714" s="98" t="s">
        <v>1703</v>
      </c>
      <c r="I2714" s="98" t="s">
        <v>1704</v>
      </c>
      <c r="J2714" s="98" t="s">
        <v>1705</v>
      </c>
      <c r="K2714" s="98" t="s">
        <v>1706</v>
      </c>
    </row>
    <row r="2715" customFormat="false" ht="64" hidden="false" customHeight="true" outlineLevel="0" collapsed="false">
      <c r="C2715" s="98" t="s">
        <v>4504</v>
      </c>
      <c r="D2715" s="98" t="s">
        <v>1720</v>
      </c>
      <c r="E2715" s="98" t="s">
        <v>811</v>
      </c>
      <c r="F2715" s="98" t="n">
        <v>0</v>
      </c>
      <c r="G2715" s="98" t="s">
        <v>4347</v>
      </c>
      <c r="H2715" s="98" t="s">
        <v>1703</v>
      </c>
      <c r="I2715" s="98" t="s">
        <v>1704</v>
      </c>
      <c r="J2715" s="98" t="s">
        <v>1705</v>
      </c>
      <c r="K2715" s="98" t="s">
        <v>1706</v>
      </c>
    </row>
    <row r="2716" customFormat="false" ht="64" hidden="false" customHeight="true" outlineLevel="0" collapsed="false">
      <c r="C2716" s="98" t="s">
        <v>4505</v>
      </c>
      <c r="D2716" s="98" t="s">
        <v>1722</v>
      </c>
      <c r="E2716" s="98" t="s">
        <v>811</v>
      </c>
      <c r="F2716" s="98" t="n">
        <v>0</v>
      </c>
      <c r="G2716" s="98" t="s">
        <v>4347</v>
      </c>
      <c r="H2716" s="98" t="s">
        <v>1703</v>
      </c>
      <c r="I2716" s="98" t="s">
        <v>1704</v>
      </c>
      <c r="J2716" s="98" t="s">
        <v>1705</v>
      </c>
      <c r="K2716" s="98" t="s">
        <v>1706</v>
      </c>
    </row>
    <row r="2717" customFormat="false" ht="64" hidden="false" customHeight="true" outlineLevel="0" collapsed="false">
      <c r="C2717" s="98" t="s">
        <v>4506</v>
      </c>
      <c r="D2717" s="98" t="s">
        <v>1724</v>
      </c>
      <c r="E2717" s="98" t="s">
        <v>811</v>
      </c>
      <c r="F2717" s="98" t="n">
        <v>0</v>
      </c>
      <c r="G2717" s="98" t="s">
        <v>4347</v>
      </c>
      <c r="H2717" s="98" t="s">
        <v>1703</v>
      </c>
      <c r="I2717" s="98" t="s">
        <v>1704</v>
      </c>
      <c r="J2717" s="98" t="s">
        <v>1705</v>
      </c>
      <c r="K2717" s="98" t="s">
        <v>1706</v>
      </c>
    </row>
    <row r="2718" customFormat="false" ht="64" hidden="false" customHeight="true" outlineLevel="0" collapsed="false">
      <c r="C2718" s="98" t="s">
        <v>4507</v>
      </c>
      <c r="D2718" s="98" t="s">
        <v>1726</v>
      </c>
      <c r="E2718" s="98" t="s">
        <v>811</v>
      </c>
      <c r="F2718" s="98" t="n">
        <v>0</v>
      </c>
      <c r="G2718" s="98" t="s">
        <v>4347</v>
      </c>
      <c r="H2718" s="98" t="s">
        <v>1703</v>
      </c>
      <c r="I2718" s="98" t="s">
        <v>1704</v>
      </c>
      <c r="J2718" s="98" t="s">
        <v>1705</v>
      </c>
      <c r="K2718" s="98" t="s">
        <v>1706</v>
      </c>
    </row>
    <row r="2719" customFormat="false" ht="64" hidden="false" customHeight="true" outlineLevel="0" collapsed="false">
      <c r="C2719" s="98" t="s">
        <v>4508</v>
      </c>
      <c r="D2719" s="98" t="s">
        <v>1728</v>
      </c>
      <c r="E2719" s="98" t="s">
        <v>811</v>
      </c>
      <c r="F2719" s="98" t="n">
        <v>0</v>
      </c>
      <c r="G2719" s="98" t="s">
        <v>4347</v>
      </c>
      <c r="H2719" s="98" t="s">
        <v>1703</v>
      </c>
      <c r="I2719" s="98" t="s">
        <v>1704</v>
      </c>
      <c r="J2719" s="98" t="s">
        <v>1705</v>
      </c>
      <c r="K2719" s="98" t="s">
        <v>1706</v>
      </c>
    </row>
    <row r="2720" customFormat="false" ht="64" hidden="false" customHeight="true" outlineLevel="0" collapsed="false">
      <c r="C2720" s="98" t="s">
        <v>4509</v>
      </c>
      <c r="D2720" s="98" t="s">
        <v>1730</v>
      </c>
      <c r="E2720" s="98" t="s">
        <v>811</v>
      </c>
      <c r="F2720" s="98" t="n">
        <v>0</v>
      </c>
      <c r="G2720" s="98" t="s">
        <v>4347</v>
      </c>
      <c r="H2720" s="98" t="s">
        <v>1703</v>
      </c>
      <c r="I2720" s="98" t="s">
        <v>1704</v>
      </c>
      <c r="J2720" s="98" t="s">
        <v>1705</v>
      </c>
      <c r="K2720" s="98" t="s">
        <v>1706</v>
      </c>
    </row>
    <row r="2721" customFormat="false" ht="64" hidden="false" customHeight="true" outlineLevel="0" collapsed="false">
      <c r="C2721" s="98" t="s">
        <v>4510</v>
      </c>
      <c r="D2721" s="98" t="s">
        <v>1732</v>
      </c>
      <c r="E2721" s="98" t="s">
        <v>811</v>
      </c>
      <c r="F2721" s="98" t="n">
        <v>0</v>
      </c>
      <c r="G2721" s="98" t="s">
        <v>4347</v>
      </c>
      <c r="H2721" s="98" t="s">
        <v>1703</v>
      </c>
      <c r="I2721" s="98" t="s">
        <v>1704</v>
      </c>
      <c r="J2721" s="98" t="s">
        <v>1705</v>
      </c>
      <c r="K2721" s="98" t="s">
        <v>1706</v>
      </c>
    </row>
    <row r="2722" customFormat="false" ht="64" hidden="false" customHeight="true" outlineLevel="0" collapsed="false">
      <c r="C2722" s="98" t="s">
        <v>4511</v>
      </c>
      <c r="D2722" s="98" t="s">
        <v>1734</v>
      </c>
      <c r="E2722" s="98" t="s">
        <v>811</v>
      </c>
      <c r="F2722" s="98" t="n">
        <v>0</v>
      </c>
      <c r="G2722" s="98" t="s">
        <v>4347</v>
      </c>
      <c r="H2722" s="98" t="s">
        <v>1703</v>
      </c>
      <c r="I2722" s="98" t="s">
        <v>1704</v>
      </c>
      <c r="J2722" s="98" t="s">
        <v>1705</v>
      </c>
      <c r="K2722" s="98" t="s">
        <v>1706</v>
      </c>
    </row>
    <row r="2723" customFormat="false" ht="64" hidden="false" customHeight="true" outlineLevel="0" collapsed="false">
      <c r="C2723" s="98" t="s">
        <v>4512</v>
      </c>
      <c r="D2723" s="98" t="s">
        <v>1736</v>
      </c>
      <c r="E2723" s="98" t="s">
        <v>811</v>
      </c>
      <c r="F2723" s="98" t="n">
        <v>0</v>
      </c>
      <c r="G2723" s="98" t="s">
        <v>4347</v>
      </c>
      <c r="H2723" s="98" t="s">
        <v>1703</v>
      </c>
      <c r="I2723" s="98" t="s">
        <v>1704</v>
      </c>
      <c r="J2723" s="98" t="s">
        <v>1705</v>
      </c>
      <c r="K2723" s="98" t="s">
        <v>1706</v>
      </c>
    </row>
    <row r="2724" customFormat="false" ht="64" hidden="false" customHeight="true" outlineLevel="0" collapsed="false">
      <c r="C2724" s="98" t="s">
        <v>4513</v>
      </c>
      <c r="D2724" s="98" t="s">
        <v>1738</v>
      </c>
      <c r="E2724" s="98" t="s">
        <v>811</v>
      </c>
      <c r="F2724" s="98" t="n">
        <v>0</v>
      </c>
      <c r="G2724" s="98" t="s">
        <v>4347</v>
      </c>
      <c r="H2724" s="98" t="s">
        <v>1703</v>
      </c>
      <c r="I2724" s="98" t="s">
        <v>1704</v>
      </c>
      <c r="J2724" s="98" t="s">
        <v>1705</v>
      </c>
      <c r="K2724" s="98" t="s">
        <v>1706</v>
      </c>
    </row>
    <row r="2725" customFormat="false" ht="64" hidden="false" customHeight="true" outlineLevel="0" collapsed="false">
      <c r="C2725" s="98" t="s">
        <v>4514</v>
      </c>
      <c r="D2725" s="98" t="s">
        <v>1740</v>
      </c>
      <c r="E2725" s="98" t="s">
        <v>811</v>
      </c>
      <c r="F2725" s="98" t="n">
        <v>0</v>
      </c>
      <c r="G2725" s="98" t="s">
        <v>4347</v>
      </c>
      <c r="H2725" s="98" t="s">
        <v>1703</v>
      </c>
      <c r="I2725" s="98" t="s">
        <v>1704</v>
      </c>
      <c r="J2725" s="98" t="s">
        <v>1705</v>
      </c>
      <c r="K2725" s="98" t="s">
        <v>1706</v>
      </c>
    </row>
    <row r="2726" customFormat="false" ht="64" hidden="false" customHeight="true" outlineLevel="0" collapsed="false">
      <c r="C2726" s="98" t="s">
        <v>4515</v>
      </c>
      <c r="D2726" s="98" t="s">
        <v>1742</v>
      </c>
      <c r="E2726" s="98" t="s">
        <v>811</v>
      </c>
      <c r="F2726" s="98" t="n">
        <v>0</v>
      </c>
      <c r="G2726" s="98" t="s">
        <v>4347</v>
      </c>
      <c r="H2726" s="98" t="s">
        <v>1703</v>
      </c>
      <c r="I2726" s="98" t="s">
        <v>1704</v>
      </c>
      <c r="J2726" s="98" t="s">
        <v>1705</v>
      </c>
      <c r="K2726" s="98" t="s">
        <v>1706</v>
      </c>
    </row>
    <row r="2727" customFormat="false" ht="64" hidden="false" customHeight="true" outlineLevel="0" collapsed="false">
      <c r="C2727" s="98" t="s">
        <v>4516</v>
      </c>
      <c r="D2727" s="98" t="s">
        <v>1744</v>
      </c>
      <c r="E2727" s="98" t="s">
        <v>811</v>
      </c>
      <c r="F2727" s="98" t="n">
        <v>0</v>
      </c>
      <c r="G2727" s="98" t="s">
        <v>4347</v>
      </c>
      <c r="H2727" s="98" t="s">
        <v>1703</v>
      </c>
      <c r="I2727" s="98" t="s">
        <v>1704</v>
      </c>
      <c r="J2727" s="98" t="s">
        <v>1705</v>
      </c>
      <c r="K2727" s="98" t="s">
        <v>1706</v>
      </c>
    </row>
    <row r="2728" customFormat="false" ht="64" hidden="false" customHeight="true" outlineLevel="0" collapsed="false">
      <c r="C2728" s="98" t="s">
        <v>4517</v>
      </c>
      <c r="D2728" s="98" t="s">
        <v>1746</v>
      </c>
      <c r="E2728" s="98" t="s">
        <v>811</v>
      </c>
      <c r="F2728" s="98" t="n">
        <v>0</v>
      </c>
      <c r="G2728" s="98" t="s">
        <v>4347</v>
      </c>
      <c r="H2728" s="98" t="s">
        <v>1703</v>
      </c>
      <c r="I2728" s="98" t="s">
        <v>1704</v>
      </c>
      <c r="J2728" s="98" t="s">
        <v>1705</v>
      </c>
      <c r="K2728" s="98" t="s">
        <v>1706</v>
      </c>
    </row>
    <row r="2729" customFormat="false" ht="64" hidden="false" customHeight="true" outlineLevel="0" collapsed="false">
      <c r="C2729" s="98" t="s">
        <v>4518</v>
      </c>
      <c r="D2729" s="98" t="s">
        <v>1748</v>
      </c>
      <c r="E2729" s="98" t="s">
        <v>811</v>
      </c>
      <c r="F2729" s="98" t="n">
        <v>0</v>
      </c>
      <c r="G2729" s="98" t="s">
        <v>4347</v>
      </c>
      <c r="H2729" s="98" t="s">
        <v>1703</v>
      </c>
      <c r="I2729" s="98" t="s">
        <v>1704</v>
      </c>
      <c r="J2729" s="98" t="s">
        <v>1705</v>
      </c>
      <c r="K2729" s="98" t="s">
        <v>1706</v>
      </c>
    </row>
    <row r="2730" customFormat="false" ht="64" hidden="false" customHeight="true" outlineLevel="0" collapsed="false">
      <c r="C2730" s="98" t="s">
        <v>4519</v>
      </c>
      <c r="D2730" s="98" t="s">
        <v>1750</v>
      </c>
      <c r="E2730" s="98" t="s">
        <v>811</v>
      </c>
      <c r="F2730" s="98" t="n">
        <v>0</v>
      </c>
      <c r="G2730" s="98" t="s">
        <v>4347</v>
      </c>
      <c r="H2730" s="98" t="s">
        <v>1703</v>
      </c>
      <c r="I2730" s="98" t="s">
        <v>1704</v>
      </c>
      <c r="J2730" s="98" t="s">
        <v>1705</v>
      </c>
      <c r="K2730" s="98" t="s">
        <v>1706</v>
      </c>
    </row>
    <row r="2731" customFormat="false" ht="64" hidden="false" customHeight="true" outlineLevel="0" collapsed="false">
      <c r="C2731" s="98" t="s">
        <v>4520</v>
      </c>
      <c r="D2731" s="98" t="s">
        <v>1752</v>
      </c>
      <c r="E2731" s="98" t="s">
        <v>811</v>
      </c>
      <c r="F2731" s="98" t="n">
        <v>0</v>
      </c>
      <c r="G2731" s="98" t="s">
        <v>4347</v>
      </c>
      <c r="H2731" s="98" t="s">
        <v>1703</v>
      </c>
      <c r="I2731" s="98" t="s">
        <v>1704</v>
      </c>
      <c r="J2731" s="98" t="s">
        <v>1705</v>
      </c>
      <c r="K2731" s="98" t="s">
        <v>1706</v>
      </c>
    </row>
    <row r="2732" customFormat="false" ht="64" hidden="false" customHeight="true" outlineLevel="0" collapsed="false">
      <c r="C2732" s="98" t="s">
        <v>4521</v>
      </c>
      <c r="D2732" s="98" t="s">
        <v>1754</v>
      </c>
      <c r="E2732" s="98" t="s">
        <v>811</v>
      </c>
      <c r="F2732" s="98" t="n">
        <v>0</v>
      </c>
      <c r="G2732" s="98" t="s">
        <v>4347</v>
      </c>
      <c r="H2732" s="98" t="s">
        <v>1703</v>
      </c>
      <c r="I2732" s="98" t="s">
        <v>1704</v>
      </c>
      <c r="J2732" s="98" t="s">
        <v>1705</v>
      </c>
      <c r="K2732" s="98" t="s">
        <v>1706</v>
      </c>
    </row>
    <row r="2733" customFormat="false" ht="64" hidden="false" customHeight="true" outlineLevel="0" collapsed="false">
      <c r="C2733" s="98" t="s">
        <v>4522</v>
      </c>
      <c r="D2733" s="98" t="s">
        <v>1756</v>
      </c>
      <c r="E2733" s="98" t="s">
        <v>811</v>
      </c>
      <c r="F2733" s="98" t="n">
        <v>0</v>
      </c>
      <c r="G2733" s="98" t="s">
        <v>4347</v>
      </c>
      <c r="H2733" s="98" t="s">
        <v>1703</v>
      </c>
      <c r="I2733" s="98" t="s">
        <v>1704</v>
      </c>
      <c r="J2733" s="98" t="s">
        <v>1705</v>
      </c>
      <c r="K2733" s="98" t="s">
        <v>1706</v>
      </c>
    </row>
    <row r="2734" customFormat="false" ht="64" hidden="false" customHeight="true" outlineLevel="0" collapsed="false">
      <c r="C2734" s="98" t="s">
        <v>4523</v>
      </c>
      <c r="D2734" s="98" t="s">
        <v>1758</v>
      </c>
      <c r="E2734" s="98" t="s">
        <v>811</v>
      </c>
      <c r="F2734" s="98" t="n">
        <v>0</v>
      </c>
      <c r="G2734" s="98" t="s">
        <v>4347</v>
      </c>
      <c r="H2734" s="98" t="s">
        <v>1703</v>
      </c>
      <c r="I2734" s="98" t="s">
        <v>1704</v>
      </c>
      <c r="J2734" s="98" t="s">
        <v>1705</v>
      </c>
      <c r="K2734" s="98" t="s">
        <v>1706</v>
      </c>
    </row>
    <row r="2735" customFormat="false" ht="64" hidden="false" customHeight="true" outlineLevel="0" collapsed="false">
      <c r="C2735" s="98" t="s">
        <v>4524</v>
      </c>
      <c r="D2735" s="98" t="s">
        <v>1760</v>
      </c>
      <c r="E2735" s="98" t="s">
        <v>811</v>
      </c>
      <c r="F2735" s="98" t="n">
        <v>0</v>
      </c>
      <c r="G2735" s="98" t="s">
        <v>4347</v>
      </c>
      <c r="H2735" s="98" t="s">
        <v>1703</v>
      </c>
      <c r="I2735" s="98" t="s">
        <v>1704</v>
      </c>
      <c r="J2735" s="98" t="s">
        <v>1705</v>
      </c>
      <c r="K2735" s="98" t="s">
        <v>1706</v>
      </c>
    </row>
    <row r="2736" customFormat="false" ht="64" hidden="false" customHeight="true" outlineLevel="0" collapsed="false">
      <c r="C2736" s="98" t="s">
        <v>4525</v>
      </c>
      <c r="D2736" s="98" t="s">
        <v>1762</v>
      </c>
      <c r="E2736" s="98" t="s">
        <v>811</v>
      </c>
      <c r="F2736" s="98" t="n">
        <v>0</v>
      </c>
      <c r="G2736" s="98" t="s">
        <v>4347</v>
      </c>
      <c r="H2736" s="98" t="s">
        <v>1703</v>
      </c>
      <c r="I2736" s="98" t="s">
        <v>1704</v>
      </c>
      <c r="J2736" s="98" t="s">
        <v>1705</v>
      </c>
      <c r="K2736" s="98" t="s">
        <v>1706</v>
      </c>
    </row>
    <row r="2737" customFormat="false" ht="64" hidden="false" customHeight="true" outlineLevel="0" collapsed="false">
      <c r="C2737" s="98" t="s">
        <v>4526</v>
      </c>
      <c r="D2737" s="98" t="s">
        <v>1764</v>
      </c>
      <c r="E2737" s="98" t="s">
        <v>811</v>
      </c>
      <c r="F2737" s="98" t="n">
        <v>0</v>
      </c>
      <c r="G2737" s="98" t="s">
        <v>4347</v>
      </c>
      <c r="H2737" s="98" t="s">
        <v>1703</v>
      </c>
      <c r="I2737" s="98" t="s">
        <v>1704</v>
      </c>
      <c r="J2737" s="98" t="s">
        <v>1705</v>
      </c>
      <c r="K2737" s="98" t="s">
        <v>1706</v>
      </c>
    </row>
    <row r="2738" customFormat="false" ht="64" hidden="false" customHeight="true" outlineLevel="0" collapsed="false">
      <c r="C2738" s="98" t="s">
        <v>4527</v>
      </c>
      <c r="D2738" s="98" t="s">
        <v>1829</v>
      </c>
      <c r="E2738" s="98" t="s">
        <v>811</v>
      </c>
      <c r="F2738" s="98" t="n">
        <v>0</v>
      </c>
      <c r="G2738" s="98" t="s">
        <v>4310</v>
      </c>
      <c r="H2738" s="98" t="s">
        <v>1703</v>
      </c>
      <c r="I2738" s="98" t="s">
        <v>1704</v>
      </c>
      <c r="J2738" s="98" t="s">
        <v>1705</v>
      </c>
      <c r="K2738" s="98" t="s">
        <v>1706</v>
      </c>
    </row>
    <row r="2739" customFormat="false" ht="64" hidden="false" customHeight="true" outlineLevel="0" collapsed="false">
      <c r="C2739" s="98" t="s">
        <v>4528</v>
      </c>
      <c r="D2739" s="98" t="s">
        <v>1833</v>
      </c>
      <c r="E2739" s="98" t="s">
        <v>811</v>
      </c>
      <c r="F2739" s="98" t="n">
        <v>0</v>
      </c>
      <c r="G2739" s="98" t="s">
        <v>4310</v>
      </c>
      <c r="H2739" s="98" t="s">
        <v>1703</v>
      </c>
      <c r="I2739" s="98" t="s">
        <v>1704</v>
      </c>
      <c r="J2739" s="98" t="s">
        <v>1705</v>
      </c>
      <c r="K2739" s="98" t="s">
        <v>1706</v>
      </c>
    </row>
    <row r="2740" customFormat="false" ht="64" hidden="false" customHeight="true" outlineLevel="0" collapsed="false">
      <c r="C2740" s="98" t="s">
        <v>4529</v>
      </c>
      <c r="D2740" s="98" t="s">
        <v>1835</v>
      </c>
      <c r="E2740" s="98" t="s">
        <v>811</v>
      </c>
      <c r="F2740" s="98" t="n">
        <v>0</v>
      </c>
      <c r="G2740" s="98" t="s">
        <v>4310</v>
      </c>
      <c r="H2740" s="98" t="s">
        <v>1703</v>
      </c>
      <c r="I2740" s="98" t="s">
        <v>1704</v>
      </c>
      <c r="J2740" s="98" t="s">
        <v>1705</v>
      </c>
      <c r="K2740" s="98" t="s">
        <v>1706</v>
      </c>
    </row>
    <row r="2741" customFormat="false" ht="64" hidden="false" customHeight="true" outlineLevel="0" collapsed="false">
      <c r="C2741" s="98" t="s">
        <v>4530</v>
      </c>
      <c r="D2741" s="98" t="s">
        <v>1044</v>
      </c>
      <c r="E2741" s="98" t="s">
        <v>811</v>
      </c>
      <c r="F2741" s="98" t="n">
        <v>0</v>
      </c>
      <c r="G2741" s="98" t="s">
        <v>4310</v>
      </c>
      <c r="H2741" s="98" t="s">
        <v>1703</v>
      </c>
      <c r="I2741" s="98" t="s">
        <v>1704</v>
      </c>
      <c r="J2741" s="98" t="s">
        <v>1705</v>
      </c>
      <c r="K2741" s="98" t="s">
        <v>1706</v>
      </c>
    </row>
    <row r="2742" customFormat="false" ht="64" hidden="false" customHeight="true" outlineLevel="0" collapsed="false">
      <c r="C2742" s="98" t="s">
        <v>4531</v>
      </c>
      <c r="D2742" s="98" t="s">
        <v>1838</v>
      </c>
      <c r="E2742" s="98" t="s">
        <v>811</v>
      </c>
      <c r="F2742" s="98" t="n">
        <v>0</v>
      </c>
      <c r="G2742" s="98" t="s">
        <v>4310</v>
      </c>
      <c r="H2742" s="98" t="s">
        <v>1703</v>
      </c>
      <c r="I2742" s="98" t="s">
        <v>1704</v>
      </c>
      <c r="J2742" s="98" t="s">
        <v>1705</v>
      </c>
      <c r="K2742" s="98" t="s">
        <v>1706</v>
      </c>
    </row>
    <row r="2743" customFormat="false" ht="64" hidden="false" customHeight="true" outlineLevel="0" collapsed="false">
      <c r="C2743" s="98" t="s">
        <v>4532</v>
      </c>
      <c r="D2743" s="98" t="s">
        <v>1840</v>
      </c>
      <c r="E2743" s="98" t="s">
        <v>811</v>
      </c>
      <c r="F2743" s="98" t="n">
        <v>0</v>
      </c>
      <c r="G2743" s="98" t="s">
        <v>4310</v>
      </c>
      <c r="H2743" s="98" t="s">
        <v>1703</v>
      </c>
      <c r="I2743" s="98" t="s">
        <v>1704</v>
      </c>
      <c r="J2743" s="98" t="s">
        <v>1705</v>
      </c>
      <c r="K2743" s="98" t="s">
        <v>1706</v>
      </c>
    </row>
    <row r="2744" customFormat="false" ht="64" hidden="false" customHeight="true" outlineLevel="0" collapsed="false">
      <c r="C2744" s="98" t="s">
        <v>4533</v>
      </c>
      <c r="D2744" s="98" t="s">
        <v>1700</v>
      </c>
      <c r="E2744" s="98" t="s">
        <v>811</v>
      </c>
      <c r="F2744" s="98" t="n">
        <v>0</v>
      </c>
      <c r="G2744" s="98" t="s">
        <v>4310</v>
      </c>
      <c r="H2744" s="98" t="s">
        <v>1703</v>
      </c>
      <c r="I2744" s="98" t="s">
        <v>1704</v>
      </c>
      <c r="J2744" s="98" t="s">
        <v>1705</v>
      </c>
      <c r="K2744" s="98" t="s">
        <v>1706</v>
      </c>
    </row>
    <row r="2745" customFormat="false" ht="64" hidden="false" customHeight="true" outlineLevel="0" collapsed="false">
      <c r="C2745" s="98" t="s">
        <v>4534</v>
      </c>
      <c r="D2745" s="98" t="s">
        <v>1708</v>
      </c>
      <c r="E2745" s="98" t="s">
        <v>811</v>
      </c>
      <c r="F2745" s="98" t="n">
        <v>0</v>
      </c>
      <c r="G2745" s="98" t="s">
        <v>4310</v>
      </c>
      <c r="H2745" s="98" t="s">
        <v>1703</v>
      </c>
      <c r="I2745" s="98" t="s">
        <v>1704</v>
      </c>
      <c r="J2745" s="98" t="s">
        <v>1705</v>
      </c>
      <c r="K2745" s="98" t="s">
        <v>1706</v>
      </c>
    </row>
    <row r="2746" customFormat="false" ht="64" hidden="false" customHeight="true" outlineLevel="0" collapsed="false">
      <c r="C2746" s="98" t="s">
        <v>4535</v>
      </c>
      <c r="D2746" s="98" t="s">
        <v>1710</v>
      </c>
      <c r="E2746" s="98" t="s">
        <v>811</v>
      </c>
      <c r="F2746" s="98" t="n">
        <v>0</v>
      </c>
      <c r="G2746" s="98" t="s">
        <v>4310</v>
      </c>
      <c r="H2746" s="98" t="s">
        <v>1703</v>
      </c>
      <c r="I2746" s="98" t="s">
        <v>1704</v>
      </c>
      <c r="J2746" s="98" t="s">
        <v>1705</v>
      </c>
      <c r="K2746" s="98" t="s">
        <v>1706</v>
      </c>
    </row>
    <row r="2747" customFormat="false" ht="64" hidden="false" customHeight="true" outlineLevel="0" collapsed="false">
      <c r="C2747" s="98" t="s">
        <v>4536</v>
      </c>
      <c r="D2747" s="98" t="s">
        <v>1712</v>
      </c>
      <c r="E2747" s="98" t="s">
        <v>811</v>
      </c>
      <c r="F2747" s="98" t="n">
        <v>0</v>
      </c>
      <c r="G2747" s="98" t="s">
        <v>4310</v>
      </c>
      <c r="H2747" s="98" t="s">
        <v>1703</v>
      </c>
      <c r="I2747" s="98" t="s">
        <v>1704</v>
      </c>
      <c r="J2747" s="98" t="s">
        <v>1705</v>
      </c>
      <c r="K2747" s="98" t="s">
        <v>1706</v>
      </c>
    </row>
    <row r="2748" customFormat="false" ht="64" hidden="false" customHeight="true" outlineLevel="0" collapsed="false">
      <c r="C2748" s="98" t="s">
        <v>4537</v>
      </c>
      <c r="D2748" s="98" t="s">
        <v>1714</v>
      </c>
      <c r="E2748" s="98" t="s">
        <v>811</v>
      </c>
      <c r="F2748" s="98" t="n">
        <v>0</v>
      </c>
      <c r="G2748" s="98" t="s">
        <v>4310</v>
      </c>
      <c r="H2748" s="98" t="s">
        <v>1703</v>
      </c>
      <c r="I2748" s="98" t="s">
        <v>1704</v>
      </c>
      <c r="J2748" s="98" t="s">
        <v>1705</v>
      </c>
      <c r="K2748" s="98" t="s">
        <v>1706</v>
      </c>
    </row>
    <row r="2749" customFormat="false" ht="64" hidden="false" customHeight="true" outlineLevel="0" collapsed="false">
      <c r="C2749" s="98" t="s">
        <v>4538</v>
      </c>
      <c r="D2749" s="98" t="s">
        <v>1716</v>
      </c>
      <c r="E2749" s="98" t="s">
        <v>811</v>
      </c>
      <c r="F2749" s="98" t="n">
        <v>0</v>
      </c>
      <c r="G2749" s="98" t="s">
        <v>4310</v>
      </c>
      <c r="H2749" s="98" t="s">
        <v>1703</v>
      </c>
      <c r="I2749" s="98" t="s">
        <v>1704</v>
      </c>
      <c r="J2749" s="98" t="s">
        <v>1705</v>
      </c>
      <c r="K2749" s="98" t="s">
        <v>1706</v>
      </c>
    </row>
    <row r="2750" customFormat="false" ht="64" hidden="false" customHeight="true" outlineLevel="0" collapsed="false">
      <c r="C2750" s="98" t="s">
        <v>4539</v>
      </c>
      <c r="D2750" s="98" t="s">
        <v>1718</v>
      </c>
      <c r="E2750" s="98" t="s">
        <v>811</v>
      </c>
      <c r="F2750" s="98" t="n">
        <v>0</v>
      </c>
      <c r="G2750" s="98" t="s">
        <v>4310</v>
      </c>
      <c r="H2750" s="98" t="s">
        <v>1703</v>
      </c>
      <c r="I2750" s="98" t="s">
        <v>1704</v>
      </c>
      <c r="J2750" s="98" t="s">
        <v>1705</v>
      </c>
      <c r="K2750" s="98" t="s">
        <v>1706</v>
      </c>
    </row>
    <row r="2751" customFormat="false" ht="64" hidden="false" customHeight="true" outlineLevel="0" collapsed="false">
      <c r="C2751" s="98" t="s">
        <v>4540</v>
      </c>
      <c r="D2751" s="98" t="s">
        <v>1720</v>
      </c>
      <c r="E2751" s="98" t="s">
        <v>811</v>
      </c>
      <c r="F2751" s="98" t="n">
        <v>0</v>
      </c>
      <c r="G2751" s="98" t="s">
        <v>4310</v>
      </c>
      <c r="H2751" s="98" t="s">
        <v>1703</v>
      </c>
      <c r="I2751" s="98" t="s">
        <v>1704</v>
      </c>
      <c r="J2751" s="98" t="s">
        <v>1705</v>
      </c>
      <c r="K2751" s="98" t="s">
        <v>1706</v>
      </c>
    </row>
    <row r="2752" customFormat="false" ht="64" hidden="false" customHeight="true" outlineLevel="0" collapsed="false">
      <c r="C2752" s="98" t="s">
        <v>4541</v>
      </c>
      <c r="D2752" s="98" t="s">
        <v>1722</v>
      </c>
      <c r="E2752" s="98" t="s">
        <v>811</v>
      </c>
      <c r="F2752" s="98" t="n">
        <v>0</v>
      </c>
      <c r="G2752" s="98" t="s">
        <v>4310</v>
      </c>
      <c r="H2752" s="98" t="s">
        <v>1703</v>
      </c>
      <c r="I2752" s="98" t="s">
        <v>1704</v>
      </c>
      <c r="J2752" s="98" t="s">
        <v>1705</v>
      </c>
      <c r="K2752" s="98" t="s">
        <v>1706</v>
      </c>
    </row>
    <row r="2753" customFormat="false" ht="64" hidden="false" customHeight="true" outlineLevel="0" collapsed="false">
      <c r="C2753" s="98" t="s">
        <v>4542</v>
      </c>
      <c r="D2753" s="98" t="s">
        <v>1724</v>
      </c>
      <c r="E2753" s="98" t="s">
        <v>811</v>
      </c>
      <c r="F2753" s="98" t="n">
        <v>0</v>
      </c>
      <c r="G2753" s="98" t="s">
        <v>4310</v>
      </c>
      <c r="H2753" s="98" t="s">
        <v>1703</v>
      </c>
      <c r="I2753" s="98" t="s">
        <v>1704</v>
      </c>
      <c r="J2753" s="98" t="s">
        <v>1705</v>
      </c>
      <c r="K2753" s="98" t="s">
        <v>1706</v>
      </c>
    </row>
    <row r="2754" customFormat="false" ht="64" hidden="false" customHeight="true" outlineLevel="0" collapsed="false">
      <c r="C2754" s="98" t="s">
        <v>4543</v>
      </c>
      <c r="D2754" s="98" t="s">
        <v>1726</v>
      </c>
      <c r="E2754" s="98" t="s">
        <v>811</v>
      </c>
      <c r="F2754" s="98" t="n">
        <v>0</v>
      </c>
      <c r="G2754" s="98" t="s">
        <v>4310</v>
      </c>
      <c r="H2754" s="98" t="s">
        <v>1703</v>
      </c>
      <c r="I2754" s="98" t="s">
        <v>1704</v>
      </c>
      <c r="J2754" s="98" t="s">
        <v>1705</v>
      </c>
      <c r="K2754" s="98" t="s">
        <v>1706</v>
      </c>
    </row>
    <row r="2755" customFormat="false" ht="64" hidden="false" customHeight="true" outlineLevel="0" collapsed="false">
      <c r="C2755" s="98" t="s">
        <v>4544</v>
      </c>
      <c r="D2755" s="98" t="s">
        <v>1728</v>
      </c>
      <c r="E2755" s="98" t="s">
        <v>811</v>
      </c>
      <c r="F2755" s="98" t="n">
        <v>0</v>
      </c>
      <c r="G2755" s="98" t="s">
        <v>4310</v>
      </c>
      <c r="H2755" s="98" t="s">
        <v>1703</v>
      </c>
      <c r="I2755" s="98" t="s">
        <v>1704</v>
      </c>
      <c r="J2755" s="98" t="s">
        <v>1705</v>
      </c>
      <c r="K2755" s="98" t="s">
        <v>1706</v>
      </c>
    </row>
    <row r="2756" customFormat="false" ht="64" hidden="false" customHeight="true" outlineLevel="0" collapsed="false">
      <c r="C2756" s="98" t="s">
        <v>4545</v>
      </c>
      <c r="D2756" s="98" t="s">
        <v>1730</v>
      </c>
      <c r="E2756" s="98" t="s">
        <v>811</v>
      </c>
      <c r="F2756" s="98" t="n">
        <v>0</v>
      </c>
      <c r="G2756" s="98" t="s">
        <v>4310</v>
      </c>
      <c r="H2756" s="98" t="s">
        <v>1703</v>
      </c>
      <c r="I2756" s="98" t="s">
        <v>1704</v>
      </c>
      <c r="J2756" s="98" t="s">
        <v>1705</v>
      </c>
      <c r="K2756" s="98" t="s">
        <v>1706</v>
      </c>
    </row>
    <row r="2757" customFormat="false" ht="64" hidden="false" customHeight="true" outlineLevel="0" collapsed="false">
      <c r="C2757" s="98" t="s">
        <v>4546</v>
      </c>
      <c r="D2757" s="98" t="s">
        <v>1732</v>
      </c>
      <c r="E2757" s="98" t="s">
        <v>811</v>
      </c>
      <c r="F2757" s="98" t="n">
        <v>0</v>
      </c>
      <c r="G2757" s="98" t="s">
        <v>4310</v>
      </c>
      <c r="H2757" s="98" t="s">
        <v>1703</v>
      </c>
      <c r="I2757" s="98" t="s">
        <v>1704</v>
      </c>
      <c r="J2757" s="98" t="s">
        <v>1705</v>
      </c>
      <c r="K2757" s="98" t="s">
        <v>1706</v>
      </c>
    </row>
    <row r="2758" customFormat="false" ht="64" hidden="false" customHeight="true" outlineLevel="0" collapsed="false">
      <c r="C2758" s="98" t="s">
        <v>4547</v>
      </c>
      <c r="D2758" s="98" t="s">
        <v>1734</v>
      </c>
      <c r="E2758" s="98" t="s">
        <v>811</v>
      </c>
      <c r="F2758" s="98" t="n">
        <v>0</v>
      </c>
      <c r="G2758" s="98" t="s">
        <v>4310</v>
      </c>
      <c r="H2758" s="98" t="s">
        <v>1703</v>
      </c>
      <c r="I2758" s="98" t="s">
        <v>1704</v>
      </c>
      <c r="J2758" s="98" t="s">
        <v>1705</v>
      </c>
      <c r="K2758" s="98" t="s">
        <v>1706</v>
      </c>
    </row>
    <row r="2759" customFormat="false" ht="64" hidden="false" customHeight="true" outlineLevel="0" collapsed="false">
      <c r="C2759" s="98" t="s">
        <v>4548</v>
      </c>
      <c r="D2759" s="98" t="s">
        <v>1736</v>
      </c>
      <c r="E2759" s="98" t="s">
        <v>811</v>
      </c>
      <c r="F2759" s="98" t="n">
        <v>0</v>
      </c>
      <c r="G2759" s="98" t="s">
        <v>4310</v>
      </c>
      <c r="H2759" s="98" t="s">
        <v>1703</v>
      </c>
      <c r="I2759" s="98" t="s">
        <v>1704</v>
      </c>
      <c r="J2759" s="98" t="s">
        <v>1705</v>
      </c>
      <c r="K2759" s="98" t="s">
        <v>1706</v>
      </c>
    </row>
    <row r="2760" customFormat="false" ht="64" hidden="false" customHeight="true" outlineLevel="0" collapsed="false">
      <c r="C2760" s="98" t="s">
        <v>4549</v>
      </c>
      <c r="D2760" s="98" t="s">
        <v>1738</v>
      </c>
      <c r="E2760" s="98" t="s">
        <v>811</v>
      </c>
      <c r="F2760" s="98" t="n">
        <v>0</v>
      </c>
      <c r="G2760" s="98" t="s">
        <v>4310</v>
      </c>
      <c r="H2760" s="98" t="s">
        <v>1703</v>
      </c>
      <c r="I2760" s="98" t="s">
        <v>1704</v>
      </c>
      <c r="J2760" s="98" t="s">
        <v>1705</v>
      </c>
      <c r="K2760" s="98" t="s">
        <v>1706</v>
      </c>
    </row>
    <row r="2761" customFormat="false" ht="64" hidden="false" customHeight="true" outlineLevel="0" collapsed="false">
      <c r="C2761" s="98" t="s">
        <v>4550</v>
      </c>
      <c r="D2761" s="98" t="s">
        <v>1740</v>
      </c>
      <c r="E2761" s="98" t="s">
        <v>811</v>
      </c>
      <c r="F2761" s="98" t="n">
        <v>0</v>
      </c>
      <c r="G2761" s="98" t="s">
        <v>4310</v>
      </c>
      <c r="H2761" s="98" t="s">
        <v>1703</v>
      </c>
      <c r="I2761" s="98" t="s">
        <v>1704</v>
      </c>
      <c r="J2761" s="98" t="s">
        <v>1705</v>
      </c>
      <c r="K2761" s="98" t="s">
        <v>1706</v>
      </c>
    </row>
    <row r="2762" customFormat="false" ht="64" hidden="false" customHeight="true" outlineLevel="0" collapsed="false">
      <c r="C2762" s="98" t="s">
        <v>4551</v>
      </c>
      <c r="D2762" s="98" t="s">
        <v>1742</v>
      </c>
      <c r="E2762" s="98" t="s">
        <v>811</v>
      </c>
      <c r="F2762" s="98" t="n">
        <v>0</v>
      </c>
      <c r="G2762" s="98" t="s">
        <v>4310</v>
      </c>
      <c r="H2762" s="98" t="s">
        <v>1703</v>
      </c>
      <c r="I2762" s="98" t="s">
        <v>1704</v>
      </c>
      <c r="J2762" s="98" t="s">
        <v>1705</v>
      </c>
      <c r="K2762" s="98" t="s">
        <v>1706</v>
      </c>
    </row>
    <row r="2763" customFormat="false" ht="64" hidden="false" customHeight="true" outlineLevel="0" collapsed="false">
      <c r="C2763" s="98" t="s">
        <v>4552</v>
      </c>
      <c r="D2763" s="98" t="s">
        <v>1744</v>
      </c>
      <c r="E2763" s="98" t="s">
        <v>811</v>
      </c>
      <c r="F2763" s="98" t="n">
        <v>0</v>
      </c>
      <c r="G2763" s="98" t="s">
        <v>4310</v>
      </c>
      <c r="H2763" s="98" t="s">
        <v>1703</v>
      </c>
      <c r="I2763" s="98" t="s">
        <v>1704</v>
      </c>
      <c r="J2763" s="98" t="s">
        <v>1705</v>
      </c>
      <c r="K2763" s="98" t="s">
        <v>1706</v>
      </c>
    </row>
    <row r="2764" customFormat="false" ht="64" hidden="false" customHeight="true" outlineLevel="0" collapsed="false">
      <c r="C2764" s="98" t="s">
        <v>4553</v>
      </c>
      <c r="D2764" s="98" t="s">
        <v>1746</v>
      </c>
      <c r="E2764" s="98" t="s">
        <v>811</v>
      </c>
      <c r="F2764" s="98" t="n">
        <v>0</v>
      </c>
      <c r="G2764" s="98" t="s">
        <v>4310</v>
      </c>
      <c r="H2764" s="98" t="s">
        <v>1703</v>
      </c>
      <c r="I2764" s="98" t="s">
        <v>1704</v>
      </c>
      <c r="J2764" s="98" t="s">
        <v>1705</v>
      </c>
      <c r="K2764" s="98" t="s">
        <v>1706</v>
      </c>
    </row>
    <row r="2765" customFormat="false" ht="64" hidden="false" customHeight="true" outlineLevel="0" collapsed="false">
      <c r="C2765" s="98" t="s">
        <v>4554</v>
      </c>
      <c r="D2765" s="98" t="s">
        <v>1748</v>
      </c>
      <c r="E2765" s="98" t="s">
        <v>811</v>
      </c>
      <c r="F2765" s="98" t="n">
        <v>0</v>
      </c>
      <c r="G2765" s="98" t="s">
        <v>4310</v>
      </c>
      <c r="H2765" s="98" t="s">
        <v>1703</v>
      </c>
      <c r="I2765" s="98" t="s">
        <v>1704</v>
      </c>
      <c r="J2765" s="98" t="s">
        <v>1705</v>
      </c>
      <c r="K2765" s="98" t="s">
        <v>1706</v>
      </c>
    </row>
    <row r="2766" customFormat="false" ht="64" hidden="false" customHeight="true" outlineLevel="0" collapsed="false">
      <c r="C2766" s="98" t="s">
        <v>4555</v>
      </c>
      <c r="D2766" s="98" t="s">
        <v>1750</v>
      </c>
      <c r="E2766" s="98" t="s">
        <v>811</v>
      </c>
      <c r="F2766" s="98" t="n">
        <v>0</v>
      </c>
      <c r="G2766" s="98" t="s">
        <v>4310</v>
      </c>
      <c r="H2766" s="98" t="s">
        <v>1703</v>
      </c>
      <c r="I2766" s="98" t="s">
        <v>1704</v>
      </c>
      <c r="J2766" s="98" t="s">
        <v>1705</v>
      </c>
      <c r="K2766" s="98" t="s">
        <v>1706</v>
      </c>
    </row>
    <row r="2767" customFormat="false" ht="64" hidden="false" customHeight="true" outlineLevel="0" collapsed="false">
      <c r="C2767" s="98" t="s">
        <v>4556</v>
      </c>
      <c r="D2767" s="98" t="s">
        <v>1752</v>
      </c>
      <c r="E2767" s="98" t="s">
        <v>811</v>
      </c>
      <c r="F2767" s="98" t="n">
        <v>0</v>
      </c>
      <c r="G2767" s="98" t="s">
        <v>4310</v>
      </c>
      <c r="H2767" s="98" t="s">
        <v>1703</v>
      </c>
      <c r="I2767" s="98" t="s">
        <v>1704</v>
      </c>
      <c r="J2767" s="98" t="s">
        <v>1705</v>
      </c>
      <c r="K2767" s="98" t="s">
        <v>1706</v>
      </c>
    </row>
    <row r="2768" customFormat="false" ht="64" hidden="false" customHeight="true" outlineLevel="0" collapsed="false">
      <c r="C2768" s="98" t="s">
        <v>4557</v>
      </c>
      <c r="D2768" s="98" t="s">
        <v>1754</v>
      </c>
      <c r="E2768" s="98" t="s">
        <v>811</v>
      </c>
      <c r="F2768" s="98" t="n">
        <v>0</v>
      </c>
      <c r="G2768" s="98" t="s">
        <v>4310</v>
      </c>
      <c r="H2768" s="98" t="s">
        <v>1703</v>
      </c>
      <c r="I2768" s="98" t="s">
        <v>1704</v>
      </c>
      <c r="J2768" s="98" t="s">
        <v>1705</v>
      </c>
      <c r="K2768" s="98" t="s">
        <v>1706</v>
      </c>
    </row>
    <row r="2769" customFormat="false" ht="64" hidden="false" customHeight="true" outlineLevel="0" collapsed="false">
      <c r="C2769" s="98" t="s">
        <v>4558</v>
      </c>
      <c r="D2769" s="98" t="s">
        <v>1756</v>
      </c>
      <c r="E2769" s="98" t="s">
        <v>811</v>
      </c>
      <c r="F2769" s="98" t="n">
        <v>0</v>
      </c>
      <c r="G2769" s="98" t="s">
        <v>4310</v>
      </c>
      <c r="H2769" s="98" t="s">
        <v>1703</v>
      </c>
      <c r="I2769" s="98" t="s">
        <v>1704</v>
      </c>
      <c r="J2769" s="98" t="s">
        <v>1705</v>
      </c>
      <c r="K2769" s="98" t="s">
        <v>1706</v>
      </c>
    </row>
    <row r="2770" customFormat="false" ht="64" hidden="false" customHeight="true" outlineLevel="0" collapsed="false">
      <c r="C2770" s="98" t="s">
        <v>4559</v>
      </c>
      <c r="D2770" s="98" t="s">
        <v>1758</v>
      </c>
      <c r="E2770" s="98" t="s">
        <v>811</v>
      </c>
      <c r="F2770" s="98" t="n">
        <v>0</v>
      </c>
      <c r="G2770" s="98" t="s">
        <v>4310</v>
      </c>
      <c r="H2770" s="98" t="s">
        <v>1703</v>
      </c>
      <c r="I2770" s="98" t="s">
        <v>1704</v>
      </c>
      <c r="J2770" s="98" t="s">
        <v>1705</v>
      </c>
      <c r="K2770" s="98" t="s">
        <v>1706</v>
      </c>
    </row>
    <row r="2771" customFormat="false" ht="64" hidden="false" customHeight="true" outlineLevel="0" collapsed="false">
      <c r="C2771" s="98" t="s">
        <v>4560</v>
      </c>
      <c r="D2771" s="98" t="s">
        <v>1760</v>
      </c>
      <c r="E2771" s="98" t="s">
        <v>811</v>
      </c>
      <c r="F2771" s="98" t="n">
        <v>0</v>
      </c>
      <c r="G2771" s="98" t="s">
        <v>4310</v>
      </c>
      <c r="H2771" s="98" t="s">
        <v>1703</v>
      </c>
      <c r="I2771" s="98" t="s">
        <v>1704</v>
      </c>
      <c r="J2771" s="98" t="s">
        <v>1705</v>
      </c>
      <c r="K2771" s="98" t="s">
        <v>1706</v>
      </c>
    </row>
    <row r="2772" customFormat="false" ht="64" hidden="false" customHeight="true" outlineLevel="0" collapsed="false">
      <c r="C2772" s="98" t="s">
        <v>4561</v>
      </c>
      <c r="D2772" s="98" t="s">
        <v>1762</v>
      </c>
      <c r="E2772" s="98" t="s">
        <v>811</v>
      </c>
      <c r="F2772" s="98" t="n">
        <v>0</v>
      </c>
      <c r="G2772" s="98" t="s">
        <v>4310</v>
      </c>
      <c r="H2772" s="98" t="s">
        <v>1703</v>
      </c>
      <c r="I2772" s="98" t="s">
        <v>1704</v>
      </c>
      <c r="J2772" s="98" t="s">
        <v>1705</v>
      </c>
      <c r="K2772" s="98" t="s">
        <v>1706</v>
      </c>
    </row>
    <row r="2773" customFormat="false" ht="64" hidden="false" customHeight="true" outlineLevel="0" collapsed="false">
      <c r="C2773" s="98" t="s">
        <v>4562</v>
      </c>
      <c r="D2773" s="98" t="s">
        <v>1764</v>
      </c>
      <c r="E2773" s="98" t="s">
        <v>811</v>
      </c>
      <c r="F2773" s="98" t="n">
        <v>0</v>
      </c>
      <c r="G2773" s="98" t="s">
        <v>4310</v>
      </c>
      <c r="H2773" s="98" t="s">
        <v>1703</v>
      </c>
      <c r="I2773" s="98" t="s">
        <v>1704</v>
      </c>
      <c r="J2773" s="98" t="s">
        <v>1705</v>
      </c>
      <c r="K2773" s="98" t="s">
        <v>1706</v>
      </c>
    </row>
    <row r="2774" customFormat="false" ht="64" hidden="false" customHeight="true" outlineLevel="0" collapsed="false">
      <c r="C2774" s="98" t="s">
        <v>4563</v>
      </c>
      <c r="D2774" s="98" t="s">
        <v>1829</v>
      </c>
      <c r="E2774" s="98" t="s">
        <v>811</v>
      </c>
      <c r="F2774" s="98" t="n">
        <v>0</v>
      </c>
      <c r="G2774" s="98" t="s">
        <v>4347</v>
      </c>
      <c r="H2774" s="98" t="s">
        <v>1703</v>
      </c>
      <c r="I2774" s="98" t="s">
        <v>1704</v>
      </c>
      <c r="J2774" s="98" t="s">
        <v>1705</v>
      </c>
      <c r="K2774" s="98" t="s">
        <v>1706</v>
      </c>
    </row>
    <row r="2775" customFormat="false" ht="64" hidden="false" customHeight="true" outlineLevel="0" collapsed="false">
      <c r="C2775" s="98" t="s">
        <v>4564</v>
      </c>
      <c r="D2775" s="98" t="s">
        <v>1833</v>
      </c>
      <c r="E2775" s="98" t="s">
        <v>811</v>
      </c>
      <c r="F2775" s="98" t="n">
        <v>0</v>
      </c>
      <c r="G2775" s="98" t="s">
        <v>4347</v>
      </c>
      <c r="H2775" s="98" t="s">
        <v>1703</v>
      </c>
      <c r="I2775" s="98" t="s">
        <v>1704</v>
      </c>
      <c r="J2775" s="98" t="s">
        <v>1705</v>
      </c>
      <c r="K2775" s="98" t="s">
        <v>1706</v>
      </c>
    </row>
    <row r="2776" customFormat="false" ht="64" hidden="false" customHeight="true" outlineLevel="0" collapsed="false">
      <c r="C2776" s="98" t="s">
        <v>4565</v>
      </c>
      <c r="D2776" s="98" t="s">
        <v>1835</v>
      </c>
      <c r="E2776" s="98" t="s">
        <v>811</v>
      </c>
      <c r="F2776" s="98" t="n">
        <v>0</v>
      </c>
      <c r="G2776" s="98" t="s">
        <v>4347</v>
      </c>
      <c r="H2776" s="98" t="s">
        <v>1703</v>
      </c>
      <c r="I2776" s="98" t="s">
        <v>1704</v>
      </c>
      <c r="J2776" s="98" t="s">
        <v>1705</v>
      </c>
      <c r="K2776" s="98" t="s">
        <v>1706</v>
      </c>
    </row>
    <row r="2777" customFormat="false" ht="64" hidden="false" customHeight="true" outlineLevel="0" collapsed="false">
      <c r="C2777" s="98" t="s">
        <v>4566</v>
      </c>
      <c r="D2777" s="98" t="s">
        <v>1044</v>
      </c>
      <c r="E2777" s="98" t="s">
        <v>811</v>
      </c>
      <c r="F2777" s="98" t="n">
        <v>0</v>
      </c>
      <c r="G2777" s="98" t="s">
        <v>4347</v>
      </c>
      <c r="H2777" s="98" t="s">
        <v>1703</v>
      </c>
      <c r="I2777" s="98" t="s">
        <v>1704</v>
      </c>
      <c r="J2777" s="98" t="s">
        <v>1705</v>
      </c>
      <c r="K2777" s="98" t="s">
        <v>1706</v>
      </c>
    </row>
    <row r="2778" customFormat="false" ht="64" hidden="false" customHeight="true" outlineLevel="0" collapsed="false">
      <c r="C2778" s="98" t="s">
        <v>4567</v>
      </c>
      <c r="D2778" s="98" t="s">
        <v>1838</v>
      </c>
      <c r="E2778" s="98" t="s">
        <v>811</v>
      </c>
      <c r="F2778" s="98" t="n">
        <v>0</v>
      </c>
      <c r="G2778" s="98" t="s">
        <v>4347</v>
      </c>
      <c r="H2778" s="98" t="s">
        <v>1703</v>
      </c>
      <c r="I2778" s="98" t="s">
        <v>1704</v>
      </c>
      <c r="J2778" s="98" t="s">
        <v>1705</v>
      </c>
      <c r="K2778" s="98" t="s">
        <v>1706</v>
      </c>
    </row>
    <row r="2779" customFormat="false" ht="64" hidden="false" customHeight="true" outlineLevel="0" collapsed="false">
      <c r="C2779" s="98" t="s">
        <v>4568</v>
      </c>
      <c r="D2779" s="98" t="s">
        <v>1840</v>
      </c>
      <c r="E2779" s="98" t="s">
        <v>811</v>
      </c>
      <c r="F2779" s="98" t="n">
        <v>0</v>
      </c>
      <c r="G2779" s="98" t="s">
        <v>4347</v>
      </c>
      <c r="H2779" s="98" t="s">
        <v>1703</v>
      </c>
      <c r="I2779" s="98" t="s">
        <v>1704</v>
      </c>
      <c r="J2779" s="98" t="s">
        <v>1705</v>
      </c>
      <c r="K2779" s="98" t="s">
        <v>1706</v>
      </c>
    </row>
    <row r="2780" customFormat="false" ht="64" hidden="false" customHeight="true" outlineLevel="0" collapsed="false">
      <c r="C2780" s="98" t="s">
        <v>4569</v>
      </c>
      <c r="D2780" s="98" t="s">
        <v>1700</v>
      </c>
      <c r="E2780" s="98" t="s">
        <v>811</v>
      </c>
      <c r="F2780" s="98" t="n">
        <v>0</v>
      </c>
      <c r="G2780" s="98" t="s">
        <v>4347</v>
      </c>
      <c r="H2780" s="98" t="s">
        <v>1703</v>
      </c>
      <c r="I2780" s="98" t="s">
        <v>1704</v>
      </c>
      <c r="J2780" s="98" t="s">
        <v>1705</v>
      </c>
      <c r="K2780" s="98" t="s">
        <v>1706</v>
      </c>
    </row>
    <row r="2781" customFormat="false" ht="64" hidden="false" customHeight="true" outlineLevel="0" collapsed="false">
      <c r="C2781" s="98" t="s">
        <v>4570</v>
      </c>
      <c r="D2781" s="98" t="s">
        <v>1708</v>
      </c>
      <c r="E2781" s="98" t="s">
        <v>811</v>
      </c>
      <c r="F2781" s="98" t="n">
        <v>0</v>
      </c>
      <c r="G2781" s="98" t="s">
        <v>4347</v>
      </c>
      <c r="H2781" s="98" t="s">
        <v>1703</v>
      </c>
      <c r="I2781" s="98" t="s">
        <v>1704</v>
      </c>
      <c r="J2781" s="98" t="s">
        <v>1705</v>
      </c>
      <c r="K2781" s="98" t="s">
        <v>1706</v>
      </c>
    </row>
    <row r="2782" customFormat="false" ht="64" hidden="false" customHeight="true" outlineLevel="0" collapsed="false">
      <c r="C2782" s="98" t="s">
        <v>4571</v>
      </c>
      <c r="D2782" s="98" t="s">
        <v>1710</v>
      </c>
      <c r="E2782" s="98" t="s">
        <v>811</v>
      </c>
      <c r="F2782" s="98" t="n">
        <v>0</v>
      </c>
      <c r="G2782" s="98" t="s">
        <v>4347</v>
      </c>
      <c r="H2782" s="98" t="s">
        <v>1703</v>
      </c>
      <c r="I2782" s="98" t="s">
        <v>1704</v>
      </c>
      <c r="J2782" s="98" t="s">
        <v>1705</v>
      </c>
      <c r="K2782" s="98" t="s">
        <v>1706</v>
      </c>
    </row>
    <row r="2783" customFormat="false" ht="64" hidden="false" customHeight="true" outlineLevel="0" collapsed="false">
      <c r="C2783" s="98" t="s">
        <v>4572</v>
      </c>
      <c r="D2783" s="98" t="s">
        <v>1712</v>
      </c>
      <c r="E2783" s="98" t="s">
        <v>811</v>
      </c>
      <c r="F2783" s="98" t="n">
        <v>0</v>
      </c>
      <c r="G2783" s="98" t="s">
        <v>4347</v>
      </c>
      <c r="H2783" s="98" t="s">
        <v>1703</v>
      </c>
      <c r="I2783" s="98" t="s">
        <v>1704</v>
      </c>
      <c r="J2783" s="98" t="s">
        <v>1705</v>
      </c>
      <c r="K2783" s="98" t="s">
        <v>1706</v>
      </c>
    </row>
    <row r="2784" customFormat="false" ht="64" hidden="false" customHeight="true" outlineLevel="0" collapsed="false">
      <c r="C2784" s="98" t="s">
        <v>4573</v>
      </c>
      <c r="D2784" s="98" t="s">
        <v>1714</v>
      </c>
      <c r="E2784" s="98" t="s">
        <v>811</v>
      </c>
      <c r="F2784" s="98" t="n">
        <v>0</v>
      </c>
      <c r="G2784" s="98" t="s">
        <v>4347</v>
      </c>
      <c r="H2784" s="98" t="s">
        <v>1703</v>
      </c>
      <c r="I2784" s="98" t="s">
        <v>1704</v>
      </c>
      <c r="J2784" s="98" t="s">
        <v>1705</v>
      </c>
      <c r="K2784" s="98" t="s">
        <v>1706</v>
      </c>
    </row>
    <row r="2785" customFormat="false" ht="64" hidden="false" customHeight="true" outlineLevel="0" collapsed="false">
      <c r="C2785" s="98" t="s">
        <v>4574</v>
      </c>
      <c r="D2785" s="98" t="s">
        <v>1716</v>
      </c>
      <c r="E2785" s="98" t="s">
        <v>811</v>
      </c>
      <c r="F2785" s="98" t="n">
        <v>0</v>
      </c>
      <c r="G2785" s="98" t="s">
        <v>4347</v>
      </c>
      <c r="H2785" s="98" t="s">
        <v>1703</v>
      </c>
      <c r="I2785" s="98" t="s">
        <v>1704</v>
      </c>
      <c r="J2785" s="98" t="s">
        <v>1705</v>
      </c>
      <c r="K2785" s="98" t="s">
        <v>1706</v>
      </c>
    </row>
    <row r="2786" customFormat="false" ht="64" hidden="false" customHeight="true" outlineLevel="0" collapsed="false">
      <c r="C2786" s="98" t="s">
        <v>4575</v>
      </c>
      <c r="D2786" s="98" t="s">
        <v>1718</v>
      </c>
      <c r="E2786" s="98" t="s">
        <v>811</v>
      </c>
      <c r="F2786" s="98" t="n">
        <v>0</v>
      </c>
      <c r="G2786" s="98" t="s">
        <v>4347</v>
      </c>
      <c r="H2786" s="98" t="s">
        <v>1703</v>
      </c>
      <c r="I2786" s="98" t="s">
        <v>1704</v>
      </c>
      <c r="J2786" s="98" t="s">
        <v>1705</v>
      </c>
      <c r="K2786" s="98" t="s">
        <v>1706</v>
      </c>
    </row>
    <row r="2787" customFormat="false" ht="64" hidden="false" customHeight="true" outlineLevel="0" collapsed="false">
      <c r="C2787" s="98" t="s">
        <v>4576</v>
      </c>
      <c r="D2787" s="98" t="s">
        <v>1720</v>
      </c>
      <c r="E2787" s="98" t="s">
        <v>811</v>
      </c>
      <c r="F2787" s="98" t="n">
        <v>0</v>
      </c>
      <c r="G2787" s="98" t="s">
        <v>4347</v>
      </c>
      <c r="H2787" s="98" t="s">
        <v>1703</v>
      </c>
      <c r="I2787" s="98" t="s">
        <v>1704</v>
      </c>
      <c r="J2787" s="98" t="s">
        <v>1705</v>
      </c>
      <c r="K2787" s="98" t="s">
        <v>1706</v>
      </c>
    </row>
    <row r="2788" customFormat="false" ht="64" hidden="false" customHeight="true" outlineLevel="0" collapsed="false">
      <c r="C2788" s="98" t="s">
        <v>4577</v>
      </c>
      <c r="D2788" s="98" t="s">
        <v>1722</v>
      </c>
      <c r="E2788" s="98" t="s">
        <v>811</v>
      </c>
      <c r="F2788" s="98" t="n">
        <v>0</v>
      </c>
      <c r="G2788" s="98" t="s">
        <v>4347</v>
      </c>
      <c r="H2788" s="98" t="s">
        <v>1703</v>
      </c>
      <c r="I2788" s="98" t="s">
        <v>1704</v>
      </c>
      <c r="J2788" s="98" t="s">
        <v>1705</v>
      </c>
      <c r="K2788" s="98" t="s">
        <v>1706</v>
      </c>
    </row>
    <row r="2789" customFormat="false" ht="64" hidden="false" customHeight="true" outlineLevel="0" collapsed="false">
      <c r="C2789" s="98" t="s">
        <v>4578</v>
      </c>
      <c r="D2789" s="98" t="s">
        <v>1724</v>
      </c>
      <c r="E2789" s="98" t="s">
        <v>811</v>
      </c>
      <c r="F2789" s="98" t="n">
        <v>0</v>
      </c>
      <c r="G2789" s="98" t="s">
        <v>4347</v>
      </c>
      <c r="H2789" s="98" t="s">
        <v>1703</v>
      </c>
      <c r="I2789" s="98" t="s">
        <v>1704</v>
      </c>
      <c r="J2789" s="98" t="s">
        <v>1705</v>
      </c>
      <c r="K2789" s="98" t="s">
        <v>1706</v>
      </c>
    </row>
    <row r="2790" customFormat="false" ht="64" hidden="false" customHeight="true" outlineLevel="0" collapsed="false">
      <c r="C2790" s="98" t="s">
        <v>4579</v>
      </c>
      <c r="D2790" s="98" t="s">
        <v>1726</v>
      </c>
      <c r="E2790" s="98" t="s">
        <v>811</v>
      </c>
      <c r="F2790" s="98" t="n">
        <v>0</v>
      </c>
      <c r="G2790" s="98" t="s">
        <v>4347</v>
      </c>
      <c r="H2790" s="98" t="s">
        <v>1703</v>
      </c>
      <c r="I2790" s="98" t="s">
        <v>1704</v>
      </c>
      <c r="J2790" s="98" t="s">
        <v>1705</v>
      </c>
      <c r="K2790" s="98" t="s">
        <v>1706</v>
      </c>
    </row>
    <row r="2791" customFormat="false" ht="64" hidden="false" customHeight="true" outlineLevel="0" collapsed="false">
      <c r="C2791" s="98" t="s">
        <v>4580</v>
      </c>
      <c r="D2791" s="98" t="s">
        <v>1728</v>
      </c>
      <c r="E2791" s="98" t="s">
        <v>811</v>
      </c>
      <c r="F2791" s="98" t="n">
        <v>0</v>
      </c>
      <c r="G2791" s="98" t="s">
        <v>4347</v>
      </c>
      <c r="H2791" s="98" t="s">
        <v>1703</v>
      </c>
      <c r="I2791" s="98" t="s">
        <v>1704</v>
      </c>
      <c r="J2791" s="98" t="s">
        <v>1705</v>
      </c>
      <c r="K2791" s="98" t="s">
        <v>1706</v>
      </c>
    </row>
    <row r="2792" customFormat="false" ht="64" hidden="false" customHeight="true" outlineLevel="0" collapsed="false">
      <c r="C2792" s="98" t="s">
        <v>4581</v>
      </c>
      <c r="D2792" s="98" t="s">
        <v>1730</v>
      </c>
      <c r="E2792" s="98" t="s">
        <v>811</v>
      </c>
      <c r="F2792" s="98" t="n">
        <v>0</v>
      </c>
      <c r="G2792" s="98" t="s">
        <v>4347</v>
      </c>
      <c r="H2792" s="98" t="s">
        <v>1703</v>
      </c>
      <c r="I2792" s="98" t="s">
        <v>1704</v>
      </c>
      <c r="J2792" s="98" t="s">
        <v>1705</v>
      </c>
      <c r="K2792" s="98" t="s">
        <v>1706</v>
      </c>
    </row>
    <row r="2793" customFormat="false" ht="64" hidden="false" customHeight="true" outlineLevel="0" collapsed="false">
      <c r="C2793" s="98" t="s">
        <v>4582</v>
      </c>
      <c r="D2793" s="98" t="s">
        <v>1732</v>
      </c>
      <c r="E2793" s="98" t="s">
        <v>811</v>
      </c>
      <c r="F2793" s="98" t="n">
        <v>0</v>
      </c>
      <c r="G2793" s="98" t="s">
        <v>4347</v>
      </c>
      <c r="H2793" s="98" t="s">
        <v>1703</v>
      </c>
      <c r="I2793" s="98" t="s">
        <v>1704</v>
      </c>
      <c r="J2793" s="98" t="s">
        <v>1705</v>
      </c>
      <c r="K2793" s="98" t="s">
        <v>1706</v>
      </c>
    </row>
    <row r="2794" customFormat="false" ht="64" hidden="false" customHeight="true" outlineLevel="0" collapsed="false">
      <c r="C2794" s="98" t="s">
        <v>4583</v>
      </c>
      <c r="D2794" s="98" t="s">
        <v>1734</v>
      </c>
      <c r="E2794" s="98" t="s">
        <v>811</v>
      </c>
      <c r="F2794" s="98" t="n">
        <v>0</v>
      </c>
      <c r="G2794" s="98" t="s">
        <v>4347</v>
      </c>
      <c r="H2794" s="98" t="s">
        <v>1703</v>
      </c>
      <c r="I2794" s="98" t="s">
        <v>1704</v>
      </c>
      <c r="J2794" s="98" t="s">
        <v>1705</v>
      </c>
      <c r="K2794" s="98" t="s">
        <v>1706</v>
      </c>
    </row>
    <row r="2795" customFormat="false" ht="64" hidden="false" customHeight="true" outlineLevel="0" collapsed="false">
      <c r="C2795" s="98" t="s">
        <v>4584</v>
      </c>
      <c r="D2795" s="98" t="s">
        <v>1736</v>
      </c>
      <c r="E2795" s="98" t="s">
        <v>811</v>
      </c>
      <c r="F2795" s="98" t="n">
        <v>0</v>
      </c>
      <c r="G2795" s="98" t="s">
        <v>4347</v>
      </c>
      <c r="H2795" s="98" t="s">
        <v>1703</v>
      </c>
      <c r="I2795" s="98" t="s">
        <v>1704</v>
      </c>
      <c r="J2795" s="98" t="s">
        <v>1705</v>
      </c>
      <c r="K2795" s="98" t="s">
        <v>1706</v>
      </c>
    </row>
    <row r="2796" customFormat="false" ht="64" hidden="false" customHeight="true" outlineLevel="0" collapsed="false">
      <c r="C2796" s="98" t="s">
        <v>4585</v>
      </c>
      <c r="D2796" s="98" t="s">
        <v>1738</v>
      </c>
      <c r="E2796" s="98" t="s">
        <v>811</v>
      </c>
      <c r="F2796" s="98" t="n">
        <v>0</v>
      </c>
      <c r="G2796" s="98" t="s">
        <v>4347</v>
      </c>
      <c r="H2796" s="98" t="s">
        <v>1703</v>
      </c>
      <c r="I2796" s="98" t="s">
        <v>1704</v>
      </c>
      <c r="J2796" s="98" t="s">
        <v>1705</v>
      </c>
      <c r="K2796" s="98" t="s">
        <v>1706</v>
      </c>
    </row>
    <row r="2797" customFormat="false" ht="64" hidden="false" customHeight="true" outlineLevel="0" collapsed="false">
      <c r="C2797" s="98" t="s">
        <v>4586</v>
      </c>
      <c r="D2797" s="98" t="s">
        <v>1740</v>
      </c>
      <c r="E2797" s="98" t="s">
        <v>811</v>
      </c>
      <c r="F2797" s="98" t="n">
        <v>0</v>
      </c>
      <c r="G2797" s="98" t="s">
        <v>4347</v>
      </c>
      <c r="H2797" s="98" t="s">
        <v>1703</v>
      </c>
      <c r="I2797" s="98" t="s">
        <v>1704</v>
      </c>
      <c r="J2797" s="98" t="s">
        <v>1705</v>
      </c>
      <c r="K2797" s="98" t="s">
        <v>1706</v>
      </c>
    </row>
    <row r="2798" customFormat="false" ht="64" hidden="false" customHeight="true" outlineLevel="0" collapsed="false">
      <c r="C2798" s="98" t="s">
        <v>4587</v>
      </c>
      <c r="D2798" s="98" t="s">
        <v>1742</v>
      </c>
      <c r="E2798" s="98" t="s">
        <v>811</v>
      </c>
      <c r="F2798" s="98" t="n">
        <v>0</v>
      </c>
      <c r="G2798" s="98" t="s">
        <v>4347</v>
      </c>
      <c r="H2798" s="98" t="s">
        <v>1703</v>
      </c>
      <c r="I2798" s="98" t="s">
        <v>1704</v>
      </c>
      <c r="J2798" s="98" t="s">
        <v>1705</v>
      </c>
      <c r="K2798" s="98" t="s">
        <v>1706</v>
      </c>
    </row>
    <row r="2799" customFormat="false" ht="64" hidden="false" customHeight="true" outlineLevel="0" collapsed="false">
      <c r="C2799" s="98" t="s">
        <v>4588</v>
      </c>
      <c r="D2799" s="98" t="s">
        <v>1744</v>
      </c>
      <c r="E2799" s="98" t="s">
        <v>811</v>
      </c>
      <c r="F2799" s="98" t="n">
        <v>0</v>
      </c>
      <c r="G2799" s="98" t="s">
        <v>4347</v>
      </c>
      <c r="H2799" s="98" t="s">
        <v>1703</v>
      </c>
      <c r="I2799" s="98" t="s">
        <v>1704</v>
      </c>
      <c r="J2799" s="98" t="s">
        <v>1705</v>
      </c>
      <c r="K2799" s="98" t="s">
        <v>1706</v>
      </c>
    </row>
    <row r="2800" customFormat="false" ht="64" hidden="false" customHeight="true" outlineLevel="0" collapsed="false">
      <c r="C2800" s="98" t="s">
        <v>4589</v>
      </c>
      <c r="D2800" s="98" t="s">
        <v>1746</v>
      </c>
      <c r="E2800" s="98" t="s">
        <v>811</v>
      </c>
      <c r="F2800" s="98" t="n">
        <v>0</v>
      </c>
      <c r="G2800" s="98" t="s">
        <v>4347</v>
      </c>
      <c r="H2800" s="98" t="s">
        <v>1703</v>
      </c>
      <c r="I2800" s="98" t="s">
        <v>1704</v>
      </c>
      <c r="J2800" s="98" t="s">
        <v>1705</v>
      </c>
      <c r="K2800" s="98" t="s">
        <v>1706</v>
      </c>
    </row>
    <row r="2801" customFormat="false" ht="64" hidden="false" customHeight="true" outlineLevel="0" collapsed="false">
      <c r="C2801" s="98" t="s">
        <v>4590</v>
      </c>
      <c r="D2801" s="98" t="s">
        <v>1748</v>
      </c>
      <c r="E2801" s="98" t="s">
        <v>811</v>
      </c>
      <c r="F2801" s="98" t="n">
        <v>0</v>
      </c>
      <c r="G2801" s="98" t="s">
        <v>4347</v>
      </c>
      <c r="H2801" s="98" t="s">
        <v>1703</v>
      </c>
      <c r="I2801" s="98" t="s">
        <v>1704</v>
      </c>
      <c r="J2801" s="98" t="s">
        <v>1705</v>
      </c>
      <c r="K2801" s="98" t="s">
        <v>1706</v>
      </c>
    </row>
    <row r="2802" customFormat="false" ht="64" hidden="false" customHeight="true" outlineLevel="0" collapsed="false">
      <c r="C2802" s="98" t="s">
        <v>4591</v>
      </c>
      <c r="D2802" s="98" t="s">
        <v>1750</v>
      </c>
      <c r="E2802" s="98" t="s">
        <v>811</v>
      </c>
      <c r="F2802" s="98" t="n">
        <v>0</v>
      </c>
      <c r="G2802" s="98" t="s">
        <v>4347</v>
      </c>
      <c r="H2802" s="98" t="s">
        <v>1703</v>
      </c>
      <c r="I2802" s="98" t="s">
        <v>1704</v>
      </c>
      <c r="J2802" s="98" t="s">
        <v>1705</v>
      </c>
      <c r="K2802" s="98" t="s">
        <v>1706</v>
      </c>
    </row>
    <row r="2803" customFormat="false" ht="64" hidden="false" customHeight="true" outlineLevel="0" collapsed="false">
      <c r="C2803" s="98" t="s">
        <v>4592</v>
      </c>
      <c r="D2803" s="98" t="s">
        <v>1752</v>
      </c>
      <c r="E2803" s="98" t="s">
        <v>811</v>
      </c>
      <c r="F2803" s="98" t="n">
        <v>0</v>
      </c>
      <c r="G2803" s="98" t="s">
        <v>4347</v>
      </c>
      <c r="H2803" s="98" t="s">
        <v>1703</v>
      </c>
      <c r="I2803" s="98" t="s">
        <v>1704</v>
      </c>
      <c r="J2803" s="98" t="s">
        <v>1705</v>
      </c>
      <c r="K2803" s="98" t="s">
        <v>1706</v>
      </c>
    </row>
    <row r="2804" customFormat="false" ht="64" hidden="false" customHeight="true" outlineLevel="0" collapsed="false">
      <c r="C2804" s="98" t="s">
        <v>4593</v>
      </c>
      <c r="D2804" s="98" t="s">
        <v>1754</v>
      </c>
      <c r="E2804" s="98" t="s">
        <v>811</v>
      </c>
      <c r="F2804" s="98" t="n">
        <v>0</v>
      </c>
      <c r="G2804" s="98" t="s">
        <v>4347</v>
      </c>
      <c r="H2804" s="98" t="s">
        <v>1703</v>
      </c>
      <c r="I2804" s="98" t="s">
        <v>1704</v>
      </c>
      <c r="J2804" s="98" t="s">
        <v>1705</v>
      </c>
      <c r="K2804" s="98" t="s">
        <v>1706</v>
      </c>
    </row>
    <row r="2805" customFormat="false" ht="64" hidden="false" customHeight="true" outlineLevel="0" collapsed="false">
      <c r="C2805" s="98" t="s">
        <v>4594</v>
      </c>
      <c r="D2805" s="98" t="s">
        <v>1756</v>
      </c>
      <c r="E2805" s="98" t="s">
        <v>811</v>
      </c>
      <c r="F2805" s="98" t="n">
        <v>0</v>
      </c>
      <c r="G2805" s="98" t="s">
        <v>4347</v>
      </c>
      <c r="H2805" s="98" t="s">
        <v>1703</v>
      </c>
      <c r="I2805" s="98" t="s">
        <v>1704</v>
      </c>
      <c r="J2805" s="98" t="s">
        <v>1705</v>
      </c>
      <c r="K2805" s="98" t="s">
        <v>1706</v>
      </c>
    </row>
    <row r="2806" customFormat="false" ht="64" hidden="false" customHeight="true" outlineLevel="0" collapsed="false">
      <c r="C2806" s="98" t="s">
        <v>4595</v>
      </c>
      <c r="D2806" s="98" t="s">
        <v>1758</v>
      </c>
      <c r="E2806" s="98" t="s">
        <v>811</v>
      </c>
      <c r="F2806" s="98" t="n">
        <v>0</v>
      </c>
      <c r="G2806" s="98" t="s">
        <v>4347</v>
      </c>
      <c r="H2806" s="98" t="s">
        <v>1703</v>
      </c>
      <c r="I2806" s="98" t="s">
        <v>1704</v>
      </c>
      <c r="J2806" s="98" t="s">
        <v>1705</v>
      </c>
      <c r="K2806" s="98" t="s">
        <v>1706</v>
      </c>
    </row>
    <row r="2807" customFormat="false" ht="64" hidden="false" customHeight="true" outlineLevel="0" collapsed="false">
      <c r="C2807" s="98" t="s">
        <v>4596</v>
      </c>
      <c r="D2807" s="98" t="s">
        <v>1760</v>
      </c>
      <c r="E2807" s="98" t="s">
        <v>811</v>
      </c>
      <c r="F2807" s="98" t="n">
        <v>0</v>
      </c>
      <c r="G2807" s="98" t="s">
        <v>4347</v>
      </c>
      <c r="H2807" s="98" t="s">
        <v>1703</v>
      </c>
      <c r="I2807" s="98" t="s">
        <v>1704</v>
      </c>
      <c r="J2807" s="98" t="s">
        <v>1705</v>
      </c>
      <c r="K2807" s="98" t="s">
        <v>1706</v>
      </c>
    </row>
    <row r="2808" customFormat="false" ht="64" hidden="false" customHeight="true" outlineLevel="0" collapsed="false">
      <c r="C2808" s="98" t="s">
        <v>4597</v>
      </c>
      <c r="D2808" s="98" t="s">
        <v>1762</v>
      </c>
      <c r="E2808" s="98" t="s">
        <v>811</v>
      </c>
      <c r="F2808" s="98" t="n">
        <v>0</v>
      </c>
      <c r="G2808" s="98" t="s">
        <v>4347</v>
      </c>
      <c r="H2808" s="98" t="s">
        <v>1703</v>
      </c>
      <c r="I2808" s="98" t="s">
        <v>1704</v>
      </c>
      <c r="J2808" s="98" t="s">
        <v>1705</v>
      </c>
      <c r="K2808" s="98" t="s">
        <v>1706</v>
      </c>
    </row>
    <row r="2809" customFormat="false" ht="64" hidden="false" customHeight="true" outlineLevel="0" collapsed="false">
      <c r="C2809" s="98" t="s">
        <v>4598</v>
      </c>
      <c r="D2809" s="98" t="s">
        <v>1764</v>
      </c>
      <c r="E2809" s="98" t="s">
        <v>811</v>
      </c>
      <c r="F2809" s="98" t="n">
        <v>0</v>
      </c>
      <c r="G2809" s="98" t="s">
        <v>4347</v>
      </c>
      <c r="H2809" s="98" t="s">
        <v>1703</v>
      </c>
      <c r="I2809" s="98" t="s">
        <v>1704</v>
      </c>
      <c r="J2809" s="98" t="s">
        <v>1705</v>
      </c>
      <c r="K2809" s="98" t="s">
        <v>1706</v>
      </c>
    </row>
    <row r="2810" customFormat="false" ht="64" hidden="false" customHeight="true" outlineLevel="0" collapsed="false">
      <c r="C2810" s="98" t="s">
        <v>4599</v>
      </c>
      <c r="D2810" s="98" t="s">
        <v>1829</v>
      </c>
      <c r="E2810" s="98" t="s">
        <v>1701</v>
      </c>
      <c r="F2810" s="98" t="n">
        <v>1</v>
      </c>
      <c r="G2810" s="98" t="s">
        <v>4600</v>
      </c>
      <c r="H2810" s="98" t="s">
        <v>1703</v>
      </c>
      <c r="I2810" s="98" t="s">
        <v>1704</v>
      </c>
      <c r="J2810" s="98" t="s">
        <v>1705</v>
      </c>
      <c r="K2810" s="98" t="s">
        <v>1706</v>
      </c>
    </row>
    <row r="2811" customFormat="false" ht="64" hidden="false" customHeight="true" outlineLevel="0" collapsed="false">
      <c r="C2811" s="98" t="s">
        <v>4601</v>
      </c>
      <c r="D2811" s="98" t="s">
        <v>1833</v>
      </c>
      <c r="E2811" s="98" t="s">
        <v>1701</v>
      </c>
      <c r="F2811" s="98" t="n">
        <v>1</v>
      </c>
      <c r="G2811" s="98" t="s">
        <v>4600</v>
      </c>
      <c r="H2811" s="98" t="s">
        <v>1703</v>
      </c>
      <c r="I2811" s="98" t="s">
        <v>1704</v>
      </c>
      <c r="J2811" s="98" t="s">
        <v>1705</v>
      </c>
      <c r="K2811" s="98" t="s">
        <v>1706</v>
      </c>
    </row>
    <row r="2812" customFormat="false" ht="64" hidden="false" customHeight="true" outlineLevel="0" collapsed="false">
      <c r="C2812" s="98" t="s">
        <v>4602</v>
      </c>
      <c r="D2812" s="98" t="s">
        <v>1835</v>
      </c>
      <c r="E2812" s="98" t="s">
        <v>1701</v>
      </c>
      <c r="F2812" s="98" t="n">
        <v>1</v>
      </c>
      <c r="G2812" s="98" t="s">
        <v>4600</v>
      </c>
      <c r="H2812" s="98" t="s">
        <v>1703</v>
      </c>
      <c r="I2812" s="98" t="s">
        <v>1704</v>
      </c>
      <c r="J2812" s="98" t="s">
        <v>1705</v>
      </c>
      <c r="K2812" s="98" t="s">
        <v>1706</v>
      </c>
    </row>
    <row r="2813" customFormat="false" ht="64" hidden="false" customHeight="true" outlineLevel="0" collapsed="false">
      <c r="C2813" s="98" t="s">
        <v>4603</v>
      </c>
      <c r="D2813" s="98" t="s">
        <v>1044</v>
      </c>
      <c r="E2813" s="98" t="s">
        <v>1701</v>
      </c>
      <c r="F2813" s="98" t="n">
        <v>1</v>
      </c>
      <c r="G2813" s="98" t="s">
        <v>4600</v>
      </c>
      <c r="H2813" s="98" t="s">
        <v>1703</v>
      </c>
      <c r="I2813" s="98" t="s">
        <v>1704</v>
      </c>
      <c r="J2813" s="98" t="s">
        <v>1705</v>
      </c>
      <c r="K2813" s="98" t="s">
        <v>1706</v>
      </c>
    </row>
    <row r="2814" customFormat="false" ht="64" hidden="false" customHeight="true" outlineLevel="0" collapsed="false">
      <c r="C2814" s="98" t="s">
        <v>4604</v>
      </c>
      <c r="D2814" s="98" t="s">
        <v>1838</v>
      </c>
      <c r="E2814" s="98" t="s">
        <v>1701</v>
      </c>
      <c r="F2814" s="98" t="n">
        <v>1</v>
      </c>
      <c r="G2814" s="98" t="s">
        <v>4600</v>
      </c>
      <c r="H2814" s="98" t="s">
        <v>1703</v>
      </c>
      <c r="I2814" s="98" t="s">
        <v>1704</v>
      </c>
      <c r="J2814" s="98" t="s">
        <v>1705</v>
      </c>
      <c r="K2814" s="98" t="s">
        <v>1706</v>
      </c>
    </row>
    <row r="2815" customFormat="false" ht="64" hidden="false" customHeight="true" outlineLevel="0" collapsed="false">
      <c r="C2815" s="98" t="s">
        <v>4605</v>
      </c>
      <c r="D2815" s="98" t="s">
        <v>1840</v>
      </c>
      <c r="E2815" s="98" t="s">
        <v>1701</v>
      </c>
      <c r="F2815" s="98" t="n">
        <v>1</v>
      </c>
      <c r="G2815" s="98" t="s">
        <v>4600</v>
      </c>
      <c r="H2815" s="98" t="s">
        <v>1703</v>
      </c>
      <c r="I2815" s="98" t="s">
        <v>1704</v>
      </c>
      <c r="J2815" s="98" t="s">
        <v>1705</v>
      </c>
      <c r="K2815" s="98" t="s">
        <v>1706</v>
      </c>
    </row>
    <row r="2816" customFormat="false" ht="64" hidden="false" customHeight="true" outlineLevel="0" collapsed="false">
      <c r="C2816" s="98" t="s">
        <v>4606</v>
      </c>
      <c r="D2816" s="98" t="s">
        <v>1700</v>
      </c>
      <c r="E2816" s="98" t="s">
        <v>1701</v>
      </c>
      <c r="F2816" s="98" t="n">
        <v>1</v>
      </c>
      <c r="G2816" s="98" t="s">
        <v>4600</v>
      </c>
      <c r="H2816" s="98" t="s">
        <v>1703</v>
      </c>
      <c r="I2816" s="98" t="s">
        <v>1704</v>
      </c>
      <c r="J2816" s="98" t="s">
        <v>1705</v>
      </c>
      <c r="K2816" s="98" t="s">
        <v>1706</v>
      </c>
    </row>
    <row r="2817" customFormat="false" ht="64" hidden="false" customHeight="true" outlineLevel="0" collapsed="false">
      <c r="C2817" s="98" t="s">
        <v>4607</v>
      </c>
      <c r="D2817" s="98" t="s">
        <v>1708</v>
      </c>
      <c r="E2817" s="98" t="s">
        <v>1701</v>
      </c>
      <c r="F2817" s="98" t="n">
        <v>1</v>
      </c>
      <c r="G2817" s="98" t="s">
        <v>4600</v>
      </c>
      <c r="H2817" s="98" t="s">
        <v>1703</v>
      </c>
      <c r="I2817" s="98" t="s">
        <v>1704</v>
      </c>
      <c r="J2817" s="98" t="s">
        <v>1705</v>
      </c>
      <c r="K2817" s="98" t="s">
        <v>1706</v>
      </c>
    </row>
    <row r="2818" customFormat="false" ht="64" hidden="false" customHeight="true" outlineLevel="0" collapsed="false">
      <c r="C2818" s="98" t="s">
        <v>4608</v>
      </c>
      <c r="D2818" s="98" t="s">
        <v>1710</v>
      </c>
      <c r="E2818" s="98" t="s">
        <v>1701</v>
      </c>
      <c r="F2818" s="98" t="n">
        <v>1</v>
      </c>
      <c r="G2818" s="98" t="s">
        <v>4600</v>
      </c>
      <c r="H2818" s="98" t="s">
        <v>1703</v>
      </c>
      <c r="I2818" s="98" t="s">
        <v>1704</v>
      </c>
      <c r="J2818" s="98" t="s">
        <v>1705</v>
      </c>
      <c r="K2818" s="98" t="s">
        <v>1706</v>
      </c>
    </row>
    <row r="2819" customFormat="false" ht="64" hidden="false" customHeight="true" outlineLevel="0" collapsed="false">
      <c r="C2819" s="98" t="s">
        <v>4609</v>
      </c>
      <c r="D2819" s="98" t="s">
        <v>1712</v>
      </c>
      <c r="E2819" s="98" t="s">
        <v>1701</v>
      </c>
      <c r="F2819" s="98" t="n">
        <v>1</v>
      </c>
      <c r="G2819" s="98" t="s">
        <v>4600</v>
      </c>
      <c r="H2819" s="98" t="s">
        <v>1703</v>
      </c>
      <c r="I2819" s="98" t="s">
        <v>1704</v>
      </c>
      <c r="J2819" s="98" t="s">
        <v>1705</v>
      </c>
      <c r="K2819" s="98" t="s">
        <v>1706</v>
      </c>
    </row>
    <row r="2820" customFormat="false" ht="64" hidden="false" customHeight="true" outlineLevel="0" collapsed="false">
      <c r="C2820" s="98" t="s">
        <v>4610</v>
      </c>
      <c r="D2820" s="98" t="s">
        <v>1714</v>
      </c>
      <c r="E2820" s="98" t="s">
        <v>1701</v>
      </c>
      <c r="F2820" s="98" t="n">
        <v>1</v>
      </c>
      <c r="G2820" s="98" t="s">
        <v>4600</v>
      </c>
      <c r="H2820" s="98" t="s">
        <v>1703</v>
      </c>
      <c r="I2820" s="98" t="s">
        <v>1704</v>
      </c>
      <c r="J2820" s="98" t="s">
        <v>1705</v>
      </c>
      <c r="K2820" s="98" t="s">
        <v>1706</v>
      </c>
    </row>
    <row r="2821" customFormat="false" ht="64" hidden="false" customHeight="true" outlineLevel="0" collapsed="false">
      <c r="C2821" s="98" t="s">
        <v>4611</v>
      </c>
      <c r="D2821" s="98" t="s">
        <v>1716</v>
      </c>
      <c r="E2821" s="98" t="s">
        <v>1701</v>
      </c>
      <c r="F2821" s="98" t="n">
        <v>1</v>
      </c>
      <c r="G2821" s="98" t="s">
        <v>4600</v>
      </c>
      <c r="H2821" s="98" t="s">
        <v>1703</v>
      </c>
      <c r="I2821" s="98" t="s">
        <v>1704</v>
      </c>
      <c r="J2821" s="98" t="s">
        <v>1705</v>
      </c>
      <c r="K2821" s="98" t="s">
        <v>1706</v>
      </c>
    </row>
    <row r="2822" customFormat="false" ht="64" hidden="false" customHeight="true" outlineLevel="0" collapsed="false">
      <c r="C2822" s="98" t="s">
        <v>4612</v>
      </c>
      <c r="D2822" s="98" t="s">
        <v>1718</v>
      </c>
      <c r="E2822" s="98" t="s">
        <v>1701</v>
      </c>
      <c r="F2822" s="98" t="n">
        <v>1</v>
      </c>
      <c r="G2822" s="98" t="s">
        <v>4600</v>
      </c>
      <c r="H2822" s="98" t="s">
        <v>1703</v>
      </c>
      <c r="I2822" s="98" t="s">
        <v>1704</v>
      </c>
      <c r="J2822" s="98" t="s">
        <v>1705</v>
      </c>
      <c r="K2822" s="98" t="s">
        <v>1706</v>
      </c>
    </row>
    <row r="2823" customFormat="false" ht="64" hidden="false" customHeight="true" outlineLevel="0" collapsed="false">
      <c r="C2823" s="98" t="s">
        <v>4613</v>
      </c>
      <c r="D2823" s="98" t="s">
        <v>1720</v>
      </c>
      <c r="E2823" s="98" t="s">
        <v>1701</v>
      </c>
      <c r="F2823" s="98" t="n">
        <v>1</v>
      </c>
      <c r="G2823" s="98" t="s">
        <v>4600</v>
      </c>
      <c r="H2823" s="98" t="s">
        <v>1703</v>
      </c>
      <c r="I2823" s="98" t="s">
        <v>1704</v>
      </c>
      <c r="J2823" s="98" t="s">
        <v>1705</v>
      </c>
      <c r="K2823" s="98" t="s">
        <v>1706</v>
      </c>
    </row>
    <row r="2824" customFormat="false" ht="64" hidden="false" customHeight="true" outlineLevel="0" collapsed="false">
      <c r="C2824" s="98" t="s">
        <v>4614</v>
      </c>
      <c r="D2824" s="98" t="s">
        <v>1722</v>
      </c>
      <c r="E2824" s="98" t="s">
        <v>1701</v>
      </c>
      <c r="F2824" s="98" t="n">
        <v>1</v>
      </c>
      <c r="G2824" s="98" t="s">
        <v>4600</v>
      </c>
      <c r="H2824" s="98" t="s">
        <v>1703</v>
      </c>
      <c r="I2824" s="98" t="s">
        <v>1704</v>
      </c>
      <c r="J2824" s="98" t="s">
        <v>1705</v>
      </c>
      <c r="K2824" s="98" t="s">
        <v>1706</v>
      </c>
    </row>
    <row r="2825" customFormat="false" ht="64" hidden="false" customHeight="true" outlineLevel="0" collapsed="false">
      <c r="C2825" s="98" t="s">
        <v>4615</v>
      </c>
      <c r="D2825" s="98" t="s">
        <v>1724</v>
      </c>
      <c r="E2825" s="98" t="s">
        <v>1701</v>
      </c>
      <c r="F2825" s="98" t="n">
        <v>1</v>
      </c>
      <c r="G2825" s="98" t="s">
        <v>4600</v>
      </c>
      <c r="H2825" s="98" t="s">
        <v>1703</v>
      </c>
      <c r="I2825" s="98" t="s">
        <v>1704</v>
      </c>
      <c r="J2825" s="98" t="s">
        <v>1705</v>
      </c>
      <c r="K2825" s="98" t="s">
        <v>1706</v>
      </c>
    </row>
    <row r="2826" customFormat="false" ht="64" hidden="false" customHeight="true" outlineLevel="0" collapsed="false">
      <c r="C2826" s="98" t="s">
        <v>4616</v>
      </c>
      <c r="D2826" s="98" t="s">
        <v>1726</v>
      </c>
      <c r="E2826" s="98" t="s">
        <v>1701</v>
      </c>
      <c r="F2826" s="98" t="n">
        <v>1</v>
      </c>
      <c r="G2826" s="98" t="s">
        <v>4600</v>
      </c>
      <c r="H2826" s="98" t="s">
        <v>1703</v>
      </c>
      <c r="I2826" s="98" t="s">
        <v>1704</v>
      </c>
      <c r="J2826" s="98" t="s">
        <v>1705</v>
      </c>
      <c r="K2826" s="98" t="s">
        <v>1706</v>
      </c>
    </row>
    <row r="2827" customFormat="false" ht="64" hidden="false" customHeight="true" outlineLevel="0" collapsed="false">
      <c r="C2827" s="98" t="s">
        <v>4617</v>
      </c>
      <c r="D2827" s="98" t="s">
        <v>1728</v>
      </c>
      <c r="E2827" s="98" t="s">
        <v>1701</v>
      </c>
      <c r="F2827" s="98" t="n">
        <v>1</v>
      </c>
      <c r="G2827" s="98" t="s">
        <v>4600</v>
      </c>
      <c r="H2827" s="98" t="s">
        <v>1703</v>
      </c>
      <c r="I2827" s="98" t="s">
        <v>1704</v>
      </c>
      <c r="J2827" s="98" t="s">
        <v>1705</v>
      </c>
      <c r="K2827" s="98" t="s">
        <v>1706</v>
      </c>
    </row>
    <row r="2828" customFormat="false" ht="64" hidden="false" customHeight="true" outlineLevel="0" collapsed="false">
      <c r="C2828" s="98" t="s">
        <v>4618</v>
      </c>
      <c r="D2828" s="98" t="s">
        <v>1730</v>
      </c>
      <c r="E2828" s="98" t="s">
        <v>1701</v>
      </c>
      <c r="F2828" s="98" t="n">
        <v>1</v>
      </c>
      <c r="G2828" s="98" t="s">
        <v>4600</v>
      </c>
      <c r="H2828" s="98" t="s">
        <v>1703</v>
      </c>
      <c r="I2828" s="98" t="s">
        <v>1704</v>
      </c>
      <c r="J2828" s="98" t="s">
        <v>1705</v>
      </c>
      <c r="K2828" s="98" t="s">
        <v>1706</v>
      </c>
    </row>
    <row r="2829" customFormat="false" ht="64" hidden="false" customHeight="true" outlineLevel="0" collapsed="false">
      <c r="C2829" s="98" t="s">
        <v>4619</v>
      </c>
      <c r="D2829" s="98" t="s">
        <v>1732</v>
      </c>
      <c r="E2829" s="98" t="s">
        <v>1701</v>
      </c>
      <c r="F2829" s="98" t="n">
        <v>1</v>
      </c>
      <c r="G2829" s="98" t="s">
        <v>4600</v>
      </c>
      <c r="H2829" s="98" t="s">
        <v>1703</v>
      </c>
      <c r="I2829" s="98" t="s">
        <v>1704</v>
      </c>
      <c r="J2829" s="98" t="s">
        <v>1705</v>
      </c>
      <c r="K2829" s="98" t="s">
        <v>1706</v>
      </c>
    </row>
    <row r="2830" customFormat="false" ht="64" hidden="false" customHeight="true" outlineLevel="0" collapsed="false">
      <c r="C2830" s="98" t="s">
        <v>4620</v>
      </c>
      <c r="D2830" s="98" t="s">
        <v>1734</v>
      </c>
      <c r="E2830" s="98" t="s">
        <v>1701</v>
      </c>
      <c r="F2830" s="98" t="n">
        <v>1</v>
      </c>
      <c r="G2830" s="98" t="s">
        <v>4600</v>
      </c>
      <c r="H2830" s="98" t="s">
        <v>1703</v>
      </c>
      <c r="I2830" s="98" t="s">
        <v>1704</v>
      </c>
      <c r="J2830" s="98" t="s">
        <v>1705</v>
      </c>
      <c r="K2830" s="98" t="s">
        <v>1706</v>
      </c>
    </row>
    <row r="2831" customFormat="false" ht="64" hidden="false" customHeight="true" outlineLevel="0" collapsed="false">
      <c r="C2831" s="98" t="s">
        <v>4621</v>
      </c>
      <c r="D2831" s="98" t="s">
        <v>1736</v>
      </c>
      <c r="E2831" s="98" t="s">
        <v>1701</v>
      </c>
      <c r="F2831" s="98" t="n">
        <v>1</v>
      </c>
      <c r="G2831" s="98" t="s">
        <v>4600</v>
      </c>
      <c r="H2831" s="98" t="s">
        <v>1703</v>
      </c>
      <c r="I2831" s="98" t="s">
        <v>1704</v>
      </c>
      <c r="J2831" s="98" t="s">
        <v>1705</v>
      </c>
      <c r="K2831" s="98" t="s">
        <v>1706</v>
      </c>
    </row>
    <row r="2832" customFormat="false" ht="64" hidden="false" customHeight="true" outlineLevel="0" collapsed="false">
      <c r="C2832" s="98" t="s">
        <v>4622</v>
      </c>
      <c r="D2832" s="98" t="s">
        <v>1738</v>
      </c>
      <c r="E2832" s="98" t="s">
        <v>1701</v>
      </c>
      <c r="F2832" s="98" t="n">
        <v>1</v>
      </c>
      <c r="G2832" s="98" t="s">
        <v>4600</v>
      </c>
      <c r="H2832" s="98" t="s">
        <v>1703</v>
      </c>
      <c r="I2832" s="98" t="s">
        <v>1704</v>
      </c>
      <c r="J2832" s="98" t="s">
        <v>1705</v>
      </c>
      <c r="K2832" s="98" t="s">
        <v>1706</v>
      </c>
    </row>
    <row r="2833" customFormat="false" ht="64" hidden="false" customHeight="true" outlineLevel="0" collapsed="false">
      <c r="C2833" s="98" t="s">
        <v>4623</v>
      </c>
      <c r="D2833" s="98" t="s">
        <v>1740</v>
      </c>
      <c r="E2833" s="98" t="s">
        <v>1701</v>
      </c>
      <c r="F2833" s="98" t="n">
        <v>1</v>
      </c>
      <c r="G2833" s="98" t="s">
        <v>4600</v>
      </c>
      <c r="H2833" s="98" t="s">
        <v>1703</v>
      </c>
      <c r="I2833" s="98" t="s">
        <v>1704</v>
      </c>
      <c r="J2833" s="98" t="s">
        <v>1705</v>
      </c>
      <c r="K2833" s="98" t="s">
        <v>1706</v>
      </c>
    </row>
    <row r="2834" customFormat="false" ht="64" hidden="false" customHeight="true" outlineLevel="0" collapsed="false">
      <c r="C2834" s="98" t="s">
        <v>4624</v>
      </c>
      <c r="D2834" s="98" t="s">
        <v>1742</v>
      </c>
      <c r="E2834" s="98" t="s">
        <v>1701</v>
      </c>
      <c r="F2834" s="98" t="n">
        <v>1</v>
      </c>
      <c r="G2834" s="98" t="s">
        <v>4600</v>
      </c>
      <c r="H2834" s="98" t="s">
        <v>1703</v>
      </c>
      <c r="I2834" s="98" t="s">
        <v>1704</v>
      </c>
      <c r="J2834" s="98" t="s">
        <v>1705</v>
      </c>
      <c r="K2834" s="98" t="s">
        <v>1706</v>
      </c>
    </row>
    <row r="2835" customFormat="false" ht="64" hidden="false" customHeight="true" outlineLevel="0" collapsed="false">
      <c r="C2835" s="98" t="s">
        <v>4625</v>
      </c>
      <c r="D2835" s="98" t="s">
        <v>1744</v>
      </c>
      <c r="E2835" s="98" t="s">
        <v>1701</v>
      </c>
      <c r="F2835" s="98" t="n">
        <v>1</v>
      </c>
      <c r="G2835" s="98" t="s">
        <v>4600</v>
      </c>
      <c r="H2835" s="98" t="s">
        <v>1703</v>
      </c>
      <c r="I2835" s="98" t="s">
        <v>1704</v>
      </c>
      <c r="J2835" s="98" t="s">
        <v>1705</v>
      </c>
      <c r="K2835" s="98" t="s">
        <v>1706</v>
      </c>
    </row>
    <row r="2836" customFormat="false" ht="64" hidden="false" customHeight="true" outlineLevel="0" collapsed="false">
      <c r="C2836" s="98" t="s">
        <v>4626</v>
      </c>
      <c r="D2836" s="98" t="s">
        <v>1746</v>
      </c>
      <c r="E2836" s="98" t="s">
        <v>1701</v>
      </c>
      <c r="F2836" s="98" t="n">
        <v>1</v>
      </c>
      <c r="G2836" s="98" t="s">
        <v>4600</v>
      </c>
      <c r="H2836" s="98" t="s">
        <v>1703</v>
      </c>
      <c r="I2836" s="98" t="s">
        <v>1704</v>
      </c>
      <c r="J2836" s="98" t="s">
        <v>1705</v>
      </c>
      <c r="K2836" s="98" t="s">
        <v>1706</v>
      </c>
    </row>
    <row r="2837" customFormat="false" ht="64" hidden="false" customHeight="true" outlineLevel="0" collapsed="false">
      <c r="C2837" s="98" t="s">
        <v>4627</v>
      </c>
      <c r="D2837" s="98" t="s">
        <v>1748</v>
      </c>
      <c r="E2837" s="98" t="s">
        <v>1701</v>
      </c>
      <c r="F2837" s="98" t="n">
        <v>1</v>
      </c>
      <c r="G2837" s="98" t="s">
        <v>4600</v>
      </c>
      <c r="H2837" s="98" t="s">
        <v>1703</v>
      </c>
      <c r="I2837" s="98" t="s">
        <v>1704</v>
      </c>
      <c r="J2837" s="98" t="s">
        <v>1705</v>
      </c>
      <c r="K2837" s="98" t="s">
        <v>1706</v>
      </c>
    </row>
    <row r="2838" customFormat="false" ht="64" hidden="false" customHeight="true" outlineLevel="0" collapsed="false">
      <c r="C2838" s="98" t="s">
        <v>4628</v>
      </c>
      <c r="D2838" s="98" t="s">
        <v>1750</v>
      </c>
      <c r="E2838" s="98" t="s">
        <v>1701</v>
      </c>
      <c r="F2838" s="98" t="n">
        <v>1</v>
      </c>
      <c r="G2838" s="98" t="s">
        <v>4600</v>
      </c>
      <c r="H2838" s="98" t="s">
        <v>1703</v>
      </c>
      <c r="I2838" s="98" t="s">
        <v>1704</v>
      </c>
      <c r="J2838" s="98" t="s">
        <v>1705</v>
      </c>
      <c r="K2838" s="98" t="s">
        <v>1706</v>
      </c>
    </row>
    <row r="2839" customFormat="false" ht="64" hidden="false" customHeight="true" outlineLevel="0" collapsed="false">
      <c r="C2839" s="98" t="s">
        <v>4629</v>
      </c>
      <c r="D2839" s="98" t="s">
        <v>1752</v>
      </c>
      <c r="E2839" s="98" t="s">
        <v>1701</v>
      </c>
      <c r="F2839" s="98" t="n">
        <v>1</v>
      </c>
      <c r="G2839" s="98" t="s">
        <v>4600</v>
      </c>
      <c r="H2839" s="98" t="s">
        <v>1703</v>
      </c>
      <c r="I2839" s="98" t="s">
        <v>1704</v>
      </c>
      <c r="J2839" s="98" t="s">
        <v>1705</v>
      </c>
      <c r="K2839" s="98" t="s">
        <v>1706</v>
      </c>
    </row>
    <row r="2840" customFormat="false" ht="64" hidden="false" customHeight="true" outlineLevel="0" collapsed="false">
      <c r="C2840" s="98" t="s">
        <v>4630</v>
      </c>
      <c r="D2840" s="98" t="s">
        <v>1754</v>
      </c>
      <c r="E2840" s="98" t="s">
        <v>1701</v>
      </c>
      <c r="F2840" s="98" t="n">
        <v>1</v>
      </c>
      <c r="G2840" s="98" t="s">
        <v>4600</v>
      </c>
      <c r="H2840" s="98" t="s">
        <v>1703</v>
      </c>
      <c r="I2840" s="98" t="s">
        <v>1704</v>
      </c>
      <c r="J2840" s="98" t="s">
        <v>1705</v>
      </c>
      <c r="K2840" s="98" t="s">
        <v>1706</v>
      </c>
    </row>
    <row r="2841" customFormat="false" ht="64" hidden="false" customHeight="true" outlineLevel="0" collapsed="false">
      <c r="C2841" s="98" t="s">
        <v>4631</v>
      </c>
      <c r="D2841" s="98" t="s">
        <v>1756</v>
      </c>
      <c r="E2841" s="98" t="s">
        <v>1701</v>
      </c>
      <c r="F2841" s="98" t="n">
        <v>1</v>
      </c>
      <c r="G2841" s="98" t="s">
        <v>4600</v>
      </c>
      <c r="H2841" s="98" t="s">
        <v>1703</v>
      </c>
      <c r="I2841" s="98" t="s">
        <v>1704</v>
      </c>
      <c r="J2841" s="98" t="s">
        <v>1705</v>
      </c>
      <c r="K2841" s="98" t="s">
        <v>1706</v>
      </c>
    </row>
    <row r="2842" customFormat="false" ht="64" hidden="false" customHeight="true" outlineLevel="0" collapsed="false">
      <c r="C2842" s="98" t="s">
        <v>4632</v>
      </c>
      <c r="D2842" s="98" t="s">
        <v>1758</v>
      </c>
      <c r="E2842" s="98" t="s">
        <v>1701</v>
      </c>
      <c r="F2842" s="98" t="n">
        <v>1</v>
      </c>
      <c r="G2842" s="98" t="s">
        <v>4600</v>
      </c>
      <c r="H2842" s="98" t="s">
        <v>1703</v>
      </c>
      <c r="I2842" s="98" t="s">
        <v>1704</v>
      </c>
      <c r="J2842" s="98" t="s">
        <v>1705</v>
      </c>
      <c r="K2842" s="98" t="s">
        <v>1706</v>
      </c>
    </row>
    <row r="2843" customFormat="false" ht="64" hidden="false" customHeight="true" outlineLevel="0" collapsed="false">
      <c r="C2843" s="98" t="s">
        <v>4633</v>
      </c>
      <c r="D2843" s="98" t="s">
        <v>1760</v>
      </c>
      <c r="E2843" s="98" t="s">
        <v>1701</v>
      </c>
      <c r="F2843" s="98" t="n">
        <v>1</v>
      </c>
      <c r="G2843" s="98" t="s">
        <v>4600</v>
      </c>
      <c r="H2843" s="98" t="s">
        <v>1703</v>
      </c>
      <c r="I2843" s="98" t="s">
        <v>1704</v>
      </c>
      <c r="J2843" s="98" t="s">
        <v>1705</v>
      </c>
      <c r="K2843" s="98" t="s">
        <v>1706</v>
      </c>
    </row>
    <row r="2844" customFormat="false" ht="64" hidden="false" customHeight="true" outlineLevel="0" collapsed="false">
      <c r="C2844" s="98" t="s">
        <v>4634</v>
      </c>
      <c r="D2844" s="98" t="s">
        <v>1762</v>
      </c>
      <c r="E2844" s="98" t="s">
        <v>1701</v>
      </c>
      <c r="F2844" s="98" t="n">
        <v>1</v>
      </c>
      <c r="G2844" s="98" t="s">
        <v>4600</v>
      </c>
      <c r="H2844" s="98" t="s">
        <v>1703</v>
      </c>
      <c r="I2844" s="98" t="s">
        <v>1704</v>
      </c>
      <c r="J2844" s="98" t="s">
        <v>1705</v>
      </c>
      <c r="K2844" s="98" t="s">
        <v>1706</v>
      </c>
    </row>
    <row r="2845" customFormat="false" ht="64" hidden="false" customHeight="true" outlineLevel="0" collapsed="false">
      <c r="C2845" s="98" t="s">
        <v>4635</v>
      </c>
      <c r="D2845" s="98" t="s">
        <v>1764</v>
      </c>
      <c r="E2845" s="98" t="s">
        <v>1701</v>
      </c>
      <c r="F2845" s="98" t="n">
        <v>1</v>
      </c>
      <c r="G2845" s="98" t="s">
        <v>4600</v>
      </c>
      <c r="H2845" s="98" t="s">
        <v>1703</v>
      </c>
      <c r="I2845" s="98" t="s">
        <v>1704</v>
      </c>
      <c r="J2845" s="98" t="s">
        <v>1705</v>
      </c>
      <c r="K2845" s="98" t="s">
        <v>1706</v>
      </c>
    </row>
    <row r="2846" customFormat="false" ht="64" hidden="false" customHeight="true" outlineLevel="0" collapsed="false">
      <c r="C2846" s="98" t="s">
        <v>4636</v>
      </c>
      <c r="D2846" s="98" t="s">
        <v>1829</v>
      </c>
      <c r="E2846" s="98" t="s">
        <v>1701</v>
      </c>
      <c r="F2846" s="98" t="n">
        <v>1</v>
      </c>
      <c r="G2846" s="98" t="s">
        <v>4600</v>
      </c>
      <c r="H2846" s="98" t="s">
        <v>1703</v>
      </c>
      <c r="I2846" s="98" t="s">
        <v>1704</v>
      </c>
      <c r="J2846" s="98" t="s">
        <v>1705</v>
      </c>
      <c r="K2846" s="98" t="s">
        <v>1706</v>
      </c>
    </row>
    <row r="2847" customFormat="false" ht="64" hidden="false" customHeight="true" outlineLevel="0" collapsed="false">
      <c r="C2847" s="98" t="s">
        <v>4637</v>
      </c>
      <c r="D2847" s="98" t="s">
        <v>1833</v>
      </c>
      <c r="E2847" s="98" t="s">
        <v>1701</v>
      </c>
      <c r="F2847" s="98" t="n">
        <v>1</v>
      </c>
      <c r="G2847" s="98" t="s">
        <v>4600</v>
      </c>
      <c r="H2847" s="98" t="s">
        <v>1703</v>
      </c>
      <c r="I2847" s="98" t="s">
        <v>1704</v>
      </c>
      <c r="J2847" s="98" t="s">
        <v>1705</v>
      </c>
      <c r="K2847" s="98" t="s">
        <v>1706</v>
      </c>
    </row>
    <row r="2848" customFormat="false" ht="64" hidden="false" customHeight="true" outlineLevel="0" collapsed="false">
      <c r="C2848" s="98" t="s">
        <v>4638</v>
      </c>
      <c r="D2848" s="98" t="s">
        <v>1835</v>
      </c>
      <c r="E2848" s="98" t="s">
        <v>1701</v>
      </c>
      <c r="F2848" s="98" t="n">
        <v>1</v>
      </c>
      <c r="G2848" s="98" t="s">
        <v>4600</v>
      </c>
      <c r="H2848" s="98" t="s">
        <v>1703</v>
      </c>
      <c r="I2848" s="98" t="s">
        <v>1704</v>
      </c>
      <c r="J2848" s="98" t="s">
        <v>1705</v>
      </c>
      <c r="K2848" s="98" t="s">
        <v>1706</v>
      </c>
    </row>
    <row r="2849" customFormat="false" ht="64" hidden="false" customHeight="true" outlineLevel="0" collapsed="false">
      <c r="C2849" s="98" t="s">
        <v>4639</v>
      </c>
      <c r="D2849" s="98" t="s">
        <v>1044</v>
      </c>
      <c r="E2849" s="98" t="s">
        <v>1701</v>
      </c>
      <c r="F2849" s="98" t="n">
        <v>1</v>
      </c>
      <c r="G2849" s="98" t="s">
        <v>4600</v>
      </c>
      <c r="H2849" s="98" t="s">
        <v>1703</v>
      </c>
      <c r="I2849" s="98" t="s">
        <v>1704</v>
      </c>
      <c r="J2849" s="98" t="s">
        <v>1705</v>
      </c>
      <c r="K2849" s="98" t="s">
        <v>1706</v>
      </c>
    </row>
    <row r="2850" customFormat="false" ht="64" hidden="false" customHeight="true" outlineLevel="0" collapsed="false">
      <c r="C2850" s="98" t="s">
        <v>4640</v>
      </c>
      <c r="D2850" s="98" t="s">
        <v>1838</v>
      </c>
      <c r="E2850" s="98" t="s">
        <v>1701</v>
      </c>
      <c r="F2850" s="98" t="n">
        <v>1</v>
      </c>
      <c r="G2850" s="98" t="s">
        <v>4600</v>
      </c>
      <c r="H2850" s="98" t="s">
        <v>1703</v>
      </c>
      <c r="I2850" s="98" t="s">
        <v>1704</v>
      </c>
      <c r="J2850" s="98" t="s">
        <v>1705</v>
      </c>
      <c r="K2850" s="98" t="s">
        <v>1706</v>
      </c>
    </row>
    <row r="2851" customFormat="false" ht="64" hidden="false" customHeight="true" outlineLevel="0" collapsed="false">
      <c r="C2851" s="98" t="s">
        <v>4641</v>
      </c>
      <c r="D2851" s="98" t="s">
        <v>1840</v>
      </c>
      <c r="E2851" s="98" t="s">
        <v>1701</v>
      </c>
      <c r="F2851" s="98" t="n">
        <v>1</v>
      </c>
      <c r="G2851" s="98" t="s">
        <v>4600</v>
      </c>
      <c r="H2851" s="98" t="s">
        <v>1703</v>
      </c>
      <c r="I2851" s="98" t="s">
        <v>1704</v>
      </c>
      <c r="J2851" s="98" t="s">
        <v>1705</v>
      </c>
      <c r="K2851" s="98" t="s">
        <v>1706</v>
      </c>
    </row>
    <row r="2852" customFormat="false" ht="64" hidden="false" customHeight="true" outlineLevel="0" collapsed="false">
      <c r="C2852" s="98" t="s">
        <v>4642</v>
      </c>
      <c r="D2852" s="98" t="s">
        <v>1700</v>
      </c>
      <c r="E2852" s="98" t="s">
        <v>1701</v>
      </c>
      <c r="F2852" s="98" t="n">
        <v>1</v>
      </c>
      <c r="G2852" s="98" t="s">
        <v>4600</v>
      </c>
      <c r="H2852" s="98" t="s">
        <v>1703</v>
      </c>
      <c r="I2852" s="98" t="s">
        <v>1704</v>
      </c>
      <c r="J2852" s="98" t="s">
        <v>1705</v>
      </c>
      <c r="K2852" s="98" t="s">
        <v>1706</v>
      </c>
    </row>
    <row r="2853" customFormat="false" ht="64" hidden="false" customHeight="true" outlineLevel="0" collapsed="false">
      <c r="C2853" s="98" t="s">
        <v>4643</v>
      </c>
      <c r="D2853" s="98" t="s">
        <v>1708</v>
      </c>
      <c r="E2853" s="98" t="s">
        <v>1701</v>
      </c>
      <c r="F2853" s="98" t="n">
        <v>1</v>
      </c>
      <c r="G2853" s="98" t="s">
        <v>4600</v>
      </c>
      <c r="H2853" s="98" t="s">
        <v>1703</v>
      </c>
      <c r="I2853" s="98" t="s">
        <v>1704</v>
      </c>
      <c r="J2853" s="98" t="s">
        <v>1705</v>
      </c>
      <c r="K2853" s="98" t="s">
        <v>1706</v>
      </c>
    </row>
    <row r="2854" customFormat="false" ht="64" hidden="false" customHeight="true" outlineLevel="0" collapsed="false">
      <c r="C2854" s="98" t="s">
        <v>4644</v>
      </c>
      <c r="D2854" s="98" t="s">
        <v>1710</v>
      </c>
      <c r="E2854" s="98" t="s">
        <v>1701</v>
      </c>
      <c r="F2854" s="98" t="n">
        <v>1</v>
      </c>
      <c r="G2854" s="98" t="s">
        <v>4600</v>
      </c>
      <c r="H2854" s="98" t="s">
        <v>1703</v>
      </c>
      <c r="I2854" s="98" t="s">
        <v>1704</v>
      </c>
      <c r="J2854" s="98" t="s">
        <v>1705</v>
      </c>
      <c r="K2854" s="98" t="s">
        <v>1706</v>
      </c>
    </row>
    <row r="2855" customFormat="false" ht="64" hidden="false" customHeight="true" outlineLevel="0" collapsed="false">
      <c r="C2855" s="98" t="s">
        <v>4645</v>
      </c>
      <c r="D2855" s="98" t="s">
        <v>1712</v>
      </c>
      <c r="E2855" s="98" t="s">
        <v>1701</v>
      </c>
      <c r="F2855" s="98" t="n">
        <v>1</v>
      </c>
      <c r="G2855" s="98" t="s">
        <v>4600</v>
      </c>
      <c r="H2855" s="98" t="s">
        <v>1703</v>
      </c>
      <c r="I2855" s="98" t="s">
        <v>1704</v>
      </c>
      <c r="J2855" s="98" t="s">
        <v>1705</v>
      </c>
      <c r="K2855" s="98" t="s">
        <v>1706</v>
      </c>
    </row>
    <row r="2856" customFormat="false" ht="64" hidden="false" customHeight="true" outlineLevel="0" collapsed="false">
      <c r="C2856" s="98" t="s">
        <v>4646</v>
      </c>
      <c r="D2856" s="98" t="s">
        <v>1714</v>
      </c>
      <c r="E2856" s="98" t="s">
        <v>1701</v>
      </c>
      <c r="F2856" s="98" t="n">
        <v>1</v>
      </c>
      <c r="G2856" s="98" t="s">
        <v>4600</v>
      </c>
      <c r="H2856" s="98" t="s">
        <v>1703</v>
      </c>
      <c r="I2856" s="98" t="s">
        <v>1704</v>
      </c>
      <c r="J2856" s="98" t="s">
        <v>1705</v>
      </c>
      <c r="K2856" s="98" t="s">
        <v>1706</v>
      </c>
    </row>
    <row r="2857" customFormat="false" ht="64" hidden="false" customHeight="true" outlineLevel="0" collapsed="false">
      <c r="C2857" s="98" t="s">
        <v>4647</v>
      </c>
      <c r="D2857" s="98" t="s">
        <v>1716</v>
      </c>
      <c r="E2857" s="98" t="s">
        <v>1701</v>
      </c>
      <c r="F2857" s="98" t="n">
        <v>1</v>
      </c>
      <c r="G2857" s="98" t="s">
        <v>4600</v>
      </c>
      <c r="H2857" s="98" t="s">
        <v>1703</v>
      </c>
      <c r="I2857" s="98" t="s">
        <v>1704</v>
      </c>
      <c r="J2857" s="98" t="s">
        <v>1705</v>
      </c>
      <c r="K2857" s="98" t="s">
        <v>1706</v>
      </c>
    </row>
    <row r="2858" customFormat="false" ht="64" hidden="false" customHeight="true" outlineLevel="0" collapsed="false">
      <c r="C2858" s="98" t="s">
        <v>4648</v>
      </c>
      <c r="D2858" s="98" t="s">
        <v>1718</v>
      </c>
      <c r="E2858" s="98" t="s">
        <v>1701</v>
      </c>
      <c r="F2858" s="98" t="n">
        <v>1</v>
      </c>
      <c r="G2858" s="98" t="s">
        <v>4600</v>
      </c>
      <c r="H2858" s="98" t="s">
        <v>1703</v>
      </c>
      <c r="I2858" s="98" t="s">
        <v>1704</v>
      </c>
      <c r="J2858" s="98" t="s">
        <v>1705</v>
      </c>
      <c r="K2858" s="98" t="s">
        <v>1706</v>
      </c>
    </row>
    <row r="2859" customFormat="false" ht="64" hidden="false" customHeight="true" outlineLevel="0" collapsed="false">
      <c r="C2859" s="98" t="s">
        <v>4649</v>
      </c>
      <c r="D2859" s="98" t="s">
        <v>1720</v>
      </c>
      <c r="E2859" s="98" t="s">
        <v>1701</v>
      </c>
      <c r="F2859" s="98" t="n">
        <v>1</v>
      </c>
      <c r="G2859" s="98" t="s">
        <v>4600</v>
      </c>
      <c r="H2859" s="98" t="s">
        <v>1703</v>
      </c>
      <c r="I2859" s="98" t="s">
        <v>1704</v>
      </c>
      <c r="J2859" s="98" t="s">
        <v>1705</v>
      </c>
      <c r="K2859" s="98" t="s">
        <v>1706</v>
      </c>
    </row>
    <row r="2860" customFormat="false" ht="64" hidden="false" customHeight="true" outlineLevel="0" collapsed="false">
      <c r="C2860" s="98" t="s">
        <v>4650</v>
      </c>
      <c r="D2860" s="98" t="s">
        <v>1722</v>
      </c>
      <c r="E2860" s="98" t="s">
        <v>1701</v>
      </c>
      <c r="F2860" s="98" t="n">
        <v>1</v>
      </c>
      <c r="G2860" s="98" t="s">
        <v>4600</v>
      </c>
      <c r="H2860" s="98" t="s">
        <v>1703</v>
      </c>
      <c r="I2860" s="98" t="s">
        <v>1704</v>
      </c>
      <c r="J2860" s="98" t="s">
        <v>1705</v>
      </c>
      <c r="K2860" s="98" t="s">
        <v>1706</v>
      </c>
    </row>
    <row r="2861" customFormat="false" ht="64" hidden="false" customHeight="true" outlineLevel="0" collapsed="false">
      <c r="C2861" s="98" t="s">
        <v>4651</v>
      </c>
      <c r="D2861" s="98" t="s">
        <v>1724</v>
      </c>
      <c r="E2861" s="98" t="s">
        <v>1701</v>
      </c>
      <c r="F2861" s="98" t="n">
        <v>1</v>
      </c>
      <c r="G2861" s="98" t="s">
        <v>4600</v>
      </c>
      <c r="H2861" s="98" t="s">
        <v>1703</v>
      </c>
      <c r="I2861" s="98" t="s">
        <v>1704</v>
      </c>
      <c r="J2861" s="98" t="s">
        <v>1705</v>
      </c>
      <c r="K2861" s="98" t="s">
        <v>1706</v>
      </c>
    </row>
    <row r="2862" customFormat="false" ht="64" hidden="false" customHeight="true" outlineLevel="0" collapsed="false">
      <c r="C2862" s="98" t="s">
        <v>4652</v>
      </c>
      <c r="D2862" s="98" t="s">
        <v>1726</v>
      </c>
      <c r="E2862" s="98" t="s">
        <v>1701</v>
      </c>
      <c r="F2862" s="98" t="n">
        <v>1</v>
      </c>
      <c r="G2862" s="98" t="s">
        <v>4600</v>
      </c>
      <c r="H2862" s="98" t="s">
        <v>1703</v>
      </c>
      <c r="I2862" s="98" t="s">
        <v>1704</v>
      </c>
      <c r="J2862" s="98" t="s">
        <v>1705</v>
      </c>
      <c r="K2862" s="98" t="s">
        <v>1706</v>
      </c>
    </row>
    <row r="2863" customFormat="false" ht="64" hidden="false" customHeight="true" outlineLevel="0" collapsed="false">
      <c r="C2863" s="98" t="s">
        <v>4653</v>
      </c>
      <c r="D2863" s="98" t="s">
        <v>1728</v>
      </c>
      <c r="E2863" s="98" t="s">
        <v>1701</v>
      </c>
      <c r="F2863" s="98" t="n">
        <v>1</v>
      </c>
      <c r="G2863" s="98" t="s">
        <v>4600</v>
      </c>
      <c r="H2863" s="98" t="s">
        <v>1703</v>
      </c>
      <c r="I2863" s="98" t="s">
        <v>1704</v>
      </c>
      <c r="J2863" s="98" t="s">
        <v>1705</v>
      </c>
      <c r="K2863" s="98" t="s">
        <v>1706</v>
      </c>
    </row>
    <row r="2864" customFormat="false" ht="64" hidden="false" customHeight="true" outlineLevel="0" collapsed="false">
      <c r="C2864" s="98" t="s">
        <v>4654</v>
      </c>
      <c r="D2864" s="98" t="s">
        <v>1730</v>
      </c>
      <c r="E2864" s="98" t="s">
        <v>1701</v>
      </c>
      <c r="F2864" s="98" t="n">
        <v>1</v>
      </c>
      <c r="G2864" s="98" t="s">
        <v>4600</v>
      </c>
      <c r="H2864" s="98" t="s">
        <v>1703</v>
      </c>
      <c r="I2864" s="98" t="s">
        <v>1704</v>
      </c>
      <c r="J2864" s="98" t="s">
        <v>1705</v>
      </c>
      <c r="K2864" s="98" t="s">
        <v>1706</v>
      </c>
    </row>
    <row r="2865" customFormat="false" ht="64" hidden="false" customHeight="true" outlineLevel="0" collapsed="false">
      <c r="C2865" s="98" t="s">
        <v>4655</v>
      </c>
      <c r="D2865" s="98" t="s">
        <v>1732</v>
      </c>
      <c r="E2865" s="98" t="s">
        <v>1701</v>
      </c>
      <c r="F2865" s="98" t="n">
        <v>1</v>
      </c>
      <c r="G2865" s="98" t="s">
        <v>4600</v>
      </c>
      <c r="H2865" s="98" t="s">
        <v>1703</v>
      </c>
      <c r="I2865" s="98" t="s">
        <v>1704</v>
      </c>
      <c r="J2865" s="98" t="s">
        <v>1705</v>
      </c>
      <c r="K2865" s="98" t="s">
        <v>1706</v>
      </c>
    </row>
    <row r="2866" customFormat="false" ht="64" hidden="false" customHeight="true" outlineLevel="0" collapsed="false">
      <c r="C2866" s="98" t="s">
        <v>4656</v>
      </c>
      <c r="D2866" s="98" t="s">
        <v>1734</v>
      </c>
      <c r="E2866" s="98" t="s">
        <v>1701</v>
      </c>
      <c r="F2866" s="98" t="n">
        <v>1</v>
      </c>
      <c r="G2866" s="98" t="s">
        <v>4600</v>
      </c>
      <c r="H2866" s="98" t="s">
        <v>1703</v>
      </c>
      <c r="I2866" s="98" t="s">
        <v>1704</v>
      </c>
      <c r="J2866" s="98" t="s">
        <v>1705</v>
      </c>
      <c r="K2866" s="98" t="s">
        <v>1706</v>
      </c>
    </row>
    <row r="2867" customFormat="false" ht="64" hidden="false" customHeight="true" outlineLevel="0" collapsed="false">
      <c r="C2867" s="98" t="s">
        <v>4657</v>
      </c>
      <c r="D2867" s="98" t="s">
        <v>1736</v>
      </c>
      <c r="E2867" s="98" t="s">
        <v>1701</v>
      </c>
      <c r="F2867" s="98" t="n">
        <v>1</v>
      </c>
      <c r="G2867" s="98" t="s">
        <v>4600</v>
      </c>
      <c r="H2867" s="98" t="s">
        <v>1703</v>
      </c>
      <c r="I2867" s="98" t="s">
        <v>1704</v>
      </c>
      <c r="J2867" s="98" t="s">
        <v>1705</v>
      </c>
      <c r="K2867" s="98" t="s">
        <v>1706</v>
      </c>
    </row>
    <row r="2868" customFormat="false" ht="64" hidden="false" customHeight="true" outlineLevel="0" collapsed="false">
      <c r="C2868" s="98" t="s">
        <v>4658</v>
      </c>
      <c r="D2868" s="98" t="s">
        <v>1738</v>
      </c>
      <c r="E2868" s="98" t="s">
        <v>1701</v>
      </c>
      <c r="F2868" s="98" t="n">
        <v>1</v>
      </c>
      <c r="G2868" s="98" t="s">
        <v>4600</v>
      </c>
      <c r="H2868" s="98" t="s">
        <v>1703</v>
      </c>
      <c r="I2868" s="98" t="s">
        <v>1704</v>
      </c>
      <c r="J2868" s="98" t="s">
        <v>1705</v>
      </c>
      <c r="K2868" s="98" t="s">
        <v>1706</v>
      </c>
    </row>
    <row r="2869" customFormat="false" ht="64" hidden="false" customHeight="true" outlineLevel="0" collapsed="false">
      <c r="C2869" s="98" t="s">
        <v>4659</v>
      </c>
      <c r="D2869" s="98" t="s">
        <v>1740</v>
      </c>
      <c r="E2869" s="98" t="s">
        <v>1701</v>
      </c>
      <c r="F2869" s="98" t="n">
        <v>1</v>
      </c>
      <c r="G2869" s="98" t="s">
        <v>4600</v>
      </c>
      <c r="H2869" s="98" t="s">
        <v>1703</v>
      </c>
      <c r="I2869" s="98" t="s">
        <v>1704</v>
      </c>
      <c r="J2869" s="98" t="s">
        <v>1705</v>
      </c>
      <c r="K2869" s="98" t="s">
        <v>1706</v>
      </c>
    </row>
    <row r="2870" customFormat="false" ht="64" hidden="false" customHeight="true" outlineLevel="0" collapsed="false">
      <c r="C2870" s="98" t="s">
        <v>4660</v>
      </c>
      <c r="D2870" s="98" t="s">
        <v>1742</v>
      </c>
      <c r="E2870" s="98" t="s">
        <v>1701</v>
      </c>
      <c r="F2870" s="98" t="n">
        <v>1</v>
      </c>
      <c r="G2870" s="98" t="s">
        <v>4600</v>
      </c>
      <c r="H2870" s="98" t="s">
        <v>1703</v>
      </c>
      <c r="I2870" s="98" t="s">
        <v>1704</v>
      </c>
      <c r="J2870" s="98" t="s">
        <v>1705</v>
      </c>
      <c r="K2870" s="98" t="s">
        <v>1706</v>
      </c>
    </row>
    <row r="2871" customFormat="false" ht="64" hidden="false" customHeight="true" outlineLevel="0" collapsed="false">
      <c r="C2871" s="98" t="s">
        <v>4661</v>
      </c>
      <c r="D2871" s="98" t="s">
        <v>1744</v>
      </c>
      <c r="E2871" s="98" t="s">
        <v>1701</v>
      </c>
      <c r="F2871" s="98" t="n">
        <v>1</v>
      </c>
      <c r="G2871" s="98" t="s">
        <v>4600</v>
      </c>
      <c r="H2871" s="98" t="s">
        <v>1703</v>
      </c>
      <c r="I2871" s="98" t="s">
        <v>1704</v>
      </c>
      <c r="J2871" s="98" t="s">
        <v>1705</v>
      </c>
      <c r="K2871" s="98" t="s">
        <v>1706</v>
      </c>
    </row>
    <row r="2872" customFormat="false" ht="64" hidden="false" customHeight="true" outlineLevel="0" collapsed="false">
      <c r="C2872" s="98" t="s">
        <v>4662</v>
      </c>
      <c r="D2872" s="98" t="s">
        <v>1746</v>
      </c>
      <c r="E2872" s="98" t="s">
        <v>1701</v>
      </c>
      <c r="F2872" s="98" t="n">
        <v>1</v>
      </c>
      <c r="G2872" s="98" t="s">
        <v>4600</v>
      </c>
      <c r="H2872" s="98" t="s">
        <v>1703</v>
      </c>
      <c r="I2872" s="98" t="s">
        <v>1704</v>
      </c>
      <c r="J2872" s="98" t="s">
        <v>1705</v>
      </c>
      <c r="K2872" s="98" t="s">
        <v>1706</v>
      </c>
    </row>
    <row r="2873" customFormat="false" ht="64" hidden="false" customHeight="true" outlineLevel="0" collapsed="false">
      <c r="C2873" s="98" t="s">
        <v>4663</v>
      </c>
      <c r="D2873" s="98" t="s">
        <v>1748</v>
      </c>
      <c r="E2873" s="98" t="s">
        <v>1701</v>
      </c>
      <c r="F2873" s="98" t="n">
        <v>1</v>
      </c>
      <c r="G2873" s="98" t="s">
        <v>4600</v>
      </c>
      <c r="H2873" s="98" t="s">
        <v>1703</v>
      </c>
      <c r="I2873" s="98" t="s">
        <v>1704</v>
      </c>
      <c r="J2873" s="98" t="s">
        <v>1705</v>
      </c>
      <c r="K2873" s="98" t="s">
        <v>1706</v>
      </c>
    </row>
    <row r="2874" customFormat="false" ht="64" hidden="false" customHeight="true" outlineLevel="0" collapsed="false">
      <c r="C2874" s="98" t="s">
        <v>4664</v>
      </c>
      <c r="D2874" s="98" t="s">
        <v>1750</v>
      </c>
      <c r="E2874" s="98" t="s">
        <v>1701</v>
      </c>
      <c r="F2874" s="98" t="n">
        <v>1</v>
      </c>
      <c r="G2874" s="98" t="s">
        <v>4600</v>
      </c>
      <c r="H2874" s="98" t="s">
        <v>1703</v>
      </c>
      <c r="I2874" s="98" t="s">
        <v>1704</v>
      </c>
      <c r="J2874" s="98" t="s">
        <v>1705</v>
      </c>
      <c r="K2874" s="98" t="s">
        <v>1706</v>
      </c>
    </row>
    <row r="2875" customFormat="false" ht="64" hidden="false" customHeight="true" outlineLevel="0" collapsed="false">
      <c r="C2875" s="98" t="s">
        <v>4665</v>
      </c>
      <c r="D2875" s="98" t="s">
        <v>1752</v>
      </c>
      <c r="E2875" s="98" t="s">
        <v>1701</v>
      </c>
      <c r="F2875" s="98" t="n">
        <v>1</v>
      </c>
      <c r="G2875" s="98" t="s">
        <v>4600</v>
      </c>
      <c r="H2875" s="98" t="s">
        <v>1703</v>
      </c>
      <c r="I2875" s="98" t="s">
        <v>1704</v>
      </c>
      <c r="J2875" s="98" t="s">
        <v>1705</v>
      </c>
      <c r="K2875" s="98" t="s">
        <v>1706</v>
      </c>
    </row>
    <row r="2876" customFormat="false" ht="64" hidden="false" customHeight="true" outlineLevel="0" collapsed="false">
      <c r="C2876" s="98" t="s">
        <v>4666</v>
      </c>
      <c r="D2876" s="98" t="s">
        <v>1754</v>
      </c>
      <c r="E2876" s="98" t="s">
        <v>1701</v>
      </c>
      <c r="F2876" s="98" t="n">
        <v>1</v>
      </c>
      <c r="G2876" s="98" t="s">
        <v>4600</v>
      </c>
      <c r="H2876" s="98" t="s">
        <v>1703</v>
      </c>
      <c r="I2876" s="98" t="s">
        <v>1704</v>
      </c>
      <c r="J2876" s="98" t="s">
        <v>1705</v>
      </c>
      <c r="K2876" s="98" t="s">
        <v>1706</v>
      </c>
    </row>
    <row r="2877" customFormat="false" ht="64" hidden="false" customHeight="true" outlineLevel="0" collapsed="false">
      <c r="C2877" s="98" t="s">
        <v>4667</v>
      </c>
      <c r="D2877" s="98" t="s">
        <v>1756</v>
      </c>
      <c r="E2877" s="98" t="s">
        <v>1701</v>
      </c>
      <c r="F2877" s="98" t="n">
        <v>1</v>
      </c>
      <c r="G2877" s="98" t="s">
        <v>4600</v>
      </c>
      <c r="H2877" s="98" t="s">
        <v>1703</v>
      </c>
      <c r="I2877" s="98" t="s">
        <v>1704</v>
      </c>
      <c r="J2877" s="98" t="s">
        <v>1705</v>
      </c>
      <c r="K2877" s="98" t="s">
        <v>1706</v>
      </c>
    </row>
    <row r="2878" customFormat="false" ht="64" hidden="false" customHeight="true" outlineLevel="0" collapsed="false">
      <c r="C2878" s="98" t="s">
        <v>4668</v>
      </c>
      <c r="D2878" s="98" t="s">
        <v>1758</v>
      </c>
      <c r="E2878" s="98" t="s">
        <v>1701</v>
      </c>
      <c r="F2878" s="98" t="n">
        <v>1</v>
      </c>
      <c r="G2878" s="98" t="s">
        <v>4600</v>
      </c>
      <c r="H2878" s="98" t="s">
        <v>1703</v>
      </c>
      <c r="I2878" s="98" t="s">
        <v>1704</v>
      </c>
      <c r="J2878" s="98" t="s">
        <v>1705</v>
      </c>
      <c r="K2878" s="98" t="s">
        <v>1706</v>
      </c>
    </row>
    <row r="2879" customFormat="false" ht="64" hidden="false" customHeight="true" outlineLevel="0" collapsed="false">
      <c r="C2879" s="98" t="s">
        <v>4669</v>
      </c>
      <c r="D2879" s="98" t="s">
        <v>1760</v>
      </c>
      <c r="E2879" s="98" t="s">
        <v>1701</v>
      </c>
      <c r="F2879" s="98" t="n">
        <v>1</v>
      </c>
      <c r="G2879" s="98" t="s">
        <v>4600</v>
      </c>
      <c r="H2879" s="98" t="s">
        <v>1703</v>
      </c>
      <c r="I2879" s="98" t="s">
        <v>1704</v>
      </c>
      <c r="J2879" s="98" t="s">
        <v>1705</v>
      </c>
      <c r="K2879" s="98" t="s">
        <v>1706</v>
      </c>
    </row>
    <row r="2880" customFormat="false" ht="64" hidden="false" customHeight="true" outlineLevel="0" collapsed="false">
      <c r="C2880" s="98" t="s">
        <v>4670</v>
      </c>
      <c r="D2880" s="98" t="s">
        <v>1762</v>
      </c>
      <c r="E2880" s="98" t="s">
        <v>1701</v>
      </c>
      <c r="F2880" s="98" t="n">
        <v>1</v>
      </c>
      <c r="G2880" s="98" t="s">
        <v>4600</v>
      </c>
      <c r="H2880" s="98" t="s">
        <v>1703</v>
      </c>
      <c r="I2880" s="98" t="s">
        <v>1704</v>
      </c>
      <c r="J2880" s="98" t="s">
        <v>1705</v>
      </c>
      <c r="K2880" s="98" t="s">
        <v>1706</v>
      </c>
    </row>
    <row r="2881" customFormat="false" ht="64" hidden="false" customHeight="true" outlineLevel="0" collapsed="false">
      <c r="C2881" s="98" t="s">
        <v>4671</v>
      </c>
      <c r="D2881" s="98" t="s">
        <v>1764</v>
      </c>
      <c r="E2881" s="98" t="s">
        <v>1701</v>
      </c>
      <c r="F2881" s="98" t="n">
        <v>1</v>
      </c>
      <c r="G2881" s="98" t="s">
        <v>4600</v>
      </c>
      <c r="H2881" s="98" t="s">
        <v>1703</v>
      </c>
      <c r="I2881" s="98" t="s">
        <v>1704</v>
      </c>
      <c r="J2881" s="98" t="s">
        <v>1705</v>
      </c>
      <c r="K2881" s="98" t="s">
        <v>1706</v>
      </c>
    </row>
    <row r="2882" customFormat="false" ht="64" hidden="false" customHeight="true" outlineLevel="0" collapsed="false">
      <c r="C2882" s="98" t="s">
        <v>4672</v>
      </c>
      <c r="D2882" s="98" t="s">
        <v>1829</v>
      </c>
      <c r="E2882" s="98" t="s">
        <v>1701</v>
      </c>
      <c r="F2882" s="98" t="n">
        <v>1</v>
      </c>
      <c r="G2882" s="98" t="s">
        <v>4600</v>
      </c>
      <c r="H2882" s="98" t="s">
        <v>1703</v>
      </c>
      <c r="I2882" s="98" t="s">
        <v>1704</v>
      </c>
      <c r="J2882" s="98" t="s">
        <v>1705</v>
      </c>
      <c r="K2882" s="98" t="s">
        <v>1706</v>
      </c>
    </row>
    <row r="2883" customFormat="false" ht="64" hidden="false" customHeight="true" outlineLevel="0" collapsed="false">
      <c r="C2883" s="98" t="s">
        <v>4673</v>
      </c>
      <c r="D2883" s="98" t="s">
        <v>1833</v>
      </c>
      <c r="E2883" s="98" t="s">
        <v>1701</v>
      </c>
      <c r="F2883" s="98" t="n">
        <v>1</v>
      </c>
      <c r="G2883" s="98" t="s">
        <v>4600</v>
      </c>
      <c r="H2883" s="98" t="s">
        <v>1703</v>
      </c>
      <c r="I2883" s="98" t="s">
        <v>1704</v>
      </c>
      <c r="J2883" s="98" t="s">
        <v>1705</v>
      </c>
      <c r="K2883" s="98" t="s">
        <v>1706</v>
      </c>
    </row>
    <row r="2884" customFormat="false" ht="64" hidden="false" customHeight="true" outlineLevel="0" collapsed="false">
      <c r="C2884" s="98" t="s">
        <v>4674</v>
      </c>
      <c r="D2884" s="98" t="s">
        <v>1835</v>
      </c>
      <c r="E2884" s="98" t="s">
        <v>1701</v>
      </c>
      <c r="F2884" s="98" t="n">
        <v>1</v>
      </c>
      <c r="G2884" s="98" t="s">
        <v>4600</v>
      </c>
      <c r="H2884" s="98" t="s">
        <v>1703</v>
      </c>
      <c r="I2884" s="98" t="s">
        <v>1704</v>
      </c>
      <c r="J2884" s="98" t="s">
        <v>1705</v>
      </c>
      <c r="K2884" s="98" t="s">
        <v>1706</v>
      </c>
    </row>
    <row r="2885" customFormat="false" ht="64" hidden="false" customHeight="true" outlineLevel="0" collapsed="false">
      <c r="C2885" s="98" t="s">
        <v>4675</v>
      </c>
      <c r="D2885" s="98" t="s">
        <v>1044</v>
      </c>
      <c r="E2885" s="98" t="s">
        <v>1701</v>
      </c>
      <c r="F2885" s="98" t="n">
        <v>1</v>
      </c>
      <c r="G2885" s="98" t="s">
        <v>4600</v>
      </c>
      <c r="H2885" s="98" t="s">
        <v>1703</v>
      </c>
      <c r="I2885" s="98" t="s">
        <v>1704</v>
      </c>
      <c r="J2885" s="98" t="s">
        <v>1705</v>
      </c>
      <c r="K2885" s="98" t="s">
        <v>1706</v>
      </c>
    </row>
    <row r="2886" customFormat="false" ht="64" hidden="false" customHeight="true" outlineLevel="0" collapsed="false">
      <c r="C2886" s="98" t="s">
        <v>4676</v>
      </c>
      <c r="D2886" s="98" t="s">
        <v>1838</v>
      </c>
      <c r="E2886" s="98" t="s">
        <v>1701</v>
      </c>
      <c r="F2886" s="98" t="n">
        <v>1</v>
      </c>
      <c r="G2886" s="98" t="s">
        <v>4600</v>
      </c>
      <c r="H2886" s="98" t="s">
        <v>1703</v>
      </c>
      <c r="I2886" s="98" t="s">
        <v>1704</v>
      </c>
      <c r="J2886" s="98" t="s">
        <v>1705</v>
      </c>
      <c r="K2886" s="98" t="s">
        <v>1706</v>
      </c>
    </row>
    <row r="2887" customFormat="false" ht="64" hidden="false" customHeight="true" outlineLevel="0" collapsed="false">
      <c r="C2887" s="98" t="s">
        <v>4677</v>
      </c>
      <c r="D2887" s="98" t="s">
        <v>1840</v>
      </c>
      <c r="E2887" s="98" t="s">
        <v>1701</v>
      </c>
      <c r="F2887" s="98" t="n">
        <v>1</v>
      </c>
      <c r="G2887" s="98" t="s">
        <v>4600</v>
      </c>
      <c r="H2887" s="98" t="s">
        <v>1703</v>
      </c>
      <c r="I2887" s="98" t="s">
        <v>1704</v>
      </c>
      <c r="J2887" s="98" t="s">
        <v>1705</v>
      </c>
      <c r="K2887" s="98" t="s">
        <v>1706</v>
      </c>
    </row>
    <row r="2888" customFormat="false" ht="64" hidden="false" customHeight="true" outlineLevel="0" collapsed="false">
      <c r="C2888" s="98" t="s">
        <v>4678</v>
      </c>
      <c r="D2888" s="98" t="s">
        <v>1700</v>
      </c>
      <c r="E2888" s="98" t="s">
        <v>1701</v>
      </c>
      <c r="F2888" s="98" t="n">
        <v>1</v>
      </c>
      <c r="G2888" s="98" t="s">
        <v>4600</v>
      </c>
      <c r="H2888" s="98" t="s">
        <v>1703</v>
      </c>
      <c r="I2888" s="98" t="s">
        <v>1704</v>
      </c>
      <c r="J2888" s="98" t="s">
        <v>1705</v>
      </c>
      <c r="K2888" s="98" t="s">
        <v>1706</v>
      </c>
    </row>
    <row r="2889" customFormat="false" ht="64" hidden="false" customHeight="true" outlineLevel="0" collapsed="false">
      <c r="C2889" s="98" t="s">
        <v>4679</v>
      </c>
      <c r="D2889" s="98" t="s">
        <v>1708</v>
      </c>
      <c r="E2889" s="98" t="s">
        <v>1701</v>
      </c>
      <c r="F2889" s="98" t="n">
        <v>1</v>
      </c>
      <c r="G2889" s="98" t="s">
        <v>4600</v>
      </c>
      <c r="H2889" s="98" t="s">
        <v>1703</v>
      </c>
      <c r="I2889" s="98" t="s">
        <v>1704</v>
      </c>
      <c r="J2889" s="98" t="s">
        <v>1705</v>
      </c>
      <c r="K2889" s="98" t="s">
        <v>1706</v>
      </c>
    </row>
    <row r="2890" customFormat="false" ht="64" hidden="false" customHeight="true" outlineLevel="0" collapsed="false">
      <c r="C2890" s="98" t="s">
        <v>4680</v>
      </c>
      <c r="D2890" s="98" t="s">
        <v>1710</v>
      </c>
      <c r="E2890" s="98" t="s">
        <v>1701</v>
      </c>
      <c r="F2890" s="98" t="n">
        <v>1</v>
      </c>
      <c r="G2890" s="98" t="s">
        <v>4600</v>
      </c>
      <c r="H2890" s="98" t="s">
        <v>1703</v>
      </c>
      <c r="I2890" s="98" t="s">
        <v>1704</v>
      </c>
      <c r="J2890" s="98" t="s">
        <v>1705</v>
      </c>
      <c r="K2890" s="98" t="s">
        <v>1706</v>
      </c>
    </row>
    <row r="2891" customFormat="false" ht="64" hidden="false" customHeight="true" outlineLevel="0" collapsed="false">
      <c r="C2891" s="98" t="s">
        <v>4681</v>
      </c>
      <c r="D2891" s="98" t="s">
        <v>1712</v>
      </c>
      <c r="E2891" s="98" t="s">
        <v>1701</v>
      </c>
      <c r="F2891" s="98" t="n">
        <v>1</v>
      </c>
      <c r="G2891" s="98" t="s">
        <v>4600</v>
      </c>
      <c r="H2891" s="98" t="s">
        <v>1703</v>
      </c>
      <c r="I2891" s="98" t="s">
        <v>1704</v>
      </c>
      <c r="J2891" s="98" t="s">
        <v>1705</v>
      </c>
      <c r="K2891" s="98" t="s">
        <v>1706</v>
      </c>
    </row>
    <row r="2892" customFormat="false" ht="64" hidden="false" customHeight="true" outlineLevel="0" collapsed="false">
      <c r="C2892" s="98" t="s">
        <v>4682</v>
      </c>
      <c r="D2892" s="98" t="s">
        <v>1714</v>
      </c>
      <c r="E2892" s="98" t="s">
        <v>1701</v>
      </c>
      <c r="F2892" s="98" t="n">
        <v>1</v>
      </c>
      <c r="G2892" s="98" t="s">
        <v>4600</v>
      </c>
      <c r="H2892" s="98" t="s">
        <v>1703</v>
      </c>
      <c r="I2892" s="98" t="s">
        <v>1704</v>
      </c>
      <c r="J2892" s="98" t="s">
        <v>1705</v>
      </c>
      <c r="K2892" s="98" t="s">
        <v>1706</v>
      </c>
    </row>
    <row r="2893" customFormat="false" ht="64" hidden="false" customHeight="true" outlineLevel="0" collapsed="false">
      <c r="C2893" s="98" t="s">
        <v>4683</v>
      </c>
      <c r="D2893" s="98" t="s">
        <v>1716</v>
      </c>
      <c r="E2893" s="98" t="s">
        <v>1701</v>
      </c>
      <c r="F2893" s="98" t="n">
        <v>1</v>
      </c>
      <c r="G2893" s="98" t="s">
        <v>4600</v>
      </c>
      <c r="H2893" s="98" t="s">
        <v>1703</v>
      </c>
      <c r="I2893" s="98" t="s">
        <v>1704</v>
      </c>
      <c r="J2893" s="98" t="s">
        <v>1705</v>
      </c>
      <c r="K2893" s="98" t="s">
        <v>1706</v>
      </c>
    </row>
    <row r="2894" customFormat="false" ht="64" hidden="false" customHeight="true" outlineLevel="0" collapsed="false">
      <c r="C2894" s="98" t="s">
        <v>4684</v>
      </c>
      <c r="D2894" s="98" t="s">
        <v>1718</v>
      </c>
      <c r="E2894" s="98" t="s">
        <v>1701</v>
      </c>
      <c r="F2894" s="98" t="n">
        <v>1</v>
      </c>
      <c r="G2894" s="98" t="s">
        <v>4600</v>
      </c>
      <c r="H2894" s="98" t="s">
        <v>1703</v>
      </c>
      <c r="I2894" s="98" t="s">
        <v>1704</v>
      </c>
      <c r="J2894" s="98" t="s">
        <v>1705</v>
      </c>
      <c r="K2894" s="98" t="s">
        <v>1706</v>
      </c>
    </row>
    <row r="2895" customFormat="false" ht="64" hidden="false" customHeight="true" outlineLevel="0" collapsed="false">
      <c r="C2895" s="98" t="s">
        <v>4685</v>
      </c>
      <c r="D2895" s="98" t="s">
        <v>1720</v>
      </c>
      <c r="E2895" s="98" t="s">
        <v>1701</v>
      </c>
      <c r="F2895" s="98" t="n">
        <v>1</v>
      </c>
      <c r="G2895" s="98" t="s">
        <v>4600</v>
      </c>
      <c r="H2895" s="98" t="s">
        <v>1703</v>
      </c>
      <c r="I2895" s="98" t="s">
        <v>1704</v>
      </c>
      <c r="J2895" s="98" t="s">
        <v>1705</v>
      </c>
      <c r="K2895" s="98" t="s">
        <v>1706</v>
      </c>
    </row>
    <row r="2896" customFormat="false" ht="64" hidden="false" customHeight="true" outlineLevel="0" collapsed="false">
      <c r="C2896" s="98" t="s">
        <v>4686</v>
      </c>
      <c r="D2896" s="98" t="s">
        <v>1722</v>
      </c>
      <c r="E2896" s="98" t="s">
        <v>1701</v>
      </c>
      <c r="F2896" s="98" t="n">
        <v>1</v>
      </c>
      <c r="G2896" s="98" t="s">
        <v>4600</v>
      </c>
      <c r="H2896" s="98" t="s">
        <v>1703</v>
      </c>
      <c r="I2896" s="98" t="s">
        <v>1704</v>
      </c>
      <c r="J2896" s="98" t="s">
        <v>1705</v>
      </c>
      <c r="K2896" s="98" t="s">
        <v>1706</v>
      </c>
    </row>
    <row r="2897" customFormat="false" ht="64" hidden="false" customHeight="true" outlineLevel="0" collapsed="false">
      <c r="C2897" s="98" t="s">
        <v>4687</v>
      </c>
      <c r="D2897" s="98" t="s">
        <v>1724</v>
      </c>
      <c r="E2897" s="98" t="s">
        <v>1701</v>
      </c>
      <c r="F2897" s="98" t="n">
        <v>1</v>
      </c>
      <c r="G2897" s="98" t="s">
        <v>4600</v>
      </c>
      <c r="H2897" s="98" t="s">
        <v>1703</v>
      </c>
      <c r="I2897" s="98" t="s">
        <v>1704</v>
      </c>
      <c r="J2897" s="98" t="s">
        <v>1705</v>
      </c>
      <c r="K2897" s="98" t="s">
        <v>1706</v>
      </c>
    </row>
    <row r="2898" customFormat="false" ht="64" hidden="false" customHeight="true" outlineLevel="0" collapsed="false">
      <c r="C2898" s="98" t="s">
        <v>4688</v>
      </c>
      <c r="D2898" s="98" t="s">
        <v>1726</v>
      </c>
      <c r="E2898" s="98" t="s">
        <v>1701</v>
      </c>
      <c r="F2898" s="98" t="n">
        <v>1</v>
      </c>
      <c r="G2898" s="98" t="s">
        <v>4600</v>
      </c>
      <c r="H2898" s="98" t="s">
        <v>1703</v>
      </c>
      <c r="I2898" s="98" t="s">
        <v>1704</v>
      </c>
      <c r="J2898" s="98" t="s">
        <v>1705</v>
      </c>
      <c r="K2898" s="98" t="s">
        <v>1706</v>
      </c>
    </row>
    <row r="2899" customFormat="false" ht="64" hidden="false" customHeight="true" outlineLevel="0" collapsed="false">
      <c r="C2899" s="98" t="s">
        <v>4689</v>
      </c>
      <c r="D2899" s="98" t="s">
        <v>1728</v>
      </c>
      <c r="E2899" s="98" t="s">
        <v>1701</v>
      </c>
      <c r="F2899" s="98" t="n">
        <v>1</v>
      </c>
      <c r="G2899" s="98" t="s">
        <v>4600</v>
      </c>
      <c r="H2899" s="98" t="s">
        <v>1703</v>
      </c>
      <c r="I2899" s="98" t="s">
        <v>1704</v>
      </c>
      <c r="J2899" s="98" t="s">
        <v>1705</v>
      </c>
      <c r="K2899" s="98" t="s">
        <v>1706</v>
      </c>
    </row>
    <row r="2900" customFormat="false" ht="64" hidden="false" customHeight="true" outlineLevel="0" collapsed="false">
      <c r="C2900" s="98" t="s">
        <v>4690</v>
      </c>
      <c r="D2900" s="98" t="s">
        <v>1730</v>
      </c>
      <c r="E2900" s="98" t="s">
        <v>1701</v>
      </c>
      <c r="F2900" s="98" t="n">
        <v>1</v>
      </c>
      <c r="G2900" s="98" t="s">
        <v>4600</v>
      </c>
      <c r="H2900" s="98" t="s">
        <v>1703</v>
      </c>
      <c r="I2900" s="98" t="s">
        <v>1704</v>
      </c>
      <c r="J2900" s="98" t="s">
        <v>1705</v>
      </c>
      <c r="K2900" s="98" t="s">
        <v>1706</v>
      </c>
    </row>
    <row r="2901" customFormat="false" ht="64" hidden="false" customHeight="true" outlineLevel="0" collapsed="false">
      <c r="C2901" s="98" t="s">
        <v>4691</v>
      </c>
      <c r="D2901" s="98" t="s">
        <v>1732</v>
      </c>
      <c r="E2901" s="98" t="s">
        <v>1701</v>
      </c>
      <c r="F2901" s="98" t="n">
        <v>1</v>
      </c>
      <c r="G2901" s="98" t="s">
        <v>4600</v>
      </c>
      <c r="H2901" s="98" t="s">
        <v>1703</v>
      </c>
      <c r="I2901" s="98" t="s">
        <v>1704</v>
      </c>
      <c r="J2901" s="98" t="s">
        <v>1705</v>
      </c>
      <c r="K2901" s="98" t="s">
        <v>1706</v>
      </c>
    </row>
    <row r="2902" customFormat="false" ht="64" hidden="false" customHeight="true" outlineLevel="0" collapsed="false">
      <c r="C2902" s="98" t="s">
        <v>4692</v>
      </c>
      <c r="D2902" s="98" t="s">
        <v>1734</v>
      </c>
      <c r="E2902" s="98" t="s">
        <v>1701</v>
      </c>
      <c r="F2902" s="98" t="n">
        <v>1</v>
      </c>
      <c r="G2902" s="98" t="s">
        <v>4600</v>
      </c>
      <c r="H2902" s="98" t="s">
        <v>1703</v>
      </c>
      <c r="I2902" s="98" t="s">
        <v>1704</v>
      </c>
      <c r="J2902" s="98" t="s">
        <v>1705</v>
      </c>
      <c r="K2902" s="98" t="s">
        <v>1706</v>
      </c>
    </row>
    <row r="2903" customFormat="false" ht="64" hidden="false" customHeight="true" outlineLevel="0" collapsed="false">
      <c r="C2903" s="98" t="s">
        <v>4693</v>
      </c>
      <c r="D2903" s="98" t="s">
        <v>1736</v>
      </c>
      <c r="E2903" s="98" t="s">
        <v>1701</v>
      </c>
      <c r="F2903" s="98" t="n">
        <v>1</v>
      </c>
      <c r="G2903" s="98" t="s">
        <v>4600</v>
      </c>
      <c r="H2903" s="98" t="s">
        <v>1703</v>
      </c>
      <c r="I2903" s="98" t="s">
        <v>1704</v>
      </c>
      <c r="J2903" s="98" t="s">
        <v>1705</v>
      </c>
      <c r="K2903" s="98" t="s">
        <v>1706</v>
      </c>
    </row>
    <row r="2904" customFormat="false" ht="64" hidden="false" customHeight="true" outlineLevel="0" collapsed="false">
      <c r="C2904" s="98" t="s">
        <v>4694</v>
      </c>
      <c r="D2904" s="98" t="s">
        <v>1738</v>
      </c>
      <c r="E2904" s="98" t="s">
        <v>1701</v>
      </c>
      <c r="F2904" s="98" t="n">
        <v>1</v>
      </c>
      <c r="G2904" s="98" t="s">
        <v>4600</v>
      </c>
      <c r="H2904" s="98" t="s">
        <v>1703</v>
      </c>
      <c r="I2904" s="98" t="s">
        <v>1704</v>
      </c>
      <c r="J2904" s="98" t="s">
        <v>1705</v>
      </c>
      <c r="K2904" s="98" t="s">
        <v>1706</v>
      </c>
    </row>
    <row r="2905" customFormat="false" ht="64" hidden="false" customHeight="true" outlineLevel="0" collapsed="false">
      <c r="C2905" s="98" t="s">
        <v>4695</v>
      </c>
      <c r="D2905" s="98" t="s">
        <v>1740</v>
      </c>
      <c r="E2905" s="98" t="s">
        <v>1701</v>
      </c>
      <c r="F2905" s="98" t="n">
        <v>1</v>
      </c>
      <c r="G2905" s="98" t="s">
        <v>4600</v>
      </c>
      <c r="H2905" s="98" t="s">
        <v>1703</v>
      </c>
      <c r="I2905" s="98" t="s">
        <v>1704</v>
      </c>
      <c r="J2905" s="98" t="s">
        <v>1705</v>
      </c>
      <c r="K2905" s="98" t="s">
        <v>1706</v>
      </c>
    </row>
    <row r="2906" customFormat="false" ht="64" hidden="false" customHeight="true" outlineLevel="0" collapsed="false">
      <c r="C2906" s="98" t="s">
        <v>4696</v>
      </c>
      <c r="D2906" s="98" t="s">
        <v>1742</v>
      </c>
      <c r="E2906" s="98" t="s">
        <v>1701</v>
      </c>
      <c r="F2906" s="98" t="n">
        <v>1</v>
      </c>
      <c r="G2906" s="98" t="s">
        <v>4600</v>
      </c>
      <c r="H2906" s="98" t="s">
        <v>1703</v>
      </c>
      <c r="I2906" s="98" t="s">
        <v>1704</v>
      </c>
      <c r="J2906" s="98" t="s">
        <v>1705</v>
      </c>
      <c r="K2906" s="98" t="s">
        <v>1706</v>
      </c>
    </row>
    <row r="2907" customFormat="false" ht="64" hidden="false" customHeight="true" outlineLevel="0" collapsed="false">
      <c r="C2907" s="98" t="s">
        <v>4697</v>
      </c>
      <c r="D2907" s="98" t="s">
        <v>1744</v>
      </c>
      <c r="E2907" s="98" t="s">
        <v>1701</v>
      </c>
      <c r="F2907" s="98" t="n">
        <v>1</v>
      </c>
      <c r="G2907" s="98" t="s">
        <v>4600</v>
      </c>
      <c r="H2907" s="98" t="s">
        <v>1703</v>
      </c>
      <c r="I2907" s="98" t="s">
        <v>1704</v>
      </c>
      <c r="J2907" s="98" t="s">
        <v>1705</v>
      </c>
      <c r="K2907" s="98" t="s">
        <v>1706</v>
      </c>
    </row>
    <row r="2908" customFormat="false" ht="64" hidden="false" customHeight="true" outlineLevel="0" collapsed="false">
      <c r="C2908" s="98" t="s">
        <v>4698</v>
      </c>
      <c r="D2908" s="98" t="s">
        <v>1746</v>
      </c>
      <c r="E2908" s="98" t="s">
        <v>1701</v>
      </c>
      <c r="F2908" s="98" t="n">
        <v>1</v>
      </c>
      <c r="G2908" s="98" t="s">
        <v>4600</v>
      </c>
      <c r="H2908" s="98" t="s">
        <v>1703</v>
      </c>
      <c r="I2908" s="98" t="s">
        <v>1704</v>
      </c>
      <c r="J2908" s="98" t="s">
        <v>1705</v>
      </c>
      <c r="K2908" s="98" t="s">
        <v>1706</v>
      </c>
    </row>
    <row r="2909" customFormat="false" ht="64" hidden="false" customHeight="true" outlineLevel="0" collapsed="false">
      <c r="C2909" s="98" t="s">
        <v>4699</v>
      </c>
      <c r="D2909" s="98" t="s">
        <v>1748</v>
      </c>
      <c r="E2909" s="98" t="s">
        <v>1701</v>
      </c>
      <c r="F2909" s="98" t="n">
        <v>1</v>
      </c>
      <c r="G2909" s="98" t="s">
        <v>4600</v>
      </c>
      <c r="H2909" s="98" t="s">
        <v>1703</v>
      </c>
      <c r="I2909" s="98" t="s">
        <v>1704</v>
      </c>
      <c r="J2909" s="98" t="s">
        <v>1705</v>
      </c>
      <c r="K2909" s="98" t="s">
        <v>1706</v>
      </c>
    </row>
    <row r="2910" customFormat="false" ht="64" hidden="false" customHeight="true" outlineLevel="0" collapsed="false">
      <c r="C2910" s="98" t="s">
        <v>4700</v>
      </c>
      <c r="D2910" s="98" t="s">
        <v>1750</v>
      </c>
      <c r="E2910" s="98" t="s">
        <v>1701</v>
      </c>
      <c r="F2910" s="98" t="n">
        <v>1</v>
      </c>
      <c r="G2910" s="98" t="s">
        <v>4600</v>
      </c>
      <c r="H2910" s="98" t="s">
        <v>1703</v>
      </c>
      <c r="I2910" s="98" t="s">
        <v>1704</v>
      </c>
      <c r="J2910" s="98" t="s">
        <v>1705</v>
      </c>
      <c r="K2910" s="98" t="s">
        <v>1706</v>
      </c>
    </row>
    <row r="2911" customFormat="false" ht="64" hidden="false" customHeight="true" outlineLevel="0" collapsed="false">
      <c r="C2911" s="98" t="s">
        <v>4701</v>
      </c>
      <c r="D2911" s="98" t="s">
        <v>1752</v>
      </c>
      <c r="E2911" s="98" t="s">
        <v>1701</v>
      </c>
      <c r="F2911" s="98" t="n">
        <v>1</v>
      </c>
      <c r="G2911" s="98" t="s">
        <v>4600</v>
      </c>
      <c r="H2911" s="98" t="s">
        <v>1703</v>
      </c>
      <c r="I2911" s="98" t="s">
        <v>1704</v>
      </c>
      <c r="J2911" s="98" t="s">
        <v>1705</v>
      </c>
      <c r="K2911" s="98" t="s">
        <v>1706</v>
      </c>
    </row>
    <row r="2912" customFormat="false" ht="64" hidden="false" customHeight="true" outlineLevel="0" collapsed="false">
      <c r="C2912" s="98" t="s">
        <v>4702</v>
      </c>
      <c r="D2912" s="98" t="s">
        <v>1754</v>
      </c>
      <c r="E2912" s="98" t="s">
        <v>1701</v>
      </c>
      <c r="F2912" s="98" t="n">
        <v>1</v>
      </c>
      <c r="G2912" s="98" t="s">
        <v>4600</v>
      </c>
      <c r="H2912" s="98" t="s">
        <v>1703</v>
      </c>
      <c r="I2912" s="98" t="s">
        <v>1704</v>
      </c>
      <c r="J2912" s="98" t="s">
        <v>1705</v>
      </c>
      <c r="K2912" s="98" t="s">
        <v>1706</v>
      </c>
    </row>
    <row r="2913" customFormat="false" ht="64" hidden="false" customHeight="true" outlineLevel="0" collapsed="false">
      <c r="C2913" s="98" t="s">
        <v>4703</v>
      </c>
      <c r="D2913" s="98" t="s">
        <v>1756</v>
      </c>
      <c r="E2913" s="98" t="s">
        <v>1701</v>
      </c>
      <c r="F2913" s="98" t="n">
        <v>1</v>
      </c>
      <c r="G2913" s="98" t="s">
        <v>4600</v>
      </c>
      <c r="H2913" s="98" t="s">
        <v>1703</v>
      </c>
      <c r="I2913" s="98" t="s">
        <v>1704</v>
      </c>
      <c r="J2913" s="98" t="s">
        <v>1705</v>
      </c>
      <c r="K2913" s="98" t="s">
        <v>1706</v>
      </c>
    </row>
    <row r="2914" customFormat="false" ht="64" hidden="false" customHeight="true" outlineLevel="0" collapsed="false">
      <c r="C2914" s="98" t="s">
        <v>4704</v>
      </c>
      <c r="D2914" s="98" t="s">
        <v>1758</v>
      </c>
      <c r="E2914" s="98" t="s">
        <v>1701</v>
      </c>
      <c r="F2914" s="98" t="n">
        <v>1</v>
      </c>
      <c r="G2914" s="98" t="s">
        <v>4600</v>
      </c>
      <c r="H2914" s="98" t="s">
        <v>1703</v>
      </c>
      <c r="I2914" s="98" t="s">
        <v>1704</v>
      </c>
      <c r="J2914" s="98" t="s">
        <v>1705</v>
      </c>
      <c r="K2914" s="98" t="s">
        <v>1706</v>
      </c>
    </row>
    <row r="2915" customFormat="false" ht="64" hidden="false" customHeight="true" outlineLevel="0" collapsed="false">
      <c r="C2915" s="98" t="s">
        <v>4705</v>
      </c>
      <c r="D2915" s="98" t="s">
        <v>1760</v>
      </c>
      <c r="E2915" s="98" t="s">
        <v>1701</v>
      </c>
      <c r="F2915" s="98" t="n">
        <v>1</v>
      </c>
      <c r="G2915" s="98" t="s">
        <v>4600</v>
      </c>
      <c r="H2915" s="98" t="s">
        <v>1703</v>
      </c>
      <c r="I2915" s="98" t="s">
        <v>1704</v>
      </c>
      <c r="J2915" s="98" t="s">
        <v>1705</v>
      </c>
      <c r="K2915" s="98" t="s">
        <v>1706</v>
      </c>
    </row>
    <row r="2916" customFormat="false" ht="64" hidden="false" customHeight="true" outlineLevel="0" collapsed="false">
      <c r="C2916" s="98" t="s">
        <v>4706</v>
      </c>
      <c r="D2916" s="98" t="s">
        <v>1762</v>
      </c>
      <c r="E2916" s="98" t="s">
        <v>1701</v>
      </c>
      <c r="F2916" s="98" t="n">
        <v>1</v>
      </c>
      <c r="G2916" s="98" t="s">
        <v>4600</v>
      </c>
      <c r="H2916" s="98" t="s">
        <v>1703</v>
      </c>
      <c r="I2916" s="98" t="s">
        <v>1704</v>
      </c>
      <c r="J2916" s="98" t="s">
        <v>1705</v>
      </c>
      <c r="K2916" s="98" t="s">
        <v>1706</v>
      </c>
    </row>
    <row r="2917" customFormat="false" ht="64" hidden="false" customHeight="true" outlineLevel="0" collapsed="false">
      <c r="C2917" s="98" t="s">
        <v>4707</v>
      </c>
      <c r="D2917" s="98" t="s">
        <v>1764</v>
      </c>
      <c r="E2917" s="98" t="s">
        <v>1701</v>
      </c>
      <c r="F2917" s="98" t="n">
        <v>1</v>
      </c>
      <c r="G2917" s="98" t="s">
        <v>4600</v>
      </c>
      <c r="H2917" s="98" t="s">
        <v>1703</v>
      </c>
      <c r="I2917" s="98" t="s">
        <v>1704</v>
      </c>
      <c r="J2917" s="98" t="s">
        <v>1705</v>
      </c>
      <c r="K2917" s="98" t="s">
        <v>1706</v>
      </c>
    </row>
    <row r="2918" customFormat="false" ht="64" hidden="false" customHeight="true" outlineLevel="0" collapsed="false">
      <c r="C2918" s="98" t="s">
        <v>4708</v>
      </c>
      <c r="D2918" s="98" t="s">
        <v>1829</v>
      </c>
      <c r="E2918" s="98" t="s">
        <v>1701</v>
      </c>
      <c r="F2918" s="98" t="n">
        <v>1</v>
      </c>
      <c r="G2918" s="98" t="s">
        <v>4600</v>
      </c>
      <c r="H2918" s="98" t="s">
        <v>1703</v>
      </c>
      <c r="I2918" s="98" t="s">
        <v>1704</v>
      </c>
      <c r="J2918" s="98" t="s">
        <v>1705</v>
      </c>
      <c r="K2918" s="98" t="s">
        <v>1706</v>
      </c>
    </row>
    <row r="2919" customFormat="false" ht="64" hidden="false" customHeight="true" outlineLevel="0" collapsed="false">
      <c r="C2919" s="98" t="s">
        <v>4709</v>
      </c>
      <c r="D2919" s="98" t="s">
        <v>1833</v>
      </c>
      <c r="E2919" s="98" t="s">
        <v>1701</v>
      </c>
      <c r="F2919" s="98" t="n">
        <v>1</v>
      </c>
      <c r="G2919" s="98" t="s">
        <v>4600</v>
      </c>
      <c r="H2919" s="98" t="s">
        <v>1703</v>
      </c>
      <c r="I2919" s="98" t="s">
        <v>1704</v>
      </c>
      <c r="J2919" s="98" t="s">
        <v>1705</v>
      </c>
      <c r="K2919" s="98" t="s">
        <v>1706</v>
      </c>
    </row>
    <row r="2920" customFormat="false" ht="64" hidden="false" customHeight="true" outlineLevel="0" collapsed="false">
      <c r="C2920" s="98" t="s">
        <v>4710</v>
      </c>
      <c r="D2920" s="98" t="s">
        <v>1835</v>
      </c>
      <c r="E2920" s="98" t="s">
        <v>1701</v>
      </c>
      <c r="F2920" s="98" t="n">
        <v>1</v>
      </c>
      <c r="G2920" s="98" t="s">
        <v>4600</v>
      </c>
      <c r="H2920" s="98" t="s">
        <v>1703</v>
      </c>
      <c r="I2920" s="98" t="s">
        <v>1704</v>
      </c>
      <c r="J2920" s="98" t="s">
        <v>1705</v>
      </c>
      <c r="K2920" s="98" t="s">
        <v>1706</v>
      </c>
    </row>
    <row r="2921" customFormat="false" ht="64" hidden="false" customHeight="true" outlineLevel="0" collapsed="false">
      <c r="C2921" s="98" t="s">
        <v>4711</v>
      </c>
      <c r="D2921" s="98" t="s">
        <v>1044</v>
      </c>
      <c r="E2921" s="98" t="s">
        <v>1701</v>
      </c>
      <c r="F2921" s="98" t="n">
        <v>1</v>
      </c>
      <c r="G2921" s="98" t="s">
        <v>4600</v>
      </c>
      <c r="H2921" s="98" t="s">
        <v>1703</v>
      </c>
      <c r="I2921" s="98" t="s">
        <v>1704</v>
      </c>
      <c r="J2921" s="98" t="s">
        <v>1705</v>
      </c>
      <c r="K2921" s="98" t="s">
        <v>1706</v>
      </c>
    </row>
    <row r="2922" customFormat="false" ht="64" hidden="false" customHeight="true" outlineLevel="0" collapsed="false">
      <c r="C2922" s="98" t="s">
        <v>4712</v>
      </c>
      <c r="D2922" s="98" t="s">
        <v>1838</v>
      </c>
      <c r="E2922" s="98" t="s">
        <v>1701</v>
      </c>
      <c r="F2922" s="98" t="n">
        <v>1</v>
      </c>
      <c r="G2922" s="98" t="s">
        <v>4600</v>
      </c>
      <c r="H2922" s="98" t="s">
        <v>1703</v>
      </c>
      <c r="I2922" s="98" t="s">
        <v>1704</v>
      </c>
      <c r="J2922" s="98" t="s">
        <v>1705</v>
      </c>
      <c r="K2922" s="98" t="s">
        <v>1706</v>
      </c>
    </row>
    <row r="2923" customFormat="false" ht="64" hidden="false" customHeight="true" outlineLevel="0" collapsed="false">
      <c r="C2923" s="98" t="s">
        <v>4713</v>
      </c>
      <c r="D2923" s="98" t="s">
        <v>1840</v>
      </c>
      <c r="E2923" s="98" t="s">
        <v>1701</v>
      </c>
      <c r="F2923" s="98" t="n">
        <v>1</v>
      </c>
      <c r="G2923" s="98" t="s">
        <v>4600</v>
      </c>
      <c r="H2923" s="98" t="s">
        <v>1703</v>
      </c>
      <c r="I2923" s="98" t="s">
        <v>1704</v>
      </c>
      <c r="J2923" s="98" t="s">
        <v>1705</v>
      </c>
      <c r="K2923" s="98" t="s">
        <v>1706</v>
      </c>
    </row>
    <row r="2924" customFormat="false" ht="64" hidden="false" customHeight="true" outlineLevel="0" collapsed="false">
      <c r="C2924" s="98" t="s">
        <v>4714</v>
      </c>
      <c r="D2924" s="98" t="s">
        <v>1700</v>
      </c>
      <c r="E2924" s="98" t="s">
        <v>1701</v>
      </c>
      <c r="F2924" s="98" t="n">
        <v>1</v>
      </c>
      <c r="G2924" s="98" t="s">
        <v>4600</v>
      </c>
      <c r="H2924" s="98" t="s">
        <v>1703</v>
      </c>
      <c r="I2924" s="98" t="s">
        <v>1704</v>
      </c>
      <c r="J2924" s="98" t="s">
        <v>1705</v>
      </c>
      <c r="K2924" s="98" t="s">
        <v>1706</v>
      </c>
    </row>
    <row r="2925" customFormat="false" ht="64" hidden="false" customHeight="true" outlineLevel="0" collapsed="false">
      <c r="C2925" s="98" t="s">
        <v>4715</v>
      </c>
      <c r="D2925" s="98" t="s">
        <v>1708</v>
      </c>
      <c r="E2925" s="98" t="s">
        <v>1701</v>
      </c>
      <c r="F2925" s="98" t="n">
        <v>1</v>
      </c>
      <c r="G2925" s="98" t="s">
        <v>4600</v>
      </c>
      <c r="H2925" s="98" t="s">
        <v>1703</v>
      </c>
      <c r="I2925" s="98" t="s">
        <v>1704</v>
      </c>
      <c r="J2925" s="98" t="s">
        <v>1705</v>
      </c>
      <c r="K2925" s="98" t="s">
        <v>1706</v>
      </c>
    </row>
    <row r="2926" customFormat="false" ht="64" hidden="false" customHeight="true" outlineLevel="0" collapsed="false">
      <c r="C2926" s="98" t="s">
        <v>4716</v>
      </c>
      <c r="D2926" s="98" t="s">
        <v>1710</v>
      </c>
      <c r="E2926" s="98" t="s">
        <v>1701</v>
      </c>
      <c r="F2926" s="98" t="n">
        <v>1</v>
      </c>
      <c r="G2926" s="98" t="s">
        <v>4600</v>
      </c>
      <c r="H2926" s="98" t="s">
        <v>1703</v>
      </c>
      <c r="I2926" s="98" t="s">
        <v>1704</v>
      </c>
      <c r="J2926" s="98" t="s">
        <v>1705</v>
      </c>
      <c r="K2926" s="98" t="s">
        <v>1706</v>
      </c>
    </row>
    <row r="2927" customFormat="false" ht="64" hidden="false" customHeight="true" outlineLevel="0" collapsed="false">
      <c r="C2927" s="98" t="s">
        <v>4717</v>
      </c>
      <c r="D2927" s="98" t="s">
        <v>1712</v>
      </c>
      <c r="E2927" s="98" t="s">
        <v>1701</v>
      </c>
      <c r="F2927" s="98" t="n">
        <v>1</v>
      </c>
      <c r="G2927" s="98" t="s">
        <v>4600</v>
      </c>
      <c r="H2927" s="98" t="s">
        <v>1703</v>
      </c>
      <c r="I2927" s="98" t="s">
        <v>1704</v>
      </c>
      <c r="J2927" s="98" t="s">
        <v>1705</v>
      </c>
      <c r="K2927" s="98" t="s">
        <v>1706</v>
      </c>
    </row>
    <row r="2928" customFormat="false" ht="64" hidden="false" customHeight="true" outlineLevel="0" collapsed="false">
      <c r="C2928" s="98" t="s">
        <v>4718</v>
      </c>
      <c r="D2928" s="98" t="s">
        <v>1714</v>
      </c>
      <c r="E2928" s="98" t="s">
        <v>1701</v>
      </c>
      <c r="F2928" s="98" t="n">
        <v>1</v>
      </c>
      <c r="G2928" s="98" t="s">
        <v>4600</v>
      </c>
      <c r="H2928" s="98" t="s">
        <v>1703</v>
      </c>
      <c r="I2928" s="98" t="s">
        <v>1704</v>
      </c>
      <c r="J2928" s="98" t="s">
        <v>1705</v>
      </c>
      <c r="K2928" s="98" t="s">
        <v>1706</v>
      </c>
    </row>
    <row r="2929" customFormat="false" ht="64" hidden="false" customHeight="true" outlineLevel="0" collapsed="false">
      <c r="C2929" s="98" t="s">
        <v>4719</v>
      </c>
      <c r="D2929" s="98" t="s">
        <v>1716</v>
      </c>
      <c r="E2929" s="98" t="s">
        <v>1701</v>
      </c>
      <c r="F2929" s="98" t="n">
        <v>1</v>
      </c>
      <c r="G2929" s="98" t="s">
        <v>4600</v>
      </c>
      <c r="H2929" s="98" t="s">
        <v>1703</v>
      </c>
      <c r="I2929" s="98" t="s">
        <v>1704</v>
      </c>
      <c r="J2929" s="98" t="s">
        <v>1705</v>
      </c>
      <c r="K2929" s="98" t="s">
        <v>1706</v>
      </c>
    </row>
    <row r="2930" customFormat="false" ht="64" hidden="false" customHeight="true" outlineLevel="0" collapsed="false">
      <c r="C2930" s="98" t="s">
        <v>4720</v>
      </c>
      <c r="D2930" s="98" t="s">
        <v>1718</v>
      </c>
      <c r="E2930" s="98" t="s">
        <v>1701</v>
      </c>
      <c r="F2930" s="98" t="n">
        <v>1</v>
      </c>
      <c r="G2930" s="98" t="s">
        <v>4600</v>
      </c>
      <c r="H2930" s="98" t="s">
        <v>1703</v>
      </c>
      <c r="I2930" s="98" t="s">
        <v>1704</v>
      </c>
      <c r="J2930" s="98" t="s">
        <v>1705</v>
      </c>
      <c r="K2930" s="98" t="s">
        <v>1706</v>
      </c>
    </row>
    <row r="2931" customFormat="false" ht="64" hidden="false" customHeight="true" outlineLevel="0" collapsed="false">
      <c r="C2931" s="98" t="s">
        <v>4721</v>
      </c>
      <c r="D2931" s="98" t="s">
        <v>1720</v>
      </c>
      <c r="E2931" s="98" t="s">
        <v>1701</v>
      </c>
      <c r="F2931" s="98" t="n">
        <v>1</v>
      </c>
      <c r="G2931" s="98" t="s">
        <v>4600</v>
      </c>
      <c r="H2931" s="98" t="s">
        <v>1703</v>
      </c>
      <c r="I2931" s="98" t="s">
        <v>1704</v>
      </c>
      <c r="J2931" s="98" t="s">
        <v>1705</v>
      </c>
      <c r="K2931" s="98" t="s">
        <v>1706</v>
      </c>
    </row>
    <row r="2932" customFormat="false" ht="64" hidden="false" customHeight="true" outlineLevel="0" collapsed="false">
      <c r="C2932" s="98" t="s">
        <v>4722</v>
      </c>
      <c r="D2932" s="98" t="s">
        <v>1722</v>
      </c>
      <c r="E2932" s="98" t="s">
        <v>1701</v>
      </c>
      <c r="F2932" s="98" t="n">
        <v>1</v>
      </c>
      <c r="G2932" s="98" t="s">
        <v>4600</v>
      </c>
      <c r="H2932" s="98" t="s">
        <v>1703</v>
      </c>
      <c r="I2932" s="98" t="s">
        <v>1704</v>
      </c>
      <c r="J2932" s="98" t="s">
        <v>1705</v>
      </c>
      <c r="K2932" s="98" t="s">
        <v>1706</v>
      </c>
    </row>
    <row r="2933" customFormat="false" ht="64" hidden="false" customHeight="true" outlineLevel="0" collapsed="false">
      <c r="C2933" s="98" t="s">
        <v>4723</v>
      </c>
      <c r="D2933" s="98" t="s">
        <v>1724</v>
      </c>
      <c r="E2933" s="98" t="s">
        <v>1701</v>
      </c>
      <c r="F2933" s="98" t="n">
        <v>1</v>
      </c>
      <c r="G2933" s="98" t="s">
        <v>4600</v>
      </c>
      <c r="H2933" s="98" t="s">
        <v>1703</v>
      </c>
      <c r="I2933" s="98" t="s">
        <v>1704</v>
      </c>
      <c r="J2933" s="98" t="s">
        <v>1705</v>
      </c>
      <c r="K2933" s="98" t="s">
        <v>1706</v>
      </c>
    </row>
    <row r="2934" customFormat="false" ht="64" hidden="false" customHeight="true" outlineLevel="0" collapsed="false">
      <c r="C2934" s="98" t="s">
        <v>4724</v>
      </c>
      <c r="D2934" s="98" t="s">
        <v>1726</v>
      </c>
      <c r="E2934" s="98" t="s">
        <v>1701</v>
      </c>
      <c r="F2934" s="98" t="n">
        <v>1</v>
      </c>
      <c r="G2934" s="98" t="s">
        <v>4600</v>
      </c>
      <c r="H2934" s="98" t="s">
        <v>1703</v>
      </c>
      <c r="I2934" s="98" t="s">
        <v>1704</v>
      </c>
      <c r="J2934" s="98" t="s">
        <v>1705</v>
      </c>
      <c r="K2934" s="98" t="s">
        <v>1706</v>
      </c>
    </row>
    <row r="2935" customFormat="false" ht="64" hidden="false" customHeight="true" outlineLevel="0" collapsed="false">
      <c r="C2935" s="98" t="s">
        <v>4725</v>
      </c>
      <c r="D2935" s="98" t="s">
        <v>1728</v>
      </c>
      <c r="E2935" s="98" t="s">
        <v>1701</v>
      </c>
      <c r="F2935" s="98" t="n">
        <v>1</v>
      </c>
      <c r="G2935" s="98" t="s">
        <v>4600</v>
      </c>
      <c r="H2935" s="98" t="s">
        <v>1703</v>
      </c>
      <c r="I2935" s="98" t="s">
        <v>1704</v>
      </c>
      <c r="J2935" s="98" t="s">
        <v>1705</v>
      </c>
      <c r="K2935" s="98" t="s">
        <v>1706</v>
      </c>
    </row>
    <row r="2936" customFormat="false" ht="64" hidden="false" customHeight="true" outlineLevel="0" collapsed="false">
      <c r="C2936" s="98" t="s">
        <v>4726</v>
      </c>
      <c r="D2936" s="98" t="s">
        <v>1730</v>
      </c>
      <c r="E2936" s="98" t="s">
        <v>1701</v>
      </c>
      <c r="F2936" s="98" t="n">
        <v>1</v>
      </c>
      <c r="G2936" s="98" t="s">
        <v>4600</v>
      </c>
      <c r="H2936" s="98" t="s">
        <v>1703</v>
      </c>
      <c r="I2936" s="98" t="s">
        <v>1704</v>
      </c>
      <c r="J2936" s="98" t="s">
        <v>1705</v>
      </c>
      <c r="K2936" s="98" t="s">
        <v>1706</v>
      </c>
    </row>
    <row r="2937" customFormat="false" ht="64" hidden="false" customHeight="true" outlineLevel="0" collapsed="false">
      <c r="C2937" s="98" t="s">
        <v>4727</v>
      </c>
      <c r="D2937" s="98" t="s">
        <v>1732</v>
      </c>
      <c r="E2937" s="98" t="s">
        <v>1701</v>
      </c>
      <c r="F2937" s="98" t="n">
        <v>1</v>
      </c>
      <c r="G2937" s="98" t="s">
        <v>4600</v>
      </c>
      <c r="H2937" s="98" t="s">
        <v>1703</v>
      </c>
      <c r="I2937" s="98" t="s">
        <v>1704</v>
      </c>
      <c r="J2937" s="98" t="s">
        <v>1705</v>
      </c>
      <c r="K2937" s="98" t="s">
        <v>1706</v>
      </c>
    </row>
    <row r="2938" customFormat="false" ht="64" hidden="false" customHeight="true" outlineLevel="0" collapsed="false">
      <c r="C2938" s="98" t="s">
        <v>4728</v>
      </c>
      <c r="D2938" s="98" t="s">
        <v>1734</v>
      </c>
      <c r="E2938" s="98" t="s">
        <v>1701</v>
      </c>
      <c r="F2938" s="98" t="n">
        <v>1</v>
      </c>
      <c r="G2938" s="98" t="s">
        <v>4600</v>
      </c>
      <c r="H2938" s="98" t="s">
        <v>1703</v>
      </c>
      <c r="I2938" s="98" t="s">
        <v>1704</v>
      </c>
      <c r="J2938" s="98" t="s">
        <v>1705</v>
      </c>
      <c r="K2938" s="98" t="s">
        <v>1706</v>
      </c>
    </row>
    <row r="2939" customFormat="false" ht="64" hidden="false" customHeight="true" outlineLevel="0" collapsed="false">
      <c r="C2939" s="98" t="s">
        <v>4729</v>
      </c>
      <c r="D2939" s="98" t="s">
        <v>1736</v>
      </c>
      <c r="E2939" s="98" t="s">
        <v>1701</v>
      </c>
      <c r="F2939" s="98" t="n">
        <v>1</v>
      </c>
      <c r="G2939" s="98" t="s">
        <v>4600</v>
      </c>
      <c r="H2939" s="98" t="s">
        <v>1703</v>
      </c>
      <c r="I2939" s="98" t="s">
        <v>1704</v>
      </c>
      <c r="J2939" s="98" t="s">
        <v>1705</v>
      </c>
      <c r="K2939" s="98" t="s">
        <v>1706</v>
      </c>
    </row>
    <row r="2940" customFormat="false" ht="64" hidden="false" customHeight="true" outlineLevel="0" collapsed="false">
      <c r="C2940" s="98" t="s">
        <v>4730</v>
      </c>
      <c r="D2940" s="98" t="s">
        <v>1738</v>
      </c>
      <c r="E2940" s="98" t="s">
        <v>1701</v>
      </c>
      <c r="F2940" s="98" t="n">
        <v>1</v>
      </c>
      <c r="G2940" s="98" t="s">
        <v>4600</v>
      </c>
      <c r="H2940" s="98" t="s">
        <v>1703</v>
      </c>
      <c r="I2940" s="98" t="s">
        <v>1704</v>
      </c>
      <c r="J2940" s="98" t="s">
        <v>1705</v>
      </c>
      <c r="K2940" s="98" t="s">
        <v>1706</v>
      </c>
    </row>
    <row r="2941" customFormat="false" ht="64" hidden="false" customHeight="true" outlineLevel="0" collapsed="false">
      <c r="C2941" s="98" t="s">
        <v>4731</v>
      </c>
      <c r="D2941" s="98" t="s">
        <v>1740</v>
      </c>
      <c r="E2941" s="98" t="s">
        <v>1701</v>
      </c>
      <c r="F2941" s="98" t="n">
        <v>1</v>
      </c>
      <c r="G2941" s="98" t="s">
        <v>4600</v>
      </c>
      <c r="H2941" s="98" t="s">
        <v>1703</v>
      </c>
      <c r="I2941" s="98" t="s">
        <v>1704</v>
      </c>
      <c r="J2941" s="98" t="s">
        <v>1705</v>
      </c>
      <c r="K2941" s="98" t="s">
        <v>1706</v>
      </c>
    </row>
    <row r="2942" customFormat="false" ht="64" hidden="false" customHeight="true" outlineLevel="0" collapsed="false">
      <c r="C2942" s="98" t="s">
        <v>4732</v>
      </c>
      <c r="D2942" s="98" t="s">
        <v>1742</v>
      </c>
      <c r="E2942" s="98" t="s">
        <v>1701</v>
      </c>
      <c r="F2942" s="98" t="n">
        <v>1</v>
      </c>
      <c r="G2942" s="98" t="s">
        <v>4600</v>
      </c>
      <c r="H2942" s="98" t="s">
        <v>1703</v>
      </c>
      <c r="I2942" s="98" t="s">
        <v>1704</v>
      </c>
      <c r="J2942" s="98" t="s">
        <v>1705</v>
      </c>
      <c r="K2942" s="98" t="s">
        <v>1706</v>
      </c>
    </row>
    <row r="2943" customFormat="false" ht="64" hidden="false" customHeight="true" outlineLevel="0" collapsed="false">
      <c r="C2943" s="98" t="s">
        <v>4733</v>
      </c>
      <c r="D2943" s="98" t="s">
        <v>1744</v>
      </c>
      <c r="E2943" s="98" t="s">
        <v>1701</v>
      </c>
      <c r="F2943" s="98" t="n">
        <v>1</v>
      </c>
      <c r="G2943" s="98" t="s">
        <v>4600</v>
      </c>
      <c r="H2943" s="98" t="s">
        <v>1703</v>
      </c>
      <c r="I2943" s="98" t="s">
        <v>1704</v>
      </c>
      <c r="J2943" s="98" t="s">
        <v>1705</v>
      </c>
      <c r="K2943" s="98" t="s">
        <v>1706</v>
      </c>
    </row>
    <row r="2944" customFormat="false" ht="64" hidden="false" customHeight="true" outlineLevel="0" collapsed="false">
      <c r="C2944" s="98" t="s">
        <v>4734</v>
      </c>
      <c r="D2944" s="98" t="s">
        <v>1746</v>
      </c>
      <c r="E2944" s="98" t="s">
        <v>1701</v>
      </c>
      <c r="F2944" s="98" t="n">
        <v>1</v>
      </c>
      <c r="G2944" s="98" t="s">
        <v>4600</v>
      </c>
      <c r="H2944" s="98" t="s">
        <v>1703</v>
      </c>
      <c r="I2944" s="98" t="s">
        <v>1704</v>
      </c>
      <c r="J2944" s="98" t="s">
        <v>1705</v>
      </c>
      <c r="K2944" s="98" t="s">
        <v>1706</v>
      </c>
    </row>
    <row r="2945" customFormat="false" ht="64" hidden="false" customHeight="true" outlineLevel="0" collapsed="false">
      <c r="C2945" s="98" t="s">
        <v>4735</v>
      </c>
      <c r="D2945" s="98" t="s">
        <v>1748</v>
      </c>
      <c r="E2945" s="98" t="s">
        <v>1701</v>
      </c>
      <c r="F2945" s="98" t="n">
        <v>1</v>
      </c>
      <c r="G2945" s="98" t="s">
        <v>4600</v>
      </c>
      <c r="H2945" s="98" t="s">
        <v>1703</v>
      </c>
      <c r="I2945" s="98" t="s">
        <v>1704</v>
      </c>
      <c r="J2945" s="98" t="s">
        <v>1705</v>
      </c>
      <c r="K2945" s="98" t="s">
        <v>1706</v>
      </c>
    </row>
    <row r="2946" customFormat="false" ht="64" hidden="false" customHeight="true" outlineLevel="0" collapsed="false">
      <c r="C2946" s="98" t="s">
        <v>4736</v>
      </c>
      <c r="D2946" s="98" t="s">
        <v>1750</v>
      </c>
      <c r="E2946" s="98" t="s">
        <v>1701</v>
      </c>
      <c r="F2946" s="98" t="n">
        <v>1</v>
      </c>
      <c r="G2946" s="98" t="s">
        <v>4600</v>
      </c>
      <c r="H2946" s="98" t="s">
        <v>1703</v>
      </c>
      <c r="I2946" s="98" t="s">
        <v>1704</v>
      </c>
      <c r="J2946" s="98" t="s">
        <v>1705</v>
      </c>
      <c r="K2946" s="98" t="s">
        <v>1706</v>
      </c>
    </row>
    <row r="2947" customFormat="false" ht="64" hidden="false" customHeight="true" outlineLevel="0" collapsed="false">
      <c r="C2947" s="98" t="s">
        <v>4737</v>
      </c>
      <c r="D2947" s="98" t="s">
        <v>1752</v>
      </c>
      <c r="E2947" s="98" t="s">
        <v>1701</v>
      </c>
      <c r="F2947" s="98" t="n">
        <v>1</v>
      </c>
      <c r="G2947" s="98" t="s">
        <v>4600</v>
      </c>
      <c r="H2947" s="98" t="s">
        <v>1703</v>
      </c>
      <c r="I2947" s="98" t="s">
        <v>1704</v>
      </c>
      <c r="J2947" s="98" t="s">
        <v>1705</v>
      </c>
      <c r="K2947" s="98" t="s">
        <v>1706</v>
      </c>
    </row>
    <row r="2948" customFormat="false" ht="64" hidden="false" customHeight="true" outlineLevel="0" collapsed="false">
      <c r="C2948" s="98" t="s">
        <v>4738</v>
      </c>
      <c r="D2948" s="98" t="s">
        <v>1754</v>
      </c>
      <c r="E2948" s="98" t="s">
        <v>1701</v>
      </c>
      <c r="F2948" s="98" t="n">
        <v>1</v>
      </c>
      <c r="G2948" s="98" t="s">
        <v>4600</v>
      </c>
      <c r="H2948" s="98" t="s">
        <v>1703</v>
      </c>
      <c r="I2948" s="98" t="s">
        <v>1704</v>
      </c>
      <c r="J2948" s="98" t="s">
        <v>1705</v>
      </c>
      <c r="K2948" s="98" t="s">
        <v>1706</v>
      </c>
    </row>
    <row r="2949" customFormat="false" ht="64" hidden="false" customHeight="true" outlineLevel="0" collapsed="false">
      <c r="C2949" s="98" t="s">
        <v>4739</v>
      </c>
      <c r="D2949" s="98" t="s">
        <v>1756</v>
      </c>
      <c r="E2949" s="98" t="s">
        <v>1701</v>
      </c>
      <c r="F2949" s="98" t="n">
        <v>1</v>
      </c>
      <c r="G2949" s="98" t="s">
        <v>4600</v>
      </c>
      <c r="H2949" s="98" t="s">
        <v>1703</v>
      </c>
      <c r="I2949" s="98" t="s">
        <v>1704</v>
      </c>
      <c r="J2949" s="98" t="s">
        <v>1705</v>
      </c>
      <c r="K2949" s="98" t="s">
        <v>1706</v>
      </c>
    </row>
    <row r="2950" customFormat="false" ht="64" hidden="false" customHeight="true" outlineLevel="0" collapsed="false">
      <c r="C2950" s="98" t="s">
        <v>4740</v>
      </c>
      <c r="D2950" s="98" t="s">
        <v>1758</v>
      </c>
      <c r="E2950" s="98" t="s">
        <v>1701</v>
      </c>
      <c r="F2950" s="98" t="n">
        <v>1</v>
      </c>
      <c r="G2950" s="98" t="s">
        <v>4600</v>
      </c>
      <c r="H2950" s="98" t="s">
        <v>1703</v>
      </c>
      <c r="I2950" s="98" t="s">
        <v>1704</v>
      </c>
      <c r="J2950" s="98" t="s">
        <v>1705</v>
      </c>
      <c r="K2950" s="98" t="s">
        <v>1706</v>
      </c>
    </row>
    <row r="2951" customFormat="false" ht="64" hidden="false" customHeight="true" outlineLevel="0" collapsed="false">
      <c r="C2951" s="98" t="s">
        <v>4741</v>
      </c>
      <c r="D2951" s="98" t="s">
        <v>1760</v>
      </c>
      <c r="E2951" s="98" t="s">
        <v>1701</v>
      </c>
      <c r="F2951" s="98" t="n">
        <v>1</v>
      </c>
      <c r="G2951" s="98" t="s">
        <v>4600</v>
      </c>
      <c r="H2951" s="98" t="s">
        <v>1703</v>
      </c>
      <c r="I2951" s="98" t="s">
        <v>1704</v>
      </c>
      <c r="J2951" s="98" t="s">
        <v>1705</v>
      </c>
      <c r="K2951" s="98" t="s">
        <v>1706</v>
      </c>
    </row>
    <row r="2952" customFormat="false" ht="64" hidden="false" customHeight="true" outlineLevel="0" collapsed="false">
      <c r="C2952" s="98" t="s">
        <v>4742</v>
      </c>
      <c r="D2952" s="98" t="s">
        <v>1762</v>
      </c>
      <c r="E2952" s="98" t="s">
        <v>1701</v>
      </c>
      <c r="F2952" s="98" t="n">
        <v>1</v>
      </c>
      <c r="G2952" s="98" t="s">
        <v>4600</v>
      </c>
      <c r="H2952" s="98" t="s">
        <v>1703</v>
      </c>
      <c r="I2952" s="98" t="s">
        <v>1704</v>
      </c>
      <c r="J2952" s="98" t="s">
        <v>1705</v>
      </c>
      <c r="K2952" s="98" t="s">
        <v>1706</v>
      </c>
    </row>
    <row r="2953" customFormat="false" ht="64" hidden="false" customHeight="true" outlineLevel="0" collapsed="false">
      <c r="C2953" s="98" t="s">
        <v>4743</v>
      </c>
      <c r="D2953" s="98" t="s">
        <v>1764</v>
      </c>
      <c r="E2953" s="98" t="s">
        <v>1701</v>
      </c>
      <c r="F2953" s="98" t="n">
        <v>1</v>
      </c>
      <c r="G2953" s="98" t="s">
        <v>4600</v>
      </c>
      <c r="H2953" s="98" t="s">
        <v>1703</v>
      </c>
      <c r="I2953" s="98" t="s">
        <v>1704</v>
      </c>
      <c r="J2953" s="98" t="s">
        <v>1705</v>
      </c>
      <c r="K2953" s="98" t="s">
        <v>1706</v>
      </c>
    </row>
    <row r="2954" customFormat="false" ht="64" hidden="false" customHeight="true" outlineLevel="0" collapsed="false">
      <c r="C2954" s="98" t="s">
        <v>4744</v>
      </c>
      <c r="D2954" s="98" t="s">
        <v>1829</v>
      </c>
      <c r="E2954" s="98" t="s">
        <v>1701</v>
      </c>
      <c r="F2954" s="98" t="n">
        <v>1</v>
      </c>
      <c r="G2954" s="98" t="s">
        <v>4600</v>
      </c>
      <c r="H2954" s="98" t="s">
        <v>1703</v>
      </c>
      <c r="I2954" s="98" t="s">
        <v>1704</v>
      </c>
      <c r="J2954" s="98" t="s">
        <v>1705</v>
      </c>
      <c r="K2954" s="98" t="s">
        <v>1706</v>
      </c>
    </row>
    <row r="2955" customFormat="false" ht="64" hidden="false" customHeight="true" outlineLevel="0" collapsed="false">
      <c r="C2955" s="98" t="s">
        <v>4745</v>
      </c>
      <c r="D2955" s="98" t="s">
        <v>1833</v>
      </c>
      <c r="E2955" s="98" t="s">
        <v>1701</v>
      </c>
      <c r="F2955" s="98" t="n">
        <v>1</v>
      </c>
      <c r="G2955" s="98" t="s">
        <v>4600</v>
      </c>
      <c r="H2955" s="98" t="s">
        <v>1703</v>
      </c>
      <c r="I2955" s="98" t="s">
        <v>1704</v>
      </c>
      <c r="J2955" s="98" t="s">
        <v>1705</v>
      </c>
      <c r="K2955" s="98" t="s">
        <v>1706</v>
      </c>
    </row>
    <row r="2956" customFormat="false" ht="64" hidden="false" customHeight="true" outlineLevel="0" collapsed="false">
      <c r="C2956" s="98" t="s">
        <v>4746</v>
      </c>
      <c r="D2956" s="98" t="s">
        <v>1835</v>
      </c>
      <c r="E2956" s="98" t="s">
        <v>1701</v>
      </c>
      <c r="F2956" s="98" t="n">
        <v>1</v>
      </c>
      <c r="G2956" s="98" t="s">
        <v>4600</v>
      </c>
      <c r="H2956" s="98" t="s">
        <v>1703</v>
      </c>
      <c r="I2956" s="98" t="s">
        <v>1704</v>
      </c>
      <c r="J2956" s="98" t="s">
        <v>1705</v>
      </c>
      <c r="K2956" s="98" t="s">
        <v>1706</v>
      </c>
    </row>
    <row r="2957" customFormat="false" ht="64" hidden="false" customHeight="true" outlineLevel="0" collapsed="false">
      <c r="C2957" s="98" t="s">
        <v>4747</v>
      </c>
      <c r="D2957" s="98" t="s">
        <v>1044</v>
      </c>
      <c r="E2957" s="98" t="s">
        <v>1701</v>
      </c>
      <c r="F2957" s="98" t="n">
        <v>1</v>
      </c>
      <c r="G2957" s="98" t="s">
        <v>4600</v>
      </c>
      <c r="H2957" s="98" t="s">
        <v>1703</v>
      </c>
      <c r="I2957" s="98" t="s">
        <v>1704</v>
      </c>
      <c r="J2957" s="98" t="s">
        <v>1705</v>
      </c>
      <c r="K2957" s="98" t="s">
        <v>1706</v>
      </c>
    </row>
    <row r="2958" customFormat="false" ht="64" hidden="false" customHeight="true" outlineLevel="0" collapsed="false">
      <c r="C2958" s="98" t="s">
        <v>4748</v>
      </c>
      <c r="D2958" s="98" t="s">
        <v>1838</v>
      </c>
      <c r="E2958" s="98" t="s">
        <v>1701</v>
      </c>
      <c r="F2958" s="98" t="n">
        <v>1</v>
      </c>
      <c r="G2958" s="98" t="s">
        <v>4600</v>
      </c>
      <c r="H2958" s="98" t="s">
        <v>1703</v>
      </c>
      <c r="I2958" s="98" t="s">
        <v>1704</v>
      </c>
      <c r="J2958" s="98" t="s">
        <v>1705</v>
      </c>
      <c r="K2958" s="98" t="s">
        <v>1706</v>
      </c>
    </row>
    <row r="2959" customFormat="false" ht="64" hidden="false" customHeight="true" outlineLevel="0" collapsed="false">
      <c r="C2959" s="98" t="s">
        <v>4749</v>
      </c>
      <c r="D2959" s="98" t="s">
        <v>1840</v>
      </c>
      <c r="E2959" s="98" t="s">
        <v>1701</v>
      </c>
      <c r="F2959" s="98" t="n">
        <v>1</v>
      </c>
      <c r="G2959" s="98" t="s">
        <v>4600</v>
      </c>
      <c r="H2959" s="98" t="s">
        <v>1703</v>
      </c>
      <c r="I2959" s="98" t="s">
        <v>1704</v>
      </c>
      <c r="J2959" s="98" t="s">
        <v>1705</v>
      </c>
      <c r="K2959" s="98" t="s">
        <v>1706</v>
      </c>
    </row>
    <row r="2960" customFormat="false" ht="64" hidden="false" customHeight="true" outlineLevel="0" collapsed="false">
      <c r="C2960" s="98" t="s">
        <v>4750</v>
      </c>
      <c r="D2960" s="98" t="s">
        <v>1700</v>
      </c>
      <c r="E2960" s="98" t="s">
        <v>1701</v>
      </c>
      <c r="F2960" s="98" t="n">
        <v>1</v>
      </c>
      <c r="G2960" s="98" t="s">
        <v>4600</v>
      </c>
      <c r="H2960" s="98" t="s">
        <v>1703</v>
      </c>
      <c r="I2960" s="98" t="s">
        <v>1704</v>
      </c>
      <c r="J2960" s="98" t="s">
        <v>1705</v>
      </c>
      <c r="K2960" s="98" t="s">
        <v>1706</v>
      </c>
    </row>
    <row r="2961" customFormat="false" ht="64" hidden="false" customHeight="true" outlineLevel="0" collapsed="false">
      <c r="C2961" s="98" t="s">
        <v>4751</v>
      </c>
      <c r="D2961" s="98" t="s">
        <v>1708</v>
      </c>
      <c r="E2961" s="98" t="s">
        <v>1701</v>
      </c>
      <c r="F2961" s="98" t="n">
        <v>1</v>
      </c>
      <c r="G2961" s="98" t="s">
        <v>4600</v>
      </c>
      <c r="H2961" s="98" t="s">
        <v>1703</v>
      </c>
      <c r="I2961" s="98" t="s">
        <v>1704</v>
      </c>
      <c r="J2961" s="98" t="s">
        <v>1705</v>
      </c>
      <c r="K2961" s="98" t="s">
        <v>1706</v>
      </c>
    </row>
    <row r="2962" customFormat="false" ht="64" hidden="false" customHeight="true" outlineLevel="0" collapsed="false">
      <c r="C2962" s="98" t="s">
        <v>4752</v>
      </c>
      <c r="D2962" s="98" t="s">
        <v>1710</v>
      </c>
      <c r="E2962" s="98" t="s">
        <v>1701</v>
      </c>
      <c r="F2962" s="98" t="n">
        <v>1</v>
      </c>
      <c r="G2962" s="98" t="s">
        <v>4600</v>
      </c>
      <c r="H2962" s="98" t="s">
        <v>1703</v>
      </c>
      <c r="I2962" s="98" t="s">
        <v>1704</v>
      </c>
      <c r="J2962" s="98" t="s">
        <v>1705</v>
      </c>
      <c r="K2962" s="98" t="s">
        <v>1706</v>
      </c>
    </row>
    <row r="2963" customFormat="false" ht="64" hidden="false" customHeight="true" outlineLevel="0" collapsed="false">
      <c r="C2963" s="98" t="s">
        <v>4753</v>
      </c>
      <c r="D2963" s="98" t="s">
        <v>1712</v>
      </c>
      <c r="E2963" s="98" t="s">
        <v>1701</v>
      </c>
      <c r="F2963" s="98" t="n">
        <v>1</v>
      </c>
      <c r="G2963" s="98" t="s">
        <v>4600</v>
      </c>
      <c r="H2963" s="98" t="s">
        <v>1703</v>
      </c>
      <c r="I2963" s="98" t="s">
        <v>1704</v>
      </c>
      <c r="J2963" s="98" t="s">
        <v>1705</v>
      </c>
      <c r="K2963" s="98" t="s">
        <v>1706</v>
      </c>
    </row>
    <row r="2964" customFormat="false" ht="64" hidden="false" customHeight="true" outlineLevel="0" collapsed="false">
      <c r="C2964" s="98" t="s">
        <v>4754</v>
      </c>
      <c r="D2964" s="98" t="s">
        <v>1714</v>
      </c>
      <c r="E2964" s="98" t="s">
        <v>1701</v>
      </c>
      <c r="F2964" s="98" t="n">
        <v>1</v>
      </c>
      <c r="G2964" s="98" t="s">
        <v>4600</v>
      </c>
      <c r="H2964" s="98" t="s">
        <v>1703</v>
      </c>
      <c r="I2964" s="98" t="s">
        <v>1704</v>
      </c>
      <c r="J2964" s="98" t="s">
        <v>1705</v>
      </c>
      <c r="K2964" s="98" t="s">
        <v>1706</v>
      </c>
    </row>
    <row r="2965" customFormat="false" ht="64" hidden="false" customHeight="true" outlineLevel="0" collapsed="false">
      <c r="C2965" s="98" t="s">
        <v>4755</v>
      </c>
      <c r="D2965" s="98" t="s">
        <v>1716</v>
      </c>
      <c r="E2965" s="98" t="s">
        <v>1701</v>
      </c>
      <c r="F2965" s="98" t="n">
        <v>1</v>
      </c>
      <c r="G2965" s="98" t="s">
        <v>4600</v>
      </c>
      <c r="H2965" s="98" t="s">
        <v>1703</v>
      </c>
      <c r="I2965" s="98" t="s">
        <v>1704</v>
      </c>
      <c r="J2965" s="98" t="s">
        <v>1705</v>
      </c>
      <c r="K2965" s="98" t="s">
        <v>1706</v>
      </c>
    </row>
    <row r="2966" customFormat="false" ht="64" hidden="false" customHeight="true" outlineLevel="0" collapsed="false">
      <c r="C2966" s="98" t="s">
        <v>4756</v>
      </c>
      <c r="D2966" s="98" t="s">
        <v>1718</v>
      </c>
      <c r="E2966" s="98" t="s">
        <v>1701</v>
      </c>
      <c r="F2966" s="98" t="n">
        <v>1</v>
      </c>
      <c r="G2966" s="98" t="s">
        <v>4600</v>
      </c>
      <c r="H2966" s="98" t="s">
        <v>1703</v>
      </c>
      <c r="I2966" s="98" t="s">
        <v>1704</v>
      </c>
      <c r="J2966" s="98" t="s">
        <v>1705</v>
      </c>
      <c r="K2966" s="98" t="s">
        <v>1706</v>
      </c>
    </row>
    <row r="2967" customFormat="false" ht="64" hidden="false" customHeight="true" outlineLevel="0" collapsed="false">
      <c r="C2967" s="98" t="s">
        <v>4757</v>
      </c>
      <c r="D2967" s="98" t="s">
        <v>1720</v>
      </c>
      <c r="E2967" s="98" t="s">
        <v>1701</v>
      </c>
      <c r="F2967" s="98" t="n">
        <v>1</v>
      </c>
      <c r="G2967" s="98" t="s">
        <v>4600</v>
      </c>
      <c r="H2967" s="98" t="s">
        <v>1703</v>
      </c>
      <c r="I2967" s="98" t="s">
        <v>1704</v>
      </c>
      <c r="J2967" s="98" t="s">
        <v>1705</v>
      </c>
      <c r="K2967" s="98" t="s">
        <v>1706</v>
      </c>
    </row>
    <row r="2968" customFormat="false" ht="64" hidden="false" customHeight="true" outlineLevel="0" collapsed="false">
      <c r="C2968" s="98" t="s">
        <v>4758</v>
      </c>
      <c r="D2968" s="98" t="s">
        <v>1722</v>
      </c>
      <c r="E2968" s="98" t="s">
        <v>1701</v>
      </c>
      <c r="F2968" s="98" t="n">
        <v>1</v>
      </c>
      <c r="G2968" s="98" t="s">
        <v>4600</v>
      </c>
      <c r="H2968" s="98" t="s">
        <v>1703</v>
      </c>
      <c r="I2968" s="98" t="s">
        <v>1704</v>
      </c>
      <c r="J2968" s="98" t="s">
        <v>1705</v>
      </c>
      <c r="K2968" s="98" t="s">
        <v>1706</v>
      </c>
    </row>
    <row r="2969" customFormat="false" ht="64" hidden="false" customHeight="true" outlineLevel="0" collapsed="false">
      <c r="C2969" s="98" t="s">
        <v>4759</v>
      </c>
      <c r="D2969" s="98" t="s">
        <v>1724</v>
      </c>
      <c r="E2969" s="98" t="s">
        <v>1701</v>
      </c>
      <c r="F2969" s="98" t="n">
        <v>1</v>
      </c>
      <c r="G2969" s="98" t="s">
        <v>4600</v>
      </c>
      <c r="H2969" s="98" t="s">
        <v>1703</v>
      </c>
      <c r="I2969" s="98" t="s">
        <v>1704</v>
      </c>
      <c r="J2969" s="98" t="s">
        <v>1705</v>
      </c>
      <c r="K2969" s="98" t="s">
        <v>1706</v>
      </c>
    </row>
    <row r="2970" customFormat="false" ht="64" hidden="false" customHeight="true" outlineLevel="0" collapsed="false">
      <c r="C2970" s="98" t="s">
        <v>4760</v>
      </c>
      <c r="D2970" s="98" t="s">
        <v>1726</v>
      </c>
      <c r="E2970" s="98" t="s">
        <v>1701</v>
      </c>
      <c r="F2970" s="98" t="n">
        <v>1</v>
      </c>
      <c r="G2970" s="98" t="s">
        <v>4600</v>
      </c>
      <c r="H2970" s="98" t="s">
        <v>1703</v>
      </c>
      <c r="I2970" s="98" t="s">
        <v>1704</v>
      </c>
      <c r="J2970" s="98" t="s">
        <v>1705</v>
      </c>
      <c r="K2970" s="98" t="s">
        <v>1706</v>
      </c>
    </row>
    <row r="2971" customFormat="false" ht="64" hidden="false" customHeight="true" outlineLevel="0" collapsed="false">
      <c r="C2971" s="98" t="s">
        <v>4761</v>
      </c>
      <c r="D2971" s="98" t="s">
        <v>1728</v>
      </c>
      <c r="E2971" s="98" t="s">
        <v>1701</v>
      </c>
      <c r="F2971" s="98" t="n">
        <v>1</v>
      </c>
      <c r="G2971" s="98" t="s">
        <v>4600</v>
      </c>
      <c r="H2971" s="98" t="s">
        <v>1703</v>
      </c>
      <c r="I2971" s="98" t="s">
        <v>1704</v>
      </c>
      <c r="J2971" s="98" t="s">
        <v>1705</v>
      </c>
      <c r="K2971" s="98" t="s">
        <v>1706</v>
      </c>
    </row>
    <row r="2972" customFormat="false" ht="64" hidden="false" customHeight="true" outlineLevel="0" collapsed="false">
      <c r="C2972" s="98" t="s">
        <v>4762</v>
      </c>
      <c r="D2972" s="98" t="s">
        <v>1730</v>
      </c>
      <c r="E2972" s="98" t="s">
        <v>1701</v>
      </c>
      <c r="F2972" s="98" t="n">
        <v>1</v>
      </c>
      <c r="G2972" s="98" t="s">
        <v>4600</v>
      </c>
      <c r="H2972" s="98" t="s">
        <v>1703</v>
      </c>
      <c r="I2972" s="98" t="s">
        <v>1704</v>
      </c>
      <c r="J2972" s="98" t="s">
        <v>1705</v>
      </c>
      <c r="K2972" s="98" t="s">
        <v>1706</v>
      </c>
    </row>
    <row r="2973" customFormat="false" ht="64" hidden="false" customHeight="true" outlineLevel="0" collapsed="false">
      <c r="C2973" s="98" t="s">
        <v>4763</v>
      </c>
      <c r="D2973" s="98" t="s">
        <v>1732</v>
      </c>
      <c r="E2973" s="98" t="s">
        <v>1701</v>
      </c>
      <c r="F2973" s="98" t="n">
        <v>1</v>
      </c>
      <c r="G2973" s="98" t="s">
        <v>4600</v>
      </c>
      <c r="H2973" s="98" t="s">
        <v>1703</v>
      </c>
      <c r="I2973" s="98" t="s">
        <v>1704</v>
      </c>
      <c r="J2973" s="98" t="s">
        <v>1705</v>
      </c>
      <c r="K2973" s="98" t="s">
        <v>1706</v>
      </c>
    </row>
    <row r="2974" customFormat="false" ht="64" hidden="false" customHeight="true" outlineLevel="0" collapsed="false">
      <c r="C2974" s="98" t="s">
        <v>4764</v>
      </c>
      <c r="D2974" s="98" t="s">
        <v>1734</v>
      </c>
      <c r="E2974" s="98" t="s">
        <v>1701</v>
      </c>
      <c r="F2974" s="98" t="n">
        <v>1</v>
      </c>
      <c r="G2974" s="98" t="s">
        <v>4600</v>
      </c>
      <c r="H2974" s="98" t="s">
        <v>1703</v>
      </c>
      <c r="I2974" s="98" t="s">
        <v>1704</v>
      </c>
      <c r="J2974" s="98" t="s">
        <v>1705</v>
      </c>
      <c r="K2974" s="98" t="s">
        <v>1706</v>
      </c>
    </row>
    <row r="2975" customFormat="false" ht="64" hidden="false" customHeight="true" outlineLevel="0" collapsed="false">
      <c r="C2975" s="98" t="s">
        <v>4765</v>
      </c>
      <c r="D2975" s="98" t="s">
        <v>1736</v>
      </c>
      <c r="E2975" s="98" t="s">
        <v>1701</v>
      </c>
      <c r="F2975" s="98" t="n">
        <v>1</v>
      </c>
      <c r="G2975" s="98" t="s">
        <v>4600</v>
      </c>
      <c r="H2975" s="98" t="s">
        <v>1703</v>
      </c>
      <c r="I2975" s="98" t="s">
        <v>1704</v>
      </c>
      <c r="J2975" s="98" t="s">
        <v>1705</v>
      </c>
      <c r="K2975" s="98" t="s">
        <v>1706</v>
      </c>
    </row>
    <row r="2976" customFormat="false" ht="64" hidden="false" customHeight="true" outlineLevel="0" collapsed="false">
      <c r="C2976" s="98" t="s">
        <v>4766</v>
      </c>
      <c r="D2976" s="98" t="s">
        <v>1738</v>
      </c>
      <c r="E2976" s="98" t="s">
        <v>1701</v>
      </c>
      <c r="F2976" s="98" t="n">
        <v>1</v>
      </c>
      <c r="G2976" s="98" t="s">
        <v>4600</v>
      </c>
      <c r="H2976" s="98" t="s">
        <v>1703</v>
      </c>
      <c r="I2976" s="98" t="s">
        <v>1704</v>
      </c>
      <c r="J2976" s="98" t="s">
        <v>1705</v>
      </c>
      <c r="K2976" s="98" t="s">
        <v>1706</v>
      </c>
    </row>
    <row r="2977" customFormat="false" ht="64" hidden="false" customHeight="true" outlineLevel="0" collapsed="false">
      <c r="C2977" s="98" t="s">
        <v>4767</v>
      </c>
      <c r="D2977" s="98" t="s">
        <v>1740</v>
      </c>
      <c r="E2977" s="98" t="s">
        <v>1701</v>
      </c>
      <c r="F2977" s="98" t="n">
        <v>1</v>
      </c>
      <c r="G2977" s="98" t="s">
        <v>4600</v>
      </c>
      <c r="H2977" s="98" t="s">
        <v>1703</v>
      </c>
      <c r="I2977" s="98" t="s">
        <v>1704</v>
      </c>
      <c r="J2977" s="98" t="s">
        <v>1705</v>
      </c>
      <c r="K2977" s="98" t="s">
        <v>1706</v>
      </c>
    </row>
    <row r="2978" customFormat="false" ht="64" hidden="false" customHeight="true" outlineLevel="0" collapsed="false">
      <c r="C2978" s="98" t="s">
        <v>4768</v>
      </c>
      <c r="D2978" s="98" t="s">
        <v>1742</v>
      </c>
      <c r="E2978" s="98" t="s">
        <v>1701</v>
      </c>
      <c r="F2978" s="98" t="n">
        <v>1</v>
      </c>
      <c r="G2978" s="98" t="s">
        <v>4600</v>
      </c>
      <c r="H2978" s="98" t="s">
        <v>1703</v>
      </c>
      <c r="I2978" s="98" t="s">
        <v>1704</v>
      </c>
      <c r="J2978" s="98" t="s">
        <v>1705</v>
      </c>
      <c r="K2978" s="98" t="s">
        <v>1706</v>
      </c>
    </row>
    <row r="2979" customFormat="false" ht="64" hidden="false" customHeight="true" outlineLevel="0" collapsed="false">
      <c r="C2979" s="98" t="s">
        <v>4769</v>
      </c>
      <c r="D2979" s="98" t="s">
        <v>1744</v>
      </c>
      <c r="E2979" s="98" t="s">
        <v>1701</v>
      </c>
      <c r="F2979" s="98" t="n">
        <v>1</v>
      </c>
      <c r="G2979" s="98" t="s">
        <v>4600</v>
      </c>
      <c r="H2979" s="98" t="s">
        <v>1703</v>
      </c>
      <c r="I2979" s="98" t="s">
        <v>1704</v>
      </c>
      <c r="J2979" s="98" t="s">
        <v>1705</v>
      </c>
      <c r="K2979" s="98" t="s">
        <v>1706</v>
      </c>
    </row>
    <row r="2980" customFormat="false" ht="64" hidden="false" customHeight="true" outlineLevel="0" collapsed="false">
      <c r="C2980" s="98" t="s">
        <v>4770</v>
      </c>
      <c r="D2980" s="98" t="s">
        <v>1746</v>
      </c>
      <c r="E2980" s="98" t="s">
        <v>1701</v>
      </c>
      <c r="F2980" s="98" t="n">
        <v>1</v>
      </c>
      <c r="G2980" s="98" t="s">
        <v>4600</v>
      </c>
      <c r="H2980" s="98" t="s">
        <v>1703</v>
      </c>
      <c r="I2980" s="98" t="s">
        <v>1704</v>
      </c>
      <c r="J2980" s="98" t="s">
        <v>1705</v>
      </c>
      <c r="K2980" s="98" t="s">
        <v>1706</v>
      </c>
    </row>
    <row r="2981" customFormat="false" ht="64" hidden="false" customHeight="true" outlineLevel="0" collapsed="false">
      <c r="C2981" s="98" t="s">
        <v>4771</v>
      </c>
      <c r="D2981" s="98" t="s">
        <v>1748</v>
      </c>
      <c r="E2981" s="98" t="s">
        <v>1701</v>
      </c>
      <c r="F2981" s="98" t="n">
        <v>1</v>
      </c>
      <c r="G2981" s="98" t="s">
        <v>4600</v>
      </c>
      <c r="H2981" s="98" t="s">
        <v>1703</v>
      </c>
      <c r="I2981" s="98" t="s">
        <v>1704</v>
      </c>
      <c r="J2981" s="98" t="s">
        <v>1705</v>
      </c>
      <c r="K2981" s="98" t="s">
        <v>1706</v>
      </c>
    </row>
    <row r="2982" customFormat="false" ht="64" hidden="false" customHeight="true" outlineLevel="0" collapsed="false">
      <c r="C2982" s="98" t="s">
        <v>4772</v>
      </c>
      <c r="D2982" s="98" t="s">
        <v>1750</v>
      </c>
      <c r="E2982" s="98" t="s">
        <v>1701</v>
      </c>
      <c r="F2982" s="98" t="n">
        <v>1</v>
      </c>
      <c r="G2982" s="98" t="s">
        <v>4600</v>
      </c>
      <c r="H2982" s="98" t="s">
        <v>1703</v>
      </c>
      <c r="I2982" s="98" t="s">
        <v>1704</v>
      </c>
      <c r="J2982" s="98" t="s">
        <v>1705</v>
      </c>
      <c r="K2982" s="98" t="s">
        <v>1706</v>
      </c>
    </row>
    <row r="2983" customFormat="false" ht="64" hidden="false" customHeight="true" outlineLevel="0" collapsed="false">
      <c r="C2983" s="98" t="s">
        <v>4773</v>
      </c>
      <c r="D2983" s="98" t="s">
        <v>1752</v>
      </c>
      <c r="E2983" s="98" t="s">
        <v>1701</v>
      </c>
      <c r="F2983" s="98" t="n">
        <v>1</v>
      </c>
      <c r="G2983" s="98" t="s">
        <v>4600</v>
      </c>
      <c r="H2983" s="98" t="s">
        <v>1703</v>
      </c>
      <c r="I2983" s="98" t="s">
        <v>1704</v>
      </c>
      <c r="J2983" s="98" t="s">
        <v>1705</v>
      </c>
      <c r="K2983" s="98" t="s">
        <v>1706</v>
      </c>
    </row>
    <row r="2984" customFormat="false" ht="64" hidden="false" customHeight="true" outlineLevel="0" collapsed="false">
      <c r="C2984" s="98" t="s">
        <v>4774</v>
      </c>
      <c r="D2984" s="98" t="s">
        <v>1754</v>
      </c>
      <c r="E2984" s="98" t="s">
        <v>1701</v>
      </c>
      <c r="F2984" s="98" t="n">
        <v>1</v>
      </c>
      <c r="G2984" s="98" t="s">
        <v>4600</v>
      </c>
      <c r="H2984" s="98" t="s">
        <v>1703</v>
      </c>
      <c r="I2984" s="98" t="s">
        <v>1704</v>
      </c>
      <c r="J2984" s="98" t="s">
        <v>1705</v>
      </c>
      <c r="K2984" s="98" t="s">
        <v>1706</v>
      </c>
    </row>
    <row r="2985" customFormat="false" ht="64" hidden="false" customHeight="true" outlineLevel="0" collapsed="false">
      <c r="C2985" s="98" t="s">
        <v>4775</v>
      </c>
      <c r="D2985" s="98" t="s">
        <v>1756</v>
      </c>
      <c r="E2985" s="98" t="s">
        <v>1701</v>
      </c>
      <c r="F2985" s="98" t="n">
        <v>1</v>
      </c>
      <c r="G2985" s="98" t="s">
        <v>4600</v>
      </c>
      <c r="H2985" s="98" t="s">
        <v>1703</v>
      </c>
      <c r="I2985" s="98" t="s">
        <v>1704</v>
      </c>
      <c r="J2985" s="98" t="s">
        <v>1705</v>
      </c>
      <c r="K2985" s="98" t="s">
        <v>1706</v>
      </c>
    </row>
    <row r="2986" customFormat="false" ht="64" hidden="false" customHeight="true" outlineLevel="0" collapsed="false">
      <c r="C2986" s="98" t="s">
        <v>4776</v>
      </c>
      <c r="D2986" s="98" t="s">
        <v>1758</v>
      </c>
      <c r="E2986" s="98" t="s">
        <v>1701</v>
      </c>
      <c r="F2986" s="98" t="n">
        <v>1</v>
      </c>
      <c r="G2986" s="98" t="s">
        <v>4600</v>
      </c>
      <c r="H2986" s="98" t="s">
        <v>1703</v>
      </c>
      <c r="I2986" s="98" t="s">
        <v>1704</v>
      </c>
      <c r="J2986" s="98" t="s">
        <v>1705</v>
      </c>
      <c r="K2986" s="98" t="s">
        <v>1706</v>
      </c>
    </row>
    <row r="2987" customFormat="false" ht="64" hidden="false" customHeight="true" outlineLevel="0" collapsed="false">
      <c r="C2987" s="98" t="s">
        <v>4777</v>
      </c>
      <c r="D2987" s="98" t="s">
        <v>1760</v>
      </c>
      <c r="E2987" s="98" t="s">
        <v>1701</v>
      </c>
      <c r="F2987" s="98" t="n">
        <v>1</v>
      </c>
      <c r="G2987" s="98" t="s">
        <v>4600</v>
      </c>
      <c r="H2987" s="98" t="s">
        <v>1703</v>
      </c>
      <c r="I2987" s="98" t="s">
        <v>1704</v>
      </c>
      <c r="J2987" s="98" t="s">
        <v>1705</v>
      </c>
      <c r="K2987" s="98" t="s">
        <v>1706</v>
      </c>
    </row>
    <row r="2988" customFormat="false" ht="64" hidden="false" customHeight="true" outlineLevel="0" collapsed="false">
      <c r="C2988" s="98" t="s">
        <v>4778</v>
      </c>
      <c r="D2988" s="98" t="s">
        <v>1762</v>
      </c>
      <c r="E2988" s="98" t="s">
        <v>1701</v>
      </c>
      <c r="F2988" s="98" t="n">
        <v>1</v>
      </c>
      <c r="G2988" s="98" t="s">
        <v>4600</v>
      </c>
      <c r="H2988" s="98" t="s">
        <v>1703</v>
      </c>
      <c r="I2988" s="98" t="s">
        <v>1704</v>
      </c>
      <c r="J2988" s="98" t="s">
        <v>1705</v>
      </c>
      <c r="K2988" s="98" t="s">
        <v>1706</v>
      </c>
    </row>
    <row r="2989" customFormat="false" ht="64" hidden="false" customHeight="true" outlineLevel="0" collapsed="false">
      <c r="C2989" s="98" t="s">
        <v>4779</v>
      </c>
      <c r="D2989" s="98" t="s">
        <v>1764</v>
      </c>
      <c r="E2989" s="98" t="s">
        <v>1701</v>
      </c>
      <c r="F2989" s="98" t="n">
        <v>1</v>
      </c>
      <c r="G2989" s="98" t="s">
        <v>4600</v>
      </c>
      <c r="H2989" s="98" t="s">
        <v>1703</v>
      </c>
      <c r="I2989" s="98" t="s">
        <v>1704</v>
      </c>
      <c r="J2989" s="98" t="s">
        <v>1705</v>
      </c>
      <c r="K2989" s="98" t="s">
        <v>1706</v>
      </c>
    </row>
    <row r="2990" customFormat="false" ht="64" hidden="false" customHeight="true" outlineLevel="0" collapsed="false">
      <c r="C2990" s="98" t="s">
        <v>4780</v>
      </c>
      <c r="D2990" s="98" t="s">
        <v>1829</v>
      </c>
      <c r="E2990" s="98" t="s">
        <v>1701</v>
      </c>
      <c r="F2990" s="98" t="n">
        <v>1</v>
      </c>
      <c r="G2990" s="98" t="s">
        <v>4600</v>
      </c>
      <c r="H2990" s="98" t="s">
        <v>1703</v>
      </c>
      <c r="I2990" s="98" t="s">
        <v>1704</v>
      </c>
      <c r="J2990" s="98" t="s">
        <v>1705</v>
      </c>
      <c r="K2990" s="98" t="s">
        <v>1706</v>
      </c>
    </row>
    <row r="2991" customFormat="false" ht="64" hidden="false" customHeight="true" outlineLevel="0" collapsed="false">
      <c r="C2991" s="98" t="s">
        <v>4781</v>
      </c>
      <c r="D2991" s="98" t="s">
        <v>1833</v>
      </c>
      <c r="E2991" s="98" t="s">
        <v>1701</v>
      </c>
      <c r="F2991" s="98" t="n">
        <v>1</v>
      </c>
      <c r="G2991" s="98" t="s">
        <v>4600</v>
      </c>
      <c r="H2991" s="98" t="s">
        <v>1703</v>
      </c>
      <c r="I2991" s="98" t="s">
        <v>1704</v>
      </c>
      <c r="J2991" s="98" t="s">
        <v>1705</v>
      </c>
      <c r="K2991" s="98" t="s">
        <v>1706</v>
      </c>
    </row>
    <row r="2992" customFormat="false" ht="64" hidden="false" customHeight="true" outlineLevel="0" collapsed="false">
      <c r="C2992" s="98" t="s">
        <v>4782</v>
      </c>
      <c r="D2992" s="98" t="s">
        <v>1835</v>
      </c>
      <c r="E2992" s="98" t="s">
        <v>1701</v>
      </c>
      <c r="F2992" s="98" t="n">
        <v>1</v>
      </c>
      <c r="G2992" s="98" t="s">
        <v>4600</v>
      </c>
      <c r="H2992" s="98" t="s">
        <v>1703</v>
      </c>
      <c r="I2992" s="98" t="s">
        <v>1704</v>
      </c>
      <c r="J2992" s="98" t="s">
        <v>1705</v>
      </c>
      <c r="K2992" s="98" t="s">
        <v>1706</v>
      </c>
    </row>
    <row r="2993" customFormat="false" ht="64" hidden="false" customHeight="true" outlineLevel="0" collapsed="false">
      <c r="C2993" s="98" t="s">
        <v>4783</v>
      </c>
      <c r="D2993" s="98" t="s">
        <v>1044</v>
      </c>
      <c r="E2993" s="98" t="s">
        <v>1701</v>
      </c>
      <c r="F2993" s="98" t="n">
        <v>1</v>
      </c>
      <c r="G2993" s="98" t="s">
        <v>4600</v>
      </c>
      <c r="H2993" s="98" t="s">
        <v>1703</v>
      </c>
      <c r="I2993" s="98" t="s">
        <v>1704</v>
      </c>
      <c r="J2993" s="98" t="s">
        <v>1705</v>
      </c>
      <c r="K2993" s="98" t="s">
        <v>1706</v>
      </c>
    </row>
    <row r="2994" customFormat="false" ht="64" hidden="false" customHeight="true" outlineLevel="0" collapsed="false">
      <c r="C2994" s="98" t="s">
        <v>4784</v>
      </c>
      <c r="D2994" s="98" t="s">
        <v>1838</v>
      </c>
      <c r="E2994" s="98" t="s">
        <v>1701</v>
      </c>
      <c r="F2994" s="98" t="n">
        <v>1</v>
      </c>
      <c r="G2994" s="98" t="s">
        <v>4600</v>
      </c>
      <c r="H2994" s="98" t="s">
        <v>1703</v>
      </c>
      <c r="I2994" s="98" t="s">
        <v>1704</v>
      </c>
      <c r="J2994" s="98" t="s">
        <v>1705</v>
      </c>
      <c r="K2994" s="98" t="s">
        <v>1706</v>
      </c>
    </row>
    <row r="2995" customFormat="false" ht="64" hidden="false" customHeight="true" outlineLevel="0" collapsed="false">
      <c r="C2995" s="98" t="s">
        <v>4785</v>
      </c>
      <c r="D2995" s="98" t="s">
        <v>1840</v>
      </c>
      <c r="E2995" s="98" t="s">
        <v>1701</v>
      </c>
      <c r="F2995" s="98" t="n">
        <v>1</v>
      </c>
      <c r="G2995" s="98" t="s">
        <v>4600</v>
      </c>
      <c r="H2995" s="98" t="s">
        <v>1703</v>
      </c>
      <c r="I2995" s="98" t="s">
        <v>1704</v>
      </c>
      <c r="J2995" s="98" t="s">
        <v>1705</v>
      </c>
      <c r="K2995" s="98" t="s">
        <v>1706</v>
      </c>
    </row>
    <row r="2996" customFormat="false" ht="64" hidden="false" customHeight="true" outlineLevel="0" collapsed="false">
      <c r="C2996" s="98" t="s">
        <v>4786</v>
      </c>
      <c r="D2996" s="98" t="s">
        <v>1700</v>
      </c>
      <c r="E2996" s="98" t="s">
        <v>1701</v>
      </c>
      <c r="F2996" s="98" t="n">
        <v>1</v>
      </c>
      <c r="G2996" s="98" t="s">
        <v>4600</v>
      </c>
      <c r="H2996" s="98" t="s">
        <v>1703</v>
      </c>
      <c r="I2996" s="98" t="s">
        <v>1704</v>
      </c>
      <c r="J2996" s="98" t="s">
        <v>1705</v>
      </c>
      <c r="K2996" s="98" t="s">
        <v>1706</v>
      </c>
    </row>
    <row r="2997" customFormat="false" ht="64" hidden="false" customHeight="true" outlineLevel="0" collapsed="false">
      <c r="C2997" s="98" t="s">
        <v>4787</v>
      </c>
      <c r="D2997" s="98" t="s">
        <v>1708</v>
      </c>
      <c r="E2997" s="98" t="s">
        <v>1701</v>
      </c>
      <c r="F2997" s="98" t="n">
        <v>1</v>
      </c>
      <c r="G2997" s="98" t="s">
        <v>4600</v>
      </c>
      <c r="H2997" s="98" t="s">
        <v>1703</v>
      </c>
      <c r="I2997" s="98" t="s">
        <v>1704</v>
      </c>
      <c r="J2997" s="98" t="s">
        <v>1705</v>
      </c>
      <c r="K2997" s="98" t="s">
        <v>1706</v>
      </c>
    </row>
    <row r="2998" customFormat="false" ht="64" hidden="false" customHeight="true" outlineLevel="0" collapsed="false">
      <c r="C2998" s="98" t="s">
        <v>4788</v>
      </c>
      <c r="D2998" s="98" t="s">
        <v>1710</v>
      </c>
      <c r="E2998" s="98" t="s">
        <v>1701</v>
      </c>
      <c r="F2998" s="98" t="n">
        <v>1</v>
      </c>
      <c r="G2998" s="98" t="s">
        <v>4600</v>
      </c>
      <c r="H2998" s="98" t="s">
        <v>1703</v>
      </c>
      <c r="I2998" s="98" t="s">
        <v>1704</v>
      </c>
      <c r="J2998" s="98" t="s">
        <v>1705</v>
      </c>
      <c r="K2998" s="98" t="s">
        <v>1706</v>
      </c>
    </row>
    <row r="2999" customFormat="false" ht="64" hidden="false" customHeight="true" outlineLevel="0" collapsed="false">
      <c r="C2999" s="98" t="s">
        <v>4789</v>
      </c>
      <c r="D2999" s="98" t="s">
        <v>1712</v>
      </c>
      <c r="E2999" s="98" t="s">
        <v>1701</v>
      </c>
      <c r="F2999" s="98" t="n">
        <v>1</v>
      </c>
      <c r="G2999" s="98" t="s">
        <v>4600</v>
      </c>
      <c r="H2999" s="98" t="s">
        <v>1703</v>
      </c>
      <c r="I2999" s="98" t="s">
        <v>1704</v>
      </c>
      <c r="J2999" s="98" t="s">
        <v>1705</v>
      </c>
      <c r="K2999" s="98" t="s">
        <v>1706</v>
      </c>
    </row>
    <row r="3000" customFormat="false" ht="64" hidden="false" customHeight="true" outlineLevel="0" collapsed="false">
      <c r="C3000" s="98" t="s">
        <v>4790</v>
      </c>
      <c r="D3000" s="98" t="s">
        <v>1714</v>
      </c>
      <c r="E3000" s="98" t="s">
        <v>1701</v>
      </c>
      <c r="F3000" s="98" t="n">
        <v>1</v>
      </c>
      <c r="G3000" s="98" t="s">
        <v>4600</v>
      </c>
      <c r="H3000" s="98" t="s">
        <v>1703</v>
      </c>
      <c r="I3000" s="98" t="s">
        <v>1704</v>
      </c>
      <c r="J3000" s="98" t="s">
        <v>1705</v>
      </c>
      <c r="K3000" s="98" t="s">
        <v>1706</v>
      </c>
    </row>
    <row r="3001" customFormat="false" ht="64" hidden="false" customHeight="true" outlineLevel="0" collapsed="false">
      <c r="C3001" s="98" t="s">
        <v>4791</v>
      </c>
      <c r="D3001" s="98" t="s">
        <v>1716</v>
      </c>
      <c r="E3001" s="98" t="s">
        <v>1701</v>
      </c>
      <c r="F3001" s="98" t="n">
        <v>1</v>
      </c>
      <c r="G3001" s="98" t="s">
        <v>4600</v>
      </c>
      <c r="H3001" s="98" t="s">
        <v>1703</v>
      </c>
      <c r="I3001" s="98" t="s">
        <v>1704</v>
      </c>
      <c r="J3001" s="98" t="s">
        <v>1705</v>
      </c>
      <c r="K3001" s="98" t="s">
        <v>1706</v>
      </c>
    </row>
    <row r="3002" customFormat="false" ht="64" hidden="false" customHeight="true" outlineLevel="0" collapsed="false">
      <c r="C3002" s="98" t="s">
        <v>4792</v>
      </c>
      <c r="D3002" s="98" t="s">
        <v>1718</v>
      </c>
      <c r="E3002" s="98" t="s">
        <v>1701</v>
      </c>
      <c r="F3002" s="98" t="n">
        <v>1</v>
      </c>
      <c r="G3002" s="98" t="s">
        <v>4600</v>
      </c>
      <c r="H3002" s="98" t="s">
        <v>1703</v>
      </c>
      <c r="I3002" s="98" t="s">
        <v>1704</v>
      </c>
      <c r="J3002" s="98" t="s">
        <v>1705</v>
      </c>
      <c r="K3002" s="98" t="s">
        <v>1706</v>
      </c>
    </row>
    <row r="3003" customFormat="false" ht="64" hidden="false" customHeight="true" outlineLevel="0" collapsed="false">
      <c r="C3003" s="98" t="s">
        <v>4793</v>
      </c>
      <c r="D3003" s="98" t="s">
        <v>1720</v>
      </c>
      <c r="E3003" s="98" t="s">
        <v>1701</v>
      </c>
      <c r="F3003" s="98" t="n">
        <v>1</v>
      </c>
      <c r="G3003" s="98" t="s">
        <v>4600</v>
      </c>
      <c r="H3003" s="98" t="s">
        <v>1703</v>
      </c>
      <c r="I3003" s="98" t="s">
        <v>1704</v>
      </c>
      <c r="J3003" s="98" t="s">
        <v>1705</v>
      </c>
      <c r="K3003" s="98" t="s">
        <v>1706</v>
      </c>
    </row>
    <row r="3004" customFormat="false" ht="64" hidden="false" customHeight="true" outlineLevel="0" collapsed="false">
      <c r="C3004" s="98" t="s">
        <v>4794</v>
      </c>
      <c r="D3004" s="98" t="s">
        <v>1722</v>
      </c>
      <c r="E3004" s="98" t="s">
        <v>1701</v>
      </c>
      <c r="F3004" s="98" t="n">
        <v>1</v>
      </c>
      <c r="G3004" s="98" t="s">
        <v>4600</v>
      </c>
      <c r="H3004" s="98" t="s">
        <v>1703</v>
      </c>
      <c r="I3004" s="98" t="s">
        <v>1704</v>
      </c>
      <c r="J3004" s="98" t="s">
        <v>1705</v>
      </c>
      <c r="K3004" s="98" t="s">
        <v>1706</v>
      </c>
    </row>
    <row r="3005" customFormat="false" ht="64" hidden="false" customHeight="true" outlineLevel="0" collapsed="false">
      <c r="C3005" s="98" t="s">
        <v>4795</v>
      </c>
      <c r="D3005" s="98" t="s">
        <v>1724</v>
      </c>
      <c r="E3005" s="98" t="s">
        <v>1701</v>
      </c>
      <c r="F3005" s="98" t="n">
        <v>1</v>
      </c>
      <c r="G3005" s="98" t="s">
        <v>4600</v>
      </c>
      <c r="H3005" s="98" t="s">
        <v>1703</v>
      </c>
      <c r="I3005" s="98" t="s">
        <v>1704</v>
      </c>
      <c r="J3005" s="98" t="s">
        <v>1705</v>
      </c>
      <c r="K3005" s="98" t="s">
        <v>1706</v>
      </c>
    </row>
    <row r="3006" customFormat="false" ht="64" hidden="false" customHeight="true" outlineLevel="0" collapsed="false">
      <c r="C3006" s="98" t="s">
        <v>4796</v>
      </c>
      <c r="D3006" s="98" t="s">
        <v>1726</v>
      </c>
      <c r="E3006" s="98" t="s">
        <v>1701</v>
      </c>
      <c r="F3006" s="98" t="n">
        <v>1</v>
      </c>
      <c r="G3006" s="98" t="s">
        <v>4600</v>
      </c>
      <c r="H3006" s="98" t="s">
        <v>1703</v>
      </c>
      <c r="I3006" s="98" t="s">
        <v>1704</v>
      </c>
      <c r="J3006" s="98" t="s">
        <v>1705</v>
      </c>
      <c r="K3006" s="98" t="s">
        <v>1706</v>
      </c>
    </row>
    <row r="3007" customFormat="false" ht="64" hidden="false" customHeight="true" outlineLevel="0" collapsed="false">
      <c r="C3007" s="98" t="s">
        <v>4797</v>
      </c>
      <c r="D3007" s="98" t="s">
        <v>1728</v>
      </c>
      <c r="E3007" s="98" t="s">
        <v>1701</v>
      </c>
      <c r="F3007" s="98" t="n">
        <v>1</v>
      </c>
      <c r="G3007" s="98" t="s">
        <v>4600</v>
      </c>
      <c r="H3007" s="98" t="s">
        <v>1703</v>
      </c>
      <c r="I3007" s="98" t="s">
        <v>1704</v>
      </c>
      <c r="J3007" s="98" t="s">
        <v>1705</v>
      </c>
      <c r="K3007" s="98" t="s">
        <v>1706</v>
      </c>
    </row>
    <row r="3008" customFormat="false" ht="64" hidden="false" customHeight="true" outlineLevel="0" collapsed="false">
      <c r="C3008" s="98" t="s">
        <v>4798</v>
      </c>
      <c r="D3008" s="98" t="s">
        <v>1730</v>
      </c>
      <c r="E3008" s="98" t="s">
        <v>1701</v>
      </c>
      <c r="F3008" s="98" t="n">
        <v>1</v>
      </c>
      <c r="G3008" s="98" t="s">
        <v>4600</v>
      </c>
      <c r="H3008" s="98" t="s">
        <v>1703</v>
      </c>
      <c r="I3008" s="98" t="s">
        <v>1704</v>
      </c>
      <c r="J3008" s="98" t="s">
        <v>1705</v>
      </c>
      <c r="K3008" s="98" t="s">
        <v>1706</v>
      </c>
    </row>
    <row r="3009" customFormat="false" ht="64" hidden="false" customHeight="true" outlineLevel="0" collapsed="false">
      <c r="C3009" s="98" t="s">
        <v>4799</v>
      </c>
      <c r="D3009" s="98" t="s">
        <v>1732</v>
      </c>
      <c r="E3009" s="98" t="s">
        <v>1701</v>
      </c>
      <c r="F3009" s="98" t="n">
        <v>1</v>
      </c>
      <c r="G3009" s="98" t="s">
        <v>4600</v>
      </c>
      <c r="H3009" s="98" t="s">
        <v>1703</v>
      </c>
      <c r="I3009" s="98" t="s">
        <v>1704</v>
      </c>
      <c r="J3009" s="98" t="s">
        <v>1705</v>
      </c>
      <c r="K3009" s="98" t="s">
        <v>1706</v>
      </c>
    </row>
    <row r="3010" customFormat="false" ht="64" hidden="false" customHeight="true" outlineLevel="0" collapsed="false">
      <c r="C3010" s="98" t="s">
        <v>4800</v>
      </c>
      <c r="D3010" s="98" t="s">
        <v>1734</v>
      </c>
      <c r="E3010" s="98" t="s">
        <v>1701</v>
      </c>
      <c r="F3010" s="98" t="n">
        <v>1</v>
      </c>
      <c r="G3010" s="98" t="s">
        <v>4600</v>
      </c>
      <c r="H3010" s="98" t="s">
        <v>1703</v>
      </c>
      <c r="I3010" s="98" t="s">
        <v>1704</v>
      </c>
      <c r="J3010" s="98" t="s">
        <v>1705</v>
      </c>
      <c r="K3010" s="98" t="s">
        <v>1706</v>
      </c>
    </row>
    <row r="3011" customFormat="false" ht="64" hidden="false" customHeight="true" outlineLevel="0" collapsed="false">
      <c r="C3011" s="98" t="s">
        <v>4801</v>
      </c>
      <c r="D3011" s="98" t="s">
        <v>1736</v>
      </c>
      <c r="E3011" s="98" t="s">
        <v>1701</v>
      </c>
      <c r="F3011" s="98" t="n">
        <v>1</v>
      </c>
      <c r="G3011" s="98" t="s">
        <v>4600</v>
      </c>
      <c r="H3011" s="98" t="s">
        <v>1703</v>
      </c>
      <c r="I3011" s="98" t="s">
        <v>1704</v>
      </c>
      <c r="J3011" s="98" t="s">
        <v>1705</v>
      </c>
      <c r="K3011" s="98" t="s">
        <v>1706</v>
      </c>
    </row>
    <row r="3012" customFormat="false" ht="64" hidden="false" customHeight="true" outlineLevel="0" collapsed="false">
      <c r="C3012" s="98" t="s">
        <v>4802</v>
      </c>
      <c r="D3012" s="98" t="s">
        <v>1738</v>
      </c>
      <c r="E3012" s="98" t="s">
        <v>1701</v>
      </c>
      <c r="F3012" s="98" t="n">
        <v>1</v>
      </c>
      <c r="G3012" s="98" t="s">
        <v>4600</v>
      </c>
      <c r="H3012" s="98" t="s">
        <v>1703</v>
      </c>
      <c r="I3012" s="98" t="s">
        <v>1704</v>
      </c>
      <c r="J3012" s="98" t="s">
        <v>1705</v>
      </c>
      <c r="K3012" s="98" t="s">
        <v>1706</v>
      </c>
    </row>
    <row r="3013" customFormat="false" ht="64" hidden="false" customHeight="true" outlineLevel="0" collapsed="false">
      <c r="C3013" s="98" t="s">
        <v>4803</v>
      </c>
      <c r="D3013" s="98" t="s">
        <v>1740</v>
      </c>
      <c r="E3013" s="98" t="s">
        <v>1701</v>
      </c>
      <c r="F3013" s="98" t="n">
        <v>1</v>
      </c>
      <c r="G3013" s="98" t="s">
        <v>4600</v>
      </c>
      <c r="H3013" s="98" t="s">
        <v>1703</v>
      </c>
      <c r="I3013" s="98" t="s">
        <v>1704</v>
      </c>
      <c r="J3013" s="98" t="s">
        <v>1705</v>
      </c>
      <c r="K3013" s="98" t="s">
        <v>1706</v>
      </c>
    </row>
    <row r="3014" customFormat="false" ht="64" hidden="false" customHeight="true" outlineLevel="0" collapsed="false">
      <c r="C3014" s="98" t="s">
        <v>4804</v>
      </c>
      <c r="D3014" s="98" t="s">
        <v>1742</v>
      </c>
      <c r="E3014" s="98" t="s">
        <v>1701</v>
      </c>
      <c r="F3014" s="98" t="n">
        <v>1</v>
      </c>
      <c r="G3014" s="98" t="s">
        <v>4600</v>
      </c>
      <c r="H3014" s="98" t="s">
        <v>1703</v>
      </c>
      <c r="I3014" s="98" t="s">
        <v>1704</v>
      </c>
      <c r="J3014" s="98" t="s">
        <v>1705</v>
      </c>
      <c r="K3014" s="98" t="s">
        <v>1706</v>
      </c>
    </row>
    <row r="3015" customFormat="false" ht="64" hidden="false" customHeight="true" outlineLevel="0" collapsed="false">
      <c r="C3015" s="98" t="s">
        <v>4805</v>
      </c>
      <c r="D3015" s="98" t="s">
        <v>1744</v>
      </c>
      <c r="E3015" s="98" t="s">
        <v>1701</v>
      </c>
      <c r="F3015" s="98" t="n">
        <v>1</v>
      </c>
      <c r="G3015" s="98" t="s">
        <v>4600</v>
      </c>
      <c r="H3015" s="98" t="s">
        <v>1703</v>
      </c>
      <c r="I3015" s="98" t="s">
        <v>1704</v>
      </c>
      <c r="J3015" s="98" t="s">
        <v>1705</v>
      </c>
      <c r="K3015" s="98" t="s">
        <v>1706</v>
      </c>
    </row>
    <row r="3016" customFormat="false" ht="64" hidden="false" customHeight="true" outlineLevel="0" collapsed="false">
      <c r="C3016" s="98" t="s">
        <v>4806</v>
      </c>
      <c r="D3016" s="98" t="s">
        <v>1746</v>
      </c>
      <c r="E3016" s="98" t="s">
        <v>1701</v>
      </c>
      <c r="F3016" s="98" t="n">
        <v>1</v>
      </c>
      <c r="G3016" s="98" t="s">
        <v>4600</v>
      </c>
      <c r="H3016" s="98" t="s">
        <v>1703</v>
      </c>
      <c r="I3016" s="98" t="s">
        <v>1704</v>
      </c>
      <c r="J3016" s="98" t="s">
        <v>1705</v>
      </c>
      <c r="K3016" s="98" t="s">
        <v>1706</v>
      </c>
    </row>
    <row r="3017" customFormat="false" ht="64" hidden="false" customHeight="true" outlineLevel="0" collapsed="false">
      <c r="C3017" s="98" t="s">
        <v>4807</v>
      </c>
      <c r="D3017" s="98" t="s">
        <v>1748</v>
      </c>
      <c r="E3017" s="98" t="s">
        <v>1701</v>
      </c>
      <c r="F3017" s="98" t="n">
        <v>1</v>
      </c>
      <c r="G3017" s="98" t="s">
        <v>4600</v>
      </c>
      <c r="H3017" s="98" t="s">
        <v>1703</v>
      </c>
      <c r="I3017" s="98" t="s">
        <v>1704</v>
      </c>
      <c r="J3017" s="98" t="s">
        <v>1705</v>
      </c>
      <c r="K3017" s="98" t="s">
        <v>1706</v>
      </c>
    </row>
    <row r="3018" customFormat="false" ht="64" hidden="false" customHeight="true" outlineLevel="0" collapsed="false">
      <c r="C3018" s="98" t="s">
        <v>4808</v>
      </c>
      <c r="D3018" s="98" t="s">
        <v>1750</v>
      </c>
      <c r="E3018" s="98" t="s">
        <v>1701</v>
      </c>
      <c r="F3018" s="98" t="n">
        <v>1</v>
      </c>
      <c r="G3018" s="98" t="s">
        <v>4600</v>
      </c>
      <c r="H3018" s="98" t="s">
        <v>1703</v>
      </c>
      <c r="I3018" s="98" t="s">
        <v>1704</v>
      </c>
      <c r="J3018" s="98" t="s">
        <v>1705</v>
      </c>
      <c r="K3018" s="98" t="s">
        <v>1706</v>
      </c>
    </row>
    <row r="3019" customFormat="false" ht="64" hidden="false" customHeight="true" outlineLevel="0" collapsed="false">
      <c r="C3019" s="98" t="s">
        <v>4809</v>
      </c>
      <c r="D3019" s="98" t="s">
        <v>1752</v>
      </c>
      <c r="E3019" s="98" t="s">
        <v>1701</v>
      </c>
      <c r="F3019" s="98" t="n">
        <v>1</v>
      </c>
      <c r="G3019" s="98" t="s">
        <v>4600</v>
      </c>
      <c r="H3019" s="98" t="s">
        <v>1703</v>
      </c>
      <c r="I3019" s="98" t="s">
        <v>1704</v>
      </c>
      <c r="J3019" s="98" t="s">
        <v>1705</v>
      </c>
      <c r="K3019" s="98" t="s">
        <v>1706</v>
      </c>
    </row>
    <row r="3020" customFormat="false" ht="64" hidden="false" customHeight="true" outlineLevel="0" collapsed="false">
      <c r="C3020" s="98" t="s">
        <v>4810</v>
      </c>
      <c r="D3020" s="98" t="s">
        <v>1754</v>
      </c>
      <c r="E3020" s="98" t="s">
        <v>1701</v>
      </c>
      <c r="F3020" s="98" t="n">
        <v>1</v>
      </c>
      <c r="G3020" s="98" t="s">
        <v>4600</v>
      </c>
      <c r="H3020" s="98" t="s">
        <v>1703</v>
      </c>
      <c r="I3020" s="98" t="s">
        <v>1704</v>
      </c>
      <c r="J3020" s="98" t="s">
        <v>1705</v>
      </c>
      <c r="K3020" s="98" t="s">
        <v>1706</v>
      </c>
    </row>
    <row r="3021" customFormat="false" ht="64" hidden="false" customHeight="true" outlineLevel="0" collapsed="false">
      <c r="C3021" s="98" t="s">
        <v>4811</v>
      </c>
      <c r="D3021" s="98" t="s">
        <v>1756</v>
      </c>
      <c r="E3021" s="98" t="s">
        <v>1701</v>
      </c>
      <c r="F3021" s="98" t="n">
        <v>1</v>
      </c>
      <c r="G3021" s="98" t="s">
        <v>4600</v>
      </c>
      <c r="H3021" s="98" t="s">
        <v>1703</v>
      </c>
      <c r="I3021" s="98" t="s">
        <v>1704</v>
      </c>
      <c r="J3021" s="98" t="s">
        <v>1705</v>
      </c>
      <c r="K3021" s="98" t="s">
        <v>1706</v>
      </c>
    </row>
    <row r="3022" customFormat="false" ht="64" hidden="false" customHeight="true" outlineLevel="0" collapsed="false">
      <c r="C3022" s="98" t="s">
        <v>4812</v>
      </c>
      <c r="D3022" s="98" t="s">
        <v>1758</v>
      </c>
      <c r="E3022" s="98" t="s">
        <v>1701</v>
      </c>
      <c r="F3022" s="98" t="n">
        <v>1</v>
      </c>
      <c r="G3022" s="98" t="s">
        <v>4600</v>
      </c>
      <c r="H3022" s="98" t="s">
        <v>1703</v>
      </c>
      <c r="I3022" s="98" t="s">
        <v>1704</v>
      </c>
      <c r="J3022" s="98" t="s">
        <v>1705</v>
      </c>
      <c r="K3022" s="98" t="s">
        <v>1706</v>
      </c>
    </row>
    <row r="3023" customFormat="false" ht="64" hidden="false" customHeight="true" outlineLevel="0" collapsed="false">
      <c r="C3023" s="98" t="s">
        <v>4813</v>
      </c>
      <c r="D3023" s="98" t="s">
        <v>1760</v>
      </c>
      <c r="E3023" s="98" t="s">
        <v>1701</v>
      </c>
      <c r="F3023" s="98" t="n">
        <v>1</v>
      </c>
      <c r="G3023" s="98" t="s">
        <v>4600</v>
      </c>
      <c r="H3023" s="98" t="s">
        <v>1703</v>
      </c>
      <c r="I3023" s="98" t="s">
        <v>1704</v>
      </c>
      <c r="J3023" s="98" t="s">
        <v>1705</v>
      </c>
      <c r="K3023" s="98" t="s">
        <v>1706</v>
      </c>
    </row>
    <row r="3024" customFormat="false" ht="64" hidden="false" customHeight="true" outlineLevel="0" collapsed="false">
      <c r="C3024" s="98" t="s">
        <v>4814</v>
      </c>
      <c r="D3024" s="98" t="s">
        <v>1762</v>
      </c>
      <c r="E3024" s="98" t="s">
        <v>1701</v>
      </c>
      <c r="F3024" s="98" t="n">
        <v>1</v>
      </c>
      <c r="G3024" s="98" t="s">
        <v>4600</v>
      </c>
      <c r="H3024" s="98" t="s">
        <v>1703</v>
      </c>
      <c r="I3024" s="98" t="s">
        <v>1704</v>
      </c>
      <c r="J3024" s="98" t="s">
        <v>1705</v>
      </c>
      <c r="K3024" s="98" t="s">
        <v>1706</v>
      </c>
    </row>
    <row r="3025" customFormat="false" ht="64" hidden="false" customHeight="true" outlineLevel="0" collapsed="false">
      <c r="C3025" s="98" t="s">
        <v>4815</v>
      </c>
      <c r="D3025" s="98" t="s">
        <v>1764</v>
      </c>
      <c r="E3025" s="98" t="s">
        <v>1701</v>
      </c>
      <c r="F3025" s="98" t="n">
        <v>1</v>
      </c>
      <c r="G3025" s="98" t="s">
        <v>4600</v>
      </c>
      <c r="H3025" s="98" t="s">
        <v>1703</v>
      </c>
      <c r="I3025" s="98" t="s">
        <v>1704</v>
      </c>
      <c r="J3025" s="98" t="s">
        <v>1705</v>
      </c>
      <c r="K3025" s="98" t="s">
        <v>1706</v>
      </c>
    </row>
    <row r="3026" customFormat="false" ht="64" hidden="false" customHeight="true" outlineLevel="0" collapsed="false">
      <c r="C3026" s="98" t="s">
        <v>4816</v>
      </c>
      <c r="D3026" s="98" t="s">
        <v>1829</v>
      </c>
      <c r="E3026" s="98" t="s">
        <v>1701</v>
      </c>
      <c r="F3026" s="98" t="n">
        <v>1</v>
      </c>
      <c r="G3026" s="98" t="s">
        <v>4600</v>
      </c>
      <c r="H3026" s="98" t="s">
        <v>1703</v>
      </c>
      <c r="I3026" s="98" t="s">
        <v>1704</v>
      </c>
      <c r="J3026" s="98" t="s">
        <v>1705</v>
      </c>
      <c r="K3026" s="98" t="s">
        <v>1706</v>
      </c>
    </row>
    <row r="3027" customFormat="false" ht="64" hidden="false" customHeight="true" outlineLevel="0" collapsed="false">
      <c r="C3027" s="98" t="s">
        <v>4817</v>
      </c>
      <c r="D3027" s="98" t="s">
        <v>1833</v>
      </c>
      <c r="E3027" s="98" t="s">
        <v>1701</v>
      </c>
      <c r="F3027" s="98" t="n">
        <v>1</v>
      </c>
      <c r="G3027" s="98" t="s">
        <v>4600</v>
      </c>
      <c r="H3027" s="98" t="s">
        <v>1703</v>
      </c>
      <c r="I3027" s="98" t="s">
        <v>1704</v>
      </c>
      <c r="J3027" s="98" t="s">
        <v>1705</v>
      </c>
      <c r="K3027" s="98" t="s">
        <v>1706</v>
      </c>
    </row>
    <row r="3028" customFormat="false" ht="64" hidden="false" customHeight="true" outlineLevel="0" collapsed="false">
      <c r="C3028" s="98" t="s">
        <v>4818</v>
      </c>
      <c r="D3028" s="98" t="s">
        <v>1835</v>
      </c>
      <c r="E3028" s="98" t="s">
        <v>1701</v>
      </c>
      <c r="F3028" s="98" t="n">
        <v>1</v>
      </c>
      <c r="G3028" s="98" t="s">
        <v>4600</v>
      </c>
      <c r="H3028" s="98" t="s">
        <v>1703</v>
      </c>
      <c r="I3028" s="98" t="s">
        <v>1704</v>
      </c>
      <c r="J3028" s="98" t="s">
        <v>1705</v>
      </c>
      <c r="K3028" s="98" t="s">
        <v>1706</v>
      </c>
    </row>
    <row r="3029" customFormat="false" ht="64" hidden="false" customHeight="true" outlineLevel="0" collapsed="false">
      <c r="C3029" s="98" t="s">
        <v>4819</v>
      </c>
      <c r="D3029" s="98" t="s">
        <v>1044</v>
      </c>
      <c r="E3029" s="98" t="s">
        <v>1701</v>
      </c>
      <c r="F3029" s="98" t="n">
        <v>1</v>
      </c>
      <c r="G3029" s="98" t="s">
        <v>4600</v>
      </c>
      <c r="H3029" s="98" t="s">
        <v>1703</v>
      </c>
      <c r="I3029" s="98" t="s">
        <v>1704</v>
      </c>
      <c r="J3029" s="98" t="s">
        <v>1705</v>
      </c>
      <c r="K3029" s="98" t="s">
        <v>1706</v>
      </c>
    </row>
    <row r="3030" customFormat="false" ht="64" hidden="false" customHeight="true" outlineLevel="0" collapsed="false">
      <c r="C3030" s="98" t="s">
        <v>4820</v>
      </c>
      <c r="D3030" s="98" t="s">
        <v>1838</v>
      </c>
      <c r="E3030" s="98" t="s">
        <v>1701</v>
      </c>
      <c r="F3030" s="98" t="n">
        <v>1</v>
      </c>
      <c r="G3030" s="98" t="s">
        <v>4600</v>
      </c>
      <c r="H3030" s="98" t="s">
        <v>1703</v>
      </c>
      <c r="I3030" s="98" t="s">
        <v>1704</v>
      </c>
      <c r="J3030" s="98" t="s">
        <v>1705</v>
      </c>
      <c r="K3030" s="98" t="s">
        <v>1706</v>
      </c>
    </row>
    <row r="3031" customFormat="false" ht="64" hidden="false" customHeight="true" outlineLevel="0" collapsed="false">
      <c r="C3031" s="98" t="s">
        <v>4821</v>
      </c>
      <c r="D3031" s="98" t="s">
        <v>1840</v>
      </c>
      <c r="E3031" s="98" t="s">
        <v>1701</v>
      </c>
      <c r="F3031" s="98" t="n">
        <v>1</v>
      </c>
      <c r="G3031" s="98" t="s">
        <v>4600</v>
      </c>
      <c r="H3031" s="98" t="s">
        <v>1703</v>
      </c>
      <c r="I3031" s="98" t="s">
        <v>1704</v>
      </c>
      <c r="J3031" s="98" t="s">
        <v>1705</v>
      </c>
      <c r="K3031" s="98" t="s">
        <v>1706</v>
      </c>
    </row>
    <row r="3032" customFormat="false" ht="64" hidden="false" customHeight="true" outlineLevel="0" collapsed="false">
      <c r="C3032" s="98" t="s">
        <v>4822</v>
      </c>
      <c r="D3032" s="98" t="s">
        <v>1700</v>
      </c>
      <c r="E3032" s="98" t="s">
        <v>1701</v>
      </c>
      <c r="F3032" s="98" t="n">
        <v>1</v>
      </c>
      <c r="G3032" s="98" t="s">
        <v>4600</v>
      </c>
      <c r="H3032" s="98" t="s">
        <v>1703</v>
      </c>
      <c r="I3032" s="98" t="s">
        <v>1704</v>
      </c>
      <c r="J3032" s="98" t="s">
        <v>1705</v>
      </c>
      <c r="K3032" s="98" t="s">
        <v>1706</v>
      </c>
    </row>
    <row r="3033" customFormat="false" ht="64" hidden="false" customHeight="true" outlineLevel="0" collapsed="false">
      <c r="C3033" s="98" t="s">
        <v>4823</v>
      </c>
      <c r="D3033" s="98" t="s">
        <v>1708</v>
      </c>
      <c r="E3033" s="98" t="s">
        <v>1701</v>
      </c>
      <c r="F3033" s="98" t="n">
        <v>1</v>
      </c>
      <c r="G3033" s="98" t="s">
        <v>4600</v>
      </c>
      <c r="H3033" s="98" t="s">
        <v>1703</v>
      </c>
      <c r="I3033" s="98" t="s">
        <v>1704</v>
      </c>
      <c r="J3033" s="98" t="s">
        <v>1705</v>
      </c>
      <c r="K3033" s="98" t="s">
        <v>1706</v>
      </c>
    </row>
    <row r="3034" customFormat="false" ht="64" hidden="false" customHeight="true" outlineLevel="0" collapsed="false">
      <c r="C3034" s="98" t="s">
        <v>4824</v>
      </c>
      <c r="D3034" s="98" t="s">
        <v>1710</v>
      </c>
      <c r="E3034" s="98" t="s">
        <v>1701</v>
      </c>
      <c r="F3034" s="98" t="n">
        <v>1</v>
      </c>
      <c r="G3034" s="98" t="s">
        <v>4600</v>
      </c>
      <c r="H3034" s="98" t="s">
        <v>1703</v>
      </c>
      <c r="I3034" s="98" t="s">
        <v>1704</v>
      </c>
      <c r="J3034" s="98" t="s">
        <v>1705</v>
      </c>
      <c r="K3034" s="98" t="s">
        <v>1706</v>
      </c>
    </row>
    <row r="3035" customFormat="false" ht="64" hidden="false" customHeight="true" outlineLevel="0" collapsed="false">
      <c r="C3035" s="98" t="s">
        <v>4825</v>
      </c>
      <c r="D3035" s="98" t="s">
        <v>1712</v>
      </c>
      <c r="E3035" s="98" t="s">
        <v>1701</v>
      </c>
      <c r="F3035" s="98" t="n">
        <v>1</v>
      </c>
      <c r="G3035" s="98" t="s">
        <v>4600</v>
      </c>
      <c r="H3035" s="98" t="s">
        <v>1703</v>
      </c>
      <c r="I3035" s="98" t="s">
        <v>1704</v>
      </c>
      <c r="J3035" s="98" t="s">
        <v>1705</v>
      </c>
      <c r="K3035" s="98" t="s">
        <v>1706</v>
      </c>
    </row>
    <row r="3036" customFormat="false" ht="64" hidden="false" customHeight="true" outlineLevel="0" collapsed="false">
      <c r="C3036" s="98" t="s">
        <v>4826</v>
      </c>
      <c r="D3036" s="98" t="s">
        <v>1714</v>
      </c>
      <c r="E3036" s="98" t="s">
        <v>1701</v>
      </c>
      <c r="F3036" s="98" t="n">
        <v>1</v>
      </c>
      <c r="G3036" s="98" t="s">
        <v>4600</v>
      </c>
      <c r="H3036" s="98" t="s">
        <v>1703</v>
      </c>
      <c r="I3036" s="98" t="s">
        <v>1704</v>
      </c>
      <c r="J3036" s="98" t="s">
        <v>1705</v>
      </c>
      <c r="K3036" s="98" t="s">
        <v>1706</v>
      </c>
    </row>
    <row r="3037" customFormat="false" ht="64" hidden="false" customHeight="true" outlineLevel="0" collapsed="false">
      <c r="C3037" s="98" t="s">
        <v>4827</v>
      </c>
      <c r="D3037" s="98" t="s">
        <v>1716</v>
      </c>
      <c r="E3037" s="98" t="s">
        <v>1701</v>
      </c>
      <c r="F3037" s="98" t="n">
        <v>1</v>
      </c>
      <c r="G3037" s="98" t="s">
        <v>4600</v>
      </c>
      <c r="H3037" s="98" t="s">
        <v>1703</v>
      </c>
      <c r="I3037" s="98" t="s">
        <v>1704</v>
      </c>
      <c r="J3037" s="98" t="s">
        <v>1705</v>
      </c>
      <c r="K3037" s="98" t="s">
        <v>1706</v>
      </c>
    </row>
    <row r="3038" customFormat="false" ht="64" hidden="false" customHeight="true" outlineLevel="0" collapsed="false">
      <c r="C3038" s="98" t="s">
        <v>4828</v>
      </c>
      <c r="D3038" s="98" t="s">
        <v>1718</v>
      </c>
      <c r="E3038" s="98" t="s">
        <v>1701</v>
      </c>
      <c r="F3038" s="98" t="n">
        <v>1</v>
      </c>
      <c r="G3038" s="98" t="s">
        <v>4600</v>
      </c>
      <c r="H3038" s="98" t="s">
        <v>1703</v>
      </c>
      <c r="I3038" s="98" t="s">
        <v>1704</v>
      </c>
      <c r="J3038" s="98" t="s">
        <v>1705</v>
      </c>
      <c r="K3038" s="98" t="s">
        <v>1706</v>
      </c>
    </row>
    <row r="3039" customFormat="false" ht="64" hidden="false" customHeight="true" outlineLevel="0" collapsed="false">
      <c r="C3039" s="98" t="s">
        <v>4829</v>
      </c>
      <c r="D3039" s="98" t="s">
        <v>1720</v>
      </c>
      <c r="E3039" s="98" t="s">
        <v>1701</v>
      </c>
      <c r="F3039" s="98" t="n">
        <v>1</v>
      </c>
      <c r="G3039" s="98" t="s">
        <v>4600</v>
      </c>
      <c r="H3039" s="98" t="s">
        <v>1703</v>
      </c>
      <c r="I3039" s="98" t="s">
        <v>1704</v>
      </c>
      <c r="J3039" s="98" t="s">
        <v>1705</v>
      </c>
      <c r="K3039" s="98" t="s">
        <v>1706</v>
      </c>
    </row>
    <row r="3040" customFormat="false" ht="64" hidden="false" customHeight="true" outlineLevel="0" collapsed="false">
      <c r="C3040" s="98" t="s">
        <v>4830</v>
      </c>
      <c r="D3040" s="98" t="s">
        <v>1722</v>
      </c>
      <c r="E3040" s="98" t="s">
        <v>1701</v>
      </c>
      <c r="F3040" s="98" t="n">
        <v>1</v>
      </c>
      <c r="G3040" s="98" t="s">
        <v>4600</v>
      </c>
      <c r="H3040" s="98" t="s">
        <v>1703</v>
      </c>
      <c r="I3040" s="98" t="s">
        <v>1704</v>
      </c>
      <c r="J3040" s="98" t="s">
        <v>1705</v>
      </c>
      <c r="K3040" s="98" t="s">
        <v>1706</v>
      </c>
    </row>
    <row r="3041" customFormat="false" ht="64" hidden="false" customHeight="true" outlineLevel="0" collapsed="false">
      <c r="C3041" s="98" t="s">
        <v>4831</v>
      </c>
      <c r="D3041" s="98" t="s">
        <v>1724</v>
      </c>
      <c r="E3041" s="98" t="s">
        <v>1701</v>
      </c>
      <c r="F3041" s="98" t="n">
        <v>1</v>
      </c>
      <c r="G3041" s="98" t="s">
        <v>4600</v>
      </c>
      <c r="H3041" s="98" t="s">
        <v>1703</v>
      </c>
      <c r="I3041" s="98" t="s">
        <v>1704</v>
      </c>
      <c r="J3041" s="98" t="s">
        <v>1705</v>
      </c>
      <c r="K3041" s="98" t="s">
        <v>1706</v>
      </c>
    </row>
    <row r="3042" customFormat="false" ht="64" hidden="false" customHeight="true" outlineLevel="0" collapsed="false">
      <c r="C3042" s="98" t="s">
        <v>4832</v>
      </c>
      <c r="D3042" s="98" t="s">
        <v>1726</v>
      </c>
      <c r="E3042" s="98" t="s">
        <v>1701</v>
      </c>
      <c r="F3042" s="98" t="n">
        <v>1</v>
      </c>
      <c r="G3042" s="98" t="s">
        <v>4600</v>
      </c>
      <c r="H3042" s="98" t="s">
        <v>1703</v>
      </c>
      <c r="I3042" s="98" t="s">
        <v>1704</v>
      </c>
      <c r="J3042" s="98" t="s">
        <v>1705</v>
      </c>
      <c r="K3042" s="98" t="s">
        <v>1706</v>
      </c>
    </row>
    <row r="3043" customFormat="false" ht="64" hidden="false" customHeight="true" outlineLevel="0" collapsed="false">
      <c r="C3043" s="98" t="s">
        <v>4833</v>
      </c>
      <c r="D3043" s="98" t="s">
        <v>1728</v>
      </c>
      <c r="E3043" s="98" t="s">
        <v>1701</v>
      </c>
      <c r="F3043" s="98" t="n">
        <v>1</v>
      </c>
      <c r="G3043" s="98" t="s">
        <v>4600</v>
      </c>
      <c r="H3043" s="98" t="s">
        <v>1703</v>
      </c>
      <c r="I3043" s="98" t="s">
        <v>1704</v>
      </c>
      <c r="J3043" s="98" t="s">
        <v>1705</v>
      </c>
      <c r="K3043" s="98" t="s">
        <v>1706</v>
      </c>
    </row>
    <row r="3044" customFormat="false" ht="64" hidden="false" customHeight="true" outlineLevel="0" collapsed="false">
      <c r="C3044" s="98" t="s">
        <v>4834</v>
      </c>
      <c r="D3044" s="98" t="s">
        <v>1730</v>
      </c>
      <c r="E3044" s="98" t="s">
        <v>1701</v>
      </c>
      <c r="F3044" s="98" t="n">
        <v>1</v>
      </c>
      <c r="G3044" s="98" t="s">
        <v>4600</v>
      </c>
      <c r="H3044" s="98" t="s">
        <v>1703</v>
      </c>
      <c r="I3044" s="98" t="s">
        <v>1704</v>
      </c>
      <c r="J3044" s="98" t="s">
        <v>1705</v>
      </c>
      <c r="K3044" s="98" t="s">
        <v>1706</v>
      </c>
    </row>
    <row r="3045" customFormat="false" ht="64" hidden="false" customHeight="true" outlineLevel="0" collapsed="false">
      <c r="C3045" s="98" t="s">
        <v>4835</v>
      </c>
      <c r="D3045" s="98" t="s">
        <v>1732</v>
      </c>
      <c r="E3045" s="98" t="s">
        <v>1701</v>
      </c>
      <c r="F3045" s="98" t="n">
        <v>1</v>
      </c>
      <c r="G3045" s="98" t="s">
        <v>4600</v>
      </c>
      <c r="H3045" s="98" t="s">
        <v>1703</v>
      </c>
      <c r="I3045" s="98" t="s">
        <v>1704</v>
      </c>
      <c r="J3045" s="98" t="s">
        <v>1705</v>
      </c>
      <c r="K3045" s="98" t="s">
        <v>1706</v>
      </c>
    </row>
    <row r="3046" customFormat="false" ht="64" hidden="false" customHeight="true" outlineLevel="0" collapsed="false">
      <c r="C3046" s="98" t="s">
        <v>4836</v>
      </c>
      <c r="D3046" s="98" t="s">
        <v>1734</v>
      </c>
      <c r="E3046" s="98" t="s">
        <v>1701</v>
      </c>
      <c r="F3046" s="98" t="n">
        <v>1</v>
      </c>
      <c r="G3046" s="98" t="s">
        <v>4600</v>
      </c>
      <c r="H3046" s="98" t="s">
        <v>1703</v>
      </c>
      <c r="I3046" s="98" t="s">
        <v>1704</v>
      </c>
      <c r="J3046" s="98" t="s">
        <v>1705</v>
      </c>
      <c r="K3046" s="98" t="s">
        <v>1706</v>
      </c>
    </row>
    <row r="3047" customFormat="false" ht="64" hidden="false" customHeight="true" outlineLevel="0" collapsed="false">
      <c r="C3047" s="98" t="s">
        <v>4837</v>
      </c>
      <c r="D3047" s="98" t="s">
        <v>1736</v>
      </c>
      <c r="E3047" s="98" t="s">
        <v>1701</v>
      </c>
      <c r="F3047" s="98" t="n">
        <v>1</v>
      </c>
      <c r="G3047" s="98" t="s">
        <v>4600</v>
      </c>
      <c r="H3047" s="98" t="s">
        <v>1703</v>
      </c>
      <c r="I3047" s="98" t="s">
        <v>1704</v>
      </c>
      <c r="J3047" s="98" t="s">
        <v>1705</v>
      </c>
      <c r="K3047" s="98" t="s">
        <v>1706</v>
      </c>
    </row>
    <row r="3048" customFormat="false" ht="64" hidden="false" customHeight="true" outlineLevel="0" collapsed="false">
      <c r="C3048" s="98" t="s">
        <v>4838</v>
      </c>
      <c r="D3048" s="98" t="s">
        <v>1738</v>
      </c>
      <c r="E3048" s="98" t="s">
        <v>1701</v>
      </c>
      <c r="F3048" s="98" t="n">
        <v>1</v>
      </c>
      <c r="G3048" s="98" t="s">
        <v>4600</v>
      </c>
      <c r="H3048" s="98" t="s">
        <v>1703</v>
      </c>
      <c r="I3048" s="98" t="s">
        <v>1704</v>
      </c>
      <c r="J3048" s="98" t="s">
        <v>1705</v>
      </c>
      <c r="K3048" s="98" t="s">
        <v>1706</v>
      </c>
    </row>
    <row r="3049" customFormat="false" ht="64" hidden="false" customHeight="true" outlineLevel="0" collapsed="false">
      <c r="C3049" s="98" t="s">
        <v>4839</v>
      </c>
      <c r="D3049" s="98" t="s">
        <v>1740</v>
      </c>
      <c r="E3049" s="98" t="s">
        <v>1701</v>
      </c>
      <c r="F3049" s="98" t="n">
        <v>1</v>
      </c>
      <c r="G3049" s="98" t="s">
        <v>4600</v>
      </c>
      <c r="H3049" s="98" t="s">
        <v>1703</v>
      </c>
      <c r="I3049" s="98" t="s">
        <v>1704</v>
      </c>
      <c r="J3049" s="98" t="s">
        <v>1705</v>
      </c>
      <c r="K3049" s="98" t="s">
        <v>1706</v>
      </c>
    </row>
    <row r="3050" customFormat="false" ht="64" hidden="false" customHeight="true" outlineLevel="0" collapsed="false">
      <c r="C3050" s="98" t="s">
        <v>4840</v>
      </c>
      <c r="D3050" s="98" t="s">
        <v>1742</v>
      </c>
      <c r="E3050" s="98" t="s">
        <v>1701</v>
      </c>
      <c r="F3050" s="98" t="n">
        <v>1</v>
      </c>
      <c r="G3050" s="98" t="s">
        <v>4600</v>
      </c>
      <c r="H3050" s="98" t="s">
        <v>1703</v>
      </c>
      <c r="I3050" s="98" t="s">
        <v>1704</v>
      </c>
      <c r="J3050" s="98" t="s">
        <v>1705</v>
      </c>
      <c r="K3050" s="98" t="s">
        <v>1706</v>
      </c>
    </row>
    <row r="3051" customFormat="false" ht="64" hidden="false" customHeight="true" outlineLevel="0" collapsed="false">
      <c r="C3051" s="98" t="s">
        <v>4841</v>
      </c>
      <c r="D3051" s="98" t="s">
        <v>1744</v>
      </c>
      <c r="E3051" s="98" t="s">
        <v>1701</v>
      </c>
      <c r="F3051" s="98" t="n">
        <v>1</v>
      </c>
      <c r="G3051" s="98" t="s">
        <v>4600</v>
      </c>
      <c r="H3051" s="98" t="s">
        <v>1703</v>
      </c>
      <c r="I3051" s="98" t="s">
        <v>1704</v>
      </c>
      <c r="J3051" s="98" t="s">
        <v>1705</v>
      </c>
      <c r="K3051" s="98" t="s">
        <v>1706</v>
      </c>
    </row>
    <row r="3052" customFormat="false" ht="64" hidden="false" customHeight="true" outlineLevel="0" collapsed="false">
      <c r="C3052" s="98" t="s">
        <v>4842</v>
      </c>
      <c r="D3052" s="98" t="s">
        <v>1746</v>
      </c>
      <c r="E3052" s="98" t="s">
        <v>1701</v>
      </c>
      <c r="F3052" s="98" t="n">
        <v>1</v>
      </c>
      <c r="G3052" s="98" t="s">
        <v>4600</v>
      </c>
      <c r="H3052" s="98" t="s">
        <v>1703</v>
      </c>
      <c r="I3052" s="98" t="s">
        <v>1704</v>
      </c>
      <c r="J3052" s="98" t="s">
        <v>1705</v>
      </c>
      <c r="K3052" s="98" t="s">
        <v>1706</v>
      </c>
    </row>
    <row r="3053" customFormat="false" ht="64" hidden="false" customHeight="true" outlineLevel="0" collapsed="false">
      <c r="C3053" s="98" t="s">
        <v>4843</v>
      </c>
      <c r="D3053" s="98" t="s">
        <v>1748</v>
      </c>
      <c r="E3053" s="98" t="s">
        <v>1701</v>
      </c>
      <c r="F3053" s="98" t="n">
        <v>1</v>
      </c>
      <c r="G3053" s="98" t="s">
        <v>4600</v>
      </c>
      <c r="H3053" s="98" t="s">
        <v>1703</v>
      </c>
      <c r="I3053" s="98" t="s">
        <v>1704</v>
      </c>
      <c r="J3053" s="98" t="s">
        <v>1705</v>
      </c>
      <c r="K3053" s="98" t="s">
        <v>1706</v>
      </c>
    </row>
    <row r="3054" customFormat="false" ht="64" hidden="false" customHeight="true" outlineLevel="0" collapsed="false">
      <c r="C3054" s="98" t="s">
        <v>4844</v>
      </c>
      <c r="D3054" s="98" t="s">
        <v>1750</v>
      </c>
      <c r="E3054" s="98" t="s">
        <v>1701</v>
      </c>
      <c r="F3054" s="98" t="n">
        <v>1</v>
      </c>
      <c r="G3054" s="98" t="s">
        <v>4600</v>
      </c>
      <c r="H3054" s="98" t="s">
        <v>1703</v>
      </c>
      <c r="I3054" s="98" t="s">
        <v>1704</v>
      </c>
      <c r="J3054" s="98" t="s">
        <v>1705</v>
      </c>
      <c r="K3054" s="98" t="s">
        <v>1706</v>
      </c>
    </row>
    <row r="3055" customFormat="false" ht="64" hidden="false" customHeight="true" outlineLevel="0" collapsed="false">
      <c r="C3055" s="98" t="s">
        <v>4845</v>
      </c>
      <c r="D3055" s="98" t="s">
        <v>1752</v>
      </c>
      <c r="E3055" s="98" t="s">
        <v>1701</v>
      </c>
      <c r="F3055" s="98" t="n">
        <v>1</v>
      </c>
      <c r="G3055" s="98" t="s">
        <v>4600</v>
      </c>
      <c r="H3055" s="98" t="s">
        <v>1703</v>
      </c>
      <c r="I3055" s="98" t="s">
        <v>1704</v>
      </c>
      <c r="J3055" s="98" t="s">
        <v>1705</v>
      </c>
      <c r="K3055" s="98" t="s">
        <v>1706</v>
      </c>
    </row>
    <row r="3056" customFormat="false" ht="64" hidden="false" customHeight="true" outlineLevel="0" collapsed="false">
      <c r="C3056" s="98" t="s">
        <v>4846</v>
      </c>
      <c r="D3056" s="98" t="s">
        <v>1754</v>
      </c>
      <c r="E3056" s="98" t="s">
        <v>1701</v>
      </c>
      <c r="F3056" s="98" t="n">
        <v>1</v>
      </c>
      <c r="G3056" s="98" t="s">
        <v>4600</v>
      </c>
      <c r="H3056" s="98" t="s">
        <v>1703</v>
      </c>
      <c r="I3056" s="98" t="s">
        <v>1704</v>
      </c>
      <c r="J3056" s="98" t="s">
        <v>1705</v>
      </c>
      <c r="K3056" s="98" t="s">
        <v>1706</v>
      </c>
    </row>
    <row r="3057" customFormat="false" ht="64" hidden="false" customHeight="true" outlineLevel="0" collapsed="false">
      <c r="C3057" s="98" t="s">
        <v>4847</v>
      </c>
      <c r="D3057" s="98" t="s">
        <v>1756</v>
      </c>
      <c r="E3057" s="98" t="s">
        <v>1701</v>
      </c>
      <c r="F3057" s="98" t="n">
        <v>1</v>
      </c>
      <c r="G3057" s="98" t="s">
        <v>4600</v>
      </c>
      <c r="H3057" s="98" t="s">
        <v>1703</v>
      </c>
      <c r="I3057" s="98" t="s">
        <v>1704</v>
      </c>
      <c r="J3057" s="98" t="s">
        <v>1705</v>
      </c>
      <c r="K3057" s="98" t="s">
        <v>1706</v>
      </c>
    </row>
    <row r="3058" customFormat="false" ht="64" hidden="false" customHeight="true" outlineLevel="0" collapsed="false">
      <c r="C3058" s="98" t="s">
        <v>4848</v>
      </c>
      <c r="D3058" s="98" t="s">
        <v>1758</v>
      </c>
      <c r="E3058" s="98" t="s">
        <v>1701</v>
      </c>
      <c r="F3058" s="98" t="n">
        <v>1</v>
      </c>
      <c r="G3058" s="98" t="s">
        <v>4600</v>
      </c>
      <c r="H3058" s="98" t="s">
        <v>1703</v>
      </c>
      <c r="I3058" s="98" t="s">
        <v>1704</v>
      </c>
      <c r="J3058" s="98" t="s">
        <v>1705</v>
      </c>
      <c r="K3058" s="98" t="s">
        <v>1706</v>
      </c>
    </row>
    <row r="3059" customFormat="false" ht="64" hidden="false" customHeight="true" outlineLevel="0" collapsed="false">
      <c r="C3059" s="98" t="s">
        <v>4849</v>
      </c>
      <c r="D3059" s="98" t="s">
        <v>1760</v>
      </c>
      <c r="E3059" s="98" t="s">
        <v>1701</v>
      </c>
      <c r="F3059" s="98" t="n">
        <v>1</v>
      </c>
      <c r="G3059" s="98" t="s">
        <v>4600</v>
      </c>
      <c r="H3059" s="98" t="s">
        <v>1703</v>
      </c>
      <c r="I3059" s="98" t="s">
        <v>1704</v>
      </c>
      <c r="J3059" s="98" t="s">
        <v>1705</v>
      </c>
      <c r="K3059" s="98" t="s">
        <v>1706</v>
      </c>
    </row>
    <row r="3060" customFormat="false" ht="64" hidden="false" customHeight="true" outlineLevel="0" collapsed="false">
      <c r="C3060" s="98" t="s">
        <v>4850</v>
      </c>
      <c r="D3060" s="98" t="s">
        <v>1762</v>
      </c>
      <c r="E3060" s="98" t="s">
        <v>1701</v>
      </c>
      <c r="F3060" s="98" t="n">
        <v>1</v>
      </c>
      <c r="G3060" s="98" t="s">
        <v>4600</v>
      </c>
      <c r="H3060" s="98" t="s">
        <v>1703</v>
      </c>
      <c r="I3060" s="98" t="s">
        <v>1704</v>
      </c>
      <c r="J3060" s="98" t="s">
        <v>1705</v>
      </c>
      <c r="K3060" s="98" t="s">
        <v>1706</v>
      </c>
    </row>
    <row r="3061" customFormat="false" ht="64" hidden="false" customHeight="true" outlineLevel="0" collapsed="false">
      <c r="C3061" s="98" t="s">
        <v>4851</v>
      </c>
      <c r="D3061" s="98" t="s">
        <v>1764</v>
      </c>
      <c r="E3061" s="98" t="s">
        <v>1701</v>
      </c>
      <c r="F3061" s="98" t="n">
        <v>1</v>
      </c>
      <c r="G3061" s="98" t="s">
        <v>4600</v>
      </c>
      <c r="H3061" s="98" t="s">
        <v>1703</v>
      </c>
      <c r="I3061" s="98" t="s">
        <v>1704</v>
      </c>
      <c r="J3061" s="98" t="s">
        <v>1705</v>
      </c>
      <c r="K3061" s="98" t="s">
        <v>1706</v>
      </c>
    </row>
    <row r="3062" customFormat="false" ht="64" hidden="false" customHeight="true" outlineLevel="0" collapsed="false">
      <c r="C3062" s="98" t="s">
        <v>4852</v>
      </c>
      <c r="D3062" s="98" t="s">
        <v>1829</v>
      </c>
      <c r="E3062" s="98" t="s">
        <v>1701</v>
      </c>
      <c r="F3062" s="98" t="n">
        <v>1</v>
      </c>
      <c r="G3062" s="98" t="s">
        <v>4600</v>
      </c>
      <c r="H3062" s="98" t="s">
        <v>1703</v>
      </c>
      <c r="I3062" s="98" t="s">
        <v>1704</v>
      </c>
      <c r="J3062" s="98" t="s">
        <v>1705</v>
      </c>
      <c r="K3062" s="98" t="s">
        <v>1706</v>
      </c>
    </row>
    <row r="3063" customFormat="false" ht="64" hidden="false" customHeight="true" outlineLevel="0" collapsed="false">
      <c r="C3063" s="98" t="s">
        <v>4853</v>
      </c>
      <c r="D3063" s="98" t="s">
        <v>1833</v>
      </c>
      <c r="E3063" s="98" t="s">
        <v>1701</v>
      </c>
      <c r="F3063" s="98" t="n">
        <v>1</v>
      </c>
      <c r="G3063" s="98" t="s">
        <v>4600</v>
      </c>
      <c r="H3063" s="98" t="s">
        <v>1703</v>
      </c>
      <c r="I3063" s="98" t="s">
        <v>1704</v>
      </c>
      <c r="J3063" s="98" t="s">
        <v>1705</v>
      </c>
      <c r="K3063" s="98" t="s">
        <v>1706</v>
      </c>
    </row>
    <row r="3064" customFormat="false" ht="64" hidden="false" customHeight="true" outlineLevel="0" collapsed="false">
      <c r="C3064" s="98" t="s">
        <v>4854</v>
      </c>
      <c r="D3064" s="98" t="s">
        <v>1835</v>
      </c>
      <c r="E3064" s="98" t="s">
        <v>1701</v>
      </c>
      <c r="F3064" s="98" t="n">
        <v>1</v>
      </c>
      <c r="G3064" s="98" t="s">
        <v>4600</v>
      </c>
      <c r="H3064" s="98" t="s">
        <v>1703</v>
      </c>
      <c r="I3064" s="98" t="s">
        <v>1704</v>
      </c>
      <c r="J3064" s="98" t="s">
        <v>1705</v>
      </c>
      <c r="K3064" s="98" t="s">
        <v>1706</v>
      </c>
    </row>
    <row r="3065" customFormat="false" ht="64" hidden="false" customHeight="true" outlineLevel="0" collapsed="false">
      <c r="C3065" s="98" t="s">
        <v>4855</v>
      </c>
      <c r="D3065" s="98" t="s">
        <v>1044</v>
      </c>
      <c r="E3065" s="98" t="s">
        <v>1701</v>
      </c>
      <c r="F3065" s="98" t="n">
        <v>1</v>
      </c>
      <c r="G3065" s="98" t="s">
        <v>4600</v>
      </c>
      <c r="H3065" s="98" t="s">
        <v>1703</v>
      </c>
      <c r="I3065" s="98" t="s">
        <v>1704</v>
      </c>
      <c r="J3065" s="98" t="s">
        <v>1705</v>
      </c>
      <c r="K3065" s="98" t="s">
        <v>1706</v>
      </c>
    </row>
    <row r="3066" customFormat="false" ht="64" hidden="false" customHeight="true" outlineLevel="0" collapsed="false">
      <c r="C3066" s="98" t="s">
        <v>4856</v>
      </c>
      <c r="D3066" s="98" t="s">
        <v>1838</v>
      </c>
      <c r="E3066" s="98" t="s">
        <v>1701</v>
      </c>
      <c r="F3066" s="98" t="n">
        <v>1</v>
      </c>
      <c r="G3066" s="98" t="s">
        <v>4600</v>
      </c>
      <c r="H3066" s="98" t="s">
        <v>1703</v>
      </c>
      <c r="I3066" s="98" t="s">
        <v>1704</v>
      </c>
      <c r="J3066" s="98" t="s">
        <v>1705</v>
      </c>
      <c r="K3066" s="98" t="s">
        <v>1706</v>
      </c>
    </row>
    <row r="3067" customFormat="false" ht="64" hidden="false" customHeight="true" outlineLevel="0" collapsed="false">
      <c r="C3067" s="98" t="s">
        <v>4857</v>
      </c>
      <c r="D3067" s="98" t="s">
        <v>1840</v>
      </c>
      <c r="E3067" s="98" t="s">
        <v>1701</v>
      </c>
      <c r="F3067" s="98" t="n">
        <v>1</v>
      </c>
      <c r="G3067" s="98" t="s">
        <v>4600</v>
      </c>
      <c r="H3067" s="98" t="s">
        <v>1703</v>
      </c>
      <c r="I3067" s="98" t="s">
        <v>1704</v>
      </c>
      <c r="J3067" s="98" t="s">
        <v>1705</v>
      </c>
      <c r="K3067" s="98" t="s">
        <v>1706</v>
      </c>
    </row>
    <row r="3068" customFormat="false" ht="64" hidden="false" customHeight="true" outlineLevel="0" collapsed="false">
      <c r="C3068" s="98" t="s">
        <v>4858</v>
      </c>
      <c r="D3068" s="98" t="s">
        <v>1700</v>
      </c>
      <c r="E3068" s="98" t="s">
        <v>1701</v>
      </c>
      <c r="F3068" s="98" t="n">
        <v>1</v>
      </c>
      <c r="G3068" s="98" t="s">
        <v>4600</v>
      </c>
      <c r="H3068" s="98" t="s">
        <v>1703</v>
      </c>
      <c r="I3068" s="98" t="s">
        <v>1704</v>
      </c>
      <c r="J3068" s="98" t="s">
        <v>1705</v>
      </c>
      <c r="K3068" s="98" t="s">
        <v>1706</v>
      </c>
    </row>
    <row r="3069" customFormat="false" ht="64" hidden="false" customHeight="true" outlineLevel="0" collapsed="false">
      <c r="C3069" s="98" t="s">
        <v>4859</v>
      </c>
      <c r="D3069" s="98" t="s">
        <v>1708</v>
      </c>
      <c r="E3069" s="98" t="s">
        <v>1701</v>
      </c>
      <c r="F3069" s="98" t="n">
        <v>1</v>
      </c>
      <c r="G3069" s="98" t="s">
        <v>4600</v>
      </c>
      <c r="H3069" s="98" t="s">
        <v>1703</v>
      </c>
      <c r="I3069" s="98" t="s">
        <v>1704</v>
      </c>
      <c r="J3069" s="98" t="s">
        <v>1705</v>
      </c>
      <c r="K3069" s="98" t="s">
        <v>1706</v>
      </c>
    </row>
    <row r="3070" customFormat="false" ht="64" hidden="false" customHeight="true" outlineLevel="0" collapsed="false">
      <c r="C3070" s="98" t="s">
        <v>4860</v>
      </c>
      <c r="D3070" s="98" t="s">
        <v>1710</v>
      </c>
      <c r="E3070" s="98" t="s">
        <v>1701</v>
      </c>
      <c r="F3070" s="98" t="n">
        <v>1</v>
      </c>
      <c r="G3070" s="98" t="s">
        <v>4600</v>
      </c>
      <c r="H3070" s="98" t="s">
        <v>1703</v>
      </c>
      <c r="I3070" s="98" t="s">
        <v>1704</v>
      </c>
      <c r="J3070" s="98" t="s">
        <v>1705</v>
      </c>
      <c r="K3070" s="98" t="s">
        <v>1706</v>
      </c>
    </row>
    <row r="3071" customFormat="false" ht="64" hidden="false" customHeight="true" outlineLevel="0" collapsed="false">
      <c r="C3071" s="98" t="s">
        <v>4861</v>
      </c>
      <c r="D3071" s="98" t="s">
        <v>1712</v>
      </c>
      <c r="E3071" s="98" t="s">
        <v>1701</v>
      </c>
      <c r="F3071" s="98" t="n">
        <v>1</v>
      </c>
      <c r="G3071" s="98" t="s">
        <v>4600</v>
      </c>
      <c r="H3071" s="98" t="s">
        <v>1703</v>
      </c>
      <c r="I3071" s="98" t="s">
        <v>1704</v>
      </c>
      <c r="J3071" s="98" t="s">
        <v>1705</v>
      </c>
      <c r="K3071" s="98" t="s">
        <v>1706</v>
      </c>
    </row>
    <row r="3072" customFormat="false" ht="64" hidden="false" customHeight="true" outlineLevel="0" collapsed="false">
      <c r="C3072" s="98" t="s">
        <v>4862</v>
      </c>
      <c r="D3072" s="98" t="s">
        <v>1714</v>
      </c>
      <c r="E3072" s="98" t="s">
        <v>1701</v>
      </c>
      <c r="F3072" s="98" t="n">
        <v>1</v>
      </c>
      <c r="G3072" s="98" t="s">
        <v>4600</v>
      </c>
      <c r="H3072" s="98" t="s">
        <v>1703</v>
      </c>
      <c r="I3072" s="98" t="s">
        <v>1704</v>
      </c>
      <c r="J3072" s="98" t="s">
        <v>1705</v>
      </c>
      <c r="K3072" s="98" t="s">
        <v>1706</v>
      </c>
    </row>
    <row r="3073" customFormat="false" ht="64" hidden="false" customHeight="true" outlineLevel="0" collapsed="false">
      <c r="C3073" s="98" t="s">
        <v>4863</v>
      </c>
      <c r="D3073" s="98" t="s">
        <v>1716</v>
      </c>
      <c r="E3073" s="98" t="s">
        <v>1701</v>
      </c>
      <c r="F3073" s="98" t="n">
        <v>1</v>
      </c>
      <c r="G3073" s="98" t="s">
        <v>4600</v>
      </c>
      <c r="H3073" s="98" t="s">
        <v>1703</v>
      </c>
      <c r="I3073" s="98" t="s">
        <v>1704</v>
      </c>
      <c r="J3073" s="98" t="s">
        <v>1705</v>
      </c>
      <c r="K3073" s="98" t="s">
        <v>1706</v>
      </c>
    </row>
    <row r="3074" customFormat="false" ht="64" hidden="false" customHeight="true" outlineLevel="0" collapsed="false">
      <c r="C3074" s="98" t="s">
        <v>4864</v>
      </c>
      <c r="D3074" s="98" t="s">
        <v>1718</v>
      </c>
      <c r="E3074" s="98" t="s">
        <v>1701</v>
      </c>
      <c r="F3074" s="98" t="n">
        <v>1</v>
      </c>
      <c r="G3074" s="98" t="s">
        <v>4600</v>
      </c>
      <c r="H3074" s="98" t="s">
        <v>1703</v>
      </c>
      <c r="I3074" s="98" t="s">
        <v>1704</v>
      </c>
      <c r="J3074" s="98" t="s">
        <v>1705</v>
      </c>
      <c r="K3074" s="98" t="s">
        <v>1706</v>
      </c>
    </row>
    <row r="3075" customFormat="false" ht="64" hidden="false" customHeight="true" outlineLevel="0" collapsed="false">
      <c r="C3075" s="98" t="s">
        <v>4865</v>
      </c>
      <c r="D3075" s="98" t="s">
        <v>1720</v>
      </c>
      <c r="E3075" s="98" t="s">
        <v>1701</v>
      </c>
      <c r="F3075" s="98" t="n">
        <v>1</v>
      </c>
      <c r="G3075" s="98" t="s">
        <v>4600</v>
      </c>
      <c r="H3075" s="98" t="s">
        <v>1703</v>
      </c>
      <c r="I3075" s="98" t="s">
        <v>1704</v>
      </c>
      <c r="J3075" s="98" t="s">
        <v>1705</v>
      </c>
      <c r="K3075" s="98" t="s">
        <v>1706</v>
      </c>
    </row>
    <row r="3076" customFormat="false" ht="64" hidden="false" customHeight="true" outlineLevel="0" collapsed="false">
      <c r="C3076" s="98" t="s">
        <v>4866</v>
      </c>
      <c r="D3076" s="98" t="s">
        <v>1722</v>
      </c>
      <c r="E3076" s="98" t="s">
        <v>1701</v>
      </c>
      <c r="F3076" s="98" t="n">
        <v>1</v>
      </c>
      <c r="G3076" s="98" t="s">
        <v>4600</v>
      </c>
      <c r="H3076" s="98" t="s">
        <v>1703</v>
      </c>
      <c r="I3076" s="98" t="s">
        <v>1704</v>
      </c>
      <c r="J3076" s="98" t="s">
        <v>1705</v>
      </c>
      <c r="K3076" s="98" t="s">
        <v>1706</v>
      </c>
    </row>
    <row r="3077" customFormat="false" ht="64" hidden="false" customHeight="true" outlineLevel="0" collapsed="false">
      <c r="C3077" s="98" t="s">
        <v>4867</v>
      </c>
      <c r="D3077" s="98" t="s">
        <v>1724</v>
      </c>
      <c r="E3077" s="98" t="s">
        <v>1701</v>
      </c>
      <c r="F3077" s="98" t="n">
        <v>1</v>
      </c>
      <c r="G3077" s="98" t="s">
        <v>4600</v>
      </c>
      <c r="H3077" s="98" t="s">
        <v>1703</v>
      </c>
      <c r="I3077" s="98" t="s">
        <v>1704</v>
      </c>
      <c r="J3077" s="98" t="s">
        <v>1705</v>
      </c>
      <c r="K3077" s="98" t="s">
        <v>1706</v>
      </c>
    </row>
    <row r="3078" customFormat="false" ht="64" hidden="false" customHeight="true" outlineLevel="0" collapsed="false">
      <c r="C3078" s="98" t="s">
        <v>4868</v>
      </c>
      <c r="D3078" s="98" t="s">
        <v>1726</v>
      </c>
      <c r="E3078" s="98" t="s">
        <v>1701</v>
      </c>
      <c r="F3078" s="98" t="n">
        <v>1</v>
      </c>
      <c r="G3078" s="98" t="s">
        <v>4600</v>
      </c>
      <c r="H3078" s="98" t="s">
        <v>1703</v>
      </c>
      <c r="I3078" s="98" t="s">
        <v>1704</v>
      </c>
      <c r="J3078" s="98" t="s">
        <v>1705</v>
      </c>
      <c r="K3078" s="98" t="s">
        <v>1706</v>
      </c>
    </row>
    <row r="3079" customFormat="false" ht="64" hidden="false" customHeight="true" outlineLevel="0" collapsed="false">
      <c r="C3079" s="98" t="s">
        <v>4869</v>
      </c>
      <c r="D3079" s="98" t="s">
        <v>1728</v>
      </c>
      <c r="E3079" s="98" t="s">
        <v>1701</v>
      </c>
      <c r="F3079" s="98" t="n">
        <v>1</v>
      </c>
      <c r="G3079" s="98" t="s">
        <v>4600</v>
      </c>
      <c r="H3079" s="98" t="s">
        <v>1703</v>
      </c>
      <c r="I3079" s="98" t="s">
        <v>1704</v>
      </c>
      <c r="J3079" s="98" t="s">
        <v>1705</v>
      </c>
      <c r="K3079" s="98" t="s">
        <v>1706</v>
      </c>
    </row>
    <row r="3080" customFormat="false" ht="64" hidden="false" customHeight="true" outlineLevel="0" collapsed="false">
      <c r="C3080" s="98" t="s">
        <v>4870</v>
      </c>
      <c r="D3080" s="98" t="s">
        <v>1730</v>
      </c>
      <c r="E3080" s="98" t="s">
        <v>1701</v>
      </c>
      <c r="F3080" s="98" t="n">
        <v>1</v>
      </c>
      <c r="G3080" s="98" t="s">
        <v>4600</v>
      </c>
      <c r="H3080" s="98" t="s">
        <v>1703</v>
      </c>
      <c r="I3080" s="98" t="s">
        <v>1704</v>
      </c>
      <c r="J3080" s="98" t="s">
        <v>1705</v>
      </c>
      <c r="K3080" s="98" t="s">
        <v>1706</v>
      </c>
    </row>
    <row r="3081" customFormat="false" ht="64" hidden="false" customHeight="true" outlineLevel="0" collapsed="false">
      <c r="C3081" s="98" t="s">
        <v>4871</v>
      </c>
      <c r="D3081" s="98" t="s">
        <v>1732</v>
      </c>
      <c r="E3081" s="98" t="s">
        <v>1701</v>
      </c>
      <c r="F3081" s="98" t="n">
        <v>1</v>
      </c>
      <c r="G3081" s="98" t="s">
        <v>4600</v>
      </c>
      <c r="H3081" s="98" t="s">
        <v>1703</v>
      </c>
      <c r="I3081" s="98" t="s">
        <v>1704</v>
      </c>
      <c r="J3081" s="98" t="s">
        <v>1705</v>
      </c>
      <c r="K3081" s="98" t="s">
        <v>1706</v>
      </c>
    </row>
    <row r="3082" customFormat="false" ht="64" hidden="false" customHeight="true" outlineLevel="0" collapsed="false">
      <c r="C3082" s="98" t="s">
        <v>4872</v>
      </c>
      <c r="D3082" s="98" t="s">
        <v>1734</v>
      </c>
      <c r="E3082" s="98" t="s">
        <v>1701</v>
      </c>
      <c r="F3082" s="98" t="n">
        <v>1</v>
      </c>
      <c r="G3082" s="98" t="s">
        <v>4600</v>
      </c>
      <c r="H3082" s="98" t="s">
        <v>1703</v>
      </c>
      <c r="I3082" s="98" t="s">
        <v>1704</v>
      </c>
      <c r="J3082" s="98" t="s">
        <v>1705</v>
      </c>
      <c r="K3082" s="98" t="s">
        <v>1706</v>
      </c>
    </row>
    <row r="3083" customFormat="false" ht="64" hidden="false" customHeight="true" outlineLevel="0" collapsed="false">
      <c r="C3083" s="98" t="s">
        <v>4873</v>
      </c>
      <c r="D3083" s="98" t="s">
        <v>1736</v>
      </c>
      <c r="E3083" s="98" t="s">
        <v>1701</v>
      </c>
      <c r="F3083" s="98" t="n">
        <v>1</v>
      </c>
      <c r="G3083" s="98" t="s">
        <v>4600</v>
      </c>
      <c r="H3083" s="98" t="s">
        <v>1703</v>
      </c>
      <c r="I3083" s="98" t="s">
        <v>1704</v>
      </c>
      <c r="J3083" s="98" t="s">
        <v>1705</v>
      </c>
      <c r="K3083" s="98" t="s">
        <v>1706</v>
      </c>
    </row>
    <row r="3084" customFormat="false" ht="64" hidden="false" customHeight="true" outlineLevel="0" collapsed="false">
      <c r="C3084" s="98" t="s">
        <v>4874</v>
      </c>
      <c r="D3084" s="98" t="s">
        <v>1738</v>
      </c>
      <c r="E3084" s="98" t="s">
        <v>1701</v>
      </c>
      <c r="F3084" s="98" t="n">
        <v>1</v>
      </c>
      <c r="G3084" s="98" t="s">
        <v>4600</v>
      </c>
      <c r="H3084" s="98" t="s">
        <v>1703</v>
      </c>
      <c r="I3084" s="98" t="s">
        <v>1704</v>
      </c>
      <c r="J3084" s="98" t="s">
        <v>1705</v>
      </c>
      <c r="K3084" s="98" t="s">
        <v>1706</v>
      </c>
    </row>
    <row r="3085" customFormat="false" ht="64" hidden="false" customHeight="true" outlineLevel="0" collapsed="false">
      <c r="C3085" s="98" t="s">
        <v>4875</v>
      </c>
      <c r="D3085" s="98" t="s">
        <v>1740</v>
      </c>
      <c r="E3085" s="98" t="s">
        <v>1701</v>
      </c>
      <c r="F3085" s="98" t="n">
        <v>1</v>
      </c>
      <c r="G3085" s="98" t="s">
        <v>4600</v>
      </c>
      <c r="H3085" s="98" t="s">
        <v>1703</v>
      </c>
      <c r="I3085" s="98" t="s">
        <v>1704</v>
      </c>
      <c r="J3085" s="98" t="s">
        <v>1705</v>
      </c>
      <c r="K3085" s="98" t="s">
        <v>1706</v>
      </c>
    </row>
    <row r="3086" customFormat="false" ht="64" hidden="false" customHeight="true" outlineLevel="0" collapsed="false">
      <c r="C3086" s="98" t="s">
        <v>4876</v>
      </c>
      <c r="D3086" s="98" t="s">
        <v>1742</v>
      </c>
      <c r="E3086" s="98" t="s">
        <v>1701</v>
      </c>
      <c r="F3086" s="98" t="n">
        <v>1</v>
      </c>
      <c r="G3086" s="98" t="s">
        <v>4600</v>
      </c>
      <c r="H3086" s="98" t="s">
        <v>1703</v>
      </c>
      <c r="I3086" s="98" t="s">
        <v>1704</v>
      </c>
      <c r="J3086" s="98" t="s">
        <v>1705</v>
      </c>
      <c r="K3086" s="98" t="s">
        <v>1706</v>
      </c>
    </row>
    <row r="3087" customFormat="false" ht="64" hidden="false" customHeight="true" outlineLevel="0" collapsed="false">
      <c r="C3087" s="98" t="s">
        <v>4877</v>
      </c>
      <c r="D3087" s="98" t="s">
        <v>1744</v>
      </c>
      <c r="E3087" s="98" t="s">
        <v>1701</v>
      </c>
      <c r="F3087" s="98" t="n">
        <v>1</v>
      </c>
      <c r="G3087" s="98" t="s">
        <v>4600</v>
      </c>
      <c r="H3087" s="98" t="s">
        <v>1703</v>
      </c>
      <c r="I3087" s="98" t="s">
        <v>1704</v>
      </c>
      <c r="J3087" s="98" t="s">
        <v>1705</v>
      </c>
      <c r="K3087" s="98" t="s">
        <v>1706</v>
      </c>
    </row>
    <row r="3088" customFormat="false" ht="64" hidden="false" customHeight="true" outlineLevel="0" collapsed="false">
      <c r="C3088" s="98" t="s">
        <v>4878</v>
      </c>
      <c r="D3088" s="98" t="s">
        <v>1746</v>
      </c>
      <c r="E3088" s="98" t="s">
        <v>1701</v>
      </c>
      <c r="F3088" s="98" t="n">
        <v>1</v>
      </c>
      <c r="G3088" s="98" t="s">
        <v>4600</v>
      </c>
      <c r="H3088" s="98" t="s">
        <v>1703</v>
      </c>
      <c r="I3088" s="98" t="s">
        <v>1704</v>
      </c>
      <c r="J3088" s="98" t="s">
        <v>1705</v>
      </c>
      <c r="K3088" s="98" t="s">
        <v>1706</v>
      </c>
    </row>
    <row r="3089" customFormat="false" ht="64" hidden="false" customHeight="true" outlineLevel="0" collapsed="false">
      <c r="C3089" s="98" t="s">
        <v>4879</v>
      </c>
      <c r="D3089" s="98" t="s">
        <v>1748</v>
      </c>
      <c r="E3089" s="98" t="s">
        <v>1701</v>
      </c>
      <c r="F3089" s="98" t="n">
        <v>1</v>
      </c>
      <c r="G3089" s="98" t="s">
        <v>4600</v>
      </c>
      <c r="H3089" s="98" t="s">
        <v>1703</v>
      </c>
      <c r="I3089" s="98" t="s">
        <v>1704</v>
      </c>
      <c r="J3089" s="98" t="s">
        <v>1705</v>
      </c>
      <c r="K3089" s="98" t="s">
        <v>1706</v>
      </c>
    </row>
    <row r="3090" customFormat="false" ht="64" hidden="false" customHeight="true" outlineLevel="0" collapsed="false">
      <c r="C3090" s="98" t="s">
        <v>4880</v>
      </c>
      <c r="D3090" s="98" t="s">
        <v>1750</v>
      </c>
      <c r="E3090" s="98" t="s">
        <v>1701</v>
      </c>
      <c r="F3090" s="98" t="n">
        <v>1</v>
      </c>
      <c r="G3090" s="98" t="s">
        <v>4600</v>
      </c>
      <c r="H3090" s="98" t="s">
        <v>1703</v>
      </c>
      <c r="I3090" s="98" t="s">
        <v>1704</v>
      </c>
      <c r="J3090" s="98" t="s">
        <v>1705</v>
      </c>
      <c r="K3090" s="98" t="s">
        <v>1706</v>
      </c>
    </row>
    <row r="3091" customFormat="false" ht="64" hidden="false" customHeight="true" outlineLevel="0" collapsed="false">
      <c r="C3091" s="98" t="s">
        <v>4881</v>
      </c>
      <c r="D3091" s="98" t="s">
        <v>1752</v>
      </c>
      <c r="E3091" s="98" t="s">
        <v>1701</v>
      </c>
      <c r="F3091" s="98" t="n">
        <v>1</v>
      </c>
      <c r="G3091" s="98" t="s">
        <v>4600</v>
      </c>
      <c r="H3091" s="98" t="s">
        <v>1703</v>
      </c>
      <c r="I3091" s="98" t="s">
        <v>1704</v>
      </c>
      <c r="J3091" s="98" t="s">
        <v>1705</v>
      </c>
      <c r="K3091" s="98" t="s">
        <v>1706</v>
      </c>
    </row>
    <row r="3092" customFormat="false" ht="64" hidden="false" customHeight="true" outlineLevel="0" collapsed="false">
      <c r="C3092" s="98" t="s">
        <v>4882</v>
      </c>
      <c r="D3092" s="98" t="s">
        <v>1754</v>
      </c>
      <c r="E3092" s="98" t="s">
        <v>1701</v>
      </c>
      <c r="F3092" s="98" t="n">
        <v>1</v>
      </c>
      <c r="G3092" s="98" t="s">
        <v>4600</v>
      </c>
      <c r="H3092" s="98" t="s">
        <v>1703</v>
      </c>
      <c r="I3092" s="98" t="s">
        <v>1704</v>
      </c>
      <c r="J3092" s="98" t="s">
        <v>1705</v>
      </c>
      <c r="K3092" s="98" t="s">
        <v>1706</v>
      </c>
    </row>
    <row r="3093" customFormat="false" ht="64" hidden="false" customHeight="true" outlineLevel="0" collapsed="false">
      <c r="C3093" s="98" t="s">
        <v>4883</v>
      </c>
      <c r="D3093" s="98" t="s">
        <v>1756</v>
      </c>
      <c r="E3093" s="98" t="s">
        <v>1701</v>
      </c>
      <c r="F3093" s="98" t="n">
        <v>1</v>
      </c>
      <c r="G3093" s="98" t="s">
        <v>4600</v>
      </c>
      <c r="H3093" s="98" t="s">
        <v>1703</v>
      </c>
      <c r="I3093" s="98" t="s">
        <v>1704</v>
      </c>
      <c r="J3093" s="98" t="s">
        <v>1705</v>
      </c>
      <c r="K3093" s="98" t="s">
        <v>1706</v>
      </c>
    </row>
    <row r="3094" customFormat="false" ht="64" hidden="false" customHeight="true" outlineLevel="0" collapsed="false">
      <c r="C3094" s="98" t="s">
        <v>4884</v>
      </c>
      <c r="D3094" s="98" t="s">
        <v>1758</v>
      </c>
      <c r="E3094" s="98" t="s">
        <v>1701</v>
      </c>
      <c r="F3094" s="98" t="n">
        <v>1</v>
      </c>
      <c r="G3094" s="98" t="s">
        <v>4600</v>
      </c>
      <c r="H3094" s="98" t="s">
        <v>1703</v>
      </c>
      <c r="I3094" s="98" t="s">
        <v>1704</v>
      </c>
      <c r="J3094" s="98" t="s">
        <v>1705</v>
      </c>
      <c r="K3094" s="98" t="s">
        <v>1706</v>
      </c>
    </row>
    <row r="3095" customFormat="false" ht="64" hidden="false" customHeight="true" outlineLevel="0" collapsed="false">
      <c r="C3095" s="98" t="s">
        <v>4885</v>
      </c>
      <c r="D3095" s="98" t="s">
        <v>1760</v>
      </c>
      <c r="E3095" s="98" t="s">
        <v>1701</v>
      </c>
      <c r="F3095" s="98" t="n">
        <v>1</v>
      </c>
      <c r="G3095" s="98" t="s">
        <v>4600</v>
      </c>
      <c r="H3095" s="98" t="s">
        <v>1703</v>
      </c>
      <c r="I3095" s="98" t="s">
        <v>1704</v>
      </c>
      <c r="J3095" s="98" t="s">
        <v>1705</v>
      </c>
      <c r="K3095" s="98" t="s">
        <v>1706</v>
      </c>
    </row>
    <row r="3096" customFormat="false" ht="64" hidden="false" customHeight="true" outlineLevel="0" collapsed="false">
      <c r="C3096" s="98" t="s">
        <v>4886</v>
      </c>
      <c r="D3096" s="98" t="s">
        <v>1762</v>
      </c>
      <c r="E3096" s="98" t="s">
        <v>1701</v>
      </c>
      <c r="F3096" s="98" t="n">
        <v>1</v>
      </c>
      <c r="G3096" s="98" t="s">
        <v>4600</v>
      </c>
      <c r="H3096" s="98" t="s">
        <v>1703</v>
      </c>
      <c r="I3096" s="98" t="s">
        <v>1704</v>
      </c>
      <c r="J3096" s="98" t="s">
        <v>1705</v>
      </c>
      <c r="K3096" s="98" t="s">
        <v>1706</v>
      </c>
    </row>
    <row r="3097" customFormat="false" ht="64" hidden="false" customHeight="true" outlineLevel="0" collapsed="false">
      <c r="C3097" s="98" t="s">
        <v>4887</v>
      </c>
      <c r="D3097" s="98" t="s">
        <v>1764</v>
      </c>
      <c r="E3097" s="98" t="s">
        <v>1701</v>
      </c>
      <c r="F3097" s="98" t="n">
        <v>1</v>
      </c>
      <c r="G3097" s="98" t="s">
        <v>4600</v>
      </c>
      <c r="H3097" s="98" t="s">
        <v>1703</v>
      </c>
      <c r="I3097" s="98" t="s">
        <v>1704</v>
      </c>
      <c r="J3097" s="98" t="s">
        <v>1705</v>
      </c>
      <c r="K3097" s="98" t="s">
        <v>1706</v>
      </c>
    </row>
    <row r="3098" customFormat="false" ht="64" hidden="false" customHeight="true" outlineLevel="0" collapsed="false">
      <c r="C3098" s="98" t="s">
        <v>4888</v>
      </c>
      <c r="D3098" s="98" t="s">
        <v>1829</v>
      </c>
      <c r="E3098" s="98" t="s">
        <v>1701</v>
      </c>
      <c r="F3098" s="98" t="n">
        <v>1</v>
      </c>
      <c r="G3098" s="98" t="s">
        <v>4600</v>
      </c>
      <c r="H3098" s="98" t="s">
        <v>1703</v>
      </c>
      <c r="I3098" s="98" t="s">
        <v>1704</v>
      </c>
      <c r="J3098" s="98" t="s">
        <v>1705</v>
      </c>
      <c r="K3098" s="98" t="s">
        <v>1706</v>
      </c>
    </row>
    <row r="3099" customFormat="false" ht="64" hidden="false" customHeight="true" outlineLevel="0" collapsed="false">
      <c r="C3099" s="98" t="s">
        <v>4889</v>
      </c>
      <c r="D3099" s="98" t="s">
        <v>1833</v>
      </c>
      <c r="E3099" s="98" t="s">
        <v>1701</v>
      </c>
      <c r="F3099" s="98" t="n">
        <v>1</v>
      </c>
      <c r="G3099" s="98" t="s">
        <v>4600</v>
      </c>
      <c r="H3099" s="98" t="s">
        <v>1703</v>
      </c>
      <c r="I3099" s="98" t="s">
        <v>1704</v>
      </c>
      <c r="J3099" s="98" t="s">
        <v>1705</v>
      </c>
      <c r="K3099" s="98" t="s">
        <v>1706</v>
      </c>
    </row>
    <row r="3100" customFormat="false" ht="64" hidden="false" customHeight="true" outlineLevel="0" collapsed="false">
      <c r="C3100" s="98" t="s">
        <v>4890</v>
      </c>
      <c r="D3100" s="98" t="s">
        <v>1835</v>
      </c>
      <c r="E3100" s="98" t="s">
        <v>1701</v>
      </c>
      <c r="F3100" s="98" t="n">
        <v>1</v>
      </c>
      <c r="G3100" s="98" t="s">
        <v>4600</v>
      </c>
      <c r="H3100" s="98" t="s">
        <v>1703</v>
      </c>
      <c r="I3100" s="98" t="s">
        <v>1704</v>
      </c>
      <c r="J3100" s="98" t="s">
        <v>1705</v>
      </c>
      <c r="K3100" s="98" t="s">
        <v>1706</v>
      </c>
    </row>
    <row r="3101" customFormat="false" ht="64" hidden="false" customHeight="true" outlineLevel="0" collapsed="false">
      <c r="C3101" s="98" t="s">
        <v>4891</v>
      </c>
      <c r="D3101" s="98" t="s">
        <v>1044</v>
      </c>
      <c r="E3101" s="98" t="s">
        <v>1701</v>
      </c>
      <c r="F3101" s="98" t="n">
        <v>1</v>
      </c>
      <c r="G3101" s="98" t="s">
        <v>4600</v>
      </c>
      <c r="H3101" s="98" t="s">
        <v>1703</v>
      </c>
      <c r="I3101" s="98" t="s">
        <v>1704</v>
      </c>
      <c r="J3101" s="98" t="s">
        <v>1705</v>
      </c>
      <c r="K3101" s="98" t="s">
        <v>1706</v>
      </c>
    </row>
    <row r="3102" customFormat="false" ht="64" hidden="false" customHeight="true" outlineLevel="0" collapsed="false">
      <c r="C3102" s="98" t="s">
        <v>4892</v>
      </c>
      <c r="D3102" s="98" t="s">
        <v>1838</v>
      </c>
      <c r="E3102" s="98" t="s">
        <v>1701</v>
      </c>
      <c r="F3102" s="98" t="n">
        <v>1</v>
      </c>
      <c r="G3102" s="98" t="s">
        <v>4600</v>
      </c>
      <c r="H3102" s="98" t="s">
        <v>1703</v>
      </c>
      <c r="I3102" s="98" t="s">
        <v>1704</v>
      </c>
      <c r="J3102" s="98" t="s">
        <v>1705</v>
      </c>
      <c r="K3102" s="98" t="s">
        <v>1706</v>
      </c>
    </row>
    <row r="3103" customFormat="false" ht="64" hidden="false" customHeight="true" outlineLevel="0" collapsed="false">
      <c r="C3103" s="98" t="s">
        <v>4893</v>
      </c>
      <c r="D3103" s="98" t="s">
        <v>1840</v>
      </c>
      <c r="E3103" s="98" t="s">
        <v>1701</v>
      </c>
      <c r="F3103" s="98" t="n">
        <v>1</v>
      </c>
      <c r="G3103" s="98" t="s">
        <v>4600</v>
      </c>
      <c r="H3103" s="98" t="s">
        <v>1703</v>
      </c>
      <c r="I3103" s="98" t="s">
        <v>1704</v>
      </c>
      <c r="J3103" s="98" t="s">
        <v>1705</v>
      </c>
      <c r="K3103" s="98" t="s">
        <v>1706</v>
      </c>
    </row>
    <row r="3104" customFormat="false" ht="64" hidden="false" customHeight="true" outlineLevel="0" collapsed="false">
      <c r="C3104" s="98" t="s">
        <v>4894</v>
      </c>
      <c r="D3104" s="98" t="s">
        <v>1700</v>
      </c>
      <c r="E3104" s="98" t="s">
        <v>1701</v>
      </c>
      <c r="F3104" s="98" t="n">
        <v>1</v>
      </c>
      <c r="G3104" s="98" t="s">
        <v>4600</v>
      </c>
      <c r="H3104" s="98" t="s">
        <v>1703</v>
      </c>
      <c r="I3104" s="98" t="s">
        <v>1704</v>
      </c>
      <c r="J3104" s="98" t="s">
        <v>1705</v>
      </c>
      <c r="K3104" s="98" t="s">
        <v>1706</v>
      </c>
    </row>
    <row r="3105" customFormat="false" ht="64" hidden="false" customHeight="true" outlineLevel="0" collapsed="false">
      <c r="C3105" s="98" t="s">
        <v>4895</v>
      </c>
      <c r="D3105" s="98" t="s">
        <v>1708</v>
      </c>
      <c r="E3105" s="98" t="s">
        <v>1701</v>
      </c>
      <c r="F3105" s="98" t="n">
        <v>1</v>
      </c>
      <c r="G3105" s="98" t="s">
        <v>4600</v>
      </c>
      <c r="H3105" s="98" t="s">
        <v>1703</v>
      </c>
      <c r="I3105" s="98" t="s">
        <v>1704</v>
      </c>
      <c r="J3105" s="98" t="s">
        <v>1705</v>
      </c>
      <c r="K3105" s="98" t="s">
        <v>1706</v>
      </c>
    </row>
    <row r="3106" customFormat="false" ht="64" hidden="false" customHeight="true" outlineLevel="0" collapsed="false">
      <c r="C3106" s="98" t="s">
        <v>4896</v>
      </c>
      <c r="D3106" s="98" t="s">
        <v>1710</v>
      </c>
      <c r="E3106" s="98" t="s">
        <v>1701</v>
      </c>
      <c r="F3106" s="98" t="n">
        <v>1</v>
      </c>
      <c r="G3106" s="98" t="s">
        <v>4600</v>
      </c>
      <c r="H3106" s="98" t="s">
        <v>1703</v>
      </c>
      <c r="I3106" s="98" t="s">
        <v>1704</v>
      </c>
      <c r="J3106" s="98" t="s">
        <v>1705</v>
      </c>
      <c r="K3106" s="98" t="s">
        <v>1706</v>
      </c>
    </row>
    <row r="3107" customFormat="false" ht="64" hidden="false" customHeight="true" outlineLevel="0" collapsed="false">
      <c r="C3107" s="98" t="s">
        <v>4897</v>
      </c>
      <c r="D3107" s="98" t="s">
        <v>1712</v>
      </c>
      <c r="E3107" s="98" t="s">
        <v>1701</v>
      </c>
      <c r="F3107" s="98" t="n">
        <v>1</v>
      </c>
      <c r="G3107" s="98" t="s">
        <v>4600</v>
      </c>
      <c r="H3107" s="98" t="s">
        <v>1703</v>
      </c>
      <c r="I3107" s="98" t="s">
        <v>1704</v>
      </c>
      <c r="J3107" s="98" t="s">
        <v>1705</v>
      </c>
      <c r="K3107" s="98" t="s">
        <v>1706</v>
      </c>
    </row>
    <row r="3108" customFormat="false" ht="64" hidden="false" customHeight="true" outlineLevel="0" collapsed="false">
      <c r="C3108" s="98" t="s">
        <v>4898</v>
      </c>
      <c r="D3108" s="98" t="s">
        <v>1714</v>
      </c>
      <c r="E3108" s="98" t="s">
        <v>1701</v>
      </c>
      <c r="F3108" s="98" t="n">
        <v>1</v>
      </c>
      <c r="G3108" s="98" t="s">
        <v>4600</v>
      </c>
      <c r="H3108" s="98" t="s">
        <v>1703</v>
      </c>
      <c r="I3108" s="98" t="s">
        <v>1704</v>
      </c>
      <c r="J3108" s="98" t="s">
        <v>1705</v>
      </c>
      <c r="K3108" s="98" t="s">
        <v>1706</v>
      </c>
    </row>
    <row r="3109" customFormat="false" ht="64" hidden="false" customHeight="true" outlineLevel="0" collapsed="false">
      <c r="C3109" s="98" t="s">
        <v>4899</v>
      </c>
      <c r="D3109" s="98" t="s">
        <v>1716</v>
      </c>
      <c r="E3109" s="98" t="s">
        <v>1701</v>
      </c>
      <c r="F3109" s="98" t="n">
        <v>1</v>
      </c>
      <c r="G3109" s="98" t="s">
        <v>4600</v>
      </c>
      <c r="H3109" s="98" t="s">
        <v>1703</v>
      </c>
      <c r="I3109" s="98" t="s">
        <v>1704</v>
      </c>
      <c r="J3109" s="98" t="s">
        <v>1705</v>
      </c>
      <c r="K3109" s="98" t="s">
        <v>1706</v>
      </c>
    </row>
    <row r="3110" customFormat="false" ht="64" hidden="false" customHeight="true" outlineLevel="0" collapsed="false">
      <c r="C3110" s="98" t="s">
        <v>4900</v>
      </c>
      <c r="D3110" s="98" t="s">
        <v>1718</v>
      </c>
      <c r="E3110" s="98" t="s">
        <v>1701</v>
      </c>
      <c r="F3110" s="98" t="n">
        <v>1</v>
      </c>
      <c r="G3110" s="98" t="s">
        <v>4600</v>
      </c>
      <c r="H3110" s="98" t="s">
        <v>1703</v>
      </c>
      <c r="I3110" s="98" t="s">
        <v>1704</v>
      </c>
      <c r="J3110" s="98" t="s">
        <v>1705</v>
      </c>
      <c r="K3110" s="98" t="s">
        <v>1706</v>
      </c>
    </row>
    <row r="3111" customFormat="false" ht="64" hidden="false" customHeight="true" outlineLevel="0" collapsed="false">
      <c r="C3111" s="98" t="s">
        <v>4901</v>
      </c>
      <c r="D3111" s="98" t="s">
        <v>1720</v>
      </c>
      <c r="E3111" s="98" t="s">
        <v>1701</v>
      </c>
      <c r="F3111" s="98" t="n">
        <v>1</v>
      </c>
      <c r="G3111" s="98" t="s">
        <v>4600</v>
      </c>
      <c r="H3111" s="98" t="s">
        <v>1703</v>
      </c>
      <c r="I3111" s="98" t="s">
        <v>1704</v>
      </c>
      <c r="J3111" s="98" t="s">
        <v>1705</v>
      </c>
      <c r="K3111" s="98" t="s">
        <v>1706</v>
      </c>
    </row>
    <row r="3112" customFormat="false" ht="64" hidden="false" customHeight="true" outlineLevel="0" collapsed="false">
      <c r="C3112" s="98" t="s">
        <v>4902</v>
      </c>
      <c r="D3112" s="98" t="s">
        <v>1722</v>
      </c>
      <c r="E3112" s="98" t="s">
        <v>1701</v>
      </c>
      <c r="F3112" s="98" t="n">
        <v>1</v>
      </c>
      <c r="G3112" s="98" t="s">
        <v>4600</v>
      </c>
      <c r="H3112" s="98" t="s">
        <v>1703</v>
      </c>
      <c r="I3112" s="98" t="s">
        <v>1704</v>
      </c>
      <c r="J3112" s="98" t="s">
        <v>1705</v>
      </c>
      <c r="K3112" s="98" t="s">
        <v>1706</v>
      </c>
    </row>
    <row r="3113" customFormat="false" ht="64" hidden="false" customHeight="true" outlineLevel="0" collapsed="false">
      <c r="C3113" s="98" t="s">
        <v>4903</v>
      </c>
      <c r="D3113" s="98" t="s">
        <v>1724</v>
      </c>
      <c r="E3113" s="98" t="s">
        <v>1701</v>
      </c>
      <c r="F3113" s="98" t="n">
        <v>1</v>
      </c>
      <c r="G3113" s="98" t="s">
        <v>4600</v>
      </c>
      <c r="H3113" s="98" t="s">
        <v>1703</v>
      </c>
      <c r="I3113" s="98" t="s">
        <v>1704</v>
      </c>
      <c r="J3113" s="98" t="s">
        <v>1705</v>
      </c>
      <c r="K3113" s="98" t="s">
        <v>1706</v>
      </c>
    </row>
    <row r="3114" customFormat="false" ht="64" hidden="false" customHeight="true" outlineLevel="0" collapsed="false">
      <c r="C3114" s="98" t="s">
        <v>4904</v>
      </c>
      <c r="D3114" s="98" t="s">
        <v>1726</v>
      </c>
      <c r="E3114" s="98" t="s">
        <v>1701</v>
      </c>
      <c r="F3114" s="98" t="n">
        <v>1</v>
      </c>
      <c r="G3114" s="98" t="s">
        <v>4600</v>
      </c>
      <c r="H3114" s="98" t="s">
        <v>1703</v>
      </c>
      <c r="I3114" s="98" t="s">
        <v>1704</v>
      </c>
      <c r="J3114" s="98" t="s">
        <v>1705</v>
      </c>
      <c r="K3114" s="98" t="s">
        <v>1706</v>
      </c>
    </row>
    <row r="3115" customFormat="false" ht="64" hidden="false" customHeight="true" outlineLevel="0" collapsed="false">
      <c r="C3115" s="98" t="s">
        <v>4905</v>
      </c>
      <c r="D3115" s="98" t="s">
        <v>1728</v>
      </c>
      <c r="E3115" s="98" t="s">
        <v>1701</v>
      </c>
      <c r="F3115" s="98" t="n">
        <v>1</v>
      </c>
      <c r="G3115" s="98" t="s">
        <v>4600</v>
      </c>
      <c r="H3115" s="98" t="s">
        <v>1703</v>
      </c>
      <c r="I3115" s="98" t="s">
        <v>1704</v>
      </c>
      <c r="J3115" s="98" t="s">
        <v>1705</v>
      </c>
      <c r="K3115" s="98" t="s">
        <v>1706</v>
      </c>
    </row>
    <row r="3116" customFormat="false" ht="64" hidden="false" customHeight="true" outlineLevel="0" collapsed="false">
      <c r="C3116" s="98" t="s">
        <v>4906</v>
      </c>
      <c r="D3116" s="98" t="s">
        <v>1730</v>
      </c>
      <c r="E3116" s="98" t="s">
        <v>1701</v>
      </c>
      <c r="F3116" s="98" t="n">
        <v>1</v>
      </c>
      <c r="G3116" s="98" t="s">
        <v>4600</v>
      </c>
      <c r="H3116" s="98" t="s">
        <v>1703</v>
      </c>
      <c r="I3116" s="98" t="s">
        <v>1704</v>
      </c>
      <c r="J3116" s="98" t="s">
        <v>1705</v>
      </c>
      <c r="K3116" s="98" t="s">
        <v>1706</v>
      </c>
    </row>
    <row r="3117" customFormat="false" ht="64" hidden="false" customHeight="true" outlineLevel="0" collapsed="false">
      <c r="C3117" s="98" t="s">
        <v>4907</v>
      </c>
      <c r="D3117" s="98" t="s">
        <v>1732</v>
      </c>
      <c r="E3117" s="98" t="s">
        <v>1701</v>
      </c>
      <c r="F3117" s="98" t="n">
        <v>1</v>
      </c>
      <c r="G3117" s="98" t="s">
        <v>4600</v>
      </c>
      <c r="H3117" s="98" t="s">
        <v>1703</v>
      </c>
      <c r="I3117" s="98" t="s">
        <v>1704</v>
      </c>
      <c r="J3117" s="98" t="s">
        <v>1705</v>
      </c>
      <c r="K3117" s="98" t="s">
        <v>1706</v>
      </c>
    </row>
    <row r="3118" customFormat="false" ht="64" hidden="false" customHeight="true" outlineLevel="0" collapsed="false">
      <c r="C3118" s="98" t="s">
        <v>4908</v>
      </c>
      <c r="D3118" s="98" t="s">
        <v>1734</v>
      </c>
      <c r="E3118" s="98" t="s">
        <v>1701</v>
      </c>
      <c r="F3118" s="98" t="n">
        <v>1</v>
      </c>
      <c r="G3118" s="98" t="s">
        <v>4600</v>
      </c>
      <c r="H3118" s="98" t="s">
        <v>1703</v>
      </c>
      <c r="I3118" s="98" t="s">
        <v>1704</v>
      </c>
      <c r="J3118" s="98" t="s">
        <v>1705</v>
      </c>
      <c r="K3118" s="98" t="s">
        <v>1706</v>
      </c>
    </row>
    <row r="3119" customFormat="false" ht="64" hidden="false" customHeight="true" outlineLevel="0" collapsed="false">
      <c r="C3119" s="98" t="s">
        <v>4909</v>
      </c>
      <c r="D3119" s="98" t="s">
        <v>1736</v>
      </c>
      <c r="E3119" s="98" t="s">
        <v>1701</v>
      </c>
      <c r="F3119" s="98" t="n">
        <v>1</v>
      </c>
      <c r="G3119" s="98" t="s">
        <v>4600</v>
      </c>
      <c r="H3119" s="98" t="s">
        <v>1703</v>
      </c>
      <c r="I3119" s="98" t="s">
        <v>1704</v>
      </c>
      <c r="J3119" s="98" t="s">
        <v>1705</v>
      </c>
      <c r="K3119" s="98" t="s">
        <v>1706</v>
      </c>
    </row>
    <row r="3120" customFormat="false" ht="64" hidden="false" customHeight="true" outlineLevel="0" collapsed="false">
      <c r="C3120" s="98" t="s">
        <v>4910</v>
      </c>
      <c r="D3120" s="98" t="s">
        <v>1738</v>
      </c>
      <c r="E3120" s="98" t="s">
        <v>1701</v>
      </c>
      <c r="F3120" s="98" t="n">
        <v>1</v>
      </c>
      <c r="G3120" s="98" t="s">
        <v>4600</v>
      </c>
      <c r="H3120" s="98" t="s">
        <v>1703</v>
      </c>
      <c r="I3120" s="98" t="s">
        <v>1704</v>
      </c>
      <c r="J3120" s="98" t="s">
        <v>1705</v>
      </c>
      <c r="K3120" s="98" t="s">
        <v>1706</v>
      </c>
    </row>
    <row r="3121" customFormat="false" ht="64" hidden="false" customHeight="true" outlineLevel="0" collapsed="false">
      <c r="C3121" s="98" t="s">
        <v>4911</v>
      </c>
      <c r="D3121" s="98" t="s">
        <v>1740</v>
      </c>
      <c r="E3121" s="98" t="s">
        <v>1701</v>
      </c>
      <c r="F3121" s="98" t="n">
        <v>1</v>
      </c>
      <c r="G3121" s="98" t="s">
        <v>4600</v>
      </c>
      <c r="H3121" s="98" t="s">
        <v>1703</v>
      </c>
      <c r="I3121" s="98" t="s">
        <v>1704</v>
      </c>
      <c r="J3121" s="98" t="s">
        <v>1705</v>
      </c>
      <c r="K3121" s="98" t="s">
        <v>1706</v>
      </c>
    </row>
    <row r="3122" customFormat="false" ht="64" hidden="false" customHeight="true" outlineLevel="0" collapsed="false">
      <c r="C3122" s="98" t="s">
        <v>4912</v>
      </c>
      <c r="D3122" s="98" t="s">
        <v>1742</v>
      </c>
      <c r="E3122" s="98" t="s">
        <v>1701</v>
      </c>
      <c r="F3122" s="98" t="n">
        <v>1</v>
      </c>
      <c r="G3122" s="98" t="s">
        <v>4600</v>
      </c>
      <c r="H3122" s="98" t="s">
        <v>1703</v>
      </c>
      <c r="I3122" s="98" t="s">
        <v>1704</v>
      </c>
      <c r="J3122" s="98" t="s">
        <v>1705</v>
      </c>
      <c r="K3122" s="98" t="s">
        <v>1706</v>
      </c>
    </row>
    <row r="3123" customFormat="false" ht="64" hidden="false" customHeight="true" outlineLevel="0" collapsed="false">
      <c r="C3123" s="98" t="s">
        <v>4913</v>
      </c>
      <c r="D3123" s="98" t="s">
        <v>1744</v>
      </c>
      <c r="E3123" s="98" t="s">
        <v>1701</v>
      </c>
      <c r="F3123" s="98" t="n">
        <v>1</v>
      </c>
      <c r="G3123" s="98" t="s">
        <v>4600</v>
      </c>
      <c r="H3123" s="98" t="s">
        <v>1703</v>
      </c>
      <c r="I3123" s="98" t="s">
        <v>1704</v>
      </c>
      <c r="J3123" s="98" t="s">
        <v>1705</v>
      </c>
      <c r="K3123" s="98" t="s">
        <v>1706</v>
      </c>
    </row>
    <row r="3124" customFormat="false" ht="64" hidden="false" customHeight="true" outlineLevel="0" collapsed="false">
      <c r="C3124" s="98" t="s">
        <v>4914</v>
      </c>
      <c r="D3124" s="98" t="s">
        <v>1746</v>
      </c>
      <c r="E3124" s="98" t="s">
        <v>1701</v>
      </c>
      <c r="F3124" s="98" t="n">
        <v>1</v>
      </c>
      <c r="G3124" s="98" t="s">
        <v>4600</v>
      </c>
      <c r="H3124" s="98" t="s">
        <v>1703</v>
      </c>
      <c r="I3124" s="98" t="s">
        <v>1704</v>
      </c>
      <c r="J3124" s="98" t="s">
        <v>1705</v>
      </c>
      <c r="K3124" s="98" t="s">
        <v>1706</v>
      </c>
    </row>
    <row r="3125" customFormat="false" ht="64" hidden="false" customHeight="true" outlineLevel="0" collapsed="false">
      <c r="C3125" s="98" t="s">
        <v>4915</v>
      </c>
      <c r="D3125" s="98" t="s">
        <v>1748</v>
      </c>
      <c r="E3125" s="98" t="s">
        <v>1701</v>
      </c>
      <c r="F3125" s="98" t="n">
        <v>1</v>
      </c>
      <c r="G3125" s="98" t="s">
        <v>4600</v>
      </c>
      <c r="H3125" s="98" t="s">
        <v>1703</v>
      </c>
      <c r="I3125" s="98" t="s">
        <v>1704</v>
      </c>
      <c r="J3125" s="98" t="s">
        <v>1705</v>
      </c>
      <c r="K3125" s="98" t="s">
        <v>1706</v>
      </c>
    </row>
    <row r="3126" customFormat="false" ht="64" hidden="false" customHeight="true" outlineLevel="0" collapsed="false">
      <c r="C3126" s="98" t="s">
        <v>4916</v>
      </c>
      <c r="D3126" s="98" t="s">
        <v>1750</v>
      </c>
      <c r="E3126" s="98" t="s">
        <v>1701</v>
      </c>
      <c r="F3126" s="98" t="n">
        <v>1</v>
      </c>
      <c r="G3126" s="98" t="s">
        <v>4600</v>
      </c>
      <c r="H3126" s="98" t="s">
        <v>1703</v>
      </c>
      <c r="I3126" s="98" t="s">
        <v>1704</v>
      </c>
      <c r="J3126" s="98" t="s">
        <v>1705</v>
      </c>
      <c r="K3126" s="98" t="s">
        <v>1706</v>
      </c>
    </row>
    <row r="3127" customFormat="false" ht="64" hidden="false" customHeight="true" outlineLevel="0" collapsed="false">
      <c r="C3127" s="98" t="s">
        <v>4917</v>
      </c>
      <c r="D3127" s="98" t="s">
        <v>1752</v>
      </c>
      <c r="E3127" s="98" t="s">
        <v>1701</v>
      </c>
      <c r="F3127" s="98" t="n">
        <v>1</v>
      </c>
      <c r="G3127" s="98" t="s">
        <v>4600</v>
      </c>
      <c r="H3127" s="98" t="s">
        <v>1703</v>
      </c>
      <c r="I3127" s="98" t="s">
        <v>1704</v>
      </c>
      <c r="J3127" s="98" t="s">
        <v>1705</v>
      </c>
      <c r="K3127" s="98" t="s">
        <v>1706</v>
      </c>
    </row>
    <row r="3128" customFormat="false" ht="64" hidden="false" customHeight="true" outlineLevel="0" collapsed="false">
      <c r="C3128" s="98" t="s">
        <v>4918</v>
      </c>
      <c r="D3128" s="98" t="s">
        <v>1754</v>
      </c>
      <c r="E3128" s="98" t="s">
        <v>1701</v>
      </c>
      <c r="F3128" s="98" t="n">
        <v>1</v>
      </c>
      <c r="G3128" s="98" t="s">
        <v>4600</v>
      </c>
      <c r="H3128" s="98" t="s">
        <v>1703</v>
      </c>
      <c r="I3128" s="98" t="s">
        <v>1704</v>
      </c>
      <c r="J3128" s="98" t="s">
        <v>1705</v>
      </c>
      <c r="K3128" s="98" t="s">
        <v>1706</v>
      </c>
    </row>
    <row r="3129" customFormat="false" ht="64" hidden="false" customHeight="true" outlineLevel="0" collapsed="false">
      <c r="C3129" s="98" t="s">
        <v>4919</v>
      </c>
      <c r="D3129" s="98" t="s">
        <v>1756</v>
      </c>
      <c r="E3129" s="98" t="s">
        <v>1701</v>
      </c>
      <c r="F3129" s="98" t="n">
        <v>1</v>
      </c>
      <c r="G3129" s="98" t="s">
        <v>4600</v>
      </c>
      <c r="H3129" s="98" t="s">
        <v>1703</v>
      </c>
      <c r="I3129" s="98" t="s">
        <v>1704</v>
      </c>
      <c r="J3129" s="98" t="s">
        <v>1705</v>
      </c>
      <c r="K3129" s="98" t="s">
        <v>1706</v>
      </c>
    </row>
    <row r="3130" customFormat="false" ht="64" hidden="false" customHeight="true" outlineLevel="0" collapsed="false">
      <c r="C3130" s="98" t="s">
        <v>4920</v>
      </c>
      <c r="D3130" s="98" t="s">
        <v>1758</v>
      </c>
      <c r="E3130" s="98" t="s">
        <v>1701</v>
      </c>
      <c r="F3130" s="98" t="n">
        <v>1</v>
      </c>
      <c r="G3130" s="98" t="s">
        <v>4600</v>
      </c>
      <c r="H3130" s="98" t="s">
        <v>1703</v>
      </c>
      <c r="I3130" s="98" t="s">
        <v>1704</v>
      </c>
      <c r="J3130" s="98" t="s">
        <v>1705</v>
      </c>
      <c r="K3130" s="98" t="s">
        <v>1706</v>
      </c>
    </row>
    <row r="3131" customFormat="false" ht="64" hidden="false" customHeight="true" outlineLevel="0" collapsed="false">
      <c r="C3131" s="98" t="s">
        <v>4921</v>
      </c>
      <c r="D3131" s="98" t="s">
        <v>1760</v>
      </c>
      <c r="E3131" s="98" t="s">
        <v>1701</v>
      </c>
      <c r="F3131" s="98" t="n">
        <v>1</v>
      </c>
      <c r="G3131" s="98" t="s">
        <v>4600</v>
      </c>
      <c r="H3131" s="98" t="s">
        <v>1703</v>
      </c>
      <c r="I3131" s="98" t="s">
        <v>1704</v>
      </c>
      <c r="J3131" s="98" t="s">
        <v>1705</v>
      </c>
      <c r="K3131" s="98" t="s">
        <v>1706</v>
      </c>
    </row>
    <row r="3132" customFormat="false" ht="64" hidden="false" customHeight="true" outlineLevel="0" collapsed="false">
      <c r="C3132" s="98" t="s">
        <v>4922</v>
      </c>
      <c r="D3132" s="98" t="s">
        <v>1762</v>
      </c>
      <c r="E3132" s="98" t="s">
        <v>1701</v>
      </c>
      <c r="F3132" s="98" t="n">
        <v>1</v>
      </c>
      <c r="G3132" s="98" t="s">
        <v>4600</v>
      </c>
      <c r="H3132" s="98" t="s">
        <v>1703</v>
      </c>
      <c r="I3132" s="98" t="s">
        <v>1704</v>
      </c>
      <c r="J3132" s="98" t="s">
        <v>1705</v>
      </c>
      <c r="K3132" s="98" t="s">
        <v>1706</v>
      </c>
    </row>
    <row r="3133" customFormat="false" ht="64" hidden="false" customHeight="true" outlineLevel="0" collapsed="false">
      <c r="C3133" s="98" t="s">
        <v>4923</v>
      </c>
      <c r="D3133" s="98" t="s">
        <v>1764</v>
      </c>
      <c r="E3133" s="98" t="s">
        <v>1701</v>
      </c>
      <c r="F3133" s="98" t="n">
        <v>1</v>
      </c>
      <c r="G3133" s="98" t="s">
        <v>4600</v>
      </c>
      <c r="H3133" s="98" t="s">
        <v>1703</v>
      </c>
      <c r="I3133" s="98" t="s">
        <v>1704</v>
      </c>
      <c r="J3133" s="98" t="s">
        <v>1705</v>
      </c>
      <c r="K3133" s="98" t="s">
        <v>1706</v>
      </c>
    </row>
    <row r="3134" customFormat="false" ht="64" hidden="false" customHeight="true" outlineLevel="0" collapsed="false">
      <c r="C3134" s="98" t="s">
        <v>4924</v>
      </c>
      <c r="D3134" s="98" t="s">
        <v>1829</v>
      </c>
      <c r="E3134" s="98" t="s">
        <v>1701</v>
      </c>
      <c r="F3134" s="98" t="n">
        <v>1</v>
      </c>
      <c r="G3134" s="98" t="s">
        <v>4600</v>
      </c>
      <c r="H3134" s="98" t="s">
        <v>1703</v>
      </c>
      <c r="I3134" s="98" t="s">
        <v>1704</v>
      </c>
      <c r="J3134" s="98" t="s">
        <v>1705</v>
      </c>
      <c r="K3134" s="98" t="s">
        <v>1706</v>
      </c>
    </row>
    <row r="3135" customFormat="false" ht="64" hidden="false" customHeight="true" outlineLevel="0" collapsed="false">
      <c r="C3135" s="98" t="s">
        <v>4925</v>
      </c>
      <c r="D3135" s="98" t="s">
        <v>1833</v>
      </c>
      <c r="E3135" s="98" t="s">
        <v>1701</v>
      </c>
      <c r="F3135" s="98" t="n">
        <v>1</v>
      </c>
      <c r="G3135" s="98" t="s">
        <v>4600</v>
      </c>
      <c r="H3135" s="98" t="s">
        <v>1703</v>
      </c>
      <c r="I3135" s="98" t="s">
        <v>1704</v>
      </c>
      <c r="J3135" s="98" t="s">
        <v>1705</v>
      </c>
      <c r="K3135" s="98" t="s">
        <v>1706</v>
      </c>
    </row>
    <row r="3136" customFormat="false" ht="64" hidden="false" customHeight="true" outlineLevel="0" collapsed="false">
      <c r="C3136" s="98" t="s">
        <v>4926</v>
      </c>
      <c r="D3136" s="98" t="s">
        <v>1835</v>
      </c>
      <c r="E3136" s="98" t="s">
        <v>1701</v>
      </c>
      <c r="F3136" s="98" t="n">
        <v>1</v>
      </c>
      <c r="G3136" s="98" t="s">
        <v>4600</v>
      </c>
      <c r="H3136" s="98" t="s">
        <v>1703</v>
      </c>
      <c r="I3136" s="98" t="s">
        <v>1704</v>
      </c>
      <c r="J3136" s="98" t="s">
        <v>1705</v>
      </c>
      <c r="K3136" s="98" t="s">
        <v>1706</v>
      </c>
    </row>
    <row r="3137" customFormat="false" ht="64" hidden="false" customHeight="true" outlineLevel="0" collapsed="false">
      <c r="C3137" s="98" t="s">
        <v>4927</v>
      </c>
      <c r="D3137" s="98" t="s">
        <v>1044</v>
      </c>
      <c r="E3137" s="98" t="s">
        <v>1701</v>
      </c>
      <c r="F3137" s="98" t="n">
        <v>1</v>
      </c>
      <c r="G3137" s="98" t="s">
        <v>4600</v>
      </c>
      <c r="H3137" s="98" t="s">
        <v>1703</v>
      </c>
      <c r="I3137" s="98" t="s">
        <v>1704</v>
      </c>
      <c r="J3137" s="98" t="s">
        <v>1705</v>
      </c>
      <c r="K3137" s="98" t="s">
        <v>1706</v>
      </c>
    </row>
    <row r="3138" customFormat="false" ht="64" hidden="false" customHeight="true" outlineLevel="0" collapsed="false">
      <c r="C3138" s="98" t="s">
        <v>4928</v>
      </c>
      <c r="D3138" s="98" t="s">
        <v>1838</v>
      </c>
      <c r="E3138" s="98" t="s">
        <v>1701</v>
      </c>
      <c r="F3138" s="98" t="n">
        <v>1</v>
      </c>
      <c r="G3138" s="98" t="s">
        <v>4600</v>
      </c>
      <c r="H3138" s="98" t="s">
        <v>1703</v>
      </c>
      <c r="I3138" s="98" t="s">
        <v>1704</v>
      </c>
      <c r="J3138" s="98" t="s">
        <v>1705</v>
      </c>
      <c r="K3138" s="98" t="s">
        <v>1706</v>
      </c>
    </row>
    <row r="3139" customFormat="false" ht="64" hidden="false" customHeight="true" outlineLevel="0" collapsed="false">
      <c r="C3139" s="98" t="s">
        <v>4929</v>
      </c>
      <c r="D3139" s="98" t="s">
        <v>1840</v>
      </c>
      <c r="E3139" s="98" t="s">
        <v>1701</v>
      </c>
      <c r="F3139" s="98" t="n">
        <v>1</v>
      </c>
      <c r="G3139" s="98" t="s">
        <v>4600</v>
      </c>
      <c r="H3139" s="98" t="s">
        <v>1703</v>
      </c>
      <c r="I3139" s="98" t="s">
        <v>1704</v>
      </c>
      <c r="J3139" s="98" t="s">
        <v>1705</v>
      </c>
      <c r="K3139" s="98" t="s">
        <v>1706</v>
      </c>
    </row>
    <row r="3140" customFormat="false" ht="64" hidden="false" customHeight="true" outlineLevel="0" collapsed="false">
      <c r="C3140" s="98" t="s">
        <v>4930</v>
      </c>
      <c r="D3140" s="98" t="s">
        <v>1700</v>
      </c>
      <c r="E3140" s="98" t="s">
        <v>1701</v>
      </c>
      <c r="F3140" s="98" t="n">
        <v>1</v>
      </c>
      <c r="G3140" s="98" t="s">
        <v>4600</v>
      </c>
      <c r="H3140" s="98" t="s">
        <v>1703</v>
      </c>
      <c r="I3140" s="98" t="s">
        <v>1704</v>
      </c>
      <c r="J3140" s="98" t="s">
        <v>1705</v>
      </c>
      <c r="K3140" s="98" t="s">
        <v>1706</v>
      </c>
    </row>
    <row r="3141" customFormat="false" ht="64" hidden="false" customHeight="true" outlineLevel="0" collapsed="false">
      <c r="C3141" s="98" t="s">
        <v>4931</v>
      </c>
      <c r="D3141" s="98" t="s">
        <v>1708</v>
      </c>
      <c r="E3141" s="98" t="s">
        <v>1701</v>
      </c>
      <c r="F3141" s="98" t="n">
        <v>1</v>
      </c>
      <c r="G3141" s="98" t="s">
        <v>4600</v>
      </c>
      <c r="H3141" s="98" t="s">
        <v>1703</v>
      </c>
      <c r="I3141" s="98" t="s">
        <v>1704</v>
      </c>
      <c r="J3141" s="98" t="s">
        <v>1705</v>
      </c>
      <c r="K3141" s="98" t="s">
        <v>1706</v>
      </c>
    </row>
    <row r="3142" customFormat="false" ht="64" hidden="false" customHeight="true" outlineLevel="0" collapsed="false">
      <c r="C3142" s="98" t="s">
        <v>4932</v>
      </c>
      <c r="D3142" s="98" t="s">
        <v>1710</v>
      </c>
      <c r="E3142" s="98" t="s">
        <v>1701</v>
      </c>
      <c r="F3142" s="98" t="n">
        <v>1</v>
      </c>
      <c r="G3142" s="98" t="s">
        <v>4600</v>
      </c>
      <c r="H3142" s="98" t="s">
        <v>1703</v>
      </c>
      <c r="I3142" s="98" t="s">
        <v>1704</v>
      </c>
      <c r="J3142" s="98" t="s">
        <v>1705</v>
      </c>
      <c r="K3142" s="98" t="s">
        <v>1706</v>
      </c>
    </row>
    <row r="3143" customFormat="false" ht="64" hidden="false" customHeight="true" outlineLevel="0" collapsed="false">
      <c r="C3143" s="98" t="s">
        <v>4933</v>
      </c>
      <c r="D3143" s="98" t="s">
        <v>1712</v>
      </c>
      <c r="E3143" s="98" t="s">
        <v>1701</v>
      </c>
      <c r="F3143" s="98" t="n">
        <v>1</v>
      </c>
      <c r="G3143" s="98" t="s">
        <v>4600</v>
      </c>
      <c r="H3143" s="98" t="s">
        <v>1703</v>
      </c>
      <c r="I3143" s="98" t="s">
        <v>1704</v>
      </c>
      <c r="J3143" s="98" t="s">
        <v>1705</v>
      </c>
      <c r="K3143" s="98" t="s">
        <v>1706</v>
      </c>
    </row>
    <row r="3144" customFormat="false" ht="64" hidden="false" customHeight="true" outlineLevel="0" collapsed="false">
      <c r="C3144" s="98" t="s">
        <v>4934</v>
      </c>
      <c r="D3144" s="98" t="s">
        <v>1714</v>
      </c>
      <c r="E3144" s="98" t="s">
        <v>1701</v>
      </c>
      <c r="F3144" s="98" t="n">
        <v>1</v>
      </c>
      <c r="G3144" s="98" t="s">
        <v>4600</v>
      </c>
      <c r="H3144" s="98" t="s">
        <v>1703</v>
      </c>
      <c r="I3144" s="98" t="s">
        <v>1704</v>
      </c>
      <c r="J3144" s="98" t="s">
        <v>1705</v>
      </c>
      <c r="K3144" s="98" t="s">
        <v>1706</v>
      </c>
    </row>
    <row r="3145" customFormat="false" ht="64" hidden="false" customHeight="true" outlineLevel="0" collapsed="false">
      <c r="C3145" s="98" t="s">
        <v>4935</v>
      </c>
      <c r="D3145" s="98" t="s">
        <v>1716</v>
      </c>
      <c r="E3145" s="98" t="s">
        <v>1701</v>
      </c>
      <c r="F3145" s="98" t="n">
        <v>1</v>
      </c>
      <c r="G3145" s="98" t="s">
        <v>4600</v>
      </c>
      <c r="H3145" s="98" t="s">
        <v>1703</v>
      </c>
      <c r="I3145" s="98" t="s">
        <v>1704</v>
      </c>
      <c r="J3145" s="98" t="s">
        <v>1705</v>
      </c>
      <c r="K3145" s="98" t="s">
        <v>1706</v>
      </c>
    </row>
    <row r="3146" customFormat="false" ht="64" hidden="false" customHeight="true" outlineLevel="0" collapsed="false">
      <c r="C3146" s="98" t="s">
        <v>4936</v>
      </c>
      <c r="D3146" s="98" t="s">
        <v>1718</v>
      </c>
      <c r="E3146" s="98" t="s">
        <v>1701</v>
      </c>
      <c r="F3146" s="98" t="n">
        <v>1</v>
      </c>
      <c r="G3146" s="98" t="s">
        <v>4600</v>
      </c>
      <c r="H3146" s="98" t="s">
        <v>1703</v>
      </c>
      <c r="I3146" s="98" t="s">
        <v>1704</v>
      </c>
      <c r="J3146" s="98" t="s">
        <v>1705</v>
      </c>
      <c r="K3146" s="98" t="s">
        <v>1706</v>
      </c>
    </row>
    <row r="3147" customFormat="false" ht="64" hidden="false" customHeight="true" outlineLevel="0" collapsed="false">
      <c r="C3147" s="98" t="s">
        <v>4937</v>
      </c>
      <c r="D3147" s="98" t="s">
        <v>1720</v>
      </c>
      <c r="E3147" s="98" t="s">
        <v>1701</v>
      </c>
      <c r="F3147" s="98" t="n">
        <v>1</v>
      </c>
      <c r="G3147" s="98" t="s">
        <v>4600</v>
      </c>
      <c r="H3147" s="98" t="s">
        <v>1703</v>
      </c>
      <c r="I3147" s="98" t="s">
        <v>1704</v>
      </c>
      <c r="J3147" s="98" t="s">
        <v>1705</v>
      </c>
      <c r="K3147" s="98" t="s">
        <v>1706</v>
      </c>
    </row>
    <row r="3148" customFormat="false" ht="64" hidden="false" customHeight="true" outlineLevel="0" collapsed="false">
      <c r="C3148" s="98" t="s">
        <v>4938</v>
      </c>
      <c r="D3148" s="98" t="s">
        <v>1722</v>
      </c>
      <c r="E3148" s="98" t="s">
        <v>1701</v>
      </c>
      <c r="F3148" s="98" t="n">
        <v>1</v>
      </c>
      <c r="G3148" s="98" t="s">
        <v>4600</v>
      </c>
      <c r="H3148" s="98" t="s">
        <v>1703</v>
      </c>
      <c r="I3148" s="98" t="s">
        <v>1704</v>
      </c>
      <c r="J3148" s="98" t="s">
        <v>1705</v>
      </c>
      <c r="K3148" s="98" t="s">
        <v>1706</v>
      </c>
    </row>
    <row r="3149" customFormat="false" ht="64" hidden="false" customHeight="true" outlineLevel="0" collapsed="false">
      <c r="C3149" s="98" t="s">
        <v>4939</v>
      </c>
      <c r="D3149" s="98" t="s">
        <v>1724</v>
      </c>
      <c r="E3149" s="98" t="s">
        <v>1701</v>
      </c>
      <c r="F3149" s="98" t="n">
        <v>1</v>
      </c>
      <c r="G3149" s="98" t="s">
        <v>4600</v>
      </c>
      <c r="H3149" s="98" t="s">
        <v>1703</v>
      </c>
      <c r="I3149" s="98" t="s">
        <v>1704</v>
      </c>
      <c r="J3149" s="98" t="s">
        <v>1705</v>
      </c>
      <c r="K3149" s="98" t="s">
        <v>1706</v>
      </c>
    </row>
    <row r="3150" customFormat="false" ht="64" hidden="false" customHeight="true" outlineLevel="0" collapsed="false">
      <c r="C3150" s="98" t="s">
        <v>4940</v>
      </c>
      <c r="D3150" s="98" t="s">
        <v>1726</v>
      </c>
      <c r="E3150" s="98" t="s">
        <v>1701</v>
      </c>
      <c r="F3150" s="98" t="n">
        <v>1</v>
      </c>
      <c r="G3150" s="98" t="s">
        <v>4600</v>
      </c>
      <c r="H3150" s="98" t="s">
        <v>1703</v>
      </c>
      <c r="I3150" s="98" t="s">
        <v>1704</v>
      </c>
      <c r="J3150" s="98" t="s">
        <v>1705</v>
      </c>
      <c r="K3150" s="98" t="s">
        <v>1706</v>
      </c>
    </row>
    <row r="3151" customFormat="false" ht="64" hidden="false" customHeight="true" outlineLevel="0" collapsed="false">
      <c r="C3151" s="98" t="s">
        <v>4941</v>
      </c>
      <c r="D3151" s="98" t="s">
        <v>1728</v>
      </c>
      <c r="E3151" s="98" t="s">
        <v>1701</v>
      </c>
      <c r="F3151" s="98" t="n">
        <v>1</v>
      </c>
      <c r="G3151" s="98" t="s">
        <v>4600</v>
      </c>
      <c r="H3151" s="98" t="s">
        <v>1703</v>
      </c>
      <c r="I3151" s="98" t="s">
        <v>1704</v>
      </c>
      <c r="J3151" s="98" t="s">
        <v>1705</v>
      </c>
      <c r="K3151" s="98" t="s">
        <v>1706</v>
      </c>
    </row>
    <row r="3152" customFormat="false" ht="64" hidden="false" customHeight="true" outlineLevel="0" collapsed="false">
      <c r="C3152" s="98" t="s">
        <v>4942</v>
      </c>
      <c r="D3152" s="98" t="s">
        <v>1730</v>
      </c>
      <c r="E3152" s="98" t="s">
        <v>1701</v>
      </c>
      <c r="F3152" s="98" t="n">
        <v>1</v>
      </c>
      <c r="G3152" s="98" t="s">
        <v>4600</v>
      </c>
      <c r="H3152" s="98" t="s">
        <v>1703</v>
      </c>
      <c r="I3152" s="98" t="s">
        <v>1704</v>
      </c>
      <c r="J3152" s="98" t="s">
        <v>1705</v>
      </c>
      <c r="K3152" s="98" t="s">
        <v>1706</v>
      </c>
    </row>
    <row r="3153" customFormat="false" ht="64" hidden="false" customHeight="true" outlineLevel="0" collapsed="false">
      <c r="C3153" s="98" t="s">
        <v>4943</v>
      </c>
      <c r="D3153" s="98" t="s">
        <v>1732</v>
      </c>
      <c r="E3153" s="98" t="s">
        <v>1701</v>
      </c>
      <c r="F3153" s="98" t="n">
        <v>1</v>
      </c>
      <c r="G3153" s="98" t="s">
        <v>4600</v>
      </c>
      <c r="H3153" s="98" t="s">
        <v>1703</v>
      </c>
      <c r="I3153" s="98" t="s">
        <v>1704</v>
      </c>
      <c r="J3153" s="98" t="s">
        <v>1705</v>
      </c>
      <c r="K3153" s="98" t="s">
        <v>1706</v>
      </c>
    </row>
    <row r="3154" customFormat="false" ht="64" hidden="false" customHeight="true" outlineLevel="0" collapsed="false">
      <c r="C3154" s="98" t="s">
        <v>4944</v>
      </c>
      <c r="D3154" s="98" t="s">
        <v>1734</v>
      </c>
      <c r="E3154" s="98" t="s">
        <v>1701</v>
      </c>
      <c r="F3154" s="98" t="n">
        <v>1</v>
      </c>
      <c r="G3154" s="98" t="s">
        <v>4600</v>
      </c>
      <c r="H3154" s="98" t="s">
        <v>1703</v>
      </c>
      <c r="I3154" s="98" t="s">
        <v>1704</v>
      </c>
      <c r="J3154" s="98" t="s">
        <v>1705</v>
      </c>
      <c r="K3154" s="98" t="s">
        <v>1706</v>
      </c>
    </row>
    <row r="3155" customFormat="false" ht="64" hidden="false" customHeight="true" outlineLevel="0" collapsed="false">
      <c r="C3155" s="98" t="s">
        <v>4945</v>
      </c>
      <c r="D3155" s="98" t="s">
        <v>1736</v>
      </c>
      <c r="E3155" s="98" t="s">
        <v>1701</v>
      </c>
      <c r="F3155" s="98" t="n">
        <v>1</v>
      </c>
      <c r="G3155" s="98" t="s">
        <v>4600</v>
      </c>
      <c r="H3155" s="98" t="s">
        <v>1703</v>
      </c>
      <c r="I3155" s="98" t="s">
        <v>1704</v>
      </c>
      <c r="J3155" s="98" t="s">
        <v>1705</v>
      </c>
      <c r="K3155" s="98" t="s">
        <v>1706</v>
      </c>
    </row>
    <row r="3156" customFormat="false" ht="64" hidden="false" customHeight="true" outlineLevel="0" collapsed="false">
      <c r="C3156" s="98" t="s">
        <v>4946</v>
      </c>
      <c r="D3156" s="98" t="s">
        <v>1738</v>
      </c>
      <c r="E3156" s="98" t="s">
        <v>1701</v>
      </c>
      <c r="F3156" s="98" t="n">
        <v>1</v>
      </c>
      <c r="G3156" s="98" t="s">
        <v>4600</v>
      </c>
      <c r="H3156" s="98" t="s">
        <v>1703</v>
      </c>
      <c r="I3156" s="98" t="s">
        <v>1704</v>
      </c>
      <c r="J3156" s="98" t="s">
        <v>1705</v>
      </c>
      <c r="K3156" s="98" t="s">
        <v>1706</v>
      </c>
    </row>
    <row r="3157" customFormat="false" ht="64" hidden="false" customHeight="true" outlineLevel="0" collapsed="false">
      <c r="C3157" s="98" t="s">
        <v>4947</v>
      </c>
      <c r="D3157" s="98" t="s">
        <v>1740</v>
      </c>
      <c r="E3157" s="98" t="s">
        <v>1701</v>
      </c>
      <c r="F3157" s="98" t="n">
        <v>1</v>
      </c>
      <c r="G3157" s="98" t="s">
        <v>4600</v>
      </c>
      <c r="H3157" s="98" t="s">
        <v>1703</v>
      </c>
      <c r="I3157" s="98" t="s">
        <v>1704</v>
      </c>
      <c r="J3157" s="98" t="s">
        <v>1705</v>
      </c>
      <c r="K3157" s="98" t="s">
        <v>1706</v>
      </c>
    </row>
    <row r="3158" customFormat="false" ht="64" hidden="false" customHeight="true" outlineLevel="0" collapsed="false">
      <c r="C3158" s="98" t="s">
        <v>4948</v>
      </c>
      <c r="D3158" s="98" t="s">
        <v>1742</v>
      </c>
      <c r="E3158" s="98" t="s">
        <v>1701</v>
      </c>
      <c r="F3158" s="98" t="n">
        <v>1</v>
      </c>
      <c r="G3158" s="98" t="s">
        <v>4600</v>
      </c>
      <c r="H3158" s="98" t="s">
        <v>1703</v>
      </c>
      <c r="I3158" s="98" t="s">
        <v>1704</v>
      </c>
      <c r="J3158" s="98" t="s">
        <v>1705</v>
      </c>
      <c r="K3158" s="98" t="s">
        <v>1706</v>
      </c>
    </row>
    <row r="3159" customFormat="false" ht="64" hidden="false" customHeight="true" outlineLevel="0" collapsed="false">
      <c r="C3159" s="98" t="s">
        <v>4949</v>
      </c>
      <c r="D3159" s="98" t="s">
        <v>1744</v>
      </c>
      <c r="E3159" s="98" t="s">
        <v>1701</v>
      </c>
      <c r="F3159" s="98" t="n">
        <v>1</v>
      </c>
      <c r="G3159" s="98" t="s">
        <v>4600</v>
      </c>
      <c r="H3159" s="98" t="s">
        <v>1703</v>
      </c>
      <c r="I3159" s="98" t="s">
        <v>1704</v>
      </c>
      <c r="J3159" s="98" t="s">
        <v>1705</v>
      </c>
      <c r="K3159" s="98" t="s">
        <v>1706</v>
      </c>
    </row>
    <row r="3160" customFormat="false" ht="64" hidden="false" customHeight="true" outlineLevel="0" collapsed="false">
      <c r="C3160" s="98" t="s">
        <v>4950</v>
      </c>
      <c r="D3160" s="98" t="s">
        <v>1746</v>
      </c>
      <c r="E3160" s="98" t="s">
        <v>1701</v>
      </c>
      <c r="F3160" s="98" t="n">
        <v>1</v>
      </c>
      <c r="G3160" s="98" t="s">
        <v>4600</v>
      </c>
      <c r="H3160" s="98" t="s">
        <v>1703</v>
      </c>
      <c r="I3160" s="98" t="s">
        <v>1704</v>
      </c>
      <c r="J3160" s="98" t="s">
        <v>1705</v>
      </c>
      <c r="K3160" s="98" t="s">
        <v>1706</v>
      </c>
    </row>
    <row r="3161" customFormat="false" ht="64" hidden="false" customHeight="true" outlineLevel="0" collapsed="false">
      <c r="C3161" s="98" t="s">
        <v>4951</v>
      </c>
      <c r="D3161" s="98" t="s">
        <v>1748</v>
      </c>
      <c r="E3161" s="98" t="s">
        <v>1701</v>
      </c>
      <c r="F3161" s="98" t="n">
        <v>1</v>
      </c>
      <c r="G3161" s="98" t="s">
        <v>4600</v>
      </c>
      <c r="H3161" s="98" t="s">
        <v>1703</v>
      </c>
      <c r="I3161" s="98" t="s">
        <v>1704</v>
      </c>
      <c r="J3161" s="98" t="s">
        <v>1705</v>
      </c>
      <c r="K3161" s="98" t="s">
        <v>1706</v>
      </c>
    </row>
    <row r="3162" customFormat="false" ht="64" hidden="false" customHeight="true" outlineLevel="0" collapsed="false">
      <c r="C3162" s="98" t="s">
        <v>4952</v>
      </c>
      <c r="D3162" s="98" t="s">
        <v>1750</v>
      </c>
      <c r="E3162" s="98" t="s">
        <v>1701</v>
      </c>
      <c r="F3162" s="98" t="n">
        <v>1</v>
      </c>
      <c r="G3162" s="98" t="s">
        <v>4600</v>
      </c>
      <c r="H3162" s="98" t="s">
        <v>1703</v>
      </c>
      <c r="I3162" s="98" t="s">
        <v>1704</v>
      </c>
      <c r="J3162" s="98" t="s">
        <v>1705</v>
      </c>
      <c r="K3162" s="98" t="s">
        <v>1706</v>
      </c>
    </row>
    <row r="3163" customFormat="false" ht="64" hidden="false" customHeight="true" outlineLevel="0" collapsed="false">
      <c r="C3163" s="98" t="s">
        <v>4953</v>
      </c>
      <c r="D3163" s="98" t="s">
        <v>1752</v>
      </c>
      <c r="E3163" s="98" t="s">
        <v>1701</v>
      </c>
      <c r="F3163" s="98" t="n">
        <v>1</v>
      </c>
      <c r="G3163" s="98" t="s">
        <v>4600</v>
      </c>
      <c r="H3163" s="98" t="s">
        <v>1703</v>
      </c>
      <c r="I3163" s="98" t="s">
        <v>1704</v>
      </c>
      <c r="J3163" s="98" t="s">
        <v>1705</v>
      </c>
      <c r="K3163" s="98" t="s">
        <v>1706</v>
      </c>
    </row>
    <row r="3164" customFormat="false" ht="64" hidden="false" customHeight="true" outlineLevel="0" collapsed="false">
      <c r="C3164" s="98" t="s">
        <v>4954</v>
      </c>
      <c r="D3164" s="98" t="s">
        <v>1754</v>
      </c>
      <c r="E3164" s="98" t="s">
        <v>1701</v>
      </c>
      <c r="F3164" s="98" t="n">
        <v>1</v>
      </c>
      <c r="G3164" s="98" t="s">
        <v>4600</v>
      </c>
      <c r="H3164" s="98" t="s">
        <v>1703</v>
      </c>
      <c r="I3164" s="98" t="s">
        <v>1704</v>
      </c>
      <c r="J3164" s="98" t="s">
        <v>1705</v>
      </c>
      <c r="K3164" s="98" t="s">
        <v>1706</v>
      </c>
    </row>
    <row r="3165" customFormat="false" ht="64" hidden="false" customHeight="true" outlineLevel="0" collapsed="false">
      <c r="C3165" s="98" t="s">
        <v>4955</v>
      </c>
      <c r="D3165" s="98" t="s">
        <v>1756</v>
      </c>
      <c r="E3165" s="98" t="s">
        <v>1701</v>
      </c>
      <c r="F3165" s="98" t="n">
        <v>1</v>
      </c>
      <c r="G3165" s="98" t="s">
        <v>4600</v>
      </c>
      <c r="H3165" s="98" t="s">
        <v>1703</v>
      </c>
      <c r="I3165" s="98" t="s">
        <v>1704</v>
      </c>
      <c r="J3165" s="98" t="s">
        <v>1705</v>
      </c>
      <c r="K3165" s="98" t="s">
        <v>1706</v>
      </c>
    </row>
    <row r="3166" customFormat="false" ht="64" hidden="false" customHeight="true" outlineLevel="0" collapsed="false">
      <c r="C3166" s="98" t="s">
        <v>4956</v>
      </c>
      <c r="D3166" s="98" t="s">
        <v>1758</v>
      </c>
      <c r="E3166" s="98" t="s">
        <v>1701</v>
      </c>
      <c r="F3166" s="98" t="n">
        <v>1</v>
      </c>
      <c r="G3166" s="98" t="s">
        <v>4600</v>
      </c>
      <c r="H3166" s="98" t="s">
        <v>1703</v>
      </c>
      <c r="I3166" s="98" t="s">
        <v>1704</v>
      </c>
      <c r="J3166" s="98" t="s">
        <v>1705</v>
      </c>
      <c r="K3166" s="98" t="s">
        <v>1706</v>
      </c>
    </row>
    <row r="3167" customFormat="false" ht="64" hidden="false" customHeight="true" outlineLevel="0" collapsed="false">
      <c r="C3167" s="98" t="s">
        <v>4957</v>
      </c>
      <c r="D3167" s="98" t="s">
        <v>1760</v>
      </c>
      <c r="E3167" s="98" t="s">
        <v>1701</v>
      </c>
      <c r="F3167" s="98" t="n">
        <v>1</v>
      </c>
      <c r="G3167" s="98" t="s">
        <v>4600</v>
      </c>
      <c r="H3167" s="98" t="s">
        <v>1703</v>
      </c>
      <c r="I3167" s="98" t="s">
        <v>1704</v>
      </c>
      <c r="J3167" s="98" t="s">
        <v>1705</v>
      </c>
      <c r="K3167" s="98" t="s">
        <v>1706</v>
      </c>
    </row>
    <row r="3168" customFormat="false" ht="64" hidden="false" customHeight="true" outlineLevel="0" collapsed="false">
      <c r="C3168" s="98" t="s">
        <v>4958</v>
      </c>
      <c r="D3168" s="98" t="s">
        <v>1762</v>
      </c>
      <c r="E3168" s="98" t="s">
        <v>1701</v>
      </c>
      <c r="F3168" s="98" t="n">
        <v>1</v>
      </c>
      <c r="G3168" s="98" t="s">
        <v>4600</v>
      </c>
      <c r="H3168" s="98" t="s">
        <v>1703</v>
      </c>
      <c r="I3168" s="98" t="s">
        <v>1704</v>
      </c>
      <c r="J3168" s="98" t="s">
        <v>1705</v>
      </c>
      <c r="K3168" s="98" t="s">
        <v>1706</v>
      </c>
    </row>
    <row r="3169" customFormat="false" ht="64" hidden="false" customHeight="true" outlineLevel="0" collapsed="false">
      <c r="C3169" s="98" t="s">
        <v>4959</v>
      </c>
      <c r="D3169" s="98" t="s">
        <v>1764</v>
      </c>
      <c r="E3169" s="98" t="s">
        <v>1701</v>
      </c>
      <c r="F3169" s="98" t="n">
        <v>1</v>
      </c>
      <c r="G3169" s="98" t="s">
        <v>4600</v>
      </c>
      <c r="H3169" s="98" t="s">
        <v>1703</v>
      </c>
      <c r="I3169" s="98" t="s">
        <v>1704</v>
      </c>
      <c r="J3169" s="98" t="s">
        <v>1705</v>
      </c>
      <c r="K3169" s="98" t="s">
        <v>1706</v>
      </c>
    </row>
    <row r="3170" customFormat="false" ht="64" hidden="false" customHeight="true" outlineLevel="0" collapsed="false">
      <c r="C3170" s="98" t="s">
        <v>4960</v>
      </c>
      <c r="D3170" s="98" t="s">
        <v>1829</v>
      </c>
      <c r="E3170" s="98" t="s">
        <v>1701</v>
      </c>
      <c r="F3170" s="98" t="n">
        <v>1</v>
      </c>
      <c r="G3170" s="98" t="s">
        <v>4600</v>
      </c>
      <c r="H3170" s="98" t="s">
        <v>1703</v>
      </c>
      <c r="I3170" s="98" t="s">
        <v>1704</v>
      </c>
      <c r="J3170" s="98" t="s">
        <v>1705</v>
      </c>
      <c r="K3170" s="98" t="s">
        <v>1706</v>
      </c>
    </row>
    <row r="3171" customFormat="false" ht="64" hidden="false" customHeight="true" outlineLevel="0" collapsed="false">
      <c r="C3171" s="98" t="s">
        <v>4961</v>
      </c>
      <c r="D3171" s="98" t="s">
        <v>1833</v>
      </c>
      <c r="E3171" s="98" t="s">
        <v>1701</v>
      </c>
      <c r="F3171" s="98" t="n">
        <v>1</v>
      </c>
      <c r="G3171" s="98" t="s">
        <v>4600</v>
      </c>
      <c r="H3171" s="98" t="s">
        <v>1703</v>
      </c>
      <c r="I3171" s="98" t="s">
        <v>1704</v>
      </c>
      <c r="J3171" s="98" t="s">
        <v>1705</v>
      </c>
      <c r="K3171" s="98" t="s">
        <v>1706</v>
      </c>
    </row>
    <row r="3172" customFormat="false" ht="64" hidden="false" customHeight="true" outlineLevel="0" collapsed="false">
      <c r="C3172" s="98" t="s">
        <v>4962</v>
      </c>
      <c r="D3172" s="98" t="s">
        <v>1835</v>
      </c>
      <c r="E3172" s="98" t="s">
        <v>1701</v>
      </c>
      <c r="F3172" s="98" t="n">
        <v>1</v>
      </c>
      <c r="G3172" s="98" t="s">
        <v>4600</v>
      </c>
      <c r="H3172" s="98" t="s">
        <v>1703</v>
      </c>
      <c r="I3172" s="98" t="s">
        <v>1704</v>
      </c>
      <c r="J3172" s="98" t="s">
        <v>1705</v>
      </c>
      <c r="K3172" s="98" t="s">
        <v>1706</v>
      </c>
    </row>
    <row r="3173" customFormat="false" ht="64" hidden="false" customHeight="true" outlineLevel="0" collapsed="false">
      <c r="C3173" s="98" t="s">
        <v>4963</v>
      </c>
      <c r="D3173" s="98" t="s">
        <v>1044</v>
      </c>
      <c r="E3173" s="98" t="s">
        <v>1701</v>
      </c>
      <c r="F3173" s="98" t="n">
        <v>1</v>
      </c>
      <c r="G3173" s="98" t="s">
        <v>4600</v>
      </c>
      <c r="H3173" s="98" t="s">
        <v>1703</v>
      </c>
      <c r="I3173" s="98" t="s">
        <v>1704</v>
      </c>
      <c r="J3173" s="98" t="s">
        <v>1705</v>
      </c>
      <c r="K3173" s="98" t="s">
        <v>1706</v>
      </c>
    </row>
    <row r="3174" customFormat="false" ht="64" hidden="false" customHeight="true" outlineLevel="0" collapsed="false">
      <c r="C3174" s="98" t="s">
        <v>4964</v>
      </c>
      <c r="D3174" s="98" t="s">
        <v>1838</v>
      </c>
      <c r="E3174" s="98" t="s">
        <v>1701</v>
      </c>
      <c r="F3174" s="98" t="n">
        <v>1</v>
      </c>
      <c r="G3174" s="98" t="s">
        <v>4600</v>
      </c>
      <c r="H3174" s="98" t="s">
        <v>1703</v>
      </c>
      <c r="I3174" s="98" t="s">
        <v>1704</v>
      </c>
      <c r="J3174" s="98" t="s">
        <v>1705</v>
      </c>
      <c r="K3174" s="98" t="s">
        <v>1706</v>
      </c>
    </row>
    <row r="3175" customFormat="false" ht="64" hidden="false" customHeight="true" outlineLevel="0" collapsed="false">
      <c r="C3175" s="98" t="s">
        <v>4965</v>
      </c>
      <c r="D3175" s="98" t="s">
        <v>1840</v>
      </c>
      <c r="E3175" s="98" t="s">
        <v>1701</v>
      </c>
      <c r="F3175" s="98" t="n">
        <v>1</v>
      </c>
      <c r="G3175" s="98" t="s">
        <v>4600</v>
      </c>
      <c r="H3175" s="98" t="s">
        <v>1703</v>
      </c>
      <c r="I3175" s="98" t="s">
        <v>1704</v>
      </c>
      <c r="J3175" s="98" t="s">
        <v>1705</v>
      </c>
      <c r="K3175" s="98" t="s">
        <v>1706</v>
      </c>
    </row>
    <row r="3176" customFormat="false" ht="64" hidden="false" customHeight="true" outlineLevel="0" collapsed="false">
      <c r="C3176" s="98" t="s">
        <v>4966</v>
      </c>
      <c r="D3176" s="98" t="s">
        <v>1700</v>
      </c>
      <c r="E3176" s="98" t="s">
        <v>1701</v>
      </c>
      <c r="F3176" s="98" t="n">
        <v>1</v>
      </c>
      <c r="G3176" s="98" t="s">
        <v>4600</v>
      </c>
      <c r="H3176" s="98" t="s">
        <v>1703</v>
      </c>
      <c r="I3176" s="98" t="s">
        <v>1704</v>
      </c>
      <c r="J3176" s="98" t="s">
        <v>1705</v>
      </c>
      <c r="K3176" s="98" t="s">
        <v>1706</v>
      </c>
    </row>
    <row r="3177" customFormat="false" ht="64" hidden="false" customHeight="true" outlineLevel="0" collapsed="false">
      <c r="C3177" s="98" t="s">
        <v>4967</v>
      </c>
      <c r="D3177" s="98" t="s">
        <v>1708</v>
      </c>
      <c r="E3177" s="98" t="s">
        <v>1701</v>
      </c>
      <c r="F3177" s="98" t="n">
        <v>1</v>
      </c>
      <c r="G3177" s="98" t="s">
        <v>4600</v>
      </c>
      <c r="H3177" s="98" t="s">
        <v>1703</v>
      </c>
      <c r="I3177" s="98" t="s">
        <v>1704</v>
      </c>
      <c r="J3177" s="98" t="s">
        <v>1705</v>
      </c>
      <c r="K3177" s="98" t="s">
        <v>1706</v>
      </c>
    </row>
    <row r="3178" customFormat="false" ht="64" hidden="false" customHeight="true" outlineLevel="0" collapsed="false">
      <c r="C3178" s="98" t="s">
        <v>4968</v>
      </c>
      <c r="D3178" s="98" t="s">
        <v>1710</v>
      </c>
      <c r="E3178" s="98" t="s">
        <v>1701</v>
      </c>
      <c r="F3178" s="98" t="n">
        <v>1</v>
      </c>
      <c r="G3178" s="98" t="s">
        <v>4600</v>
      </c>
      <c r="H3178" s="98" t="s">
        <v>1703</v>
      </c>
      <c r="I3178" s="98" t="s">
        <v>1704</v>
      </c>
      <c r="J3178" s="98" t="s">
        <v>1705</v>
      </c>
      <c r="K3178" s="98" t="s">
        <v>1706</v>
      </c>
    </row>
    <row r="3179" customFormat="false" ht="64" hidden="false" customHeight="true" outlineLevel="0" collapsed="false">
      <c r="C3179" s="98" t="s">
        <v>4969</v>
      </c>
      <c r="D3179" s="98" t="s">
        <v>1712</v>
      </c>
      <c r="E3179" s="98" t="s">
        <v>1701</v>
      </c>
      <c r="F3179" s="98" t="n">
        <v>1</v>
      </c>
      <c r="G3179" s="98" t="s">
        <v>4600</v>
      </c>
      <c r="H3179" s="98" t="s">
        <v>1703</v>
      </c>
      <c r="I3179" s="98" t="s">
        <v>1704</v>
      </c>
      <c r="J3179" s="98" t="s">
        <v>1705</v>
      </c>
      <c r="K3179" s="98" t="s">
        <v>1706</v>
      </c>
    </row>
    <row r="3180" customFormat="false" ht="64" hidden="false" customHeight="true" outlineLevel="0" collapsed="false">
      <c r="C3180" s="98" t="s">
        <v>4970</v>
      </c>
      <c r="D3180" s="98" t="s">
        <v>1714</v>
      </c>
      <c r="E3180" s="98" t="s">
        <v>1701</v>
      </c>
      <c r="F3180" s="98" t="n">
        <v>1</v>
      </c>
      <c r="G3180" s="98" t="s">
        <v>4600</v>
      </c>
      <c r="H3180" s="98" t="s">
        <v>1703</v>
      </c>
      <c r="I3180" s="98" t="s">
        <v>1704</v>
      </c>
      <c r="J3180" s="98" t="s">
        <v>1705</v>
      </c>
      <c r="K3180" s="98" t="s">
        <v>1706</v>
      </c>
    </row>
    <row r="3181" customFormat="false" ht="64" hidden="false" customHeight="true" outlineLevel="0" collapsed="false">
      <c r="C3181" s="98" t="s">
        <v>4971</v>
      </c>
      <c r="D3181" s="98" t="s">
        <v>1716</v>
      </c>
      <c r="E3181" s="98" t="s">
        <v>1701</v>
      </c>
      <c r="F3181" s="98" t="n">
        <v>1</v>
      </c>
      <c r="G3181" s="98" t="s">
        <v>4600</v>
      </c>
      <c r="H3181" s="98" t="s">
        <v>1703</v>
      </c>
      <c r="I3181" s="98" t="s">
        <v>1704</v>
      </c>
      <c r="J3181" s="98" t="s">
        <v>1705</v>
      </c>
      <c r="K3181" s="98" t="s">
        <v>1706</v>
      </c>
    </row>
    <row r="3182" customFormat="false" ht="64" hidden="false" customHeight="true" outlineLevel="0" collapsed="false">
      <c r="C3182" s="98" t="s">
        <v>4972</v>
      </c>
      <c r="D3182" s="98" t="s">
        <v>1718</v>
      </c>
      <c r="E3182" s="98" t="s">
        <v>1701</v>
      </c>
      <c r="F3182" s="98" t="n">
        <v>1</v>
      </c>
      <c r="G3182" s="98" t="s">
        <v>4600</v>
      </c>
      <c r="H3182" s="98" t="s">
        <v>1703</v>
      </c>
      <c r="I3182" s="98" t="s">
        <v>1704</v>
      </c>
      <c r="J3182" s="98" t="s">
        <v>1705</v>
      </c>
      <c r="K3182" s="98" t="s">
        <v>1706</v>
      </c>
    </row>
    <row r="3183" customFormat="false" ht="64" hidden="false" customHeight="true" outlineLevel="0" collapsed="false">
      <c r="C3183" s="98" t="s">
        <v>4973</v>
      </c>
      <c r="D3183" s="98" t="s">
        <v>1720</v>
      </c>
      <c r="E3183" s="98" t="s">
        <v>1701</v>
      </c>
      <c r="F3183" s="98" t="n">
        <v>1</v>
      </c>
      <c r="G3183" s="98" t="s">
        <v>4600</v>
      </c>
      <c r="H3183" s="98" t="s">
        <v>1703</v>
      </c>
      <c r="I3183" s="98" t="s">
        <v>1704</v>
      </c>
      <c r="J3183" s="98" t="s">
        <v>1705</v>
      </c>
      <c r="K3183" s="98" t="s">
        <v>1706</v>
      </c>
    </row>
    <row r="3184" customFormat="false" ht="64" hidden="false" customHeight="true" outlineLevel="0" collapsed="false">
      <c r="C3184" s="98" t="s">
        <v>4974</v>
      </c>
      <c r="D3184" s="98" t="s">
        <v>1722</v>
      </c>
      <c r="E3184" s="98" t="s">
        <v>1701</v>
      </c>
      <c r="F3184" s="98" t="n">
        <v>1</v>
      </c>
      <c r="G3184" s="98" t="s">
        <v>4600</v>
      </c>
      <c r="H3184" s="98" t="s">
        <v>1703</v>
      </c>
      <c r="I3184" s="98" t="s">
        <v>1704</v>
      </c>
      <c r="J3184" s="98" t="s">
        <v>1705</v>
      </c>
      <c r="K3184" s="98" t="s">
        <v>1706</v>
      </c>
    </row>
    <row r="3185" customFormat="false" ht="64" hidden="false" customHeight="true" outlineLevel="0" collapsed="false">
      <c r="C3185" s="98" t="s">
        <v>4975</v>
      </c>
      <c r="D3185" s="98" t="s">
        <v>1724</v>
      </c>
      <c r="E3185" s="98" t="s">
        <v>1701</v>
      </c>
      <c r="F3185" s="98" t="n">
        <v>1</v>
      </c>
      <c r="G3185" s="98" t="s">
        <v>4600</v>
      </c>
      <c r="H3185" s="98" t="s">
        <v>1703</v>
      </c>
      <c r="I3185" s="98" t="s">
        <v>1704</v>
      </c>
      <c r="J3185" s="98" t="s">
        <v>1705</v>
      </c>
      <c r="K3185" s="98" t="s">
        <v>1706</v>
      </c>
    </row>
    <row r="3186" customFormat="false" ht="64" hidden="false" customHeight="true" outlineLevel="0" collapsed="false">
      <c r="C3186" s="98" t="s">
        <v>4976</v>
      </c>
      <c r="D3186" s="98" t="s">
        <v>1726</v>
      </c>
      <c r="E3186" s="98" t="s">
        <v>1701</v>
      </c>
      <c r="F3186" s="98" t="n">
        <v>1</v>
      </c>
      <c r="G3186" s="98" t="s">
        <v>4600</v>
      </c>
      <c r="H3186" s="98" t="s">
        <v>1703</v>
      </c>
      <c r="I3186" s="98" t="s">
        <v>1704</v>
      </c>
      <c r="J3186" s="98" t="s">
        <v>1705</v>
      </c>
      <c r="K3186" s="98" t="s">
        <v>1706</v>
      </c>
    </row>
    <row r="3187" customFormat="false" ht="64" hidden="false" customHeight="true" outlineLevel="0" collapsed="false">
      <c r="C3187" s="98" t="s">
        <v>4977</v>
      </c>
      <c r="D3187" s="98" t="s">
        <v>1728</v>
      </c>
      <c r="E3187" s="98" t="s">
        <v>1701</v>
      </c>
      <c r="F3187" s="98" t="n">
        <v>1</v>
      </c>
      <c r="G3187" s="98" t="s">
        <v>4600</v>
      </c>
      <c r="H3187" s="98" t="s">
        <v>1703</v>
      </c>
      <c r="I3187" s="98" t="s">
        <v>1704</v>
      </c>
      <c r="J3187" s="98" t="s">
        <v>1705</v>
      </c>
      <c r="K3187" s="98" t="s">
        <v>1706</v>
      </c>
    </row>
    <row r="3188" customFormat="false" ht="64" hidden="false" customHeight="true" outlineLevel="0" collapsed="false">
      <c r="C3188" s="98" t="s">
        <v>4978</v>
      </c>
      <c r="D3188" s="98" t="s">
        <v>1730</v>
      </c>
      <c r="E3188" s="98" t="s">
        <v>1701</v>
      </c>
      <c r="F3188" s="98" t="n">
        <v>1</v>
      </c>
      <c r="G3188" s="98" t="s">
        <v>4600</v>
      </c>
      <c r="H3188" s="98" t="s">
        <v>1703</v>
      </c>
      <c r="I3188" s="98" t="s">
        <v>1704</v>
      </c>
      <c r="J3188" s="98" t="s">
        <v>1705</v>
      </c>
      <c r="K3188" s="98" t="s">
        <v>1706</v>
      </c>
    </row>
    <row r="3189" customFormat="false" ht="64" hidden="false" customHeight="true" outlineLevel="0" collapsed="false">
      <c r="C3189" s="98" t="s">
        <v>4979</v>
      </c>
      <c r="D3189" s="98" t="s">
        <v>1732</v>
      </c>
      <c r="E3189" s="98" t="s">
        <v>1701</v>
      </c>
      <c r="F3189" s="98" t="n">
        <v>1</v>
      </c>
      <c r="G3189" s="98" t="s">
        <v>4600</v>
      </c>
      <c r="H3189" s="98" t="s">
        <v>1703</v>
      </c>
      <c r="I3189" s="98" t="s">
        <v>1704</v>
      </c>
      <c r="J3189" s="98" t="s">
        <v>1705</v>
      </c>
      <c r="K3189" s="98" t="s">
        <v>1706</v>
      </c>
    </row>
    <row r="3190" customFormat="false" ht="64" hidden="false" customHeight="true" outlineLevel="0" collapsed="false">
      <c r="C3190" s="98" t="s">
        <v>4980</v>
      </c>
      <c r="D3190" s="98" t="s">
        <v>1734</v>
      </c>
      <c r="E3190" s="98" t="s">
        <v>1701</v>
      </c>
      <c r="F3190" s="98" t="n">
        <v>1</v>
      </c>
      <c r="G3190" s="98" t="s">
        <v>4600</v>
      </c>
      <c r="H3190" s="98" t="s">
        <v>1703</v>
      </c>
      <c r="I3190" s="98" t="s">
        <v>1704</v>
      </c>
      <c r="J3190" s="98" t="s">
        <v>1705</v>
      </c>
      <c r="K3190" s="98" t="s">
        <v>1706</v>
      </c>
    </row>
    <row r="3191" customFormat="false" ht="64" hidden="false" customHeight="true" outlineLevel="0" collapsed="false">
      <c r="C3191" s="98" t="s">
        <v>4981</v>
      </c>
      <c r="D3191" s="98" t="s">
        <v>1736</v>
      </c>
      <c r="E3191" s="98" t="s">
        <v>1701</v>
      </c>
      <c r="F3191" s="98" t="n">
        <v>1</v>
      </c>
      <c r="G3191" s="98" t="s">
        <v>4600</v>
      </c>
      <c r="H3191" s="98" t="s">
        <v>1703</v>
      </c>
      <c r="I3191" s="98" t="s">
        <v>1704</v>
      </c>
      <c r="J3191" s="98" t="s">
        <v>1705</v>
      </c>
      <c r="K3191" s="98" t="s">
        <v>1706</v>
      </c>
    </row>
    <row r="3192" customFormat="false" ht="64" hidden="false" customHeight="true" outlineLevel="0" collapsed="false">
      <c r="C3192" s="98" t="s">
        <v>4982</v>
      </c>
      <c r="D3192" s="98" t="s">
        <v>1738</v>
      </c>
      <c r="E3192" s="98" t="s">
        <v>1701</v>
      </c>
      <c r="F3192" s="98" t="n">
        <v>1</v>
      </c>
      <c r="G3192" s="98" t="s">
        <v>4600</v>
      </c>
      <c r="H3192" s="98" t="s">
        <v>1703</v>
      </c>
      <c r="I3192" s="98" t="s">
        <v>1704</v>
      </c>
      <c r="J3192" s="98" t="s">
        <v>1705</v>
      </c>
      <c r="K3192" s="98" t="s">
        <v>1706</v>
      </c>
    </row>
    <row r="3193" customFormat="false" ht="64" hidden="false" customHeight="true" outlineLevel="0" collapsed="false">
      <c r="C3193" s="98" t="s">
        <v>4983</v>
      </c>
      <c r="D3193" s="98" t="s">
        <v>1740</v>
      </c>
      <c r="E3193" s="98" t="s">
        <v>1701</v>
      </c>
      <c r="F3193" s="98" t="n">
        <v>1</v>
      </c>
      <c r="G3193" s="98" t="s">
        <v>4600</v>
      </c>
      <c r="H3193" s="98" t="s">
        <v>1703</v>
      </c>
      <c r="I3193" s="98" t="s">
        <v>1704</v>
      </c>
      <c r="J3193" s="98" t="s">
        <v>1705</v>
      </c>
      <c r="K3193" s="98" t="s">
        <v>1706</v>
      </c>
    </row>
    <row r="3194" customFormat="false" ht="64" hidden="false" customHeight="true" outlineLevel="0" collapsed="false">
      <c r="C3194" s="98" t="s">
        <v>4984</v>
      </c>
      <c r="D3194" s="98" t="s">
        <v>1742</v>
      </c>
      <c r="E3194" s="98" t="s">
        <v>1701</v>
      </c>
      <c r="F3194" s="98" t="n">
        <v>1</v>
      </c>
      <c r="G3194" s="98" t="s">
        <v>4600</v>
      </c>
      <c r="H3194" s="98" t="s">
        <v>1703</v>
      </c>
      <c r="I3194" s="98" t="s">
        <v>1704</v>
      </c>
      <c r="J3194" s="98" t="s">
        <v>1705</v>
      </c>
      <c r="K3194" s="98" t="s">
        <v>1706</v>
      </c>
    </row>
    <row r="3195" customFormat="false" ht="64" hidden="false" customHeight="true" outlineLevel="0" collapsed="false">
      <c r="C3195" s="98" t="s">
        <v>4985</v>
      </c>
      <c r="D3195" s="98" t="s">
        <v>1744</v>
      </c>
      <c r="E3195" s="98" t="s">
        <v>1701</v>
      </c>
      <c r="F3195" s="98" t="n">
        <v>1</v>
      </c>
      <c r="G3195" s="98" t="s">
        <v>4600</v>
      </c>
      <c r="H3195" s="98" t="s">
        <v>1703</v>
      </c>
      <c r="I3195" s="98" t="s">
        <v>1704</v>
      </c>
      <c r="J3195" s="98" t="s">
        <v>1705</v>
      </c>
      <c r="K3195" s="98" t="s">
        <v>1706</v>
      </c>
    </row>
    <row r="3196" customFormat="false" ht="64" hidden="false" customHeight="true" outlineLevel="0" collapsed="false">
      <c r="C3196" s="98" t="s">
        <v>4986</v>
      </c>
      <c r="D3196" s="98" t="s">
        <v>1746</v>
      </c>
      <c r="E3196" s="98" t="s">
        <v>1701</v>
      </c>
      <c r="F3196" s="98" t="n">
        <v>1</v>
      </c>
      <c r="G3196" s="98" t="s">
        <v>4600</v>
      </c>
      <c r="H3196" s="98" t="s">
        <v>1703</v>
      </c>
      <c r="I3196" s="98" t="s">
        <v>1704</v>
      </c>
      <c r="J3196" s="98" t="s">
        <v>1705</v>
      </c>
      <c r="K3196" s="98" t="s">
        <v>1706</v>
      </c>
    </row>
    <row r="3197" customFormat="false" ht="64" hidden="false" customHeight="true" outlineLevel="0" collapsed="false">
      <c r="C3197" s="98" t="s">
        <v>4987</v>
      </c>
      <c r="D3197" s="98" t="s">
        <v>1748</v>
      </c>
      <c r="E3197" s="98" t="s">
        <v>1701</v>
      </c>
      <c r="F3197" s="98" t="n">
        <v>1</v>
      </c>
      <c r="G3197" s="98" t="s">
        <v>4600</v>
      </c>
      <c r="H3197" s="98" t="s">
        <v>1703</v>
      </c>
      <c r="I3197" s="98" t="s">
        <v>1704</v>
      </c>
      <c r="J3197" s="98" t="s">
        <v>1705</v>
      </c>
      <c r="K3197" s="98" t="s">
        <v>1706</v>
      </c>
    </row>
    <row r="3198" customFormat="false" ht="64" hidden="false" customHeight="true" outlineLevel="0" collapsed="false">
      <c r="C3198" s="98" t="s">
        <v>4988</v>
      </c>
      <c r="D3198" s="98" t="s">
        <v>1750</v>
      </c>
      <c r="E3198" s="98" t="s">
        <v>1701</v>
      </c>
      <c r="F3198" s="98" t="n">
        <v>1</v>
      </c>
      <c r="G3198" s="98" t="s">
        <v>4600</v>
      </c>
      <c r="H3198" s="98" t="s">
        <v>1703</v>
      </c>
      <c r="I3198" s="98" t="s">
        <v>1704</v>
      </c>
      <c r="J3198" s="98" t="s">
        <v>1705</v>
      </c>
      <c r="K3198" s="98" t="s">
        <v>1706</v>
      </c>
    </row>
    <row r="3199" customFormat="false" ht="64" hidden="false" customHeight="true" outlineLevel="0" collapsed="false">
      <c r="C3199" s="98" t="s">
        <v>4989</v>
      </c>
      <c r="D3199" s="98" t="s">
        <v>1752</v>
      </c>
      <c r="E3199" s="98" t="s">
        <v>1701</v>
      </c>
      <c r="F3199" s="98" t="n">
        <v>1</v>
      </c>
      <c r="G3199" s="98" t="s">
        <v>4600</v>
      </c>
      <c r="H3199" s="98" t="s">
        <v>1703</v>
      </c>
      <c r="I3199" s="98" t="s">
        <v>1704</v>
      </c>
      <c r="J3199" s="98" t="s">
        <v>1705</v>
      </c>
      <c r="K3199" s="98" t="s">
        <v>1706</v>
      </c>
    </row>
    <row r="3200" customFormat="false" ht="64" hidden="false" customHeight="true" outlineLevel="0" collapsed="false">
      <c r="C3200" s="98" t="s">
        <v>4990</v>
      </c>
      <c r="D3200" s="98" t="s">
        <v>1754</v>
      </c>
      <c r="E3200" s="98" t="s">
        <v>1701</v>
      </c>
      <c r="F3200" s="98" t="n">
        <v>1</v>
      </c>
      <c r="G3200" s="98" t="s">
        <v>4600</v>
      </c>
      <c r="H3200" s="98" t="s">
        <v>1703</v>
      </c>
      <c r="I3200" s="98" t="s">
        <v>1704</v>
      </c>
      <c r="J3200" s="98" t="s">
        <v>1705</v>
      </c>
      <c r="K3200" s="98" t="s">
        <v>1706</v>
      </c>
    </row>
    <row r="3201" customFormat="false" ht="64" hidden="false" customHeight="true" outlineLevel="0" collapsed="false">
      <c r="C3201" s="98" t="s">
        <v>4991</v>
      </c>
      <c r="D3201" s="98" t="s">
        <v>1756</v>
      </c>
      <c r="E3201" s="98" t="s">
        <v>1701</v>
      </c>
      <c r="F3201" s="98" t="n">
        <v>1</v>
      </c>
      <c r="G3201" s="98" t="s">
        <v>4600</v>
      </c>
      <c r="H3201" s="98" t="s">
        <v>1703</v>
      </c>
      <c r="I3201" s="98" t="s">
        <v>1704</v>
      </c>
      <c r="J3201" s="98" t="s">
        <v>1705</v>
      </c>
      <c r="K3201" s="98" t="s">
        <v>1706</v>
      </c>
    </row>
    <row r="3202" customFormat="false" ht="64" hidden="false" customHeight="true" outlineLevel="0" collapsed="false">
      <c r="C3202" s="98" t="s">
        <v>4992</v>
      </c>
      <c r="D3202" s="98" t="s">
        <v>1758</v>
      </c>
      <c r="E3202" s="98" t="s">
        <v>1701</v>
      </c>
      <c r="F3202" s="98" t="n">
        <v>1</v>
      </c>
      <c r="G3202" s="98" t="s">
        <v>4600</v>
      </c>
      <c r="H3202" s="98" t="s">
        <v>1703</v>
      </c>
      <c r="I3202" s="98" t="s">
        <v>1704</v>
      </c>
      <c r="J3202" s="98" t="s">
        <v>1705</v>
      </c>
      <c r="K3202" s="98" t="s">
        <v>1706</v>
      </c>
    </row>
    <row r="3203" customFormat="false" ht="64" hidden="false" customHeight="true" outlineLevel="0" collapsed="false">
      <c r="C3203" s="98" t="s">
        <v>4993</v>
      </c>
      <c r="D3203" s="98" t="s">
        <v>1760</v>
      </c>
      <c r="E3203" s="98" t="s">
        <v>1701</v>
      </c>
      <c r="F3203" s="98" t="n">
        <v>1</v>
      </c>
      <c r="G3203" s="98" t="s">
        <v>4600</v>
      </c>
      <c r="H3203" s="98" t="s">
        <v>1703</v>
      </c>
      <c r="I3203" s="98" t="s">
        <v>1704</v>
      </c>
      <c r="J3203" s="98" t="s">
        <v>1705</v>
      </c>
      <c r="K3203" s="98" t="s">
        <v>1706</v>
      </c>
    </row>
    <row r="3204" customFormat="false" ht="64" hidden="false" customHeight="true" outlineLevel="0" collapsed="false">
      <c r="C3204" s="98" t="s">
        <v>4994</v>
      </c>
      <c r="D3204" s="98" t="s">
        <v>1762</v>
      </c>
      <c r="E3204" s="98" t="s">
        <v>1701</v>
      </c>
      <c r="F3204" s="98" t="n">
        <v>1</v>
      </c>
      <c r="G3204" s="98" t="s">
        <v>4600</v>
      </c>
      <c r="H3204" s="98" t="s">
        <v>1703</v>
      </c>
      <c r="I3204" s="98" t="s">
        <v>1704</v>
      </c>
      <c r="J3204" s="98" t="s">
        <v>1705</v>
      </c>
      <c r="K3204" s="98" t="s">
        <v>1706</v>
      </c>
    </row>
    <row r="3205" customFormat="false" ht="64" hidden="false" customHeight="true" outlineLevel="0" collapsed="false">
      <c r="C3205" s="98" t="s">
        <v>4995</v>
      </c>
      <c r="D3205" s="98" t="s">
        <v>1764</v>
      </c>
      <c r="E3205" s="98" t="s">
        <v>1701</v>
      </c>
      <c r="F3205" s="98" t="n">
        <v>1</v>
      </c>
      <c r="G3205" s="98" t="s">
        <v>4600</v>
      </c>
      <c r="H3205" s="98" t="s">
        <v>1703</v>
      </c>
      <c r="I3205" s="98" t="s">
        <v>1704</v>
      </c>
      <c r="J3205" s="98" t="s">
        <v>1705</v>
      </c>
      <c r="K3205" s="98" t="s">
        <v>1706</v>
      </c>
    </row>
    <row r="3206" customFormat="false" ht="64" hidden="false" customHeight="true" outlineLevel="0" collapsed="false">
      <c r="C3206" s="98" t="s">
        <v>4996</v>
      </c>
      <c r="D3206" s="98" t="s">
        <v>1829</v>
      </c>
      <c r="E3206" s="98" t="s">
        <v>1701</v>
      </c>
      <c r="F3206" s="98" t="n">
        <v>1</v>
      </c>
      <c r="G3206" s="98" t="s">
        <v>4600</v>
      </c>
      <c r="H3206" s="98" t="s">
        <v>1703</v>
      </c>
      <c r="I3206" s="98" t="s">
        <v>1704</v>
      </c>
      <c r="J3206" s="98" t="s">
        <v>1705</v>
      </c>
      <c r="K3206" s="98" t="s">
        <v>1706</v>
      </c>
    </row>
    <row r="3207" customFormat="false" ht="64" hidden="false" customHeight="true" outlineLevel="0" collapsed="false">
      <c r="C3207" s="98" t="s">
        <v>4997</v>
      </c>
      <c r="D3207" s="98" t="s">
        <v>1833</v>
      </c>
      <c r="E3207" s="98" t="s">
        <v>1701</v>
      </c>
      <c r="F3207" s="98" t="n">
        <v>1</v>
      </c>
      <c r="G3207" s="98" t="s">
        <v>4600</v>
      </c>
      <c r="H3207" s="98" t="s">
        <v>1703</v>
      </c>
      <c r="I3207" s="98" t="s">
        <v>1704</v>
      </c>
      <c r="J3207" s="98" t="s">
        <v>1705</v>
      </c>
      <c r="K3207" s="98" t="s">
        <v>1706</v>
      </c>
    </row>
    <row r="3208" customFormat="false" ht="64" hidden="false" customHeight="true" outlineLevel="0" collapsed="false">
      <c r="C3208" s="98" t="s">
        <v>4998</v>
      </c>
      <c r="D3208" s="98" t="s">
        <v>1835</v>
      </c>
      <c r="E3208" s="98" t="s">
        <v>1701</v>
      </c>
      <c r="F3208" s="98" t="n">
        <v>1</v>
      </c>
      <c r="G3208" s="98" t="s">
        <v>4600</v>
      </c>
      <c r="H3208" s="98" t="s">
        <v>1703</v>
      </c>
      <c r="I3208" s="98" t="s">
        <v>1704</v>
      </c>
      <c r="J3208" s="98" t="s">
        <v>1705</v>
      </c>
      <c r="K3208" s="98" t="s">
        <v>1706</v>
      </c>
    </row>
    <row r="3209" customFormat="false" ht="64" hidden="false" customHeight="true" outlineLevel="0" collapsed="false">
      <c r="C3209" s="98" t="s">
        <v>4999</v>
      </c>
      <c r="D3209" s="98" t="s">
        <v>1044</v>
      </c>
      <c r="E3209" s="98" t="s">
        <v>1701</v>
      </c>
      <c r="F3209" s="98" t="n">
        <v>1</v>
      </c>
      <c r="G3209" s="98" t="s">
        <v>4600</v>
      </c>
      <c r="H3209" s="98" t="s">
        <v>1703</v>
      </c>
      <c r="I3209" s="98" t="s">
        <v>1704</v>
      </c>
      <c r="J3209" s="98" t="s">
        <v>1705</v>
      </c>
      <c r="K3209" s="98" t="s">
        <v>1706</v>
      </c>
    </row>
    <row r="3210" customFormat="false" ht="64" hidden="false" customHeight="true" outlineLevel="0" collapsed="false">
      <c r="C3210" s="98" t="s">
        <v>5000</v>
      </c>
      <c r="D3210" s="98" t="s">
        <v>1838</v>
      </c>
      <c r="E3210" s="98" t="s">
        <v>1701</v>
      </c>
      <c r="F3210" s="98" t="n">
        <v>1</v>
      </c>
      <c r="G3210" s="98" t="s">
        <v>4600</v>
      </c>
      <c r="H3210" s="98" t="s">
        <v>1703</v>
      </c>
      <c r="I3210" s="98" t="s">
        <v>1704</v>
      </c>
      <c r="J3210" s="98" t="s">
        <v>1705</v>
      </c>
      <c r="K3210" s="98" t="s">
        <v>1706</v>
      </c>
    </row>
    <row r="3211" customFormat="false" ht="64" hidden="false" customHeight="true" outlineLevel="0" collapsed="false">
      <c r="C3211" s="98" t="s">
        <v>5001</v>
      </c>
      <c r="D3211" s="98" t="s">
        <v>1840</v>
      </c>
      <c r="E3211" s="98" t="s">
        <v>1701</v>
      </c>
      <c r="F3211" s="98" t="n">
        <v>1</v>
      </c>
      <c r="G3211" s="98" t="s">
        <v>4600</v>
      </c>
      <c r="H3211" s="98" t="s">
        <v>1703</v>
      </c>
      <c r="I3211" s="98" t="s">
        <v>1704</v>
      </c>
      <c r="J3211" s="98" t="s">
        <v>1705</v>
      </c>
      <c r="K3211" s="98" t="s">
        <v>1706</v>
      </c>
    </row>
    <row r="3212" customFormat="false" ht="64" hidden="false" customHeight="true" outlineLevel="0" collapsed="false">
      <c r="C3212" s="98" t="s">
        <v>5002</v>
      </c>
      <c r="D3212" s="98" t="s">
        <v>1700</v>
      </c>
      <c r="E3212" s="98" t="s">
        <v>1701</v>
      </c>
      <c r="F3212" s="98" t="n">
        <v>1</v>
      </c>
      <c r="G3212" s="98" t="s">
        <v>4600</v>
      </c>
      <c r="H3212" s="98" t="s">
        <v>1703</v>
      </c>
      <c r="I3212" s="98" t="s">
        <v>1704</v>
      </c>
      <c r="J3212" s="98" t="s">
        <v>1705</v>
      </c>
      <c r="K3212" s="98" t="s">
        <v>1706</v>
      </c>
    </row>
    <row r="3213" customFormat="false" ht="64" hidden="false" customHeight="true" outlineLevel="0" collapsed="false">
      <c r="C3213" s="98" t="s">
        <v>5003</v>
      </c>
      <c r="D3213" s="98" t="s">
        <v>1708</v>
      </c>
      <c r="E3213" s="98" t="s">
        <v>1701</v>
      </c>
      <c r="F3213" s="98" t="n">
        <v>1</v>
      </c>
      <c r="G3213" s="98" t="s">
        <v>4600</v>
      </c>
      <c r="H3213" s="98" t="s">
        <v>1703</v>
      </c>
      <c r="I3213" s="98" t="s">
        <v>1704</v>
      </c>
      <c r="J3213" s="98" t="s">
        <v>1705</v>
      </c>
      <c r="K3213" s="98" t="s">
        <v>1706</v>
      </c>
    </row>
    <row r="3214" customFormat="false" ht="64" hidden="false" customHeight="true" outlineLevel="0" collapsed="false">
      <c r="C3214" s="98" t="s">
        <v>5004</v>
      </c>
      <c r="D3214" s="98" t="s">
        <v>1710</v>
      </c>
      <c r="E3214" s="98" t="s">
        <v>1701</v>
      </c>
      <c r="F3214" s="98" t="n">
        <v>1</v>
      </c>
      <c r="G3214" s="98" t="s">
        <v>4600</v>
      </c>
      <c r="H3214" s="98" t="s">
        <v>1703</v>
      </c>
      <c r="I3214" s="98" t="s">
        <v>1704</v>
      </c>
      <c r="J3214" s="98" t="s">
        <v>1705</v>
      </c>
      <c r="K3214" s="98" t="s">
        <v>1706</v>
      </c>
    </row>
    <row r="3215" customFormat="false" ht="64" hidden="false" customHeight="true" outlineLevel="0" collapsed="false">
      <c r="C3215" s="98" t="s">
        <v>5005</v>
      </c>
      <c r="D3215" s="98" t="s">
        <v>1712</v>
      </c>
      <c r="E3215" s="98" t="s">
        <v>1701</v>
      </c>
      <c r="F3215" s="98" t="n">
        <v>1</v>
      </c>
      <c r="G3215" s="98" t="s">
        <v>4600</v>
      </c>
      <c r="H3215" s="98" t="s">
        <v>1703</v>
      </c>
      <c r="I3215" s="98" t="s">
        <v>1704</v>
      </c>
      <c r="J3215" s="98" t="s">
        <v>1705</v>
      </c>
      <c r="K3215" s="98" t="s">
        <v>1706</v>
      </c>
    </row>
    <row r="3216" customFormat="false" ht="64" hidden="false" customHeight="true" outlineLevel="0" collapsed="false">
      <c r="C3216" s="98" t="s">
        <v>5006</v>
      </c>
      <c r="D3216" s="98" t="s">
        <v>1714</v>
      </c>
      <c r="E3216" s="98" t="s">
        <v>1701</v>
      </c>
      <c r="F3216" s="98" t="n">
        <v>1</v>
      </c>
      <c r="G3216" s="98" t="s">
        <v>4600</v>
      </c>
      <c r="H3216" s="98" t="s">
        <v>1703</v>
      </c>
      <c r="I3216" s="98" t="s">
        <v>1704</v>
      </c>
      <c r="J3216" s="98" t="s">
        <v>1705</v>
      </c>
      <c r="K3216" s="98" t="s">
        <v>1706</v>
      </c>
    </row>
    <row r="3217" customFormat="false" ht="64" hidden="false" customHeight="true" outlineLevel="0" collapsed="false">
      <c r="C3217" s="98" t="s">
        <v>5007</v>
      </c>
      <c r="D3217" s="98" t="s">
        <v>1716</v>
      </c>
      <c r="E3217" s="98" t="s">
        <v>1701</v>
      </c>
      <c r="F3217" s="98" t="n">
        <v>1</v>
      </c>
      <c r="G3217" s="98" t="s">
        <v>4600</v>
      </c>
      <c r="H3217" s="98" t="s">
        <v>1703</v>
      </c>
      <c r="I3217" s="98" t="s">
        <v>1704</v>
      </c>
      <c r="J3217" s="98" t="s">
        <v>1705</v>
      </c>
      <c r="K3217" s="98" t="s">
        <v>1706</v>
      </c>
    </row>
    <row r="3218" customFormat="false" ht="64" hidden="false" customHeight="true" outlineLevel="0" collapsed="false">
      <c r="C3218" s="98" t="s">
        <v>5008</v>
      </c>
      <c r="D3218" s="98" t="s">
        <v>1718</v>
      </c>
      <c r="E3218" s="98" t="s">
        <v>1701</v>
      </c>
      <c r="F3218" s="98" t="n">
        <v>1</v>
      </c>
      <c r="G3218" s="98" t="s">
        <v>4600</v>
      </c>
      <c r="H3218" s="98" t="s">
        <v>1703</v>
      </c>
      <c r="I3218" s="98" t="s">
        <v>1704</v>
      </c>
      <c r="J3218" s="98" t="s">
        <v>1705</v>
      </c>
      <c r="K3218" s="98" t="s">
        <v>1706</v>
      </c>
    </row>
    <row r="3219" customFormat="false" ht="64" hidden="false" customHeight="true" outlineLevel="0" collapsed="false">
      <c r="C3219" s="98" t="s">
        <v>5009</v>
      </c>
      <c r="D3219" s="98" t="s">
        <v>1720</v>
      </c>
      <c r="E3219" s="98" t="s">
        <v>1701</v>
      </c>
      <c r="F3219" s="98" t="n">
        <v>1</v>
      </c>
      <c r="G3219" s="98" t="s">
        <v>4600</v>
      </c>
      <c r="H3219" s="98" t="s">
        <v>1703</v>
      </c>
      <c r="I3219" s="98" t="s">
        <v>1704</v>
      </c>
      <c r="J3219" s="98" t="s">
        <v>1705</v>
      </c>
      <c r="K3219" s="98" t="s">
        <v>1706</v>
      </c>
    </row>
    <row r="3220" customFormat="false" ht="64" hidden="false" customHeight="true" outlineLevel="0" collapsed="false">
      <c r="C3220" s="98" t="s">
        <v>5010</v>
      </c>
      <c r="D3220" s="98" t="s">
        <v>1722</v>
      </c>
      <c r="E3220" s="98" t="s">
        <v>1701</v>
      </c>
      <c r="F3220" s="98" t="n">
        <v>1</v>
      </c>
      <c r="G3220" s="98" t="s">
        <v>4600</v>
      </c>
      <c r="H3220" s="98" t="s">
        <v>1703</v>
      </c>
      <c r="I3220" s="98" t="s">
        <v>1704</v>
      </c>
      <c r="J3220" s="98" t="s">
        <v>1705</v>
      </c>
      <c r="K3220" s="98" t="s">
        <v>1706</v>
      </c>
    </row>
    <row r="3221" customFormat="false" ht="64" hidden="false" customHeight="true" outlineLevel="0" collapsed="false">
      <c r="C3221" s="98" t="s">
        <v>5011</v>
      </c>
      <c r="D3221" s="98" t="s">
        <v>1724</v>
      </c>
      <c r="E3221" s="98" t="s">
        <v>1701</v>
      </c>
      <c r="F3221" s="98" t="n">
        <v>1</v>
      </c>
      <c r="G3221" s="98" t="s">
        <v>4600</v>
      </c>
      <c r="H3221" s="98" t="s">
        <v>1703</v>
      </c>
      <c r="I3221" s="98" t="s">
        <v>1704</v>
      </c>
      <c r="J3221" s="98" t="s">
        <v>1705</v>
      </c>
      <c r="K3221" s="98" t="s">
        <v>1706</v>
      </c>
    </row>
    <row r="3222" customFormat="false" ht="64" hidden="false" customHeight="true" outlineLevel="0" collapsed="false">
      <c r="C3222" s="98" t="s">
        <v>5012</v>
      </c>
      <c r="D3222" s="98" t="s">
        <v>1726</v>
      </c>
      <c r="E3222" s="98" t="s">
        <v>1701</v>
      </c>
      <c r="F3222" s="98" t="n">
        <v>1</v>
      </c>
      <c r="G3222" s="98" t="s">
        <v>4600</v>
      </c>
      <c r="H3222" s="98" t="s">
        <v>1703</v>
      </c>
      <c r="I3222" s="98" t="s">
        <v>1704</v>
      </c>
      <c r="J3222" s="98" t="s">
        <v>1705</v>
      </c>
      <c r="K3222" s="98" t="s">
        <v>1706</v>
      </c>
    </row>
    <row r="3223" customFormat="false" ht="64" hidden="false" customHeight="true" outlineLevel="0" collapsed="false">
      <c r="C3223" s="98" t="s">
        <v>5013</v>
      </c>
      <c r="D3223" s="98" t="s">
        <v>1728</v>
      </c>
      <c r="E3223" s="98" t="s">
        <v>1701</v>
      </c>
      <c r="F3223" s="98" t="n">
        <v>1</v>
      </c>
      <c r="G3223" s="98" t="s">
        <v>4600</v>
      </c>
      <c r="H3223" s="98" t="s">
        <v>1703</v>
      </c>
      <c r="I3223" s="98" t="s">
        <v>1704</v>
      </c>
      <c r="J3223" s="98" t="s">
        <v>1705</v>
      </c>
      <c r="K3223" s="98" t="s">
        <v>1706</v>
      </c>
    </row>
    <row r="3224" customFormat="false" ht="64" hidden="false" customHeight="true" outlineLevel="0" collapsed="false">
      <c r="C3224" s="98" t="s">
        <v>5014</v>
      </c>
      <c r="D3224" s="98" t="s">
        <v>1730</v>
      </c>
      <c r="E3224" s="98" t="s">
        <v>1701</v>
      </c>
      <c r="F3224" s="98" t="n">
        <v>1</v>
      </c>
      <c r="G3224" s="98" t="s">
        <v>4600</v>
      </c>
      <c r="H3224" s="98" t="s">
        <v>1703</v>
      </c>
      <c r="I3224" s="98" t="s">
        <v>1704</v>
      </c>
      <c r="J3224" s="98" t="s">
        <v>1705</v>
      </c>
      <c r="K3224" s="98" t="s">
        <v>1706</v>
      </c>
    </row>
    <row r="3225" customFormat="false" ht="64" hidden="false" customHeight="true" outlineLevel="0" collapsed="false">
      <c r="C3225" s="98" t="s">
        <v>5015</v>
      </c>
      <c r="D3225" s="98" t="s">
        <v>1732</v>
      </c>
      <c r="E3225" s="98" t="s">
        <v>1701</v>
      </c>
      <c r="F3225" s="98" t="n">
        <v>1</v>
      </c>
      <c r="G3225" s="98" t="s">
        <v>4600</v>
      </c>
      <c r="H3225" s="98" t="s">
        <v>1703</v>
      </c>
      <c r="I3225" s="98" t="s">
        <v>1704</v>
      </c>
      <c r="J3225" s="98" t="s">
        <v>1705</v>
      </c>
      <c r="K3225" s="98" t="s">
        <v>1706</v>
      </c>
    </row>
    <row r="3226" customFormat="false" ht="64" hidden="false" customHeight="true" outlineLevel="0" collapsed="false">
      <c r="C3226" s="98" t="s">
        <v>5016</v>
      </c>
      <c r="D3226" s="98" t="s">
        <v>1734</v>
      </c>
      <c r="E3226" s="98" t="s">
        <v>1701</v>
      </c>
      <c r="F3226" s="98" t="n">
        <v>1</v>
      </c>
      <c r="G3226" s="98" t="s">
        <v>4600</v>
      </c>
      <c r="H3226" s="98" t="s">
        <v>1703</v>
      </c>
      <c r="I3226" s="98" t="s">
        <v>1704</v>
      </c>
      <c r="J3226" s="98" t="s">
        <v>1705</v>
      </c>
      <c r="K3226" s="98" t="s">
        <v>1706</v>
      </c>
    </row>
    <row r="3227" customFormat="false" ht="64" hidden="false" customHeight="true" outlineLevel="0" collapsed="false">
      <c r="C3227" s="98" t="s">
        <v>5017</v>
      </c>
      <c r="D3227" s="98" t="s">
        <v>1736</v>
      </c>
      <c r="E3227" s="98" t="s">
        <v>1701</v>
      </c>
      <c r="F3227" s="98" t="n">
        <v>1</v>
      </c>
      <c r="G3227" s="98" t="s">
        <v>4600</v>
      </c>
      <c r="H3227" s="98" t="s">
        <v>1703</v>
      </c>
      <c r="I3227" s="98" t="s">
        <v>1704</v>
      </c>
      <c r="J3227" s="98" t="s">
        <v>1705</v>
      </c>
      <c r="K3227" s="98" t="s">
        <v>1706</v>
      </c>
    </row>
    <row r="3228" customFormat="false" ht="64" hidden="false" customHeight="true" outlineLevel="0" collapsed="false">
      <c r="C3228" s="98" t="s">
        <v>5018</v>
      </c>
      <c r="D3228" s="98" t="s">
        <v>1738</v>
      </c>
      <c r="E3228" s="98" t="s">
        <v>1701</v>
      </c>
      <c r="F3228" s="98" t="n">
        <v>1</v>
      </c>
      <c r="G3228" s="98" t="s">
        <v>4600</v>
      </c>
      <c r="H3228" s="98" t="s">
        <v>1703</v>
      </c>
      <c r="I3228" s="98" t="s">
        <v>1704</v>
      </c>
      <c r="J3228" s="98" t="s">
        <v>1705</v>
      </c>
      <c r="K3228" s="98" t="s">
        <v>1706</v>
      </c>
    </row>
    <row r="3229" customFormat="false" ht="64" hidden="false" customHeight="true" outlineLevel="0" collapsed="false">
      <c r="C3229" s="98" t="s">
        <v>5019</v>
      </c>
      <c r="D3229" s="98" t="s">
        <v>1740</v>
      </c>
      <c r="E3229" s="98" t="s">
        <v>1701</v>
      </c>
      <c r="F3229" s="98" t="n">
        <v>1</v>
      </c>
      <c r="G3229" s="98" t="s">
        <v>4600</v>
      </c>
      <c r="H3229" s="98" t="s">
        <v>1703</v>
      </c>
      <c r="I3229" s="98" t="s">
        <v>1704</v>
      </c>
      <c r="J3229" s="98" t="s">
        <v>1705</v>
      </c>
      <c r="K3229" s="98" t="s">
        <v>1706</v>
      </c>
    </row>
    <row r="3230" customFormat="false" ht="64" hidden="false" customHeight="true" outlineLevel="0" collapsed="false">
      <c r="C3230" s="98" t="s">
        <v>5020</v>
      </c>
      <c r="D3230" s="98" t="s">
        <v>1742</v>
      </c>
      <c r="E3230" s="98" t="s">
        <v>1701</v>
      </c>
      <c r="F3230" s="98" t="n">
        <v>1</v>
      </c>
      <c r="G3230" s="98" t="s">
        <v>4600</v>
      </c>
      <c r="H3230" s="98" t="s">
        <v>1703</v>
      </c>
      <c r="I3230" s="98" t="s">
        <v>1704</v>
      </c>
      <c r="J3230" s="98" t="s">
        <v>1705</v>
      </c>
      <c r="K3230" s="98" t="s">
        <v>1706</v>
      </c>
    </row>
    <row r="3231" customFormat="false" ht="64" hidden="false" customHeight="true" outlineLevel="0" collapsed="false">
      <c r="C3231" s="98" t="s">
        <v>5021</v>
      </c>
      <c r="D3231" s="98" t="s">
        <v>1744</v>
      </c>
      <c r="E3231" s="98" t="s">
        <v>1701</v>
      </c>
      <c r="F3231" s="98" t="n">
        <v>1</v>
      </c>
      <c r="G3231" s="98" t="s">
        <v>4600</v>
      </c>
      <c r="H3231" s="98" t="s">
        <v>1703</v>
      </c>
      <c r="I3231" s="98" t="s">
        <v>1704</v>
      </c>
      <c r="J3231" s="98" t="s">
        <v>1705</v>
      </c>
      <c r="K3231" s="98" t="s">
        <v>1706</v>
      </c>
    </row>
    <row r="3232" customFormat="false" ht="64" hidden="false" customHeight="true" outlineLevel="0" collapsed="false">
      <c r="C3232" s="98" t="s">
        <v>5022</v>
      </c>
      <c r="D3232" s="98" t="s">
        <v>1746</v>
      </c>
      <c r="E3232" s="98" t="s">
        <v>1701</v>
      </c>
      <c r="F3232" s="98" t="n">
        <v>1</v>
      </c>
      <c r="G3232" s="98" t="s">
        <v>4600</v>
      </c>
      <c r="H3232" s="98" t="s">
        <v>1703</v>
      </c>
      <c r="I3232" s="98" t="s">
        <v>1704</v>
      </c>
      <c r="J3232" s="98" t="s">
        <v>1705</v>
      </c>
      <c r="K3232" s="98" t="s">
        <v>1706</v>
      </c>
    </row>
    <row r="3233" customFormat="false" ht="64" hidden="false" customHeight="true" outlineLevel="0" collapsed="false">
      <c r="C3233" s="98" t="s">
        <v>5023</v>
      </c>
      <c r="D3233" s="98" t="s">
        <v>1748</v>
      </c>
      <c r="E3233" s="98" t="s">
        <v>1701</v>
      </c>
      <c r="F3233" s="98" t="n">
        <v>1</v>
      </c>
      <c r="G3233" s="98" t="s">
        <v>4600</v>
      </c>
      <c r="H3233" s="98" t="s">
        <v>1703</v>
      </c>
      <c r="I3233" s="98" t="s">
        <v>1704</v>
      </c>
      <c r="J3233" s="98" t="s">
        <v>1705</v>
      </c>
      <c r="K3233" s="98" t="s">
        <v>1706</v>
      </c>
    </row>
    <row r="3234" customFormat="false" ht="64" hidden="false" customHeight="true" outlineLevel="0" collapsed="false">
      <c r="C3234" s="98" t="s">
        <v>5024</v>
      </c>
      <c r="D3234" s="98" t="s">
        <v>1750</v>
      </c>
      <c r="E3234" s="98" t="s">
        <v>1701</v>
      </c>
      <c r="F3234" s="98" t="n">
        <v>1</v>
      </c>
      <c r="G3234" s="98" t="s">
        <v>4600</v>
      </c>
      <c r="H3234" s="98" t="s">
        <v>1703</v>
      </c>
      <c r="I3234" s="98" t="s">
        <v>1704</v>
      </c>
      <c r="J3234" s="98" t="s">
        <v>1705</v>
      </c>
      <c r="K3234" s="98" t="s">
        <v>1706</v>
      </c>
    </row>
    <row r="3235" customFormat="false" ht="64" hidden="false" customHeight="true" outlineLevel="0" collapsed="false">
      <c r="C3235" s="98" t="s">
        <v>5025</v>
      </c>
      <c r="D3235" s="98" t="s">
        <v>1752</v>
      </c>
      <c r="E3235" s="98" t="s">
        <v>1701</v>
      </c>
      <c r="F3235" s="98" t="n">
        <v>1</v>
      </c>
      <c r="G3235" s="98" t="s">
        <v>4600</v>
      </c>
      <c r="H3235" s="98" t="s">
        <v>1703</v>
      </c>
      <c r="I3235" s="98" t="s">
        <v>1704</v>
      </c>
      <c r="J3235" s="98" t="s">
        <v>1705</v>
      </c>
      <c r="K3235" s="98" t="s">
        <v>1706</v>
      </c>
    </row>
    <row r="3236" customFormat="false" ht="64" hidden="false" customHeight="true" outlineLevel="0" collapsed="false">
      <c r="C3236" s="98" t="s">
        <v>5026</v>
      </c>
      <c r="D3236" s="98" t="s">
        <v>1754</v>
      </c>
      <c r="E3236" s="98" t="s">
        <v>1701</v>
      </c>
      <c r="F3236" s="98" t="n">
        <v>1</v>
      </c>
      <c r="G3236" s="98" t="s">
        <v>4600</v>
      </c>
      <c r="H3236" s="98" t="s">
        <v>1703</v>
      </c>
      <c r="I3236" s="98" t="s">
        <v>1704</v>
      </c>
      <c r="J3236" s="98" t="s">
        <v>1705</v>
      </c>
      <c r="K3236" s="98" t="s">
        <v>1706</v>
      </c>
    </row>
    <row r="3237" customFormat="false" ht="64" hidden="false" customHeight="true" outlineLevel="0" collapsed="false">
      <c r="C3237" s="98" t="s">
        <v>5027</v>
      </c>
      <c r="D3237" s="98" t="s">
        <v>1756</v>
      </c>
      <c r="E3237" s="98" t="s">
        <v>1701</v>
      </c>
      <c r="F3237" s="98" t="n">
        <v>1</v>
      </c>
      <c r="G3237" s="98" t="s">
        <v>4600</v>
      </c>
      <c r="H3237" s="98" t="s">
        <v>1703</v>
      </c>
      <c r="I3237" s="98" t="s">
        <v>1704</v>
      </c>
      <c r="J3237" s="98" t="s">
        <v>1705</v>
      </c>
      <c r="K3237" s="98" t="s">
        <v>1706</v>
      </c>
    </row>
    <row r="3238" customFormat="false" ht="64" hidden="false" customHeight="true" outlineLevel="0" collapsed="false">
      <c r="C3238" s="98" t="s">
        <v>5028</v>
      </c>
      <c r="D3238" s="98" t="s">
        <v>1758</v>
      </c>
      <c r="E3238" s="98" t="s">
        <v>1701</v>
      </c>
      <c r="F3238" s="98" t="n">
        <v>1</v>
      </c>
      <c r="G3238" s="98" t="s">
        <v>4600</v>
      </c>
      <c r="H3238" s="98" t="s">
        <v>1703</v>
      </c>
      <c r="I3238" s="98" t="s">
        <v>1704</v>
      </c>
      <c r="J3238" s="98" t="s">
        <v>1705</v>
      </c>
      <c r="K3238" s="98" t="s">
        <v>1706</v>
      </c>
    </row>
    <row r="3239" customFormat="false" ht="64" hidden="false" customHeight="true" outlineLevel="0" collapsed="false">
      <c r="C3239" s="98" t="s">
        <v>5029</v>
      </c>
      <c r="D3239" s="98" t="s">
        <v>1760</v>
      </c>
      <c r="E3239" s="98" t="s">
        <v>1701</v>
      </c>
      <c r="F3239" s="98" t="n">
        <v>1</v>
      </c>
      <c r="G3239" s="98" t="s">
        <v>4600</v>
      </c>
      <c r="H3239" s="98" t="s">
        <v>1703</v>
      </c>
      <c r="I3239" s="98" t="s">
        <v>1704</v>
      </c>
      <c r="J3239" s="98" t="s">
        <v>1705</v>
      </c>
      <c r="K3239" s="98" t="s">
        <v>1706</v>
      </c>
    </row>
    <row r="3240" customFormat="false" ht="64" hidden="false" customHeight="true" outlineLevel="0" collapsed="false">
      <c r="C3240" s="98" t="s">
        <v>5030</v>
      </c>
      <c r="D3240" s="98" t="s">
        <v>1762</v>
      </c>
      <c r="E3240" s="98" t="s">
        <v>1701</v>
      </c>
      <c r="F3240" s="98" t="n">
        <v>1</v>
      </c>
      <c r="G3240" s="98" t="s">
        <v>4600</v>
      </c>
      <c r="H3240" s="98" t="s">
        <v>1703</v>
      </c>
      <c r="I3240" s="98" t="s">
        <v>1704</v>
      </c>
      <c r="J3240" s="98" t="s">
        <v>1705</v>
      </c>
      <c r="K3240" s="98" t="s">
        <v>1706</v>
      </c>
    </row>
    <row r="3241" customFormat="false" ht="64" hidden="false" customHeight="true" outlineLevel="0" collapsed="false">
      <c r="C3241" s="98" t="s">
        <v>5031</v>
      </c>
      <c r="D3241" s="98" t="s">
        <v>1764</v>
      </c>
      <c r="E3241" s="98" t="s">
        <v>1701</v>
      </c>
      <c r="F3241" s="98" t="n">
        <v>1</v>
      </c>
      <c r="G3241" s="98" t="s">
        <v>4600</v>
      </c>
      <c r="H3241" s="98" t="s">
        <v>1703</v>
      </c>
      <c r="I3241" s="98" t="s">
        <v>1704</v>
      </c>
      <c r="J3241" s="98" t="s">
        <v>1705</v>
      </c>
      <c r="K3241" s="98" t="s">
        <v>1706</v>
      </c>
    </row>
    <row r="3242" customFormat="false" ht="64" hidden="false" customHeight="true" outlineLevel="0" collapsed="false">
      <c r="C3242" s="98" t="s">
        <v>5032</v>
      </c>
      <c r="D3242" s="98" t="s">
        <v>1829</v>
      </c>
      <c r="E3242" s="98" t="s">
        <v>1701</v>
      </c>
      <c r="F3242" s="98" t="n">
        <v>1</v>
      </c>
      <c r="G3242" s="98" t="s">
        <v>4600</v>
      </c>
      <c r="H3242" s="98" t="s">
        <v>1703</v>
      </c>
      <c r="I3242" s="98" t="s">
        <v>1704</v>
      </c>
      <c r="J3242" s="98" t="s">
        <v>1705</v>
      </c>
      <c r="K3242" s="98" t="s">
        <v>1706</v>
      </c>
    </row>
    <row r="3243" customFormat="false" ht="64" hidden="false" customHeight="true" outlineLevel="0" collapsed="false">
      <c r="C3243" s="98" t="s">
        <v>5033</v>
      </c>
      <c r="D3243" s="98" t="s">
        <v>1833</v>
      </c>
      <c r="E3243" s="98" t="s">
        <v>1701</v>
      </c>
      <c r="F3243" s="98" t="n">
        <v>1</v>
      </c>
      <c r="G3243" s="98" t="s">
        <v>4600</v>
      </c>
      <c r="H3243" s="98" t="s">
        <v>1703</v>
      </c>
      <c r="I3243" s="98" t="s">
        <v>1704</v>
      </c>
      <c r="J3243" s="98" t="s">
        <v>1705</v>
      </c>
      <c r="K3243" s="98" t="s">
        <v>1706</v>
      </c>
    </row>
    <row r="3244" customFormat="false" ht="64" hidden="false" customHeight="true" outlineLevel="0" collapsed="false">
      <c r="C3244" s="98" t="s">
        <v>5034</v>
      </c>
      <c r="D3244" s="98" t="s">
        <v>1835</v>
      </c>
      <c r="E3244" s="98" t="s">
        <v>1701</v>
      </c>
      <c r="F3244" s="98" t="n">
        <v>1</v>
      </c>
      <c r="G3244" s="98" t="s">
        <v>4600</v>
      </c>
      <c r="H3244" s="98" t="s">
        <v>1703</v>
      </c>
      <c r="I3244" s="98" t="s">
        <v>1704</v>
      </c>
      <c r="J3244" s="98" t="s">
        <v>1705</v>
      </c>
      <c r="K3244" s="98" t="s">
        <v>1706</v>
      </c>
    </row>
    <row r="3245" customFormat="false" ht="64" hidden="false" customHeight="true" outlineLevel="0" collapsed="false">
      <c r="C3245" s="98" t="s">
        <v>5035</v>
      </c>
      <c r="D3245" s="98" t="s">
        <v>1044</v>
      </c>
      <c r="E3245" s="98" t="s">
        <v>1701</v>
      </c>
      <c r="F3245" s="98" t="n">
        <v>1</v>
      </c>
      <c r="G3245" s="98" t="s">
        <v>4600</v>
      </c>
      <c r="H3245" s="98" t="s">
        <v>1703</v>
      </c>
      <c r="I3245" s="98" t="s">
        <v>1704</v>
      </c>
      <c r="J3245" s="98" t="s">
        <v>1705</v>
      </c>
      <c r="K3245" s="98" t="s">
        <v>1706</v>
      </c>
    </row>
    <row r="3246" customFormat="false" ht="64" hidden="false" customHeight="true" outlineLevel="0" collapsed="false">
      <c r="C3246" s="98" t="s">
        <v>5036</v>
      </c>
      <c r="D3246" s="98" t="s">
        <v>1838</v>
      </c>
      <c r="E3246" s="98" t="s">
        <v>1701</v>
      </c>
      <c r="F3246" s="98" t="n">
        <v>1</v>
      </c>
      <c r="G3246" s="98" t="s">
        <v>4600</v>
      </c>
      <c r="H3246" s="98" t="s">
        <v>1703</v>
      </c>
      <c r="I3246" s="98" t="s">
        <v>1704</v>
      </c>
      <c r="J3246" s="98" t="s">
        <v>1705</v>
      </c>
      <c r="K3246" s="98" t="s">
        <v>1706</v>
      </c>
    </row>
    <row r="3247" customFormat="false" ht="64" hidden="false" customHeight="true" outlineLevel="0" collapsed="false">
      <c r="C3247" s="98" t="s">
        <v>5037</v>
      </c>
      <c r="D3247" s="98" t="s">
        <v>1840</v>
      </c>
      <c r="E3247" s="98" t="s">
        <v>1701</v>
      </c>
      <c r="F3247" s="98" t="n">
        <v>1</v>
      </c>
      <c r="G3247" s="98" t="s">
        <v>4600</v>
      </c>
      <c r="H3247" s="98" t="s">
        <v>1703</v>
      </c>
      <c r="I3247" s="98" t="s">
        <v>1704</v>
      </c>
      <c r="J3247" s="98" t="s">
        <v>1705</v>
      </c>
      <c r="K3247" s="98" t="s">
        <v>1706</v>
      </c>
    </row>
    <row r="3248" customFormat="false" ht="64" hidden="false" customHeight="true" outlineLevel="0" collapsed="false">
      <c r="C3248" s="98" t="s">
        <v>5038</v>
      </c>
      <c r="D3248" s="98" t="s">
        <v>1700</v>
      </c>
      <c r="E3248" s="98" t="s">
        <v>1701</v>
      </c>
      <c r="F3248" s="98" t="n">
        <v>1</v>
      </c>
      <c r="G3248" s="98" t="s">
        <v>4600</v>
      </c>
      <c r="H3248" s="98" t="s">
        <v>1703</v>
      </c>
      <c r="I3248" s="98" t="s">
        <v>1704</v>
      </c>
      <c r="J3248" s="98" t="s">
        <v>1705</v>
      </c>
      <c r="K3248" s="98" t="s">
        <v>1706</v>
      </c>
    </row>
    <row r="3249" customFormat="false" ht="64" hidden="false" customHeight="true" outlineLevel="0" collapsed="false">
      <c r="C3249" s="98" t="s">
        <v>5039</v>
      </c>
      <c r="D3249" s="98" t="s">
        <v>1708</v>
      </c>
      <c r="E3249" s="98" t="s">
        <v>1701</v>
      </c>
      <c r="F3249" s="98" t="n">
        <v>1</v>
      </c>
      <c r="G3249" s="98" t="s">
        <v>4600</v>
      </c>
      <c r="H3249" s="98" t="s">
        <v>1703</v>
      </c>
      <c r="I3249" s="98" t="s">
        <v>1704</v>
      </c>
      <c r="J3249" s="98" t="s">
        <v>1705</v>
      </c>
      <c r="K3249" s="98" t="s">
        <v>1706</v>
      </c>
    </row>
    <row r="3250" customFormat="false" ht="64" hidden="false" customHeight="true" outlineLevel="0" collapsed="false">
      <c r="C3250" s="98" t="s">
        <v>5040</v>
      </c>
      <c r="D3250" s="98" t="s">
        <v>1710</v>
      </c>
      <c r="E3250" s="98" t="s">
        <v>1701</v>
      </c>
      <c r="F3250" s="98" t="n">
        <v>1</v>
      </c>
      <c r="G3250" s="98" t="s">
        <v>4600</v>
      </c>
      <c r="H3250" s="98" t="s">
        <v>1703</v>
      </c>
      <c r="I3250" s="98" t="s">
        <v>1704</v>
      </c>
      <c r="J3250" s="98" t="s">
        <v>1705</v>
      </c>
      <c r="K3250" s="98" t="s">
        <v>1706</v>
      </c>
    </row>
    <row r="3251" customFormat="false" ht="64" hidden="false" customHeight="true" outlineLevel="0" collapsed="false">
      <c r="C3251" s="98" t="s">
        <v>5041</v>
      </c>
      <c r="D3251" s="98" t="s">
        <v>1712</v>
      </c>
      <c r="E3251" s="98" t="s">
        <v>1701</v>
      </c>
      <c r="F3251" s="98" t="n">
        <v>1</v>
      </c>
      <c r="G3251" s="98" t="s">
        <v>4600</v>
      </c>
      <c r="H3251" s="98" t="s">
        <v>1703</v>
      </c>
      <c r="I3251" s="98" t="s">
        <v>1704</v>
      </c>
      <c r="J3251" s="98" t="s">
        <v>1705</v>
      </c>
      <c r="K3251" s="98" t="s">
        <v>1706</v>
      </c>
    </row>
    <row r="3252" customFormat="false" ht="64" hidden="false" customHeight="true" outlineLevel="0" collapsed="false">
      <c r="C3252" s="98" t="s">
        <v>5042</v>
      </c>
      <c r="D3252" s="98" t="s">
        <v>1714</v>
      </c>
      <c r="E3252" s="98" t="s">
        <v>1701</v>
      </c>
      <c r="F3252" s="98" t="n">
        <v>1</v>
      </c>
      <c r="G3252" s="98" t="s">
        <v>4600</v>
      </c>
      <c r="H3252" s="98" t="s">
        <v>1703</v>
      </c>
      <c r="I3252" s="98" t="s">
        <v>1704</v>
      </c>
      <c r="J3252" s="98" t="s">
        <v>1705</v>
      </c>
      <c r="K3252" s="98" t="s">
        <v>1706</v>
      </c>
    </row>
    <row r="3253" customFormat="false" ht="64" hidden="false" customHeight="true" outlineLevel="0" collapsed="false">
      <c r="C3253" s="98" t="s">
        <v>5043</v>
      </c>
      <c r="D3253" s="98" t="s">
        <v>1716</v>
      </c>
      <c r="E3253" s="98" t="s">
        <v>1701</v>
      </c>
      <c r="F3253" s="98" t="n">
        <v>1</v>
      </c>
      <c r="G3253" s="98" t="s">
        <v>4600</v>
      </c>
      <c r="H3253" s="98" t="s">
        <v>1703</v>
      </c>
      <c r="I3253" s="98" t="s">
        <v>1704</v>
      </c>
      <c r="J3253" s="98" t="s">
        <v>1705</v>
      </c>
      <c r="K3253" s="98" t="s">
        <v>1706</v>
      </c>
    </row>
    <row r="3254" customFormat="false" ht="64" hidden="false" customHeight="true" outlineLevel="0" collapsed="false">
      <c r="C3254" s="98" t="s">
        <v>5044</v>
      </c>
      <c r="D3254" s="98" t="s">
        <v>1718</v>
      </c>
      <c r="E3254" s="98" t="s">
        <v>1701</v>
      </c>
      <c r="F3254" s="98" t="n">
        <v>1</v>
      </c>
      <c r="G3254" s="98" t="s">
        <v>4600</v>
      </c>
      <c r="H3254" s="98" t="s">
        <v>1703</v>
      </c>
      <c r="I3254" s="98" t="s">
        <v>1704</v>
      </c>
      <c r="J3254" s="98" t="s">
        <v>1705</v>
      </c>
      <c r="K3254" s="98" t="s">
        <v>1706</v>
      </c>
    </row>
    <row r="3255" customFormat="false" ht="64" hidden="false" customHeight="true" outlineLevel="0" collapsed="false">
      <c r="C3255" s="98" t="s">
        <v>5045</v>
      </c>
      <c r="D3255" s="98" t="s">
        <v>1720</v>
      </c>
      <c r="E3255" s="98" t="s">
        <v>1701</v>
      </c>
      <c r="F3255" s="98" t="n">
        <v>1</v>
      </c>
      <c r="G3255" s="98" t="s">
        <v>4600</v>
      </c>
      <c r="H3255" s="98" t="s">
        <v>1703</v>
      </c>
      <c r="I3255" s="98" t="s">
        <v>1704</v>
      </c>
      <c r="J3255" s="98" t="s">
        <v>1705</v>
      </c>
      <c r="K3255" s="98" t="s">
        <v>1706</v>
      </c>
    </row>
    <row r="3256" customFormat="false" ht="64" hidden="false" customHeight="true" outlineLevel="0" collapsed="false">
      <c r="C3256" s="98" t="s">
        <v>5046</v>
      </c>
      <c r="D3256" s="98" t="s">
        <v>1722</v>
      </c>
      <c r="E3256" s="98" t="s">
        <v>1701</v>
      </c>
      <c r="F3256" s="98" t="n">
        <v>1</v>
      </c>
      <c r="G3256" s="98" t="s">
        <v>4600</v>
      </c>
      <c r="H3256" s="98" t="s">
        <v>1703</v>
      </c>
      <c r="I3256" s="98" t="s">
        <v>1704</v>
      </c>
      <c r="J3256" s="98" t="s">
        <v>1705</v>
      </c>
      <c r="K3256" s="98" t="s">
        <v>1706</v>
      </c>
    </row>
    <row r="3257" customFormat="false" ht="64" hidden="false" customHeight="true" outlineLevel="0" collapsed="false">
      <c r="C3257" s="98" t="s">
        <v>5047</v>
      </c>
      <c r="D3257" s="98" t="s">
        <v>1724</v>
      </c>
      <c r="E3257" s="98" t="s">
        <v>1701</v>
      </c>
      <c r="F3257" s="98" t="n">
        <v>1</v>
      </c>
      <c r="G3257" s="98" t="s">
        <v>4600</v>
      </c>
      <c r="H3257" s="98" t="s">
        <v>1703</v>
      </c>
      <c r="I3257" s="98" t="s">
        <v>1704</v>
      </c>
      <c r="J3257" s="98" t="s">
        <v>1705</v>
      </c>
      <c r="K3257" s="98" t="s">
        <v>1706</v>
      </c>
    </row>
    <row r="3258" customFormat="false" ht="64" hidden="false" customHeight="true" outlineLevel="0" collapsed="false">
      <c r="C3258" s="98" t="s">
        <v>5048</v>
      </c>
      <c r="D3258" s="98" t="s">
        <v>1726</v>
      </c>
      <c r="E3258" s="98" t="s">
        <v>1701</v>
      </c>
      <c r="F3258" s="98" t="n">
        <v>1</v>
      </c>
      <c r="G3258" s="98" t="s">
        <v>4600</v>
      </c>
      <c r="H3258" s="98" t="s">
        <v>1703</v>
      </c>
      <c r="I3258" s="98" t="s">
        <v>1704</v>
      </c>
      <c r="J3258" s="98" t="s">
        <v>1705</v>
      </c>
      <c r="K3258" s="98" t="s">
        <v>1706</v>
      </c>
    </row>
    <row r="3259" customFormat="false" ht="64" hidden="false" customHeight="true" outlineLevel="0" collapsed="false">
      <c r="C3259" s="98" t="s">
        <v>5049</v>
      </c>
      <c r="D3259" s="98" t="s">
        <v>1728</v>
      </c>
      <c r="E3259" s="98" t="s">
        <v>1701</v>
      </c>
      <c r="F3259" s="98" t="n">
        <v>1</v>
      </c>
      <c r="G3259" s="98" t="s">
        <v>4600</v>
      </c>
      <c r="H3259" s="98" t="s">
        <v>1703</v>
      </c>
      <c r="I3259" s="98" t="s">
        <v>1704</v>
      </c>
      <c r="J3259" s="98" t="s">
        <v>1705</v>
      </c>
      <c r="K3259" s="98" t="s">
        <v>1706</v>
      </c>
    </row>
    <row r="3260" customFormat="false" ht="64" hidden="false" customHeight="true" outlineLevel="0" collapsed="false">
      <c r="C3260" s="98" t="s">
        <v>5050</v>
      </c>
      <c r="D3260" s="98" t="s">
        <v>1730</v>
      </c>
      <c r="E3260" s="98" t="s">
        <v>1701</v>
      </c>
      <c r="F3260" s="98" t="n">
        <v>1</v>
      </c>
      <c r="G3260" s="98" t="s">
        <v>4600</v>
      </c>
      <c r="H3260" s="98" t="s">
        <v>1703</v>
      </c>
      <c r="I3260" s="98" t="s">
        <v>1704</v>
      </c>
      <c r="J3260" s="98" t="s">
        <v>1705</v>
      </c>
      <c r="K3260" s="98" t="s">
        <v>1706</v>
      </c>
    </row>
    <row r="3261" customFormat="false" ht="64" hidden="false" customHeight="true" outlineLevel="0" collapsed="false">
      <c r="C3261" s="98" t="s">
        <v>5051</v>
      </c>
      <c r="D3261" s="98" t="s">
        <v>1732</v>
      </c>
      <c r="E3261" s="98" t="s">
        <v>1701</v>
      </c>
      <c r="F3261" s="98" t="n">
        <v>1</v>
      </c>
      <c r="G3261" s="98" t="s">
        <v>4600</v>
      </c>
      <c r="H3261" s="98" t="s">
        <v>1703</v>
      </c>
      <c r="I3261" s="98" t="s">
        <v>1704</v>
      </c>
      <c r="J3261" s="98" t="s">
        <v>1705</v>
      </c>
      <c r="K3261" s="98" t="s">
        <v>1706</v>
      </c>
    </row>
    <row r="3262" customFormat="false" ht="64" hidden="false" customHeight="true" outlineLevel="0" collapsed="false">
      <c r="C3262" s="98" t="s">
        <v>5052</v>
      </c>
      <c r="D3262" s="98" t="s">
        <v>1734</v>
      </c>
      <c r="E3262" s="98" t="s">
        <v>1701</v>
      </c>
      <c r="F3262" s="98" t="n">
        <v>1</v>
      </c>
      <c r="G3262" s="98" t="s">
        <v>4600</v>
      </c>
      <c r="H3262" s="98" t="s">
        <v>1703</v>
      </c>
      <c r="I3262" s="98" t="s">
        <v>1704</v>
      </c>
      <c r="J3262" s="98" t="s">
        <v>1705</v>
      </c>
      <c r="K3262" s="98" t="s">
        <v>1706</v>
      </c>
    </row>
    <row r="3263" customFormat="false" ht="64" hidden="false" customHeight="true" outlineLevel="0" collapsed="false">
      <c r="C3263" s="98" t="s">
        <v>5053</v>
      </c>
      <c r="D3263" s="98" t="s">
        <v>1736</v>
      </c>
      <c r="E3263" s="98" t="s">
        <v>1701</v>
      </c>
      <c r="F3263" s="98" t="n">
        <v>1</v>
      </c>
      <c r="G3263" s="98" t="s">
        <v>4600</v>
      </c>
      <c r="H3263" s="98" t="s">
        <v>1703</v>
      </c>
      <c r="I3263" s="98" t="s">
        <v>1704</v>
      </c>
      <c r="J3263" s="98" t="s">
        <v>1705</v>
      </c>
      <c r="K3263" s="98" t="s">
        <v>1706</v>
      </c>
    </row>
    <row r="3264" customFormat="false" ht="64" hidden="false" customHeight="true" outlineLevel="0" collapsed="false">
      <c r="C3264" s="98" t="s">
        <v>5054</v>
      </c>
      <c r="D3264" s="98" t="s">
        <v>1738</v>
      </c>
      <c r="E3264" s="98" t="s">
        <v>1701</v>
      </c>
      <c r="F3264" s="98" t="n">
        <v>1</v>
      </c>
      <c r="G3264" s="98" t="s">
        <v>4600</v>
      </c>
      <c r="H3264" s="98" t="s">
        <v>1703</v>
      </c>
      <c r="I3264" s="98" t="s">
        <v>1704</v>
      </c>
      <c r="J3264" s="98" t="s">
        <v>1705</v>
      </c>
      <c r="K3264" s="98" t="s">
        <v>1706</v>
      </c>
    </row>
    <row r="3265" customFormat="false" ht="64" hidden="false" customHeight="true" outlineLevel="0" collapsed="false">
      <c r="C3265" s="98" t="s">
        <v>5055</v>
      </c>
      <c r="D3265" s="98" t="s">
        <v>1740</v>
      </c>
      <c r="E3265" s="98" t="s">
        <v>1701</v>
      </c>
      <c r="F3265" s="98" t="n">
        <v>1</v>
      </c>
      <c r="G3265" s="98" t="s">
        <v>4600</v>
      </c>
      <c r="H3265" s="98" t="s">
        <v>1703</v>
      </c>
      <c r="I3265" s="98" t="s">
        <v>1704</v>
      </c>
      <c r="J3265" s="98" t="s">
        <v>1705</v>
      </c>
      <c r="K3265" s="98" t="s">
        <v>1706</v>
      </c>
    </row>
    <row r="3266" customFormat="false" ht="64" hidden="false" customHeight="true" outlineLevel="0" collapsed="false">
      <c r="C3266" s="98" t="s">
        <v>5056</v>
      </c>
      <c r="D3266" s="98" t="s">
        <v>1742</v>
      </c>
      <c r="E3266" s="98" t="s">
        <v>1701</v>
      </c>
      <c r="F3266" s="98" t="n">
        <v>1</v>
      </c>
      <c r="G3266" s="98" t="s">
        <v>4600</v>
      </c>
      <c r="H3266" s="98" t="s">
        <v>1703</v>
      </c>
      <c r="I3266" s="98" t="s">
        <v>1704</v>
      </c>
      <c r="J3266" s="98" t="s">
        <v>1705</v>
      </c>
      <c r="K3266" s="98" t="s">
        <v>1706</v>
      </c>
    </row>
    <row r="3267" customFormat="false" ht="64" hidden="false" customHeight="true" outlineLevel="0" collapsed="false">
      <c r="C3267" s="98" t="s">
        <v>5057</v>
      </c>
      <c r="D3267" s="98" t="s">
        <v>1744</v>
      </c>
      <c r="E3267" s="98" t="s">
        <v>1701</v>
      </c>
      <c r="F3267" s="98" t="n">
        <v>1</v>
      </c>
      <c r="G3267" s="98" t="s">
        <v>4600</v>
      </c>
      <c r="H3267" s="98" t="s">
        <v>1703</v>
      </c>
      <c r="I3267" s="98" t="s">
        <v>1704</v>
      </c>
      <c r="J3267" s="98" t="s">
        <v>1705</v>
      </c>
      <c r="K3267" s="98" t="s">
        <v>1706</v>
      </c>
    </row>
    <row r="3268" customFormat="false" ht="64" hidden="false" customHeight="true" outlineLevel="0" collapsed="false">
      <c r="C3268" s="98" t="s">
        <v>5058</v>
      </c>
      <c r="D3268" s="98" t="s">
        <v>1746</v>
      </c>
      <c r="E3268" s="98" t="s">
        <v>1701</v>
      </c>
      <c r="F3268" s="98" t="n">
        <v>1</v>
      </c>
      <c r="G3268" s="98" t="s">
        <v>4600</v>
      </c>
      <c r="H3268" s="98" t="s">
        <v>1703</v>
      </c>
      <c r="I3268" s="98" t="s">
        <v>1704</v>
      </c>
      <c r="J3268" s="98" t="s">
        <v>1705</v>
      </c>
      <c r="K3268" s="98" t="s">
        <v>1706</v>
      </c>
    </row>
    <row r="3269" customFormat="false" ht="64" hidden="false" customHeight="true" outlineLevel="0" collapsed="false">
      <c r="C3269" s="98" t="s">
        <v>5059</v>
      </c>
      <c r="D3269" s="98" t="s">
        <v>1748</v>
      </c>
      <c r="E3269" s="98" t="s">
        <v>1701</v>
      </c>
      <c r="F3269" s="98" t="n">
        <v>1</v>
      </c>
      <c r="G3269" s="98" t="s">
        <v>4600</v>
      </c>
      <c r="H3269" s="98" t="s">
        <v>1703</v>
      </c>
      <c r="I3269" s="98" t="s">
        <v>1704</v>
      </c>
      <c r="J3269" s="98" t="s">
        <v>1705</v>
      </c>
      <c r="K3269" s="98" t="s">
        <v>1706</v>
      </c>
    </row>
    <row r="3270" customFormat="false" ht="64" hidden="false" customHeight="true" outlineLevel="0" collapsed="false">
      <c r="C3270" s="98" t="s">
        <v>5060</v>
      </c>
      <c r="D3270" s="98" t="s">
        <v>1750</v>
      </c>
      <c r="E3270" s="98" t="s">
        <v>1701</v>
      </c>
      <c r="F3270" s="98" t="n">
        <v>1</v>
      </c>
      <c r="G3270" s="98" t="s">
        <v>4600</v>
      </c>
      <c r="H3270" s="98" t="s">
        <v>1703</v>
      </c>
      <c r="I3270" s="98" t="s">
        <v>1704</v>
      </c>
      <c r="J3270" s="98" t="s">
        <v>1705</v>
      </c>
      <c r="K3270" s="98" t="s">
        <v>1706</v>
      </c>
    </row>
    <row r="3271" customFormat="false" ht="64" hidden="false" customHeight="true" outlineLevel="0" collapsed="false">
      <c r="C3271" s="98" t="s">
        <v>5061</v>
      </c>
      <c r="D3271" s="98" t="s">
        <v>1752</v>
      </c>
      <c r="E3271" s="98" t="s">
        <v>1701</v>
      </c>
      <c r="F3271" s="98" t="n">
        <v>1</v>
      </c>
      <c r="G3271" s="98" t="s">
        <v>4600</v>
      </c>
      <c r="H3271" s="98" t="s">
        <v>1703</v>
      </c>
      <c r="I3271" s="98" t="s">
        <v>1704</v>
      </c>
      <c r="J3271" s="98" t="s">
        <v>1705</v>
      </c>
      <c r="K3271" s="98" t="s">
        <v>1706</v>
      </c>
    </row>
    <row r="3272" customFormat="false" ht="64" hidden="false" customHeight="true" outlineLevel="0" collapsed="false">
      <c r="C3272" s="98" t="s">
        <v>5062</v>
      </c>
      <c r="D3272" s="98" t="s">
        <v>1754</v>
      </c>
      <c r="E3272" s="98" t="s">
        <v>1701</v>
      </c>
      <c r="F3272" s="98" t="n">
        <v>1</v>
      </c>
      <c r="G3272" s="98" t="s">
        <v>4600</v>
      </c>
      <c r="H3272" s="98" t="s">
        <v>1703</v>
      </c>
      <c r="I3272" s="98" t="s">
        <v>1704</v>
      </c>
      <c r="J3272" s="98" t="s">
        <v>1705</v>
      </c>
      <c r="K3272" s="98" t="s">
        <v>1706</v>
      </c>
    </row>
    <row r="3273" customFormat="false" ht="64" hidden="false" customHeight="true" outlineLevel="0" collapsed="false">
      <c r="C3273" s="98" t="s">
        <v>5063</v>
      </c>
      <c r="D3273" s="98" t="s">
        <v>1756</v>
      </c>
      <c r="E3273" s="98" t="s">
        <v>1701</v>
      </c>
      <c r="F3273" s="98" t="n">
        <v>1</v>
      </c>
      <c r="G3273" s="98" t="s">
        <v>4600</v>
      </c>
      <c r="H3273" s="98" t="s">
        <v>1703</v>
      </c>
      <c r="I3273" s="98" t="s">
        <v>1704</v>
      </c>
      <c r="J3273" s="98" t="s">
        <v>1705</v>
      </c>
      <c r="K3273" s="98" t="s">
        <v>1706</v>
      </c>
    </row>
    <row r="3274" customFormat="false" ht="64" hidden="false" customHeight="true" outlineLevel="0" collapsed="false">
      <c r="C3274" s="98" t="s">
        <v>5064</v>
      </c>
      <c r="D3274" s="98" t="s">
        <v>1758</v>
      </c>
      <c r="E3274" s="98" t="s">
        <v>1701</v>
      </c>
      <c r="F3274" s="98" t="n">
        <v>1</v>
      </c>
      <c r="G3274" s="98" t="s">
        <v>4600</v>
      </c>
      <c r="H3274" s="98" t="s">
        <v>1703</v>
      </c>
      <c r="I3274" s="98" t="s">
        <v>1704</v>
      </c>
      <c r="J3274" s="98" t="s">
        <v>1705</v>
      </c>
      <c r="K3274" s="98" t="s">
        <v>1706</v>
      </c>
    </row>
    <row r="3275" customFormat="false" ht="64" hidden="false" customHeight="true" outlineLevel="0" collapsed="false">
      <c r="C3275" s="98" t="s">
        <v>5065</v>
      </c>
      <c r="D3275" s="98" t="s">
        <v>1760</v>
      </c>
      <c r="E3275" s="98" t="s">
        <v>1701</v>
      </c>
      <c r="F3275" s="98" t="n">
        <v>1</v>
      </c>
      <c r="G3275" s="98" t="s">
        <v>4600</v>
      </c>
      <c r="H3275" s="98" t="s">
        <v>1703</v>
      </c>
      <c r="I3275" s="98" t="s">
        <v>1704</v>
      </c>
      <c r="J3275" s="98" t="s">
        <v>1705</v>
      </c>
      <c r="K3275" s="98" t="s">
        <v>1706</v>
      </c>
    </row>
    <row r="3276" customFormat="false" ht="64" hidden="false" customHeight="true" outlineLevel="0" collapsed="false">
      <c r="C3276" s="98" t="s">
        <v>5066</v>
      </c>
      <c r="D3276" s="98" t="s">
        <v>1762</v>
      </c>
      <c r="E3276" s="98" t="s">
        <v>1701</v>
      </c>
      <c r="F3276" s="98" t="n">
        <v>1</v>
      </c>
      <c r="G3276" s="98" t="s">
        <v>4600</v>
      </c>
      <c r="H3276" s="98" t="s">
        <v>1703</v>
      </c>
      <c r="I3276" s="98" t="s">
        <v>1704</v>
      </c>
      <c r="J3276" s="98" t="s">
        <v>1705</v>
      </c>
      <c r="K3276" s="98" t="s">
        <v>1706</v>
      </c>
    </row>
    <row r="3277" customFormat="false" ht="64" hidden="false" customHeight="true" outlineLevel="0" collapsed="false">
      <c r="C3277" s="98" t="s">
        <v>5067</v>
      </c>
      <c r="D3277" s="98" t="s">
        <v>1764</v>
      </c>
      <c r="E3277" s="98" t="s">
        <v>1701</v>
      </c>
      <c r="F3277" s="98" t="n">
        <v>1</v>
      </c>
      <c r="G3277" s="98" t="s">
        <v>4600</v>
      </c>
      <c r="H3277" s="98" t="s">
        <v>1703</v>
      </c>
      <c r="I3277" s="98" t="s">
        <v>1704</v>
      </c>
      <c r="J3277" s="98" t="s">
        <v>1705</v>
      </c>
      <c r="K3277" s="98" t="s">
        <v>1706</v>
      </c>
    </row>
    <row r="3278" customFormat="false" ht="64" hidden="false" customHeight="true" outlineLevel="0" collapsed="false">
      <c r="C3278" s="98" t="s">
        <v>5068</v>
      </c>
      <c r="D3278" s="98" t="s">
        <v>1829</v>
      </c>
      <c r="E3278" s="98" t="s">
        <v>1701</v>
      </c>
      <c r="F3278" s="98" t="n">
        <v>1</v>
      </c>
      <c r="G3278" s="98" t="s">
        <v>4600</v>
      </c>
      <c r="H3278" s="98" t="s">
        <v>1703</v>
      </c>
      <c r="I3278" s="98" t="s">
        <v>1704</v>
      </c>
      <c r="J3278" s="98" t="s">
        <v>1705</v>
      </c>
      <c r="K3278" s="98" t="s">
        <v>1706</v>
      </c>
    </row>
    <row r="3279" customFormat="false" ht="64" hidden="false" customHeight="true" outlineLevel="0" collapsed="false">
      <c r="C3279" s="98" t="s">
        <v>5069</v>
      </c>
      <c r="D3279" s="98" t="s">
        <v>1833</v>
      </c>
      <c r="E3279" s="98" t="s">
        <v>1701</v>
      </c>
      <c r="F3279" s="98" t="n">
        <v>1</v>
      </c>
      <c r="G3279" s="98" t="s">
        <v>4600</v>
      </c>
      <c r="H3279" s="98" t="s">
        <v>1703</v>
      </c>
      <c r="I3279" s="98" t="s">
        <v>1704</v>
      </c>
      <c r="J3279" s="98" t="s">
        <v>1705</v>
      </c>
      <c r="K3279" s="98" t="s">
        <v>1706</v>
      </c>
    </row>
    <row r="3280" customFormat="false" ht="64" hidden="false" customHeight="true" outlineLevel="0" collapsed="false">
      <c r="C3280" s="98" t="s">
        <v>5070</v>
      </c>
      <c r="D3280" s="98" t="s">
        <v>1835</v>
      </c>
      <c r="E3280" s="98" t="s">
        <v>1701</v>
      </c>
      <c r="F3280" s="98" t="n">
        <v>1</v>
      </c>
      <c r="G3280" s="98" t="s">
        <v>4600</v>
      </c>
      <c r="H3280" s="98" t="s">
        <v>1703</v>
      </c>
      <c r="I3280" s="98" t="s">
        <v>1704</v>
      </c>
      <c r="J3280" s="98" t="s">
        <v>1705</v>
      </c>
      <c r="K3280" s="98" t="s">
        <v>1706</v>
      </c>
    </row>
    <row r="3281" customFormat="false" ht="64" hidden="false" customHeight="true" outlineLevel="0" collapsed="false">
      <c r="C3281" s="98" t="s">
        <v>5071</v>
      </c>
      <c r="D3281" s="98" t="s">
        <v>1044</v>
      </c>
      <c r="E3281" s="98" t="s">
        <v>1701</v>
      </c>
      <c r="F3281" s="98" t="n">
        <v>1</v>
      </c>
      <c r="G3281" s="98" t="s">
        <v>4600</v>
      </c>
      <c r="H3281" s="98" t="s">
        <v>1703</v>
      </c>
      <c r="I3281" s="98" t="s">
        <v>1704</v>
      </c>
      <c r="J3281" s="98" t="s">
        <v>1705</v>
      </c>
      <c r="K3281" s="98" t="s">
        <v>1706</v>
      </c>
    </row>
    <row r="3282" customFormat="false" ht="64" hidden="false" customHeight="true" outlineLevel="0" collapsed="false">
      <c r="C3282" s="98" t="s">
        <v>5072</v>
      </c>
      <c r="D3282" s="98" t="s">
        <v>1838</v>
      </c>
      <c r="E3282" s="98" t="s">
        <v>1701</v>
      </c>
      <c r="F3282" s="98" t="n">
        <v>1</v>
      </c>
      <c r="G3282" s="98" t="s">
        <v>4600</v>
      </c>
      <c r="H3282" s="98" t="s">
        <v>1703</v>
      </c>
      <c r="I3282" s="98" t="s">
        <v>1704</v>
      </c>
      <c r="J3282" s="98" t="s">
        <v>1705</v>
      </c>
      <c r="K3282" s="98" t="s">
        <v>1706</v>
      </c>
    </row>
    <row r="3283" customFormat="false" ht="64" hidden="false" customHeight="true" outlineLevel="0" collapsed="false">
      <c r="C3283" s="98" t="s">
        <v>5073</v>
      </c>
      <c r="D3283" s="98" t="s">
        <v>1840</v>
      </c>
      <c r="E3283" s="98" t="s">
        <v>1701</v>
      </c>
      <c r="F3283" s="98" t="n">
        <v>1</v>
      </c>
      <c r="G3283" s="98" t="s">
        <v>4600</v>
      </c>
      <c r="H3283" s="98" t="s">
        <v>1703</v>
      </c>
      <c r="I3283" s="98" t="s">
        <v>1704</v>
      </c>
      <c r="J3283" s="98" t="s">
        <v>1705</v>
      </c>
      <c r="K3283" s="98" t="s">
        <v>1706</v>
      </c>
    </row>
    <row r="3284" customFormat="false" ht="64" hidden="false" customHeight="true" outlineLevel="0" collapsed="false">
      <c r="C3284" s="98" t="s">
        <v>5074</v>
      </c>
      <c r="D3284" s="98" t="s">
        <v>1700</v>
      </c>
      <c r="E3284" s="98" t="s">
        <v>1701</v>
      </c>
      <c r="F3284" s="98" t="n">
        <v>1</v>
      </c>
      <c r="G3284" s="98" t="s">
        <v>4600</v>
      </c>
      <c r="H3284" s="98" t="s">
        <v>1703</v>
      </c>
      <c r="I3284" s="98" t="s">
        <v>1704</v>
      </c>
      <c r="J3284" s="98" t="s">
        <v>1705</v>
      </c>
      <c r="K3284" s="98" t="s">
        <v>1706</v>
      </c>
    </row>
    <row r="3285" customFormat="false" ht="64" hidden="false" customHeight="true" outlineLevel="0" collapsed="false">
      <c r="C3285" s="98" t="s">
        <v>5075</v>
      </c>
      <c r="D3285" s="98" t="s">
        <v>1708</v>
      </c>
      <c r="E3285" s="98" t="s">
        <v>1701</v>
      </c>
      <c r="F3285" s="98" t="n">
        <v>1</v>
      </c>
      <c r="G3285" s="98" t="s">
        <v>4600</v>
      </c>
      <c r="H3285" s="98" t="s">
        <v>1703</v>
      </c>
      <c r="I3285" s="98" t="s">
        <v>1704</v>
      </c>
      <c r="J3285" s="98" t="s">
        <v>1705</v>
      </c>
      <c r="K3285" s="98" t="s">
        <v>1706</v>
      </c>
    </row>
    <row r="3286" customFormat="false" ht="64" hidden="false" customHeight="true" outlineLevel="0" collapsed="false">
      <c r="C3286" s="98" t="s">
        <v>5076</v>
      </c>
      <c r="D3286" s="98" t="s">
        <v>1710</v>
      </c>
      <c r="E3286" s="98" t="s">
        <v>1701</v>
      </c>
      <c r="F3286" s="98" t="n">
        <v>1</v>
      </c>
      <c r="G3286" s="98" t="s">
        <v>4600</v>
      </c>
      <c r="H3286" s="98" t="s">
        <v>1703</v>
      </c>
      <c r="I3286" s="98" t="s">
        <v>1704</v>
      </c>
      <c r="J3286" s="98" t="s">
        <v>1705</v>
      </c>
      <c r="K3286" s="98" t="s">
        <v>1706</v>
      </c>
    </row>
    <row r="3287" customFormat="false" ht="64" hidden="false" customHeight="true" outlineLevel="0" collapsed="false">
      <c r="C3287" s="98" t="s">
        <v>5077</v>
      </c>
      <c r="D3287" s="98" t="s">
        <v>1712</v>
      </c>
      <c r="E3287" s="98" t="s">
        <v>1701</v>
      </c>
      <c r="F3287" s="98" t="n">
        <v>1</v>
      </c>
      <c r="G3287" s="98" t="s">
        <v>4600</v>
      </c>
      <c r="H3287" s="98" t="s">
        <v>1703</v>
      </c>
      <c r="I3287" s="98" t="s">
        <v>1704</v>
      </c>
      <c r="J3287" s="98" t="s">
        <v>1705</v>
      </c>
      <c r="K3287" s="98" t="s">
        <v>1706</v>
      </c>
    </row>
    <row r="3288" customFormat="false" ht="64" hidden="false" customHeight="true" outlineLevel="0" collapsed="false">
      <c r="C3288" s="98" t="s">
        <v>5078</v>
      </c>
      <c r="D3288" s="98" t="s">
        <v>1714</v>
      </c>
      <c r="E3288" s="98" t="s">
        <v>1701</v>
      </c>
      <c r="F3288" s="98" t="n">
        <v>1</v>
      </c>
      <c r="G3288" s="98" t="s">
        <v>4600</v>
      </c>
      <c r="H3288" s="98" t="s">
        <v>1703</v>
      </c>
      <c r="I3288" s="98" t="s">
        <v>1704</v>
      </c>
      <c r="J3288" s="98" t="s">
        <v>1705</v>
      </c>
      <c r="K3288" s="98" t="s">
        <v>1706</v>
      </c>
    </row>
    <row r="3289" customFormat="false" ht="64" hidden="false" customHeight="true" outlineLevel="0" collapsed="false">
      <c r="C3289" s="98" t="s">
        <v>5079</v>
      </c>
      <c r="D3289" s="98" t="s">
        <v>1716</v>
      </c>
      <c r="E3289" s="98" t="s">
        <v>1701</v>
      </c>
      <c r="F3289" s="98" t="n">
        <v>1</v>
      </c>
      <c r="G3289" s="98" t="s">
        <v>4600</v>
      </c>
      <c r="H3289" s="98" t="s">
        <v>1703</v>
      </c>
      <c r="I3289" s="98" t="s">
        <v>1704</v>
      </c>
      <c r="J3289" s="98" t="s">
        <v>1705</v>
      </c>
      <c r="K3289" s="98" t="s">
        <v>1706</v>
      </c>
    </row>
    <row r="3290" customFormat="false" ht="64" hidden="false" customHeight="true" outlineLevel="0" collapsed="false">
      <c r="C3290" s="98" t="s">
        <v>5080</v>
      </c>
      <c r="D3290" s="98" t="s">
        <v>1718</v>
      </c>
      <c r="E3290" s="98" t="s">
        <v>1701</v>
      </c>
      <c r="F3290" s="98" t="n">
        <v>1</v>
      </c>
      <c r="G3290" s="98" t="s">
        <v>4600</v>
      </c>
      <c r="H3290" s="98" t="s">
        <v>1703</v>
      </c>
      <c r="I3290" s="98" t="s">
        <v>1704</v>
      </c>
      <c r="J3290" s="98" t="s">
        <v>1705</v>
      </c>
      <c r="K3290" s="98" t="s">
        <v>1706</v>
      </c>
    </row>
    <row r="3291" customFormat="false" ht="64" hidden="false" customHeight="true" outlineLevel="0" collapsed="false">
      <c r="C3291" s="98" t="s">
        <v>5081</v>
      </c>
      <c r="D3291" s="98" t="s">
        <v>1720</v>
      </c>
      <c r="E3291" s="98" t="s">
        <v>1701</v>
      </c>
      <c r="F3291" s="98" t="n">
        <v>1</v>
      </c>
      <c r="G3291" s="98" t="s">
        <v>4600</v>
      </c>
      <c r="H3291" s="98" t="s">
        <v>1703</v>
      </c>
      <c r="I3291" s="98" t="s">
        <v>1704</v>
      </c>
      <c r="J3291" s="98" t="s">
        <v>1705</v>
      </c>
      <c r="K3291" s="98" t="s">
        <v>1706</v>
      </c>
    </row>
    <row r="3292" customFormat="false" ht="64" hidden="false" customHeight="true" outlineLevel="0" collapsed="false">
      <c r="C3292" s="98" t="s">
        <v>5082</v>
      </c>
      <c r="D3292" s="98" t="s">
        <v>1722</v>
      </c>
      <c r="E3292" s="98" t="s">
        <v>1701</v>
      </c>
      <c r="F3292" s="98" t="n">
        <v>1</v>
      </c>
      <c r="G3292" s="98" t="s">
        <v>4600</v>
      </c>
      <c r="H3292" s="98" t="s">
        <v>1703</v>
      </c>
      <c r="I3292" s="98" t="s">
        <v>1704</v>
      </c>
      <c r="J3292" s="98" t="s">
        <v>1705</v>
      </c>
      <c r="K3292" s="98" t="s">
        <v>1706</v>
      </c>
    </row>
    <row r="3293" customFormat="false" ht="64" hidden="false" customHeight="true" outlineLevel="0" collapsed="false">
      <c r="C3293" s="98" t="s">
        <v>5083</v>
      </c>
      <c r="D3293" s="98" t="s">
        <v>1724</v>
      </c>
      <c r="E3293" s="98" t="s">
        <v>1701</v>
      </c>
      <c r="F3293" s="98" t="n">
        <v>1</v>
      </c>
      <c r="G3293" s="98" t="s">
        <v>4600</v>
      </c>
      <c r="H3293" s="98" t="s">
        <v>1703</v>
      </c>
      <c r="I3293" s="98" t="s">
        <v>1704</v>
      </c>
      <c r="J3293" s="98" t="s">
        <v>1705</v>
      </c>
      <c r="K3293" s="98" t="s">
        <v>1706</v>
      </c>
    </row>
    <row r="3294" customFormat="false" ht="64" hidden="false" customHeight="true" outlineLevel="0" collapsed="false">
      <c r="C3294" s="98" t="s">
        <v>5084</v>
      </c>
      <c r="D3294" s="98" t="s">
        <v>1726</v>
      </c>
      <c r="E3294" s="98" t="s">
        <v>1701</v>
      </c>
      <c r="F3294" s="98" t="n">
        <v>1</v>
      </c>
      <c r="G3294" s="98" t="s">
        <v>4600</v>
      </c>
      <c r="H3294" s="98" t="s">
        <v>1703</v>
      </c>
      <c r="I3294" s="98" t="s">
        <v>1704</v>
      </c>
      <c r="J3294" s="98" t="s">
        <v>1705</v>
      </c>
      <c r="K3294" s="98" t="s">
        <v>1706</v>
      </c>
    </row>
    <row r="3295" customFormat="false" ht="64" hidden="false" customHeight="true" outlineLevel="0" collapsed="false">
      <c r="C3295" s="98" t="s">
        <v>5085</v>
      </c>
      <c r="D3295" s="98" t="s">
        <v>1728</v>
      </c>
      <c r="E3295" s="98" t="s">
        <v>1701</v>
      </c>
      <c r="F3295" s="98" t="n">
        <v>1</v>
      </c>
      <c r="G3295" s="98" t="s">
        <v>4600</v>
      </c>
      <c r="H3295" s="98" t="s">
        <v>1703</v>
      </c>
      <c r="I3295" s="98" t="s">
        <v>1704</v>
      </c>
      <c r="J3295" s="98" t="s">
        <v>1705</v>
      </c>
      <c r="K3295" s="98" t="s">
        <v>1706</v>
      </c>
    </row>
    <row r="3296" customFormat="false" ht="64" hidden="false" customHeight="true" outlineLevel="0" collapsed="false">
      <c r="C3296" s="98" t="s">
        <v>5086</v>
      </c>
      <c r="D3296" s="98" t="s">
        <v>1730</v>
      </c>
      <c r="E3296" s="98" t="s">
        <v>1701</v>
      </c>
      <c r="F3296" s="98" t="n">
        <v>1</v>
      </c>
      <c r="G3296" s="98" t="s">
        <v>4600</v>
      </c>
      <c r="H3296" s="98" t="s">
        <v>1703</v>
      </c>
      <c r="I3296" s="98" t="s">
        <v>1704</v>
      </c>
      <c r="J3296" s="98" t="s">
        <v>1705</v>
      </c>
      <c r="K3296" s="98" t="s">
        <v>1706</v>
      </c>
    </row>
    <row r="3297" customFormat="false" ht="64" hidden="false" customHeight="true" outlineLevel="0" collapsed="false">
      <c r="C3297" s="98" t="s">
        <v>5087</v>
      </c>
      <c r="D3297" s="98" t="s">
        <v>1732</v>
      </c>
      <c r="E3297" s="98" t="s">
        <v>1701</v>
      </c>
      <c r="F3297" s="98" t="n">
        <v>1</v>
      </c>
      <c r="G3297" s="98" t="s">
        <v>4600</v>
      </c>
      <c r="H3297" s="98" t="s">
        <v>1703</v>
      </c>
      <c r="I3297" s="98" t="s">
        <v>1704</v>
      </c>
      <c r="J3297" s="98" t="s">
        <v>1705</v>
      </c>
      <c r="K3297" s="98" t="s">
        <v>1706</v>
      </c>
    </row>
    <row r="3298" customFormat="false" ht="64" hidden="false" customHeight="true" outlineLevel="0" collapsed="false">
      <c r="C3298" s="98" t="s">
        <v>5088</v>
      </c>
      <c r="D3298" s="98" t="s">
        <v>1734</v>
      </c>
      <c r="E3298" s="98" t="s">
        <v>1701</v>
      </c>
      <c r="F3298" s="98" t="n">
        <v>1</v>
      </c>
      <c r="G3298" s="98" t="s">
        <v>4600</v>
      </c>
      <c r="H3298" s="98" t="s">
        <v>1703</v>
      </c>
      <c r="I3298" s="98" t="s">
        <v>1704</v>
      </c>
      <c r="J3298" s="98" t="s">
        <v>1705</v>
      </c>
      <c r="K3298" s="98" t="s">
        <v>1706</v>
      </c>
    </row>
    <row r="3299" customFormat="false" ht="64" hidden="false" customHeight="true" outlineLevel="0" collapsed="false">
      <c r="C3299" s="98" t="s">
        <v>5089</v>
      </c>
      <c r="D3299" s="98" t="s">
        <v>1736</v>
      </c>
      <c r="E3299" s="98" t="s">
        <v>1701</v>
      </c>
      <c r="F3299" s="98" t="n">
        <v>1</v>
      </c>
      <c r="G3299" s="98" t="s">
        <v>4600</v>
      </c>
      <c r="H3299" s="98" t="s">
        <v>1703</v>
      </c>
      <c r="I3299" s="98" t="s">
        <v>1704</v>
      </c>
      <c r="J3299" s="98" t="s">
        <v>1705</v>
      </c>
      <c r="K3299" s="98" t="s">
        <v>1706</v>
      </c>
    </row>
    <row r="3300" customFormat="false" ht="64" hidden="false" customHeight="true" outlineLevel="0" collapsed="false">
      <c r="C3300" s="98" t="s">
        <v>5090</v>
      </c>
      <c r="D3300" s="98" t="s">
        <v>1738</v>
      </c>
      <c r="E3300" s="98" t="s">
        <v>1701</v>
      </c>
      <c r="F3300" s="98" t="n">
        <v>1</v>
      </c>
      <c r="G3300" s="98" t="s">
        <v>4600</v>
      </c>
      <c r="H3300" s="98" t="s">
        <v>1703</v>
      </c>
      <c r="I3300" s="98" t="s">
        <v>1704</v>
      </c>
      <c r="J3300" s="98" t="s">
        <v>1705</v>
      </c>
      <c r="K3300" s="98" t="s">
        <v>1706</v>
      </c>
    </row>
    <row r="3301" customFormat="false" ht="64" hidden="false" customHeight="true" outlineLevel="0" collapsed="false">
      <c r="C3301" s="98" t="s">
        <v>5091</v>
      </c>
      <c r="D3301" s="98" t="s">
        <v>1740</v>
      </c>
      <c r="E3301" s="98" t="s">
        <v>1701</v>
      </c>
      <c r="F3301" s="98" t="n">
        <v>1</v>
      </c>
      <c r="G3301" s="98" t="s">
        <v>4600</v>
      </c>
      <c r="H3301" s="98" t="s">
        <v>1703</v>
      </c>
      <c r="I3301" s="98" t="s">
        <v>1704</v>
      </c>
      <c r="J3301" s="98" t="s">
        <v>1705</v>
      </c>
      <c r="K3301" s="98" t="s">
        <v>1706</v>
      </c>
    </row>
    <row r="3302" customFormat="false" ht="64" hidden="false" customHeight="true" outlineLevel="0" collapsed="false">
      <c r="C3302" s="98" t="s">
        <v>5092</v>
      </c>
      <c r="D3302" s="98" t="s">
        <v>1742</v>
      </c>
      <c r="E3302" s="98" t="s">
        <v>1701</v>
      </c>
      <c r="F3302" s="98" t="n">
        <v>1</v>
      </c>
      <c r="G3302" s="98" t="s">
        <v>4600</v>
      </c>
      <c r="H3302" s="98" t="s">
        <v>1703</v>
      </c>
      <c r="I3302" s="98" t="s">
        <v>1704</v>
      </c>
      <c r="J3302" s="98" t="s">
        <v>1705</v>
      </c>
      <c r="K3302" s="98" t="s">
        <v>1706</v>
      </c>
    </row>
    <row r="3303" customFormat="false" ht="64" hidden="false" customHeight="true" outlineLevel="0" collapsed="false">
      <c r="C3303" s="98" t="s">
        <v>5093</v>
      </c>
      <c r="D3303" s="98" t="s">
        <v>1744</v>
      </c>
      <c r="E3303" s="98" t="s">
        <v>1701</v>
      </c>
      <c r="F3303" s="98" t="n">
        <v>1</v>
      </c>
      <c r="G3303" s="98" t="s">
        <v>4600</v>
      </c>
      <c r="H3303" s="98" t="s">
        <v>1703</v>
      </c>
      <c r="I3303" s="98" t="s">
        <v>1704</v>
      </c>
      <c r="J3303" s="98" t="s">
        <v>1705</v>
      </c>
      <c r="K3303" s="98" t="s">
        <v>1706</v>
      </c>
    </row>
    <row r="3304" customFormat="false" ht="64" hidden="false" customHeight="true" outlineLevel="0" collapsed="false">
      <c r="C3304" s="98" t="s">
        <v>5094</v>
      </c>
      <c r="D3304" s="98" t="s">
        <v>1746</v>
      </c>
      <c r="E3304" s="98" t="s">
        <v>1701</v>
      </c>
      <c r="F3304" s="98" t="n">
        <v>1</v>
      </c>
      <c r="G3304" s="98" t="s">
        <v>4600</v>
      </c>
      <c r="H3304" s="98" t="s">
        <v>1703</v>
      </c>
      <c r="I3304" s="98" t="s">
        <v>1704</v>
      </c>
      <c r="J3304" s="98" t="s">
        <v>1705</v>
      </c>
      <c r="K3304" s="98" t="s">
        <v>1706</v>
      </c>
    </row>
    <row r="3305" customFormat="false" ht="64" hidden="false" customHeight="true" outlineLevel="0" collapsed="false">
      <c r="C3305" s="98" t="s">
        <v>5095</v>
      </c>
      <c r="D3305" s="98" t="s">
        <v>1748</v>
      </c>
      <c r="E3305" s="98" t="s">
        <v>1701</v>
      </c>
      <c r="F3305" s="98" t="n">
        <v>1</v>
      </c>
      <c r="G3305" s="98" t="s">
        <v>4600</v>
      </c>
      <c r="H3305" s="98" t="s">
        <v>1703</v>
      </c>
      <c r="I3305" s="98" t="s">
        <v>1704</v>
      </c>
      <c r="J3305" s="98" t="s">
        <v>1705</v>
      </c>
      <c r="K3305" s="98" t="s">
        <v>1706</v>
      </c>
    </row>
    <row r="3306" customFormat="false" ht="64" hidden="false" customHeight="true" outlineLevel="0" collapsed="false">
      <c r="C3306" s="98" t="s">
        <v>5096</v>
      </c>
      <c r="D3306" s="98" t="s">
        <v>1750</v>
      </c>
      <c r="E3306" s="98" t="s">
        <v>1701</v>
      </c>
      <c r="F3306" s="98" t="n">
        <v>1</v>
      </c>
      <c r="G3306" s="98" t="s">
        <v>4600</v>
      </c>
      <c r="H3306" s="98" t="s">
        <v>1703</v>
      </c>
      <c r="I3306" s="98" t="s">
        <v>1704</v>
      </c>
      <c r="J3306" s="98" t="s">
        <v>1705</v>
      </c>
      <c r="K3306" s="98" t="s">
        <v>1706</v>
      </c>
    </row>
    <row r="3307" customFormat="false" ht="64" hidden="false" customHeight="true" outlineLevel="0" collapsed="false">
      <c r="C3307" s="98" t="s">
        <v>5097</v>
      </c>
      <c r="D3307" s="98" t="s">
        <v>1752</v>
      </c>
      <c r="E3307" s="98" t="s">
        <v>1701</v>
      </c>
      <c r="F3307" s="98" t="n">
        <v>1</v>
      </c>
      <c r="G3307" s="98" t="s">
        <v>4600</v>
      </c>
      <c r="H3307" s="98" t="s">
        <v>1703</v>
      </c>
      <c r="I3307" s="98" t="s">
        <v>1704</v>
      </c>
      <c r="J3307" s="98" t="s">
        <v>1705</v>
      </c>
      <c r="K3307" s="98" t="s">
        <v>1706</v>
      </c>
    </row>
    <row r="3308" customFormat="false" ht="64" hidden="false" customHeight="true" outlineLevel="0" collapsed="false">
      <c r="C3308" s="98" t="s">
        <v>5098</v>
      </c>
      <c r="D3308" s="98" t="s">
        <v>1754</v>
      </c>
      <c r="E3308" s="98" t="s">
        <v>1701</v>
      </c>
      <c r="F3308" s="98" t="n">
        <v>1</v>
      </c>
      <c r="G3308" s="98" t="s">
        <v>4600</v>
      </c>
      <c r="H3308" s="98" t="s">
        <v>1703</v>
      </c>
      <c r="I3308" s="98" t="s">
        <v>1704</v>
      </c>
      <c r="J3308" s="98" t="s">
        <v>1705</v>
      </c>
      <c r="K3308" s="98" t="s">
        <v>1706</v>
      </c>
    </row>
    <row r="3309" customFormat="false" ht="64" hidden="false" customHeight="true" outlineLevel="0" collapsed="false">
      <c r="C3309" s="98" t="s">
        <v>5099</v>
      </c>
      <c r="D3309" s="98" t="s">
        <v>1756</v>
      </c>
      <c r="E3309" s="98" t="s">
        <v>1701</v>
      </c>
      <c r="F3309" s="98" t="n">
        <v>1</v>
      </c>
      <c r="G3309" s="98" t="s">
        <v>4600</v>
      </c>
      <c r="H3309" s="98" t="s">
        <v>1703</v>
      </c>
      <c r="I3309" s="98" t="s">
        <v>1704</v>
      </c>
      <c r="J3309" s="98" t="s">
        <v>1705</v>
      </c>
      <c r="K3309" s="98" t="s">
        <v>1706</v>
      </c>
    </row>
    <row r="3310" customFormat="false" ht="64" hidden="false" customHeight="true" outlineLevel="0" collapsed="false">
      <c r="C3310" s="98" t="s">
        <v>5100</v>
      </c>
      <c r="D3310" s="98" t="s">
        <v>1758</v>
      </c>
      <c r="E3310" s="98" t="s">
        <v>1701</v>
      </c>
      <c r="F3310" s="98" t="n">
        <v>1</v>
      </c>
      <c r="G3310" s="98" t="s">
        <v>4600</v>
      </c>
      <c r="H3310" s="98" t="s">
        <v>1703</v>
      </c>
      <c r="I3310" s="98" t="s">
        <v>1704</v>
      </c>
      <c r="J3310" s="98" t="s">
        <v>1705</v>
      </c>
      <c r="K3310" s="98" t="s">
        <v>1706</v>
      </c>
    </row>
    <row r="3311" customFormat="false" ht="64" hidden="false" customHeight="true" outlineLevel="0" collapsed="false">
      <c r="C3311" s="98" t="s">
        <v>5101</v>
      </c>
      <c r="D3311" s="98" t="s">
        <v>1760</v>
      </c>
      <c r="E3311" s="98" t="s">
        <v>1701</v>
      </c>
      <c r="F3311" s="98" t="n">
        <v>1</v>
      </c>
      <c r="G3311" s="98" t="s">
        <v>4600</v>
      </c>
      <c r="H3311" s="98" t="s">
        <v>1703</v>
      </c>
      <c r="I3311" s="98" t="s">
        <v>1704</v>
      </c>
      <c r="J3311" s="98" t="s">
        <v>1705</v>
      </c>
      <c r="K3311" s="98" t="s">
        <v>1706</v>
      </c>
    </row>
    <row r="3312" customFormat="false" ht="64" hidden="false" customHeight="true" outlineLevel="0" collapsed="false">
      <c r="C3312" s="98" t="s">
        <v>5102</v>
      </c>
      <c r="D3312" s="98" t="s">
        <v>1762</v>
      </c>
      <c r="E3312" s="98" t="s">
        <v>1701</v>
      </c>
      <c r="F3312" s="98" t="n">
        <v>1</v>
      </c>
      <c r="G3312" s="98" t="s">
        <v>4600</v>
      </c>
      <c r="H3312" s="98" t="s">
        <v>1703</v>
      </c>
      <c r="I3312" s="98" t="s">
        <v>1704</v>
      </c>
      <c r="J3312" s="98" t="s">
        <v>1705</v>
      </c>
      <c r="K3312" s="98" t="s">
        <v>1706</v>
      </c>
    </row>
    <row r="3313" customFormat="false" ht="64" hidden="false" customHeight="true" outlineLevel="0" collapsed="false">
      <c r="C3313" s="98" t="s">
        <v>5103</v>
      </c>
      <c r="D3313" s="98" t="s">
        <v>1764</v>
      </c>
      <c r="E3313" s="98" t="s">
        <v>1701</v>
      </c>
      <c r="F3313" s="98" t="n">
        <v>1</v>
      </c>
      <c r="G3313" s="98" t="s">
        <v>4600</v>
      </c>
      <c r="H3313" s="98" t="s">
        <v>1703</v>
      </c>
      <c r="I3313" s="98" t="s">
        <v>1704</v>
      </c>
      <c r="J3313" s="98" t="s">
        <v>1705</v>
      </c>
      <c r="K3313" s="98" t="s">
        <v>1706</v>
      </c>
    </row>
  </sheetData>
  <sheetProtection sheet="1" objects="1" scenarios="1" selectLockedCells="0" selectUnlockedCells="0"/>
  <mergeCells count="2">
    <mergeCell ref="C2:K2"/>
    <mergeCell ref="C3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>
  <sheetPr filterMode="false">
    <pageSetUpPr fitToPage="false"/>
  </sheetPr>
  <dimension ref="C1:K18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11" min="4" style="0" width="13"/>
  </cols>
  <sheetData>
    <row r="1" customFormat="false" ht="21" hidden="false" customHeight="true" outlineLevel="0" collapsed="false">
      <c r="C1" s="56"/>
      <c r="D1" s="56"/>
      <c r="E1" s="56"/>
      <c r="F1" s="56"/>
      <c r="G1" s="56"/>
      <c r="H1" s="56"/>
      <c r="I1" s="56"/>
      <c r="J1" s="56"/>
      <c r="K1" s="56"/>
    </row>
    <row r="2" customFormat="false" ht="33" hidden="false" customHeight="true" outlineLevel="0" collapsed="false">
      <c r="C2" s="101" t="s">
        <v>5104</v>
      </c>
      <c r="D2" s="101"/>
      <c r="E2" s="101"/>
      <c r="F2" s="101"/>
      <c r="G2" s="101"/>
      <c r="H2" s="101"/>
      <c r="I2" s="101"/>
      <c r="J2" s="101"/>
      <c r="K2" s="101"/>
    </row>
    <row r="3" customFormat="false" ht="21" hidden="false" customHeight="true" outlineLevel="0" collapsed="false">
      <c r="C3" s="58" t="s">
        <v>82</v>
      </c>
      <c r="D3" s="58"/>
      <c r="E3" s="58"/>
      <c r="F3" s="58"/>
      <c r="G3" s="58"/>
      <c r="H3" s="58"/>
      <c r="I3" s="58"/>
      <c r="J3" s="58"/>
      <c r="K3" s="58"/>
    </row>
    <row r="4" customFormat="false" ht="21" hidden="false" customHeight="true" outlineLevel="0" collapsed="false">
      <c r="C4" s="58"/>
      <c r="D4" s="58"/>
      <c r="E4" s="58"/>
      <c r="F4" s="58"/>
      <c r="G4" s="58"/>
      <c r="H4" s="58"/>
      <c r="I4" s="58"/>
      <c r="J4" s="58"/>
      <c r="K4" s="58"/>
    </row>
    <row r="5" customFormat="false" ht="21" hidden="false" customHeight="true" outlineLevel="0" collapsed="false">
      <c r="C5" s="56"/>
      <c r="D5" s="56"/>
      <c r="E5" s="56"/>
      <c r="F5" s="56"/>
      <c r="G5" s="56"/>
      <c r="H5" s="56"/>
      <c r="I5" s="56"/>
      <c r="J5" s="56"/>
      <c r="K5" s="56"/>
    </row>
    <row r="6" customFormat="false" ht="25" hidden="false" customHeight="true" outlineLevel="0" collapsed="false">
      <c r="C6" s="74" t="s">
        <v>5105</v>
      </c>
      <c r="D6" s="63"/>
      <c r="E6" s="63"/>
      <c r="F6" s="63"/>
      <c r="G6" s="63"/>
      <c r="H6" s="63"/>
      <c r="I6" s="63"/>
      <c r="J6" s="63"/>
      <c r="K6" s="63"/>
    </row>
    <row r="7" customFormat="false" ht="22" hidden="false" customHeight="true" outlineLevel="0" collapsed="false">
      <c r="C7" s="100" t="s">
        <v>5106</v>
      </c>
      <c r="D7" s="100"/>
      <c r="E7" s="100"/>
      <c r="F7" s="100"/>
      <c r="G7" s="100"/>
      <c r="H7" s="100"/>
      <c r="I7" s="100"/>
      <c r="J7" s="100"/>
      <c r="K7" s="100"/>
    </row>
    <row r="8" customFormat="false" ht="22" hidden="false" customHeight="true" outlineLevel="0" collapsed="false">
      <c r="C8" s="100"/>
      <c r="D8" s="100"/>
      <c r="E8" s="100"/>
      <c r="F8" s="100"/>
      <c r="G8" s="100"/>
      <c r="H8" s="100"/>
      <c r="I8" s="100"/>
      <c r="J8" s="100"/>
      <c r="K8" s="100"/>
    </row>
    <row r="9" customFormat="false" ht="22" hidden="false" customHeight="true" outlineLevel="0" collapsed="false">
      <c r="C9" s="100"/>
      <c r="D9" s="100"/>
      <c r="E9" s="100"/>
      <c r="F9" s="100"/>
      <c r="G9" s="100"/>
      <c r="H9" s="100"/>
      <c r="I9" s="100"/>
      <c r="J9" s="100"/>
      <c r="K9" s="100"/>
    </row>
    <row r="10" customFormat="false" ht="22" hidden="false" customHeight="true" outlineLevel="0" collapsed="false">
      <c r="C10" s="100"/>
      <c r="D10" s="100"/>
      <c r="E10" s="100"/>
      <c r="F10" s="100"/>
      <c r="G10" s="100"/>
      <c r="H10" s="100"/>
      <c r="I10" s="100"/>
      <c r="J10" s="100"/>
      <c r="K10" s="100"/>
    </row>
    <row r="11" customFormat="false" ht="25" hidden="false" customHeight="true" outlineLevel="0" collapsed="false">
      <c r="C11" s="74" t="s">
        <v>5107</v>
      </c>
      <c r="D11" s="64"/>
      <c r="E11" s="64"/>
      <c r="F11" s="64"/>
      <c r="G11" s="64"/>
      <c r="H11" s="64"/>
      <c r="I11" s="64"/>
      <c r="J11" s="64"/>
      <c r="K11" s="64"/>
    </row>
    <row r="12" customFormat="false" ht="22" hidden="false" customHeight="true" outlineLevel="0" collapsed="false">
      <c r="C12" s="100" t="s">
        <v>5108</v>
      </c>
      <c r="D12" s="100"/>
      <c r="E12" s="100"/>
      <c r="F12" s="100"/>
      <c r="G12" s="100"/>
      <c r="H12" s="100"/>
      <c r="I12" s="100"/>
      <c r="J12" s="100"/>
      <c r="K12" s="100"/>
    </row>
    <row r="13" customFormat="false" ht="22" hidden="false" customHeight="true" outlineLevel="0" collapsed="false">
      <c r="C13" s="100"/>
      <c r="D13" s="100"/>
      <c r="E13" s="100"/>
      <c r="F13" s="100"/>
      <c r="G13" s="100"/>
      <c r="H13" s="100"/>
      <c r="I13" s="100"/>
      <c r="J13" s="100"/>
      <c r="K13" s="100"/>
    </row>
    <row r="14" customFormat="false" ht="22" hidden="false" customHeight="true" outlineLevel="0" collapsed="false">
      <c r="C14" s="100"/>
      <c r="D14" s="100"/>
      <c r="E14" s="100"/>
      <c r="F14" s="100"/>
      <c r="G14" s="100"/>
      <c r="H14" s="100"/>
      <c r="I14" s="100"/>
      <c r="J14" s="100"/>
      <c r="K14" s="100"/>
    </row>
    <row r="15" customFormat="false" ht="22" hidden="false" customHeight="true" outlineLevel="0" collapsed="false">
      <c r="C15" s="100"/>
      <c r="D15" s="100"/>
      <c r="E15" s="100"/>
      <c r="F15" s="100"/>
      <c r="G15" s="100"/>
      <c r="H15" s="100"/>
      <c r="I15" s="100"/>
      <c r="J15" s="100"/>
      <c r="K15" s="100"/>
    </row>
    <row r="16" customFormat="false" ht="25" hidden="false" customHeight="true" outlineLevel="0" collapsed="false">
      <c r="C16" s="74" t="s">
        <v>5109</v>
      </c>
      <c r="D16" s="64"/>
      <c r="E16" s="64"/>
      <c r="F16" s="64"/>
      <c r="G16" s="64"/>
      <c r="H16" s="64"/>
      <c r="I16" s="64"/>
      <c r="J16" s="64"/>
      <c r="K16" s="64"/>
    </row>
    <row r="17" customFormat="false" ht="22" hidden="false" customHeight="true" outlineLevel="0" collapsed="false">
      <c r="C17" s="100" t="s">
        <v>5110</v>
      </c>
      <c r="D17" s="100"/>
      <c r="E17" s="100"/>
      <c r="F17" s="100"/>
      <c r="G17" s="100"/>
      <c r="H17" s="100"/>
      <c r="I17" s="100"/>
      <c r="J17" s="100"/>
      <c r="K17" s="100"/>
    </row>
    <row r="18" customFormat="false" ht="22" hidden="false" customHeight="true" outlineLevel="0" collapsed="false">
      <c r="C18" s="100"/>
      <c r="D18" s="100"/>
      <c r="E18" s="100"/>
      <c r="F18" s="100"/>
      <c r="G18" s="100"/>
      <c r="H18" s="100"/>
      <c r="I18" s="100"/>
      <c r="J18" s="100"/>
      <c r="K18" s="100"/>
    </row>
    <row r="19" customFormat="false" ht="22" hidden="false" customHeight="true" outlineLevel="0" collapsed="false">
      <c r="C19" s="100"/>
      <c r="D19" s="100"/>
      <c r="E19" s="100"/>
      <c r="F19" s="100"/>
      <c r="G19" s="100"/>
      <c r="H19" s="100"/>
      <c r="I19" s="100"/>
      <c r="J19" s="100"/>
      <c r="K19" s="100"/>
    </row>
    <row r="20" customFormat="false" ht="22" hidden="false" customHeight="true" outlineLevel="0" collapsed="false">
      <c r="C20" s="100"/>
      <c r="D20" s="100"/>
      <c r="E20" s="100"/>
      <c r="F20" s="100"/>
      <c r="G20" s="100"/>
      <c r="H20" s="100"/>
      <c r="I20" s="100"/>
      <c r="J20" s="100"/>
      <c r="K20" s="100"/>
    </row>
    <row r="21" customFormat="false" ht="25" hidden="false" customHeight="true" outlineLevel="0" collapsed="false">
      <c r="C21" s="74" t="s">
        <v>5111</v>
      </c>
      <c r="D21" s="64"/>
      <c r="E21" s="64"/>
      <c r="F21" s="64"/>
      <c r="G21" s="64"/>
      <c r="H21" s="64"/>
      <c r="I21" s="64"/>
      <c r="J21" s="64"/>
      <c r="K21" s="64"/>
    </row>
    <row r="22" customFormat="false" ht="22" hidden="false" customHeight="true" outlineLevel="0" collapsed="false">
      <c r="C22" s="102" t="s">
        <v>5112</v>
      </c>
      <c r="D22" s="102"/>
      <c r="E22" s="102"/>
      <c r="F22" s="102"/>
      <c r="G22" s="102"/>
      <c r="H22" s="102"/>
      <c r="I22" s="102"/>
      <c r="J22" s="102"/>
      <c r="K22" s="102"/>
    </row>
    <row r="23" customFormat="false" ht="22" hidden="false" customHeight="true" outlineLevel="0" collapsed="false">
      <c r="C23" s="102"/>
      <c r="D23" s="102"/>
      <c r="E23" s="102"/>
      <c r="F23" s="102"/>
      <c r="G23" s="102"/>
      <c r="H23" s="102"/>
      <c r="I23" s="102"/>
      <c r="J23" s="102"/>
      <c r="K23" s="102"/>
    </row>
    <row r="24" customFormat="false" ht="22" hidden="false" customHeight="true" outlineLevel="0" collapsed="false">
      <c r="C24" s="102"/>
      <c r="D24" s="102"/>
      <c r="E24" s="102"/>
      <c r="F24" s="102"/>
      <c r="G24" s="102"/>
      <c r="H24" s="102"/>
      <c r="I24" s="102"/>
      <c r="J24" s="102"/>
      <c r="K24" s="102"/>
    </row>
    <row r="25" customFormat="false" ht="22" hidden="false" customHeight="true" outlineLevel="0" collapsed="false">
      <c r="C25" s="102"/>
      <c r="D25" s="102"/>
      <c r="E25" s="102"/>
      <c r="F25" s="102"/>
      <c r="G25" s="102"/>
      <c r="H25" s="102"/>
      <c r="I25" s="102"/>
      <c r="J25" s="102"/>
      <c r="K25" s="102"/>
    </row>
    <row r="26" customFormat="false" ht="25" hidden="false" customHeight="true" outlineLevel="0" collapsed="false">
      <c r="C26" s="74" t="s">
        <v>5113</v>
      </c>
      <c r="D26" s="64"/>
      <c r="E26" s="64"/>
      <c r="F26" s="64"/>
      <c r="G26" s="64"/>
      <c r="H26" s="64"/>
      <c r="I26" s="64"/>
      <c r="J26" s="64"/>
      <c r="K26" s="64"/>
    </row>
    <row r="27" customFormat="false" ht="22" hidden="false" customHeight="true" outlineLevel="0" collapsed="false">
      <c r="C27" s="100" t="s">
        <v>5114</v>
      </c>
      <c r="D27" s="100"/>
      <c r="E27" s="100"/>
      <c r="F27" s="100"/>
      <c r="G27" s="100"/>
      <c r="H27" s="100"/>
      <c r="I27" s="100"/>
      <c r="J27" s="100"/>
      <c r="K27" s="100"/>
    </row>
    <row r="28" customFormat="false" ht="22" hidden="false" customHeight="true" outlineLevel="0" collapsed="false">
      <c r="C28" s="100"/>
      <c r="D28" s="100"/>
      <c r="E28" s="100"/>
      <c r="F28" s="100"/>
      <c r="G28" s="100"/>
      <c r="H28" s="100"/>
      <c r="I28" s="100"/>
      <c r="J28" s="100"/>
      <c r="K28" s="100"/>
    </row>
    <row r="29" customFormat="false" ht="22" hidden="false" customHeight="true" outlineLevel="0" collapsed="false">
      <c r="C29" s="100"/>
      <c r="D29" s="100"/>
      <c r="E29" s="100"/>
      <c r="F29" s="100"/>
      <c r="G29" s="100"/>
      <c r="H29" s="100"/>
      <c r="I29" s="100"/>
      <c r="J29" s="100"/>
      <c r="K29" s="100"/>
    </row>
    <row r="30" customFormat="false" ht="22" hidden="false" customHeight="true" outlineLevel="0" collapsed="false">
      <c r="C30" s="100"/>
      <c r="D30" s="100"/>
      <c r="E30" s="100"/>
      <c r="F30" s="100"/>
      <c r="G30" s="100"/>
      <c r="H30" s="100"/>
      <c r="I30" s="100"/>
      <c r="J30" s="100"/>
      <c r="K30" s="100"/>
    </row>
    <row r="31" customFormat="false" ht="25" hidden="false" customHeight="true" outlineLevel="0" collapsed="false">
      <c r="C31" s="74" t="s">
        <v>5115</v>
      </c>
      <c r="D31" s="64"/>
      <c r="E31" s="64"/>
      <c r="F31" s="64"/>
      <c r="G31" s="64"/>
      <c r="H31" s="64"/>
      <c r="I31" s="64"/>
      <c r="J31" s="64"/>
      <c r="K31" s="64"/>
    </row>
    <row r="32" customFormat="false" ht="22" hidden="false" customHeight="true" outlineLevel="0" collapsed="false">
      <c r="C32" s="100" t="s">
        <v>5116</v>
      </c>
      <c r="D32" s="100"/>
      <c r="E32" s="100"/>
      <c r="F32" s="100"/>
      <c r="G32" s="100"/>
      <c r="H32" s="100"/>
      <c r="I32" s="100"/>
      <c r="J32" s="100"/>
      <c r="K32" s="100"/>
    </row>
    <row r="33" customFormat="false" ht="22" hidden="false" customHeight="true" outlineLevel="0" collapsed="false">
      <c r="C33" s="100"/>
      <c r="D33" s="100"/>
      <c r="E33" s="100"/>
      <c r="F33" s="100"/>
      <c r="G33" s="100"/>
      <c r="H33" s="100"/>
      <c r="I33" s="100"/>
      <c r="J33" s="100"/>
      <c r="K33" s="100"/>
    </row>
    <row r="34" customFormat="false" ht="22" hidden="false" customHeight="true" outlineLevel="0" collapsed="false">
      <c r="C34" s="100"/>
      <c r="D34" s="100"/>
      <c r="E34" s="100"/>
      <c r="F34" s="100"/>
      <c r="G34" s="100"/>
      <c r="H34" s="100"/>
      <c r="I34" s="100"/>
      <c r="J34" s="100"/>
      <c r="K34" s="100"/>
    </row>
    <row r="35" customFormat="false" ht="22" hidden="false" customHeight="true" outlineLevel="0" collapsed="false">
      <c r="C35" s="100"/>
      <c r="D35" s="100"/>
      <c r="E35" s="100"/>
      <c r="F35" s="100"/>
      <c r="G35" s="100"/>
      <c r="H35" s="100"/>
      <c r="I35" s="100"/>
      <c r="J35" s="100"/>
      <c r="K35" s="100"/>
    </row>
    <row r="36" customFormat="false" ht="21" hidden="false" customHeight="true" outlineLevel="0" collapsed="false">
      <c r="C36" s="56"/>
      <c r="D36" s="59"/>
      <c r="E36" s="59"/>
      <c r="F36" s="59"/>
      <c r="G36" s="59"/>
      <c r="H36" s="59"/>
      <c r="I36" s="59"/>
      <c r="J36" s="59"/>
      <c r="K36" s="59"/>
    </row>
    <row r="37" customFormat="false" ht="21" hidden="false" customHeight="true" outlineLevel="0" collapsed="false">
      <c r="C37" s="56"/>
      <c r="D37" s="59"/>
      <c r="E37" s="59"/>
      <c r="F37" s="59"/>
      <c r="G37" s="59"/>
      <c r="H37" s="59"/>
      <c r="I37" s="59"/>
      <c r="J37" s="59"/>
      <c r="K37" s="59"/>
    </row>
    <row r="38" customFormat="false" ht="21" hidden="false" customHeight="true" outlineLevel="0" collapsed="false">
      <c r="C38" s="56"/>
      <c r="D38" s="59"/>
      <c r="E38" s="59"/>
      <c r="F38" s="59"/>
      <c r="G38" s="59"/>
      <c r="H38" s="59"/>
      <c r="I38" s="59"/>
      <c r="J38" s="59"/>
      <c r="K38" s="59"/>
    </row>
    <row r="39" customFormat="false" ht="21" hidden="false" customHeight="true" outlineLevel="0" collapsed="false">
      <c r="C39" s="56"/>
      <c r="D39" s="59"/>
      <c r="E39" s="59"/>
      <c r="F39" s="59"/>
      <c r="G39" s="59"/>
      <c r="H39" s="59"/>
      <c r="I39" s="59"/>
      <c r="J39" s="59"/>
      <c r="K39" s="59"/>
    </row>
    <row r="40" customFormat="false" ht="21" hidden="false" customHeight="true" outlineLevel="0" collapsed="false">
      <c r="C40" s="56"/>
      <c r="D40" s="59"/>
      <c r="E40" s="59"/>
      <c r="F40" s="59"/>
      <c r="G40" s="59"/>
      <c r="H40" s="59"/>
      <c r="I40" s="59"/>
      <c r="J40" s="59"/>
      <c r="K40" s="59"/>
    </row>
    <row r="41" customFormat="false" ht="21" hidden="false" customHeight="true" outlineLevel="0" collapsed="false">
      <c r="C41" s="56"/>
      <c r="D41" s="59"/>
      <c r="E41" s="59"/>
      <c r="F41" s="59"/>
      <c r="G41" s="59"/>
      <c r="H41" s="59"/>
      <c r="I41" s="59"/>
      <c r="J41" s="59"/>
      <c r="K41" s="59"/>
    </row>
    <row r="42" customFormat="false" ht="21" hidden="false" customHeight="true" outlineLevel="0" collapsed="false">
      <c r="C42" s="56"/>
      <c r="D42" s="59"/>
      <c r="E42" s="59"/>
      <c r="F42" s="59"/>
      <c r="G42" s="59"/>
      <c r="H42" s="59"/>
      <c r="I42" s="59"/>
      <c r="J42" s="59"/>
      <c r="K42" s="59"/>
    </row>
    <row r="43" customFormat="false" ht="21" hidden="false" customHeight="true" outlineLevel="0" collapsed="false">
      <c r="C43" s="56"/>
      <c r="D43" s="59"/>
      <c r="E43" s="59"/>
      <c r="F43" s="59"/>
      <c r="G43" s="59"/>
      <c r="H43" s="59"/>
      <c r="I43" s="59"/>
      <c r="J43" s="59"/>
      <c r="K43" s="59"/>
    </row>
    <row r="44" customFormat="false" ht="21" hidden="false" customHeight="true" outlineLevel="0" collapsed="false">
      <c r="C44" s="56"/>
      <c r="D44" s="59"/>
      <c r="E44" s="59"/>
      <c r="F44" s="59"/>
      <c r="G44" s="59"/>
      <c r="H44" s="59"/>
      <c r="I44" s="59"/>
      <c r="J44" s="59"/>
      <c r="K44" s="59"/>
    </row>
    <row r="45" customFormat="false" ht="21" hidden="false" customHeight="true" outlineLevel="0" collapsed="false">
      <c r="C45" s="56"/>
      <c r="D45" s="59"/>
      <c r="E45" s="59"/>
      <c r="F45" s="59"/>
      <c r="G45" s="59"/>
      <c r="H45" s="59"/>
      <c r="I45" s="59"/>
      <c r="J45" s="59"/>
      <c r="K45" s="59"/>
    </row>
    <row r="46" customFormat="false" ht="21" hidden="false" customHeight="true" outlineLevel="0" collapsed="false">
      <c r="C46" s="56"/>
      <c r="D46" s="59"/>
      <c r="E46" s="59"/>
      <c r="F46" s="59"/>
      <c r="G46" s="59"/>
      <c r="H46" s="59"/>
      <c r="I46" s="59"/>
      <c r="J46" s="59"/>
      <c r="K46" s="59"/>
    </row>
    <row r="47" customFormat="false" ht="21" hidden="false" customHeight="true" outlineLevel="0" collapsed="false">
      <c r="C47" s="56"/>
      <c r="D47" s="59"/>
      <c r="E47" s="59"/>
      <c r="F47" s="59"/>
      <c r="G47" s="59"/>
      <c r="H47" s="59"/>
      <c r="I47" s="59"/>
      <c r="J47" s="59"/>
      <c r="K47" s="59"/>
    </row>
    <row r="48" customFormat="false" ht="21" hidden="false" customHeight="true" outlineLevel="0" collapsed="false">
      <c r="C48" s="56"/>
      <c r="D48" s="59"/>
      <c r="E48" s="59"/>
      <c r="F48" s="59"/>
      <c r="G48" s="59"/>
      <c r="H48" s="59"/>
      <c r="I48" s="59"/>
      <c r="J48" s="59"/>
      <c r="K48" s="59"/>
    </row>
    <row r="49" customFormat="false" ht="21" hidden="false" customHeight="true" outlineLevel="0" collapsed="false">
      <c r="C49" s="56"/>
      <c r="D49" s="59"/>
      <c r="E49" s="59"/>
      <c r="F49" s="59"/>
      <c r="G49" s="59"/>
      <c r="H49" s="59"/>
      <c r="I49" s="59"/>
      <c r="J49" s="59"/>
      <c r="K49" s="59"/>
    </row>
    <row r="50" customFormat="false" ht="21" hidden="false" customHeight="true" outlineLevel="0" collapsed="false">
      <c r="C50" s="56"/>
      <c r="D50" s="59"/>
      <c r="E50" s="59"/>
      <c r="F50" s="59"/>
      <c r="G50" s="59"/>
      <c r="H50" s="59"/>
      <c r="I50" s="59"/>
      <c r="J50" s="59"/>
      <c r="K50" s="59"/>
    </row>
    <row r="51" customFormat="false" ht="21" hidden="false" customHeight="true" outlineLevel="0" collapsed="false">
      <c r="C51" s="56"/>
      <c r="D51" s="59"/>
      <c r="E51" s="59"/>
      <c r="F51" s="59"/>
      <c r="G51" s="59"/>
      <c r="H51" s="59"/>
      <c r="I51" s="59"/>
      <c r="J51" s="59"/>
      <c r="K51" s="59"/>
    </row>
    <row r="52" customFormat="false" ht="21" hidden="false" customHeight="true" outlineLevel="0" collapsed="false">
      <c r="C52" s="56"/>
      <c r="D52" s="59"/>
      <c r="E52" s="59"/>
      <c r="F52" s="59"/>
      <c r="G52" s="59"/>
      <c r="H52" s="59"/>
      <c r="I52" s="59"/>
      <c r="J52" s="59"/>
      <c r="K52" s="59"/>
    </row>
    <row r="53" customFormat="false" ht="21" hidden="false" customHeight="true" outlineLevel="0" collapsed="false">
      <c r="C53" s="56"/>
      <c r="D53" s="59"/>
      <c r="E53" s="59"/>
      <c r="F53" s="59"/>
      <c r="G53" s="59"/>
      <c r="H53" s="59"/>
      <c r="I53" s="59"/>
      <c r="J53" s="59"/>
      <c r="K53" s="59"/>
    </row>
    <row r="54" customFormat="false" ht="21" hidden="false" customHeight="true" outlineLevel="0" collapsed="false">
      <c r="C54" s="56"/>
      <c r="D54" s="59"/>
      <c r="E54" s="59"/>
      <c r="F54" s="59"/>
      <c r="G54" s="59"/>
      <c r="H54" s="59"/>
      <c r="I54" s="59"/>
      <c r="J54" s="59"/>
      <c r="K54" s="59"/>
    </row>
    <row r="55" customFormat="false" ht="21" hidden="false" customHeight="true" outlineLevel="0" collapsed="false">
      <c r="C55" s="56"/>
      <c r="D55" s="59"/>
      <c r="E55" s="59"/>
      <c r="F55" s="59"/>
      <c r="G55" s="59"/>
      <c r="H55" s="59"/>
      <c r="I55" s="59"/>
      <c r="J55" s="59"/>
      <c r="K55" s="59"/>
    </row>
    <row r="56" customFormat="false" ht="21" hidden="false" customHeight="true" outlineLevel="0" collapsed="false">
      <c r="C56" s="56"/>
      <c r="D56" s="59"/>
      <c r="E56" s="59"/>
      <c r="F56" s="59"/>
      <c r="G56" s="59"/>
      <c r="H56" s="59"/>
      <c r="I56" s="59"/>
      <c r="J56" s="59"/>
      <c r="K56" s="59"/>
    </row>
    <row r="57" customFormat="false" ht="21" hidden="false" customHeight="true" outlineLevel="0" collapsed="false">
      <c r="C57" s="56"/>
      <c r="D57" s="59"/>
      <c r="E57" s="59"/>
      <c r="F57" s="59"/>
      <c r="G57" s="59"/>
      <c r="H57" s="59"/>
      <c r="I57" s="59"/>
      <c r="J57" s="59"/>
      <c r="K57" s="59"/>
    </row>
    <row r="58" customFormat="false" ht="21" hidden="false" customHeight="true" outlineLevel="0" collapsed="false">
      <c r="C58" s="56"/>
      <c r="D58" s="59"/>
      <c r="E58" s="59"/>
      <c r="F58" s="59"/>
      <c r="G58" s="59"/>
      <c r="H58" s="59"/>
      <c r="I58" s="59"/>
      <c r="J58" s="59"/>
      <c r="K58" s="59"/>
    </row>
    <row r="59" customFormat="false" ht="21" hidden="false" customHeight="true" outlineLevel="0" collapsed="false">
      <c r="C59" s="56"/>
      <c r="D59" s="59"/>
      <c r="E59" s="59"/>
      <c r="F59" s="59"/>
      <c r="G59" s="59"/>
      <c r="H59" s="59"/>
      <c r="I59" s="59"/>
      <c r="J59" s="59"/>
      <c r="K59" s="59"/>
    </row>
    <row r="60" customFormat="false" ht="21" hidden="false" customHeight="true" outlineLevel="0" collapsed="false">
      <c r="C60" s="56"/>
      <c r="D60" s="59"/>
      <c r="E60" s="59"/>
      <c r="F60" s="59"/>
      <c r="G60" s="59"/>
      <c r="H60" s="59"/>
      <c r="I60" s="59"/>
      <c r="J60" s="59"/>
      <c r="K60" s="59"/>
    </row>
    <row r="61" customFormat="false" ht="21" hidden="false" customHeight="true" outlineLevel="0" collapsed="false">
      <c r="C61" s="56"/>
      <c r="D61" s="59"/>
      <c r="E61" s="59"/>
      <c r="F61" s="59"/>
      <c r="G61" s="59"/>
      <c r="H61" s="59"/>
      <c r="I61" s="59"/>
      <c r="J61" s="59"/>
      <c r="K61" s="59"/>
    </row>
    <row r="62" customFormat="false" ht="21" hidden="false" customHeight="true" outlineLevel="0" collapsed="false">
      <c r="C62" s="56"/>
      <c r="D62" s="59"/>
      <c r="E62" s="59"/>
      <c r="F62" s="59"/>
      <c r="G62" s="59"/>
      <c r="H62" s="59"/>
      <c r="I62" s="59"/>
      <c r="J62" s="59"/>
      <c r="K62" s="59"/>
    </row>
    <row r="63" customFormat="false" ht="21" hidden="false" customHeight="true" outlineLevel="0" collapsed="false">
      <c r="C63" s="56"/>
      <c r="D63" s="59"/>
      <c r="E63" s="59"/>
      <c r="F63" s="59"/>
      <c r="G63" s="59"/>
      <c r="H63" s="59"/>
      <c r="I63" s="59"/>
      <c r="J63" s="59"/>
      <c r="K63" s="59"/>
    </row>
    <row r="64" customFormat="false" ht="21" hidden="false" customHeight="true" outlineLevel="0" collapsed="false">
      <c r="C64" s="56"/>
      <c r="D64" s="59"/>
      <c r="E64" s="59"/>
      <c r="F64" s="59"/>
      <c r="G64" s="59"/>
      <c r="H64" s="59"/>
      <c r="I64" s="59"/>
      <c r="J64" s="59"/>
      <c r="K64" s="59"/>
    </row>
    <row r="65" customFormat="false" ht="21" hidden="false" customHeight="true" outlineLevel="0" collapsed="false">
      <c r="C65" s="56"/>
      <c r="D65" s="59"/>
      <c r="E65" s="59"/>
      <c r="F65" s="59"/>
      <c r="G65" s="59"/>
      <c r="H65" s="59"/>
      <c r="I65" s="59"/>
      <c r="J65" s="59"/>
      <c r="K65" s="59"/>
    </row>
    <row r="66" customFormat="false" ht="21" hidden="false" customHeight="true" outlineLevel="0" collapsed="false">
      <c r="C66" s="56"/>
      <c r="D66" s="59"/>
      <c r="E66" s="59"/>
      <c r="F66" s="59"/>
      <c r="G66" s="59"/>
      <c r="H66" s="59"/>
      <c r="I66" s="59"/>
      <c r="J66" s="59"/>
      <c r="K66" s="59"/>
    </row>
    <row r="67" customFormat="false" ht="21" hidden="false" customHeight="true" outlineLevel="0" collapsed="false">
      <c r="C67" s="56"/>
      <c r="D67" s="59"/>
      <c r="E67" s="59"/>
      <c r="F67" s="59"/>
      <c r="G67" s="59"/>
      <c r="H67" s="59"/>
      <c r="I67" s="59"/>
      <c r="J67" s="59"/>
      <c r="K67" s="59"/>
    </row>
    <row r="68" customFormat="false" ht="21" hidden="false" customHeight="true" outlineLevel="0" collapsed="false">
      <c r="C68" s="56"/>
      <c r="D68" s="59"/>
      <c r="E68" s="59"/>
      <c r="F68" s="59"/>
      <c r="G68" s="59"/>
      <c r="H68" s="59"/>
      <c r="I68" s="59"/>
      <c r="J68" s="59"/>
      <c r="K68" s="59"/>
    </row>
    <row r="69" customFormat="false" ht="21" hidden="false" customHeight="true" outlineLevel="0" collapsed="false">
      <c r="C69" s="56"/>
      <c r="D69" s="59"/>
      <c r="E69" s="59"/>
      <c r="F69" s="59"/>
      <c r="G69" s="59"/>
      <c r="H69" s="59"/>
      <c r="I69" s="59"/>
      <c r="J69" s="59"/>
      <c r="K69" s="59"/>
    </row>
    <row r="70" customFormat="false" ht="21" hidden="false" customHeight="true" outlineLevel="0" collapsed="false">
      <c r="C70" s="56"/>
      <c r="D70" s="59"/>
      <c r="E70" s="59"/>
      <c r="F70" s="59"/>
      <c r="G70" s="59"/>
      <c r="H70" s="59"/>
      <c r="I70" s="59"/>
      <c r="J70" s="59"/>
      <c r="K70" s="59"/>
    </row>
    <row r="71" customFormat="false" ht="21" hidden="false" customHeight="true" outlineLevel="0" collapsed="false">
      <c r="C71" s="56"/>
      <c r="D71" s="59"/>
      <c r="E71" s="59"/>
      <c r="F71" s="59"/>
      <c r="G71" s="59"/>
      <c r="H71" s="59"/>
      <c r="I71" s="59"/>
      <c r="J71" s="59"/>
      <c r="K71" s="59"/>
    </row>
    <row r="72" customFormat="false" ht="21" hidden="false" customHeight="true" outlineLevel="0" collapsed="false">
      <c r="C72" s="56"/>
      <c r="D72" s="59"/>
      <c r="E72" s="59"/>
      <c r="F72" s="59"/>
      <c r="G72" s="59"/>
      <c r="H72" s="59"/>
      <c r="I72" s="59"/>
      <c r="J72" s="59"/>
      <c r="K72" s="59"/>
    </row>
    <row r="73" customFormat="false" ht="21" hidden="false" customHeight="true" outlineLevel="0" collapsed="false">
      <c r="C73" s="56"/>
      <c r="D73" s="59"/>
      <c r="E73" s="59"/>
      <c r="F73" s="59"/>
      <c r="G73" s="59"/>
      <c r="H73" s="59"/>
      <c r="I73" s="59"/>
      <c r="J73" s="59"/>
      <c r="K73" s="59"/>
    </row>
    <row r="74" customFormat="false" ht="21" hidden="false" customHeight="true" outlineLevel="0" collapsed="false">
      <c r="C74" s="56"/>
      <c r="D74" s="59"/>
      <c r="E74" s="59"/>
      <c r="F74" s="59"/>
      <c r="G74" s="59"/>
      <c r="H74" s="59"/>
      <c r="I74" s="59"/>
      <c r="J74" s="59"/>
      <c r="K74" s="59"/>
    </row>
    <row r="75" customFormat="false" ht="21" hidden="false" customHeight="true" outlineLevel="0" collapsed="false">
      <c r="C75" s="56"/>
      <c r="D75" s="59"/>
      <c r="E75" s="59"/>
      <c r="F75" s="59"/>
      <c r="G75" s="59"/>
      <c r="H75" s="59"/>
      <c r="I75" s="59"/>
      <c r="J75" s="59"/>
      <c r="K75" s="59"/>
    </row>
    <row r="76" customFormat="false" ht="21" hidden="false" customHeight="true" outlineLevel="0" collapsed="false">
      <c r="C76" s="56"/>
      <c r="D76" s="59"/>
      <c r="E76" s="59"/>
      <c r="F76" s="59"/>
      <c r="G76" s="59"/>
      <c r="H76" s="59"/>
      <c r="I76" s="59"/>
      <c r="J76" s="59"/>
      <c r="K76" s="59"/>
    </row>
    <row r="77" customFormat="false" ht="21" hidden="false" customHeight="true" outlineLevel="0" collapsed="false">
      <c r="C77" s="56"/>
      <c r="D77" s="59"/>
      <c r="E77" s="59"/>
      <c r="F77" s="59"/>
      <c r="G77" s="59"/>
      <c r="H77" s="59"/>
      <c r="I77" s="59"/>
      <c r="J77" s="59"/>
      <c r="K77" s="59"/>
    </row>
    <row r="78" customFormat="false" ht="21" hidden="false" customHeight="true" outlineLevel="0" collapsed="false">
      <c r="C78" s="56"/>
      <c r="D78" s="59"/>
      <c r="E78" s="59"/>
      <c r="F78" s="59"/>
      <c r="G78" s="59"/>
      <c r="H78" s="59"/>
      <c r="I78" s="59"/>
      <c r="J78" s="59"/>
      <c r="K78" s="59"/>
    </row>
    <row r="79" customFormat="false" ht="21" hidden="false" customHeight="true" outlineLevel="0" collapsed="false">
      <c r="C79" s="56"/>
      <c r="D79" s="59"/>
      <c r="E79" s="59"/>
      <c r="F79" s="59"/>
      <c r="G79" s="59"/>
      <c r="H79" s="59"/>
      <c r="I79" s="59"/>
      <c r="J79" s="59"/>
      <c r="K79" s="59"/>
    </row>
    <row r="80" customFormat="false" ht="21" hidden="false" customHeight="true" outlineLevel="0" collapsed="false">
      <c r="C80" s="56"/>
      <c r="D80" s="59"/>
      <c r="E80" s="59"/>
      <c r="F80" s="59"/>
      <c r="G80" s="59"/>
      <c r="H80" s="59"/>
      <c r="I80" s="59"/>
      <c r="J80" s="59"/>
      <c r="K80" s="59"/>
    </row>
    <row r="81" customFormat="false" ht="21" hidden="false" customHeight="true" outlineLevel="0" collapsed="false">
      <c r="C81" s="56"/>
      <c r="D81" s="59"/>
      <c r="E81" s="59"/>
      <c r="F81" s="59"/>
      <c r="G81" s="59"/>
      <c r="H81" s="59"/>
      <c r="I81" s="59"/>
      <c r="J81" s="59"/>
      <c r="K81" s="59"/>
    </row>
    <row r="82" customFormat="false" ht="21" hidden="false" customHeight="true" outlineLevel="0" collapsed="false">
      <c r="C82" s="56"/>
      <c r="D82" s="59"/>
      <c r="E82" s="59"/>
      <c r="F82" s="59"/>
      <c r="G82" s="59"/>
      <c r="H82" s="59"/>
      <c r="I82" s="59"/>
      <c r="J82" s="59"/>
      <c r="K82" s="59"/>
    </row>
    <row r="83" customFormat="false" ht="21" hidden="false" customHeight="true" outlineLevel="0" collapsed="false">
      <c r="C83" s="56"/>
      <c r="D83" s="59"/>
      <c r="E83" s="59"/>
      <c r="F83" s="59"/>
      <c r="G83" s="59"/>
      <c r="H83" s="59"/>
      <c r="I83" s="59"/>
      <c r="J83" s="59"/>
      <c r="K83" s="59"/>
    </row>
    <row r="84" customFormat="false" ht="21" hidden="false" customHeight="true" outlineLevel="0" collapsed="false">
      <c r="C84" s="56"/>
      <c r="D84" s="59"/>
      <c r="E84" s="59"/>
      <c r="F84" s="59"/>
      <c r="G84" s="59"/>
      <c r="H84" s="59"/>
      <c r="I84" s="59"/>
      <c r="J84" s="59"/>
      <c r="K84" s="59"/>
    </row>
    <row r="85" customFormat="false" ht="21" hidden="false" customHeight="true" outlineLevel="0" collapsed="false">
      <c r="C85" s="56"/>
      <c r="D85" s="59"/>
      <c r="E85" s="59"/>
      <c r="F85" s="59"/>
      <c r="G85" s="59"/>
      <c r="H85" s="59"/>
      <c r="I85" s="59"/>
      <c r="J85" s="59"/>
      <c r="K85" s="59"/>
    </row>
    <row r="86" customFormat="false" ht="21" hidden="false" customHeight="true" outlineLevel="0" collapsed="false">
      <c r="C86" s="56"/>
      <c r="D86" s="59"/>
      <c r="E86" s="59"/>
      <c r="F86" s="59"/>
      <c r="G86" s="59"/>
      <c r="H86" s="59"/>
      <c r="I86" s="59"/>
      <c r="J86" s="59"/>
      <c r="K86" s="59"/>
    </row>
    <row r="87" customFormat="false" ht="21" hidden="false" customHeight="true" outlineLevel="0" collapsed="false">
      <c r="C87" s="56"/>
      <c r="D87" s="59"/>
      <c r="E87" s="59"/>
      <c r="F87" s="59"/>
      <c r="G87" s="59"/>
      <c r="H87" s="59"/>
      <c r="I87" s="59"/>
      <c r="J87" s="59"/>
      <c r="K87" s="59"/>
    </row>
    <row r="88" customFormat="false" ht="21" hidden="false" customHeight="true" outlineLevel="0" collapsed="false">
      <c r="C88" s="56"/>
      <c r="D88" s="59"/>
      <c r="E88" s="59"/>
      <c r="F88" s="59"/>
      <c r="G88" s="59"/>
      <c r="H88" s="59"/>
      <c r="I88" s="59"/>
      <c r="J88" s="59"/>
      <c r="K88" s="59"/>
    </row>
    <row r="89" customFormat="false" ht="21" hidden="false" customHeight="true" outlineLevel="0" collapsed="false">
      <c r="C89" s="56"/>
      <c r="D89" s="59"/>
      <c r="E89" s="59"/>
      <c r="F89" s="59"/>
      <c r="G89" s="59"/>
      <c r="H89" s="59"/>
      <c r="I89" s="59"/>
      <c r="J89" s="59"/>
      <c r="K89" s="59"/>
    </row>
    <row r="90" customFormat="false" ht="21" hidden="false" customHeight="true" outlineLevel="0" collapsed="false">
      <c r="C90" s="56"/>
      <c r="D90" s="59"/>
      <c r="E90" s="59"/>
      <c r="F90" s="59"/>
      <c r="G90" s="59"/>
      <c r="H90" s="59"/>
      <c r="I90" s="59"/>
      <c r="J90" s="59"/>
      <c r="K90" s="59"/>
    </row>
    <row r="91" customFormat="false" ht="21" hidden="false" customHeight="true" outlineLevel="0" collapsed="false">
      <c r="C91" s="56"/>
      <c r="D91" s="59"/>
      <c r="E91" s="59"/>
      <c r="F91" s="59"/>
      <c r="G91" s="59"/>
      <c r="H91" s="59"/>
      <c r="I91" s="59"/>
      <c r="J91" s="59"/>
      <c r="K91" s="59"/>
    </row>
    <row r="92" customFormat="false" ht="21" hidden="false" customHeight="true" outlineLevel="0" collapsed="false">
      <c r="C92" s="56"/>
      <c r="D92" s="59"/>
      <c r="E92" s="59"/>
      <c r="F92" s="59"/>
      <c r="G92" s="59"/>
      <c r="H92" s="59"/>
      <c r="I92" s="59"/>
      <c r="J92" s="59"/>
      <c r="K92" s="59"/>
    </row>
    <row r="93" customFormat="false" ht="21" hidden="false" customHeight="true" outlineLevel="0" collapsed="false">
      <c r="C93" s="56"/>
      <c r="D93" s="59"/>
      <c r="E93" s="59"/>
      <c r="F93" s="59"/>
      <c r="G93" s="59"/>
      <c r="H93" s="59"/>
      <c r="I93" s="59"/>
      <c r="J93" s="59"/>
      <c r="K93" s="59"/>
    </row>
    <row r="94" customFormat="false" ht="21" hidden="false" customHeight="true" outlineLevel="0" collapsed="false">
      <c r="C94" s="56"/>
      <c r="D94" s="59"/>
      <c r="E94" s="59"/>
      <c r="F94" s="59"/>
      <c r="G94" s="59"/>
      <c r="H94" s="59"/>
      <c r="I94" s="59"/>
      <c r="J94" s="59"/>
      <c r="K94" s="59"/>
    </row>
    <row r="95" customFormat="false" ht="21" hidden="false" customHeight="true" outlineLevel="0" collapsed="false">
      <c r="C95" s="56"/>
      <c r="D95" s="59"/>
      <c r="E95" s="59"/>
      <c r="F95" s="59"/>
      <c r="G95" s="59"/>
      <c r="H95" s="59"/>
      <c r="I95" s="59"/>
      <c r="J95" s="59"/>
      <c r="K95" s="59"/>
    </row>
    <row r="96" customFormat="false" ht="21" hidden="false" customHeight="true" outlineLevel="0" collapsed="false">
      <c r="C96" s="56"/>
      <c r="D96" s="59"/>
      <c r="E96" s="59"/>
      <c r="F96" s="59"/>
      <c r="G96" s="59"/>
      <c r="H96" s="59"/>
      <c r="I96" s="59"/>
      <c r="J96" s="59"/>
      <c r="K96" s="59"/>
    </row>
    <row r="97" customFormat="false" ht="21" hidden="false" customHeight="true" outlineLevel="0" collapsed="false">
      <c r="C97" s="56"/>
      <c r="D97" s="59"/>
      <c r="E97" s="59"/>
      <c r="F97" s="59"/>
      <c r="G97" s="59"/>
      <c r="H97" s="59"/>
      <c r="I97" s="59"/>
      <c r="J97" s="59"/>
      <c r="K97" s="59"/>
    </row>
    <row r="98" customFormat="false" ht="21" hidden="false" customHeight="true" outlineLevel="0" collapsed="false">
      <c r="C98" s="56"/>
      <c r="D98" s="59"/>
      <c r="E98" s="59"/>
      <c r="F98" s="59"/>
      <c r="G98" s="59"/>
      <c r="H98" s="59"/>
      <c r="I98" s="59"/>
      <c r="J98" s="59"/>
      <c r="K98" s="59"/>
    </row>
    <row r="99" customFormat="false" ht="21" hidden="false" customHeight="true" outlineLevel="0" collapsed="false">
      <c r="C99" s="56"/>
      <c r="D99" s="59"/>
      <c r="E99" s="59"/>
      <c r="F99" s="59"/>
      <c r="G99" s="59"/>
      <c r="H99" s="59"/>
      <c r="I99" s="59"/>
      <c r="J99" s="59"/>
      <c r="K99" s="59"/>
    </row>
    <row r="100" customFormat="false" ht="21" hidden="false" customHeight="true" outlineLevel="0" collapsed="false">
      <c r="C100" s="56"/>
      <c r="D100" s="59"/>
      <c r="E100" s="59"/>
      <c r="F100" s="59"/>
      <c r="G100" s="59"/>
      <c r="H100" s="59"/>
      <c r="I100" s="59"/>
      <c r="J100" s="59"/>
      <c r="K100" s="59"/>
    </row>
    <row r="101" customFormat="false" ht="21" hidden="false" customHeight="true" outlineLevel="0" collapsed="false">
      <c r="C101" s="56"/>
      <c r="D101" s="59"/>
      <c r="E101" s="59"/>
      <c r="F101" s="59"/>
      <c r="G101" s="59"/>
      <c r="H101" s="59"/>
      <c r="I101" s="59"/>
      <c r="J101" s="59"/>
      <c r="K101" s="59"/>
    </row>
    <row r="102" customFormat="false" ht="21" hidden="false" customHeight="true" outlineLevel="0" collapsed="false">
      <c r="C102" s="56"/>
      <c r="D102" s="59"/>
      <c r="E102" s="59"/>
      <c r="F102" s="59"/>
      <c r="G102" s="59"/>
      <c r="H102" s="59"/>
      <c r="I102" s="59"/>
      <c r="J102" s="59"/>
      <c r="K102" s="59"/>
    </row>
    <row r="103" customFormat="false" ht="21" hidden="false" customHeight="true" outlineLevel="0" collapsed="false">
      <c r="C103" s="56"/>
      <c r="D103" s="59"/>
      <c r="E103" s="59"/>
      <c r="F103" s="59"/>
      <c r="G103" s="59"/>
      <c r="H103" s="59"/>
      <c r="I103" s="59"/>
      <c r="J103" s="59"/>
      <c r="K103" s="59"/>
    </row>
    <row r="104" customFormat="false" ht="21" hidden="false" customHeight="true" outlineLevel="0" collapsed="false">
      <c r="C104" s="56"/>
      <c r="D104" s="59"/>
      <c r="E104" s="59"/>
      <c r="F104" s="59"/>
      <c r="G104" s="59"/>
      <c r="H104" s="59"/>
      <c r="I104" s="59"/>
      <c r="J104" s="59"/>
      <c r="K104" s="59"/>
    </row>
    <row r="105" customFormat="false" ht="21" hidden="false" customHeight="true" outlineLevel="0" collapsed="false">
      <c r="C105" s="56"/>
      <c r="D105" s="59"/>
      <c r="E105" s="59"/>
      <c r="F105" s="59"/>
      <c r="G105" s="59"/>
      <c r="H105" s="59"/>
      <c r="I105" s="59"/>
      <c r="J105" s="59"/>
      <c r="K105" s="59"/>
    </row>
    <row r="106" customFormat="false" ht="21" hidden="false" customHeight="true" outlineLevel="0" collapsed="false">
      <c r="C106" s="56"/>
      <c r="D106" s="59"/>
      <c r="E106" s="59"/>
      <c r="F106" s="59"/>
      <c r="G106" s="59"/>
      <c r="H106" s="59"/>
      <c r="I106" s="59"/>
      <c r="J106" s="59"/>
      <c r="K106" s="59"/>
    </row>
    <row r="107" customFormat="false" ht="21" hidden="false" customHeight="true" outlineLevel="0" collapsed="false">
      <c r="C107" s="56"/>
      <c r="D107" s="59"/>
      <c r="E107" s="59"/>
      <c r="F107" s="59"/>
      <c r="G107" s="59"/>
      <c r="H107" s="59"/>
      <c r="I107" s="59"/>
      <c r="J107" s="59"/>
      <c r="K107" s="59"/>
    </row>
    <row r="108" customFormat="false" ht="21" hidden="false" customHeight="true" outlineLevel="0" collapsed="false">
      <c r="C108" s="56"/>
      <c r="D108" s="59"/>
      <c r="E108" s="59"/>
      <c r="F108" s="59"/>
      <c r="G108" s="59"/>
      <c r="H108" s="59"/>
      <c r="I108" s="59"/>
      <c r="J108" s="59"/>
      <c r="K108" s="59"/>
    </row>
    <row r="109" customFormat="false" ht="21" hidden="false" customHeight="true" outlineLevel="0" collapsed="false">
      <c r="C109" s="56"/>
      <c r="D109" s="59"/>
      <c r="E109" s="59"/>
      <c r="F109" s="59"/>
      <c r="G109" s="59"/>
      <c r="H109" s="59"/>
      <c r="I109" s="59"/>
      <c r="J109" s="59"/>
      <c r="K109" s="59"/>
    </row>
    <row r="110" customFormat="false" ht="21" hidden="false" customHeight="true" outlineLevel="0" collapsed="false">
      <c r="C110" s="56"/>
      <c r="D110" s="59"/>
      <c r="E110" s="59"/>
      <c r="F110" s="59"/>
      <c r="G110" s="59"/>
      <c r="H110" s="59"/>
      <c r="I110" s="59"/>
      <c r="J110" s="59"/>
      <c r="K110" s="59"/>
    </row>
    <row r="111" customFormat="false" ht="21" hidden="false" customHeight="true" outlineLevel="0" collapsed="false">
      <c r="C111" s="56"/>
      <c r="D111" s="59"/>
      <c r="E111" s="59"/>
      <c r="F111" s="59"/>
      <c r="G111" s="59"/>
      <c r="H111" s="59"/>
      <c r="I111" s="59"/>
      <c r="J111" s="59"/>
      <c r="K111" s="59"/>
    </row>
    <row r="112" customFormat="false" ht="21" hidden="false" customHeight="true" outlineLevel="0" collapsed="false">
      <c r="C112" s="56"/>
      <c r="D112" s="59"/>
      <c r="E112" s="59"/>
      <c r="F112" s="59"/>
      <c r="G112" s="59"/>
      <c r="H112" s="59"/>
      <c r="I112" s="59"/>
      <c r="J112" s="59"/>
      <c r="K112" s="59"/>
    </row>
    <row r="113" customFormat="false" ht="21" hidden="false" customHeight="true" outlineLevel="0" collapsed="false">
      <c r="C113" s="56"/>
      <c r="D113" s="59"/>
      <c r="E113" s="59"/>
      <c r="F113" s="59"/>
      <c r="G113" s="59"/>
      <c r="H113" s="59"/>
      <c r="I113" s="59"/>
      <c r="J113" s="59"/>
      <c r="K113" s="59"/>
    </row>
    <row r="114" customFormat="false" ht="21" hidden="false" customHeight="true" outlineLevel="0" collapsed="false">
      <c r="C114" s="56"/>
      <c r="D114" s="59"/>
      <c r="E114" s="59"/>
      <c r="F114" s="59"/>
      <c r="G114" s="59"/>
      <c r="H114" s="59"/>
      <c r="I114" s="59"/>
      <c r="J114" s="59"/>
      <c r="K114" s="59"/>
    </row>
    <row r="115" customFormat="false" ht="21" hidden="false" customHeight="true" outlineLevel="0" collapsed="false">
      <c r="C115" s="56"/>
      <c r="D115" s="59"/>
      <c r="E115" s="59"/>
      <c r="F115" s="59"/>
      <c r="G115" s="59"/>
      <c r="H115" s="59"/>
      <c r="I115" s="59"/>
      <c r="J115" s="59"/>
      <c r="K115" s="59"/>
    </row>
    <row r="116" customFormat="false" ht="21" hidden="false" customHeight="true" outlineLevel="0" collapsed="false">
      <c r="C116" s="56"/>
      <c r="D116" s="59"/>
      <c r="E116" s="59"/>
      <c r="F116" s="59"/>
      <c r="G116" s="59"/>
      <c r="H116" s="59"/>
      <c r="I116" s="59"/>
      <c r="J116" s="59"/>
      <c r="K116" s="59"/>
    </row>
    <row r="117" customFormat="false" ht="21" hidden="false" customHeight="true" outlineLevel="0" collapsed="false">
      <c r="C117" s="56"/>
      <c r="D117" s="59"/>
      <c r="E117" s="59"/>
      <c r="F117" s="59"/>
      <c r="G117" s="59"/>
      <c r="H117" s="59"/>
      <c r="I117" s="59"/>
      <c r="J117" s="59"/>
      <c r="K117" s="59"/>
    </row>
    <row r="118" customFormat="false" ht="21" hidden="false" customHeight="true" outlineLevel="0" collapsed="false">
      <c r="C118" s="56"/>
      <c r="D118" s="59"/>
      <c r="E118" s="59"/>
      <c r="F118" s="59"/>
      <c r="G118" s="59"/>
      <c r="H118" s="59"/>
      <c r="I118" s="59"/>
      <c r="J118" s="59"/>
      <c r="K118" s="59"/>
    </row>
    <row r="119" customFormat="false" ht="21" hidden="false" customHeight="true" outlineLevel="0" collapsed="false">
      <c r="C119" s="56"/>
      <c r="D119" s="59"/>
      <c r="E119" s="59"/>
      <c r="F119" s="59"/>
      <c r="G119" s="59"/>
      <c r="H119" s="59"/>
      <c r="I119" s="59"/>
      <c r="J119" s="59"/>
      <c r="K119" s="59"/>
    </row>
    <row r="120" customFormat="false" ht="21" hidden="false" customHeight="true" outlineLevel="0" collapsed="false">
      <c r="C120" s="56"/>
      <c r="D120" s="59"/>
      <c r="E120" s="59"/>
      <c r="F120" s="59"/>
      <c r="G120" s="59"/>
      <c r="H120" s="59"/>
      <c r="I120" s="59"/>
      <c r="J120" s="59"/>
      <c r="K120" s="59"/>
    </row>
    <row r="121" customFormat="false" ht="21" hidden="false" customHeight="true" outlineLevel="0" collapsed="false">
      <c r="C121" s="56"/>
      <c r="D121" s="59"/>
      <c r="E121" s="59"/>
      <c r="F121" s="59"/>
      <c r="G121" s="59"/>
      <c r="H121" s="59"/>
      <c r="I121" s="59"/>
      <c r="J121" s="59"/>
      <c r="K121" s="59"/>
    </row>
    <row r="122" customFormat="false" ht="21" hidden="false" customHeight="true" outlineLevel="0" collapsed="false">
      <c r="C122" s="56"/>
      <c r="D122" s="59"/>
      <c r="E122" s="59"/>
      <c r="F122" s="59"/>
      <c r="G122" s="59"/>
      <c r="H122" s="59"/>
      <c r="I122" s="59"/>
      <c r="J122" s="59"/>
      <c r="K122" s="59"/>
    </row>
    <row r="123" customFormat="false" ht="21" hidden="false" customHeight="true" outlineLevel="0" collapsed="false">
      <c r="C123" s="56"/>
      <c r="D123" s="59"/>
      <c r="E123" s="59"/>
      <c r="F123" s="59"/>
      <c r="G123" s="59"/>
      <c r="H123" s="59"/>
      <c r="I123" s="59"/>
      <c r="J123" s="59"/>
      <c r="K123" s="59"/>
    </row>
    <row r="124" customFormat="false" ht="21" hidden="false" customHeight="true" outlineLevel="0" collapsed="false">
      <c r="C124" s="56"/>
      <c r="D124" s="59"/>
      <c r="E124" s="59"/>
      <c r="F124" s="59"/>
      <c r="G124" s="59"/>
      <c r="H124" s="59"/>
      <c r="I124" s="59"/>
      <c r="J124" s="59"/>
      <c r="K124" s="59"/>
    </row>
    <row r="125" customFormat="false" ht="21" hidden="false" customHeight="true" outlineLevel="0" collapsed="false">
      <c r="C125" s="56"/>
      <c r="D125" s="59"/>
      <c r="E125" s="59"/>
      <c r="F125" s="59"/>
      <c r="G125" s="59"/>
      <c r="H125" s="59"/>
      <c r="I125" s="59"/>
      <c r="J125" s="59"/>
      <c r="K125" s="59"/>
    </row>
    <row r="126" customFormat="false" ht="21" hidden="false" customHeight="true" outlineLevel="0" collapsed="false">
      <c r="C126" s="56"/>
      <c r="D126" s="59"/>
      <c r="E126" s="59"/>
      <c r="F126" s="59"/>
      <c r="G126" s="59"/>
      <c r="H126" s="59"/>
      <c r="I126" s="59"/>
      <c r="J126" s="59"/>
      <c r="K126" s="59"/>
    </row>
    <row r="127" customFormat="false" ht="21" hidden="false" customHeight="true" outlineLevel="0" collapsed="false">
      <c r="C127" s="56"/>
      <c r="D127" s="59"/>
      <c r="E127" s="59"/>
      <c r="F127" s="59"/>
      <c r="G127" s="59"/>
      <c r="H127" s="59"/>
      <c r="I127" s="59"/>
      <c r="J127" s="59"/>
      <c r="K127" s="59"/>
    </row>
    <row r="128" customFormat="false" ht="21" hidden="false" customHeight="true" outlineLevel="0" collapsed="false">
      <c r="C128" s="56"/>
      <c r="D128" s="59"/>
      <c r="E128" s="59"/>
      <c r="F128" s="59"/>
      <c r="G128" s="59"/>
      <c r="H128" s="59"/>
      <c r="I128" s="59"/>
      <c r="J128" s="59"/>
      <c r="K128" s="59"/>
    </row>
    <row r="129" customFormat="false" ht="21" hidden="false" customHeight="true" outlineLevel="0" collapsed="false">
      <c r="C129" s="56"/>
      <c r="D129" s="59"/>
      <c r="E129" s="59"/>
      <c r="F129" s="59"/>
      <c r="G129" s="59"/>
      <c r="H129" s="59"/>
      <c r="I129" s="59"/>
      <c r="J129" s="59"/>
      <c r="K129" s="59"/>
    </row>
    <row r="130" customFormat="false" ht="21" hidden="false" customHeight="true" outlineLevel="0" collapsed="false">
      <c r="C130" s="56"/>
      <c r="D130" s="59"/>
      <c r="E130" s="59"/>
      <c r="F130" s="59"/>
      <c r="G130" s="59"/>
      <c r="H130" s="59"/>
      <c r="I130" s="59"/>
      <c r="J130" s="59"/>
      <c r="K130" s="59"/>
    </row>
    <row r="131" customFormat="false" ht="21" hidden="false" customHeight="true" outlineLevel="0" collapsed="false">
      <c r="C131" s="56"/>
      <c r="D131" s="59"/>
      <c r="E131" s="59"/>
      <c r="F131" s="59"/>
      <c r="G131" s="59"/>
      <c r="H131" s="59"/>
      <c r="I131" s="59"/>
      <c r="J131" s="59"/>
      <c r="K131" s="59"/>
    </row>
    <row r="132" customFormat="false" ht="21" hidden="false" customHeight="true" outlineLevel="0" collapsed="false">
      <c r="C132" s="56"/>
      <c r="D132" s="59"/>
      <c r="E132" s="59"/>
      <c r="F132" s="59"/>
      <c r="G132" s="59"/>
      <c r="H132" s="59"/>
      <c r="I132" s="59"/>
      <c r="J132" s="59"/>
      <c r="K132" s="59"/>
    </row>
    <row r="133" customFormat="false" ht="21" hidden="false" customHeight="true" outlineLevel="0" collapsed="false">
      <c r="C133" s="56"/>
      <c r="D133" s="59"/>
      <c r="E133" s="59"/>
      <c r="F133" s="59"/>
      <c r="G133" s="59"/>
      <c r="H133" s="59"/>
      <c r="I133" s="59"/>
      <c r="J133" s="59"/>
      <c r="K133" s="59"/>
    </row>
    <row r="134" customFormat="false" ht="21" hidden="false" customHeight="true" outlineLevel="0" collapsed="false">
      <c r="C134" s="56"/>
      <c r="D134" s="59"/>
      <c r="E134" s="59"/>
      <c r="F134" s="59"/>
      <c r="G134" s="59"/>
      <c r="H134" s="59"/>
      <c r="I134" s="59"/>
      <c r="J134" s="59"/>
      <c r="K134" s="59"/>
    </row>
    <row r="135" customFormat="false" ht="21" hidden="false" customHeight="true" outlineLevel="0" collapsed="false">
      <c r="C135" s="56"/>
      <c r="D135" s="59"/>
      <c r="E135" s="59"/>
      <c r="F135" s="59"/>
      <c r="G135" s="59"/>
      <c r="H135" s="59"/>
      <c r="I135" s="59"/>
      <c r="J135" s="59"/>
      <c r="K135" s="59"/>
    </row>
    <row r="136" customFormat="false" ht="21" hidden="false" customHeight="true" outlineLevel="0" collapsed="false">
      <c r="C136" s="56"/>
      <c r="D136" s="59"/>
      <c r="E136" s="59"/>
      <c r="F136" s="59"/>
      <c r="G136" s="59"/>
      <c r="H136" s="59"/>
      <c r="I136" s="59"/>
      <c r="J136" s="59"/>
      <c r="K136" s="59"/>
    </row>
    <row r="137" customFormat="false" ht="21" hidden="false" customHeight="true" outlineLevel="0" collapsed="false">
      <c r="C137" s="56"/>
      <c r="D137" s="59"/>
      <c r="E137" s="59"/>
      <c r="F137" s="59"/>
      <c r="G137" s="59"/>
      <c r="H137" s="59"/>
      <c r="I137" s="59"/>
      <c r="J137" s="59"/>
      <c r="K137" s="59"/>
    </row>
    <row r="138" customFormat="false" ht="21" hidden="false" customHeight="true" outlineLevel="0" collapsed="false">
      <c r="C138" s="56"/>
      <c r="D138" s="59"/>
      <c r="E138" s="59"/>
      <c r="F138" s="59"/>
      <c r="G138" s="59"/>
      <c r="H138" s="59"/>
      <c r="I138" s="59"/>
      <c r="J138" s="59"/>
      <c r="K138" s="59"/>
    </row>
    <row r="139" customFormat="false" ht="21" hidden="false" customHeight="true" outlineLevel="0" collapsed="false">
      <c r="C139" s="56"/>
      <c r="D139" s="59"/>
      <c r="E139" s="59"/>
      <c r="F139" s="59"/>
      <c r="G139" s="59"/>
      <c r="H139" s="59"/>
      <c r="I139" s="59"/>
      <c r="J139" s="59"/>
      <c r="K139" s="59"/>
    </row>
    <row r="140" customFormat="false" ht="21" hidden="false" customHeight="true" outlineLevel="0" collapsed="false">
      <c r="C140" s="56"/>
      <c r="D140" s="59"/>
      <c r="E140" s="59"/>
      <c r="F140" s="59"/>
      <c r="G140" s="59"/>
      <c r="H140" s="59"/>
      <c r="I140" s="59"/>
      <c r="J140" s="59"/>
      <c r="K140" s="59"/>
    </row>
    <row r="141" customFormat="false" ht="21" hidden="false" customHeight="true" outlineLevel="0" collapsed="false">
      <c r="C141" s="56"/>
      <c r="D141" s="59"/>
      <c r="E141" s="59"/>
      <c r="F141" s="59"/>
      <c r="G141" s="59"/>
      <c r="H141" s="59"/>
      <c r="I141" s="59"/>
      <c r="J141" s="59"/>
      <c r="K141" s="59"/>
    </row>
    <row r="142" customFormat="false" ht="21" hidden="false" customHeight="true" outlineLevel="0" collapsed="false">
      <c r="C142" s="56"/>
      <c r="D142" s="59"/>
      <c r="E142" s="59"/>
      <c r="F142" s="59"/>
      <c r="G142" s="59"/>
      <c r="H142" s="59"/>
      <c r="I142" s="59"/>
      <c r="J142" s="59"/>
      <c r="K142" s="59"/>
    </row>
    <row r="143" customFormat="false" ht="21" hidden="false" customHeight="true" outlineLevel="0" collapsed="false">
      <c r="C143" s="56"/>
      <c r="D143" s="59"/>
      <c r="E143" s="59"/>
      <c r="F143" s="59"/>
      <c r="G143" s="59"/>
      <c r="H143" s="59"/>
      <c r="I143" s="59"/>
      <c r="J143" s="59"/>
      <c r="K143" s="59"/>
    </row>
    <row r="144" customFormat="false" ht="21" hidden="false" customHeight="true" outlineLevel="0" collapsed="false">
      <c r="C144" s="56"/>
      <c r="D144" s="59"/>
      <c r="E144" s="59"/>
      <c r="F144" s="59"/>
      <c r="G144" s="59"/>
      <c r="H144" s="59"/>
      <c r="I144" s="59"/>
      <c r="J144" s="59"/>
      <c r="K144" s="59"/>
    </row>
    <row r="145" customFormat="false" ht="21" hidden="false" customHeight="true" outlineLevel="0" collapsed="false">
      <c r="C145" s="56"/>
      <c r="D145" s="59"/>
      <c r="E145" s="59"/>
      <c r="F145" s="59"/>
      <c r="G145" s="59"/>
      <c r="H145" s="59"/>
      <c r="I145" s="59"/>
      <c r="J145" s="59"/>
      <c r="K145" s="59"/>
    </row>
    <row r="146" customFormat="false" ht="21" hidden="false" customHeight="true" outlineLevel="0" collapsed="false">
      <c r="C146" s="56"/>
      <c r="D146" s="59"/>
      <c r="E146" s="59"/>
      <c r="F146" s="59"/>
      <c r="G146" s="59"/>
      <c r="H146" s="59"/>
      <c r="I146" s="59"/>
      <c r="J146" s="59"/>
      <c r="K146" s="59"/>
    </row>
    <row r="147" customFormat="false" ht="21" hidden="false" customHeight="true" outlineLevel="0" collapsed="false">
      <c r="C147" s="56"/>
      <c r="D147" s="59"/>
      <c r="E147" s="59"/>
      <c r="F147" s="59"/>
      <c r="G147" s="59"/>
      <c r="H147" s="59"/>
      <c r="I147" s="59"/>
      <c r="J147" s="59"/>
      <c r="K147" s="59"/>
    </row>
    <row r="148" customFormat="false" ht="21" hidden="false" customHeight="true" outlineLevel="0" collapsed="false">
      <c r="C148" s="56"/>
      <c r="D148" s="59"/>
      <c r="E148" s="59"/>
      <c r="F148" s="59"/>
      <c r="G148" s="59"/>
      <c r="H148" s="59"/>
      <c r="I148" s="59"/>
      <c r="J148" s="59"/>
      <c r="K148" s="59"/>
    </row>
    <row r="149" customFormat="false" ht="21" hidden="false" customHeight="true" outlineLevel="0" collapsed="false">
      <c r="C149" s="56"/>
      <c r="D149" s="59"/>
      <c r="E149" s="59"/>
      <c r="F149" s="59"/>
      <c r="G149" s="59"/>
      <c r="H149" s="59"/>
      <c r="I149" s="59"/>
      <c r="J149" s="59"/>
      <c r="K149" s="59"/>
    </row>
    <row r="150" customFormat="false" ht="21" hidden="false" customHeight="true" outlineLevel="0" collapsed="false">
      <c r="C150" s="56"/>
      <c r="D150" s="59"/>
      <c r="E150" s="59"/>
      <c r="F150" s="59"/>
      <c r="G150" s="59"/>
      <c r="H150" s="59"/>
      <c r="I150" s="59"/>
      <c r="J150" s="59"/>
      <c r="K150" s="59"/>
    </row>
    <row r="151" customFormat="false" ht="21" hidden="false" customHeight="true" outlineLevel="0" collapsed="false">
      <c r="C151" s="56"/>
      <c r="D151" s="59"/>
      <c r="E151" s="59"/>
      <c r="F151" s="59"/>
      <c r="G151" s="59"/>
      <c r="H151" s="59"/>
      <c r="I151" s="59"/>
      <c r="J151" s="59"/>
      <c r="K151" s="59"/>
    </row>
    <row r="152" customFormat="false" ht="21" hidden="false" customHeight="true" outlineLevel="0" collapsed="false">
      <c r="C152" s="56"/>
      <c r="D152" s="59"/>
      <c r="E152" s="59"/>
      <c r="F152" s="59"/>
      <c r="G152" s="59"/>
      <c r="H152" s="59"/>
      <c r="I152" s="59"/>
      <c r="J152" s="59"/>
      <c r="K152" s="59"/>
    </row>
    <row r="153" customFormat="false" ht="21" hidden="false" customHeight="true" outlineLevel="0" collapsed="false">
      <c r="C153" s="56"/>
      <c r="D153" s="59"/>
      <c r="E153" s="59"/>
      <c r="F153" s="59"/>
      <c r="G153" s="59"/>
      <c r="H153" s="59"/>
      <c r="I153" s="59"/>
      <c r="J153" s="59"/>
      <c r="K153" s="59"/>
    </row>
    <row r="154" customFormat="false" ht="21" hidden="false" customHeight="true" outlineLevel="0" collapsed="false">
      <c r="C154" s="56"/>
      <c r="D154" s="59"/>
      <c r="E154" s="59"/>
      <c r="F154" s="59"/>
      <c r="G154" s="59"/>
      <c r="H154" s="59"/>
      <c r="I154" s="59"/>
      <c r="J154" s="59"/>
      <c r="K154" s="59"/>
    </row>
    <row r="155" customFormat="false" ht="21" hidden="false" customHeight="true" outlineLevel="0" collapsed="false">
      <c r="C155" s="56"/>
      <c r="D155" s="59"/>
      <c r="E155" s="59"/>
      <c r="F155" s="59"/>
      <c r="G155" s="59"/>
      <c r="H155" s="59"/>
      <c r="I155" s="59"/>
      <c r="J155" s="59"/>
      <c r="K155" s="59"/>
    </row>
    <row r="156" customFormat="false" ht="21" hidden="false" customHeight="true" outlineLevel="0" collapsed="false">
      <c r="C156" s="56"/>
      <c r="D156" s="59"/>
      <c r="E156" s="59"/>
      <c r="F156" s="59"/>
      <c r="G156" s="59"/>
      <c r="H156" s="59"/>
      <c r="I156" s="59"/>
      <c r="J156" s="59"/>
      <c r="K156" s="59"/>
    </row>
    <row r="157" customFormat="false" ht="21" hidden="false" customHeight="true" outlineLevel="0" collapsed="false">
      <c r="C157" s="56"/>
      <c r="D157" s="59"/>
      <c r="E157" s="59"/>
      <c r="F157" s="59"/>
      <c r="G157" s="59"/>
      <c r="H157" s="59"/>
      <c r="I157" s="59"/>
      <c r="J157" s="59"/>
      <c r="K157" s="59"/>
    </row>
    <row r="158" customFormat="false" ht="21" hidden="false" customHeight="true" outlineLevel="0" collapsed="false">
      <c r="C158" s="56"/>
      <c r="D158" s="59"/>
      <c r="E158" s="59"/>
      <c r="F158" s="59"/>
      <c r="G158" s="59"/>
      <c r="H158" s="59"/>
      <c r="I158" s="59"/>
      <c r="J158" s="59"/>
      <c r="K158" s="59"/>
    </row>
    <row r="159" customFormat="false" ht="21" hidden="false" customHeight="true" outlineLevel="0" collapsed="false">
      <c r="C159" s="56"/>
      <c r="D159" s="59"/>
      <c r="E159" s="59"/>
      <c r="F159" s="59"/>
      <c r="G159" s="59"/>
      <c r="H159" s="59"/>
      <c r="I159" s="59"/>
      <c r="J159" s="59"/>
      <c r="K159" s="59"/>
    </row>
    <row r="160" customFormat="false" ht="21" hidden="false" customHeight="true" outlineLevel="0" collapsed="false">
      <c r="C160" s="56"/>
      <c r="D160" s="59"/>
      <c r="E160" s="59"/>
      <c r="F160" s="59"/>
      <c r="G160" s="59"/>
      <c r="H160" s="59"/>
      <c r="I160" s="59"/>
      <c r="J160" s="59"/>
      <c r="K160" s="59"/>
    </row>
    <row r="161" customFormat="false" ht="21" hidden="false" customHeight="true" outlineLevel="0" collapsed="false">
      <c r="C161" s="56"/>
      <c r="D161" s="59"/>
      <c r="E161" s="59"/>
      <c r="F161" s="59"/>
      <c r="G161" s="59"/>
      <c r="H161" s="59"/>
      <c r="I161" s="59"/>
      <c r="J161" s="59"/>
      <c r="K161" s="59"/>
    </row>
    <row r="162" customFormat="false" ht="21" hidden="false" customHeight="true" outlineLevel="0" collapsed="false">
      <c r="C162" s="56"/>
      <c r="D162" s="59"/>
      <c r="E162" s="59"/>
      <c r="F162" s="59"/>
      <c r="G162" s="59"/>
      <c r="H162" s="59"/>
      <c r="I162" s="59"/>
      <c r="J162" s="59"/>
      <c r="K162" s="59"/>
    </row>
    <row r="163" customFormat="false" ht="21" hidden="false" customHeight="true" outlineLevel="0" collapsed="false">
      <c r="C163" s="56"/>
      <c r="D163" s="59"/>
      <c r="E163" s="59"/>
      <c r="F163" s="59"/>
      <c r="G163" s="59"/>
      <c r="H163" s="59"/>
      <c r="I163" s="59"/>
      <c r="J163" s="59"/>
      <c r="K163" s="59"/>
    </row>
    <row r="164" customFormat="false" ht="21" hidden="false" customHeight="true" outlineLevel="0" collapsed="false">
      <c r="C164" s="56"/>
      <c r="D164" s="59"/>
      <c r="E164" s="59"/>
      <c r="F164" s="59"/>
      <c r="G164" s="59"/>
      <c r="H164" s="59"/>
      <c r="I164" s="59"/>
      <c r="J164" s="59"/>
      <c r="K164" s="59"/>
    </row>
    <row r="165" customFormat="false" ht="21" hidden="false" customHeight="true" outlineLevel="0" collapsed="false">
      <c r="C165" s="56"/>
      <c r="D165" s="59"/>
      <c r="E165" s="59"/>
      <c r="F165" s="59"/>
      <c r="G165" s="59"/>
      <c r="H165" s="59"/>
      <c r="I165" s="59"/>
      <c r="J165" s="59"/>
      <c r="K165" s="59"/>
    </row>
    <row r="166" customFormat="false" ht="21" hidden="false" customHeight="true" outlineLevel="0" collapsed="false">
      <c r="C166" s="56"/>
      <c r="D166" s="59"/>
      <c r="E166" s="59"/>
      <c r="F166" s="59"/>
      <c r="G166" s="59"/>
      <c r="H166" s="59"/>
      <c r="I166" s="59"/>
      <c r="J166" s="59"/>
      <c r="K166" s="59"/>
    </row>
    <row r="167" customFormat="false" ht="21" hidden="false" customHeight="true" outlineLevel="0" collapsed="false">
      <c r="C167" s="56"/>
      <c r="D167" s="59"/>
      <c r="E167" s="59"/>
      <c r="F167" s="59"/>
      <c r="G167" s="59"/>
      <c r="H167" s="59"/>
      <c r="I167" s="59"/>
      <c r="J167" s="59"/>
      <c r="K167" s="59"/>
    </row>
    <row r="168" customFormat="false" ht="21" hidden="false" customHeight="true" outlineLevel="0" collapsed="false">
      <c r="C168" s="56"/>
      <c r="D168" s="59"/>
      <c r="E168" s="59"/>
      <c r="F168" s="59"/>
      <c r="G168" s="59"/>
      <c r="H168" s="59"/>
      <c r="I168" s="59"/>
      <c r="J168" s="59"/>
      <c r="K168" s="59"/>
    </row>
    <row r="169" customFormat="false" ht="21" hidden="false" customHeight="true" outlineLevel="0" collapsed="false">
      <c r="C169" s="56"/>
      <c r="D169" s="59"/>
      <c r="E169" s="59"/>
      <c r="F169" s="59"/>
      <c r="G169" s="59"/>
      <c r="H169" s="59"/>
      <c r="I169" s="59"/>
      <c r="J169" s="59"/>
      <c r="K169" s="59"/>
    </row>
    <row r="170" customFormat="false" ht="21" hidden="false" customHeight="true" outlineLevel="0" collapsed="false">
      <c r="C170" s="56"/>
      <c r="D170" s="59"/>
      <c r="E170" s="59"/>
      <c r="F170" s="59"/>
      <c r="G170" s="59"/>
      <c r="H170" s="59"/>
      <c r="I170" s="59"/>
      <c r="J170" s="59"/>
      <c r="K170" s="59"/>
    </row>
    <row r="171" customFormat="false" ht="21" hidden="false" customHeight="true" outlineLevel="0" collapsed="false">
      <c r="C171" s="56"/>
      <c r="D171" s="59"/>
      <c r="E171" s="59"/>
      <c r="F171" s="59"/>
      <c r="G171" s="59"/>
      <c r="H171" s="59"/>
      <c r="I171" s="59"/>
      <c r="J171" s="59"/>
      <c r="K171" s="59"/>
    </row>
    <row r="172" customFormat="false" ht="21" hidden="false" customHeight="true" outlineLevel="0" collapsed="false">
      <c r="C172" s="56"/>
      <c r="D172" s="59"/>
      <c r="E172" s="59"/>
      <c r="F172" s="59"/>
      <c r="G172" s="59"/>
      <c r="H172" s="59"/>
      <c r="I172" s="59"/>
      <c r="J172" s="59"/>
      <c r="K172" s="59"/>
    </row>
    <row r="173" customFormat="false" ht="21" hidden="false" customHeight="true" outlineLevel="0" collapsed="false">
      <c r="C173" s="56"/>
      <c r="D173" s="59"/>
      <c r="E173" s="59"/>
      <c r="F173" s="59"/>
      <c r="G173" s="59"/>
      <c r="H173" s="59"/>
      <c r="I173" s="59"/>
      <c r="J173" s="59"/>
      <c r="K173" s="59"/>
    </row>
    <row r="174" customFormat="false" ht="21" hidden="false" customHeight="true" outlineLevel="0" collapsed="false">
      <c r="C174" s="56"/>
      <c r="D174" s="59"/>
      <c r="E174" s="59"/>
      <c r="F174" s="59"/>
      <c r="G174" s="59"/>
      <c r="H174" s="59"/>
      <c r="I174" s="59"/>
      <c r="J174" s="59"/>
      <c r="K174" s="59"/>
    </row>
    <row r="175" customFormat="false" ht="21" hidden="false" customHeight="true" outlineLevel="0" collapsed="false">
      <c r="C175" s="56"/>
      <c r="D175" s="59"/>
      <c r="E175" s="59"/>
      <c r="F175" s="59"/>
      <c r="G175" s="59"/>
      <c r="H175" s="59"/>
      <c r="I175" s="59"/>
      <c r="J175" s="59"/>
      <c r="K175" s="59"/>
    </row>
    <row r="176" customFormat="false" ht="21" hidden="false" customHeight="true" outlineLevel="0" collapsed="false">
      <c r="C176" s="56"/>
      <c r="D176" s="59"/>
      <c r="E176" s="59"/>
      <c r="F176" s="59"/>
      <c r="G176" s="59"/>
      <c r="H176" s="59"/>
      <c r="I176" s="59"/>
      <c r="J176" s="59"/>
      <c r="K176" s="59"/>
    </row>
    <row r="177" customFormat="false" ht="21" hidden="false" customHeight="true" outlineLevel="0" collapsed="false">
      <c r="C177" s="56"/>
      <c r="D177" s="59"/>
      <c r="E177" s="59"/>
      <c r="F177" s="59"/>
      <c r="G177" s="59"/>
      <c r="H177" s="59"/>
      <c r="I177" s="59"/>
      <c r="J177" s="59"/>
      <c r="K177" s="59"/>
    </row>
    <row r="178" customFormat="false" ht="21" hidden="false" customHeight="true" outlineLevel="0" collapsed="false">
      <c r="C178" s="56"/>
      <c r="D178" s="59"/>
      <c r="E178" s="59"/>
      <c r="F178" s="59"/>
      <c r="G178" s="59"/>
      <c r="H178" s="59"/>
      <c r="I178" s="59"/>
      <c r="J178" s="59"/>
      <c r="K178" s="59"/>
    </row>
    <row r="179" customFormat="false" ht="21" hidden="false" customHeight="true" outlineLevel="0" collapsed="false">
      <c r="C179" s="56"/>
      <c r="D179" s="59"/>
      <c r="E179" s="59"/>
      <c r="F179" s="59"/>
      <c r="G179" s="59"/>
      <c r="H179" s="59"/>
      <c r="I179" s="59"/>
      <c r="J179" s="59"/>
      <c r="K179" s="59"/>
    </row>
    <row r="180" customFormat="false" ht="21" hidden="false" customHeight="true" outlineLevel="0" collapsed="false">
      <c r="C180" s="56"/>
      <c r="D180" s="59"/>
      <c r="E180" s="59"/>
      <c r="F180" s="59"/>
      <c r="G180" s="59"/>
      <c r="H180" s="59"/>
      <c r="I180" s="59"/>
      <c r="J180" s="59"/>
      <c r="K180" s="59"/>
    </row>
  </sheetData>
  <sheetProtection sheet="1" objects="1" scenarios="1" selectLockedCells="0" selectUnlockedCells="0"/>
  <mergeCells count="8">
    <mergeCell ref="C2:K2"/>
    <mergeCell ref="C3:K4"/>
    <mergeCell ref="C7:K10"/>
    <mergeCell ref="C12:K15"/>
    <mergeCell ref="C17:K20"/>
    <mergeCell ref="C22:K25"/>
    <mergeCell ref="C27:K30"/>
    <mergeCell ref="C32:K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>
  <sheetPr filterMode="false">
    <pageSetUpPr fitToPage="false"/>
  </sheetPr>
  <dimension ref="C1:AM125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1"/>
    <col collapsed="false" customWidth="true" hidden="false" outlineLevel="0" max="5" min="4" style="0" width="14"/>
    <col collapsed="false" customWidth="true" hidden="false" outlineLevel="0" max="9" min="6" style="0" width="24"/>
    <col collapsed="false" customWidth="true" hidden="false" outlineLevel="0" max="39" min="10" style="0" width="14"/>
  </cols>
  <sheetData>
    <row r="1" customFormat="false" ht="15" hidden="false" customHeight="false" outlineLevel="0" collapsed="false"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</row>
    <row r="2" customFormat="false" ht="15" hidden="false" customHeight="false" outlineLevel="0" collapsed="false">
      <c r="C2" s="104" t="s">
        <v>5117</v>
      </c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</row>
    <row r="3" customFormat="false" ht="15" hidden="false" customHeight="false" outlineLevel="0" collapsed="false">
      <c r="C3" s="103" t="s">
        <v>5118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</row>
    <row r="4" customFormat="false" ht="15" hidden="false" customHeight="false" outlineLevel="0" collapsed="false"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</row>
    <row r="5" customFormat="false" ht="15" hidden="false" customHeight="false" outlineLevel="0" collapsed="false"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</row>
    <row r="6" customFormat="false" ht="15" hidden="false" customHeight="false" outlineLevel="0" collapsed="false"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</row>
    <row r="7" customFormat="false" ht="15" hidden="false" customHeight="false" outlineLevel="0" collapsed="false">
      <c r="C7" s="103" t="s">
        <v>5119</v>
      </c>
      <c r="D7" s="103" t="s">
        <v>811</v>
      </c>
      <c r="E7" s="103" t="s">
        <v>5120</v>
      </c>
      <c r="F7" s="103" t="s">
        <v>5121</v>
      </c>
      <c r="G7" s="103" t="s">
        <v>5122</v>
      </c>
      <c r="H7" s="103" t="s">
        <v>5123</v>
      </c>
      <c r="I7" s="103" t="s">
        <v>5124</v>
      </c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</row>
    <row r="8" customFormat="false" ht="23" hidden="false" customHeight="true" outlineLevel="0" collapsed="false">
      <c r="C8" s="103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</row>
    <row r="9" customFormat="false" ht="23" hidden="false" customHeight="true" outlineLevel="0" collapsed="false">
      <c r="C9" s="103" t="s">
        <v>5125</v>
      </c>
      <c r="D9" s="105" t="n">
        <f aca="false">E9/1000000</f>
        <v>1058.49868374</v>
      </c>
      <c r="E9" s="106" t="n">
        <v>1058498683.74</v>
      </c>
      <c r="F9" s="105" t="s">
        <v>5126</v>
      </c>
      <c r="G9" s="105" t="s">
        <v>5127</v>
      </c>
      <c r="H9" s="105" t="s">
        <v>5128</v>
      </c>
      <c r="I9" s="105" t="s">
        <v>1059</v>
      </c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</row>
    <row r="10" customFormat="false" ht="23" hidden="false" customHeight="true" outlineLevel="0" collapsed="false">
      <c r="C10" s="103" t="s">
        <v>5129</v>
      </c>
      <c r="D10" s="105" t="n">
        <f aca="false">E10/1000000</f>
        <v>4538.51432444</v>
      </c>
      <c r="E10" s="106" t="n">
        <v>4538514324.44</v>
      </c>
      <c r="F10" s="105" t="s">
        <v>5130</v>
      </c>
      <c r="G10" s="105" t="s">
        <v>5127</v>
      </c>
      <c r="H10" s="105" t="s">
        <v>5128</v>
      </c>
      <c r="I10" s="105" t="s">
        <v>1059</v>
      </c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</row>
    <row r="11" customFormat="false" ht="23" hidden="false" customHeight="true" outlineLevel="0" collapsed="false">
      <c r="C11" s="103" t="s">
        <v>5131</v>
      </c>
      <c r="D11" s="105" t="n">
        <f aca="false">E11/1000000</f>
        <v>3480.0156407</v>
      </c>
      <c r="E11" s="106" t="n">
        <v>3480015640.7</v>
      </c>
      <c r="F11" s="105" t="s">
        <v>5126</v>
      </c>
      <c r="G11" s="105" t="s">
        <v>5127</v>
      </c>
      <c r="H11" s="105" t="s">
        <v>5128</v>
      </c>
      <c r="I11" s="105" t="s">
        <v>1059</v>
      </c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</row>
    <row r="12" customFormat="false" ht="23" hidden="false" customHeight="true" outlineLevel="0" collapsed="false">
      <c r="C12" s="103" t="s">
        <v>868</v>
      </c>
      <c r="D12" s="105" t="n">
        <f aca="false">E12/1000000</f>
        <v>10538.02</v>
      </c>
      <c r="E12" s="106" t="n">
        <v>10538020000</v>
      </c>
      <c r="F12" s="105" t="s">
        <v>5130</v>
      </c>
      <c r="G12" s="105" t="s">
        <v>5127</v>
      </c>
      <c r="H12" s="105" t="s">
        <v>5128</v>
      </c>
      <c r="I12" s="105" t="s">
        <v>1059</v>
      </c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</row>
    <row r="13" customFormat="false" ht="23" hidden="false" customHeight="true" outlineLevel="0" collapsed="false">
      <c r="C13" s="103" t="s">
        <v>5132</v>
      </c>
      <c r="D13" s="105" t="n">
        <f aca="false">E13/1000000</f>
        <v>313.02</v>
      </c>
      <c r="E13" s="106" t="n">
        <v>313020000</v>
      </c>
      <c r="F13" s="105" t="s">
        <v>5130</v>
      </c>
      <c r="G13" s="105" t="s">
        <v>5127</v>
      </c>
      <c r="H13" s="105" t="s">
        <v>5128</v>
      </c>
      <c r="I13" s="105" t="s">
        <v>1059</v>
      </c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</row>
    <row r="14" customFormat="false" ht="23" hidden="false" customHeight="true" outlineLevel="0" collapsed="false">
      <c r="C14" s="103" t="s">
        <v>5133</v>
      </c>
      <c r="D14" s="105" t="n">
        <f aca="false">E14/1000000</f>
        <v>1024</v>
      </c>
      <c r="E14" s="106" t="n">
        <v>1024000000</v>
      </c>
      <c r="F14" s="105" t="s">
        <v>5130</v>
      </c>
      <c r="G14" s="105" t="s">
        <v>5127</v>
      </c>
      <c r="H14" s="105" t="s">
        <v>5128</v>
      </c>
      <c r="I14" s="105" t="s">
        <v>1059</v>
      </c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</row>
    <row r="15" customFormat="false" ht="23" hidden="false" customHeight="true" outlineLevel="0" collapsed="false">
      <c r="C15" s="103" t="s">
        <v>5134</v>
      </c>
      <c r="D15" s="105" t="n">
        <f aca="false">E15/1000000</f>
        <v>9201</v>
      </c>
      <c r="E15" s="106" t="n">
        <v>9201000000</v>
      </c>
      <c r="F15" s="105" t="s">
        <v>5130</v>
      </c>
      <c r="G15" s="105" t="s">
        <v>5127</v>
      </c>
      <c r="H15" s="105" t="s">
        <v>5128</v>
      </c>
      <c r="I15" s="105" t="s">
        <v>1059</v>
      </c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</row>
    <row r="16" customFormat="false" ht="23" hidden="false" customHeight="true" outlineLevel="0" collapsed="false">
      <c r="C16" s="103" t="s">
        <v>5135</v>
      </c>
      <c r="D16" s="105" t="n">
        <f aca="false">E16/1000000</f>
        <v>0.02917061</v>
      </c>
      <c r="E16" s="106" t="n">
        <v>29170.61</v>
      </c>
      <c r="F16" s="105" t="s">
        <v>5136</v>
      </c>
      <c r="G16" s="105" t="s">
        <v>5127</v>
      </c>
      <c r="H16" s="105" t="s">
        <v>5128</v>
      </c>
      <c r="I16" s="105" t="s">
        <v>1059</v>
      </c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</row>
    <row r="17" customFormat="false" ht="23" hidden="false" customHeight="true" outlineLevel="0" collapsed="false">
      <c r="C17" s="103" t="s">
        <v>5137</v>
      </c>
      <c r="D17" s="105" t="n">
        <f aca="false">E17/1000000</f>
        <v>310.89252824</v>
      </c>
      <c r="E17" s="106" t="n">
        <v>310892528.24</v>
      </c>
      <c r="F17" s="105" t="s">
        <v>5136</v>
      </c>
      <c r="G17" s="105" t="s">
        <v>5127</v>
      </c>
      <c r="H17" s="105" t="s">
        <v>5128</v>
      </c>
      <c r="I17" s="105" t="s">
        <v>1059</v>
      </c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</row>
    <row r="18" customFormat="false" ht="23" hidden="false" customHeight="true" outlineLevel="0" collapsed="false">
      <c r="C18" s="103" t="s">
        <v>5138</v>
      </c>
      <c r="D18" s="105" t="n">
        <f aca="false">E18/1000000</f>
        <v>337.46138503</v>
      </c>
      <c r="E18" s="106" t="n">
        <v>337461385.03</v>
      </c>
      <c r="F18" s="105" t="s">
        <v>1309</v>
      </c>
      <c r="G18" s="105" t="s">
        <v>5127</v>
      </c>
      <c r="H18" s="105" t="s">
        <v>5128</v>
      </c>
      <c r="I18" s="105" t="s">
        <v>1059</v>
      </c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</row>
    <row r="19" customFormat="false" ht="23" hidden="false" customHeight="true" outlineLevel="0" collapsed="false">
      <c r="C19" s="103" t="s">
        <v>5139</v>
      </c>
      <c r="D19" s="105" t="n">
        <f aca="false">E19/1000000</f>
        <v>20.06343545</v>
      </c>
      <c r="E19" s="106" t="n">
        <v>20063435.45</v>
      </c>
      <c r="F19" s="105" t="s">
        <v>5136</v>
      </c>
      <c r="G19" s="105" t="s">
        <v>5127</v>
      </c>
      <c r="H19" s="105" t="s">
        <v>5128</v>
      </c>
      <c r="I19" s="105" t="s">
        <v>1059</v>
      </c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</row>
    <row r="20" customFormat="false" ht="23" hidden="false" customHeight="true" outlineLevel="0" collapsed="false">
      <c r="C20" s="103" t="s">
        <v>5140</v>
      </c>
      <c r="D20" s="105" t="n">
        <f aca="false">E20/1000000</f>
        <v>114.8102443</v>
      </c>
      <c r="E20" s="106" t="n">
        <v>114810244.3</v>
      </c>
      <c r="F20" s="105" t="s">
        <v>5136</v>
      </c>
      <c r="G20" s="105" t="s">
        <v>5127</v>
      </c>
      <c r="H20" s="105" t="s">
        <v>5128</v>
      </c>
      <c r="I20" s="105" t="s">
        <v>1059</v>
      </c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</row>
    <row r="21" customFormat="false" ht="23" hidden="false" customHeight="true" outlineLevel="0" collapsed="false">
      <c r="C21" s="103" t="s">
        <v>5141</v>
      </c>
      <c r="D21" s="105" t="n">
        <f aca="false">E21/1000000</f>
        <v>11.25568774</v>
      </c>
      <c r="E21" s="106" t="n">
        <v>11255687.74</v>
      </c>
      <c r="F21" s="105" t="s">
        <v>5136</v>
      </c>
      <c r="G21" s="105" t="s">
        <v>5127</v>
      </c>
      <c r="H21" s="105" t="s">
        <v>5128</v>
      </c>
      <c r="I21" s="105" t="s">
        <v>1059</v>
      </c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</row>
    <row r="22" customFormat="false" ht="23" hidden="false" customHeight="true" outlineLevel="0" collapsed="false">
      <c r="C22" s="103" t="s">
        <v>883</v>
      </c>
      <c r="D22" s="105" t="n">
        <f aca="false">E22/1000000</f>
        <v>1636.96424834</v>
      </c>
      <c r="E22" s="106" t="n">
        <v>1636964248.34</v>
      </c>
      <c r="F22" s="105" t="s">
        <v>5136</v>
      </c>
      <c r="G22" s="105" t="s">
        <v>5127</v>
      </c>
      <c r="H22" s="105" t="s">
        <v>5128</v>
      </c>
      <c r="I22" s="105" t="s">
        <v>1059</v>
      </c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</row>
    <row r="23" customFormat="false" ht="23" hidden="false" customHeight="true" outlineLevel="0" collapsed="false">
      <c r="C23" s="103" t="s">
        <v>5142</v>
      </c>
      <c r="D23" s="105" t="n">
        <f aca="false">E23/1000000</f>
        <v>35.21094389</v>
      </c>
      <c r="E23" s="106" t="n">
        <v>35210943.89</v>
      </c>
      <c r="F23" s="105" t="s">
        <v>5136</v>
      </c>
      <c r="G23" s="105" t="s">
        <v>5127</v>
      </c>
      <c r="H23" s="105" t="s">
        <v>5128</v>
      </c>
      <c r="I23" s="105" t="s">
        <v>1059</v>
      </c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</row>
    <row r="24" customFormat="false" ht="23" hidden="false" customHeight="true" outlineLevel="0" collapsed="false">
      <c r="C24" s="103" t="s">
        <v>5143</v>
      </c>
      <c r="D24" s="105" t="n">
        <f aca="false">E24/1000000</f>
        <v>3366.29083927</v>
      </c>
      <c r="E24" s="106" t="n">
        <v>3366290839.27</v>
      </c>
      <c r="F24" s="105" t="s">
        <v>5136</v>
      </c>
      <c r="G24" s="105" t="s">
        <v>5127</v>
      </c>
      <c r="H24" s="105" t="s">
        <v>5128</v>
      </c>
      <c r="I24" s="105" t="s">
        <v>1059</v>
      </c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</row>
    <row r="25" customFormat="false" ht="23" hidden="false" customHeight="true" outlineLevel="0" collapsed="false">
      <c r="C25" s="103" t="s">
        <v>5144</v>
      </c>
      <c r="D25" s="105" t="n">
        <f aca="false">E25/1000000</f>
        <v>225.67698177</v>
      </c>
      <c r="E25" s="106" t="n">
        <v>225676981.77</v>
      </c>
      <c r="F25" s="105" t="s">
        <v>5136</v>
      </c>
      <c r="G25" s="105" t="s">
        <v>5127</v>
      </c>
      <c r="H25" s="105" t="s">
        <v>5128</v>
      </c>
      <c r="I25" s="105" t="s">
        <v>1059</v>
      </c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</row>
    <row r="26" customFormat="false" ht="23" hidden="false" customHeight="true" outlineLevel="0" collapsed="false">
      <c r="C26" s="103" t="s">
        <v>370</v>
      </c>
      <c r="D26" s="105" t="n">
        <f aca="false">E26/1000000</f>
        <v>17.65553843</v>
      </c>
      <c r="E26" s="106" t="n">
        <v>17655538.43</v>
      </c>
      <c r="F26" s="105" t="s">
        <v>1383</v>
      </c>
      <c r="G26" s="105" t="s">
        <v>5127</v>
      </c>
      <c r="H26" s="105" t="s">
        <v>5128</v>
      </c>
      <c r="I26" s="105" t="s">
        <v>1059</v>
      </c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</row>
    <row r="27" customFormat="false" ht="23" hidden="false" customHeight="true" outlineLevel="0" collapsed="false">
      <c r="C27" s="103" t="s">
        <v>894</v>
      </c>
      <c r="D27" s="105" t="n">
        <f aca="false">E27/1000000</f>
        <v>317.40745115</v>
      </c>
      <c r="E27" s="106" t="n">
        <v>317407451.15</v>
      </c>
      <c r="F27" s="105" t="s">
        <v>1383</v>
      </c>
      <c r="G27" s="105" t="s">
        <v>5127</v>
      </c>
      <c r="H27" s="105" t="s">
        <v>5128</v>
      </c>
      <c r="I27" s="105" t="s">
        <v>1059</v>
      </c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</row>
    <row r="28" customFormat="false" ht="23" hidden="false" customHeight="true" outlineLevel="0" collapsed="false">
      <c r="C28" s="103" t="s">
        <v>5145</v>
      </c>
      <c r="D28" s="105" t="n">
        <f aca="false">E28/1000000</f>
        <v>31.66714488</v>
      </c>
      <c r="E28" s="106" t="n">
        <v>31667144.88</v>
      </c>
      <c r="F28" s="105" t="s">
        <v>1383</v>
      </c>
      <c r="G28" s="105" t="s">
        <v>5127</v>
      </c>
      <c r="H28" s="105" t="s">
        <v>5128</v>
      </c>
      <c r="I28" s="105" t="s">
        <v>1059</v>
      </c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</row>
    <row r="29" customFormat="false" ht="23" hidden="false" customHeight="true" outlineLevel="0" collapsed="false">
      <c r="C29" s="103" t="s">
        <v>5146</v>
      </c>
      <c r="D29" s="105" t="n">
        <f aca="false">E29/1000000</f>
        <v>245.68297972</v>
      </c>
      <c r="E29" s="106" t="n">
        <v>245682979.72</v>
      </c>
      <c r="F29" s="105" t="s">
        <v>1383</v>
      </c>
      <c r="G29" s="105" t="s">
        <v>5127</v>
      </c>
      <c r="H29" s="105" t="s">
        <v>5128</v>
      </c>
      <c r="I29" s="105" t="s">
        <v>1059</v>
      </c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</row>
    <row r="30" customFormat="false" ht="23" hidden="false" customHeight="true" outlineLevel="0" collapsed="false">
      <c r="C30" s="103" t="s">
        <v>5147</v>
      </c>
      <c r="D30" s="105" t="n">
        <f aca="false">E30/1000000</f>
        <v>24.88275831</v>
      </c>
      <c r="E30" s="106" t="n">
        <v>24882758.31</v>
      </c>
      <c r="F30" s="105" t="s">
        <v>1383</v>
      </c>
      <c r="G30" s="105" t="s">
        <v>5127</v>
      </c>
      <c r="H30" s="105" t="s">
        <v>5128</v>
      </c>
      <c r="I30" s="105" t="s">
        <v>1059</v>
      </c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</row>
    <row r="31" customFormat="false" ht="23" hidden="false" customHeight="true" outlineLevel="0" collapsed="false">
      <c r="C31" s="103" t="s">
        <v>5148</v>
      </c>
      <c r="D31" s="105" t="n">
        <f aca="false">E31/1000000</f>
        <v>21435.02427654</v>
      </c>
      <c r="E31" s="106" t="n">
        <v>21435024276.54</v>
      </c>
      <c r="F31" s="105" t="s">
        <v>1383</v>
      </c>
      <c r="G31" s="105" t="s">
        <v>5127</v>
      </c>
      <c r="H31" s="105" t="s">
        <v>5128</v>
      </c>
      <c r="I31" s="105" t="s">
        <v>1059</v>
      </c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</row>
    <row r="32" customFormat="false" ht="23" hidden="false" customHeight="true" outlineLevel="0" collapsed="false">
      <c r="C32" s="103" t="s">
        <v>5149</v>
      </c>
      <c r="D32" s="105" t="n">
        <f aca="false">E32/1000000</f>
        <v>698.50449954</v>
      </c>
      <c r="E32" s="106" t="n">
        <v>698504499.54</v>
      </c>
      <c r="F32" s="105" t="s">
        <v>5150</v>
      </c>
      <c r="G32" s="105" t="s">
        <v>5127</v>
      </c>
      <c r="H32" s="105" t="s">
        <v>5128</v>
      </c>
      <c r="I32" s="105" t="s">
        <v>1059</v>
      </c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</row>
    <row r="33" customFormat="false" ht="23" hidden="false" customHeight="true" outlineLevel="0" collapsed="false">
      <c r="C33" s="103" t="s">
        <v>5151</v>
      </c>
      <c r="D33" s="105" t="n">
        <f aca="false">E33/1000000</f>
        <v>697.00899908</v>
      </c>
      <c r="E33" s="106" t="n">
        <v>697008999.08</v>
      </c>
      <c r="F33" s="105" t="s">
        <v>5150</v>
      </c>
      <c r="G33" s="105" t="s">
        <v>5127</v>
      </c>
      <c r="H33" s="105" t="s">
        <v>5128</v>
      </c>
      <c r="I33" s="105" t="s">
        <v>1059</v>
      </c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</row>
    <row r="34" customFormat="false" ht="23" hidden="false" customHeight="true" outlineLevel="0" collapsed="false">
      <c r="C34" s="103" t="s">
        <v>5152</v>
      </c>
      <c r="D34" s="105" t="n">
        <f aca="false">E34/1000000</f>
        <v>1.49550046</v>
      </c>
      <c r="E34" s="106" t="n">
        <v>1495500.46</v>
      </c>
      <c r="F34" s="105" t="s">
        <v>5150</v>
      </c>
      <c r="G34" s="105" t="s">
        <v>5127</v>
      </c>
      <c r="H34" s="105" t="s">
        <v>5128</v>
      </c>
      <c r="I34" s="105" t="s">
        <v>1059</v>
      </c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</row>
    <row r="35" customFormat="false" ht="23" hidden="false" customHeight="true" outlineLevel="0" collapsed="false">
      <c r="C35" s="103" t="s">
        <v>5153</v>
      </c>
      <c r="D35" s="105" t="n">
        <f aca="false">E35/1000000</f>
        <v>30.516795</v>
      </c>
      <c r="E35" s="106" t="n">
        <v>30516795</v>
      </c>
      <c r="F35" s="105" t="s">
        <v>1383</v>
      </c>
      <c r="G35" s="105" t="s">
        <v>5127</v>
      </c>
      <c r="H35" s="105" t="s">
        <v>5128</v>
      </c>
      <c r="I35" s="105" t="s">
        <v>1059</v>
      </c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</row>
    <row r="36" customFormat="false" ht="23" hidden="false" customHeight="true" outlineLevel="0" collapsed="false">
      <c r="C36" s="103" t="s">
        <v>905</v>
      </c>
      <c r="D36" s="105" t="n">
        <f aca="false">E36/1000000</f>
        <v>2564.44345532</v>
      </c>
      <c r="E36" s="106" t="n">
        <v>2564443455.32</v>
      </c>
      <c r="F36" s="105" t="s">
        <v>5154</v>
      </c>
      <c r="G36" s="105" t="s">
        <v>5127</v>
      </c>
      <c r="H36" s="105" t="s">
        <v>5128</v>
      </c>
      <c r="I36" s="105" t="s">
        <v>1059</v>
      </c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</row>
    <row r="37" customFormat="false" ht="23" hidden="false" customHeight="true" outlineLevel="0" collapsed="false">
      <c r="C37" s="103" t="s">
        <v>5155</v>
      </c>
      <c r="D37" s="105" t="n">
        <f aca="false">E37/1000000</f>
        <v>2334.51576111</v>
      </c>
      <c r="E37" s="106" t="n">
        <v>2334515761.11</v>
      </c>
      <c r="F37" s="105" t="s">
        <v>5154</v>
      </c>
      <c r="G37" s="105" t="s">
        <v>5127</v>
      </c>
      <c r="H37" s="105" t="s">
        <v>5128</v>
      </c>
      <c r="I37" s="105" t="s">
        <v>1059</v>
      </c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</row>
    <row r="38" customFormat="false" ht="23" hidden="false" customHeight="true" outlineLevel="0" collapsed="false">
      <c r="C38" s="103" t="s">
        <v>5156</v>
      </c>
      <c r="D38" s="105" t="n">
        <f aca="false">E38/1000000</f>
        <v>204.80545412</v>
      </c>
      <c r="E38" s="106" t="n">
        <v>204805454.12</v>
      </c>
      <c r="F38" s="105" t="s">
        <v>5154</v>
      </c>
      <c r="G38" s="105" t="s">
        <v>5127</v>
      </c>
      <c r="H38" s="105" t="s">
        <v>5128</v>
      </c>
      <c r="I38" s="105" t="s">
        <v>1059</v>
      </c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</row>
    <row r="39" customFormat="false" ht="23" hidden="false" customHeight="true" outlineLevel="0" collapsed="false">
      <c r="C39" s="103" t="s">
        <v>5157</v>
      </c>
      <c r="D39" s="105" t="n">
        <f aca="false">E39/1000000</f>
        <v>25.12224009</v>
      </c>
      <c r="E39" s="106" t="n">
        <v>25122240.09</v>
      </c>
      <c r="F39" s="105" t="s">
        <v>5154</v>
      </c>
      <c r="G39" s="105" t="s">
        <v>5127</v>
      </c>
      <c r="H39" s="105" t="s">
        <v>5128</v>
      </c>
      <c r="I39" s="105" t="s">
        <v>1059</v>
      </c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</row>
    <row r="40" customFormat="false" ht="23" hidden="false" customHeight="true" outlineLevel="0" collapsed="false">
      <c r="C40" s="103" t="s">
        <v>5158</v>
      </c>
      <c r="D40" s="105" t="n">
        <f aca="false">E40/1000000</f>
        <v>831.36656868</v>
      </c>
      <c r="E40" s="106" t="n">
        <v>831366568.68</v>
      </c>
      <c r="F40" s="105" t="s">
        <v>1383</v>
      </c>
      <c r="G40" s="105" t="s">
        <v>5127</v>
      </c>
      <c r="H40" s="105" t="s">
        <v>5128</v>
      </c>
      <c r="I40" s="105" t="s">
        <v>1059</v>
      </c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</row>
    <row r="41" customFormat="false" ht="23" hidden="false" customHeight="true" outlineLevel="0" collapsed="false">
      <c r="C41" s="103" t="s">
        <v>5159</v>
      </c>
      <c r="D41" s="105" t="n">
        <f aca="false">E41/1000000</f>
        <v>239.91840373</v>
      </c>
      <c r="E41" s="106" t="n">
        <v>239918403.73</v>
      </c>
      <c r="F41" s="105" t="s">
        <v>1383</v>
      </c>
      <c r="G41" s="105" t="s">
        <v>5127</v>
      </c>
      <c r="H41" s="105" t="s">
        <v>5128</v>
      </c>
      <c r="I41" s="105" t="s">
        <v>1059</v>
      </c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</row>
    <row r="42" customFormat="false" ht="23" hidden="false" customHeight="true" outlineLevel="0" collapsed="false">
      <c r="C42" s="103" t="s">
        <v>913</v>
      </c>
      <c r="D42" s="105" t="n">
        <f aca="false">E42/1000000</f>
        <v>394.62788395</v>
      </c>
      <c r="E42" s="106" t="n">
        <v>394627883.95</v>
      </c>
      <c r="F42" s="105" t="s">
        <v>1383</v>
      </c>
      <c r="G42" s="105" t="s">
        <v>5127</v>
      </c>
      <c r="H42" s="105" t="s">
        <v>5128</v>
      </c>
      <c r="I42" s="105" t="s">
        <v>1059</v>
      </c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</row>
    <row r="43" customFormat="false" ht="23" hidden="false" customHeight="true" outlineLevel="0" collapsed="false">
      <c r="C43" s="103" t="s">
        <v>5160</v>
      </c>
      <c r="D43" s="105" t="n">
        <f aca="false">E43/1000000</f>
        <v>261.72982583</v>
      </c>
      <c r="E43" s="106" t="n">
        <v>261729825.83</v>
      </c>
      <c r="F43" s="105" t="s">
        <v>1076</v>
      </c>
      <c r="G43" s="105" t="s">
        <v>5127</v>
      </c>
      <c r="H43" s="105" t="s">
        <v>5128</v>
      </c>
      <c r="I43" s="105" t="s">
        <v>1059</v>
      </c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</row>
    <row r="44" customFormat="false" ht="23" hidden="false" customHeight="true" outlineLevel="0" collapsed="false">
      <c r="C44" s="103" t="s">
        <v>5161</v>
      </c>
      <c r="D44" s="105" t="n">
        <f aca="false">E44/1000000</f>
        <v>923.23918069</v>
      </c>
      <c r="E44" s="106" t="n">
        <v>923239180.69</v>
      </c>
      <c r="F44" s="105" t="s">
        <v>1383</v>
      </c>
      <c r="G44" s="105" t="s">
        <v>5127</v>
      </c>
      <c r="H44" s="105" t="s">
        <v>5128</v>
      </c>
      <c r="I44" s="105" t="s">
        <v>1059</v>
      </c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</row>
    <row r="45" customFormat="false" ht="23" hidden="false" customHeight="true" outlineLevel="0" collapsed="false">
      <c r="C45" s="103" t="s">
        <v>5162</v>
      </c>
      <c r="D45" s="105" t="n">
        <f aca="false">E45/1000000</f>
        <v>9.47839742</v>
      </c>
      <c r="E45" s="106" t="n">
        <v>9478397.42</v>
      </c>
      <c r="F45" s="105" t="s">
        <v>1383</v>
      </c>
      <c r="G45" s="105" t="s">
        <v>5127</v>
      </c>
      <c r="H45" s="105" t="s">
        <v>5128</v>
      </c>
      <c r="I45" s="105" t="s">
        <v>1059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</row>
    <row r="46" customFormat="false" ht="23" hidden="false" customHeight="true" outlineLevel="0" collapsed="false">
      <c r="C46" s="103" t="s">
        <v>5163</v>
      </c>
      <c r="D46" s="105" t="n">
        <f aca="false">E46/1000000</f>
        <v>62.49536118</v>
      </c>
      <c r="E46" s="106" t="n">
        <v>62495361.18</v>
      </c>
      <c r="F46" s="105" t="s">
        <v>1383</v>
      </c>
      <c r="G46" s="105" t="s">
        <v>5127</v>
      </c>
      <c r="H46" s="105" t="s">
        <v>5128</v>
      </c>
      <c r="I46" s="105" t="s">
        <v>1059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</row>
    <row r="47" customFormat="false" ht="23" hidden="false" customHeight="true" outlineLevel="0" collapsed="false">
      <c r="C47" s="103" t="s">
        <v>5164</v>
      </c>
      <c r="D47" s="105" t="n">
        <f aca="false">E47/1000000</f>
        <v>225.11388956</v>
      </c>
      <c r="E47" s="106" t="n">
        <v>225113889.56</v>
      </c>
      <c r="F47" s="105" t="s">
        <v>5165</v>
      </c>
      <c r="G47" s="105" t="s">
        <v>5127</v>
      </c>
      <c r="H47" s="105" t="s">
        <v>5128</v>
      </c>
      <c r="I47" s="105" t="s">
        <v>1059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</row>
    <row r="48" customFormat="false" ht="23" hidden="false" customHeight="true" outlineLevel="0" collapsed="false">
      <c r="C48" s="103" t="s">
        <v>5166</v>
      </c>
      <c r="D48" s="105" t="n">
        <f aca="false">E48/1000000</f>
        <v>8.48037566</v>
      </c>
      <c r="E48" s="106" t="n">
        <v>8480375.66</v>
      </c>
      <c r="F48" s="105" t="s">
        <v>1383</v>
      </c>
      <c r="G48" s="105" t="s">
        <v>5127</v>
      </c>
      <c r="H48" s="105" t="s">
        <v>5128</v>
      </c>
      <c r="I48" s="105" t="s">
        <v>1059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</row>
    <row r="49" customFormat="false" ht="23" hidden="false" customHeight="true" outlineLevel="0" collapsed="false">
      <c r="C49" s="103" t="s">
        <v>5167</v>
      </c>
      <c r="D49" s="105" t="n">
        <f aca="false">E49/1000000</f>
        <v>52.1655653</v>
      </c>
      <c r="E49" s="106" t="n">
        <v>52165565.3</v>
      </c>
      <c r="F49" s="105" t="s">
        <v>1383</v>
      </c>
      <c r="G49" s="105" t="s">
        <v>5127</v>
      </c>
      <c r="H49" s="105" t="s">
        <v>5128</v>
      </c>
      <c r="I49" s="105" t="s">
        <v>1059</v>
      </c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</row>
    <row r="50" customFormat="false" ht="23" hidden="false" customHeight="true" outlineLevel="0" collapsed="false">
      <c r="C50" s="103" t="s">
        <v>5168</v>
      </c>
      <c r="D50" s="105" t="n">
        <f aca="false">E50/1000000</f>
        <v>86.10209713</v>
      </c>
      <c r="E50" s="106" t="n">
        <v>86102097.13</v>
      </c>
      <c r="F50" s="105" t="s">
        <v>1386</v>
      </c>
      <c r="G50" s="105" t="s">
        <v>5127</v>
      </c>
      <c r="H50" s="105" t="s">
        <v>5128</v>
      </c>
      <c r="I50" s="105" t="s">
        <v>1059</v>
      </c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</row>
    <row r="51" customFormat="false" ht="23" hidden="false" customHeight="true" outlineLevel="0" collapsed="false">
      <c r="C51" s="103" t="s">
        <v>5169</v>
      </c>
      <c r="D51" s="105" t="n">
        <f aca="false">E51/1000000</f>
        <v>100.34332817</v>
      </c>
      <c r="E51" s="106" t="n">
        <v>100343328.17</v>
      </c>
      <c r="F51" s="105" t="s">
        <v>1386</v>
      </c>
      <c r="G51" s="105" t="s">
        <v>5127</v>
      </c>
      <c r="H51" s="105" t="s">
        <v>5128</v>
      </c>
      <c r="I51" s="105" t="s">
        <v>1059</v>
      </c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</row>
    <row r="52" customFormat="false" ht="23" hidden="false" customHeight="true" outlineLevel="0" collapsed="false">
      <c r="C52" s="103" t="s">
        <v>5170</v>
      </c>
      <c r="D52" s="105" t="n">
        <f aca="false">E52/1000000</f>
        <v>6226.79580133</v>
      </c>
      <c r="E52" s="106" t="n">
        <v>6226795801.33</v>
      </c>
      <c r="F52" s="105" t="s">
        <v>1386</v>
      </c>
      <c r="G52" s="105" t="s">
        <v>5127</v>
      </c>
      <c r="H52" s="105" t="s">
        <v>5128</v>
      </c>
      <c r="I52" s="105" t="s">
        <v>1059</v>
      </c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</row>
    <row r="53" customFormat="false" ht="23" hidden="false" customHeight="true" outlineLevel="0" collapsed="false">
      <c r="C53" s="103" t="s">
        <v>5171</v>
      </c>
      <c r="D53" s="105" t="n">
        <f aca="false">E53/1000000</f>
        <v>1803.946978</v>
      </c>
      <c r="E53" s="106" t="n">
        <v>1803946978</v>
      </c>
      <c r="F53" s="105" t="s">
        <v>1386</v>
      </c>
      <c r="G53" s="105" t="s">
        <v>5127</v>
      </c>
      <c r="H53" s="105" t="s">
        <v>5128</v>
      </c>
      <c r="I53" s="105" t="s">
        <v>1059</v>
      </c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</row>
    <row r="54" customFormat="false" ht="23" hidden="false" customHeight="true" outlineLevel="0" collapsed="false">
      <c r="C54" s="103" t="s">
        <v>5172</v>
      </c>
      <c r="D54" s="105" t="n">
        <f aca="false">E54/1000000</f>
        <v>2481.91737426</v>
      </c>
      <c r="E54" s="106" t="n">
        <v>2481917374.26</v>
      </c>
      <c r="F54" s="105" t="s">
        <v>1386</v>
      </c>
      <c r="G54" s="105" t="s">
        <v>5127</v>
      </c>
      <c r="H54" s="105" t="s">
        <v>5128</v>
      </c>
      <c r="I54" s="105" t="s">
        <v>1059</v>
      </c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</row>
    <row r="55" customFormat="false" ht="23" hidden="false" customHeight="true" outlineLevel="0" collapsed="false">
      <c r="C55" s="103" t="s">
        <v>5173</v>
      </c>
      <c r="D55" s="105" t="n">
        <f aca="false">E55/1000000</f>
        <v>208.4149523</v>
      </c>
      <c r="E55" s="106" t="n">
        <v>208414952.3</v>
      </c>
      <c r="F55" s="105" t="s">
        <v>1386</v>
      </c>
      <c r="G55" s="105" t="s">
        <v>5127</v>
      </c>
      <c r="H55" s="105" t="s">
        <v>5128</v>
      </c>
      <c r="I55" s="105" t="s">
        <v>1059</v>
      </c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</row>
    <row r="56" customFormat="false" ht="23" hidden="false" customHeight="true" outlineLevel="0" collapsed="false">
      <c r="C56" s="103" t="s">
        <v>5174</v>
      </c>
      <c r="D56" s="105" t="n">
        <f aca="false">E56/1000000</f>
        <v>-23.97939275</v>
      </c>
      <c r="E56" s="106" t="n">
        <v>-23979392.75</v>
      </c>
      <c r="F56" s="105" t="s">
        <v>1386</v>
      </c>
      <c r="G56" s="105" t="s">
        <v>5127</v>
      </c>
      <c r="H56" s="105" t="s">
        <v>5128</v>
      </c>
      <c r="I56" s="105" t="s">
        <v>1059</v>
      </c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</row>
    <row r="57" customFormat="false" ht="23" hidden="false" customHeight="true" outlineLevel="0" collapsed="false">
      <c r="C57" s="103" t="s">
        <v>5175</v>
      </c>
      <c r="D57" s="105" t="n">
        <f aca="false">E57/1000000</f>
        <v>870.31190448</v>
      </c>
      <c r="E57" s="106" t="n">
        <v>870311904.48</v>
      </c>
      <c r="F57" s="105" t="s">
        <v>1386</v>
      </c>
      <c r="G57" s="105" t="s">
        <v>5127</v>
      </c>
      <c r="H57" s="105" t="s">
        <v>5128</v>
      </c>
      <c r="I57" s="105" t="s">
        <v>1059</v>
      </c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</row>
    <row r="58" customFormat="false" ht="23" hidden="false" customHeight="true" outlineLevel="0" collapsed="false">
      <c r="C58" s="103" t="s">
        <v>5176</v>
      </c>
      <c r="D58" s="105" t="n">
        <f aca="false">E58/1000000</f>
        <v>10269.48150582</v>
      </c>
      <c r="E58" s="106" t="n">
        <v>10269481505.82</v>
      </c>
      <c r="F58" s="105" t="s">
        <v>1386</v>
      </c>
      <c r="G58" s="105" t="s">
        <v>5127</v>
      </c>
      <c r="H58" s="105" t="s">
        <v>5128</v>
      </c>
      <c r="I58" s="105" t="s">
        <v>1059</v>
      </c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</row>
    <row r="59" customFormat="false" ht="23" hidden="false" customHeight="true" outlineLevel="0" collapsed="false">
      <c r="C59" s="103" t="s">
        <v>5177</v>
      </c>
      <c r="D59" s="105" t="n">
        <f aca="false">E59/1000000</f>
        <v>14.9650577</v>
      </c>
      <c r="E59" s="106" t="n">
        <v>14965057.7</v>
      </c>
      <c r="F59" s="105" t="s">
        <v>1386</v>
      </c>
      <c r="G59" s="105" t="s">
        <v>5127</v>
      </c>
      <c r="H59" s="105" t="s">
        <v>5128</v>
      </c>
      <c r="I59" s="105" t="s">
        <v>1059</v>
      </c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</row>
    <row r="60" customFormat="false" ht="23" hidden="false" customHeight="true" outlineLevel="0" collapsed="false">
      <c r="C60" s="103" t="s">
        <v>5178</v>
      </c>
      <c r="D60" s="105" t="n">
        <f aca="false">E60/1000000</f>
        <v>15208.22847521</v>
      </c>
      <c r="E60" s="106" t="n">
        <v>15208228475.21</v>
      </c>
      <c r="F60" s="105" t="s">
        <v>1386</v>
      </c>
      <c r="G60" s="105" t="s">
        <v>5127</v>
      </c>
      <c r="H60" s="105" t="s">
        <v>5128</v>
      </c>
      <c r="I60" s="105" t="s">
        <v>1059</v>
      </c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</row>
    <row r="61" customFormat="false" ht="23" hidden="false" customHeight="true" outlineLevel="0" collapsed="false">
      <c r="C61" s="103" t="s">
        <v>5179</v>
      </c>
      <c r="D61" s="105" t="n">
        <f aca="false">E61/1000000</f>
        <v>99.72852189</v>
      </c>
      <c r="E61" s="106" t="n">
        <v>99728521.89</v>
      </c>
      <c r="F61" s="105" t="s">
        <v>5180</v>
      </c>
      <c r="G61" s="105" t="s">
        <v>5127</v>
      </c>
      <c r="H61" s="105" t="s">
        <v>5128</v>
      </c>
      <c r="I61" s="105" t="s">
        <v>1059</v>
      </c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</row>
    <row r="62" customFormat="false" ht="23" hidden="false" customHeight="true" outlineLevel="0" collapsed="false">
      <c r="C62" s="103" t="s">
        <v>5181</v>
      </c>
      <c r="D62" s="105" t="n">
        <f aca="false">E62/1000000</f>
        <v>237.42780274</v>
      </c>
      <c r="E62" s="106" t="n">
        <v>237427802.74</v>
      </c>
      <c r="F62" s="105" t="s">
        <v>5180</v>
      </c>
      <c r="G62" s="105" t="s">
        <v>5127</v>
      </c>
      <c r="H62" s="105" t="s">
        <v>5128</v>
      </c>
      <c r="I62" s="105" t="s">
        <v>1059</v>
      </c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</row>
    <row r="63" customFormat="false" ht="23" hidden="false" customHeight="true" outlineLevel="0" collapsed="false">
      <c r="C63" s="103" t="s">
        <v>5182</v>
      </c>
      <c r="D63" s="105" t="n">
        <f aca="false">E63/1000000</f>
        <v>892.84771043</v>
      </c>
      <c r="E63" s="106" t="n">
        <v>892847710.43</v>
      </c>
      <c r="F63" s="105" t="s">
        <v>5180</v>
      </c>
      <c r="G63" s="105" t="s">
        <v>5127</v>
      </c>
      <c r="H63" s="105" t="s">
        <v>5128</v>
      </c>
      <c r="I63" s="105" t="s">
        <v>1059</v>
      </c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</row>
    <row r="64" customFormat="false" ht="23" hidden="false" customHeight="true" outlineLevel="0" collapsed="false">
      <c r="C64" s="103" t="s">
        <v>5183</v>
      </c>
      <c r="D64" s="105" t="n">
        <f aca="false">E64/1000000</f>
        <v>319.15065797</v>
      </c>
      <c r="E64" s="106" t="n">
        <v>319150657.97</v>
      </c>
      <c r="F64" s="105" t="s">
        <v>5180</v>
      </c>
      <c r="G64" s="105" t="s">
        <v>5127</v>
      </c>
      <c r="H64" s="105" t="s">
        <v>5128</v>
      </c>
      <c r="I64" s="105" t="s">
        <v>1059</v>
      </c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</row>
    <row r="65" customFormat="false" ht="23" hidden="false" customHeight="true" outlineLevel="0" collapsed="false">
      <c r="C65" s="103" t="s">
        <v>5184</v>
      </c>
      <c r="D65" s="105" t="n">
        <f aca="false">E65/1000000</f>
        <v>66.36601785</v>
      </c>
      <c r="E65" s="106" t="n">
        <v>66366017.85</v>
      </c>
      <c r="F65" s="105" t="s">
        <v>5180</v>
      </c>
      <c r="G65" s="105" t="s">
        <v>5127</v>
      </c>
      <c r="H65" s="105" t="s">
        <v>5128</v>
      </c>
      <c r="I65" s="105" t="s">
        <v>1059</v>
      </c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</row>
    <row r="66" customFormat="false" ht="23" hidden="false" customHeight="true" outlineLevel="0" collapsed="false">
      <c r="C66" s="103" t="s">
        <v>5185</v>
      </c>
      <c r="D66" s="105" t="n">
        <f aca="false">E66/1000000</f>
        <v>10.3506264</v>
      </c>
      <c r="E66" s="106" t="n">
        <v>10350626.4</v>
      </c>
      <c r="F66" s="105" t="s">
        <v>5180</v>
      </c>
      <c r="G66" s="105" t="s">
        <v>5127</v>
      </c>
      <c r="H66" s="105" t="s">
        <v>5128</v>
      </c>
      <c r="I66" s="105" t="s">
        <v>1059</v>
      </c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</row>
    <row r="67" customFormat="false" ht="23" hidden="false" customHeight="true" outlineLevel="0" collapsed="false">
      <c r="C67" s="103" t="s">
        <v>5186</v>
      </c>
      <c r="D67" s="105" t="n">
        <f aca="false">E67/1000000</f>
        <v>11.09291106</v>
      </c>
      <c r="E67" s="106" t="n">
        <v>11092911.06</v>
      </c>
      <c r="F67" s="105" t="s">
        <v>5180</v>
      </c>
      <c r="G67" s="105" t="s">
        <v>5127</v>
      </c>
      <c r="H67" s="105" t="s">
        <v>5128</v>
      </c>
      <c r="I67" s="105" t="s">
        <v>1059</v>
      </c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</row>
    <row r="68" customFormat="false" ht="23" hidden="false" customHeight="true" outlineLevel="0" collapsed="false">
      <c r="C68" s="103" t="s">
        <v>5187</v>
      </c>
      <c r="D68" s="105" t="n">
        <f aca="false">E68/1000000</f>
        <v>2588.14203089</v>
      </c>
      <c r="E68" s="106" t="n">
        <v>2588142030.89</v>
      </c>
      <c r="F68" s="105" t="s">
        <v>5188</v>
      </c>
      <c r="G68" s="105" t="s">
        <v>5127</v>
      </c>
      <c r="H68" s="105" t="s">
        <v>5128</v>
      </c>
      <c r="I68" s="105" t="s">
        <v>1059</v>
      </c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</row>
    <row r="69" customFormat="false" ht="23" hidden="false" customHeight="true" outlineLevel="0" collapsed="false">
      <c r="C69" s="103" t="s">
        <v>365</v>
      </c>
      <c r="D69" s="105" t="n">
        <f aca="false">E69/1000000</f>
        <v>641.01159019</v>
      </c>
      <c r="E69" s="106" t="n">
        <v>641011590.19</v>
      </c>
      <c r="F69" s="105" t="s">
        <v>5188</v>
      </c>
      <c r="G69" s="105" t="s">
        <v>5127</v>
      </c>
      <c r="H69" s="105" t="s">
        <v>5128</v>
      </c>
      <c r="I69" s="105" t="s">
        <v>1059</v>
      </c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</row>
    <row r="70" customFormat="false" ht="23" hidden="false" customHeight="true" outlineLevel="0" collapsed="false">
      <c r="C70" s="103" t="s">
        <v>5189</v>
      </c>
      <c r="D70" s="105" t="n">
        <f aca="false">E70/1000000</f>
        <v>3.70515901</v>
      </c>
      <c r="E70" s="106" t="n">
        <v>3705159.01</v>
      </c>
      <c r="F70" s="105" t="s">
        <v>5188</v>
      </c>
      <c r="G70" s="105" t="s">
        <v>5127</v>
      </c>
      <c r="H70" s="105" t="s">
        <v>5128</v>
      </c>
      <c r="I70" s="105" t="s">
        <v>1059</v>
      </c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</row>
    <row r="71" customFormat="false" ht="23" hidden="false" customHeight="true" outlineLevel="0" collapsed="false">
      <c r="C71" s="103" t="s">
        <v>5190</v>
      </c>
      <c r="D71" s="105" t="n">
        <f aca="false">E71/1000000</f>
        <v>61.97051374</v>
      </c>
      <c r="E71" s="106" t="n">
        <v>61970513.74</v>
      </c>
      <c r="F71" s="105" t="s">
        <v>5188</v>
      </c>
      <c r="G71" s="105" t="s">
        <v>5127</v>
      </c>
      <c r="H71" s="105" t="s">
        <v>5128</v>
      </c>
      <c r="I71" s="105" t="s">
        <v>1059</v>
      </c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</row>
    <row r="72" customFormat="false" ht="23" hidden="false" customHeight="true" outlineLevel="0" collapsed="false">
      <c r="C72" s="103" t="s">
        <v>5191</v>
      </c>
      <c r="D72" s="105" t="n">
        <f aca="false">E72/1000000</f>
        <v>63.13893242</v>
      </c>
      <c r="E72" s="106" t="n">
        <v>63138932.42</v>
      </c>
      <c r="F72" s="105" t="s">
        <v>5188</v>
      </c>
      <c r="G72" s="105" t="s">
        <v>5127</v>
      </c>
      <c r="H72" s="105" t="s">
        <v>5128</v>
      </c>
      <c r="I72" s="105" t="s">
        <v>1059</v>
      </c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</row>
    <row r="73" customFormat="false" ht="23" hidden="false" customHeight="true" outlineLevel="0" collapsed="false">
      <c r="C73" s="103" t="s">
        <v>5192</v>
      </c>
      <c r="D73" s="105" t="n">
        <f aca="false">E73/1000000</f>
        <v>3357.96822625</v>
      </c>
      <c r="E73" s="106" t="n">
        <v>3357968226.25</v>
      </c>
      <c r="F73" s="105" t="s">
        <v>5193</v>
      </c>
      <c r="G73" s="105" t="s">
        <v>5127</v>
      </c>
      <c r="H73" s="105" t="s">
        <v>5128</v>
      </c>
      <c r="I73" s="105" t="s">
        <v>1059</v>
      </c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</row>
    <row r="74" customFormat="false" ht="23" hidden="false" customHeight="true" outlineLevel="0" collapsed="false">
      <c r="C74" s="103" t="s">
        <v>5194</v>
      </c>
      <c r="D74" s="105" t="n">
        <f aca="false">E74/1000000</f>
        <v>8.32261302</v>
      </c>
      <c r="E74" s="106" t="n">
        <v>8322613.02</v>
      </c>
      <c r="F74" s="105" t="s">
        <v>5193</v>
      </c>
      <c r="G74" s="105" t="s">
        <v>5127</v>
      </c>
      <c r="H74" s="105" t="s">
        <v>5128</v>
      </c>
      <c r="I74" s="105" t="s">
        <v>1059</v>
      </c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</row>
    <row r="75" customFormat="false" ht="23" hidden="false" customHeight="true" outlineLevel="0" collapsed="false">
      <c r="C75" s="103" t="s">
        <v>5195</v>
      </c>
      <c r="D75" s="105" t="n">
        <f aca="false">E75/1000000</f>
        <v>68.66221336</v>
      </c>
      <c r="E75" s="106" t="n">
        <v>68662213.36</v>
      </c>
      <c r="F75" s="105" t="s">
        <v>5188</v>
      </c>
      <c r="G75" s="105" t="s">
        <v>5127</v>
      </c>
      <c r="H75" s="105" t="s">
        <v>5128</v>
      </c>
      <c r="I75" s="105" t="s">
        <v>1059</v>
      </c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</row>
    <row r="76" customFormat="false" ht="23" hidden="false" customHeight="true" outlineLevel="0" collapsed="false">
      <c r="C76" s="103" t="s">
        <v>5196</v>
      </c>
      <c r="D76" s="105" t="n">
        <f aca="false">E76/1000000</f>
        <v>54.77112342</v>
      </c>
      <c r="E76" s="106" t="n">
        <v>54771123.42</v>
      </c>
      <c r="F76" s="105" t="s">
        <v>5188</v>
      </c>
      <c r="G76" s="105" t="s">
        <v>5127</v>
      </c>
      <c r="H76" s="105" t="s">
        <v>5128</v>
      </c>
      <c r="I76" s="105" t="s">
        <v>1059</v>
      </c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</row>
    <row r="77" customFormat="false" ht="23" hidden="false" customHeight="true" outlineLevel="0" collapsed="false">
      <c r="C77" s="103" t="s">
        <v>5197</v>
      </c>
      <c r="D77" s="105" t="n">
        <f aca="false">E77/1000000</f>
        <v>0.92612905</v>
      </c>
      <c r="E77" s="106" t="n">
        <v>926129.05</v>
      </c>
      <c r="F77" s="105" t="s">
        <v>5188</v>
      </c>
      <c r="G77" s="105" t="s">
        <v>5127</v>
      </c>
      <c r="H77" s="105" t="s">
        <v>5128</v>
      </c>
      <c r="I77" s="105" t="s">
        <v>1059</v>
      </c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</row>
    <row r="78" customFormat="false" ht="23" hidden="false" customHeight="true" outlineLevel="0" collapsed="false">
      <c r="C78" s="103" t="s">
        <v>5198</v>
      </c>
      <c r="D78" s="105" t="n">
        <f aca="false">E78/1000000</f>
        <v>9.20372179</v>
      </c>
      <c r="E78" s="106" t="n">
        <v>9203721.79</v>
      </c>
      <c r="F78" s="105" t="s">
        <v>5188</v>
      </c>
      <c r="G78" s="105" t="s">
        <v>5127</v>
      </c>
      <c r="H78" s="105" t="s">
        <v>5128</v>
      </c>
      <c r="I78" s="105" t="s">
        <v>1059</v>
      </c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</row>
    <row r="79" customFormat="false" ht="23" hidden="false" customHeight="true" outlineLevel="0" collapsed="false">
      <c r="C79" s="103" t="s">
        <v>5199</v>
      </c>
      <c r="D79" s="105" t="n">
        <f aca="false">E79/1000000</f>
        <v>6.24586297</v>
      </c>
      <c r="E79" s="106" t="n">
        <v>6245862.97</v>
      </c>
      <c r="F79" s="105" t="s">
        <v>5188</v>
      </c>
      <c r="G79" s="105" t="s">
        <v>5127</v>
      </c>
      <c r="H79" s="105" t="s">
        <v>5128</v>
      </c>
      <c r="I79" s="105" t="s">
        <v>1059</v>
      </c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</row>
    <row r="80" customFormat="false" ht="23" hidden="false" customHeight="true" outlineLevel="0" collapsed="false">
      <c r="C80" s="103" t="s">
        <v>5200</v>
      </c>
      <c r="D80" s="105" t="n">
        <f aca="false">E80/1000000</f>
        <v>4.44462319</v>
      </c>
      <c r="E80" s="106" t="n">
        <v>4444623.19</v>
      </c>
      <c r="F80" s="105" t="s">
        <v>5201</v>
      </c>
      <c r="G80" s="105" t="s">
        <v>5127</v>
      </c>
      <c r="H80" s="105" t="s">
        <v>5128</v>
      </c>
      <c r="I80" s="105" t="s">
        <v>1059</v>
      </c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</row>
    <row r="81" customFormat="false" ht="23" hidden="false" customHeight="true" outlineLevel="0" collapsed="false">
      <c r="C81" s="103" t="s">
        <v>5202</v>
      </c>
      <c r="D81" s="105" t="n">
        <f aca="false">E81/1000000</f>
        <v>6.46950386</v>
      </c>
      <c r="E81" s="106" t="n">
        <v>6469503.86</v>
      </c>
      <c r="F81" s="105" t="s">
        <v>5203</v>
      </c>
      <c r="G81" s="105" t="s">
        <v>5127</v>
      </c>
      <c r="H81" s="105" t="s">
        <v>5128</v>
      </c>
      <c r="I81" s="105" t="s">
        <v>1059</v>
      </c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</row>
    <row r="82" customFormat="false" ht="23" hidden="false" customHeight="true" outlineLevel="0" collapsed="false">
      <c r="C82" s="103" t="s">
        <v>5204</v>
      </c>
      <c r="D82" s="105" t="n">
        <f aca="false">E82/1000000</f>
        <v>7.55967719</v>
      </c>
      <c r="E82" s="106" t="n">
        <v>7559677.19</v>
      </c>
      <c r="F82" s="105" t="s">
        <v>5201</v>
      </c>
      <c r="G82" s="105" t="s">
        <v>5127</v>
      </c>
      <c r="H82" s="105" t="s">
        <v>5128</v>
      </c>
      <c r="I82" s="105" t="s">
        <v>1059</v>
      </c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</row>
    <row r="83" customFormat="false" ht="23" hidden="false" customHeight="true" outlineLevel="0" collapsed="false">
      <c r="C83" s="103" t="s">
        <v>5205</v>
      </c>
      <c r="D83" s="105" t="n">
        <f aca="false">E83/1000000</f>
        <v>8393.79111374</v>
      </c>
      <c r="E83" s="106" t="n">
        <v>8393791113.74</v>
      </c>
      <c r="F83" s="105" t="s">
        <v>1335</v>
      </c>
      <c r="G83" s="105" t="s">
        <v>5127</v>
      </c>
      <c r="H83" s="105" t="s">
        <v>5128</v>
      </c>
      <c r="I83" s="105" t="s">
        <v>1059</v>
      </c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</row>
    <row r="84" customFormat="false" ht="23" hidden="false" customHeight="true" outlineLevel="0" collapsed="false">
      <c r="C84" s="103" t="s">
        <v>5206</v>
      </c>
      <c r="D84" s="105" t="n">
        <f aca="false">E84/1000000</f>
        <v>4892.65462211</v>
      </c>
      <c r="E84" s="106" t="n">
        <v>4892654622.11</v>
      </c>
      <c r="F84" s="105" t="s">
        <v>1335</v>
      </c>
      <c r="G84" s="105" t="s">
        <v>5127</v>
      </c>
      <c r="H84" s="105" t="s">
        <v>5128</v>
      </c>
      <c r="I84" s="105" t="s">
        <v>1059</v>
      </c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</row>
    <row r="85" customFormat="false" ht="23" hidden="false" customHeight="true" outlineLevel="0" collapsed="false">
      <c r="C85" s="103" t="s">
        <v>5207</v>
      </c>
      <c r="D85" s="105" t="n">
        <f aca="false">E85/1000000</f>
        <v>584.11762077</v>
      </c>
      <c r="E85" s="106" t="n">
        <v>584117620.77</v>
      </c>
      <c r="F85" s="105" t="s">
        <v>1335</v>
      </c>
      <c r="G85" s="105" t="s">
        <v>5127</v>
      </c>
      <c r="H85" s="105" t="s">
        <v>5128</v>
      </c>
      <c r="I85" s="105" t="s">
        <v>1059</v>
      </c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</row>
    <row r="86" customFormat="false" ht="23" hidden="false" customHeight="true" outlineLevel="0" collapsed="false">
      <c r="C86" s="103" t="s">
        <v>284</v>
      </c>
      <c r="D86" s="105" t="n">
        <f aca="false">E86/1000000</f>
        <v>305.54310983</v>
      </c>
      <c r="E86" s="106" t="n">
        <v>305543109.83</v>
      </c>
      <c r="F86" s="105" t="s">
        <v>1335</v>
      </c>
      <c r="G86" s="105" t="s">
        <v>5127</v>
      </c>
      <c r="H86" s="105" t="s">
        <v>5128</v>
      </c>
      <c r="I86" s="105" t="s">
        <v>1059</v>
      </c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</row>
    <row r="87" customFormat="false" ht="23" hidden="false" customHeight="true" outlineLevel="0" collapsed="false">
      <c r="C87" s="103" t="s">
        <v>5208</v>
      </c>
      <c r="D87" s="105" t="n">
        <f aca="false">E87/1000000</f>
        <v>286.28158179</v>
      </c>
      <c r="E87" s="106" t="n">
        <v>286281581.79</v>
      </c>
      <c r="F87" s="105" t="s">
        <v>1340</v>
      </c>
      <c r="G87" s="105" t="s">
        <v>5127</v>
      </c>
      <c r="H87" s="105" t="s">
        <v>5128</v>
      </c>
      <c r="I87" s="105" t="s">
        <v>1059</v>
      </c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</row>
    <row r="88" customFormat="false" ht="23" hidden="false" customHeight="true" outlineLevel="0" collapsed="false">
      <c r="C88" s="103" t="s">
        <v>5209</v>
      </c>
      <c r="D88" s="105" t="n">
        <f aca="false">E88/1000000</f>
        <v>76.48231689</v>
      </c>
      <c r="E88" s="106" t="n">
        <v>76482316.89</v>
      </c>
      <c r="F88" s="105" t="s">
        <v>1335</v>
      </c>
      <c r="G88" s="105" t="s">
        <v>5127</v>
      </c>
      <c r="H88" s="105" t="s">
        <v>5128</v>
      </c>
      <c r="I88" s="105" t="s">
        <v>1059</v>
      </c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5"/>
    </row>
    <row r="89" customFormat="false" ht="23" hidden="false" customHeight="true" outlineLevel="0" collapsed="false">
      <c r="C89" s="103" t="s">
        <v>5210</v>
      </c>
      <c r="D89" s="105" t="n">
        <f aca="false">E89/1000000</f>
        <v>-34.54564054</v>
      </c>
      <c r="E89" s="106" t="n">
        <v>-34545640.54</v>
      </c>
      <c r="F89" s="105" t="s">
        <v>1340</v>
      </c>
      <c r="G89" s="105" t="s">
        <v>5127</v>
      </c>
      <c r="H89" s="105" t="s">
        <v>5128</v>
      </c>
      <c r="I89" s="105" t="s">
        <v>1059</v>
      </c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5"/>
    </row>
    <row r="90" customFormat="false" ht="23" hidden="false" customHeight="true" outlineLevel="0" collapsed="false">
      <c r="C90" s="103" t="s">
        <v>5211</v>
      </c>
      <c r="D90" s="105" t="n">
        <f aca="false">E90/1000000</f>
        <v>6.30006293</v>
      </c>
      <c r="E90" s="106" t="n">
        <v>6300062.93</v>
      </c>
      <c r="F90" s="105" t="s">
        <v>1340</v>
      </c>
      <c r="G90" s="105" t="s">
        <v>5127</v>
      </c>
      <c r="H90" s="105" t="s">
        <v>5128</v>
      </c>
      <c r="I90" s="105" t="s">
        <v>1059</v>
      </c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</row>
    <row r="91" customFormat="false" ht="23" hidden="false" customHeight="true" outlineLevel="0" collapsed="false">
      <c r="C91" s="103" t="s">
        <v>5212</v>
      </c>
      <c r="D91" s="105" t="n">
        <f aca="false">E91/1000000</f>
        <v>45.19390783</v>
      </c>
      <c r="E91" s="106" t="n">
        <v>45193907.83</v>
      </c>
      <c r="F91" s="105" t="s">
        <v>1340</v>
      </c>
      <c r="G91" s="105" t="s">
        <v>5127</v>
      </c>
      <c r="H91" s="105" t="s">
        <v>5128</v>
      </c>
      <c r="I91" s="105" t="s">
        <v>1059</v>
      </c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</row>
    <row r="92" customFormat="false" ht="23" hidden="false" customHeight="true" outlineLevel="0" collapsed="false">
      <c r="C92" s="103" t="s">
        <v>5213</v>
      </c>
      <c r="D92" s="105" t="n">
        <f aca="false">E92/1000000</f>
        <v>84.12568923</v>
      </c>
      <c r="E92" s="106" t="n">
        <v>84125689.23</v>
      </c>
      <c r="F92" s="105" t="s">
        <v>1340</v>
      </c>
      <c r="G92" s="105" t="s">
        <v>5127</v>
      </c>
      <c r="H92" s="105" t="s">
        <v>5128</v>
      </c>
      <c r="I92" s="105" t="s">
        <v>1059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</row>
    <row r="93" customFormat="false" ht="23" hidden="false" customHeight="true" outlineLevel="0" collapsed="false">
      <c r="C93" s="103" t="s">
        <v>5214</v>
      </c>
      <c r="D93" s="105" t="n">
        <f aca="false">E93/1000000</f>
        <v>257.05763704</v>
      </c>
      <c r="E93" s="106" t="n">
        <v>257057637.04</v>
      </c>
      <c r="F93" s="105" t="s">
        <v>1340</v>
      </c>
      <c r="G93" s="105" t="s">
        <v>5127</v>
      </c>
      <c r="H93" s="105" t="s">
        <v>5128</v>
      </c>
      <c r="I93" s="105" t="s">
        <v>1059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</row>
    <row r="94" customFormat="false" ht="23" hidden="false" customHeight="true" outlineLevel="0" collapsed="false">
      <c r="C94" s="103" t="s">
        <v>5215</v>
      </c>
      <c r="D94" s="105" t="n">
        <f aca="false">E94/1000000</f>
        <v>0.11522692</v>
      </c>
      <c r="E94" s="106" t="n">
        <v>115226.92</v>
      </c>
      <c r="F94" s="105" t="s">
        <v>1340</v>
      </c>
      <c r="G94" s="105" t="s">
        <v>5127</v>
      </c>
      <c r="H94" s="105" t="s">
        <v>5128</v>
      </c>
      <c r="I94" s="105" t="s">
        <v>1059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</row>
    <row r="95" customFormat="false" ht="23" hidden="false" customHeight="true" outlineLevel="0" collapsed="false">
      <c r="C95" s="103" t="s">
        <v>5216</v>
      </c>
      <c r="D95" s="105" t="n">
        <f aca="false">E95/1000000</f>
        <v>14.20252638</v>
      </c>
      <c r="E95" s="106" t="n">
        <v>14202526.38</v>
      </c>
      <c r="F95" s="105" t="s">
        <v>1340</v>
      </c>
      <c r="G95" s="105" t="s">
        <v>5127</v>
      </c>
      <c r="H95" s="105" t="s">
        <v>5128</v>
      </c>
      <c r="I95" s="105" t="s">
        <v>1059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</row>
    <row r="96" customFormat="false" ht="23" hidden="false" customHeight="true" outlineLevel="0" collapsed="false">
      <c r="C96" s="103" t="s">
        <v>5217</v>
      </c>
      <c r="D96" s="105" t="n">
        <f aca="false">E96/1000000</f>
        <v>2.93648193</v>
      </c>
      <c r="E96" s="106" t="n">
        <v>2936481.93</v>
      </c>
      <c r="F96" s="105" t="s">
        <v>1340</v>
      </c>
      <c r="G96" s="105" t="s">
        <v>5127</v>
      </c>
      <c r="H96" s="105" t="s">
        <v>5128</v>
      </c>
      <c r="I96" s="105" t="s">
        <v>1059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</row>
    <row r="97" customFormat="false" ht="23" hidden="false" customHeight="true" outlineLevel="0" collapsed="false">
      <c r="C97" s="103" t="s">
        <v>5218</v>
      </c>
      <c r="D97" s="105" t="n">
        <f aca="false">E97/1000000</f>
        <v>2.52263265</v>
      </c>
      <c r="E97" s="106" t="n">
        <v>2522632.65</v>
      </c>
      <c r="F97" s="105" t="s">
        <v>1340</v>
      </c>
      <c r="G97" s="105" t="s">
        <v>5127</v>
      </c>
      <c r="H97" s="105" t="s">
        <v>5128</v>
      </c>
      <c r="I97" s="105" t="s">
        <v>1059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</row>
    <row r="98" customFormat="false" ht="23" hidden="false" customHeight="true" outlineLevel="0" collapsed="false">
      <c r="C98" s="103" t="s">
        <v>5219</v>
      </c>
      <c r="D98" s="105" t="n">
        <f aca="false">E98/1000000</f>
        <v>13.97050456</v>
      </c>
      <c r="E98" s="106" t="n">
        <v>13970504.56</v>
      </c>
      <c r="F98" s="105" t="s">
        <v>1340</v>
      </c>
      <c r="G98" s="105" t="s">
        <v>5127</v>
      </c>
      <c r="H98" s="105" t="s">
        <v>5128</v>
      </c>
      <c r="I98" s="105" t="s">
        <v>1059</v>
      </c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5"/>
    </row>
    <row r="99" customFormat="false" ht="23" hidden="false" customHeight="true" outlineLevel="0" collapsed="false">
      <c r="C99" s="103" t="s">
        <v>5220</v>
      </c>
      <c r="D99" s="105" t="n">
        <f aca="false">E99/1000000</f>
        <v>2595.96917586</v>
      </c>
      <c r="E99" s="106" t="n">
        <v>2595969175.86</v>
      </c>
      <c r="F99" s="105" t="s">
        <v>1340</v>
      </c>
      <c r="G99" s="105" t="s">
        <v>5127</v>
      </c>
      <c r="H99" s="105" t="s">
        <v>5128</v>
      </c>
      <c r="I99" s="105" t="s">
        <v>1059</v>
      </c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5"/>
    </row>
    <row r="100" customFormat="false" ht="23" hidden="false" customHeight="true" outlineLevel="0" collapsed="false">
      <c r="C100" s="103" t="s">
        <v>5221</v>
      </c>
      <c r="D100" s="105" t="n">
        <f aca="false">E100/1000000</f>
        <v>440.96974929</v>
      </c>
      <c r="E100" s="106" t="n">
        <v>440969749.29</v>
      </c>
      <c r="F100" s="105" t="s">
        <v>1340</v>
      </c>
      <c r="G100" s="105" t="s">
        <v>5127</v>
      </c>
      <c r="H100" s="105" t="s">
        <v>5128</v>
      </c>
      <c r="I100" s="105" t="s">
        <v>1059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</row>
    <row r="101" customFormat="false" ht="23" hidden="false" customHeight="true" outlineLevel="0" collapsed="false">
      <c r="C101" s="103" t="s">
        <v>5222</v>
      </c>
      <c r="D101" s="105" t="n">
        <f aca="false">E101/1000000</f>
        <v>2154.99942657</v>
      </c>
      <c r="E101" s="106" t="n">
        <v>2154999426.57</v>
      </c>
      <c r="F101" s="105" t="s">
        <v>1340</v>
      </c>
      <c r="G101" s="105" t="s">
        <v>5127</v>
      </c>
      <c r="H101" s="105" t="s">
        <v>5128</v>
      </c>
      <c r="I101" s="105" t="s">
        <v>1059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</row>
    <row r="102" customFormat="false" ht="23" hidden="false" customHeight="true" outlineLevel="0" collapsed="false">
      <c r="C102" s="103" t="s">
        <v>5223</v>
      </c>
      <c r="D102" s="105" t="n">
        <f aca="false">E102/1000000</f>
        <v>2150.98918545</v>
      </c>
      <c r="E102" s="106" t="n">
        <v>2150989185.45</v>
      </c>
      <c r="F102" s="105" t="s">
        <v>1340</v>
      </c>
      <c r="G102" s="105" t="s">
        <v>5127</v>
      </c>
      <c r="H102" s="105" t="s">
        <v>5128</v>
      </c>
      <c r="I102" s="105" t="s">
        <v>1059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</row>
    <row r="103" customFormat="false" ht="23" hidden="false" customHeight="true" outlineLevel="0" collapsed="false">
      <c r="C103" s="103" t="s">
        <v>5224</v>
      </c>
      <c r="D103" s="105" t="n">
        <f aca="false">E103/1000000</f>
        <v>4.01024112</v>
      </c>
      <c r="E103" s="106" t="n">
        <v>4010241.12</v>
      </c>
      <c r="F103" s="105" t="s">
        <v>1340</v>
      </c>
      <c r="G103" s="105" t="s">
        <v>5127</v>
      </c>
      <c r="H103" s="105" t="s">
        <v>5128</v>
      </c>
      <c r="I103" s="105" t="s">
        <v>1059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</row>
    <row r="104" customFormat="false" ht="23" hidden="false" customHeight="true" outlineLevel="0" collapsed="false">
      <c r="C104" s="103" t="s">
        <v>5225</v>
      </c>
      <c r="D104" s="105" t="n">
        <f aca="false">E104/1000000</f>
        <v>2235.88240513</v>
      </c>
      <c r="E104" s="106" t="n">
        <v>2235882405.13</v>
      </c>
      <c r="F104" s="105" t="s">
        <v>1361</v>
      </c>
      <c r="G104" s="105" t="s">
        <v>5127</v>
      </c>
      <c r="H104" s="105" t="s">
        <v>5128</v>
      </c>
      <c r="I104" s="105" t="s">
        <v>1059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</row>
    <row r="105" customFormat="false" ht="23" hidden="false" customHeight="true" outlineLevel="0" collapsed="false">
      <c r="C105" s="103" t="s">
        <v>5226</v>
      </c>
      <c r="D105" s="105" t="n">
        <f aca="false">E105/1000000</f>
        <v>1612.0292871</v>
      </c>
      <c r="E105" s="106" t="n">
        <v>1612029287.1</v>
      </c>
      <c r="F105" s="105" t="s">
        <v>1361</v>
      </c>
      <c r="G105" s="105" t="s">
        <v>5127</v>
      </c>
      <c r="H105" s="105" t="s">
        <v>5128</v>
      </c>
      <c r="I105" s="105" t="s">
        <v>1059</v>
      </c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</row>
    <row r="106" customFormat="false" ht="23" hidden="false" customHeight="true" outlineLevel="0" collapsed="false">
      <c r="C106" s="103" t="s">
        <v>5227</v>
      </c>
      <c r="D106" s="105" t="n">
        <f aca="false">E106/1000000</f>
        <v>-3503.35878907</v>
      </c>
      <c r="E106" s="106" t="n">
        <v>-3503358789.07</v>
      </c>
      <c r="F106" s="105" t="s">
        <v>1370</v>
      </c>
      <c r="G106" s="105" t="s">
        <v>5127</v>
      </c>
      <c r="H106" s="105" t="s">
        <v>5128</v>
      </c>
      <c r="I106" s="105" t="s">
        <v>1059</v>
      </c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5"/>
    </row>
    <row r="107" customFormat="false" ht="23" hidden="false" customHeight="true" outlineLevel="0" collapsed="false">
      <c r="C107" s="103" t="s">
        <v>5228</v>
      </c>
      <c r="D107" s="105" t="n">
        <f aca="false">E107/1000000</f>
        <v>-7.09880488</v>
      </c>
      <c r="E107" s="106" t="n">
        <v>-7098804.88</v>
      </c>
      <c r="F107" s="105" t="s">
        <v>1370</v>
      </c>
      <c r="G107" s="105" t="s">
        <v>5127</v>
      </c>
      <c r="H107" s="105" t="s">
        <v>5128</v>
      </c>
      <c r="I107" s="105" t="s">
        <v>1059</v>
      </c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</row>
    <row r="108" customFormat="false" ht="23" hidden="false" customHeight="true" outlineLevel="0" collapsed="false">
      <c r="C108" s="103" t="s">
        <v>5229</v>
      </c>
      <c r="D108" s="105" t="n">
        <f aca="false">E108/1000000</f>
        <v>721.04458546</v>
      </c>
      <c r="E108" s="106" t="n">
        <v>721044585.46</v>
      </c>
      <c r="F108" s="105" t="s">
        <v>1370</v>
      </c>
      <c r="G108" s="105" t="s">
        <v>5127</v>
      </c>
      <c r="H108" s="105" t="s">
        <v>5128</v>
      </c>
      <c r="I108" s="105" t="s">
        <v>1059</v>
      </c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5"/>
    </row>
    <row r="109" customFormat="false" ht="23" hidden="false" customHeight="true" outlineLevel="0" collapsed="false">
      <c r="C109" s="103" t="s">
        <v>5230</v>
      </c>
      <c r="D109" s="105" t="n">
        <f aca="false">E109/1000000</f>
        <v>11980.87777154</v>
      </c>
      <c r="E109" s="106" t="n">
        <v>11980877771.54</v>
      </c>
      <c r="F109" s="105" t="s">
        <v>5201</v>
      </c>
      <c r="G109" s="105" t="s">
        <v>5127</v>
      </c>
      <c r="H109" s="105" t="s">
        <v>5128</v>
      </c>
      <c r="I109" s="105" t="s">
        <v>1059</v>
      </c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5"/>
    </row>
    <row r="110" customFormat="false" ht="23" hidden="false" customHeight="true" outlineLevel="0" collapsed="false">
      <c r="C110" s="103" t="s">
        <v>5231</v>
      </c>
      <c r="D110" s="105" t="n">
        <f aca="false">E110/1000000</f>
        <v>10452.62981</v>
      </c>
      <c r="E110" s="106" t="n">
        <v>10452629810</v>
      </c>
      <c r="F110" s="105" t="s">
        <v>5201</v>
      </c>
      <c r="G110" s="105" t="s">
        <v>5127</v>
      </c>
      <c r="H110" s="105" t="s">
        <v>5128</v>
      </c>
      <c r="I110" s="105" t="s">
        <v>1059</v>
      </c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</row>
    <row r="111" customFormat="false" ht="23" hidden="false" customHeight="true" outlineLevel="0" collapsed="false">
      <c r="C111" s="103" t="s">
        <v>5232</v>
      </c>
      <c r="D111" s="105" t="n">
        <f aca="false">E111/1000000</f>
        <v>164.97009367</v>
      </c>
      <c r="E111" s="106" t="n">
        <v>164970093.67</v>
      </c>
      <c r="F111" s="105" t="s">
        <v>1361</v>
      </c>
      <c r="G111" s="105" t="s">
        <v>5127</v>
      </c>
      <c r="H111" s="105" t="s">
        <v>5128</v>
      </c>
      <c r="I111" s="105" t="s">
        <v>1059</v>
      </c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5"/>
    </row>
    <row r="112" customFormat="false" ht="23" hidden="false" customHeight="true" outlineLevel="0" collapsed="false">
      <c r="C112" s="103" t="s">
        <v>5233</v>
      </c>
      <c r="D112" s="105" t="n">
        <f aca="false">E112/1000000</f>
        <v>1975.84316669</v>
      </c>
      <c r="E112" s="106" t="n">
        <v>1975843166.69</v>
      </c>
      <c r="F112" s="105" t="s">
        <v>1361</v>
      </c>
      <c r="G112" s="105" t="s">
        <v>5127</v>
      </c>
      <c r="H112" s="105" t="s">
        <v>5128</v>
      </c>
      <c r="I112" s="105" t="s">
        <v>1059</v>
      </c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105"/>
    </row>
    <row r="113" customFormat="false" ht="23" hidden="false" customHeight="true" outlineLevel="0" collapsed="false">
      <c r="C113" s="103" t="s">
        <v>5234</v>
      </c>
      <c r="D113" s="105" t="n">
        <f aca="false">E113/1000000</f>
        <v>1829.95</v>
      </c>
      <c r="E113" s="106" t="n">
        <v>1829950000</v>
      </c>
      <c r="F113" s="105" t="s">
        <v>1370</v>
      </c>
      <c r="G113" s="105" t="s">
        <v>5127</v>
      </c>
      <c r="H113" s="105" t="s">
        <v>5128</v>
      </c>
      <c r="I113" s="105" t="s">
        <v>1059</v>
      </c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5"/>
    </row>
    <row r="114" customFormat="false" ht="23" hidden="false" customHeight="true" outlineLevel="0" collapsed="false">
      <c r="C114" s="103" t="s">
        <v>5235</v>
      </c>
      <c r="D114" s="105" t="n">
        <f aca="false">E114/1000000</f>
        <v>3440.57754023</v>
      </c>
      <c r="E114" s="106" t="n">
        <v>3440577540.23</v>
      </c>
      <c r="F114" s="105" t="s">
        <v>1370</v>
      </c>
      <c r="G114" s="105" t="s">
        <v>5127</v>
      </c>
      <c r="H114" s="105" t="s">
        <v>5128</v>
      </c>
      <c r="I114" s="105" t="s">
        <v>1059</v>
      </c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5"/>
    </row>
    <row r="115" customFormat="false" ht="23" hidden="false" customHeight="true" outlineLevel="0" collapsed="false">
      <c r="C115" s="103" t="s">
        <v>5236</v>
      </c>
      <c r="D115" s="105" t="n">
        <f aca="false">E115/1000000</f>
        <v>317.48004553</v>
      </c>
      <c r="E115" s="106" t="n">
        <v>317480045.53</v>
      </c>
      <c r="F115" s="105" t="s">
        <v>5201</v>
      </c>
      <c r="G115" s="105" t="s">
        <v>5127</v>
      </c>
      <c r="H115" s="105" t="s">
        <v>5128</v>
      </c>
      <c r="I115" s="105" t="s">
        <v>1059</v>
      </c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</row>
    <row r="116" customFormat="false" ht="23" hidden="false" customHeight="true" outlineLevel="0" collapsed="false">
      <c r="C116" s="103" t="s">
        <v>5237</v>
      </c>
      <c r="D116" s="105" t="n">
        <f aca="false">E116/1000000</f>
        <v>8.0801411</v>
      </c>
      <c r="E116" s="106" t="n">
        <v>8080141.1</v>
      </c>
      <c r="F116" s="105" t="s">
        <v>5201</v>
      </c>
      <c r="G116" s="105" t="s">
        <v>5127</v>
      </c>
      <c r="H116" s="105" t="s">
        <v>5128</v>
      </c>
      <c r="I116" s="105" t="s">
        <v>1059</v>
      </c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105"/>
    </row>
    <row r="117" customFormat="false" ht="23" hidden="false" customHeight="true" outlineLevel="0" collapsed="false">
      <c r="C117" s="103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5"/>
    </row>
    <row r="118" customFormat="false" ht="23" hidden="false" customHeight="true" outlineLevel="0" collapsed="false">
      <c r="C118" s="103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  <c r="AK118" s="105"/>
      <c r="AL118" s="105"/>
      <c r="AM118" s="105"/>
    </row>
    <row r="119" customFormat="false" ht="23" hidden="false" customHeight="true" outlineLevel="0" collapsed="false">
      <c r="C119" s="103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105"/>
    </row>
    <row r="120" customFormat="false" ht="23" hidden="false" customHeight="true" outlineLevel="0" collapsed="false">
      <c r="C120" s="103" t="s">
        <v>674</v>
      </c>
      <c r="D120" s="105" t="s">
        <v>1054</v>
      </c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5"/>
    </row>
    <row r="121" customFormat="false" ht="23" hidden="false" customHeight="true" outlineLevel="0" collapsed="false">
      <c r="C121" s="103" t="s">
        <v>5238</v>
      </c>
      <c r="D121" s="105" t="n">
        <v>46271.6797898495</v>
      </c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5"/>
    </row>
    <row r="122" customFormat="false" ht="23" hidden="false" customHeight="true" outlineLevel="0" collapsed="false">
      <c r="C122" s="103" t="s">
        <v>5239</v>
      </c>
      <c r="D122" s="105" t="s">
        <v>1053</v>
      </c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105"/>
    </row>
    <row r="123" customFormat="false" ht="23" hidden="false" customHeight="true" outlineLevel="0" collapsed="false">
      <c r="C123" s="103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</row>
    <row r="124" customFormat="false" ht="23" hidden="false" customHeight="true" outlineLevel="0" collapsed="false">
      <c r="C124" s="103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5"/>
    </row>
    <row r="125" customFormat="false" ht="23" hidden="false" customHeight="true" outlineLevel="0" collapsed="false">
      <c r="C125" s="103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5"/>
    </row>
  </sheetData>
  <sheetProtection sheet="1" objects="1" scenarios="1" selectLockedCells="0" selectUnlockedCells="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>
  <sheetPr filterMode="false">
    <pageSetUpPr fitToPage="false"/>
  </sheetPr>
  <dimension ref="C1:AM85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1"/>
    <col collapsed="false" customWidth="true" hidden="false" outlineLevel="0" max="39" min="4" style="0" width="14"/>
  </cols>
  <sheetData>
    <row r="1" customFormat="false" ht="15" hidden="false" customHeight="false" outlineLevel="0" collapsed="false"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</row>
    <row r="2" customFormat="false" ht="15" hidden="false" customHeight="false" outlineLevel="0" collapsed="false">
      <c r="C2" s="104" t="s">
        <v>5240</v>
      </c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</row>
    <row r="3" customFormat="false" ht="15" hidden="false" customHeight="false" outlineLevel="0" collapsed="false">
      <c r="C3" s="103" t="s">
        <v>5241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</row>
    <row r="4" customFormat="false" ht="15" hidden="false" customHeight="false" outlineLevel="0" collapsed="false"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</row>
    <row r="5" customFormat="false" ht="15" hidden="false" customHeight="false" outlineLevel="0" collapsed="false"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</row>
    <row r="6" customFormat="false" ht="15" hidden="false" customHeight="false" outlineLevel="0" collapsed="false"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</row>
    <row r="7" customFormat="false" ht="15" hidden="false" customHeight="false" outlineLevel="0" collapsed="false">
      <c r="C7" s="103"/>
      <c r="D7" s="103" t="s">
        <v>5242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</row>
    <row r="8" customFormat="false" ht="23" hidden="false" customHeight="true" outlineLevel="0" collapsed="false">
      <c r="C8" s="103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</row>
    <row r="9" customFormat="false" ht="23" hidden="false" customHeight="true" outlineLevel="0" collapsed="false">
      <c r="C9" s="103" t="s">
        <v>31</v>
      </c>
      <c r="D9" s="105" t="n">
        <f aca="false">H1Data!D83</f>
        <v>8393.79111374</v>
      </c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</row>
    <row r="10" customFormat="false" ht="23" hidden="false" customHeight="true" outlineLevel="0" collapsed="false">
      <c r="C10" s="103" t="s">
        <v>83</v>
      </c>
      <c r="D10" s="105" t="n">
        <f aca="false">H1Data!D84</f>
        <v>4892.65462211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</row>
    <row r="11" customFormat="false" ht="23" hidden="false" customHeight="true" outlineLevel="0" collapsed="false">
      <c r="C11" s="103" t="s">
        <v>84</v>
      </c>
      <c r="D11" s="105" t="n">
        <f aca="false">H1Data!D83-H1Data!D84</f>
        <v>3501.13649163</v>
      </c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</row>
    <row r="12" customFormat="false" ht="23" hidden="false" customHeight="true" outlineLevel="0" collapsed="false">
      <c r="C12" s="103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</row>
    <row r="13" customFormat="false" ht="23" hidden="false" customHeight="true" outlineLevel="0" collapsed="false">
      <c r="C13" s="103" t="s">
        <v>85</v>
      </c>
      <c r="D13" s="105" t="n">
        <f aca="false">H1Data!D85</f>
        <v>584.11762077</v>
      </c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</row>
    <row r="14" customFormat="false" ht="23" hidden="false" customHeight="true" outlineLevel="0" collapsed="false">
      <c r="C14" s="103" t="s">
        <v>86</v>
      </c>
      <c r="D14" s="105" t="n">
        <f aca="false">H1Data!D86</f>
        <v>305.54310983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</row>
    <row r="15" customFormat="false" ht="23" hidden="false" customHeight="true" outlineLevel="0" collapsed="false">
      <c r="C15" s="103" t="s">
        <v>87</v>
      </c>
      <c r="D15" s="105" t="n">
        <f aca="false">H1Data!D87</f>
        <v>286.28158179</v>
      </c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</row>
    <row r="16" customFormat="false" ht="23" hidden="false" customHeight="true" outlineLevel="0" collapsed="false">
      <c r="C16" s="103" t="s">
        <v>88</v>
      </c>
      <c r="D16" s="105" t="n">
        <f aca="false">H1Data!D88</f>
        <v>76.48231689</v>
      </c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</row>
    <row r="17" customFormat="false" ht="23" hidden="false" customHeight="true" outlineLevel="0" collapsed="false">
      <c r="C17" s="103" t="s">
        <v>89</v>
      </c>
      <c r="D17" s="105" t="n">
        <f aca="false">H1Data!D95-H1Data!D94</f>
        <v>14.08729946</v>
      </c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</row>
    <row r="18" customFormat="false" ht="23" hidden="false" customHeight="true" outlineLevel="0" collapsed="false">
      <c r="C18" s="103" t="s">
        <v>91</v>
      </c>
      <c r="D18" s="105" t="n">
        <f aca="false">H1Data!D92+H1Data!D93-H1Data!D96+H1Data!D97-H1Data!D98</f>
        <v>326.79897243</v>
      </c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</row>
    <row r="19" customFormat="false" ht="23" hidden="false" customHeight="true" outlineLevel="0" collapsed="false">
      <c r="C19" s="103" t="s">
        <v>92</v>
      </c>
      <c r="D19" s="105" t="n">
        <f aca="false">H1Data!D89</f>
        <v>-34.54564054</v>
      </c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</row>
    <row r="20" customFormat="false" ht="23" hidden="false" customHeight="true" outlineLevel="0" collapsed="false">
      <c r="C20" s="103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</row>
    <row r="21" customFormat="false" ht="23" hidden="false" customHeight="true" outlineLevel="0" collapsed="false">
      <c r="C21" s="103" t="s">
        <v>93</v>
      </c>
      <c r="D21" s="105" t="n">
        <f aca="false">H1Data!D99</f>
        <v>2595.96917586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</row>
    <row r="22" customFormat="false" ht="23" hidden="false" customHeight="true" outlineLevel="0" collapsed="false">
      <c r="C22" s="103" t="s">
        <v>94</v>
      </c>
      <c r="D22" s="105" t="n">
        <f aca="false">H1Data!D100</f>
        <v>440.96974929</v>
      </c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</row>
    <row r="23" customFormat="false" ht="23" hidden="false" customHeight="true" outlineLevel="0" collapsed="false">
      <c r="C23" s="103" t="s">
        <v>95</v>
      </c>
      <c r="D23" s="105" t="n">
        <f aca="false">H1Data!D101</f>
        <v>2154.99942657</v>
      </c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</row>
    <row r="24" customFormat="false" ht="23" hidden="false" customHeight="true" outlineLevel="0" collapsed="false">
      <c r="C24" s="103" t="s">
        <v>96</v>
      </c>
      <c r="D24" s="105" t="n">
        <f aca="false">H1Data!D102</f>
        <v>2150.98918545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</row>
    <row r="25" customFormat="false" ht="23" hidden="false" customHeight="true" outlineLevel="0" collapsed="false">
      <c r="C25" s="103" t="s">
        <v>97</v>
      </c>
      <c r="D25" s="105" t="n">
        <f aca="false">H1Data!D103</f>
        <v>4.01024112</v>
      </c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</row>
    <row r="26" customFormat="false" ht="23" hidden="false" customHeight="true" outlineLevel="0" collapsed="false">
      <c r="C26" s="103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</row>
    <row r="27" customFormat="false" ht="23" hidden="false" customHeight="true" outlineLevel="0" collapsed="false">
      <c r="C27" s="103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</row>
    <row r="28" customFormat="false" ht="23" hidden="false" customHeight="true" outlineLevel="0" collapsed="false">
      <c r="C28" s="103" t="s">
        <v>98</v>
      </c>
      <c r="D28" s="105" t="n">
        <f aca="false">H1Data!D9</f>
        <v>1058.49868374</v>
      </c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</row>
    <row r="29" customFormat="false" ht="23" hidden="false" customHeight="true" outlineLevel="0" collapsed="false">
      <c r="C29" s="103" t="s">
        <v>99</v>
      </c>
      <c r="D29" s="105" t="n">
        <f aca="false">H1Data!D11</f>
        <v>3480.0156407</v>
      </c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</row>
    <row r="30" customFormat="false" ht="23" hidden="false" customHeight="true" outlineLevel="0" collapsed="false">
      <c r="C30" s="103" t="s">
        <v>100</v>
      </c>
      <c r="D30" s="105" t="n">
        <f aca="false">H1Data!D17+H1Data!D16+H1Data!D19</f>
        <v>330.9851343</v>
      </c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</row>
    <row r="31" customFormat="false" ht="23" hidden="false" customHeight="true" outlineLevel="0" collapsed="false">
      <c r="C31" s="103" t="s">
        <v>101</v>
      </c>
      <c r="D31" s="105" t="n">
        <f aca="false">H1Data!D22</f>
        <v>1636.96424834</v>
      </c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</row>
    <row r="32" customFormat="false" ht="23" hidden="false" customHeight="true" outlineLevel="0" collapsed="false">
      <c r="C32" s="103" t="s">
        <v>102</v>
      </c>
      <c r="D32" s="105" t="n">
        <f aca="false">H1Data!D24+H1Data!D25</f>
        <v>3591.96782104</v>
      </c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</row>
    <row r="33" customFormat="false" ht="23" hidden="false" customHeight="true" outlineLevel="0" collapsed="false">
      <c r="C33" s="103" t="s">
        <v>103</v>
      </c>
      <c r="D33" s="105" t="n">
        <f aca="false">H1Data!D27+H1Data!D28</f>
        <v>349.07459603</v>
      </c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</row>
    <row r="34" customFormat="false" ht="23" hidden="false" customHeight="true" outlineLevel="0" collapsed="false">
      <c r="C34" s="103" t="s">
        <v>104</v>
      </c>
      <c r="D34" s="105" t="n">
        <f aca="false">H1Data!D26</f>
        <v>17.65553843</v>
      </c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</row>
    <row r="35" customFormat="false" ht="23" hidden="false" customHeight="true" outlineLevel="0" collapsed="false">
      <c r="C35" s="103" t="s">
        <v>105</v>
      </c>
      <c r="D35" s="105" t="n">
        <f aca="false">H1Data!D12</f>
        <v>10538.02</v>
      </c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</row>
    <row r="36" customFormat="false" ht="23" hidden="false" customHeight="true" outlineLevel="0" collapsed="false">
      <c r="C36" s="103" t="s">
        <v>106</v>
      </c>
      <c r="D36" s="105" t="n">
        <f aca="false">H1Data!D20+H1Data!D21+H1Data!D23+H1Data!D30+H1Data!D29</f>
        <v>431.84261396</v>
      </c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</row>
    <row r="37" customFormat="false" ht="23" hidden="false" customHeight="true" outlineLevel="0" collapsed="false">
      <c r="C37" s="103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</row>
    <row r="38" customFormat="false" ht="23" hidden="false" customHeight="true" outlineLevel="0" collapsed="false">
      <c r="C38" s="103" t="s">
        <v>107</v>
      </c>
      <c r="D38" s="105" t="n">
        <f aca="false">H1Data!D31</f>
        <v>21435.02427654</v>
      </c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</row>
    <row r="39" customFormat="false" ht="23" hidden="false" customHeight="true" outlineLevel="0" collapsed="false">
      <c r="C39" s="103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</row>
    <row r="40" customFormat="false" ht="23" hidden="false" customHeight="true" outlineLevel="0" collapsed="false">
      <c r="C40" s="103" t="s">
        <v>108</v>
      </c>
      <c r="D40" s="105" t="n">
        <f aca="false">H1Data!D36</f>
        <v>2564.44345532</v>
      </c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</row>
    <row r="41" customFormat="false" ht="23" hidden="false" customHeight="true" outlineLevel="0" collapsed="false">
      <c r="C41" s="103" t="s">
        <v>109</v>
      </c>
      <c r="D41" s="105" t="n">
        <f aca="false">H1Data!D40</f>
        <v>831.36656868</v>
      </c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</row>
    <row r="42" customFormat="false" ht="23" hidden="false" customHeight="true" outlineLevel="0" collapsed="false">
      <c r="C42" s="103" t="s">
        <v>110</v>
      </c>
      <c r="D42" s="105" t="n">
        <f aca="false">H1Data!D32+H1Data!D47+H1Data!D45+H1Data!D48</f>
        <v>941.57716218</v>
      </c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</row>
    <row r="43" customFormat="false" ht="23" hidden="false" customHeight="true" outlineLevel="0" collapsed="false">
      <c r="C43" s="103" t="s">
        <v>111</v>
      </c>
      <c r="D43" s="105" t="n">
        <f aca="false">H1Data!D42</f>
        <v>394.62788395</v>
      </c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</row>
    <row r="44" customFormat="false" ht="23" hidden="false" customHeight="true" outlineLevel="0" collapsed="false">
      <c r="C44" s="103" t="s">
        <v>112</v>
      </c>
      <c r="D44" s="105" t="n">
        <f aca="false">H1Data!D41+H1Data!D44+H1Data!D46+H1Data!D49+H1Data!D50+H1Data!D51+H1Data!D35</f>
        <v>1494.7807312</v>
      </c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</row>
    <row r="45" customFormat="false" ht="23" hidden="false" customHeight="true" outlineLevel="0" collapsed="false">
      <c r="C45" s="103" t="s">
        <v>113</v>
      </c>
      <c r="D45" s="105" t="n">
        <f aca="false">0</f>
        <v>0</v>
      </c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</row>
    <row r="46" customFormat="false" ht="23" hidden="false" customHeight="true" outlineLevel="0" collapsed="false">
      <c r="C46" s="103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</row>
    <row r="47" customFormat="false" ht="23" hidden="false" customHeight="true" outlineLevel="0" collapsed="false">
      <c r="C47" s="103" t="s">
        <v>114</v>
      </c>
      <c r="D47" s="105" t="n">
        <f aca="false">H1Data!D52</f>
        <v>6226.79580133</v>
      </c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</row>
    <row r="48" customFormat="false" ht="23" hidden="false" customHeight="true" outlineLevel="0" collapsed="false">
      <c r="C48" s="103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</row>
    <row r="49" customFormat="false" ht="23" hidden="false" customHeight="true" outlineLevel="0" collapsed="false">
      <c r="C49" s="103" t="s">
        <v>115</v>
      </c>
      <c r="D49" s="105" t="n">
        <f aca="false">H1Data!D58</f>
        <v>10269.48150582</v>
      </c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</row>
    <row r="50" customFormat="false" ht="23" hidden="false" customHeight="true" outlineLevel="0" collapsed="false">
      <c r="C50" s="103" t="s">
        <v>116</v>
      </c>
      <c r="D50" s="105" t="n">
        <f aca="false">H1Data!D53+H1Data!D54-H1Data!D55+H1Data!D56+H1Data!D57</f>
        <v>4923.78191169</v>
      </c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</row>
    <row r="51" customFormat="false" ht="23" hidden="false" customHeight="true" outlineLevel="0" collapsed="false">
      <c r="C51" s="103" t="s">
        <v>117</v>
      </c>
      <c r="D51" s="105" t="n">
        <f aca="false">H1Data!D59</f>
        <v>14.9650577</v>
      </c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</row>
    <row r="52" customFormat="false" ht="23" hidden="false" customHeight="true" outlineLevel="0" collapsed="false">
      <c r="C52" s="103" t="s">
        <v>118</v>
      </c>
      <c r="D52" s="105" t="n">
        <f aca="false">H1Data!D60</f>
        <v>15208.22847521</v>
      </c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</row>
    <row r="53" customFormat="false" ht="23" hidden="false" customHeight="true" outlineLevel="0" collapsed="false">
      <c r="C53" s="103" t="s">
        <v>119</v>
      </c>
      <c r="D53" s="105" t="n">
        <f aca="false">D38-D47-D52</f>
        <v>0</v>
      </c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</row>
    <row r="54" customFormat="false" ht="23" hidden="false" customHeight="true" outlineLevel="0" collapsed="false">
      <c r="C54" s="103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</row>
    <row r="55" customFormat="false" ht="23" hidden="false" customHeight="true" outlineLevel="0" collapsed="false">
      <c r="C55" s="103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</row>
    <row r="56" customFormat="false" ht="23" hidden="false" customHeight="true" outlineLevel="0" collapsed="false">
      <c r="C56" s="103" t="s">
        <v>120</v>
      </c>
      <c r="D56" s="105" t="n">
        <f aca="false">H1Data!D104</f>
        <v>2235.88240513</v>
      </c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</row>
    <row r="57" customFormat="false" ht="23" hidden="false" customHeight="true" outlineLevel="0" collapsed="false">
      <c r="C57" s="103" t="s">
        <v>121</v>
      </c>
      <c r="D57" s="105" t="n">
        <f aca="false">H1Data!D105</f>
        <v>1612.0292871</v>
      </c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</row>
    <row r="58" customFormat="false" ht="23" hidden="false" customHeight="true" outlineLevel="0" collapsed="false">
      <c r="C58" s="103" t="s">
        <v>122</v>
      </c>
      <c r="D58" s="105" t="n">
        <f aca="false">H1Data!D106</f>
        <v>-3503.35878907</v>
      </c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</row>
    <row r="59" customFormat="false" ht="23" hidden="false" customHeight="true" outlineLevel="0" collapsed="false">
      <c r="C59" s="103" t="s">
        <v>123</v>
      </c>
      <c r="D59" s="105" t="n">
        <f aca="false">H1Data!D107</f>
        <v>-7.09880488</v>
      </c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</row>
    <row r="60" customFormat="false" ht="23" hidden="false" customHeight="true" outlineLevel="0" collapsed="false">
      <c r="C60" s="103" t="s">
        <v>124</v>
      </c>
      <c r="D60" s="105" t="n">
        <f aca="false">H1Data!D108</f>
        <v>721.04458546</v>
      </c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</row>
    <row r="61" customFormat="false" ht="23" hidden="false" customHeight="true" outlineLevel="0" collapsed="false">
      <c r="C61" s="103" t="s">
        <v>43</v>
      </c>
      <c r="D61" s="105" t="n">
        <f aca="false">H1Data!D9</f>
        <v>1058.49868374</v>
      </c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</row>
    <row r="62" customFormat="false" ht="23" hidden="false" customHeight="true" outlineLevel="0" collapsed="false">
      <c r="C62" s="103" t="s">
        <v>125</v>
      </c>
      <c r="D62" s="105" t="n">
        <f aca="false">D60+SUM(D56:D59)-D61</f>
        <v>0</v>
      </c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</row>
    <row r="63" customFormat="false" ht="23" hidden="false" customHeight="true" outlineLevel="0" collapsed="false">
      <c r="C63" s="103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</row>
    <row r="64" customFormat="false" ht="23" hidden="false" customHeight="true" outlineLevel="0" collapsed="false">
      <c r="C64" s="103" t="s">
        <v>126</v>
      </c>
      <c r="D64" s="105" t="n">
        <f aca="false">D11/D9</f>
        <v>0.417110271650542</v>
      </c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</row>
    <row r="65" customFormat="false" ht="23" hidden="false" customHeight="true" outlineLevel="0" collapsed="false">
      <c r="C65" s="103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</row>
    <row r="66" customFormat="false" ht="23" hidden="false" customHeight="true" outlineLevel="0" collapsed="false">
      <c r="C66" s="103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</row>
    <row r="67" customFormat="false" ht="23" hidden="false" customHeight="true" outlineLevel="0" collapsed="false">
      <c r="C67" s="103" t="s">
        <v>5243</v>
      </c>
      <c r="D67" s="105" t="n">
        <f aca="false">SUM(D28:D36)-D38</f>
        <v>0</v>
      </c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</row>
    <row r="68" customFormat="false" ht="23" hidden="false" customHeight="true" outlineLevel="0" collapsed="false">
      <c r="C68" s="103" t="s">
        <v>5244</v>
      </c>
      <c r="D68" s="105" t="n">
        <f aca="false">SUM(D40:D45)-D47</f>
        <v>0</v>
      </c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</row>
    <row r="69" customFormat="false" ht="23" hidden="false" customHeight="true" outlineLevel="0" collapsed="false">
      <c r="C69" s="103" t="s">
        <v>5245</v>
      </c>
      <c r="D69" s="105" t="n">
        <f aca="false">SUM(D49:D51)-D52</f>
        <v>0</v>
      </c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</row>
    <row r="70" customFormat="false" ht="23" hidden="false" customHeight="true" outlineLevel="0" collapsed="false">
      <c r="C70" s="103" t="s">
        <v>5246</v>
      </c>
      <c r="D70" s="105" t="n">
        <f aca="false">D11-SUM(D13:D17)+D18-D19-D21</f>
        <v>0</v>
      </c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</row>
    <row r="71" customFormat="false" ht="23" hidden="false" customHeight="true" outlineLevel="0" collapsed="false">
      <c r="C71" s="103" t="s">
        <v>5247</v>
      </c>
      <c r="D71" s="105" t="n">
        <f aca="false">D21-D22-D23</f>
        <v>0</v>
      </c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</row>
    <row r="72" customFormat="false" ht="23" hidden="false" customHeight="true" outlineLevel="0" collapsed="false">
      <c r="C72" s="103" t="s">
        <v>5248</v>
      </c>
      <c r="D72" s="105" t="n">
        <f aca="false">D24+D25-D23</f>
        <v>0</v>
      </c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</row>
    <row r="73" customFormat="false" ht="23" hidden="false" customHeight="true" outlineLevel="0" collapsed="false">
      <c r="C73" s="103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</row>
    <row r="74" customFormat="false" ht="23" hidden="false" customHeight="true" outlineLevel="0" collapsed="false">
      <c r="C74" s="103" t="s">
        <v>5249</v>
      </c>
      <c r="D74" s="105" t="n">
        <f aca="false">H1Data!D109</f>
        <v>11980.87777154</v>
      </c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</row>
    <row r="75" customFormat="false" ht="23" hidden="false" customHeight="true" outlineLevel="0" collapsed="false">
      <c r="C75" s="103" t="s">
        <v>5250</v>
      </c>
      <c r="D75" s="105" t="n">
        <f aca="false">H1Data!D110</f>
        <v>10452.62981</v>
      </c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</row>
    <row r="76" customFormat="false" ht="23" hidden="false" customHeight="true" outlineLevel="0" collapsed="false">
      <c r="C76" s="103" t="s">
        <v>5251</v>
      </c>
      <c r="D76" s="105" t="n">
        <f aca="false">D74-D75</f>
        <v>1528.24796154</v>
      </c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</row>
    <row r="77" customFormat="false" ht="23" hidden="false" customHeight="true" outlineLevel="0" collapsed="false">
      <c r="C77" s="103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</row>
    <row r="78" customFormat="false" ht="23" hidden="false" customHeight="true" outlineLevel="0" collapsed="false">
      <c r="C78" s="103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</row>
    <row r="79" customFormat="false" ht="23" hidden="false" customHeight="true" outlineLevel="0" collapsed="false">
      <c r="C79" s="107" t="s">
        <v>5252</v>
      </c>
      <c r="D79" s="107"/>
      <c r="E79" s="107"/>
      <c r="F79" s="107"/>
      <c r="G79" s="107"/>
      <c r="H79" s="107"/>
      <c r="I79" s="107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</row>
    <row r="80" customFormat="false" ht="23" hidden="false" customHeight="true" outlineLevel="0" collapsed="false">
      <c r="C80" s="107"/>
      <c r="D80" s="107"/>
      <c r="E80" s="107"/>
      <c r="F80" s="107"/>
      <c r="G80" s="107"/>
      <c r="H80" s="107"/>
      <c r="I80" s="107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</row>
    <row r="81" customFormat="false" ht="23" hidden="false" customHeight="true" outlineLevel="0" collapsed="false">
      <c r="C81" s="107"/>
      <c r="D81" s="107"/>
      <c r="E81" s="107"/>
      <c r="F81" s="107"/>
      <c r="G81" s="107"/>
      <c r="H81" s="107"/>
      <c r="I81" s="107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</row>
    <row r="82" customFormat="false" ht="23" hidden="false" customHeight="true" outlineLevel="0" collapsed="false">
      <c r="C82" s="107"/>
      <c r="D82" s="107"/>
      <c r="E82" s="107"/>
      <c r="F82" s="107"/>
      <c r="G82" s="107"/>
      <c r="H82" s="107"/>
      <c r="I82" s="107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</row>
    <row r="83" customFormat="false" ht="23" hidden="false" customHeight="true" outlineLevel="0" collapsed="false">
      <c r="C83" s="103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</row>
    <row r="84" customFormat="false" ht="23" hidden="false" customHeight="true" outlineLevel="0" collapsed="false">
      <c r="C84" s="103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</row>
    <row r="85" customFormat="false" ht="23" hidden="false" customHeight="true" outlineLevel="0" collapsed="false">
      <c r="C85" s="103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</row>
  </sheetData>
  <sheetProtection sheet="1" objects="1" scenarios="1" selectLockedCells="0" selectUnlockedCells="0"/>
  <mergeCells count="1">
    <mergeCell ref="C79:I8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>
  <sheetPr filterMode="false">
    <pageSetUpPr fitToPage="false"/>
  </sheetPr>
  <dimension ref="C1:AM85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J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1"/>
    <col collapsed="false" customWidth="true" hidden="false" outlineLevel="0" max="39" min="4" style="0" width="14"/>
  </cols>
  <sheetData>
    <row r="1" customFormat="false" ht="15" hidden="false" customHeight="false" outlineLevel="0" collapsed="false"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</row>
    <row r="2" customFormat="false" ht="15" hidden="false" customHeight="false" outlineLevel="0" collapsed="false">
      <c r="C2" s="108" t="s">
        <v>5253</v>
      </c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</row>
    <row r="3" customFormat="false" ht="15" hidden="false" customHeight="false" outlineLevel="0" collapsed="false">
      <c r="C3" s="103" t="s">
        <v>5254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</row>
    <row r="4" customFormat="false" ht="15" hidden="false" customHeight="false" outlineLevel="0" collapsed="false"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</row>
    <row r="5" customFormat="false" ht="15" hidden="false" customHeight="false" outlineLevel="0" collapsed="false"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</row>
    <row r="6" customFormat="false" ht="15" hidden="false" customHeight="false" outlineLevel="0" collapsed="false"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</row>
    <row r="7" customFormat="false" ht="15" hidden="false" customHeight="false" outlineLevel="0" collapsed="false">
      <c r="C7" s="103"/>
      <c r="D7" s="103"/>
      <c r="E7" s="103"/>
      <c r="F7" s="103"/>
      <c r="G7" s="103"/>
      <c r="H7" s="103"/>
      <c r="I7" s="103"/>
      <c r="J7" s="109" t="n">
        <f aca="false">Inputs!J7</f>
        <v>46234</v>
      </c>
      <c r="K7" s="109" t="n">
        <f aca="false">Inputs!K7</f>
        <v>46265</v>
      </c>
      <c r="L7" s="109" t="n">
        <f aca="false">Inputs!L7</f>
        <v>46295</v>
      </c>
      <c r="M7" s="109" t="n">
        <f aca="false">Inputs!M7</f>
        <v>46326</v>
      </c>
      <c r="N7" s="109" t="n">
        <f aca="false">Inputs!N7</f>
        <v>46356</v>
      </c>
      <c r="O7" s="109" t="n">
        <f aca="false">Inputs!O7</f>
        <v>46387</v>
      </c>
      <c r="P7" s="109" t="n">
        <f aca="false">Inputs!P7</f>
        <v>46418</v>
      </c>
      <c r="Q7" s="109" t="n">
        <f aca="false">Inputs!Q7</f>
        <v>46446</v>
      </c>
      <c r="R7" s="109" t="n">
        <f aca="false">Inputs!R7</f>
        <v>46477</v>
      </c>
      <c r="S7" s="109" t="n">
        <f aca="false">Inputs!S7</f>
        <v>46507</v>
      </c>
      <c r="T7" s="109" t="n">
        <f aca="false">Inputs!T7</f>
        <v>46538</v>
      </c>
      <c r="U7" s="109" t="n">
        <f aca="false">Inputs!U7</f>
        <v>46568</v>
      </c>
      <c r="V7" s="109" t="n">
        <f aca="false">Inputs!V7</f>
        <v>46599</v>
      </c>
      <c r="W7" s="109" t="n">
        <f aca="false">Inputs!W7</f>
        <v>46630</v>
      </c>
      <c r="X7" s="109" t="n">
        <f aca="false">Inputs!X7</f>
        <v>46660</v>
      </c>
      <c r="Y7" s="109" t="n">
        <f aca="false">Inputs!Y7</f>
        <v>46691</v>
      </c>
      <c r="Z7" s="109" t="n">
        <f aca="false">Inputs!Z7</f>
        <v>46721</v>
      </c>
      <c r="AA7" s="109" t="n">
        <f aca="false">Inputs!AA7</f>
        <v>46752</v>
      </c>
      <c r="AB7" s="109" t="n">
        <f aca="false">Inputs!AB7</f>
        <v>46783</v>
      </c>
      <c r="AC7" s="109" t="n">
        <f aca="false">Inputs!AC7</f>
        <v>46812</v>
      </c>
      <c r="AD7" s="109" t="n">
        <f aca="false">Inputs!AD7</f>
        <v>46843</v>
      </c>
      <c r="AE7" s="109" t="n">
        <f aca="false">Inputs!AE7</f>
        <v>46873</v>
      </c>
      <c r="AF7" s="109" t="n">
        <f aca="false">Inputs!AF7</f>
        <v>46904</v>
      </c>
      <c r="AG7" s="109" t="n">
        <f aca="false">Inputs!AG7</f>
        <v>46934</v>
      </c>
      <c r="AH7" s="109" t="n">
        <f aca="false">Inputs!AH7</f>
        <v>46965</v>
      </c>
      <c r="AI7" s="109" t="n">
        <f aca="false">Inputs!AI7</f>
        <v>46996</v>
      </c>
      <c r="AJ7" s="109" t="n">
        <f aca="false">Inputs!AJ7</f>
        <v>47026</v>
      </c>
      <c r="AK7" s="109" t="n">
        <f aca="false">Inputs!AK7</f>
        <v>47057</v>
      </c>
      <c r="AL7" s="109" t="n">
        <f aca="false">Inputs!AL7</f>
        <v>47087</v>
      </c>
      <c r="AM7" s="109" t="n">
        <f aca="false">Inputs!AM7</f>
        <v>47118</v>
      </c>
    </row>
    <row r="8" customFormat="false" ht="23" hidden="false" customHeight="true" outlineLevel="0" collapsed="false">
      <c r="C8" s="103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</row>
    <row r="9" customFormat="false" ht="23" hidden="false" customHeight="true" outlineLevel="0" collapsed="false">
      <c r="C9" s="103" t="s">
        <v>5255</v>
      </c>
      <c r="D9" s="105"/>
      <c r="E9" s="105"/>
      <c r="F9" s="105"/>
      <c r="G9" s="105"/>
      <c r="H9" s="105"/>
      <c r="I9" s="105"/>
      <c r="J9" s="110" t="n">
        <v>100</v>
      </c>
      <c r="K9" s="110" t="n">
        <v>100</v>
      </c>
      <c r="L9" s="110" t="n">
        <v>100</v>
      </c>
      <c r="M9" s="110" t="n">
        <v>100</v>
      </c>
      <c r="N9" s="110" t="n">
        <v>100</v>
      </c>
      <c r="O9" s="110" t="n">
        <v>100</v>
      </c>
      <c r="P9" s="110" t="n">
        <v>100</v>
      </c>
      <c r="Q9" s="110" t="n">
        <v>100</v>
      </c>
      <c r="R9" s="110" t="n">
        <v>100</v>
      </c>
      <c r="S9" s="110" t="n">
        <v>100</v>
      </c>
      <c r="T9" s="110" t="n">
        <v>100</v>
      </c>
      <c r="U9" s="110" t="n">
        <v>100</v>
      </c>
      <c r="V9" s="110" t="n">
        <v>100</v>
      </c>
      <c r="W9" s="110" t="n">
        <v>100</v>
      </c>
      <c r="X9" s="110" t="n">
        <v>100</v>
      </c>
      <c r="Y9" s="110" t="n">
        <v>100</v>
      </c>
      <c r="Z9" s="110" t="n">
        <v>100</v>
      </c>
      <c r="AA9" s="110" t="n">
        <v>100</v>
      </c>
      <c r="AB9" s="110" t="n">
        <v>100</v>
      </c>
      <c r="AC9" s="110" t="n">
        <v>100</v>
      </c>
      <c r="AD9" s="110" t="n">
        <v>100</v>
      </c>
      <c r="AE9" s="110" t="n">
        <v>100</v>
      </c>
      <c r="AF9" s="110" t="n">
        <v>100</v>
      </c>
      <c r="AG9" s="110" t="n">
        <v>100</v>
      </c>
      <c r="AH9" s="110" t="n">
        <v>100</v>
      </c>
      <c r="AI9" s="110" t="n">
        <v>100</v>
      </c>
      <c r="AJ9" s="110" t="n">
        <v>100</v>
      </c>
      <c r="AK9" s="110" t="n">
        <v>100</v>
      </c>
      <c r="AL9" s="110" t="n">
        <v>100</v>
      </c>
      <c r="AM9" s="110" t="n">
        <v>100</v>
      </c>
    </row>
    <row r="10" customFormat="false" ht="23" hidden="false" customHeight="true" outlineLevel="0" collapsed="false">
      <c r="C10" s="103" t="s">
        <v>5256</v>
      </c>
      <c r="D10" s="105"/>
      <c r="E10" s="105"/>
      <c r="F10" s="105"/>
      <c r="G10" s="105"/>
      <c r="H10" s="105"/>
      <c r="I10" s="105"/>
      <c r="J10" s="110" t="n">
        <v>0</v>
      </c>
      <c r="K10" s="110" t="n">
        <v>0</v>
      </c>
      <c r="L10" s="110" t="n">
        <v>0</v>
      </c>
      <c r="M10" s="110" t="n">
        <v>0</v>
      </c>
      <c r="N10" s="110" t="n">
        <v>0</v>
      </c>
      <c r="O10" s="110" t="n">
        <v>0</v>
      </c>
      <c r="P10" s="110" t="n">
        <v>0</v>
      </c>
      <c r="Q10" s="110" t="n">
        <v>0</v>
      </c>
      <c r="R10" s="110" t="n">
        <v>0</v>
      </c>
      <c r="S10" s="110" t="n">
        <v>0</v>
      </c>
      <c r="T10" s="110" t="n">
        <v>0</v>
      </c>
      <c r="U10" s="110" t="n">
        <v>1500</v>
      </c>
      <c r="V10" s="110" t="n">
        <v>0</v>
      </c>
      <c r="W10" s="110" t="n">
        <v>0</v>
      </c>
      <c r="X10" s="110" t="n">
        <v>0</v>
      </c>
      <c r="Y10" s="110" t="n">
        <v>0</v>
      </c>
      <c r="Z10" s="110" t="n">
        <v>0</v>
      </c>
      <c r="AA10" s="110" t="n">
        <v>0</v>
      </c>
      <c r="AB10" s="110" t="n">
        <v>0</v>
      </c>
      <c r="AC10" s="110" t="n">
        <v>0</v>
      </c>
      <c r="AD10" s="110" t="n">
        <v>0</v>
      </c>
      <c r="AE10" s="110" t="n">
        <v>0</v>
      </c>
      <c r="AF10" s="110" t="n">
        <v>0</v>
      </c>
      <c r="AG10" s="110" t="n">
        <v>1500</v>
      </c>
      <c r="AH10" s="110" t="n">
        <v>0</v>
      </c>
      <c r="AI10" s="110" t="n">
        <v>0</v>
      </c>
      <c r="AJ10" s="110" t="n">
        <v>0</v>
      </c>
      <c r="AK10" s="110" t="n">
        <v>0</v>
      </c>
      <c r="AL10" s="110" t="n">
        <v>0</v>
      </c>
      <c r="AM10" s="110" t="n">
        <v>0</v>
      </c>
    </row>
    <row r="11" customFormat="false" ht="23" hidden="false" customHeight="true" outlineLevel="0" collapsed="false">
      <c r="C11" s="103" t="s">
        <v>5257</v>
      </c>
      <c r="D11" s="105"/>
      <c r="E11" s="105"/>
      <c r="F11" s="105"/>
      <c r="G11" s="105"/>
      <c r="H11" s="105"/>
      <c r="I11" s="105"/>
      <c r="J11" s="110" t="n">
        <v>1</v>
      </c>
      <c r="K11" s="110" t="n">
        <v>1</v>
      </c>
      <c r="L11" s="110" t="n">
        <v>1</v>
      </c>
      <c r="M11" s="110" t="n">
        <v>1</v>
      </c>
      <c r="N11" s="110" t="n">
        <v>1</v>
      </c>
      <c r="O11" s="110" t="n">
        <v>1</v>
      </c>
      <c r="P11" s="110" t="n">
        <v>1</v>
      </c>
      <c r="Q11" s="110" t="n">
        <v>1</v>
      </c>
      <c r="R11" s="110" t="n">
        <v>1</v>
      </c>
      <c r="S11" s="110" t="n">
        <v>1</v>
      </c>
      <c r="T11" s="110" t="n">
        <v>1</v>
      </c>
      <c r="U11" s="110" t="n">
        <v>1</v>
      </c>
      <c r="V11" s="110" t="n">
        <v>1</v>
      </c>
      <c r="W11" s="110" t="n">
        <v>1</v>
      </c>
      <c r="X11" s="110" t="n">
        <v>1</v>
      </c>
      <c r="Y11" s="110" t="n">
        <v>1</v>
      </c>
      <c r="Z11" s="110" t="n">
        <v>1</v>
      </c>
      <c r="AA11" s="110" t="n">
        <v>1</v>
      </c>
      <c r="AB11" s="110" t="n">
        <v>1</v>
      </c>
      <c r="AC11" s="110" t="n">
        <v>1</v>
      </c>
      <c r="AD11" s="110" t="n">
        <v>1</v>
      </c>
      <c r="AE11" s="110" t="n">
        <v>1</v>
      </c>
      <c r="AF11" s="110" t="n">
        <v>1</v>
      </c>
      <c r="AG11" s="110" t="n">
        <v>1</v>
      </c>
      <c r="AH11" s="110" t="n">
        <v>1</v>
      </c>
      <c r="AI11" s="110" t="n">
        <v>1</v>
      </c>
      <c r="AJ11" s="110" t="n">
        <v>1</v>
      </c>
      <c r="AK11" s="110" t="n">
        <v>1</v>
      </c>
      <c r="AL11" s="110" t="n">
        <v>1</v>
      </c>
      <c r="AM11" s="110" t="n">
        <v>1</v>
      </c>
    </row>
    <row r="12" customFormat="false" ht="23" hidden="false" customHeight="true" outlineLevel="0" collapsed="false">
      <c r="C12" s="103" t="s">
        <v>5258</v>
      </c>
      <c r="D12" s="105"/>
      <c r="E12" s="105"/>
      <c r="F12" s="105"/>
      <c r="G12" s="105"/>
      <c r="H12" s="105"/>
      <c r="I12" s="105"/>
      <c r="J12" s="110" t="n">
        <v>500</v>
      </c>
      <c r="K12" s="110" t="n">
        <v>500</v>
      </c>
      <c r="L12" s="110" t="n">
        <v>500</v>
      </c>
      <c r="M12" s="110" t="n">
        <v>500</v>
      </c>
      <c r="N12" s="110" t="n">
        <v>500</v>
      </c>
      <c r="O12" s="110" t="n">
        <v>500</v>
      </c>
      <c r="P12" s="110" t="n">
        <v>500</v>
      </c>
      <c r="Q12" s="110" t="n">
        <v>500</v>
      </c>
      <c r="R12" s="110" t="n">
        <v>500</v>
      </c>
      <c r="S12" s="110" t="n">
        <v>500</v>
      </c>
      <c r="T12" s="110" t="n">
        <v>500</v>
      </c>
      <c r="U12" s="110" t="n">
        <v>500</v>
      </c>
      <c r="V12" s="110" t="n">
        <v>500</v>
      </c>
      <c r="W12" s="110" t="n">
        <v>500</v>
      </c>
      <c r="X12" s="110" t="n">
        <v>500</v>
      </c>
      <c r="Y12" s="110" t="n">
        <v>500</v>
      </c>
      <c r="Z12" s="110" t="n">
        <v>500</v>
      </c>
      <c r="AA12" s="110" t="n">
        <v>500</v>
      </c>
      <c r="AB12" s="110" t="n">
        <v>500</v>
      </c>
      <c r="AC12" s="110" t="n">
        <v>500</v>
      </c>
      <c r="AD12" s="110" t="n">
        <v>500</v>
      </c>
      <c r="AE12" s="110" t="n">
        <v>500</v>
      </c>
      <c r="AF12" s="110" t="n">
        <v>500</v>
      </c>
      <c r="AG12" s="110" t="n">
        <v>500</v>
      </c>
      <c r="AH12" s="110" t="n">
        <v>500</v>
      </c>
      <c r="AI12" s="110" t="n">
        <v>500</v>
      </c>
      <c r="AJ12" s="110" t="n">
        <v>500</v>
      </c>
      <c r="AK12" s="110" t="n">
        <v>500</v>
      </c>
      <c r="AL12" s="110" t="n">
        <v>500</v>
      </c>
      <c r="AM12" s="110" t="n">
        <v>500</v>
      </c>
    </row>
    <row r="13" customFormat="false" ht="23" hidden="false" customHeight="true" outlineLevel="0" collapsed="false">
      <c r="C13" s="103" t="s">
        <v>5259</v>
      </c>
      <c r="D13" s="105"/>
      <c r="E13" s="105"/>
      <c r="F13" s="105"/>
      <c r="G13" s="105"/>
      <c r="H13" s="105"/>
      <c r="I13" s="105"/>
      <c r="J13" s="110" t="n">
        <v>500</v>
      </c>
      <c r="K13" s="110" t="n">
        <v>500</v>
      </c>
      <c r="L13" s="110" t="n">
        <v>500</v>
      </c>
      <c r="M13" s="110" t="n">
        <v>500</v>
      </c>
      <c r="N13" s="110" t="n">
        <v>500</v>
      </c>
      <c r="O13" s="110" t="n">
        <v>500</v>
      </c>
      <c r="P13" s="110" t="n">
        <v>500</v>
      </c>
      <c r="Q13" s="110" t="n">
        <v>500</v>
      </c>
      <c r="R13" s="110" t="n">
        <v>500</v>
      </c>
      <c r="S13" s="110" t="n">
        <v>500</v>
      </c>
      <c r="T13" s="110" t="n">
        <v>500</v>
      </c>
      <c r="U13" s="110" t="n">
        <v>500</v>
      </c>
      <c r="V13" s="110" t="n">
        <v>500</v>
      </c>
      <c r="W13" s="110" t="n">
        <v>500</v>
      </c>
      <c r="X13" s="110" t="n">
        <v>500</v>
      </c>
      <c r="Y13" s="110" t="n">
        <v>500</v>
      </c>
      <c r="Z13" s="110" t="n">
        <v>500</v>
      </c>
      <c r="AA13" s="110" t="n">
        <v>500</v>
      </c>
      <c r="AB13" s="110" t="n">
        <v>500</v>
      </c>
      <c r="AC13" s="110" t="n">
        <v>500</v>
      </c>
      <c r="AD13" s="110" t="n">
        <v>500</v>
      </c>
      <c r="AE13" s="110" t="n">
        <v>500</v>
      </c>
      <c r="AF13" s="110" t="n">
        <v>500</v>
      </c>
      <c r="AG13" s="110" t="n">
        <v>500</v>
      </c>
      <c r="AH13" s="110" t="n">
        <v>500</v>
      </c>
      <c r="AI13" s="110" t="n">
        <v>500</v>
      </c>
      <c r="AJ13" s="110" t="n">
        <v>500</v>
      </c>
      <c r="AK13" s="110" t="n">
        <v>500</v>
      </c>
      <c r="AL13" s="110" t="n">
        <v>500</v>
      </c>
      <c r="AM13" s="110" t="n">
        <v>500</v>
      </c>
    </row>
    <row r="14" customFormat="false" ht="23" hidden="false" customHeight="true" outlineLevel="0" collapsed="false">
      <c r="C14" s="103" t="s">
        <v>5260</v>
      </c>
      <c r="D14" s="105"/>
      <c r="E14" s="105"/>
      <c r="F14" s="105"/>
      <c r="G14" s="105"/>
      <c r="H14" s="105"/>
      <c r="I14" s="105"/>
      <c r="J14" s="110" t="n">
        <v>1</v>
      </c>
      <c r="K14" s="110" t="n">
        <v>1</v>
      </c>
      <c r="L14" s="110" t="n">
        <v>1</v>
      </c>
      <c r="M14" s="110" t="n">
        <v>1</v>
      </c>
      <c r="N14" s="110" t="n">
        <v>1</v>
      </c>
      <c r="O14" s="110" t="n">
        <v>1</v>
      </c>
      <c r="P14" s="110" t="n">
        <v>1</v>
      </c>
      <c r="Q14" s="110" t="n">
        <v>1</v>
      </c>
      <c r="R14" s="110" t="n">
        <v>1</v>
      </c>
      <c r="S14" s="110" t="n">
        <v>1</v>
      </c>
      <c r="T14" s="110" t="n">
        <v>1</v>
      </c>
      <c r="U14" s="110" t="n">
        <v>1</v>
      </c>
      <c r="V14" s="110" t="n">
        <v>1</v>
      </c>
      <c r="W14" s="110" t="n">
        <v>1</v>
      </c>
      <c r="X14" s="110" t="n">
        <v>1</v>
      </c>
      <c r="Y14" s="110" t="n">
        <v>1</v>
      </c>
      <c r="Z14" s="110" t="n">
        <v>1</v>
      </c>
      <c r="AA14" s="110" t="n">
        <v>1</v>
      </c>
      <c r="AB14" s="110" t="n">
        <v>1</v>
      </c>
      <c r="AC14" s="110" t="n">
        <v>1</v>
      </c>
      <c r="AD14" s="110" t="n">
        <v>1</v>
      </c>
      <c r="AE14" s="110" t="n">
        <v>1</v>
      </c>
      <c r="AF14" s="110" t="n">
        <v>1</v>
      </c>
      <c r="AG14" s="110" t="n">
        <v>1</v>
      </c>
      <c r="AH14" s="110" t="n">
        <v>1</v>
      </c>
      <c r="AI14" s="110" t="n">
        <v>1</v>
      </c>
      <c r="AJ14" s="110" t="n">
        <v>1</v>
      </c>
      <c r="AK14" s="110" t="n">
        <v>1</v>
      </c>
      <c r="AL14" s="110" t="n">
        <v>1</v>
      </c>
      <c r="AM14" s="110" t="n">
        <v>1</v>
      </c>
    </row>
    <row r="15" customFormat="false" ht="23" hidden="false" customHeight="true" outlineLevel="0" collapsed="false">
      <c r="C15" s="103" t="s">
        <v>5261</v>
      </c>
      <c r="D15" s="105"/>
      <c r="E15" s="105"/>
      <c r="F15" s="105"/>
      <c r="G15" s="105"/>
      <c r="H15" s="105"/>
      <c r="I15" s="105"/>
      <c r="J15" s="111" t="n">
        <v>0.0515429667661324</v>
      </c>
      <c r="K15" s="111" t="n">
        <v>0.0515429667661324</v>
      </c>
      <c r="L15" s="111" t="n">
        <v>0.0515429667661324</v>
      </c>
      <c r="M15" s="111" t="n">
        <v>0.0515429667661324</v>
      </c>
      <c r="N15" s="111" t="n">
        <v>0.0515429667661324</v>
      </c>
      <c r="O15" s="111" t="n">
        <v>0.0515429667661324</v>
      </c>
      <c r="P15" s="111" t="n">
        <v>0.0515429667661324</v>
      </c>
      <c r="Q15" s="111" t="n">
        <v>0.0515429667661324</v>
      </c>
      <c r="R15" s="111" t="n">
        <v>0.0515429667661324</v>
      </c>
      <c r="S15" s="111" t="n">
        <v>0.0515429667661324</v>
      </c>
      <c r="T15" s="111" t="n">
        <v>0.0515429667661324</v>
      </c>
      <c r="U15" s="111" t="n">
        <v>0.0515429667661324</v>
      </c>
      <c r="V15" s="111" t="n">
        <v>0.0515429667661324</v>
      </c>
      <c r="W15" s="111" t="n">
        <v>0.0515429667661324</v>
      </c>
      <c r="X15" s="111" t="n">
        <v>0.0515429667661324</v>
      </c>
      <c r="Y15" s="111" t="n">
        <v>0.0515429667661324</v>
      </c>
      <c r="Z15" s="111" t="n">
        <v>0.0515429667661324</v>
      </c>
      <c r="AA15" s="111" t="n">
        <v>0.0515429667661324</v>
      </c>
      <c r="AB15" s="111" t="n">
        <v>0.0515429667661324</v>
      </c>
      <c r="AC15" s="111" t="n">
        <v>0.0515429667661324</v>
      </c>
      <c r="AD15" s="111" t="n">
        <v>0.0515429667661324</v>
      </c>
      <c r="AE15" s="111" t="n">
        <v>0.0515429667661324</v>
      </c>
      <c r="AF15" s="111" t="n">
        <v>0.0515429667661324</v>
      </c>
      <c r="AG15" s="111" t="n">
        <v>0.0515429667661324</v>
      </c>
      <c r="AH15" s="111" t="n">
        <v>0.0515429667661324</v>
      </c>
      <c r="AI15" s="111" t="n">
        <v>0.0515429667661324</v>
      </c>
      <c r="AJ15" s="111" t="n">
        <v>0.0515429667661324</v>
      </c>
      <c r="AK15" s="111" t="n">
        <v>0.0515429667661324</v>
      </c>
      <c r="AL15" s="111" t="n">
        <v>0.0515429667661324</v>
      </c>
      <c r="AM15" s="111" t="n">
        <v>0.0515429667661324</v>
      </c>
    </row>
    <row r="16" customFormat="false" ht="23" hidden="false" customHeight="true" outlineLevel="0" collapsed="false">
      <c r="C16" s="103" t="s">
        <v>5262</v>
      </c>
      <c r="D16" s="105"/>
      <c r="E16" s="105"/>
      <c r="F16" s="105"/>
      <c r="G16" s="105"/>
      <c r="H16" s="105"/>
      <c r="I16" s="105"/>
      <c r="J16" s="112" t="n">
        <v>47118</v>
      </c>
      <c r="K16" s="113" t="n">
        <f aca="false">$J$16</f>
        <v>47118</v>
      </c>
      <c r="L16" s="113" t="n">
        <f aca="false">$J$16</f>
        <v>47118</v>
      </c>
      <c r="M16" s="113" t="n">
        <f aca="false">$J$16</f>
        <v>47118</v>
      </c>
      <c r="N16" s="113" t="n">
        <f aca="false">$J$16</f>
        <v>47118</v>
      </c>
      <c r="O16" s="113" t="n">
        <f aca="false">$J$16</f>
        <v>47118</v>
      </c>
      <c r="P16" s="113" t="n">
        <f aca="false">$J$16</f>
        <v>47118</v>
      </c>
      <c r="Q16" s="113" t="n">
        <f aca="false">$J$16</f>
        <v>47118</v>
      </c>
      <c r="R16" s="113" t="n">
        <f aca="false">$J$16</f>
        <v>47118</v>
      </c>
      <c r="S16" s="113" t="n">
        <f aca="false">$J$16</f>
        <v>47118</v>
      </c>
      <c r="T16" s="113" t="n">
        <f aca="false">$J$16</f>
        <v>47118</v>
      </c>
      <c r="U16" s="113" t="n">
        <f aca="false">$J$16</f>
        <v>47118</v>
      </c>
      <c r="V16" s="113" t="n">
        <f aca="false">$J$16</f>
        <v>47118</v>
      </c>
      <c r="W16" s="113" t="n">
        <f aca="false">$J$16</f>
        <v>47118</v>
      </c>
      <c r="X16" s="113" t="n">
        <f aca="false">$J$16</f>
        <v>47118</v>
      </c>
      <c r="Y16" s="113" t="n">
        <f aca="false">$J$16</f>
        <v>47118</v>
      </c>
      <c r="Z16" s="113" t="n">
        <f aca="false">$J$16</f>
        <v>47118</v>
      </c>
      <c r="AA16" s="113" t="n">
        <f aca="false">$J$16</f>
        <v>47118</v>
      </c>
      <c r="AB16" s="113" t="n">
        <f aca="false">$J$16</f>
        <v>47118</v>
      </c>
      <c r="AC16" s="113" t="n">
        <f aca="false">$J$16</f>
        <v>47118</v>
      </c>
      <c r="AD16" s="113" t="n">
        <f aca="false">$J$16</f>
        <v>47118</v>
      </c>
      <c r="AE16" s="113" t="n">
        <f aca="false">$J$16</f>
        <v>47118</v>
      </c>
      <c r="AF16" s="113" t="n">
        <f aca="false">$J$16</f>
        <v>47118</v>
      </c>
      <c r="AG16" s="113" t="n">
        <f aca="false">$J$16</f>
        <v>47118</v>
      </c>
      <c r="AH16" s="113" t="n">
        <f aca="false">$J$16</f>
        <v>47118</v>
      </c>
      <c r="AI16" s="113" t="n">
        <f aca="false">$J$16</f>
        <v>47118</v>
      </c>
      <c r="AJ16" s="113" t="n">
        <f aca="false">$J$16</f>
        <v>47118</v>
      </c>
      <c r="AK16" s="113" t="n">
        <f aca="false">$J$16</f>
        <v>47118</v>
      </c>
      <c r="AL16" s="113" t="n">
        <f aca="false">$J$16</f>
        <v>47118</v>
      </c>
      <c r="AM16" s="113" t="n">
        <f aca="false">$J$16</f>
        <v>47118</v>
      </c>
    </row>
    <row r="17" customFormat="false" ht="23" hidden="false" customHeight="true" outlineLevel="0" collapsed="false">
      <c r="C17" s="103" t="s">
        <v>5263</v>
      </c>
      <c r="D17" s="105"/>
      <c r="E17" s="105"/>
      <c r="F17" s="105"/>
      <c r="G17" s="105"/>
      <c r="H17" s="105"/>
      <c r="I17" s="105"/>
      <c r="J17" s="112" t="n">
        <v>46204</v>
      </c>
      <c r="K17" s="113" t="n">
        <f aca="false">$J$17</f>
        <v>46204</v>
      </c>
      <c r="L17" s="113" t="n">
        <f aca="false">$J$17</f>
        <v>46204</v>
      </c>
      <c r="M17" s="113" t="n">
        <f aca="false">$J$17</f>
        <v>46204</v>
      </c>
      <c r="N17" s="113" t="n">
        <f aca="false">$J$17</f>
        <v>46204</v>
      </c>
      <c r="O17" s="113" t="n">
        <f aca="false">$J$17</f>
        <v>46204</v>
      </c>
      <c r="P17" s="113" t="n">
        <f aca="false">$J$17</f>
        <v>46204</v>
      </c>
      <c r="Q17" s="113" t="n">
        <f aca="false">$J$17</f>
        <v>46204</v>
      </c>
      <c r="R17" s="113" t="n">
        <f aca="false">$J$17</f>
        <v>46204</v>
      </c>
      <c r="S17" s="113" t="n">
        <f aca="false">$J$17</f>
        <v>46204</v>
      </c>
      <c r="T17" s="113" t="n">
        <f aca="false">$J$17</f>
        <v>46204</v>
      </c>
      <c r="U17" s="113" t="n">
        <f aca="false">$J$17</f>
        <v>46204</v>
      </c>
      <c r="V17" s="113" t="n">
        <f aca="false">$J$17</f>
        <v>46204</v>
      </c>
      <c r="W17" s="113" t="n">
        <f aca="false">$J$17</f>
        <v>46204</v>
      </c>
      <c r="X17" s="113" t="n">
        <f aca="false">$J$17</f>
        <v>46204</v>
      </c>
      <c r="Y17" s="113" t="n">
        <f aca="false">$J$17</f>
        <v>46204</v>
      </c>
      <c r="Z17" s="113" t="n">
        <f aca="false">$J$17</f>
        <v>46204</v>
      </c>
      <c r="AA17" s="113" t="n">
        <f aca="false">$J$17</f>
        <v>46204</v>
      </c>
      <c r="AB17" s="113" t="n">
        <f aca="false">$J$17</f>
        <v>46204</v>
      </c>
      <c r="AC17" s="113" t="n">
        <f aca="false">$J$17</f>
        <v>46204</v>
      </c>
      <c r="AD17" s="113" t="n">
        <f aca="false">$J$17</f>
        <v>46204</v>
      </c>
      <c r="AE17" s="113" t="n">
        <f aca="false">$J$17</f>
        <v>46204</v>
      </c>
      <c r="AF17" s="113" t="n">
        <f aca="false">$J$17</f>
        <v>46204</v>
      </c>
      <c r="AG17" s="113" t="n">
        <f aca="false">$J$17</f>
        <v>46204</v>
      </c>
      <c r="AH17" s="113" t="n">
        <f aca="false">$J$17</f>
        <v>46204</v>
      </c>
      <c r="AI17" s="113" t="n">
        <f aca="false">$J$17</f>
        <v>46204</v>
      </c>
      <c r="AJ17" s="113" t="n">
        <f aca="false">$J$17</f>
        <v>46204</v>
      </c>
      <c r="AK17" s="113" t="n">
        <f aca="false">$J$17</f>
        <v>46204</v>
      </c>
      <c r="AL17" s="113" t="n">
        <f aca="false">$J$17</f>
        <v>46204</v>
      </c>
      <c r="AM17" s="113" t="n">
        <f aca="false">$J$17</f>
        <v>46204</v>
      </c>
    </row>
    <row r="18" customFormat="false" ht="23" hidden="false" customHeight="true" outlineLevel="0" collapsed="false">
      <c r="C18" s="103" t="s">
        <v>5264</v>
      </c>
      <c r="D18" s="105"/>
      <c r="E18" s="105"/>
      <c r="F18" s="105"/>
      <c r="G18" s="105"/>
      <c r="H18" s="105"/>
      <c r="I18" s="105"/>
      <c r="J18" s="111" t="n">
        <v>1</v>
      </c>
      <c r="K18" s="111" t="n">
        <v>1</v>
      </c>
      <c r="L18" s="111" t="n">
        <v>1</v>
      </c>
      <c r="M18" s="111" t="n">
        <v>1</v>
      </c>
      <c r="N18" s="111" t="n">
        <v>1</v>
      </c>
      <c r="O18" s="111" t="n">
        <v>1</v>
      </c>
      <c r="P18" s="111" t="n">
        <v>1</v>
      </c>
      <c r="Q18" s="111" t="n">
        <v>1</v>
      </c>
      <c r="R18" s="111" t="n">
        <v>1</v>
      </c>
      <c r="S18" s="111" t="n">
        <v>1</v>
      </c>
      <c r="T18" s="111" t="n">
        <v>1</v>
      </c>
      <c r="U18" s="111" t="n">
        <v>1</v>
      </c>
      <c r="V18" s="111" t="n">
        <v>1</v>
      </c>
      <c r="W18" s="111" t="n">
        <v>1</v>
      </c>
      <c r="X18" s="111" t="n">
        <v>1</v>
      </c>
      <c r="Y18" s="111" t="n">
        <v>1</v>
      </c>
      <c r="Z18" s="111" t="n">
        <v>1</v>
      </c>
      <c r="AA18" s="111" t="n">
        <v>1</v>
      </c>
      <c r="AB18" s="111" t="n">
        <v>1</v>
      </c>
      <c r="AC18" s="111" t="n">
        <v>1</v>
      </c>
      <c r="AD18" s="111" t="n">
        <v>1</v>
      </c>
      <c r="AE18" s="111" t="n">
        <v>1</v>
      </c>
      <c r="AF18" s="111" t="n">
        <v>1</v>
      </c>
      <c r="AG18" s="111" t="n">
        <v>1</v>
      </c>
      <c r="AH18" s="111" t="n">
        <v>1</v>
      </c>
      <c r="AI18" s="111" t="n">
        <v>1</v>
      </c>
      <c r="AJ18" s="111" t="n">
        <v>1</v>
      </c>
      <c r="AK18" s="111" t="n">
        <v>1</v>
      </c>
      <c r="AL18" s="111" t="n">
        <v>1</v>
      </c>
      <c r="AM18" s="111" t="n">
        <v>1</v>
      </c>
    </row>
    <row r="19" customFormat="false" ht="23" hidden="false" customHeight="true" outlineLevel="0" collapsed="false">
      <c r="C19" s="103" t="s">
        <v>5265</v>
      </c>
      <c r="D19" s="105"/>
      <c r="E19" s="105"/>
      <c r="F19" s="105"/>
      <c r="G19" s="105"/>
      <c r="H19" s="105"/>
      <c r="I19" s="105"/>
      <c r="J19" s="110" t="n">
        <v>1</v>
      </c>
      <c r="K19" s="110" t="n">
        <v>1</v>
      </c>
      <c r="L19" s="110" t="n">
        <v>1</v>
      </c>
      <c r="M19" s="110" t="n">
        <v>1</v>
      </c>
      <c r="N19" s="110" t="n">
        <v>1</v>
      </c>
      <c r="O19" s="110" t="n">
        <v>1</v>
      </c>
      <c r="P19" s="110" t="n">
        <v>1</v>
      </c>
      <c r="Q19" s="110" t="n">
        <v>1</v>
      </c>
      <c r="R19" s="110" t="n">
        <v>1</v>
      </c>
      <c r="S19" s="110" t="n">
        <v>1</v>
      </c>
      <c r="T19" s="110" t="n">
        <v>1</v>
      </c>
      <c r="U19" s="110" t="n">
        <v>1</v>
      </c>
      <c r="V19" s="110" t="n">
        <v>1</v>
      </c>
      <c r="W19" s="110" t="n">
        <v>1</v>
      </c>
      <c r="X19" s="110" t="n">
        <v>1</v>
      </c>
      <c r="Y19" s="110" t="n">
        <v>1</v>
      </c>
      <c r="Z19" s="110" t="n">
        <v>1</v>
      </c>
      <c r="AA19" s="110" t="n">
        <v>1</v>
      </c>
      <c r="AB19" s="110" t="n">
        <v>1</v>
      </c>
      <c r="AC19" s="110" t="n">
        <v>1</v>
      </c>
      <c r="AD19" s="110" t="n">
        <v>1</v>
      </c>
      <c r="AE19" s="110" t="n">
        <v>1</v>
      </c>
      <c r="AF19" s="110" t="n">
        <v>1</v>
      </c>
      <c r="AG19" s="110" t="n">
        <v>1</v>
      </c>
      <c r="AH19" s="110" t="n">
        <v>1</v>
      </c>
      <c r="AI19" s="110" t="n">
        <v>1</v>
      </c>
      <c r="AJ19" s="110" t="n">
        <v>1</v>
      </c>
      <c r="AK19" s="110" t="n">
        <v>1</v>
      </c>
      <c r="AL19" s="110" t="n">
        <v>1</v>
      </c>
      <c r="AM19" s="110" t="n">
        <v>1</v>
      </c>
    </row>
    <row r="20" customFormat="false" ht="23" hidden="false" customHeight="true" outlineLevel="0" collapsed="false">
      <c r="C20" s="103" t="s">
        <v>5266</v>
      </c>
      <c r="D20" s="105"/>
      <c r="E20" s="105"/>
      <c r="F20" s="105"/>
      <c r="G20" s="105"/>
      <c r="H20" s="105"/>
      <c r="I20" s="105"/>
      <c r="J20" s="110" t="n">
        <v>0</v>
      </c>
      <c r="K20" s="110" t="n">
        <v>0</v>
      </c>
      <c r="L20" s="110" t="n">
        <v>0</v>
      </c>
      <c r="M20" s="110" t="n">
        <v>0</v>
      </c>
      <c r="N20" s="110" t="n">
        <v>0</v>
      </c>
      <c r="O20" s="110" t="n">
        <v>0</v>
      </c>
      <c r="P20" s="110" t="n">
        <v>0</v>
      </c>
      <c r="Q20" s="110" t="n">
        <v>0</v>
      </c>
      <c r="R20" s="110" t="n">
        <v>0</v>
      </c>
      <c r="S20" s="110" t="n">
        <v>0</v>
      </c>
      <c r="T20" s="110" t="n">
        <v>0</v>
      </c>
      <c r="U20" s="110" t="n">
        <v>0</v>
      </c>
      <c r="V20" s="110" t="n">
        <v>0</v>
      </c>
      <c r="W20" s="110" t="n">
        <v>0</v>
      </c>
      <c r="X20" s="110" t="n">
        <v>0</v>
      </c>
      <c r="Y20" s="110" t="n">
        <v>0</v>
      </c>
      <c r="Z20" s="110" t="n">
        <v>0</v>
      </c>
      <c r="AA20" s="110" t="n">
        <v>0</v>
      </c>
      <c r="AB20" s="110" t="n">
        <v>0</v>
      </c>
      <c r="AC20" s="110" t="n">
        <v>0</v>
      </c>
      <c r="AD20" s="110" t="n">
        <v>0</v>
      </c>
      <c r="AE20" s="110" t="n">
        <v>0</v>
      </c>
      <c r="AF20" s="110" t="n">
        <v>0</v>
      </c>
      <c r="AG20" s="110" t="n">
        <v>0</v>
      </c>
      <c r="AH20" s="110" t="n">
        <v>0</v>
      </c>
      <c r="AI20" s="110" t="n">
        <v>0</v>
      </c>
      <c r="AJ20" s="110" t="n">
        <v>0</v>
      </c>
      <c r="AK20" s="110" t="n">
        <v>0</v>
      </c>
      <c r="AL20" s="110" t="n">
        <v>0</v>
      </c>
      <c r="AM20" s="110" t="n">
        <v>0</v>
      </c>
    </row>
    <row r="21" customFormat="false" ht="23" hidden="false" customHeight="true" outlineLevel="0" collapsed="false">
      <c r="C21" s="103" t="s">
        <v>5267</v>
      </c>
      <c r="D21" s="105"/>
      <c r="E21" s="105"/>
      <c r="F21" s="105"/>
      <c r="G21" s="105"/>
      <c r="H21" s="105"/>
      <c r="I21" s="105"/>
      <c r="J21" s="110" t="n">
        <v>0</v>
      </c>
      <c r="K21" s="110" t="n">
        <v>0</v>
      </c>
      <c r="L21" s="110" t="n">
        <v>0</v>
      </c>
      <c r="M21" s="110" t="n">
        <v>0</v>
      </c>
      <c r="N21" s="110" t="n">
        <v>0</v>
      </c>
      <c r="O21" s="110" t="n">
        <v>0</v>
      </c>
      <c r="P21" s="110" t="n">
        <v>0</v>
      </c>
      <c r="Q21" s="110" t="n">
        <v>0</v>
      </c>
      <c r="R21" s="110" t="n">
        <v>0</v>
      </c>
      <c r="S21" s="110" t="n">
        <v>0</v>
      </c>
      <c r="T21" s="110" t="n">
        <v>0</v>
      </c>
      <c r="U21" s="110" t="n">
        <v>0</v>
      </c>
      <c r="V21" s="110" t="n">
        <v>0</v>
      </c>
      <c r="W21" s="110" t="n">
        <v>0</v>
      </c>
      <c r="X21" s="110" t="n">
        <v>0</v>
      </c>
      <c r="Y21" s="110" t="n">
        <v>0</v>
      </c>
      <c r="Z21" s="110" t="n">
        <v>0</v>
      </c>
      <c r="AA21" s="110" t="n">
        <v>0</v>
      </c>
      <c r="AB21" s="110" t="n">
        <v>0</v>
      </c>
      <c r="AC21" s="110" t="n">
        <v>0</v>
      </c>
      <c r="AD21" s="110" t="n">
        <v>0</v>
      </c>
      <c r="AE21" s="110" t="n">
        <v>0</v>
      </c>
      <c r="AF21" s="110" t="n">
        <v>0</v>
      </c>
      <c r="AG21" s="110" t="n">
        <v>0</v>
      </c>
      <c r="AH21" s="110" t="n">
        <v>0</v>
      </c>
      <c r="AI21" s="110" t="n">
        <v>0</v>
      </c>
      <c r="AJ21" s="110" t="n">
        <v>0</v>
      </c>
      <c r="AK21" s="110" t="n">
        <v>0</v>
      </c>
      <c r="AL21" s="110" t="n">
        <v>0</v>
      </c>
      <c r="AM21" s="110" t="n">
        <v>0</v>
      </c>
    </row>
    <row r="22" customFormat="false" ht="23" hidden="false" customHeight="true" outlineLevel="0" collapsed="false">
      <c r="C22" s="103" t="s">
        <v>5268</v>
      </c>
      <c r="D22" s="105"/>
      <c r="E22" s="105"/>
      <c r="F22" s="105"/>
      <c r="G22" s="105"/>
      <c r="H22" s="105"/>
      <c r="I22" s="105"/>
      <c r="J22" s="110" t="n">
        <v>0</v>
      </c>
      <c r="K22" s="110" t="n">
        <v>0</v>
      </c>
      <c r="L22" s="110" t="n">
        <v>0</v>
      </c>
      <c r="M22" s="110" t="n">
        <v>0</v>
      </c>
      <c r="N22" s="110" t="n">
        <v>0</v>
      </c>
      <c r="O22" s="110" t="n">
        <v>0</v>
      </c>
      <c r="P22" s="110" t="n">
        <v>0</v>
      </c>
      <c r="Q22" s="110" t="n">
        <v>0</v>
      </c>
      <c r="R22" s="110" t="n">
        <v>0</v>
      </c>
      <c r="S22" s="110" t="n">
        <v>0</v>
      </c>
      <c r="T22" s="110" t="n">
        <v>0</v>
      </c>
      <c r="U22" s="110" t="n">
        <v>0</v>
      </c>
      <c r="V22" s="110" t="n">
        <v>0</v>
      </c>
      <c r="W22" s="110" t="n">
        <v>0</v>
      </c>
      <c r="X22" s="110" t="n">
        <v>0</v>
      </c>
      <c r="Y22" s="110" t="n">
        <v>0</v>
      </c>
      <c r="Z22" s="110" t="n">
        <v>0</v>
      </c>
      <c r="AA22" s="110" t="n">
        <v>0</v>
      </c>
      <c r="AB22" s="110" t="n">
        <v>0</v>
      </c>
      <c r="AC22" s="110" t="n">
        <v>0</v>
      </c>
      <c r="AD22" s="110" t="n">
        <v>0</v>
      </c>
      <c r="AE22" s="110" t="n">
        <v>0</v>
      </c>
      <c r="AF22" s="110" t="n">
        <v>0</v>
      </c>
      <c r="AG22" s="110" t="n">
        <v>0</v>
      </c>
      <c r="AH22" s="110" t="n">
        <v>0</v>
      </c>
      <c r="AI22" s="110" t="n">
        <v>0</v>
      </c>
      <c r="AJ22" s="110" t="n">
        <v>0</v>
      </c>
      <c r="AK22" s="110" t="n">
        <v>0</v>
      </c>
      <c r="AL22" s="110" t="n">
        <v>0</v>
      </c>
      <c r="AM22" s="110" t="n">
        <v>0</v>
      </c>
    </row>
    <row r="23" customFormat="false" ht="23" hidden="false" customHeight="true" outlineLevel="0" collapsed="false">
      <c r="C23" s="103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</row>
    <row r="24" customFormat="false" ht="23" hidden="false" customHeight="true" outlineLevel="0" collapsed="false">
      <c r="C24" s="103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</row>
    <row r="25" customFormat="false" ht="23" hidden="false" customHeight="true" outlineLevel="0" collapsed="false">
      <c r="C25" s="103" t="s">
        <v>5269</v>
      </c>
      <c r="D25" s="105"/>
      <c r="E25" s="105"/>
      <c r="F25" s="105"/>
      <c r="G25" s="105"/>
      <c r="H25" s="105"/>
      <c r="I25" s="105"/>
      <c r="J25" s="105" t="n">
        <f aca="false">0</f>
        <v>0</v>
      </c>
      <c r="K25" s="105" t="n">
        <f aca="false">Liquidity!J48</f>
        <v>0</v>
      </c>
      <c r="L25" s="105" t="n">
        <f aca="false">Liquidity!K48</f>
        <v>0</v>
      </c>
      <c r="M25" s="105" t="n">
        <f aca="false">Liquidity!L48</f>
        <v>0</v>
      </c>
      <c r="N25" s="105" t="n">
        <f aca="false">Liquidity!M48</f>
        <v>0</v>
      </c>
      <c r="O25" s="105" t="n">
        <f aca="false">Liquidity!N48</f>
        <v>0</v>
      </c>
      <c r="P25" s="105" t="n">
        <f aca="false">Liquidity!O48</f>
        <v>0</v>
      </c>
      <c r="Q25" s="105" t="n">
        <f aca="false">Liquidity!P48</f>
        <v>0</v>
      </c>
      <c r="R25" s="105" t="n">
        <f aca="false">Liquidity!Q48</f>
        <v>0</v>
      </c>
      <c r="S25" s="105" t="n">
        <f aca="false">Liquidity!R48</f>
        <v>0</v>
      </c>
      <c r="T25" s="105" t="n">
        <f aca="false">Liquidity!S48</f>
        <v>0</v>
      </c>
      <c r="U25" s="105" t="n">
        <f aca="false">Liquidity!T48</f>
        <v>0</v>
      </c>
      <c r="V25" s="105" t="n">
        <f aca="false">Liquidity!U48</f>
        <v>0</v>
      </c>
      <c r="W25" s="105" t="n">
        <f aca="false">Liquidity!V48</f>
        <v>0</v>
      </c>
      <c r="X25" s="105" t="n">
        <f aca="false">Liquidity!W48</f>
        <v>0</v>
      </c>
      <c r="Y25" s="105" t="n">
        <f aca="false">Liquidity!X48</f>
        <v>0</v>
      </c>
      <c r="Z25" s="105" t="n">
        <f aca="false">Liquidity!Y48</f>
        <v>0</v>
      </c>
      <c r="AA25" s="105" t="n">
        <f aca="false">Liquidity!Z48</f>
        <v>0</v>
      </c>
      <c r="AB25" s="105" t="n">
        <f aca="false">Liquidity!AA48</f>
        <v>0</v>
      </c>
      <c r="AC25" s="105" t="n">
        <f aca="false">Liquidity!AB48</f>
        <v>0</v>
      </c>
      <c r="AD25" s="105" t="n">
        <f aca="false">Liquidity!AC48</f>
        <v>0</v>
      </c>
      <c r="AE25" s="105" t="n">
        <f aca="false">Liquidity!AD48</f>
        <v>0</v>
      </c>
      <c r="AF25" s="105" t="n">
        <f aca="false">Liquidity!AE48</f>
        <v>0</v>
      </c>
      <c r="AG25" s="105" t="n">
        <f aca="false">Liquidity!AF48</f>
        <v>0</v>
      </c>
      <c r="AH25" s="105" t="n">
        <f aca="false">Liquidity!AG48</f>
        <v>0</v>
      </c>
      <c r="AI25" s="105" t="n">
        <f aca="false">Liquidity!AH48</f>
        <v>0</v>
      </c>
      <c r="AJ25" s="105" t="n">
        <f aca="false">Liquidity!AI48</f>
        <v>0</v>
      </c>
      <c r="AK25" s="105" t="n">
        <f aca="false">Liquidity!AJ48</f>
        <v>0</v>
      </c>
      <c r="AL25" s="105" t="n">
        <f aca="false">Liquidity!AK48</f>
        <v>0</v>
      </c>
      <c r="AM25" s="105" t="n">
        <f aca="false">Liquidity!AL48</f>
        <v>0</v>
      </c>
    </row>
    <row r="26" customFormat="false" ht="23" hidden="false" customHeight="true" outlineLevel="0" collapsed="false">
      <c r="C26" s="103" t="s">
        <v>5270</v>
      </c>
      <c r="D26" s="105"/>
      <c r="E26" s="105"/>
      <c r="F26" s="105"/>
      <c r="G26" s="105"/>
      <c r="H26" s="105"/>
      <c r="I26" s="105"/>
      <c r="J26" s="105" t="n">
        <f aca="false">MAX(0,Funding!J53+Funding!J56+Funding!J57)</f>
        <v>10538.02</v>
      </c>
      <c r="K26" s="105" t="n">
        <f aca="false">MAX(0,Funding!K53+Funding!K56+Funding!K57)</f>
        <v>10538.02</v>
      </c>
      <c r="L26" s="105" t="n">
        <f aca="false">MAX(0,Funding!L53+Funding!L56+Funding!L57)</f>
        <v>10538.02</v>
      </c>
      <c r="M26" s="105" t="n">
        <f aca="false">MAX(0,Funding!M53+Funding!M56+Funding!M57)</f>
        <v>10538.02</v>
      </c>
      <c r="N26" s="105" t="n">
        <f aca="false">MAX(0,Funding!N53+Funding!N56+Funding!N57)</f>
        <v>10538.02</v>
      </c>
      <c r="O26" s="105" t="n">
        <f aca="false">MAX(0,Funding!O53+Funding!O56+Funding!O57)</f>
        <v>10538.02</v>
      </c>
      <c r="P26" s="105" t="n">
        <f aca="false">MAX(0,Funding!P53+Funding!P56+Funding!P57)</f>
        <v>10538.02</v>
      </c>
      <c r="Q26" s="105" t="n">
        <f aca="false">MAX(0,Funding!Q53+Funding!Q56+Funding!Q57)</f>
        <v>10538.02</v>
      </c>
      <c r="R26" s="105" t="n">
        <f aca="false">MAX(0,Funding!R53+Funding!R56+Funding!R57)</f>
        <v>10538.02</v>
      </c>
      <c r="S26" s="105" t="n">
        <f aca="false">MAX(0,Funding!S53+Funding!S56+Funding!S57)</f>
        <v>10538.02</v>
      </c>
      <c r="T26" s="105" t="n">
        <f aca="false">MAX(0,Funding!T53+Funding!T56+Funding!T57)</f>
        <v>10538.02</v>
      </c>
      <c r="U26" s="105" t="n">
        <f aca="false">MAX(0,Funding!U53+Funding!U56+Funding!U57)</f>
        <v>10538.02</v>
      </c>
      <c r="V26" s="105" t="n">
        <f aca="false">MAX(0,Funding!V53+Funding!V56+Funding!V57)</f>
        <v>10538.02</v>
      </c>
      <c r="W26" s="105" t="n">
        <f aca="false">MAX(0,Funding!W53+Funding!W56+Funding!W57)</f>
        <v>10538.02</v>
      </c>
      <c r="X26" s="105" t="n">
        <f aca="false">MAX(0,Funding!X53+Funding!X56+Funding!X57)</f>
        <v>10538.02</v>
      </c>
      <c r="Y26" s="105" t="n">
        <f aca="false">MAX(0,Funding!Y53+Funding!Y56+Funding!Y57)</f>
        <v>10538.02</v>
      </c>
      <c r="Z26" s="105" t="n">
        <f aca="false">MAX(0,Funding!Z53+Funding!Z56+Funding!Z57)</f>
        <v>10538.02</v>
      </c>
      <c r="AA26" s="105" t="n">
        <f aca="false">MAX(0,Funding!AA53+Funding!AA56+Funding!AA57)</f>
        <v>10538.02</v>
      </c>
      <c r="AB26" s="105" t="n">
        <f aca="false">MAX(0,Funding!AB53+Funding!AB56+Funding!AB57)</f>
        <v>10538.02</v>
      </c>
      <c r="AC26" s="105" t="n">
        <f aca="false">MAX(0,Funding!AC53+Funding!AC56+Funding!AC57)</f>
        <v>10538.02</v>
      </c>
      <c r="AD26" s="105" t="n">
        <f aca="false">MAX(0,Funding!AD53+Funding!AD56+Funding!AD57)</f>
        <v>10538.02</v>
      </c>
      <c r="AE26" s="105" t="n">
        <f aca="false">MAX(0,Funding!AE53+Funding!AE56+Funding!AE57)</f>
        <v>10538.02</v>
      </c>
      <c r="AF26" s="105" t="n">
        <f aca="false">MAX(0,Funding!AF53+Funding!AF56+Funding!AF57)</f>
        <v>10538.02</v>
      </c>
      <c r="AG26" s="105" t="n">
        <f aca="false">MAX(0,Funding!AG53+Funding!AG56+Funding!AG57)</f>
        <v>10538.02</v>
      </c>
      <c r="AH26" s="105" t="n">
        <f aca="false">MAX(0,Funding!AH53+Funding!AH56+Funding!AH57)</f>
        <v>10538.02</v>
      </c>
      <c r="AI26" s="105" t="n">
        <f aca="false">MAX(0,Funding!AI53+Funding!AI56+Funding!AI57)</f>
        <v>10538.02</v>
      </c>
      <c r="AJ26" s="105" t="n">
        <f aca="false">MAX(0,Funding!AJ53+Funding!AJ56+Funding!AJ57)</f>
        <v>10538.02</v>
      </c>
      <c r="AK26" s="105" t="n">
        <f aca="false">MAX(0,Funding!AK53+Funding!AK56+Funding!AK57)</f>
        <v>10538.02</v>
      </c>
      <c r="AL26" s="105" t="n">
        <f aca="false">MAX(0,Funding!AL53+Funding!AL56+Funding!AL57)</f>
        <v>10538.02</v>
      </c>
      <c r="AM26" s="105" t="n">
        <f aca="false">MAX(0,Funding!AM53+Funding!AM56+Funding!AM57)</f>
        <v>10538.02</v>
      </c>
    </row>
    <row r="27" customFormat="false" ht="23" hidden="false" customHeight="true" outlineLevel="0" collapsed="false">
      <c r="C27" s="103" t="s">
        <v>5271</v>
      </c>
      <c r="D27" s="105"/>
      <c r="E27" s="105"/>
      <c r="F27" s="105"/>
      <c r="G27" s="105"/>
      <c r="H27" s="105"/>
      <c r="I27" s="105"/>
      <c r="J27" s="105" t="n">
        <f aca="false">J25*MAX(0,J15)*DAY(J$7)/(DATE(YEAR(J$7)+1,1,1)-DATE(YEAR(J$7),1,1))</f>
        <v>0</v>
      </c>
      <c r="K27" s="105" t="n">
        <f aca="false">K25*MAX(0,K15)*DAY(K$7)/(DATE(YEAR(K$7)+1,1,1)-DATE(YEAR(K$7),1,1))</f>
        <v>0</v>
      </c>
      <c r="L27" s="105" t="n">
        <f aca="false">L25*MAX(0,L15)*DAY(L$7)/(DATE(YEAR(L$7)+1,1,1)-DATE(YEAR(L$7),1,1))</f>
        <v>0</v>
      </c>
      <c r="M27" s="105" t="n">
        <f aca="false">M25*MAX(0,M15)*DAY(M$7)/(DATE(YEAR(M$7)+1,1,1)-DATE(YEAR(M$7),1,1))</f>
        <v>0</v>
      </c>
      <c r="N27" s="105" t="n">
        <f aca="false">N25*MAX(0,N15)*DAY(N$7)/(DATE(YEAR(N$7)+1,1,1)-DATE(YEAR(N$7),1,1))</f>
        <v>0</v>
      </c>
      <c r="O27" s="105" t="n">
        <f aca="false">O25*MAX(0,O15)*DAY(O$7)/(DATE(YEAR(O$7)+1,1,1)-DATE(YEAR(O$7),1,1))</f>
        <v>0</v>
      </c>
      <c r="P27" s="105" t="n">
        <f aca="false">P25*MAX(0,P15)*DAY(P$7)/(DATE(YEAR(P$7)+1,1,1)-DATE(YEAR(P$7),1,1))</f>
        <v>0</v>
      </c>
      <c r="Q27" s="105" t="n">
        <f aca="false">Q25*MAX(0,Q15)*DAY(Q$7)/(DATE(YEAR(Q$7)+1,1,1)-DATE(YEAR(Q$7),1,1))</f>
        <v>0</v>
      </c>
      <c r="R27" s="105" t="n">
        <f aca="false">R25*MAX(0,R15)*DAY(R$7)/(DATE(YEAR(R$7)+1,1,1)-DATE(YEAR(R$7),1,1))</f>
        <v>0</v>
      </c>
      <c r="S27" s="105" t="n">
        <f aca="false">S25*MAX(0,S15)*DAY(S$7)/(DATE(YEAR(S$7)+1,1,1)-DATE(YEAR(S$7),1,1))</f>
        <v>0</v>
      </c>
      <c r="T27" s="105" t="n">
        <f aca="false">T25*MAX(0,T15)*DAY(T$7)/(DATE(YEAR(T$7)+1,1,1)-DATE(YEAR(T$7),1,1))</f>
        <v>0</v>
      </c>
      <c r="U27" s="105" t="n">
        <f aca="false">U25*MAX(0,U15)*DAY(U$7)/(DATE(YEAR(U$7)+1,1,1)-DATE(YEAR(U$7),1,1))</f>
        <v>0</v>
      </c>
      <c r="V27" s="105" t="n">
        <f aca="false">V25*MAX(0,V15)*DAY(V$7)/(DATE(YEAR(V$7)+1,1,1)-DATE(YEAR(V$7),1,1))</f>
        <v>0</v>
      </c>
      <c r="W27" s="105" t="n">
        <f aca="false">W25*MAX(0,W15)*DAY(W$7)/(DATE(YEAR(W$7)+1,1,1)-DATE(YEAR(W$7),1,1))</f>
        <v>0</v>
      </c>
      <c r="X27" s="105" t="n">
        <f aca="false">X25*MAX(0,X15)*DAY(X$7)/(DATE(YEAR(X$7)+1,1,1)-DATE(YEAR(X$7),1,1))</f>
        <v>0</v>
      </c>
      <c r="Y27" s="105" t="n">
        <f aca="false">Y25*MAX(0,Y15)*DAY(Y$7)/(DATE(YEAR(Y$7)+1,1,1)-DATE(YEAR(Y$7),1,1))</f>
        <v>0</v>
      </c>
      <c r="Z27" s="105" t="n">
        <f aca="false">Z25*MAX(0,Z15)*DAY(Z$7)/(DATE(YEAR(Z$7)+1,1,1)-DATE(YEAR(Z$7),1,1))</f>
        <v>0</v>
      </c>
      <c r="AA27" s="105" t="n">
        <f aca="false">AA25*MAX(0,AA15)*DAY(AA$7)/(DATE(YEAR(AA$7)+1,1,1)-DATE(YEAR(AA$7),1,1))</f>
        <v>0</v>
      </c>
      <c r="AB27" s="105" t="n">
        <f aca="false">AB25*MAX(0,AB15)*DAY(AB$7)/(DATE(YEAR(AB$7)+1,1,1)-DATE(YEAR(AB$7),1,1))</f>
        <v>0</v>
      </c>
      <c r="AC27" s="105" t="n">
        <f aca="false">AC25*MAX(0,AC15)*DAY(AC$7)/(DATE(YEAR(AC$7)+1,1,1)-DATE(YEAR(AC$7),1,1))</f>
        <v>0</v>
      </c>
      <c r="AD27" s="105" t="n">
        <f aca="false">AD25*MAX(0,AD15)*DAY(AD$7)/(DATE(YEAR(AD$7)+1,1,1)-DATE(YEAR(AD$7),1,1))</f>
        <v>0</v>
      </c>
      <c r="AE27" s="105" t="n">
        <f aca="false">AE25*MAX(0,AE15)*DAY(AE$7)/(DATE(YEAR(AE$7)+1,1,1)-DATE(YEAR(AE$7),1,1))</f>
        <v>0</v>
      </c>
      <c r="AF27" s="105" t="n">
        <f aca="false">AF25*MAX(0,AF15)*DAY(AF$7)/(DATE(YEAR(AF$7)+1,1,1)-DATE(YEAR(AF$7),1,1))</f>
        <v>0</v>
      </c>
      <c r="AG27" s="105" t="n">
        <f aca="false">AG25*MAX(0,AG15)*DAY(AG$7)/(DATE(YEAR(AG$7)+1,1,1)-DATE(YEAR(AG$7),1,1))</f>
        <v>0</v>
      </c>
      <c r="AH27" s="105" t="n">
        <f aca="false">AH25*MAX(0,AH15)*DAY(AH$7)/(DATE(YEAR(AH$7)+1,1,1)-DATE(YEAR(AH$7),1,1))</f>
        <v>0</v>
      </c>
      <c r="AI27" s="105" t="n">
        <f aca="false">AI25*MAX(0,AI15)*DAY(AI$7)/(DATE(YEAR(AI$7)+1,1,1)-DATE(YEAR(AI$7),1,1))</f>
        <v>0</v>
      </c>
      <c r="AJ27" s="105" t="n">
        <f aca="false">AJ25*MAX(0,AJ15)*DAY(AJ$7)/(DATE(YEAR(AJ$7)+1,1,1)-DATE(YEAR(AJ$7),1,1))</f>
        <v>0</v>
      </c>
      <c r="AK27" s="105" t="n">
        <f aca="false">AK25*MAX(0,AK15)*DAY(AK$7)/(DATE(YEAR(AK$7)+1,1,1)-DATE(YEAR(AK$7),1,1))</f>
        <v>0</v>
      </c>
      <c r="AL27" s="105" t="n">
        <f aca="false">AL25*MAX(0,AL15)*DAY(AL$7)/(DATE(YEAR(AL$7)+1,1,1)-DATE(YEAR(AL$7),1,1))</f>
        <v>0</v>
      </c>
      <c r="AM27" s="105" t="n">
        <f aca="false">AM25*MAX(0,AM15)*DAY(AM$7)/(DATE(YEAR(AM$7)+1,1,1)-DATE(YEAR(AM$7),1,1))</f>
        <v>0</v>
      </c>
    </row>
    <row r="28" customFormat="false" ht="23" hidden="false" customHeight="true" outlineLevel="0" collapsed="false">
      <c r="C28" s="103" t="s">
        <v>5272</v>
      </c>
      <c r="D28" s="105"/>
      <c r="E28" s="105"/>
      <c r="F28" s="105"/>
      <c r="G28" s="105"/>
      <c r="H28" s="105"/>
      <c r="I28" s="105"/>
      <c r="J28" s="105" t="n">
        <f aca="false">Monthly_CF!J50+Monthly_CF!J24+SUM(Monthly_CF!J27:J29)+Monthly_CF!J31+Funding!J12+Funding!J23+Funding!J34+Funding!J71-Funding!J16-Funding!J27-Funding!J38-Funding!J49-J27-Funding!J72-TaxEquity!J53+Monthly_CF!J47</f>
        <v>1140.79339318233</v>
      </c>
      <c r="K28" s="105" t="n">
        <f aca="false">Monthly_CF!K50+Monthly_CF!K24+SUM(Monthly_CF!K27:K29)+Monthly_CF!K31+Funding!K12+Funding!K23+Funding!K34+Funding!K71-Funding!K16-Funding!K27-Funding!K38-Funding!K49-K27-Funding!K72-TaxEquity!K53+Monthly_CF!K47</f>
        <v>1518.06084255602</v>
      </c>
      <c r="L28" s="105" t="n">
        <f aca="false">Monthly_CF!L50+Monthly_CF!L24+SUM(Monthly_CF!L27:L29)+Monthly_CF!L31+Funding!L12+Funding!L23+Funding!L34+Funding!L71-Funding!L16-Funding!L27-Funding!L38-Funding!L49-L27-Funding!L72-TaxEquity!L53+Monthly_CF!L47</f>
        <v>1610.99102212192</v>
      </c>
      <c r="M28" s="105" t="n">
        <f aca="false">Monthly_CF!M50+Monthly_CF!M24+SUM(Monthly_CF!M27:M29)+Monthly_CF!M31+Funding!M12+Funding!M23+Funding!M34+Funding!M71-Funding!M16-Funding!M27-Funding!M38-Funding!M49-M27-Funding!M72-TaxEquity!M53+Monthly_CF!M47</f>
        <v>1762.16407798115</v>
      </c>
      <c r="N28" s="105" t="n">
        <f aca="false">Monthly_CF!N50+Monthly_CF!N24+SUM(Monthly_CF!N27:N29)+Monthly_CF!N31+Funding!N12+Funding!N23+Funding!N34+Funding!N71-Funding!N16-Funding!N27-Funding!N38-Funding!N49-N27-Funding!N72-TaxEquity!N53+Monthly_CF!N47</f>
        <v>2382.16198049091</v>
      </c>
      <c r="O28" s="105" t="n">
        <f aca="false">Monthly_CF!O50+Monthly_CF!O24+SUM(Monthly_CF!O27:O29)+Monthly_CF!O31+Funding!O12+Funding!O23+Funding!O34+Funding!O71-Funding!O16-Funding!O27-Funding!O38-Funding!O49-O27-Funding!O72-TaxEquity!O53+Monthly_CF!O47</f>
        <v>2314.81290362849</v>
      </c>
      <c r="P28" s="105" t="n">
        <f aca="false">Monthly_CF!P50+Monthly_CF!P24+SUM(Monthly_CF!P27:P29)+Monthly_CF!P31+Funding!P12+Funding!P23+Funding!P34+Funding!P71-Funding!P16-Funding!P27-Funding!P38-Funding!P49-P27-Funding!P72-TaxEquity!P53+Monthly_CF!P47</f>
        <v>3138.96966323957</v>
      </c>
      <c r="Q28" s="105" t="n">
        <f aca="false">Monthly_CF!Q50+Monthly_CF!Q24+SUM(Monthly_CF!Q27:Q29)+Monthly_CF!Q31+Funding!Q12+Funding!Q23+Funding!Q34+Funding!Q71-Funding!Q16-Funding!Q27-Funding!Q38-Funding!Q49-Q27-Funding!Q72-TaxEquity!Q53+Monthly_CF!Q47</f>
        <v>3863.03001176431</v>
      </c>
      <c r="R28" s="105" t="n">
        <f aca="false">Monthly_CF!R50+Monthly_CF!R24+SUM(Monthly_CF!R27:R29)+Monthly_CF!R31+Funding!R12+Funding!R23+Funding!R34+Funding!R71-Funding!R16-Funding!R27-Funding!R38-Funding!R49-R27-Funding!R72-TaxEquity!R53+Monthly_CF!R47</f>
        <v>3228.28303025901</v>
      </c>
      <c r="S28" s="105" t="n">
        <f aca="false">Monthly_CF!S50+Monthly_CF!S24+SUM(Monthly_CF!S27:S29)+Monthly_CF!S31+Funding!S12+Funding!S23+Funding!S34+Funding!S71-Funding!S16-Funding!S27-Funding!S38-Funding!S49-S27-Funding!S72-TaxEquity!S53+Monthly_CF!S47</f>
        <v>4121.1464062871</v>
      </c>
      <c r="T28" s="105" t="n">
        <f aca="false">Monthly_CF!T50+Monthly_CF!T24+SUM(Monthly_CF!T27:T29)+Monthly_CF!T31+Funding!T12+Funding!T23+Funding!T34+Funding!T71-Funding!T16-Funding!T27-Funding!T38-Funding!T49-T27-Funding!T72-TaxEquity!T53+Monthly_CF!T47</f>
        <v>4236.47461019523</v>
      </c>
      <c r="U28" s="105" t="n">
        <f aca="false">Monthly_CF!U50+Monthly_CF!U24+SUM(Monthly_CF!U27:U29)+Monthly_CF!U31+Funding!U12+Funding!U23+Funding!U34+Funding!U71-Funding!U16-Funding!U27-Funding!U38-Funding!U49-U27-Funding!U72-TaxEquity!U53+Monthly_CF!U47</f>
        <v>1133.32271898162</v>
      </c>
      <c r="V28" s="105" t="n">
        <f aca="false">Monthly_CF!V50+Monthly_CF!V24+SUM(Monthly_CF!V27:V29)+Monthly_CF!V31+Funding!V12+Funding!V23+Funding!V34+Funding!V71-Funding!V16-Funding!V27-Funding!V38-Funding!V49-V27-Funding!V72-TaxEquity!V53+Monthly_CF!V47</f>
        <v>949.262925250789</v>
      </c>
      <c r="W28" s="105" t="n">
        <f aca="false">Monthly_CF!W50+Monthly_CF!W24+SUM(Monthly_CF!W27:W29)+Monthly_CF!W31+Funding!W12+Funding!W23+Funding!W34+Funding!W71-Funding!W16-Funding!W27-Funding!W38-Funding!W49-W27-Funding!W72-TaxEquity!W53+Monthly_CF!W47</f>
        <v>1502.33634868024</v>
      </c>
      <c r="X28" s="105" t="n">
        <f aca="false">Monthly_CF!X50+Monthly_CF!X24+SUM(Monthly_CF!X27:X29)+Monthly_CF!X31+Funding!X12+Funding!X23+Funding!X34+Funding!X71-Funding!X16-Funding!X27-Funding!X38-Funding!X49-X27-Funding!X72-TaxEquity!X53+Monthly_CF!X47</f>
        <v>1804.74800213426</v>
      </c>
      <c r="Y28" s="105" t="n">
        <f aca="false">Monthly_CF!Y50+Monthly_CF!Y24+SUM(Monthly_CF!Y27:Y29)+Monthly_CF!Y31+Funding!Y12+Funding!Y23+Funding!Y34+Funding!Y71-Funding!Y16-Funding!Y27-Funding!Y38-Funding!Y49-Y27-Funding!Y72-TaxEquity!Y53+Monthly_CF!Y47</f>
        <v>1944.03015371551</v>
      </c>
      <c r="Z28" s="105" t="n">
        <f aca="false">Monthly_CF!Z50+Monthly_CF!Z24+SUM(Monthly_CF!Z27:Z29)+Monthly_CF!Z31+Funding!Z12+Funding!Z23+Funding!Z34+Funding!Z71-Funding!Z16-Funding!Z27-Funding!Z38-Funding!Z49-Z27-Funding!Z72-TaxEquity!Z53+Monthly_CF!Z47</f>
        <v>2579.51424717914</v>
      </c>
      <c r="AA28" s="105" t="n">
        <f aca="false">Monthly_CF!AA50+Monthly_CF!AA24+SUM(Monthly_CF!AA27:AA29)+Monthly_CF!AA31+Funding!AA12+Funding!AA23+Funding!AA34+Funding!AA71-Funding!AA16-Funding!AA27-Funding!AA38-Funding!AA49-AA27-Funding!AA72-TaxEquity!AA53+Monthly_CF!AA47</f>
        <v>2495.31794304958</v>
      </c>
      <c r="AB28" s="105" t="n">
        <f aca="false">Monthly_CF!AB50+Monthly_CF!AB24+SUM(Monthly_CF!AB27:AB29)+Monthly_CF!AB31+Funding!AB12+Funding!AB23+Funding!AB34+Funding!AB71-Funding!AB16-Funding!AB27-Funding!AB38-Funding!AB49-AB27-Funding!AB72-TaxEquity!AB53+Monthly_CF!AB47</f>
        <v>3345.75619567448</v>
      </c>
      <c r="AC28" s="105" t="n">
        <f aca="false">Monthly_CF!AC50+Monthly_CF!AC24+SUM(Monthly_CF!AC27:AC29)+Monthly_CF!AC31+Funding!AC12+Funding!AC23+Funding!AC34+Funding!AC71-Funding!AC16-Funding!AC27-Funding!AC38-Funding!AC49-AC27-Funding!AC72-TaxEquity!AC53+Monthly_CF!AC47</f>
        <v>3887.09276613206</v>
      </c>
      <c r="AD28" s="105" t="n">
        <f aca="false">Monthly_CF!AD50+Monthly_CF!AD24+SUM(Monthly_CF!AD27:AD29)+Monthly_CF!AD31+Funding!AD12+Funding!AD23+Funding!AD34+Funding!AD71-Funding!AD16-Funding!AD27-Funding!AD38-Funding!AD49-AD27-Funding!AD72-TaxEquity!AD53+Monthly_CF!AD47</f>
        <v>3526.09216158177</v>
      </c>
      <c r="AE28" s="105" t="n">
        <f aca="false">Monthly_CF!AE50+Monthly_CF!AE24+SUM(Monthly_CF!AE27:AE29)+Monthly_CF!AE31+Funding!AE12+Funding!AE23+Funding!AE34+Funding!AE71-Funding!AE16-Funding!AE27-Funding!AE38-Funding!AE49-AE27-Funding!AE72-TaxEquity!AE53+Monthly_CF!AE47</f>
        <v>4320.83520254244</v>
      </c>
      <c r="AF28" s="105" t="n">
        <f aca="false">Monthly_CF!AF50+Monthly_CF!AF24+SUM(Monthly_CF!AF27:AF29)+Monthly_CF!AF31+Funding!AF12+Funding!AF23+Funding!AF34+Funding!AF71-Funding!AF16-Funding!AF27-Funding!AF38-Funding!AF49-AF27-Funding!AF72-TaxEquity!AF53+Monthly_CF!AF47</f>
        <v>4433.98750862888</v>
      </c>
      <c r="AG28" s="105" t="n">
        <f aca="false">Monthly_CF!AG50+Monthly_CF!AG24+SUM(Monthly_CF!AG27:AG29)+Monthly_CF!AG31+Funding!AG12+Funding!AG23+Funding!AG34+Funding!AG71-Funding!AG16-Funding!AG27-Funding!AG38-Funding!AG49-AG27-Funding!AG72-TaxEquity!AG53+Monthly_CF!AG47</f>
        <v>1179.82316544693</v>
      </c>
      <c r="AH28" s="105" t="n">
        <f aca="false">Monthly_CF!AH50+Monthly_CF!AH24+SUM(Monthly_CF!AH27:AH29)+Monthly_CF!AH31+Funding!AH12+Funding!AH23+Funding!AH34+Funding!AH71-Funding!AH16-Funding!AH27-Funding!AH38-Funding!AH49-AH27-Funding!AH72-TaxEquity!AH53+Monthly_CF!AH47</f>
        <v>981.084018946023</v>
      </c>
      <c r="AI28" s="105" t="n">
        <f aca="false">Monthly_CF!AI50+Monthly_CF!AI24+SUM(Monthly_CF!AI27:AI29)+Monthly_CF!AI31+Funding!AI12+Funding!AI23+Funding!AI34+Funding!AI71-Funding!AI16-Funding!AI27-Funding!AI38-Funding!AI49-AI27-Funding!AI72-TaxEquity!AI53+Monthly_CF!AI47</f>
        <v>1541.79098047791</v>
      </c>
      <c r="AJ28" s="105" t="n">
        <f aca="false">Monthly_CF!AJ50+Monthly_CF!AJ24+SUM(Monthly_CF!AJ27:AJ29)+Monthly_CF!AJ31+Funding!AJ12+Funding!AJ23+Funding!AJ34+Funding!AJ71-Funding!AJ16-Funding!AJ27-Funding!AJ38-Funding!AJ49-AJ27-Funding!AJ72-TaxEquity!AJ53+Monthly_CF!AJ47</f>
        <v>1853.42539580715</v>
      </c>
      <c r="AK28" s="105" t="n">
        <f aca="false">Monthly_CF!AK50+Monthly_CF!AK24+SUM(Monthly_CF!AK27:AK29)+Monthly_CF!AK31+Funding!AK12+Funding!AK23+Funding!AK34+Funding!AK71-Funding!AK16-Funding!AK27-Funding!AK38-Funding!AK49-AK27-Funding!AK72-TaxEquity!AK53+Monthly_CF!AK47</f>
        <v>1979.91557863831</v>
      </c>
      <c r="AL28" s="105" t="n">
        <f aca="false">Monthly_CF!AL50+Monthly_CF!AL24+SUM(Monthly_CF!AL27:AL29)+Monthly_CF!AL31+Funding!AL12+Funding!AL23+Funding!AL34+Funding!AL71-Funding!AL16-Funding!AL27-Funding!AL38-Funding!AL49-AL27-Funding!AL72-TaxEquity!AL53+Monthly_CF!AL47</f>
        <v>2632.30200254895</v>
      </c>
      <c r="AM28" s="105" t="n">
        <f aca="false">Monthly_CF!AM50+Monthly_CF!AM24+SUM(Monthly_CF!AM27:AM29)+Monthly_CF!AM31+Funding!AM12+Funding!AM23+Funding!AM34+Funding!AM71-Funding!AM16-Funding!AM27-Funding!AM38-Funding!AM49-AM27-Funding!AM72-TaxEquity!AM53+Monthly_CF!AM47</f>
        <v>2533.47797737355</v>
      </c>
    </row>
    <row r="29" customFormat="false" ht="23" hidden="false" customHeight="true" outlineLevel="0" collapsed="false">
      <c r="C29" s="103" t="s">
        <v>5273</v>
      </c>
      <c r="D29" s="105"/>
      <c r="E29" s="105"/>
      <c r="F29" s="105"/>
      <c r="G29" s="105"/>
      <c r="H29" s="105"/>
      <c r="I29" s="105"/>
      <c r="J29" s="105" t="n">
        <f aca="false">MIN(MAX(0,Funding!J46),MAX(0,Funding!J44+Funding!J45))</f>
        <v>1.11674455083333</v>
      </c>
      <c r="K29" s="105" t="n">
        <f aca="false">MIN(MAX(0,Funding!K46),MAX(0,Funding!K44+Funding!K45))</f>
        <v>1.11674455083333</v>
      </c>
      <c r="L29" s="105" t="n">
        <f aca="false">MIN(MAX(0,Funding!L46),MAX(0,Funding!L44+Funding!L45))</f>
        <v>1.11674455083333</v>
      </c>
      <c r="M29" s="105" t="n">
        <f aca="false">MIN(MAX(0,Funding!M46),MAX(0,Funding!M44+Funding!M45))</f>
        <v>1.11674455083333</v>
      </c>
      <c r="N29" s="105" t="n">
        <f aca="false">MIN(MAX(0,Funding!N46),MAX(0,Funding!N44+Funding!N45))</f>
        <v>1.11674455083333</v>
      </c>
      <c r="O29" s="105" t="n">
        <f aca="false">MIN(MAX(0,Funding!O46),MAX(0,Funding!O44+Funding!O45))</f>
        <v>1.11674455083333</v>
      </c>
      <c r="P29" s="105" t="n">
        <f aca="false">MIN(MAX(0,Funding!P46),MAX(0,Funding!P44+Funding!P45))</f>
        <v>1.11674455083333</v>
      </c>
      <c r="Q29" s="105" t="n">
        <f aca="false">MIN(MAX(0,Funding!Q46),MAX(0,Funding!Q44+Funding!Q45))</f>
        <v>1.11674455083333</v>
      </c>
      <c r="R29" s="105" t="n">
        <f aca="false">MIN(MAX(0,Funding!R46),MAX(0,Funding!R44+Funding!R45))</f>
        <v>1.11674455083333</v>
      </c>
      <c r="S29" s="105" t="n">
        <f aca="false">MIN(MAX(0,Funding!S46),MAX(0,Funding!S44+Funding!S45))</f>
        <v>1.11674455083333</v>
      </c>
      <c r="T29" s="105" t="n">
        <f aca="false">MIN(MAX(0,Funding!T46),MAX(0,Funding!T44+Funding!T45))</f>
        <v>1.11674455083333</v>
      </c>
      <c r="U29" s="105" t="n">
        <f aca="false">MIN(MAX(0,Funding!U46),MAX(0,Funding!U44+Funding!U45))</f>
        <v>1.11674455083333</v>
      </c>
      <c r="V29" s="105" t="n">
        <f aca="false">MIN(MAX(0,Funding!V46),MAX(0,Funding!V44+Funding!V45))</f>
        <v>1.11674455083333</v>
      </c>
      <c r="W29" s="105" t="n">
        <f aca="false">MIN(MAX(0,Funding!W46),MAX(0,Funding!W44+Funding!W45))</f>
        <v>1.11674455083333</v>
      </c>
      <c r="X29" s="105" t="n">
        <f aca="false">MIN(MAX(0,Funding!X46),MAX(0,Funding!X44+Funding!X45))</f>
        <v>1.11674455083333</v>
      </c>
      <c r="Y29" s="105" t="n">
        <f aca="false">MIN(MAX(0,Funding!Y46),MAX(0,Funding!Y44+Funding!Y45))</f>
        <v>1.11674455083333</v>
      </c>
      <c r="Z29" s="105" t="n">
        <f aca="false">MIN(MAX(0,Funding!Z46),MAX(0,Funding!Z44+Funding!Z45))</f>
        <v>0.0908602666667213</v>
      </c>
      <c r="AA29" s="105" t="n">
        <f aca="false">MIN(MAX(0,Funding!AA46),MAX(0,Funding!AA44+Funding!AA45))</f>
        <v>0</v>
      </c>
      <c r="AB29" s="105" t="n">
        <f aca="false">MIN(MAX(0,Funding!AB46),MAX(0,Funding!AB44+Funding!AB45))</f>
        <v>0</v>
      </c>
      <c r="AC29" s="105" t="n">
        <f aca="false">MIN(MAX(0,Funding!AC46),MAX(0,Funding!AC44+Funding!AC45))</f>
        <v>0</v>
      </c>
      <c r="AD29" s="105" t="n">
        <f aca="false">MIN(MAX(0,Funding!AD46),MAX(0,Funding!AD44+Funding!AD45))</f>
        <v>0</v>
      </c>
      <c r="AE29" s="105" t="n">
        <f aca="false">MIN(MAX(0,Funding!AE46),MAX(0,Funding!AE44+Funding!AE45))</f>
        <v>0</v>
      </c>
      <c r="AF29" s="105" t="n">
        <f aca="false">MIN(MAX(0,Funding!AF46),MAX(0,Funding!AF44+Funding!AF45))</f>
        <v>0</v>
      </c>
      <c r="AG29" s="105" t="n">
        <f aca="false">MIN(MAX(0,Funding!AG46),MAX(0,Funding!AG44+Funding!AG45))</f>
        <v>0</v>
      </c>
      <c r="AH29" s="105" t="n">
        <f aca="false">MIN(MAX(0,Funding!AH46),MAX(0,Funding!AH44+Funding!AH45))</f>
        <v>0</v>
      </c>
      <c r="AI29" s="105" t="n">
        <f aca="false">MIN(MAX(0,Funding!AI46),MAX(0,Funding!AI44+Funding!AI45))</f>
        <v>0</v>
      </c>
      <c r="AJ29" s="105" t="n">
        <f aca="false">MIN(MAX(0,Funding!AJ46),MAX(0,Funding!AJ44+Funding!AJ45))</f>
        <v>0</v>
      </c>
      <c r="AK29" s="105" t="n">
        <f aca="false">MIN(MAX(0,Funding!AK46),MAX(0,Funding!AK44+Funding!AK45))</f>
        <v>0</v>
      </c>
      <c r="AL29" s="105" t="n">
        <f aca="false">MIN(MAX(0,Funding!AL46),MAX(0,Funding!AL44+Funding!AL45))</f>
        <v>0</v>
      </c>
      <c r="AM29" s="105" t="n">
        <f aca="false">MIN(MAX(0,Funding!AM46),MAX(0,Funding!AM44+Funding!AM45))</f>
        <v>0</v>
      </c>
    </row>
    <row r="30" customFormat="false" ht="23" hidden="false" customHeight="true" outlineLevel="0" collapsed="false">
      <c r="C30" s="103" t="s">
        <v>5274</v>
      </c>
      <c r="D30" s="105"/>
      <c r="E30" s="105"/>
      <c r="F30" s="105"/>
      <c r="G30" s="105"/>
      <c r="H30" s="105"/>
      <c r="I30" s="105"/>
      <c r="J30" s="105" t="n">
        <f aca="false">MIN(MAX(0,Funding!J13),MAX(0,Funding!J10+Funding!J12))+MIN(MAX(0,Funding!J24),MAX(0,Funding!J21+Funding!J23))+MIN(MAX(0,Funding!J35),MAX(0,Funding!J32+Funding!J34))</f>
        <v>0</v>
      </c>
      <c r="K30" s="105" t="n">
        <f aca="false">MIN(MAX(0,Funding!K13),MAX(0,Funding!K10+Funding!K12))+MIN(MAX(0,Funding!K24),MAX(0,Funding!K21+Funding!K23))+MIN(MAX(0,Funding!K35),MAX(0,Funding!K32+Funding!K34))</f>
        <v>0</v>
      </c>
      <c r="L30" s="105" t="n">
        <f aca="false">MIN(MAX(0,Funding!L13),MAX(0,Funding!L10+Funding!L12))+MIN(MAX(0,Funding!L24),MAX(0,Funding!L21+Funding!L23))+MIN(MAX(0,Funding!L35),MAX(0,Funding!L32+Funding!L34))</f>
        <v>0</v>
      </c>
      <c r="M30" s="105" t="n">
        <f aca="false">MIN(MAX(0,Funding!M13),MAX(0,Funding!M10+Funding!M12))+MIN(MAX(0,Funding!M24),MAX(0,Funding!M21+Funding!M23))+MIN(MAX(0,Funding!M35),MAX(0,Funding!M32+Funding!M34))</f>
        <v>0</v>
      </c>
      <c r="N30" s="105" t="n">
        <f aca="false">MIN(MAX(0,Funding!N13),MAX(0,Funding!N10+Funding!N12))+MIN(MAX(0,Funding!N24),MAX(0,Funding!N21+Funding!N23))+MIN(MAX(0,Funding!N35),MAX(0,Funding!N32+Funding!N34))</f>
        <v>0</v>
      </c>
      <c r="O30" s="105" t="n">
        <f aca="false">MIN(MAX(0,Funding!O13),MAX(0,Funding!O10+Funding!O12))+MIN(MAX(0,Funding!O24),MAX(0,Funding!O21+Funding!O23))+MIN(MAX(0,Funding!O35),MAX(0,Funding!O32+Funding!O34))</f>
        <v>0</v>
      </c>
      <c r="P30" s="105" t="n">
        <f aca="false">MIN(MAX(0,Funding!P13),MAX(0,Funding!P10+Funding!P12))+MIN(MAX(0,Funding!P24),MAX(0,Funding!P21+Funding!P23))+MIN(MAX(0,Funding!P35),MAX(0,Funding!P32+Funding!P34))</f>
        <v>0</v>
      </c>
      <c r="Q30" s="105" t="n">
        <f aca="false">MIN(MAX(0,Funding!Q13),MAX(0,Funding!Q10+Funding!Q12))+MIN(MAX(0,Funding!Q24),MAX(0,Funding!Q21+Funding!Q23))+MIN(MAX(0,Funding!Q35),MAX(0,Funding!Q32+Funding!Q34))</f>
        <v>0</v>
      </c>
      <c r="R30" s="105" t="n">
        <f aca="false">MIN(MAX(0,Funding!R13),MAX(0,Funding!R10+Funding!R12))+MIN(MAX(0,Funding!R24),MAX(0,Funding!R21+Funding!R23))+MIN(MAX(0,Funding!R35),MAX(0,Funding!R32+Funding!R34))</f>
        <v>0</v>
      </c>
      <c r="S30" s="105" t="n">
        <f aca="false">MIN(MAX(0,Funding!S13),MAX(0,Funding!S10+Funding!S12))+MIN(MAX(0,Funding!S24),MAX(0,Funding!S21+Funding!S23))+MIN(MAX(0,Funding!S35),MAX(0,Funding!S32+Funding!S34))</f>
        <v>0</v>
      </c>
      <c r="T30" s="105" t="n">
        <f aca="false">MIN(MAX(0,Funding!T13),MAX(0,Funding!T10+Funding!T12))+MIN(MAX(0,Funding!T24),MAX(0,Funding!T21+Funding!T23))+MIN(MAX(0,Funding!T35),MAX(0,Funding!T32+Funding!T34))</f>
        <v>0</v>
      </c>
      <c r="U30" s="105" t="n">
        <f aca="false">MIN(MAX(0,Funding!U13),MAX(0,Funding!U10+Funding!U12))+MIN(MAX(0,Funding!U24),MAX(0,Funding!U21+Funding!U23))+MIN(MAX(0,Funding!U35),MAX(0,Funding!U32+Funding!U34))</f>
        <v>184.426999816</v>
      </c>
      <c r="V30" s="105" t="n">
        <f aca="false">MIN(MAX(0,Funding!V13),MAX(0,Funding!V10+Funding!V12))+MIN(MAX(0,Funding!V24),MAX(0,Funding!V21+Funding!V23))+MIN(MAX(0,Funding!V35),MAX(0,Funding!V32+Funding!V34))</f>
        <v>0</v>
      </c>
      <c r="W30" s="105" t="n">
        <f aca="false">MIN(MAX(0,Funding!W13),MAX(0,Funding!W10+Funding!W12))+MIN(MAX(0,Funding!W24),MAX(0,Funding!W21+Funding!W23))+MIN(MAX(0,Funding!W35),MAX(0,Funding!W32+Funding!W34))</f>
        <v>0</v>
      </c>
      <c r="X30" s="105" t="n">
        <f aca="false">MIN(MAX(0,Funding!X13),MAX(0,Funding!X10+Funding!X12))+MIN(MAX(0,Funding!X24),MAX(0,Funding!X21+Funding!X23))+MIN(MAX(0,Funding!X35),MAX(0,Funding!X32+Funding!X34))</f>
        <v>0</v>
      </c>
      <c r="Y30" s="105" t="n">
        <f aca="false">MIN(MAX(0,Funding!Y13),MAX(0,Funding!Y10+Funding!Y12))+MIN(MAX(0,Funding!Y24),MAX(0,Funding!Y21+Funding!Y23))+MIN(MAX(0,Funding!Y35),MAX(0,Funding!Y32+Funding!Y34))</f>
        <v>0</v>
      </c>
      <c r="Z30" s="105" t="n">
        <f aca="false">MIN(MAX(0,Funding!Z13),MAX(0,Funding!Z10+Funding!Z12))+MIN(MAX(0,Funding!Z24),MAX(0,Funding!Z21+Funding!Z23))+MIN(MAX(0,Funding!Z35),MAX(0,Funding!Z32+Funding!Z34))</f>
        <v>0</v>
      </c>
      <c r="AA30" s="105" t="n">
        <f aca="false">MIN(MAX(0,Funding!AA13),MAX(0,Funding!AA10+Funding!AA12))+MIN(MAX(0,Funding!AA24),MAX(0,Funding!AA21+Funding!AA23))+MIN(MAX(0,Funding!AA35),MAX(0,Funding!AA32+Funding!AA34))</f>
        <v>0</v>
      </c>
      <c r="AB30" s="105" t="n">
        <f aca="false">MIN(MAX(0,Funding!AB13),MAX(0,Funding!AB10+Funding!AB12))+MIN(MAX(0,Funding!AB24),MAX(0,Funding!AB21+Funding!AB23))+MIN(MAX(0,Funding!AB35),MAX(0,Funding!AB32+Funding!AB34))</f>
        <v>0</v>
      </c>
      <c r="AC30" s="105" t="n">
        <f aca="false">MIN(MAX(0,Funding!AC13),MAX(0,Funding!AC10+Funding!AC12))+MIN(MAX(0,Funding!AC24),MAX(0,Funding!AC21+Funding!AC23))+MIN(MAX(0,Funding!AC35),MAX(0,Funding!AC32+Funding!AC34))</f>
        <v>0</v>
      </c>
      <c r="AD30" s="105" t="n">
        <f aca="false">MIN(MAX(0,Funding!AD13),MAX(0,Funding!AD10+Funding!AD12))+MIN(MAX(0,Funding!AD24),MAX(0,Funding!AD21+Funding!AD23))+MIN(MAX(0,Funding!AD35),MAX(0,Funding!AD32+Funding!AD34))</f>
        <v>0</v>
      </c>
      <c r="AE30" s="105" t="n">
        <f aca="false">MIN(MAX(0,Funding!AE13),MAX(0,Funding!AE10+Funding!AE12))+MIN(MAX(0,Funding!AE24),MAX(0,Funding!AE21+Funding!AE23))+MIN(MAX(0,Funding!AE35),MAX(0,Funding!AE32+Funding!AE34))</f>
        <v>0</v>
      </c>
      <c r="AF30" s="105" t="n">
        <f aca="false">MIN(MAX(0,Funding!AF13),MAX(0,Funding!AF10+Funding!AF12))+MIN(MAX(0,Funding!AF24),MAX(0,Funding!AF21+Funding!AF23))+MIN(MAX(0,Funding!AF35),MAX(0,Funding!AF32+Funding!AF34))</f>
        <v>0</v>
      </c>
      <c r="AG30" s="105" t="n">
        <f aca="false">MIN(MAX(0,Funding!AG13),MAX(0,Funding!AG10+Funding!AG12))+MIN(MAX(0,Funding!AG24),MAX(0,Funding!AG21+Funding!AG23))+MIN(MAX(0,Funding!AG35),MAX(0,Funding!AG32+Funding!AG34))</f>
        <v>184.426999816</v>
      </c>
      <c r="AH30" s="105" t="n">
        <f aca="false">MIN(MAX(0,Funding!AH13),MAX(0,Funding!AH10+Funding!AH12))+MIN(MAX(0,Funding!AH24),MAX(0,Funding!AH21+Funding!AH23))+MIN(MAX(0,Funding!AH35),MAX(0,Funding!AH32+Funding!AH34))</f>
        <v>0</v>
      </c>
      <c r="AI30" s="105" t="n">
        <f aca="false">MIN(MAX(0,Funding!AI13),MAX(0,Funding!AI10+Funding!AI12))+MIN(MAX(0,Funding!AI24),MAX(0,Funding!AI21+Funding!AI23))+MIN(MAX(0,Funding!AI35),MAX(0,Funding!AI32+Funding!AI34))</f>
        <v>0</v>
      </c>
      <c r="AJ30" s="105" t="n">
        <f aca="false">MIN(MAX(0,Funding!AJ13),MAX(0,Funding!AJ10+Funding!AJ12))+MIN(MAX(0,Funding!AJ24),MAX(0,Funding!AJ21+Funding!AJ23))+MIN(MAX(0,Funding!AJ35),MAX(0,Funding!AJ32+Funding!AJ34))</f>
        <v>0</v>
      </c>
      <c r="AK30" s="105" t="n">
        <f aca="false">MIN(MAX(0,Funding!AK13),MAX(0,Funding!AK10+Funding!AK12))+MIN(MAX(0,Funding!AK24),MAX(0,Funding!AK21+Funding!AK23))+MIN(MAX(0,Funding!AK35),MAX(0,Funding!AK32+Funding!AK34))</f>
        <v>0</v>
      </c>
      <c r="AL30" s="105" t="n">
        <f aca="false">MIN(MAX(0,Funding!AL13),MAX(0,Funding!AL10+Funding!AL12))+MIN(MAX(0,Funding!AL24),MAX(0,Funding!AL21+Funding!AL23))+MIN(MAX(0,Funding!AL35),MAX(0,Funding!AL32+Funding!AL34))</f>
        <v>0</v>
      </c>
      <c r="AM30" s="105" t="n">
        <f aca="false">MIN(MAX(0,Funding!AM13),MAX(0,Funding!AM10+Funding!AM12))+MIN(MAX(0,Funding!AM24),MAX(0,Funding!AM21+Funding!AM23))+MIN(MAX(0,Funding!AM35),MAX(0,Funding!AM32+Funding!AM34))</f>
        <v>0</v>
      </c>
    </row>
    <row r="31" customFormat="false" ht="23" hidden="false" customHeight="true" outlineLevel="0" collapsed="false">
      <c r="C31" s="103" t="s">
        <v>5275</v>
      </c>
      <c r="D31" s="105"/>
      <c r="E31" s="105"/>
      <c r="F31" s="105"/>
      <c r="G31" s="105"/>
      <c r="H31" s="105"/>
      <c r="I31" s="105"/>
      <c r="J31" s="105" t="n">
        <f aca="false">J28-J29-J30</f>
        <v>1139.6766486315</v>
      </c>
      <c r="K31" s="105" t="n">
        <f aca="false">K28-K29-K30</f>
        <v>1516.94409800519</v>
      </c>
      <c r="L31" s="105" t="n">
        <f aca="false">L28-L29-L30</f>
        <v>1609.87427757109</v>
      </c>
      <c r="M31" s="105" t="n">
        <f aca="false">M28-M29-M30</f>
        <v>1761.04733343031</v>
      </c>
      <c r="N31" s="105" t="n">
        <f aca="false">N28-N29-N30</f>
        <v>2381.04523594008</v>
      </c>
      <c r="O31" s="105" t="n">
        <f aca="false">O28-O29-O30</f>
        <v>2313.69615907765</v>
      </c>
      <c r="P31" s="105" t="n">
        <f aca="false">P28-P29-P30</f>
        <v>3137.85291868873</v>
      </c>
      <c r="Q31" s="105" t="n">
        <f aca="false">Q28-Q29-Q30</f>
        <v>3861.91326721348</v>
      </c>
      <c r="R31" s="105" t="n">
        <f aca="false">R28-R29-R30</f>
        <v>3227.16628570818</v>
      </c>
      <c r="S31" s="105" t="n">
        <f aca="false">S28-S29-S30</f>
        <v>4120.02966173627</v>
      </c>
      <c r="T31" s="105" t="n">
        <f aca="false">T28-T29-T30</f>
        <v>4235.3578656444</v>
      </c>
      <c r="U31" s="105" t="n">
        <f aca="false">U28-U29-U30</f>
        <v>947.778974614788</v>
      </c>
      <c r="V31" s="105" t="n">
        <f aca="false">V28-V29-V30</f>
        <v>948.146180699956</v>
      </c>
      <c r="W31" s="105" t="n">
        <f aca="false">W28-W29-W30</f>
        <v>1501.21960412941</v>
      </c>
      <c r="X31" s="105" t="n">
        <f aca="false">X28-X29-X30</f>
        <v>1803.63125758342</v>
      </c>
      <c r="Y31" s="105" t="n">
        <f aca="false">Y28-Y29-Y30</f>
        <v>1942.91340916468</v>
      </c>
      <c r="Z31" s="105" t="n">
        <f aca="false">Z28-Z29-Z30</f>
        <v>2579.42338691248</v>
      </c>
      <c r="AA31" s="105" t="n">
        <f aca="false">AA28-AA29-AA30</f>
        <v>2495.31794304958</v>
      </c>
      <c r="AB31" s="105" t="n">
        <f aca="false">AB28-AB29-AB30</f>
        <v>3345.75619567448</v>
      </c>
      <c r="AC31" s="105" t="n">
        <f aca="false">AC28-AC29-AC30</f>
        <v>3887.09276613206</v>
      </c>
      <c r="AD31" s="105" t="n">
        <f aca="false">AD28-AD29-AD30</f>
        <v>3526.09216158177</v>
      </c>
      <c r="AE31" s="105" t="n">
        <f aca="false">AE28-AE29-AE30</f>
        <v>4320.83520254244</v>
      </c>
      <c r="AF31" s="105" t="n">
        <f aca="false">AF28-AF29-AF30</f>
        <v>4433.98750862888</v>
      </c>
      <c r="AG31" s="105" t="n">
        <f aca="false">AG28-AG29-AG30</f>
        <v>995.396165630931</v>
      </c>
      <c r="AH31" s="105" t="n">
        <f aca="false">AH28-AH29-AH30</f>
        <v>981.084018946023</v>
      </c>
      <c r="AI31" s="105" t="n">
        <f aca="false">AI28-AI29-AI30</f>
        <v>1541.79098047791</v>
      </c>
      <c r="AJ31" s="105" t="n">
        <f aca="false">AJ28-AJ29-AJ30</f>
        <v>1853.42539580715</v>
      </c>
      <c r="AK31" s="105" t="n">
        <f aca="false">AK28-AK29-AK30</f>
        <v>1979.91557863831</v>
      </c>
      <c r="AL31" s="105" t="n">
        <f aca="false">AL28-AL29-AL30</f>
        <v>2632.30200254895</v>
      </c>
      <c r="AM31" s="105" t="n">
        <f aca="false">AM28-AM29-AM30</f>
        <v>2533.47797737355</v>
      </c>
    </row>
    <row r="32" customFormat="false" ht="23" hidden="false" customHeight="true" outlineLevel="0" collapsed="false">
      <c r="C32" s="103" t="s">
        <v>5276</v>
      </c>
      <c r="D32" s="105"/>
      <c r="E32" s="105"/>
      <c r="F32" s="105"/>
      <c r="G32" s="105"/>
      <c r="H32" s="105"/>
      <c r="I32" s="105"/>
      <c r="J32" s="105" t="n">
        <f aca="false">MIN(MAX(0,J10),MAX(0,J26))</f>
        <v>0</v>
      </c>
      <c r="K32" s="105" t="n">
        <f aca="false">MIN(MAX(0,K10),MAX(0,K26))</f>
        <v>0</v>
      </c>
      <c r="L32" s="105" t="n">
        <f aca="false">MIN(MAX(0,L10),MAX(0,L26))</f>
        <v>0</v>
      </c>
      <c r="M32" s="105" t="n">
        <f aca="false">MIN(MAX(0,M10),MAX(0,M26))</f>
        <v>0</v>
      </c>
      <c r="N32" s="105" t="n">
        <f aca="false">MIN(MAX(0,N10),MAX(0,N26))</f>
        <v>0</v>
      </c>
      <c r="O32" s="105" t="n">
        <f aca="false">MIN(MAX(0,O10),MAX(0,O26))</f>
        <v>0</v>
      </c>
      <c r="P32" s="105" t="n">
        <f aca="false">MIN(MAX(0,P10),MAX(0,P26))</f>
        <v>0</v>
      </c>
      <c r="Q32" s="105" t="n">
        <f aca="false">MIN(MAX(0,Q10),MAX(0,Q26))</f>
        <v>0</v>
      </c>
      <c r="R32" s="105" t="n">
        <f aca="false">MIN(MAX(0,R10),MAX(0,R26))</f>
        <v>0</v>
      </c>
      <c r="S32" s="105" t="n">
        <f aca="false">MIN(MAX(0,S10),MAX(0,S26))</f>
        <v>0</v>
      </c>
      <c r="T32" s="105" t="n">
        <f aca="false">MIN(MAX(0,T10),MAX(0,T26))</f>
        <v>0</v>
      </c>
      <c r="U32" s="105" t="n">
        <f aca="false">MIN(MAX(0,U10),MAX(0,U26))</f>
        <v>1500</v>
      </c>
      <c r="V32" s="105" t="n">
        <f aca="false">MIN(MAX(0,V10),MAX(0,V26))</f>
        <v>0</v>
      </c>
      <c r="W32" s="105" t="n">
        <f aca="false">MIN(MAX(0,W10),MAX(0,W26))</f>
        <v>0</v>
      </c>
      <c r="X32" s="105" t="n">
        <f aca="false">MIN(MAX(0,X10),MAX(0,X26))</f>
        <v>0</v>
      </c>
      <c r="Y32" s="105" t="n">
        <f aca="false">MIN(MAX(0,Y10),MAX(0,Y26))</f>
        <v>0</v>
      </c>
      <c r="Z32" s="105" t="n">
        <f aca="false">MIN(MAX(0,Z10),MAX(0,Z26))</f>
        <v>0</v>
      </c>
      <c r="AA32" s="105" t="n">
        <f aca="false">MIN(MAX(0,AA10),MAX(0,AA26))</f>
        <v>0</v>
      </c>
      <c r="AB32" s="105" t="n">
        <f aca="false">MIN(MAX(0,AB10),MAX(0,AB26))</f>
        <v>0</v>
      </c>
      <c r="AC32" s="105" t="n">
        <f aca="false">MIN(MAX(0,AC10),MAX(0,AC26))</f>
        <v>0</v>
      </c>
      <c r="AD32" s="105" t="n">
        <f aca="false">MIN(MAX(0,AD10),MAX(0,AD26))</f>
        <v>0</v>
      </c>
      <c r="AE32" s="105" t="n">
        <f aca="false">MIN(MAX(0,AE10),MAX(0,AE26))</f>
        <v>0</v>
      </c>
      <c r="AF32" s="105" t="n">
        <f aca="false">MIN(MAX(0,AF10),MAX(0,AF26))</f>
        <v>0</v>
      </c>
      <c r="AG32" s="105" t="n">
        <f aca="false">MIN(MAX(0,AG10),MAX(0,AG26))</f>
        <v>1500</v>
      </c>
      <c r="AH32" s="105" t="n">
        <f aca="false">MIN(MAX(0,AH10),MAX(0,AH26))</f>
        <v>0</v>
      </c>
      <c r="AI32" s="105" t="n">
        <f aca="false">MIN(MAX(0,AI10),MAX(0,AI26))</f>
        <v>0</v>
      </c>
      <c r="AJ32" s="105" t="n">
        <f aca="false">MIN(MAX(0,AJ10),MAX(0,AJ26))</f>
        <v>0</v>
      </c>
      <c r="AK32" s="105" t="n">
        <f aca="false">MIN(MAX(0,AK10),MAX(0,AK26))</f>
        <v>0</v>
      </c>
      <c r="AL32" s="105" t="n">
        <f aca="false">MIN(MAX(0,AL10),MAX(0,AL26))</f>
        <v>0</v>
      </c>
      <c r="AM32" s="105" t="n">
        <f aca="false">MIN(MAX(0,AM10),MAX(0,AM26))</f>
        <v>0</v>
      </c>
    </row>
    <row r="33" customFormat="false" ht="23" hidden="false" customHeight="true" outlineLevel="0" collapsed="false">
      <c r="C33" s="103" t="s">
        <v>5277</v>
      </c>
      <c r="D33" s="105"/>
      <c r="E33" s="105"/>
      <c r="F33" s="105"/>
      <c r="G33" s="105"/>
      <c r="H33" s="105"/>
      <c r="I33" s="105"/>
      <c r="J33" s="105" t="n">
        <f aca="false">MAX(MAX(0,Inputs!J56),IF(J11=1,MAX(0,J9-J31),0))</f>
        <v>0</v>
      </c>
      <c r="K33" s="105" t="n">
        <f aca="false">MAX(MAX(0,Inputs!K56),IF(K11=1,MAX(0,K9-K31),0))</f>
        <v>0</v>
      </c>
      <c r="L33" s="105" t="n">
        <f aca="false">MAX(MAX(0,Inputs!L56),IF(L11=1,MAX(0,L9-L31),0))</f>
        <v>0</v>
      </c>
      <c r="M33" s="105" t="n">
        <f aca="false">MAX(MAX(0,Inputs!M56),IF(M11=1,MAX(0,M9-M31),0))</f>
        <v>0</v>
      </c>
      <c r="N33" s="105" t="n">
        <f aca="false">MAX(MAX(0,Inputs!N56),IF(N11=1,MAX(0,N9-N31),0))</f>
        <v>0</v>
      </c>
      <c r="O33" s="105" t="n">
        <f aca="false">MAX(MAX(0,Inputs!O56),IF(O11=1,MAX(0,O9-O31),0))</f>
        <v>0</v>
      </c>
      <c r="P33" s="105" t="n">
        <f aca="false">MAX(MAX(0,Inputs!P56),IF(P11=1,MAX(0,P9-P31),0))</f>
        <v>0</v>
      </c>
      <c r="Q33" s="105" t="n">
        <f aca="false">MAX(MAX(0,Inputs!Q56),IF(Q11=1,MAX(0,Q9-Q31),0))</f>
        <v>0</v>
      </c>
      <c r="R33" s="105" t="n">
        <f aca="false">MAX(MAX(0,Inputs!R56),IF(R11=1,MAX(0,R9-R31),0))</f>
        <v>0</v>
      </c>
      <c r="S33" s="105" t="n">
        <f aca="false">MAX(MAX(0,Inputs!S56),IF(S11=1,MAX(0,S9-S31),0))</f>
        <v>0</v>
      </c>
      <c r="T33" s="105" t="n">
        <f aca="false">MAX(MAX(0,Inputs!T56),IF(T11=1,MAX(0,T9-T31),0))</f>
        <v>0</v>
      </c>
      <c r="U33" s="105" t="n">
        <f aca="false">MAX(MAX(0,Inputs!U56),IF(U11=1,MAX(0,U9-U31),0))</f>
        <v>0</v>
      </c>
      <c r="V33" s="105" t="n">
        <f aca="false">MAX(MAX(0,Inputs!V56),IF(V11=1,MAX(0,V9-V31),0))</f>
        <v>0</v>
      </c>
      <c r="W33" s="105" t="n">
        <f aca="false">MAX(MAX(0,Inputs!W56),IF(W11=1,MAX(0,W9-W31),0))</f>
        <v>0</v>
      </c>
      <c r="X33" s="105" t="n">
        <f aca="false">MAX(MAX(0,Inputs!X56),IF(X11=1,MAX(0,X9-X31),0))</f>
        <v>0</v>
      </c>
      <c r="Y33" s="105" t="n">
        <f aca="false">MAX(MAX(0,Inputs!Y56),IF(Y11=1,MAX(0,Y9-Y31),0))</f>
        <v>0</v>
      </c>
      <c r="Z33" s="105" t="n">
        <f aca="false">MAX(MAX(0,Inputs!Z56),IF(Z11=1,MAX(0,Z9-Z31),0))</f>
        <v>0</v>
      </c>
      <c r="AA33" s="105" t="n">
        <f aca="false">MAX(MAX(0,Inputs!AA56),IF(AA11=1,MAX(0,AA9-AA31),0))</f>
        <v>0</v>
      </c>
      <c r="AB33" s="105" t="n">
        <f aca="false">MAX(MAX(0,Inputs!AB56),IF(AB11=1,MAX(0,AB9-AB31),0))</f>
        <v>0</v>
      </c>
      <c r="AC33" s="105" t="n">
        <f aca="false">MAX(MAX(0,Inputs!AC56),IF(AC11=1,MAX(0,AC9-AC31),0))</f>
        <v>0</v>
      </c>
      <c r="AD33" s="105" t="n">
        <f aca="false">MAX(MAX(0,Inputs!AD56),IF(AD11=1,MAX(0,AD9-AD31),0))</f>
        <v>0</v>
      </c>
      <c r="AE33" s="105" t="n">
        <f aca="false">MAX(MAX(0,Inputs!AE56),IF(AE11=1,MAX(0,AE9-AE31),0))</f>
        <v>0</v>
      </c>
      <c r="AF33" s="105" t="n">
        <f aca="false">MAX(MAX(0,Inputs!AF56),IF(AF11=1,MAX(0,AF9-AF31),0))</f>
        <v>0</v>
      </c>
      <c r="AG33" s="105" t="n">
        <f aca="false">MAX(MAX(0,Inputs!AG56),IF(AG11=1,MAX(0,AG9-AG31),0))</f>
        <v>0</v>
      </c>
      <c r="AH33" s="105" t="n">
        <f aca="false">MAX(MAX(0,Inputs!AH56),IF(AH11=1,MAX(0,AH9-AH31),0))</f>
        <v>0</v>
      </c>
      <c r="AI33" s="105" t="n">
        <f aca="false">MAX(MAX(0,Inputs!AI56),IF(AI11=1,MAX(0,AI9-AI31),0))</f>
        <v>0</v>
      </c>
      <c r="AJ33" s="105" t="n">
        <f aca="false">MAX(MAX(0,Inputs!AJ56),IF(AJ11=1,MAX(0,AJ9-AJ31),0))</f>
        <v>0</v>
      </c>
      <c r="AK33" s="105" t="n">
        <f aca="false">MAX(MAX(0,Inputs!AK56),IF(AK11=1,MAX(0,AK9-AK31),0))</f>
        <v>0</v>
      </c>
      <c r="AL33" s="105" t="n">
        <f aca="false">MAX(MAX(0,Inputs!AL56),IF(AL11=1,MAX(0,AL9-AL31),0))</f>
        <v>0</v>
      </c>
      <c r="AM33" s="105" t="n">
        <f aca="false">MAX(MAX(0,Inputs!AM56),IF(AM11=1,MAX(0,AM9-AM31),0))</f>
        <v>0</v>
      </c>
    </row>
    <row r="34" customFormat="false" ht="23" hidden="false" customHeight="true" outlineLevel="0" collapsed="false">
      <c r="C34" s="114" t="s">
        <v>5278</v>
      </c>
      <c r="D34" s="115"/>
      <c r="E34" s="115"/>
      <c r="F34" s="115"/>
      <c r="G34" s="115"/>
      <c r="H34" s="115"/>
      <c r="I34" s="115"/>
      <c r="J34" s="115" t="n">
        <f aca="false">MIN(J33,J32)</f>
        <v>0</v>
      </c>
      <c r="K34" s="115" t="n">
        <f aca="false">MIN(K33,K32)</f>
        <v>0</v>
      </c>
      <c r="L34" s="115" t="n">
        <f aca="false">MIN(L33,L32)</f>
        <v>0</v>
      </c>
      <c r="M34" s="115" t="n">
        <f aca="false">MIN(M33,M32)</f>
        <v>0</v>
      </c>
      <c r="N34" s="115" t="n">
        <f aca="false">MIN(N33,N32)</f>
        <v>0</v>
      </c>
      <c r="O34" s="115" t="n">
        <f aca="false">MIN(O33,O32)</f>
        <v>0</v>
      </c>
      <c r="P34" s="115" t="n">
        <f aca="false">MIN(P33,P32)</f>
        <v>0</v>
      </c>
      <c r="Q34" s="115" t="n">
        <f aca="false">MIN(Q33,Q32)</f>
        <v>0</v>
      </c>
      <c r="R34" s="115" t="n">
        <f aca="false">MIN(R33,R32)</f>
        <v>0</v>
      </c>
      <c r="S34" s="115" t="n">
        <f aca="false">MIN(S33,S32)</f>
        <v>0</v>
      </c>
      <c r="T34" s="115" t="n">
        <f aca="false">MIN(T33,T32)</f>
        <v>0</v>
      </c>
      <c r="U34" s="115" t="n">
        <f aca="false">MIN(U33,U32)</f>
        <v>0</v>
      </c>
      <c r="V34" s="115" t="n">
        <f aca="false">MIN(V33,V32)</f>
        <v>0</v>
      </c>
      <c r="W34" s="115" t="n">
        <f aca="false">MIN(W33,W32)</f>
        <v>0</v>
      </c>
      <c r="X34" s="115" t="n">
        <f aca="false">MIN(X33,X32)</f>
        <v>0</v>
      </c>
      <c r="Y34" s="115" t="n">
        <f aca="false">MIN(Y33,Y32)</f>
        <v>0</v>
      </c>
      <c r="Z34" s="115" t="n">
        <f aca="false">MIN(Z33,Z32)</f>
        <v>0</v>
      </c>
      <c r="AA34" s="115" t="n">
        <f aca="false">MIN(AA33,AA32)</f>
        <v>0</v>
      </c>
      <c r="AB34" s="115" t="n">
        <f aca="false">MIN(AB33,AB32)</f>
        <v>0</v>
      </c>
      <c r="AC34" s="115" t="n">
        <f aca="false">MIN(AC33,AC32)</f>
        <v>0</v>
      </c>
      <c r="AD34" s="115" t="n">
        <f aca="false">MIN(AD33,AD32)</f>
        <v>0</v>
      </c>
      <c r="AE34" s="115" t="n">
        <f aca="false">MIN(AE33,AE32)</f>
        <v>0</v>
      </c>
      <c r="AF34" s="115" t="n">
        <f aca="false">MIN(AF33,AF32)</f>
        <v>0</v>
      </c>
      <c r="AG34" s="115" t="n">
        <f aca="false">MIN(AG33,AG32)</f>
        <v>0</v>
      </c>
      <c r="AH34" s="115" t="n">
        <f aca="false">MIN(AH33,AH32)</f>
        <v>0</v>
      </c>
      <c r="AI34" s="115" t="n">
        <f aca="false">MIN(AI33,AI32)</f>
        <v>0</v>
      </c>
      <c r="AJ34" s="115" t="n">
        <f aca="false">MIN(AJ33,AJ32)</f>
        <v>0</v>
      </c>
      <c r="AK34" s="115" t="n">
        <f aca="false">MIN(AK33,AK32)</f>
        <v>0</v>
      </c>
      <c r="AL34" s="115" t="n">
        <f aca="false">MIN(AL33,AL32)</f>
        <v>0</v>
      </c>
      <c r="AM34" s="115" t="n">
        <f aca="false">MIN(AM33,AM32)</f>
        <v>0</v>
      </c>
    </row>
    <row r="35" customFormat="false" ht="23" hidden="false" customHeight="true" outlineLevel="0" collapsed="false">
      <c r="C35" s="103" t="s">
        <v>5279</v>
      </c>
      <c r="D35" s="105"/>
      <c r="E35" s="105"/>
      <c r="F35" s="105"/>
      <c r="G35" s="105"/>
      <c r="H35" s="105"/>
      <c r="I35" s="105"/>
      <c r="J35" s="105" t="n">
        <f aca="false">MAX(0,J33-J34)</f>
        <v>0</v>
      </c>
      <c r="K35" s="105" t="n">
        <f aca="false">MAX(0,K33-K34)</f>
        <v>0</v>
      </c>
      <c r="L35" s="105" t="n">
        <f aca="false">MAX(0,L33-L34)</f>
        <v>0</v>
      </c>
      <c r="M35" s="105" t="n">
        <f aca="false">MAX(0,M33-M34)</f>
        <v>0</v>
      </c>
      <c r="N35" s="105" t="n">
        <f aca="false">MAX(0,N33-N34)</f>
        <v>0</v>
      </c>
      <c r="O35" s="105" t="n">
        <f aca="false">MAX(0,O33-O34)</f>
        <v>0</v>
      </c>
      <c r="P35" s="105" t="n">
        <f aca="false">MAX(0,P33-P34)</f>
        <v>0</v>
      </c>
      <c r="Q35" s="105" t="n">
        <f aca="false">MAX(0,Q33-Q34)</f>
        <v>0</v>
      </c>
      <c r="R35" s="105" t="n">
        <f aca="false">MAX(0,R33-R34)</f>
        <v>0</v>
      </c>
      <c r="S35" s="105" t="n">
        <f aca="false">MAX(0,S33-S34)</f>
        <v>0</v>
      </c>
      <c r="T35" s="105" t="n">
        <f aca="false">MAX(0,T33-T34)</f>
        <v>0</v>
      </c>
      <c r="U35" s="105" t="n">
        <f aca="false">MAX(0,U33-U34)</f>
        <v>0</v>
      </c>
      <c r="V35" s="105" t="n">
        <f aca="false">MAX(0,V33-V34)</f>
        <v>0</v>
      </c>
      <c r="W35" s="105" t="n">
        <f aca="false">MAX(0,W33-W34)</f>
        <v>0</v>
      </c>
      <c r="X35" s="105" t="n">
        <f aca="false">MAX(0,X33-X34)</f>
        <v>0</v>
      </c>
      <c r="Y35" s="105" t="n">
        <f aca="false">MAX(0,Y33-Y34)</f>
        <v>0</v>
      </c>
      <c r="Z35" s="105" t="n">
        <f aca="false">MAX(0,Z33-Z34)</f>
        <v>0</v>
      </c>
      <c r="AA35" s="105" t="n">
        <f aca="false">MAX(0,AA33-AA34)</f>
        <v>0</v>
      </c>
      <c r="AB35" s="105" t="n">
        <f aca="false">MAX(0,AB33-AB34)</f>
        <v>0</v>
      </c>
      <c r="AC35" s="105" t="n">
        <f aca="false">MAX(0,AC33-AC34)</f>
        <v>0</v>
      </c>
      <c r="AD35" s="105" t="n">
        <f aca="false">MAX(0,AD33-AD34)</f>
        <v>0</v>
      </c>
      <c r="AE35" s="105" t="n">
        <f aca="false">MAX(0,AE33-AE34)</f>
        <v>0</v>
      </c>
      <c r="AF35" s="105" t="n">
        <f aca="false">MAX(0,AF33-AF34)</f>
        <v>0</v>
      </c>
      <c r="AG35" s="105" t="n">
        <f aca="false">MAX(0,AG33-AG34)</f>
        <v>0</v>
      </c>
      <c r="AH35" s="105" t="n">
        <f aca="false">MAX(0,AH33-AH34)</f>
        <v>0</v>
      </c>
      <c r="AI35" s="105" t="n">
        <f aca="false">MAX(0,AI33-AI34)</f>
        <v>0</v>
      </c>
      <c r="AJ35" s="105" t="n">
        <f aca="false">MAX(0,AJ33-AJ34)</f>
        <v>0</v>
      </c>
      <c r="AK35" s="105" t="n">
        <f aca="false">MAX(0,AK33-AK34)</f>
        <v>0</v>
      </c>
      <c r="AL35" s="105" t="n">
        <f aca="false">MAX(0,AL33-AL34)</f>
        <v>0</v>
      </c>
      <c r="AM35" s="105" t="n">
        <f aca="false">MAX(0,AM33-AM34)</f>
        <v>0</v>
      </c>
    </row>
    <row r="36" customFormat="false" ht="23" hidden="false" customHeight="true" outlineLevel="0" collapsed="false">
      <c r="C36" s="103" t="s">
        <v>5280</v>
      </c>
      <c r="D36" s="105"/>
      <c r="E36" s="105"/>
      <c r="F36" s="105"/>
      <c r="G36" s="105"/>
      <c r="H36" s="105"/>
      <c r="I36" s="105"/>
      <c r="J36" s="105" t="n">
        <f aca="false">J31+J34</f>
        <v>1139.6766486315</v>
      </c>
      <c r="K36" s="105" t="n">
        <f aca="false">K31+K34</f>
        <v>1516.94409800519</v>
      </c>
      <c r="L36" s="105" t="n">
        <f aca="false">L31+L34</f>
        <v>1609.87427757109</v>
      </c>
      <c r="M36" s="105" t="n">
        <f aca="false">M31+M34</f>
        <v>1761.04733343031</v>
      </c>
      <c r="N36" s="105" t="n">
        <f aca="false">N31+N34</f>
        <v>2381.04523594008</v>
      </c>
      <c r="O36" s="105" t="n">
        <f aca="false">O31+O34</f>
        <v>2313.69615907765</v>
      </c>
      <c r="P36" s="105" t="n">
        <f aca="false">P31+P34</f>
        <v>3137.85291868873</v>
      </c>
      <c r="Q36" s="105" t="n">
        <f aca="false">Q31+Q34</f>
        <v>3861.91326721348</v>
      </c>
      <c r="R36" s="105" t="n">
        <f aca="false">R31+R34</f>
        <v>3227.16628570818</v>
      </c>
      <c r="S36" s="105" t="n">
        <f aca="false">S31+S34</f>
        <v>4120.02966173627</v>
      </c>
      <c r="T36" s="105" t="n">
        <f aca="false">T31+T34</f>
        <v>4235.3578656444</v>
      </c>
      <c r="U36" s="105" t="n">
        <f aca="false">U31+U34</f>
        <v>947.778974614788</v>
      </c>
      <c r="V36" s="105" t="n">
        <f aca="false">V31+V34</f>
        <v>948.146180699956</v>
      </c>
      <c r="W36" s="105" t="n">
        <f aca="false">W31+W34</f>
        <v>1501.21960412941</v>
      </c>
      <c r="X36" s="105" t="n">
        <f aca="false">X31+X34</f>
        <v>1803.63125758342</v>
      </c>
      <c r="Y36" s="105" t="n">
        <f aca="false">Y31+Y34</f>
        <v>1942.91340916468</v>
      </c>
      <c r="Z36" s="105" t="n">
        <f aca="false">Z31+Z34</f>
        <v>2579.42338691248</v>
      </c>
      <c r="AA36" s="105" t="n">
        <f aca="false">AA31+AA34</f>
        <v>2495.31794304958</v>
      </c>
      <c r="AB36" s="105" t="n">
        <f aca="false">AB31+AB34</f>
        <v>3345.75619567448</v>
      </c>
      <c r="AC36" s="105" t="n">
        <f aca="false">AC31+AC34</f>
        <v>3887.09276613206</v>
      </c>
      <c r="AD36" s="105" t="n">
        <f aca="false">AD31+AD34</f>
        <v>3526.09216158177</v>
      </c>
      <c r="AE36" s="105" t="n">
        <f aca="false">AE31+AE34</f>
        <v>4320.83520254244</v>
      </c>
      <c r="AF36" s="105" t="n">
        <f aca="false">AF31+AF34</f>
        <v>4433.98750862888</v>
      </c>
      <c r="AG36" s="105" t="n">
        <f aca="false">AG31+AG34</f>
        <v>995.396165630931</v>
      </c>
      <c r="AH36" s="105" t="n">
        <f aca="false">AH31+AH34</f>
        <v>981.084018946023</v>
      </c>
      <c r="AI36" s="105" t="n">
        <f aca="false">AI31+AI34</f>
        <v>1541.79098047791</v>
      </c>
      <c r="AJ36" s="105" t="n">
        <f aca="false">AJ31+AJ34</f>
        <v>1853.42539580715</v>
      </c>
      <c r="AK36" s="105" t="n">
        <f aca="false">AK31+AK34</f>
        <v>1979.91557863831</v>
      </c>
      <c r="AL36" s="105" t="n">
        <f aca="false">AL31+AL34</f>
        <v>2632.30200254895</v>
      </c>
      <c r="AM36" s="105" t="n">
        <f aca="false">AM31+AM34</f>
        <v>2533.47797737355</v>
      </c>
    </row>
    <row r="37" customFormat="false" ht="23" hidden="false" customHeight="true" outlineLevel="0" collapsed="false">
      <c r="C37" s="103" t="s">
        <v>5281</v>
      </c>
      <c r="D37" s="105"/>
      <c r="E37" s="105"/>
      <c r="F37" s="105"/>
      <c r="G37" s="105"/>
      <c r="H37" s="105"/>
      <c r="I37" s="105"/>
      <c r="J37" s="105" t="n">
        <f aca="false">MAX(0,J12)</f>
        <v>500</v>
      </c>
      <c r="K37" s="105" t="n">
        <f aca="false">MAX(0,K12)</f>
        <v>500</v>
      </c>
      <c r="L37" s="105" t="n">
        <f aca="false">MAX(0,L12)</f>
        <v>500</v>
      </c>
      <c r="M37" s="105" t="n">
        <f aca="false">MAX(0,M12)</f>
        <v>500</v>
      </c>
      <c r="N37" s="105" t="n">
        <f aca="false">MAX(0,N12)</f>
        <v>500</v>
      </c>
      <c r="O37" s="105" t="n">
        <f aca="false">MAX(0,O12)</f>
        <v>500</v>
      </c>
      <c r="P37" s="105" t="n">
        <f aca="false">MAX(0,P12)</f>
        <v>500</v>
      </c>
      <c r="Q37" s="105" t="n">
        <f aca="false">MAX(0,Q12)</f>
        <v>500</v>
      </c>
      <c r="R37" s="105" t="n">
        <f aca="false">MAX(0,R12)</f>
        <v>500</v>
      </c>
      <c r="S37" s="105" t="n">
        <f aca="false">MAX(0,S12)</f>
        <v>500</v>
      </c>
      <c r="T37" s="105" t="n">
        <f aca="false">MAX(0,T12)</f>
        <v>500</v>
      </c>
      <c r="U37" s="105" t="n">
        <f aca="false">MAX(0,U12)</f>
        <v>500</v>
      </c>
      <c r="V37" s="105" t="n">
        <f aca="false">MAX(0,V12)</f>
        <v>500</v>
      </c>
      <c r="W37" s="105" t="n">
        <f aca="false">MAX(0,W12)</f>
        <v>500</v>
      </c>
      <c r="X37" s="105" t="n">
        <f aca="false">MAX(0,X12)</f>
        <v>500</v>
      </c>
      <c r="Y37" s="105" t="n">
        <f aca="false">MAX(0,Y12)</f>
        <v>500</v>
      </c>
      <c r="Z37" s="105" t="n">
        <f aca="false">MAX(0,Z12)</f>
        <v>500</v>
      </c>
      <c r="AA37" s="105" t="n">
        <f aca="false">MAX(0,AA12)</f>
        <v>500</v>
      </c>
      <c r="AB37" s="105" t="n">
        <f aca="false">MAX(0,AB12)</f>
        <v>500</v>
      </c>
      <c r="AC37" s="105" t="n">
        <f aca="false">MAX(0,AC12)</f>
        <v>500</v>
      </c>
      <c r="AD37" s="105" t="n">
        <f aca="false">MAX(0,AD12)</f>
        <v>500</v>
      </c>
      <c r="AE37" s="105" t="n">
        <f aca="false">MAX(0,AE12)</f>
        <v>500</v>
      </c>
      <c r="AF37" s="105" t="n">
        <f aca="false">MAX(0,AF12)</f>
        <v>500</v>
      </c>
      <c r="AG37" s="105" t="n">
        <f aca="false">MAX(0,AG12)</f>
        <v>500</v>
      </c>
      <c r="AH37" s="105" t="n">
        <f aca="false">MAX(0,AH12)</f>
        <v>500</v>
      </c>
      <c r="AI37" s="105" t="n">
        <f aca="false">MAX(0,AI12)</f>
        <v>500</v>
      </c>
      <c r="AJ37" s="105" t="n">
        <f aca="false">MAX(0,AJ12)</f>
        <v>500</v>
      </c>
      <c r="AK37" s="105" t="n">
        <f aca="false">MAX(0,AK12)</f>
        <v>500</v>
      </c>
      <c r="AL37" s="105" t="n">
        <f aca="false">MAX(0,AL12)</f>
        <v>500</v>
      </c>
      <c r="AM37" s="105" t="n">
        <f aca="false">MAX(0,AM12)</f>
        <v>500</v>
      </c>
    </row>
    <row r="38" customFormat="false" ht="23" hidden="false" customHeight="true" outlineLevel="0" collapsed="false">
      <c r="C38" s="103" t="s">
        <v>5282</v>
      </c>
      <c r="D38" s="105"/>
      <c r="E38" s="105"/>
      <c r="F38" s="105"/>
      <c r="G38" s="105"/>
      <c r="H38" s="105"/>
      <c r="I38" s="105"/>
      <c r="J38" s="105" t="n">
        <f aca="false">MAX(0,J37-J25)</f>
        <v>500</v>
      </c>
      <c r="K38" s="105" t="n">
        <f aca="false">MAX(0,K37-K25)</f>
        <v>500</v>
      </c>
      <c r="L38" s="105" t="n">
        <f aca="false">MAX(0,L37-L25)</f>
        <v>500</v>
      </c>
      <c r="M38" s="105" t="n">
        <f aca="false">MAX(0,M37-M25)</f>
        <v>500</v>
      </c>
      <c r="N38" s="105" t="n">
        <f aca="false">MAX(0,N37-N25)</f>
        <v>500</v>
      </c>
      <c r="O38" s="105" t="n">
        <f aca="false">MAX(0,O37-O25)</f>
        <v>500</v>
      </c>
      <c r="P38" s="105" t="n">
        <f aca="false">MAX(0,P37-P25)</f>
        <v>500</v>
      </c>
      <c r="Q38" s="105" t="n">
        <f aca="false">MAX(0,Q37-Q25)</f>
        <v>500</v>
      </c>
      <c r="R38" s="105" t="n">
        <f aca="false">MAX(0,R37-R25)</f>
        <v>500</v>
      </c>
      <c r="S38" s="105" t="n">
        <f aca="false">MAX(0,S37-S25)</f>
        <v>500</v>
      </c>
      <c r="T38" s="105" t="n">
        <f aca="false">MAX(0,T37-T25)</f>
        <v>500</v>
      </c>
      <c r="U38" s="105" t="n">
        <f aca="false">MAX(0,U37-U25)</f>
        <v>500</v>
      </c>
      <c r="V38" s="105" t="n">
        <f aca="false">MAX(0,V37-V25)</f>
        <v>500</v>
      </c>
      <c r="W38" s="105" t="n">
        <f aca="false">MAX(0,W37-W25)</f>
        <v>500</v>
      </c>
      <c r="X38" s="105" t="n">
        <f aca="false">MAX(0,X37-X25)</f>
        <v>500</v>
      </c>
      <c r="Y38" s="105" t="n">
        <f aca="false">MAX(0,Y37-Y25)</f>
        <v>500</v>
      </c>
      <c r="Z38" s="105" t="n">
        <f aca="false">MAX(0,Z37-Z25)</f>
        <v>500</v>
      </c>
      <c r="AA38" s="105" t="n">
        <f aca="false">MAX(0,AA37-AA25)</f>
        <v>500</v>
      </c>
      <c r="AB38" s="105" t="n">
        <f aca="false">MAX(0,AB37-AB25)</f>
        <v>500</v>
      </c>
      <c r="AC38" s="105" t="n">
        <f aca="false">MAX(0,AC37-AC25)</f>
        <v>500</v>
      </c>
      <c r="AD38" s="105" t="n">
        <f aca="false">MAX(0,AD37-AD25)</f>
        <v>500</v>
      </c>
      <c r="AE38" s="105" t="n">
        <f aca="false">MAX(0,AE37-AE25)</f>
        <v>500</v>
      </c>
      <c r="AF38" s="105" t="n">
        <f aca="false">MAX(0,AF37-AF25)</f>
        <v>500</v>
      </c>
      <c r="AG38" s="105" t="n">
        <f aca="false">MAX(0,AG37-AG25)</f>
        <v>500</v>
      </c>
      <c r="AH38" s="105" t="n">
        <f aca="false">MAX(0,AH37-AH25)</f>
        <v>500</v>
      </c>
      <c r="AI38" s="105" t="n">
        <f aca="false">MAX(0,AI37-AI25)</f>
        <v>500</v>
      </c>
      <c r="AJ38" s="105" t="n">
        <f aca="false">MAX(0,AJ37-AJ25)</f>
        <v>500</v>
      </c>
      <c r="AK38" s="105" t="n">
        <f aca="false">MAX(0,AK37-AK25)</f>
        <v>500</v>
      </c>
      <c r="AL38" s="105" t="n">
        <f aca="false">MAX(0,AL37-AL25)</f>
        <v>500</v>
      </c>
      <c r="AM38" s="105" t="n">
        <f aca="false">MAX(0,AM37-AM25)</f>
        <v>500</v>
      </c>
    </row>
    <row r="39" customFormat="false" ht="23" hidden="false" customHeight="true" outlineLevel="0" collapsed="false">
      <c r="C39" s="103" t="s">
        <v>5283</v>
      </c>
      <c r="D39" s="105"/>
      <c r="E39" s="105"/>
      <c r="F39" s="105"/>
      <c r="G39" s="105"/>
      <c r="H39" s="105"/>
      <c r="I39" s="105"/>
      <c r="J39" s="105" t="n">
        <f aca="false">IF(AND(J14=1,J19=1,J$7&gt;=J17,J$7&lt;J16),1,0)</f>
        <v>1</v>
      </c>
      <c r="K39" s="105" t="n">
        <f aca="false">IF(AND(K14=1,K19=1,K$7&gt;=K17,K$7&lt;K16),1,0)</f>
        <v>1</v>
      </c>
      <c r="L39" s="105" t="n">
        <f aca="false">IF(AND(L14=1,L19=1,L$7&gt;=L17,L$7&lt;L16),1,0)</f>
        <v>1</v>
      </c>
      <c r="M39" s="105" t="n">
        <f aca="false">IF(AND(M14=1,M19=1,M$7&gt;=M17,M$7&lt;M16),1,0)</f>
        <v>1</v>
      </c>
      <c r="N39" s="105" t="n">
        <f aca="false">IF(AND(N14=1,N19=1,N$7&gt;=N17,N$7&lt;N16),1,0)</f>
        <v>1</v>
      </c>
      <c r="O39" s="105" t="n">
        <f aca="false">IF(AND(O14=1,O19=1,O$7&gt;=O17,O$7&lt;O16),1,0)</f>
        <v>1</v>
      </c>
      <c r="P39" s="105" t="n">
        <f aca="false">IF(AND(P14=1,P19=1,P$7&gt;=P17,P$7&lt;P16),1,0)</f>
        <v>1</v>
      </c>
      <c r="Q39" s="105" t="n">
        <f aca="false">IF(AND(Q14=1,Q19=1,Q$7&gt;=Q17,Q$7&lt;Q16),1,0)</f>
        <v>1</v>
      </c>
      <c r="R39" s="105" t="n">
        <f aca="false">IF(AND(R14=1,R19=1,R$7&gt;=R17,R$7&lt;R16),1,0)</f>
        <v>1</v>
      </c>
      <c r="S39" s="105" t="n">
        <f aca="false">IF(AND(S14=1,S19=1,S$7&gt;=S17,S$7&lt;S16),1,0)</f>
        <v>1</v>
      </c>
      <c r="T39" s="105" t="n">
        <f aca="false">IF(AND(T14=1,T19=1,T$7&gt;=T17,T$7&lt;T16),1,0)</f>
        <v>1</v>
      </c>
      <c r="U39" s="105" t="n">
        <f aca="false">IF(AND(U14=1,U19=1,U$7&gt;=U17,U$7&lt;U16),1,0)</f>
        <v>1</v>
      </c>
      <c r="V39" s="105" t="n">
        <f aca="false">IF(AND(V14=1,V19=1,V$7&gt;=V17,V$7&lt;V16),1,0)</f>
        <v>1</v>
      </c>
      <c r="W39" s="105" t="n">
        <f aca="false">IF(AND(W14=1,W19=1,W$7&gt;=W17,W$7&lt;W16),1,0)</f>
        <v>1</v>
      </c>
      <c r="X39" s="105" t="n">
        <f aca="false">IF(AND(X14=1,X19=1,X$7&gt;=X17,X$7&lt;X16),1,0)</f>
        <v>1</v>
      </c>
      <c r="Y39" s="105" t="n">
        <f aca="false">IF(AND(Y14=1,Y19=1,Y$7&gt;=Y17,Y$7&lt;Y16),1,0)</f>
        <v>1</v>
      </c>
      <c r="Z39" s="105" t="n">
        <f aca="false">IF(AND(Z14=1,Z19=1,Z$7&gt;=Z17,Z$7&lt;Z16),1,0)</f>
        <v>1</v>
      </c>
      <c r="AA39" s="105" t="n">
        <f aca="false">IF(AND(AA14=1,AA19=1,AA$7&gt;=AA17,AA$7&lt;AA16),1,0)</f>
        <v>1</v>
      </c>
      <c r="AB39" s="105" t="n">
        <f aca="false">IF(AND(AB14=1,AB19=1,AB$7&gt;=AB17,AB$7&lt;AB16),1,0)</f>
        <v>1</v>
      </c>
      <c r="AC39" s="105" t="n">
        <f aca="false">IF(AND(AC14=1,AC19=1,AC$7&gt;=AC17,AC$7&lt;AC16),1,0)</f>
        <v>1</v>
      </c>
      <c r="AD39" s="105" t="n">
        <f aca="false">IF(AND(AD14=1,AD19=1,AD$7&gt;=AD17,AD$7&lt;AD16),1,0)</f>
        <v>1</v>
      </c>
      <c r="AE39" s="105" t="n">
        <f aca="false">IF(AND(AE14=1,AE19=1,AE$7&gt;=AE17,AE$7&lt;AE16),1,0)</f>
        <v>1</v>
      </c>
      <c r="AF39" s="105" t="n">
        <f aca="false">IF(AND(AF14=1,AF19=1,AF$7&gt;=AF17,AF$7&lt;AF16),1,0)</f>
        <v>1</v>
      </c>
      <c r="AG39" s="105" t="n">
        <f aca="false">IF(AND(AG14=1,AG19=1,AG$7&gt;=AG17,AG$7&lt;AG16),1,0)</f>
        <v>1</v>
      </c>
      <c r="AH39" s="105" t="n">
        <f aca="false">IF(AND(AH14=1,AH19=1,AH$7&gt;=AH17,AH$7&lt;AH16),1,0)</f>
        <v>1</v>
      </c>
      <c r="AI39" s="105" t="n">
        <f aca="false">IF(AND(AI14=1,AI19=1,AI$7&gt;=AI17,AI$7&lt;AI16),1,0)</f>
        <v>1</v>
      </c>
      <c r="AJ39" s="105" t="n">
        <f aca="false">IF(AND(AJ14=1,AJ19=1,AJ$7&gt;=AJ17,AJ$7&lt;AJ16),1,0)</f>
        <v>1</v>
      </c>
      <c r="AK39" s="105" t="n">
        <f aca="false">IF(AND(AK14=1,AK19=1,AK$7&gt;=AK17,AK$7&lt;AK16),1,0)</f>
        <v>1</v>
      </c>
      <c r="AL39" s="105" t="n">
        <f aca="false">IF(AND(AL14=1,AL19=1,AL$7&gt;=AL17,AL$7&lt;AL16),1,0)</f>
        <v>1</v>
      </c>
      <c r="AM39" s="105" t="n">
        <f aca="false">IF(AND(AM14=1,AM19=1,AM$7&gt;=AM17,AM$7&lt;AM16),1,0)</f>
        <v>0</v>
      </c>
    </row>
    <row r="40" customFormat="false" ht="23" hidden="false" customHeight="true" outlineLevel="0" collapsed="false">
      <c r="C40" s="103" t="s">
        <v>5284</v>
      </c>
      <c r="D40" s="105"/>
      <c r="E40" s="105"/>
      <c r="F40" s="105"/>
      <c r="G40" s="105"/>
      <c r="H40" s="105"/>
      <c r="I40" s="105"/>
      <c r="J40" s="105" t="n">
        <f aca="false">MAX(0,J9-J36)+MAX(0,J21)</f>
        <v>0</v>
      </c>
      <c r="K40" s="105" t="n">
        <f aca="false">MAX(0,K9-K36)+MAX(0,K21)</f>
        <v>0</v>
      </c>
      <c r="L40" s="105" t="n">
        <f aca="false">MAX(0,L9-L36)+MAX(0,L21)</f>
        <v>0</v>
      </c>
      <c r="M40" s="105" t="n">
        <f aca="false">MAX(0,M9-M36)+MAX(0,M21)</f>
        <v>0</v>
      </c>
      <c r="N40" s="105" t="n">
        <f aca="false">MAX(0,N9-N36)+MAX(0,N21)</f>
        <v>0</v>
      </c>
      <c r="O40" s="105" t="n">
        <f aca="false">MAX(0,O9-O36)+MAX(0,O21)</f>
        <v>0</v>
      </c>
      <c r="P40" s="105" t="n">
        <f aca="false">MAX(0,P9-P36)+MAX(0,P21)</f>
        <v>0</v>
      </c>
      <c r="Q40" s="105" t="n">
        <f aca="false">MAX(0,Q9-Q36)+MAX(0,Q21)</f>
        <v>0</v>
      </c>
      <c r="R40" s="105" t="n">
        <f aca="false">MAX(0,R9-R36)+MAX(0,R21)</f>
        <v>0</v>
      </c>
      <c r="S40" s="105" t="n">
        <f aca="false">MAX(0,S9-S36)+MAX(0,S21)</f>
        <v>0</v>
      </c>
      <c r="T40" s="105" t="n">
        <f aca="false">MAX(0,T9-T36)+MAX(0,T21)</f>
        <v>0</v>
      </c>
      <c r="U40" s="105" t="n">
        <f aca="false">MAX(0,U9-U36)+MAX(0,U21)</f>
        <v>0</v>
      </c>
      <c r="V40" s="105" t="n">
        <f aca="false">MAX(0,V9-V36)+MAX(0,V21)</f>
        <v>0</v>
      </c>
      <c r="W40" s="105" t="n">
        <f aca="false">MAX(0,W9-W36)+MAX(0,W21)</f>
        <v>0</v>
      </c>
      <c r="X40" s="105" t="n">
        <f aca="false">MAX(0,X9-X36)+MAX(0,X21)</f>
        <v>0</v>
      </c>
      <c r="Y40" s="105" t="n">
        <f aca="false">MAX(0,Y9-Y36)+MAX(0,Y21)</f>
        <v>0</v>
      </c>
      <c r="Z40" s="105" t="n">
        <f aca="false">MAX(0,Z9-Z36)+MAX(0,Z21)</f>
        <v>0</v>
      </c>
      <c r="AA40" s="105" t="n">
        <f aca="false">MAX(0,AA9-AA36)+MAX(0,AA21)</f>
        <v>0</v>
      </c>
      <c r="AB40" s="105" t="n">
        <f aca="false">MAX(0,AB9-AB36)+MAX(0,AB21)</f>
        <v>0</v>
      </c>
      <c r="AC40" s="105" t="n">
        <f aca="false">MAX(0,AC9-AC36)+MAX(0,AC21)</f>
        <v>0</v>
      </c>
      <c r="AD40" s="105" t="n">
        <f aca="false">MAX(0,AD9-AD36)+MAX(0,AD21)</f>
        <v>0</v>
      </c>
      <c r="AE40" s="105" t="n">
        <f aca="false">MAX(0,AE9-AE36)+MAX(0,AE21)</f>
        <v>0</v>
      </c>
      <c r="AF40" s="105" t="n">
        <f aca="false">MAX(0,AF9-AF36)+MAX(0,AF21)</f>
        <v>0</v>
      </c>
      <c r="AG40" s="105" t="n">
        <f aca="false">MAX(0,AG9-AG36)+MAX(0,AG21)</f>
        <v>0</v>
      </c>
      <c r="AH40" s="105" t="n">
        <f aca="false">MAX(0,AH9-AH36)+MAX(0,AH21)</f>
        <v>0</v>
      </c>
      <c r="AI40" s="105" t="n">
        <f aca="false">MAX(0,AI9-AI36)+MAX(0,AI21)</f>
        <v>0</v>
      </c>
      <c r="AJ40" s="105" t="n">
        <f aca="false">MAX(0,AJ9-AJ36)+MAX(0,AJ21)</f>
        <v>0</v>
      </c>
      <c r="AK40" s="105" t="n">
        <f aca="false">MAX(0,AK9-AK36)+MAX(0,AK21)</f>
        <v>0</v>
      </c>
      <c r="AL40" s="105" t="n">
        <f aca="false">MAX(0,AL9-AL36)+MAX(0,AL21)</f>
        <v>0</v>
      </c>
      <c r="AM40" s="105" t="n">
        <f aca="false">MAX(0,AM9-AM36)+MAX(0,AM21)</f>
        <v>0</v>
      </c>
    </row>
    <row r="41" customFormat="false" ht="23" hidden="false" customHeight="true" outlineLevel="0" collapsed="false">
      <c r="C41" s="114" t="s">
        <v>5285</v>
      </c>
      <c r="D41" s="115"/>
      <c r="E41" s="115"/>
      <c r="F41" s="115"/>
      <c r="G41" s="115"/>
      <c r="H41" s="115"/>
      <c r="I41" s="115"/>
      <c r="J41" s="115" t="n">
        <f aca="false">IF(J39=1,MIN(J40,J38,MAX(0,J13)),0)</f>
        <v>0</v>
      </c>
      <c r="K41" s="115" t="n">
        <f aca="false">IF(K39=1,MIN(K40,K38,MAX(0,K13)),0)</f>
        <v>0</v>
      </c>
      <c r="L41" s="115" t="n">
        <f aca="false">IF(L39=1,MIN(L40,L38,MAX(0,L13)),0)</f>
        <v>0</v>
      </c>
      <c r="M41" s="115" t="n">
        <f aca="false">IF(M39=1,MIN(M40,M38,MAX(0,M13)),0)</f>
        <v>0</v>
      </c>
      <c r="N41" s="115" t="n">
        <f aca="false">IF(N39=1,MIN(N40,N38,MAX(0,N13)),0)</f>
        <v>0</v>
      </c>
      <c r="O41" s="115" t="n">
        <f aca="false">IF(O39=1,MIN(O40,O38,MAX(0,O13)),0)</f>
        <v>0</v>
      </c>
      <c r="P41" s="115" t="n">
        <f aca="false">IF(P39=1,MIN(P40,P38,MAX(0,P13)),0)</f>
        <v>0</v>
      </c>
      <c r="Q41" s="115" t="n">
        <f aca="false">IF(Q39=1,MIN(Q40,Q38,MAX(0,Q13)),0)</f>
        <v>0</v>
      </c>
      <c r="R41" s="115" t="n">
        <f aca="false">IF(R39=1,MIN(R40,R38,MAX(0,R13)),0)</f>
        <v>0</v>
      </c>
      <c r="S41" s="115" t="n">
        <f aca="false">IF(S39=1,MIN(S40,S38,MAX(0,S13)),0)</f>
        <v>0</v>
      </c>
      <c r="T41" s="115" t="n">
        <f aca="false">IF(T39=1,MIN(T40,T38,MAX(0,T13)),0)</f>
        <v>0</v>
      </c>
      <c r="U41" s="115" t="n">
        <f aca="false">IF(U39=1,MIN(U40,U38,MAX(0,U13)),0)</f>
        <v>0</v>
      </c>
      <c r="V41" s="115" t="n">
        <f aca="false">IF(V39=1,MIN(V40,V38,MAX(0,V13)),0)</f>
        <v>0</v>
      </c>
      <c r="W41" s="115" t="n">
        <f aca="false">IF(W39=1,MIN(W40,W38,MAX(0,W13)),0)</f>
        <v>0</v>
      </c>
      <c r="X41" s="115" t="n">
        <f aca="false">IF(X39=1,MIN(X40,X38,MAX(0,X13)),0)</f>
        <v>0</v>
      </c>
      <c r="Y41" s="115" t="n">
        <f aca="false">IF(Y39=1,MIN(Y40,Y38,MAX(0,Y13)),0)</f>
        <v>0</v>
      </c>
      <c r="Z41" s="115" t="n">
        <f aca="false">IF(Z39=1,MIN(Z40,Z38,MAX(0,Z13)),0)</f>
        <v>0</v>
      </c>
      <c r="AA41" s="115" t="n">
        <f aca="false">IF(AA39=1,MIN(AA40,AA38,MAX(0,AA13)),0)</f>
        <v>0</v>
      </c>
      <c r="AB41" s="115" t="n">
        <f aca="false">IF(AB39=1,MIN(AB40,AB38,MAX(0,AB13)),0)</f>
        <v>0</v>
      </c>
      <c r="AC41" s="115" t="n">
        <f aca="false">IF(AC39=1,MIN(AC40,AC38,MAX(0,AC13)),0)</f>
        <v>0</v>
      </c>
      <c r="AD41" s="115" t="n">
        <f aca="false">IF(AD39=1,MIN(AD40,AD38,MAX(0,AD13)),0)</f>
        <v>0</v>
      </c>
      <c r="AE41" s="115" t="n">
        <f aca="false">IF(AE39=1,MIN(AE40,AE38,MAX(0,AE13)),0)</f>
        <v>0</v>
      </c>
      <c r="AF41" s="115" t="n">
        <f aca="false">IF(AF39=1,MIN(AF40,AF38,MAX(0,AF13)),0)</f>
        <v>0</v>
      </c>
      <c r="AG41" s="115" t="n">
        <f aca="false">IF(AG39=1,MIN(AG40,AG38,MAX(0,AG13)),0)</f>
        <v>0</v>
      </c>
      <c r="AH41" s="115" t="n">
        <f aca="false">IF(AH39=1,MIN(AH40,AH38,MAX(0,AH13)),0)</f>
        <v>0</v>
      </c>
      <c r="AI41" s="115" t="n">
        <f aca="false">IF(AI39=1,MIN(AI40,AI38,MAX(0,AI13)),0)</f>
        <v>0</v>
      </c>
      <c r="AJ41" s="115" t="n">
        <f aca="false">IF(AJ39=1,MIN(AJ40,AJ38,MAX(0,AJ13)),0)</f>
        <v>0</v>
      </c>
      <c r="AK41" s="115" t="n">
        <f aca="false">IF(AK39=1,MIN(AK40,AK38,MAX(0,AK13)),0)</f>
        <v>0</v>
      </c>
      <c r="AL41" s="115" t="n">
        <f aca="false">IF(AL39=1,MIN(AL40,AL38,MAX(0,AL13)),0)</f>
        <v>0</v>
      </c>
      <c r="AM41" s="115" t="n">
        <f aca="false">IF(AM39=1,MIN(AM40,AM38,MAX(0,AM13)),0)</f>
        <v>0</v>
      </c>
    </row>
    <row r="42" customFormat="false" ht="23" hidden="false" customHeight="true" outlineLevel="0" collapsed="false">
      <c r="C42" s="103" t="s">
        <v>5286</v>
      </c>
      <c r="D42" s="105"/>
      <c r="E42" s="105"/>
      <c r="F42" s="105"/>
      <c r="G42" s="105"/>
      <c r="H42" s="105"/>
      <c r="I42" s="105"/>
      <c r="J42" s="105" t="n">
        <f aca="false">MAX(0,J40-J41)</f>
        <v>0</v>
      </c>
      <c r="K42" s="105" t="n">
        <f aca="false">MAX(0,K40-K41)</f>
        <v>0</v>
      </c>
      <c r="L42" s="105" t="n">
        <f aca="false">MAX(0,L40-L41)</f>
        <v>0</v>
      </c>
      <c r="M42" s="105" t="n">
        <f aca="false">MAX(0,M40-M41)</f>
        <v>0</v>
      </c>
      <c r="N42" s="105" t="n">
        <f aca="false">MAX(0,N40-N41)</f>
        <v>0</v>
      </c>
      <c r="O42" s="105" t="n">
        <f aca="false">MAX(0,O40-O41)</f>
        <v>0</v>
      </c>
      <c r="P42" s="105" t="n">
        <f aca="false">MAX(0,P40-P41)</f>
        <v>0</v>
      </c>
      <c r="Q42" s="105" t="n">
        <f aca="false">MAX(0,Q40-Q41)</f>
        <v>0</v>
      </c>
      <c r="R42" s="105" t="n">
        <f aca="false">MAX(0,R40-R41)</f>
        <v>0</v>
      </c>
      <c r="S42" s="105" t="n">
        <f aca="false">MAX(0,S40-S41)</f>
        <v>0</v>
      </c>
      <c r="T42" s="105" t="n">
        <f aca="false">MAX(0,T40-T41)</f>
        <v>0</v>
      </c>
      <c r="U42" s="105" t="n">
        <f aca="false">MAX(0,U40-U41)</f>
        <v>0</v>
      </c>
      <c r="V42" s="105" t="n">
        <f aca="false">MAX(0,V40-V41)</f>
        <v>0</v>
      </c>
      <c r="W42" s="105" t="n">
        <f aca="false">MAX(0,W40-W41)</f>
        <v>0</v>
      </c>
      <c r="X42" s="105" t="n">
        <f aca="false">MAX(0,X40-X41)</f>
        <v>0</v>
      </c>
      <c r="Y42" s="105" t="n">
        <f aca="false">MAX(0,Y40-Y41)</f>
        <v>0</v>
      </c>
      <c r="Z42" s="105" t="n">
        <f aca="false">MAX(0,Z40-Z41)</f>
        <v>0</v>
      </c>
      <c r="AA42" s="105" t="n">
        <f aca="false">MAX(0,AA40-AA41)</f>
        <v>0</v>
      </c>
      <c r="AB42" s="105" t="n">
        <f aca="false">MAX(0,AB40-AB41)</f>
        <v>0</v>
      </c>
      <c r="AC42" s="105" t="n">
        <f aca="false">MAX(0,AC40-AC41)</f>
        <v>0</v>
      </c>
      <c r="AD42" s="105" t="n">
        <f aca="false">MAX(0,AD40-AD41)</f>
        <v>0</v>
      </c>
      <c r="AE42" s="105" t="n">
        <f aca="false">MAX(0,AE40-AE41)</f>
        <v>0</v>
      </c>
      <c r="AF42" s="105" t="n">
        <f aca="false">MAX(0,AF40-AF41)</f>
        <v>0</v>
      </c>
      <c r="AG42" s="105" t="n">
        <f aca="false">MAX(0,AG40-AG41)</f>
        <v>0</v>
      </c>
      <c r="AH42" s="105" t="n">
        <f aca="false">MAX(0,AH40-AH41)</f>
        <v>0</v>
      </c>
      <c r="AI42" s="105" t="n">
        <f aca="false">MAX(0,AI40-AI41)</f>
        <v>0</v>
      </c>
      <c r="AJ42" s="105" t="n">
        <f aca="false">MAX(0,AJ40-AJ41)</f>
        <v>0</v>
      </c>
      <c r="AK42" s="105" t="n">
        <f aca="false">MAX(0,AK40-AK41)</f>
        <v>0</v>
      </c>
      <c r="AL42" s="105" t="n">
        <f aca="false">MAX(0,AL40-AL41)</f>
        <v>0</v>
      </c>
      <c r="AM42" s="105" t="n">
        <f aca="false">MAX(0,AM40-AM41)</f>
        <v>0</v>
      </c>
    </row>
    <row r="43" customFormat="false" ht="23" hidden="false" customHeight="true" outlineLevel="0" collapsed="false">
      <c r="C43" s="103" t="s">
        <v>5287</v>
      </c>
      <c r="D43" s="105"/>
      <c r="E43" s="105"/>
      <c r="F43" s="105"/>
      <c r="G43" s="105"/>
      <c r="H43" s="105"/>
      <c r="I43" s="105"/>
      <c r="J43" s="105" t="n">
        <f aca="false">J28+J34+J41</f>
        <v>1140.79339318233</v>
      </c>
      <c r="K43" s="105" t="n">
        <f aca="false">K28+K34+K41</f>
        <v>1518.06084255602</v>
      </c>
      <c r="L43" s="105" t="n">
        <f aca="false">L28+L34+L41</f>
        <v>1610.99102212192</v>
      </c>
      <c r="M43" s="105" t="n">
        <f aca="false">M28+M34+M41</f>
        <v>1762.16407798115</v>
      </c>
      <c r="N43" s="105" t="n">
        <f aca="false">N28+N34+N41</f>
        <v>2382.16198049091</v>
      </c>
      <c r="O43" s="105" t="n">
        <f aca="false">O28+O34+O41</f>
        <v>2314.81290362849</v>
      </c>
      <c r="P43" s="105" t="n">
        <f aca="false">P28+P34+P41</f>
        <v>3138.96966323957</v>
      </c>
      <c r="Q43" s="105" t="n">
        <f aca="false">Q28+Q34+Q41</f>
        <v>3863.03001176431</v>
      </c>
      <c r="R43" s="105" t="n">
        <f aca="false">R28+R34+R41</f>
        <v>3228.28303025901</v>
      </c>
      <c r="S43" s="105" t="n">
        <f aca="false">S28+S34+S41</f>
        <v>4121.1464062871</v>
      </c>
      <c r="T43" s="105" t="n">
        <f aca="false">T28+T34+T41</f>
        <v>4236.47461019523</v>
      </c>
      <c r="U43" s="105" t="n">
        <f aca="false">U28+U34+U41</f>
        <v>1133.32271898162</v>
      </c>
      <c r="V43" s="105" t="n">
        <f aca="false">V28+V34+V41</f>
        <v>949.262925250789</v>
      </c>
      <c r="W43" s="105" t="n">
        <f aca="false">W28+W34+W41</f>
        <v>1502.33634868024</v>
      </c>
      <c r="X43" s="105" t="n">
        <f aca="false">X28+X34+X41</f>
        <v>1804.74800213426</v>
      </c>
      <c r="Y43" s="105" t="n">
        <f aca="false">Y28+Y34+Y41</f>
        <v>1944.03015371551</v>
      </c>
      <c r="Z43" s="105" t="n">
        <f aca="false">Z28+Z34+Z41</f>
        <v>2579.51424717914</v>
      </c>
      <c r="AA43" s="105" t="n">
        <f aca="false">AA28+AA34+AA41</f>
        <v>2495.31794304958</v>
      </c>
      <c r="AB43" s="105" t="n">
        <f aca="false">AB28+AB34+AB41</f>
        <v>3345.75619567448</v>
      </c>
      <c r="AC43" s="105" t="n">
        <f aca="false">AC28+AC34+AC41</f>
        <v>3887.09276613206</v>
      </c>
      <c r="AD43" s="105" t="n">
        <f aca="false">AD28+AD34+AD41</f>
        <v>3526.09216158177</v>
      </c>
      <c r="AE43" s="105" t="n">
        <f aca="false">AE28+AE34+AE41</f>
        <v>4320.83520254244</v>
      </c>
      <c r="AF43" s="105" t="n">
        <f aca="false">AF28+AF34+AF41</f>
        <v>4433.98750862888</v>
      </c>
      <c r="AG43" s="105" t="n">
        <f aca="false">AG28+AG34+AG41</f>
        <v>1179.82316544693</v>
      </c>
      <c r="AH43" s="105" t="n">
        <f aca="false">AH28+AH34+AH41</f>
        <v>981.084018946023</v>
      </c>
      <c r="AI43" s="105" t="n">
        <f aca="false">AI28+AI34+AI41</f>
        <v>1541.79098047791</v>
      </c>
      <c r="AJ43" s="105" t="n">
        <f aca="false">AJ28+AJ34+AJ41</f>
        <v>1853.42539580715</v>
      </c>
      <c r="AK43" s="105" t="n">
        <f aca="false">AK28+AK34+AK41</f>
        <v>1979.91557863831</v>
      </c>
      <c r="AL43" s="105" t="n">
        <f aca="false">AL28+AL34+AL41</f>
        <v>2632.30200254895</v>
      </c>
      <c r="AM43" s="105" t="n">
        <f aca="false">AM28+AM34+AM41</f>
        <v>2533.47797737355</v>
      </c>
    </row>
    <row r="44" customFormat="false" ht="23" hidden="false" customHeight="true" outlineLevel="0" collapsed="false">
      <c r="C44" s="103" t="s">
        <v>5288</v>
      </c>
      <c r="D44" s="105"/>
      <c r="E44" s="105"/>
      <c r="F44" s="105"/>
      <c r="G44" s="105"/>
      <c r="H44" s="105"/>
      <c r="I44" s="105"/>
      <c r="J44" s="105" t="n">
        <f aca="false">J43-Funding!J47-Funding!J14-Funding!J25-Funding!J36</f>
        <v>1139.6766486315</v>
      </c>
      <c r="K44" s="105" t="n">
        <f aca="false">K43-Funding!K47-Funding!K14-Funding!K25-Funding!K36</f>
        <v>1516.94409800519</v>
      </c>
      <c r="L44" s="105" t="n">
        <f aca="false">L43-Funding!L47-Funding!L14-Funding!L25-Funding!L36</f>
        <v>1609.87427757109</v>
      </c>
      <c r="M44" s="105" t="n">
        <f aca="false">M43-Funding!M47-Funding!M14-Funding!M25-Funding!M36</f>
        <v>1761.04733343031</v>
      </c>
      <c r="N44" s="105" t="n">
        <f aca="false">N43-Funding!N47-Funding!N14-Funding!N25-Funding!N36</f>
        <v>2381.04523594008</v>
      </c>
      <c r="O44" s="105" t="n">
        <f aca="false">O43-Funding!O47-Funding!O14-Funding!O25-Funding!O36</f>
        <v>2313.69615907765</v>
      </c>
      <c r="P44" s="105" t="n">
        <f aca="false">P43-Funding!P47-Funding!P14-Funding!P25-Funding!P36</f>
        <v>3137.85291868873</v>
      </c>
      <c r="Q44" s="105" t="n">
        <f aca="false">Q43-Funding!Q47-Funding!Q14-Funding!Q25-Funding!Q36</f>
        <v>3861.91326721348</v>
      </c>
      <c r="R44" s="105" t="n">
        <f aca="false">R43-Funding!R47-Funding!R14-Funding!R25-Funding!R36</f>
        <v>3227.16628570818</v>
      </c>
      <c r="S44" s="105" t="n">
        <f aca="false">S43-Funding!S47-Funding!S14-Funding!S25-Funding!S36</f>
        <v>4120.02966173627</v>
      </c>
      <c r="T44" s="105" t="n">
        <f aca="false">T43-Funding!T47-Funding!T14-Funding!T25-Funding!T36</f>
        <v>4235.3578656444</v>
      </c>
      <c r="U44" s="105" t="n">
        <f aca="false">U43-Funding!U47-Funding!U14-Funding!U25-Funding!U36</f>
        <v>947.778974614788</v>
      </c>
      <c r="V44" s="105" t="n">
        <f aca="false">V43-Funding!V47-Funding!V14-Funding!V25-Funding!V36</f>
        <v>948.146180699956</v>
      </c>
      <c r="W44" s="105" t="n">
        <f aca="false">W43-Funding!W47-Funding!W14-Funding!W25-Funding!W36</f>
        <v>1501.21960412941</v>
      </c>
      <c r="X44" s="105" t="n">
        <f aca="false">X43-Funding!X47-Funding!X14-Funding!X25-Funding!X36</f>
        <v>1803.63125758342</v>
      </c>
      <c r="Y44" s="105" t="n">
        <f aca="false">Y43-Funding!Y47-Funding!Y14-Funding!Y25-Funding!Y36</f>
        <v>1942.91340916468</v>
      </c>
      <c r="Z44" s="105" t="n">
        <f aca="false">Z43-Funding!Z47-Funding!Z14-Funding!Z25-Funding!Z36</f>
        <v>2579.42338691248</v>
      </c>
      <c r="AA44" s="105" t="n">
        <f aca="false">AA43-Funding!AA47-Funding!AA14-Funding!AA25-Funding!AA36</f>
        <v>2495.31794304958</v>
      </c>
      <c r="AB44" s="105" t="n">
        <f aca="false">AB43-Funding!AB47-Funding!AB14-Funding!AB25-Funding!AB36</f>
        <v>3345.75619567448</v>
      </c>
      <c r="AC44" s="105" t="n">
        <f aca="false">AC43-Funding!AC47-Funding!AC14-Funding!AC25-Funding!AC36</f>
        <v>3887.09276613206</v>
      </c>
      <c r="AD44" s="105" t="n">
        <f aca="false">AD43-Funding!AD47-Funding!AD14-Funding!AD25-Funding!AD36</f>
        <v>3526.09216158177</v>
      </c>
      <c r="AE44" s="105" t="n">
        <f aca="false">AE43-Funding!AE47-Funding!AE14-Funding!AE25-Funding!AE36</f>
        <v>4320.83520254244</v>
      </c>
      <c r="AF44" s="105" t="n">
        <f aca="false">AF43-Funding!AF47-Funding!AF14-Funding!AF25-Funding!AF36</f>
        <v>4433.98750862888</v>
      </c>
      <c r="AG44" s="105" t="n">
        <f aca="false">AG43-Funding!AG47-Funding!AG14-Funding!AG25-Funding!AG36</f>
        <v>995.396165630931</v>
      </c>
      <c r="AH44" s="105" t="n">
        <f aca="false">AH43-Funding!AH47-Funding!AH14-Funding!AH25-Funding!AH36</f>
        <v>981.084018946023</v>
      </c>
      <c r="AI44" s="105" t="n">
        <f aca="false">AI43-Funding!AI47-Funding!AI14-Funding!AI25-Funding!AI36</f>
        <v>1541.79098047791</v>
      </c>
      <c r="AJ44" s="105" t="n">
        <f aca="false">AJ43-Funding!AJ47-Funding!AJ14-Funding!AJ25-Funding!AJ36</f>
        <v>1853.42539580715</v>
      </c>
      <c r="AK44" s="105" t="n">
        <f aca="false">AK43-Funding!AK47-Funding!AK14-Funding!AK25-Funding!AK36</f>
        <v>1979.91557863831</v>
      </c>
      <c r="AL44" s="105" t="n">
        <f aca="false">AL43-Funding!AL47-Funding!AL14-Funding!AL25-Funding!AL36</f>
        <v>2632.30200254895</v>
      </c>
      <c r="AM44" s="105" t="n">
        <f aca="false">AM43-Funding!AM47-Funding!AM14-Funding!AM25-Funding!AM36</f>
        <v>2533.47797737355</v>
      </c>
    </row>
    <row r="45" customFormat="false" ht="23" hidden="false" customHeight="true" outlineLevel="0" collapsed="false">
      <c r="C45" s="103" t="s">
        <v>5289</v>
      </c>
      <c r="D45" s="105"/>
      <c r="E45" s="105"/>
      <c r="F45" s="105"/>
      <c r="G45" s="105"/>
      <c r="H45" s="105"/>
      <c r="I45" s="105"/>
      <c r="J45" s="105" t="n">
        <f aca="false">IF(J$7&gt;=J16,J25+J41,MIN(J25+J41,MAX(MAX(0,J25+J41-J37),MAX(0,J44-J9)*MIN(1,MAX(0,J18))+MAX(0,J22))))</f>
        <v>0</v>
      </c>
      <c r="K45" s="105" t="n">
        <f aca="false">IF(K$7&gt;=K16,K25+K41,MIN(K25+K41,MAX(MAX(0,K25+K41-K37),MAX(0,K44-K9)*MIN(1,MAX(0,K18))+MAX(0,K22))))</f>
        <v>0</v>
      </c>
      <c r="L45" s="105" t="n">
        <f aca="false">IF(L$7&gt;=L16,L25+L41,MIN(L25+L41,MAX(MAX(0,L25+L41-L37),MAX(0,L44-L9)*MIN(1,MAX(0,L18))+MAX(0,L22))))</f>
        <v>0</v>
      </c>
      <c r="M45" s="105" t="n">
        <f aca="false">IF(M$7&gt;=M16,M25+M41,MIN(M25+M41,MAX(MAX(0,M25+M41-M37),MAX(0,M44-M9)*MIN(1,MAX(0,M18))+MAX(0,M22))))</f>
        <v>0</v>
      </c>
      <c r="N45" s="105" t="n">
        <f aca="false">IF(N$7&gt;=N16,N25+N41,MIN(N25+N41,MAX(MAX(0,N25+N41-N37),MAX(0,N44-N9)*MIN(1,MAX(0,N18))+MAX(0,N22))))</f>
        <v>0</v>
      </c>
      <c r="O45" s="105" t="n">
        <f aca="false">IF(O$7&gt;=O16,O25+O41,MIN(O25+O41,MAX(MAX(0,O25+O41-O37),MAX(0,O44-O9)*MIN(1,MAX(0,O18))+MAX(0,O22))))</f>
        <v>0</v>
      </c>
      <c r="P45" s="105" t="n">
        <f aca="false">IF(P$7&gt;=P16,P25+P41,MIN(P25+P41,MAX(MAX(0,P25+P41-P37),MAX(0,P44-P9)*MIN(1,MAX(0,P18))+MAX(0,P22))))</f>
        <v>0</v>
      </c>
      <c r="Q45" s="105" t="n">
        <f aca="false">IF(Q$7&gt;=Q16,Q25+Q41,MIN(Q25+Q41,MAX(MAX(0,Q25+Q41-Q37),MAX(0,Q44-Q9)*MIN(1,MAX(0,Q18))+MAX(0,Q22))))</f>
        <v>0</v>
      </c>
      <c r="R45" s="105" t="n">
        <f aca="false">IF(R$7&gt;=R16,R25+R41,MIN(R25+R41,MAX(MAX(0,R25+R41-R37),MAX(0,R44-R9)*MIN(1,MAX(0,R18))+MAX(0,R22))))</f>
        <v>0</v>
      </c>
      <c r="S45" s="105" t="n">
        <f aca="false">IF(S$7&gt;=S16,S25+S41,MIN(S25+S41,MAX(MAX(0,S25+S41-S37),MAX(0,S44-S9)*MIN(1,MAX(0,S18))+MAX(0,S22))))</f>
        <v>0</v>
      </c>
      <c r="T45" s="105" t="n">
        <f aca="false">IF(T$7&gt;=T16,T25+T41,MIN(T25+T41,MAX(MAX(0,T25+T41-T37),MAX(0,T44-T9)*MIN(1,MAX(0,T18))+MAX(0,T22))))</f>
        <v>0</v>
      </c>
      <c r="U45" s="105" t="n">
        <f aca="false">IF(U$7&gt;=U16,U25+U41,MIN(U25+U41,MAX(MAX(0,U25+U41-U37),MAX(0,U44-U9)*MIN(1,MAX(0,U18))+MAX(0,U22))))</f>
        <v>0</v>
      </c>
      <c r="V45" s="105" t="n">
        <f aca="false">IF(V$7&gt;=V16,V25+V41,MIN(V25+V41,MAX(MAX(0,V25+V41-V37),MAX(0,V44-V9)*MIN(1,MAX(0,V18))+MAX(0,V22))))</f>
        <v>0</v>
      </c>
      <c r="W45" s="105" t="n">
        <f aca="false">IF(W$7&gt;=W16,W25+W41,MIN(W25+W41,MAX(MAX(0,W25+W41-W37),MAX(0,W44-W9)*MIN(1,MAX(0,W18))+MAX(0,W22))))</f>
        <v>0</v>
      </c>
      <c r="X45" s="105" t="n">
        <f aca="false">IF(X$7&gt;=X16,X25+X41,MIN(X25+X41,MAX(MAX(0,X25+X41-X37),MAX(0,X44-X9)*MIN(1,MAX(0,X18))+MAX(0,X22))))</f>
        <v>0</v>
      </c>
      <c r="Y45" s="105" t="n">
        <f aca="false">IF(Y$7&gt;=Y16,Y25+Y41,MIN(Y25+Y41,MAX(MAX(0,Y25+Y41-Y37),MAX(0,Y44-Y9)*MIN(1,MAX(0,Y18))+MAX(0,Y22))))</f>
        <v>0</v>
      </c>
      <c r="Z45" s="105" t="n">
        <f aca="false">IF(Z$7&gt;=Z16,Z25+Z41,MIN(Z25+Z41,MAX(MAX(0,Z25+Z41-Z37),MAX(0,Z44-Z9)*MIN(1,MAX(0,Z18))+MAX(0,Z22))))</f>
        <v>0</v>
      </c>
      <c r="AA45" s="105" t="n">
        <f aca="false">IF(AA$7&gt;=AA16,AA25+AA41,MIN(AA25+AA41,MAX(MAX(0,AA25+AA41-AA37),MAX(0,AA44-AA9)*MIN(1,MAX(0,AA18))+MAX(0,AA22))))</f>
        <v>0</v>
      </c>
      <c r="AB45" s="105" t="n">
        <f aca="false">IF(AB$7&gt;=AB16,AB25+AB41,MIN(AB25+AB41,MAX(MAX(0,AB25+AB41-AB37),MAX(0,AB44-AB9)*MIN(1,MAX(0,AB18))+MAX(0,AB22))))</f>
        <v>0</v>
      </c>
      <c r="AC45" s="105" t="n">
        <f aca="false">IF(AC$7&gt;=AC16,AC25+AC41,MIN(AC25+AC41,MAX(MAX(0,AC25+AC41-AC37),MAX(0,AC44-AC9)*MIN(1,MAX(0,AC18))+MAX(0,AC22))))</f>
        <v>0</v>
      </c>
      <c r="AD45" s="105" t="n">
        <f aca="false">IF(AD$7&gt;=AD16,AD25+AD41,MIN(AD25+AD41,MAX(MAX(0,AD25+AD41-AD37),MAX(0,AD44-AD9)*MIN(1,MAX(0,AD18))+MAX(0,AD22))))</f>
        <v>0</v>
      </c>
      <c r="AE45" s="105" t="n">
        <f aca="false">IF(AE$7&gt;=AE16,AE25+AE41,MIN(AE25+AE41,MAX(MAX(0,AE25+AE41-AE37),MAX(0,AE44-AE9)*MIN(1,MAX(0,AE18))+MAX(0,AE22))))</f>
        <v>0</v>
      </c>
      <c r="AF45" s="105" t="n">
        <f aca="false">IF(AF$7&gt;=AF16,AF25+AF41,MIN(AF25+AF41,MAX(MAX(0,AF25+AF41-AF37),MAX(0,AF44-AF9)*MIN(1,MAX(0,AF18))+MAX(0,AF22))))</f>
        <v>0</v>
      </c>
      <c r="AG45" s="105" t="n">
        <f aca="false">IF(AG$7&gt;=AG16,AG25+AG41,MIN(AG25+AG41,MAX(MAX(0,AG25+AG41-AG37),MAX(0,AG44-AG9)*MIN(1,MAX(0,AG18))+MAX(0,AG22))))</f>
        <v>0</v>
      </c>
      <c r="AH45" s="105" t="n">
        <f aca="false">IF(AH$7&gt;=AH16,AH25+AH41,MIN(AH25+AH41,MAX(MAX(0,AH25+AH41-AH37),MAX(0,AH44-AH9)*MIN(1,MAX(0,AH18))+MAX(0,AH22))))</f>
        <v>0</v>
      </c>
      <c r="AI45" s="105" t="n">
        <f aca="false">IF(AI$7&gt;=AI16,AI25+AI41,MIN(AI25+AI41,MAX(MAX(0,AI25+AI41-AI37),MAX(0,AI44-AI9)*MIN(1,MAX(0,AI18))+MAX(0,AI22))))</f>
        <v>0</v>
      </c>
      <c r="AJ45" s="105" t="n">
        <f aca="false">IF(AJ$7&gt;=AJ16,AJ25+AJ41,MIN(AJ25+AJ41,MAX(MAX(0,AJ25+AJ41-AJ37),MAX(0,AJ44-AJ9)*MIN(1,MAX(0,AJ18))+MAX(0,AJ22))))</f>
        <v>0</v>
      </c>
      <c r="AK45" s="105" t="n">
        <f aca="false">IF(AK$7&gt;=AK16,AK25+AK41,MIN(AK25+AK41,MAX(MAX(0,AK25+AK41-AK37),MAX(0,AK44-AK9)*MIN(1,MAX(0,AK18))+MAX(0,AK22))))</f>
        <v>0</v>
      </c>
      <c r="AL45" s="105" t="n">
        <f aca="false">IF(AL$7&gt;=AL16,AL25+AL41,MIN(AL25+AL41,MAX(MAX(0,AL25+AL41-AL37),MAX(0,AL44-AL9)*MIN(1,MAX(0,AL18))+MAX(0,AL22))))</f>
        <v>0</v>
      </c>
      <c r="AM45" s="105" t="n">
        <f aca="false">IF(AM$7&gt;=AM16,AM25+AM41,MIN(AM25+AM41,MAX(MAX(0,AM25+AM41-AM37),MAX(0,AM44-AM9)*MIN(1,MAX(0,AM18))+MAX(0,AM22))))</f>
        <v>0</v>
      </c>
    </row>
    <row r="46" customFormat="false" ht="23" hidden="false" customHeight="true" outlineLevel="0" collapsed="false">
      <c r="C46" s="114" t="s">
        <v>5290</v>
      </c>
      <c r="D46" s="115"/>
      <c r="E46" s="115"/>
      <c r="F46" s="115"/>
      <c r="G46" s="115"/>
      <c r="H46" s="115"/>
      <c r="I46" s="115"/>
      <c r="J46" s="115" t="n">
        <f aca="false">MIN(J45,J25+J41,MAX(0,J44-J9))</f>
        <v>0</v>
      </c>
      <c r="K46" s="115" t="n">
        <f aca="false">MIN(K45,K25+K41,MAX(0,K44-K9))</f>
        <v>0</v>
      </c>
      <c r="L46" s="115" t="n">
        <f aca="false">MIN(L45,L25+L41,MAX(0,L44-L9))</f>
        <v>0</v>
      </c>
      <c r="M46" s="115" t="n">
        <f aca="false">MIN(M45,M25+M41,MAX(0,M44-M9))</f>
        <v>0</v>
      </c>
      <c r="N46" s="115" t="n">
        <f aca="false">MIN(N45,N25+N41,MAX(0,N44-N9))</f>
        <v>0</v>
      </c>
      <c r="O46" s="115" t="n">
        <f aca="false">MIN(O45,O25+O41,MAX(0,O44-O9))</f>
        <v>0</v>
      </c>
      <c r="P46" s="115" t="n">
        <f aca="false">MIN(P45,P25+P41,MAX(0,P44-P9))</f>
        <v>0</v>
      </c>
      <c r="Q46" s="115" t="n">
        <f aca="false">MIN(Q45,Q25+Q41,MAX(0,Q44-Q9))</f>
        <v>0</v>
      </c>
      <c r="R46" s="115" t="n">
        <f aca="false">MIN(R45,R25+R41,MAX(0,R44-R9))</f>
        <v>0</v>
      </c>
      <c r="S46" s="115" t="n">
        <f aca="false">MIN(S45,S25+S41,MAX(0,S44-S9))</f>
        <v>0</v>
      </c>
      <c r="T46" s="115" t="n">
        <f aca="false">MIN(T45,T25+T41,MAX(0,T44-T9))</f>
        <v>0</v>
      </c>
      <c r="U46" s="115" t="n">
        <f aca="false">MIN(U45,U25+U41,MAX(0,U44-U9))</f>
        <v>0</v>
      </c>
      <c r="V46" s="115" t="n">
        <f aca="false">MIN(V45,V25+V41,MAX(0,V44-V9))</f>
        <v>0</v>
      </c>
      <c r="W46" s="115" t="n">
        <f aca="false">MIN(W45,W25+W41,MAX(0,W44-W9))</f>
        <v>0</v>
      </c>
      <c r="X46" s="115" t="n">
        <f aca="false">MIN(X45,X25+X41,MAX(0,X44-X9))</f>
        <v>0</v>
      </c>
      <c r="Y46" s="115" t="n">
        <f aca="false">MIN(Y45,Y25+Y41,MAX(0,Y44-Y9))</f>
        <v>0</v>
      </c>
      <c r="Z46" s="115" t="n">
        <f aca="false">MIN(Z45,Z25+Z41,MAX(0,Z44-Z9))</f>
        <v>0</v>
      </c>
      <c r="AA46" s="115" t="n">
        <f aca="false">MIN(AA45,AA25+AA41,MAX(0,AA44-AA9))</f>
        <v>0</v>
      </c>
      <c r="AB46" s="115" t="n">
        <f aca="false">MIN(AB45,AB25+AB41,MAX(0,AB44-AB9))</f>
        <v>0</v>
      </c>
      <c r="AC46" s="115" t="n">
        <f aca="false">MIN(AC45,AC25+AC41,MAX(0,AC44-AC9))</f>
        <v>0</v>
      </c>
      <c r="AD46" s="115" t="n">
        <f aca="false">MIN(AD45,AD25+AD41,MAX(0,AD44-AD9))</f>
        <v>0</v>
      </c>
      <c r="AE46" s="115" t="n">
        <f aca="false">MIN(AE45,AE25+AE41,MAX(0,AE44-AE9))</f>
        <v>0</v>
      </c>
      <c r="AF46" s="115" t="n">
        <f aca="false">MIN(AF45,AF25+AF41,MAX(0,AF44-AF9))</f>
        <v>0</v>
      </c>
      <c r="AG46" s="115" t="n">
        <f aca="false">MIN(AG45,AG25+AG41,MAX(0,AG44-AG9))</f>
        <v>0</v>
      </c>
      <c r="AH46" s="115" t="n">
        <f aca="false">MIN(AH45,AH25+AH41,MAX(0,AH44-AH9))</f>
        <v>0</v>
      </c>
      <c r="AI46" s="115" t="n">
        <f aca="false">MIN(AI45,AI25+AI41,MAX(0,AI44-AI9))</f>
        <v>0</v>
      </c>
      <c r="AJ46" s="115" t="n">
        <f aca="false">MIN(AJ45,AJ25+AJ41,MAX(0,AJ44-AJ9))</f>
        <v>0</v>
      </c>
      <c r="AK46" s="115" t="n">
        <f aca="false">MIN(AK45,AK25+AK41,MAX(0,AK44-AK9))</f>
        <v>0</v>
      </c>
      <c r="AL46" s="115" t="n">
        <f aca="false">MIN(AL45,AL25+AL41,MAX(0,AL44-AL9))</f>
        <v>0</v>
      </c>
      <c r="AM46" s="115" t="n">
        <f aca="false">MIN(AM45,AM25+AM41,MAX(0,AM44-AM9))</f>
        <v>0</v>
      </c>
    </row>
    <row r="47" customFormat="false" ht="23" hidden="false" customHeight="true" outlineLevel="0" collapsed="false">
      <c r="C47" s="103" t="s">
        <v>5291</v>
      </c>
      <c r="D47" s="105"/>
      <c r="E47" s="105"/>
      <c r="F47" s="105"/>
      <c r="G47" s="105"/>
      <c r="H47" s="105"/>
      <c r="I47" s="105"/>
      <c r="J47" s="105" t="n">
        <f aca="false">MAX(0,J45-J46)</f>
        <v>0</v>
      </c>
      <c r="K47" s="105" t="n">
        <f aca="false">MAX(0,K45-K46)</f>
        <v>0</v>
      </c>
      <c r="L47" s="105" t="n">
        <f aca="false">MAX(0,L45-L46)</f>
        <v>0</v>
      </c>
      <c r="M47" s="105" t="n">
        <f aca="false">MAX(0,M45-M46)</f>
        <v>0</v>
      </c>
      <c r="N47" s="105" t="n">
        <f aca="false">MAX(0,N45-N46)</f>
        <v>0</v>
      </c>
      <c r="O47" s="105" t="n">
        <f aca="false">MAX(0,O45-O46)</f>
        <v>0</v>
      </c>
      <c r="P47" s="105" t="n">
        <f aca="false">MAX(0,P45-P46)</f>
        <v>0</v>
      </c>
      <c r="Q47" s="105" t="n">
        <f aca="false">MAX(0,Q45-Q46)</f>
        <v>0</v>
      </c>
      <c r="R47" s="105" t="n">
        <f aca="false">MAX(0,R45-R46)</f>
        <v>0</v>
      </c>
      <c r="S47" s="105" t="n">
        <f aca="false">MAX(0,S45-S46)</f>
        <v>0</v>
      </c>
      <c r="T47" s="105" t="n">
        <f aca="false">MAX(0,T45-T46)</f>
        <v>0</v>
      </c>
      <c r="U47" s="105" t="n">
        <f aca="false">MAX(0,U45-U46)</f>
        <v>0</v>
      </c>
      <c r="V47" s="105" t="n">
        <f aca="false">MAX(0,V45-V46)</f>
        <v>0</v>
      </c>
      <c r="W47" s="105" t="n">
        <f aca="false">MAX(0,W45-W46)</f>
        <v>0</v>
      </c>
      <c r="X47" s="105" t="n">
        <f aca="false">MAX(0,X45-X46)</f>
        <v>0</v>
      </c>
      <c r="Y47" s="105" t="n">
        <f aca="false">MAX(0,Y45-Y46)</f>
        <v>0</v>
      </c>
      <c r="Z47" s="105" t="n">
        <f aca="false">MAX(0,Z45-Z46)</f>
        <v>0</v>
      </c>
      <c r="AA47" s="105" t="n">
        <f aca="false">MAX(0,AA45-AA46)</f>
        <v>0</v>
      </c>
      <c r="AB47" s="105" t="n">
        <f aca="false">MAX(0,AB45-AB46)</f>
        <v>0</v>
      </c>
      <c r="AC47" s="105" t="n">
        <f aca="false">MAX(0,AC45-AC46)</f>
        <v>0</v>
      </c>
      <c r="AD47" s="105" t="n">
        <f aca="false">MAX(0,AD45-AD46)</f>
        <v>0</v>
      </c>
      <c r="AE47" s="105" t="n">
        <f aca="false">MAX(0,AE45-AE46)</f>
        <v>0</v>
      </c>
      <c r="AF47" s="105" t="n">
        <f aca="false">MAX(0,AF45-AF46)</f>
        <v>0</v>
      </c>
      <c r="AG47" s="105" t="n">
        <f aca="false">MAX(0,AG45-AG46)</f>
        <v>0</v>
      </c>
      <c r="AH47" s="105" t="n">
        <f aca="false">MAX(0,AH45-AH46)</f>
        <v>0</v>
      </c>
      <c r="AI47" s="105" t="n">
        <f aca="false">MAX(0,AI45-AI46)</f>
        <v>0</v>
      </c>
      <c r="AJ47" s="105" t="n">
        <f aca="false">MAX(0,AJ45-AJ46)</f>
        <v>0</v>
      </c>
      <c r="AK47" s="105" t="n">
        <f aca="false">MAX(0,AK45-AK46)</f>
        <v>0</v>
      </c>
      <c r="AL47" s="105" t="n">
        <f aca="false">MAX(0,AL45-AL46)</f>
        <v>0</v>
      </c>
      <c r="AM47" s="105" t="n">
        <f aca="false">MAX(0,AM45-AM46)</f>
        <v>0</v>
      </c>
    </row>
    <row r="48" customFormat="false" ht="23" hidden="false" customHeight="true" outlineLevel="0" collapsed="false">
      <c r="C48" s="114" t="s">
        <v>5292</v>
      </c>
      <c r="D48" s="115"/>
      <c r="E48" s="115"/>
      <c r="F48" s="115"/>
      <c r="G48" s="115"/>
      <c r="H48" s="115"/>
      <c r="I48" s="115"/>
      <c r="J48" s="115" t="n">
        <f aca="false">J25+J41-J46</f>
        <v>0</v>
      </c>
      <c r="K48" s="115" t="n">
        <f aca="false">K25+K41-K46</f>
        <v>0</v>
      </c>
      <c r="L48" s="115" t="n">
        <f aca="false">L25+L41-L46</f>
        <v>0</v>
      </c>
      <c r="M48" s="115" t="n">
        <f aca="false">M25+M41-M46</f>
        <v>0</v>
      </c>
      <c r="N48" s="115" t="n">
        <f aca="false">N25+N41-N46</f>
        <v>0</v>
      </c>
      <c r="O48" s="115" t="n">
        <f aca="false">O25+O41-O46</f>
        <v>0</v>
      </c>
      <c r="P48" s="115" t="n">
        <f aca="false">P25+P41-P46</f>
        <v>0</v>
      </c>
      <c r="Q48" s="115" t="n">
        <f aca="false">Q25+Q41-Q46</f>
        <v>0</v>
      </c>
      <c r="R48" s="115" t="n">
        <f aca="false">R25+R41-R46</f>
        <v>0</v>
      </c>
      <c r="S48" s="115" t="n">
        <f aca="false">S25+S41-S46</f>
        <v>0</v>
      </c>
      <c r="T48" s="115" t="n">
        <f aca="false">T25+T41-T46</f>
        <v>0</v>
      </c>
      <c r="U48" s="115" t="n">
        <f aca="false">U25+U41-U46</f>
        <v>0</v>
      </c>
      <c r="V48" s="115" t="n">
        <f aca="false">V25+V41-V46</f>
        <v>0</v>
      </c>
      <c r="W48" s="115" t="n">
        <f aca="false">W25+W41-W46</f>
        <v>0</v>
      </c>
      <c r="X48" s="115" t="n">
        <f aca="false">X25+X41-X46</f>
        <v>0</v>
      </c>
      <c r="Y48" s="115" t="n">
        <f aca="false">Y25+Y41-Y46</f>
        <v>0</v>
      </c>
      <c r="Z48" s="115" t="n">
        <f aca="false">Z25+Z41-Z46</f>
        <v>0</v>
      </c>
      <c r="AA48" s="115" t="n">
        <f aca="false">AA25+AA41-AA46</f>
        <v>0</v>
      </c>
      <c r="AB48" s="115" t="n">
        <f aca="false">AB25+AB41-AB46</f>
        <v>0</v>
      </c>
      <c r="AC48" s="115" t="n">
        <f aca="false">AC25+AC41-AC46</f>
        <v>0</v>
      </c>
      <c r="AD48" s="115" t="n">
        <f aca="false">AD25+AD41-AD46</f>
        <v>0</v>
      </c>
      <c r="AE48" s="115" t="n">
        <f aca="false">AE25+AE41-AE46</f>
        <v>0</v>
      </c>
      <c r="AF48" s="115" t="n">
        <f aca="false">AF25+AF41-AF46</f>
        <v>0</v>
      </c>
      <c r="AG48" s="115" t="n">
        <f aca="false">AG25+AG41-AG46</f>
        <v>0</v>
      </c>
      <c r="AH48" s="115" t="n">
        <f aca="false">AH25+AH41-AH46</f>
        <v>0</v>
      </c>
      <c r="AI48" s="115" t="n">
        <f aca="false">AI25+AI41-AI46</f>
        <v>0</v>
      </c>
      <c r="AJ48" s="115" t="n">
        <f aca="false">AJ25+AJ41-AJ46</f>
        <v>0</v>
      </c>
      <c r="AK48" s="115" t="n">
        <f aca="false">AK25+AK41-AK46</f>
        <v>0</v>
      </c>
      <c r="AL48" s="115" t="n">
        <f aca="false">AL25+AL41-AL46</f>
        <v>0</v>
      </c>
      <c r="AM48" s="115" t="n">
        <f aca="false">AM25+AM41-AM46</f>
        <v>0</v>
      </c>
    </row>
    <row r="49" customFormat="false" ht="23" hidden="false" customHeight="true" outlineLevel="0" collapsed="false">
      <c r="C49" s="114" t="s">
        <v>5293</v>
      </c>
      <c r="D49" s="115"/>
      <c r="E49" s="115"/>
      <c r="F49" s="115"/>
      <c r="G49" s="115"/>
      <c r="H49" s="115"/>
      <c r="I49" s="115"/>
      <c r="J49" s="115" t="n">
        <f aca="false">J44-J46</f>
        <v>1139.6766486315</v>
      </c>
      <c r="K49" s="115" t="n">
        <f aca="false">K44-K46</f>
        <v>1516.94409800519</v>
      </c>
      <c r="L49" s="115" t="n">
        <f aca="false">L44-L46</f>
        <v>1609.87427757109</v>
      </c>
      <c r="M49" s="115" t="n">
        <f aca="false">M44-M46</f>
        <v>1761.04733343031</v>
      </c>
      <c r="N49" s="115" t="n">
        <f aca="false">N44-N46</f>
        <v>2381.04523594008</v>
      </c>
      <c r="O49" s="115" t="n">
        <f aca="false">O44-O46</f>
        <v>2313.69615907765</v>
      </c>
      <c r="P49" s="115" t="n">
        <f aca="false">P44-P46</f>
        <v>3137.85291868873</v>
      </c>
      <c r="Q49" s="115" t="n">
        <f aca="false">Q44-Q46</f>
        <v>3861.91326721348</v>
      </c>
      <c r="R49" s="115" t="n">
        <f aca="false">R44-R46</f>
        <v>3227.16628570818</v>
      </c>
      <c r="S49" s="115" t="n">
        <f aca="false">S44-S46</f>
        <v>4120.02966173627</v>
      </c>
      <c r="T49" s="115" t="n">
        <f aca="false">T44-T46</f>
        <v>4235.3578656444</v>
      </c>
      <c r="U49" s="115" t="n">
        <f aca="false">U44-U46</f>
        <v>947.778974614788</v>
      </c>
      <c r="V49" s="115" t="n">
        <f aca="false">V44-V46</f>
        <v>948.146180699956</v>
      </c>
      <c r="W49" s="115" t="n">
        <f aca="false">W44-W46</f>
        <v>1501.21960412941</v>
      </c>
      <c r="X49" s="115" t="n">
        <f aca="false">X44-X46</f>
        <v>1803.63125758342</v>
      </c>
      <c r="Y49" s="115" t="n">
        <f aca="false">Y44-Y46</f>
        <v>1942.91340916468</v>
      </c>
      <c r="Z49" s="115" t="n">
        <f aca="false">Z44-Z46</f>
        <v>2579.42338691248</v>
      </c>
      <c r="AA49" s="115" t="n">
        <f aca="false">AA44-AA46</f>
        <v>2495.31794304958</v>
      </c>
      <c r="AB49" s="115" t="n">
        <f aca="false">AB44-AB46</f>
        <v>3345.75619567448</v>
      </c>
      <c r="AC49" s="115" t="n">
        <f aca="false">AC44-AC46</f>
        <v>3887.09276613206</v>
      </c>
      <c r="AD49" s="115" t="n">
        <f aca="false">AD44-AD46</f>
        <v>3526.09216158177</v>
      </c>
      <c r="AE49" s="115" t="n">
        <f aca="false">AE44-AE46</f>
        <v>4320.83520254244</v>
      </c>
      <c r="AF49" s="115" t="n">
        <f aca="false">AF44-AF46</f>
        <v>4433.98750862888</v>
      </c>
      <c r="AG49" s="115" t="n">
        <f aca="false">AG44-AG46</f>
        <v>995.396165630931</v>
      </c>
      <c r="AH49" s="115" t="n">
        <f aca="false">AH44-AH46</f>
        <v>981.084018946023</v>
      </c>
      <c r="AI49" s="115" t="n">
        <f aca="false">AI44-AI46</f>
        <v>1541.79098047791</v>
      </c>
      <c r="AJ49" s="115" t="n">
        <f aca="false">AJ44-AJ46</f>
        <v>1853.42539580715</v>
      </c>
      <c r="AK49" s="115" t="n">
        <f aca="false">AK44-AK46</f>
        <v>1979.91557863831</v>
      </c>
      <c r="AL49" s="115" t="n">
        <f aca="false">AL44-AL46</f>
        <v>2632.30200254895</v>
      </c>
      <c r="AM49" s="115" t="n">
        <f aca="false">AM44-AM46</f>
        <v>2533.47797737355</v>
      </c>
    </row>
    <row r="50" customFormat="false" ht="23" hidden="false" customHeight="true" outlineLevel="0" collapsed="false">
      <c r="C50" s="114" t="s">
        <v>5294</v>
      </c>
      <c r="D50" s="115"/>
      <c r="E50" s="115"/>
      <c r="F50" s="115"/>
      <c r="G50" s="115"/>
      <c r="H50" s="115"/>
      <c r="I50" s="115"/>
      <c r="J50" s="115" t="n">
        <f aca="false">MAX(0,-J49)</f>
        <v>0</v>
      </c>
      <c r="K50" s="115" t="n">
        <f aca="false">MAX(0,-K49)</f>
        <v>0</v>
      </c>
      <c r="L50" s="115" t="n">
        <f aca="false">MAX(0,-L49)</f>
        <v>0</v>
      </c>
      <c r="M50" s="115" t="n">
        <f aca="false">MAX(0,-M49)</f>
        <v>0</v>
      </c>
      <c r="N50" s="115" t="n">
        <f aca="false">MAX(0,-N49)</f>
        <v>0</v>
      </c>
      <c r="O50" s="115" t="n">
        <f aca="false">MAX(0,-O49)</f>
        <v>0</v>
      </c>
      <c r="P50" s="115" t="n">
        <f aca="false">MAX(0,-P49)</f>
        <v>0</v>
      </c>
      <c r="Q50" s="115" t="n">
        <f aca="false">MAX(0,-Q49)</f>
        <v>0</v>
      </c>
      <c r="R50" s="115" t="n">
        <f aca="false">MAX(0,-R49)</f>
        <v>0</v>
      </c>
      <c r="S50" s="115" t="n">
        <f aca="false">MAX(0,-S49)</f>
        <v>0</v>
      </c>
      <c r="T50" s="115" t="n">
        <f aca="false">MAX(0,-T49)</f>
        <v>0</v>
      </c>
      <c r="U50" s="115" t="n">
        <f aca="false">MAX(0,-U49)</f>
        <v>0</v>
      </c>
      <c r="V50" s="115" t="n">
        <f aca="false">MAX(0,-V49)</f>
        <v>0</v>
      </c>
      <c r="W50" s="115" t="n">
        <f aca="false">MAX(0,-W49)</f>
        <v>0</v>
      </c>
      <c r="X50" s="115" t="n">
        <f aca="false">MAX(0,-X49)</f>
        <v>0</v>
      </c>
      <c r="Y50" s="115" t="n">
        <f aca="false">MAX(0,-Y49)</f>
        <v>0</v>
      </c>
      <c r="Z50" s="115" t="n">
        <f aca="false">MAX(0,-Z49)</f>
        <v>0</v>
      </c>
      <c r="AA50" s="115" t="n">
        <f aca="false">MAX(0,-AA49)</f>
        <v>0</v>
      </c>
      <c r="AB50" s="115" t="n">
        <f aca="false">MAX(0,-AB49)</f>
        <v>0</v>
      </c>
      <c r="AC50" s="115" t="n">
        <f aca="false">MAX(0,-AC49)</f>
        <v>0</v>
      </c>
      <c r="AD50" s="115" t="n">
        <f aca="false">MAX(0,-AD49)</f>
        <v>0</v>
      </c>
      <c r="AE50" s="115" t="n">
        <f aca="false">MAX(0,-AE49)</f>
        <v>0</v>
      </c>
      <c r="AF50" s="115" t="n">
        <f aca="false">MAX(0,-AF49)</f>
        <v>0</v>
      </c>
      <c r="AG50" s="115" t="n">
        <f aca="false">MAX(0,-AG49)</f>
        <v>0</v>
      </c>
      <c r="AH50" s="115" t="n">
        <f aca="false">MAX(0,-AH49)</f>
        <v>0</v>
      </c>
      <c r="AI50" s="115" t="n">
        <f aca="false">MAX(0,-AI49)</f>
        <v>0</v>
      </c>
      <c r="AJ50" s="115" t="n">
        <f aca="false">MAX(0,-AJ49)</f>
        <v>0</v>
      </c>
      <c r="AK50" s="115" t="n">
        <f aca="false">MAX(0,-AK49)</f>
        <v>0</v>
      </c>
      <c r="AL50" s="115" t="n">
        <f aca="false">MAX(0,-AL49)</f>
        <v>0</v>
      </c>
      <c r="AM50" s="115" t="n">
        <f aca="false">MAX(0,-AM49)</f>
        <v>0</v>
      </c>
    </row>
    <row r="51" customFormat="false" ht="23" hidden="false" customHeight="true" outlineLevel="0" collapsed="false">
      <c r="C51" s="103" t="s">
        <v>5295</v>
      </c>
      <c r="D51" s="105"/>
      <c r="E51" s="105"/>
      <c r="F51" s="105"/>
      <c r="G51" s="105"/>
      <c r="H51" s="105"/>
      <c r="I51" s="105"/>
      <c r="J51" s="105" t="n">
        <f aca="false">MAX(0,J9-J49)</f>
        <v>0</v>
      </c>
      <c r="K51" s="105" t="n">
        <f aca="false">MAX(0,K9-K49)</f>
        <v>0</v>
      </c>
      <c r="L51" s="105" t="n">
        <f aca="false">MAX(0,L9-L49)</f>
        <v>0</v>
      </c>
      <c r="M51" s="105" t="n">
        <f aca="false">MAX(0,M9-M49)</f>
        <v>0</v>
      </c>
      <c r="N51" s="105" t="n">
        <f aca="false">MAX(0,N9-N49)</f>
        <v>0</v>
      </c>
      <c r="O51" s="105" t="n">
        <f aca="false">MAX(0,O9-O49)</f>
        <v>0</v>
      </c>
      <c r="P51" s="105" t="n">
        <f aca="false">MAX(0,P9-P49)</f>
        <v>0</v>
      </c>
      <c r="Q51" s="105" t="n">
        <f aca="false">MAX(0,Q9-Q49)</f>
        <v>0</v>
      </c>
      <c r="R51" s="105" t="n">
        <f aca="false">MAX(0,R9-R49)</f>
        <v>0</v>
      </c>
      <c r="S51" s="105" t="n">
        <f aca="false">MAX(0,S9-S49)</f>
        <v>0</v>
      </c>
      <c r="T51" s="105" t="n">
        <f aca="false">MAX(0,T9-T49)</f>
        <v>0</v>
      </c>
      <c r="U51" s="105" t="n">
        <f aca="false">MAX(0,U9-U49)</f>
        <v>0</v>
      </c>
      <c r="V51" s="105" t="n">
        <f aca="false">MAX(0,V9-V49)</f>
        <v>0</v>
      </c>
      <c r="W51" s="105" t="n">
        <f aca="false">MAX(0,W9-W49)</f>
        <v>0</v>
      </c>
      <c r="X51" s="105" t="n">
        <f aca="false">MAX(0,X9-X49)</f>
        <v>0</v>
      </c>
      <c r="Y51" s="105" t="n">
        <f aca="false">MAX(0,Y9-Y49)</f>
        <v>0</v>
      </c>
      <c r="Z51" s="105" t="n">
        <f aca="false">MAX(0,Z9-Z49)</f>
        <v>0</v>
      </c>
      <c r="AA51" s="105" t="n">
        <f aca="false">MAX(0,AA9-AA49)</f>
        <v>0</v>
      </c>
      <c r="AB51" s="105" t="n">
        <f aca="false">MAX(0,AB9-AB49)</f>
        <v>0</v>
      </c>
      <c r="AC51" s="105" t="n">
        <f aca="false">MAX(0,AC9-AC49)</f>
        <v>0</v>
      </c>
      <c r="AD51" s="105" t="n">
        <f aca="false">MAX(0,AD9-AD49)</f>
        <v>0</v>
      </c>
      <c r="AE51" s="105" t="n">
        <f aca="false">MAX(0,AE9-AE49)</f>
        <v>0</v>
      </c>
      <c r="AF51" s="105" t="n">
        <f aca="false">MAX(0,AF9-AF49)</f>
        <v>0</v>
      </c>
      <c r="AG51" s="105" t="n">
        <f aca="false">MAX(0,AG9-AG49)</f>
        <v>0</v>
      </c>
      <c r="AH51" s="105" t="n">
        <f aca="false">MAX(0,AH9-AH49)</f>
        <v>0</v>
      </c>
      <c r="AI51" s="105" t="n">
        <f aca="false">MAX(0,AI9-AI49)</f>
        <v>0</v>
      </c>
      <c r="AJ51" s="105" t="n">
        <f aca="false">MAX(0,AJ9-AJ49)</f>
        <v>0</v>
      </c>
      <c r="AK51" s="105" t="n">
        <f aca="false">MAX(0,AK9-AK49)</f>
        <v>0</v>
      </c>
      <c r="AL51" s="105" t="n">
        <f aca="false">MAX(0,AL9-AL49)</f>
        <v>0</v>
      </c>
      <c r="AM51" s="105" t="n">
        <f aca="false">MAX(0,AM9-AM49)</f>
        <v>0</v>
      </c>
    </row>
    <row r="52" customFormat="false" ht="23" hidden="false" customHeight="true" outlineLevel="0" collapsed="false">
      <c r="C52" s="114" t="s">
        <v>5296</v>
      </c>
      <c r="D52" s="115"/>
      <c r="E52" s="115"/>
      <c r="F52" s="115"/>
      <c r="G52" s="115"/>
      <c r="H52" s="115"/>
      <c r="I52" s="115"/>
      <c r="J52" s="115" t="n">
        <f aca="false">J25+J41-J46-J48</f>
        <v>0</v>
      </c>
      <c r="K52" s="115" t="n">
        <f aca="false">K25+K41-K46-K48</f>
        <v>0</v>
      </c>
      <c r="L52" s="115" t="n">
        <f aca="false">L25+L41-L46-L48</f>
        <v>0</v>
      </c>
      <c r="M52" s="115" t="n">
        <f aca="false">M25+M41-M46-M48</f>
        <v>0</v>
      </c>
      <c r="N52" s="115" t="n">
        <f aca="false">N25+N41-N46-N48</f>
        <v>0</v>
      </c>
      <c r="O52" s="115" t="n">
        <f aca="false">O25+O41-O46-O48</f>
        <v>0</v>
      </c>
      <c r="P52" s="115" t="n">
        <f aca="false">P25+P41-P46-P48</f>
        <v>0</v>
      </c>
      <c r="Q52" s="115" t="n">
        <f aca="false">Q25+Q41-Q46-Q48</f>
        <v>0</v>
      </c>
      <c r="R52" s="115" t="n">
        <f aca="false">R25+R41-R46-R48</f>
        <v>0</v>
      </c>
      <c r="S52" s="115" t="n">
        <f aca="false">S25+S41-S46-S48</f>
        <v>0</v>
      </c>
      <c r="T52" s="115" t="n">
        <f aca="false">T25+T41-T46-T48</f>
        <v>0</v>
      </c>
      <c r="U52" s="115" t="n">
        <f aca="false">U25+U41-U46-U48</f>
        <v>0</v>
      </c>
      <c r="V52" s="115" t="n">
        <f aca="false">V25+V41-V46-V48</f>
        <v>0</v>
      </c>
      <c r="W52" s="115" t="n">
        <f aca="false">W25+W41-W46-W48</f>
        <v>0</v>
      </c>
      <c r="X52" s="115" t="n">
        <f aca="false">X25+X41-X46-X48</f>
        <v>0</v>
      </c>
      <c r="Y52" s="115" t="n">
        <f aca="false">Y25+Y41-Y46-Y48</f>
        <v>0</v>
      </c>
      <c r="Z52" s="115" t="n">
        <f aca="false">Z25+Z41-Z46-Z48</f>
        <v>0</v>
      </c>
      <c r="AA52" s="115" t="n">
        <f aca="false">AA25+AA41-AA46-AA48</f>
        <v>0</v>
      </c>
      <c r="AB52" s="115" t="n">
        <f aca="false">AB25+AB41-AB46-AB48</f>
        <v>0</v>
      </c>
      <c r="AC52" s="115" t="n">
        <f aca="false">AC25+AC41-AC46-AC48</f>
        <v>0</v>
      </c>
      <c r="AD52" s="115" t="n">
        <f aca="false">AD25+AD41-AD46-AD48</f>
        <v>0</v>
      </c>
      <c r="AE52" s="115" t="n">
        <f aca="false">AE25+AE41-AE46-AE48</f>
        <v>0</v>
      </c>
      <c r="AF52" s="115" t="n">
        <f aca="false">AF25+AF41-AF46-AF48</f>
        <v>0</v>
      </c>
      <c r="AG52" s="115" t="n">
        <f aca="false">AG25+AG41-AG46-AG48</f>
        <v>0</v>
      </c>
      <c r="AH52" s="115" t="n">
        <f aca="false">AH25+AH41-AH46-AH48</f>
        <v>0</v>
      </c>
      <c r="AI52" s="115" t="n">
        <f aca="false">AI25+AI41-AI46-AI48</f>
        <v>0</v>
      </c>
      <c r="AJ52" s="115" t="n">
        <f aca="false">AJ25+AJ41-AJ46-AJ48</f>
        <v>0</v>
      </c>
      <c r="AK52" s="115" t="n">
        <f aca="false">AK25+AK41-AK46-AK48</f>
        <v>0</v>
      </c>
      <c r="AL52" s="115" t="n">
        <f aca="false">AL25+AL41-AL46-AL48</f>
        <v>0</v>
      </c>
      <c r="AM52" s="115" t="n">
        <f aca="false">AM25+AM41-AM46-AM48</f>
        <v>0</v>
      </c>
    </row>
    <row r="53" customFormat="false" ht="23" hidden="false" customHeight="true" outlineLevel="0" collapsed="false">
      <c r="C53" s="114" t="s">
        <v>5297</v>
      </c>
      <c r="D53" s="115"/>
      <c r="E53" s="115"/>
      <c r="F53" s="115"/>
      <c r="G53" s="115"/>
      <c r="H53" s="115"/>
      <c r="I53" s="115"/>
      <c r="J53" s="115" t="n">
        <f aca="false">J49-Monthly_CF!J51</f>
        <v>0</v>
      </c>
      <c r="K53" s="115" t="n">
        <f aca="false">K49-Monthly_CF!K51</f>
        <v>0</v>
      </c>
      <c r="L53" s="115" t="n">
        <f aca="false">L49-Monthly_CF!L51</f>
        <v>0</v>
      </c>
      <c r="M53" s="115" t="n">
        <f aca="false">M49-Monthly_CF!M51</f>
        <v>0</v>
      </c>
      <c r="N53" s="115" t="n">
        <f aca="false">N49-Monthly_CF!N51</f>
        <v>0</v>
      </c>
      <c r="O53" s="115" t="n">
        <f aca="false">O49-Monthly_CF!O51</f>
        <v>0</v>
      </c>
      <c r="P53" s="115" t="n">
        <f aca="false">P49-Monthly_CF!P51</f>
        <v>0</v>
      </c>
      <c r="Q53" s="115" t="n">
        <f aca="false">Q49-Monthly_CF!Q51</f>
        <v>0</v>
      </c>
      <c r="R53" s="115" t="n">
        <f aca="false">R49-Monthly_CF!R51</f>
        <v>0</v>
      </c>
      <c r="S53" s="115" t="n">
        <f aca="false">S49-Monthly_CF!S51</f>
        <v>0</v>
      </c>
      <c r="T53" s="115" t="n">
        <f aca="false">T49-Monthly_CF!T51</f>
        <v>0</v>
      </c>
      <c r="U53" s="115" t="n">
        <f aca="false">U49-Monthly_CF!U51</f>
        <v>0</v>
      </c>
      <c r="V53" s="115" t="n">
        <f aca="false">V49-Monthly_CF!V51</f>
        <v>0</v>
      </c>
      <c r="W53" s="115" t="n">
        <f aca="false">W49-Monthly_CF!W51</f>
        <v>0</v>
      </c>
      <c r="X53" s="115" t="n">
        <f aca="false">X49-Monthly_CF!X51</f>
        <v>0</v>
      </c>
      <c r="Y53" s="115" t="n">
        <f aca="false">Y49-Monthly_CF!Y51</f>
        <v>0</v>
      </c>
      <c r="Z53" s="115" t="n">
        <f aca="false">Z49-Monthly_CF!Z51</f>
        <v>0</v>
      </c>
      <c r="AA53" s="115" t="n">
        <f aca="false">AA49-Monthly_CF!AA51</f>
        <v>0</v>
      </c>
      <c r="AB53" s="115" t="n">
        <f aca="false">AB49-Monthly_CF!AB51</f>
        <v>0</v>
      </c>
      <c r="AC53" s="115" t="n">
        <f aca="false">AC49-Monthly_CF!AC51</f>
        <v>0</v>
      </c>
      <c r="AD53" s="115" t="n">
        <f aca="false">AD49-Monthly_CF!AD51</f>
        <v>0</v>
      </c>
      <c r="AE53" s="115" t="n">
        <f aca="false">AE49-Monthly_CF!AE51</f>
        <v>0</v>
      </c>
      <c r="AF53" s="115" t="n">
        <f aca="false">AF49-Monthly_CF!AF51</f>
        <v>0</v>
      </c>
      <c r="AG53" s="115" t="n">
        <f aca="false">AG49-Monthly_CF!AG51</f>
        <v>0</v>
      </c>
      <c r="AH53" s="115" t="n">
        <f aca="false">AH49-Monthly_CF!AH51</f>
        <v>0</v>
      </c>
      <c r="AI53" s="115" t="n">
        <f aca="false">AI49-Monthly_CF!AI51</f>
        <v>0</v>
      </c>
      <c r="AJ53" s="115" t="n">
        <f aca="false">AJ49-Monthly_CF!AJ51</f>
        <v>0</v>
      </c>
      <c r="AK53" s="115" t="n">
        <f aca="false">AK49-Monthly_CF!AK51</f>
        <v>0</v>
      </c>
      <c r="AL53" s="115" t="n">
        <f aca="false">AL49-Monthly_CF!AL51</f>
        <v>0</v>
      </c>
      <c r="AM53" s="115" t="n">
        <f aca="false">AM49-Monthly_CF!AM51</f>
        <v>0</v>
      </c>
    </row>
    <row r="54" customFormat="false" ht="23" hidden="false" customHeight="true" outlineLevel="0" collapsed="false">
      <c r="C54" s="103" t="s">
        <v>5298</v>
      </c>
      <c r="D54" s="105"/>
      <c r="E54" s="105"/>
      <c r="F54" s="105"/>
      <c r="G54" s="105"/>
      <c r="H54" s="105"/>
      <c r="I54" s="105"/>
      <c r="J54" s="105" t="n">
        <f aca="false">IF(J$7&gt;=J16,J48,0)</f>
        <v>0</v>
      </c>
      <c r="K54" s="105" t="n">
        <f aca="false">IF(K$7&gt;=K16,K48,0)</f>
        <v>0</v>
      </c>
      <c r="L54" s="105" t="n">
        <f aca="false">IF(L$7&gt;=L16,L48,0)</f>
        <v>0</v>
      </c>
      <c r="M54" s="105" t="n">
        <f aca="false">IF(M$7&gt;=M16,M48,0)</f>
        <v>0</v>
      </c>
      <c r="N54" s="105" t="n">
        <f aca="false">IF(N$7&gt;=N16,N48,0)</f>
        <v>0</v>
      </c>
      <c r="O54" s="105" t="n">
        <f aca="false">IF(O$7&gt;=O16,O48,0)</f>
        <v>0</v>
      </c>
      <c r="P54" s="105" t="n">
        <f aca="false">IF(P$7&gt;=P16,P48,0)</f>
        <v>0</v>
      </c>
      <c r="Q54" s="105" t="n">
        <f aca="false">IF(Q$7&gt;=Q16,Q48,0)</f>
        <v>0</v>
      </c>
      <c r="R54" s="105" t="n">
        <f aca="false">IF(R$7&gt;=R16,R48,0)</f>
        <v>0</v>
      </c>
      <c r="S54" s="105" t="n">
        <f aca="false">IF(S$7&gt;=S16,S48,0)</f>
        <v>0</v>
      </c>
      <c r="T54" s="105" t="n">
        <f aca="false">IF(T$7&gt;=T16,T48,0)</f>
        <v>0</v>
      </c>
      <c r="U54" s="105" t="n">
        <f aca="false">IF(U$7&gt;=U16,U48,0)</f>
        <v>0</v>
      </c>
      <c r="V54" s="105" t="n">
        <f aca="false">IF(V$7&gt;=V16,V48,0)</f>
        <v>0</v>
      </c>
      <c r="W54" s="105" t="n">
        <f aca="false">IF(W$7&gt;=W16,W48,0)</f>
        <v>0</v>
      </c>
      <c r="X54" s="105" t="n">
        <f aca="false">IF(X$7&gt;=X16,X48,0)</f>
        <v>0</v>
      </c>
      <c r="Y54" s="105" t="n">
        <f aca="false">IF(Y$7&gt;=Y16,Y48,0)</f>
        <v>0</v>
      </c>
      <c r="Z54" s="105" t="n">
        <f aca="false">IF(Z$7&gt;=Z16,Z48,0)</f>
        <v>0</v>
      </c>
      <c r="AA54" s="105" t="n">
        <f aca="false">IF(AA$7&gt;=AA16,AA48,0)</f>
        <v>0</v>
      </c>
      <c r="AB54" s="105" t="n">
        <f aca="false">IF(AB$7&gt;=AB16,AB48,0)</f>
        <v>0</v>
      </c>
      <c r="AC54" s="105" t="n">
        <f aca="false">IF(AC$7&gt;=AC16,AC48,0)</f>
        <v>0</v>
      </c>
      <c r="AD54" s="105" t="n">
        <f aca="false">IF(AD$7&gt;=AD16,AD48,0)</f>
        <v>0</v>
      </c>
      <c r="AE54" s="105" t="n">
        <f aca="false">IF(AE$7&gt;=AE16,AE48,0)</f>
        <v>0</v>
      </c>
      <c r="AF54" s="105" t="n">
        <f aca="false">IF(AF$7&gt;=AF16,AF48,0)</f>
        <v>0</v>
      </c>
      <c r="AG54" s="105" t="n">
        <f aca="false">IF(AG$7&gt;=AG16,AG48,0)</f>
        <v>0</v>
      </c>
      <c r="AH54" s="105" t="n">
        <f aca="false">IF(AH$7&gt;=AH16,AH48,0)</f>
        <v>0</v>
      </c>
      <c r="AI54" s="105" t="n">
        <f aca="false">IF(AI$7&gt;=AI16,AI48,0)</f>
        <v>0</v>
      </c>
      <c r="AJ54" s="105" t="n">
        <f aca="false">IF(AJ$7&gt;=AJ16,AJ48,0)</f>
        <v>0</v>
      </c>
      <c r="AK54" s="105" t="n">
        <f aca="false">IF(AK$7&gt;=AK16,AK48,0)</f>
        <v>0</v>
      </c>
      <c r="AL54" s="105" t="n">
        <f aca="false">IF(AL$7&gt;=AL16,AL48,0)</f>
        <v>0</v>
      </c>
      <c r="AM54" s="105" t="n">
        <f aca="false">IF(AM$7&gt;=AM16,AM48,0)</f>
        <v>0</v>
      </c>
    </row>
    <row r="55" customFormat="false" ht="23" hidden="false" customHeight="true" outlineLevel="0" collapsed="false">
      <c r="C55" s="103" t="s">
        <v>5299</v>
      </c>
      <c r="D55" s="105"/>
      <c r="E55" s="105"/>
      <c r="F55" s="105"/>
      <c r="G55" s="105"/>
      <c r="H55" s="105"/>
      <c r="I55" s="105"/>
      <c r="J55" s="105" t="n">
        <f aca="false">MAX(0,J48-J37)</f>
        <v>0</v>
      </c>
      <c r="K55" s="105" t="n">
        <f aca="false">MAX(0,K48-K37)</f>
        <v>0</v>
      </c>
      <c r="L55" s="105" t="n">
        <f aca="false">MAX(0,L48-L37)</f>
        <v>0</v>
      </c>
      <c r="M55" s="105" t="n">
        <f aca="false">MAX(0,M48-M37)</f>
        <v>0</v>
      </c>
      <c r="N55" s="105" t="n">
        <f aca="false">MAX(0,N48-N37)</f>
        <v>0</v>
      </c>
      <c r="O55" s="105" t="n">
        <f aca="false">MAX(0,O48-O37)</f>
        <v>0</v>
      </c>
      <c r="P55" s="105" t="n">
        <f aca="false">MAX(0,P48-P37)</f>
        <v>0</v>
      </c>
      <c r="Q55" s="105" t="n">
        <f aca="false">MAX(0,Q48-Q37)</f>
        <v>0</v>
      </c>
      <c r="R55" s="105" t="n">
        <f aca="false">MAX(0,R48-R37)</f>
        <v>0</v>
      </c>
      <c r="S55" s="105" t="n">
        <f aca="false">MAX(0,S48-S37)</f>
        <v>0</v>
      </c>
      <c r="T55" s="105" t="n">
        <f aca="false">MAX(0,T48-T37)</f>
        <v>0</v>
      </c>
      <c r="U55" s="105" t="n">
        <f aca="false">MAX(0,U48-U37)</f>
        <v>0</v>
      </c>
      <c r="V55" s="105" t="n">
        <f aca="false">MAX(0,V48-V37)</f>
        <v>0</v>
      </c>
      <c r="W55" s="105" t="n">
        <f aca="false">MAX(0,W48-W37)</f>
        <v>0</v>
      </c>
      <c r="X55" s="105" t="n">
        <f aca="false">MAX(0,X48-X37)</f>
        <v>0</v>
      </c>
      <c r="Y55" s="105" t="n">
        <f aca="false">MAX(0,Y48-Y37)</f>
        <v>0</v>
      </c>
      <c r="Z55" s="105" t="n">
        <f aca="false">MAX(0,Z48-Z37)</f>
        <v>0</v>
      </c>
      <c r="AA55" s="105" t="n">
        <f aca="false">MAX(0,AA48-AA37)</f>
        <v>0</v>
      </c>
      <c r="AB55" s="105" t="n">
        <f aca="false">MAX(0,AB48-AB37)</f>
        <v>0</v>
      </c>
      <c r="AC55" s="105" t="n">
        <f aca="false">MAX(0,AC48-AC37)</f>
        <v>0</v>
      </c>
      <c r="AD55" s="105" t="n">
        <f aca="false">MAX(0,AD48-AD37)</f>
        <v>0</v>
      </c>
      <c r="AE55" s="105" t="n">
        <f aca="false">MAX(0,AE48-AE37)</f>
        <v>0</v>
      </c>
      <c r="AF55" s="105" t="n">
        <f aca="false">MAX(0,AF48-AF37)</f>
        <v>0</v>
      </c>
      <c r="AG55" s="105" t="n">
        <f aca="false">MAX(0,AG48-AG37)</f>
        <v>0</v>
      </c>
      <c r="AH55" s="105" t="n">
        <f aca="false">MAX(0,AH48-AH37)</f>
        <v>0</v>
      </c>
      <c r="AI55" s="105" t="n">
        <f aca="false">MAX(0,AI48-AI37)</f>
        <v>0</v>
      </c>
      <c r="AJ55" s="105" t="n">
        <f aca="false">MAX(0,AJ48-AJ37)</f>
        <v>0</v>
      </c>
      <c r="AK55" s="105" t="n">
        <f aca="false">MAX(0,AK48-AK37)</f>
        <v>0</v>
      </c>
      <c r="AL55" s="105" t="n">
        <f aca="false">MAX(0,AL48-AL37)</f>
        <v>0</v>
      </c>
      <c r="AM55" s="105" t="n">
        <f aca="false">MAX(0,AM48-AM37)</f>
        <v>0</v>
      </c>
    </row>
    <row r="56" customFormat="false" ht="23" hidden="false" customHeight="true" outlineLevel="0" collapsed="false">
      <c r="C56" s="103" t="s">
        <v>5300</v>
      </c>
      <c r="D56" s="105"/>
      <c r="E56" s="105"/>
      <c r="F56" s="105"/>
      <c r="G56" s="105"/>
      <c r="H56" s="105"/>
      <c r="I56" s="105"/>
      <c r="J56" s="105" t="n">
        <f aca="false">J29+J30-Funding!J47-Funding!J14-Funding!J25-Funding!J36</f>
        <v>0</v>
      </c>
      <c r="K56" s="105" t="n">
        <f aca="false">K29+K30-Funding!K47-Funding!K14-Funding!K25-Funding!K36</f>
        <v>0</v>
      </c>
      <c r="L56" s="105" t="n">
        <f aca="false">L29+L30-Funding!L47-Funding!L14-Funding!L25-Funding!L36</f>
        <v>0</v>
      </c>
      <c r="M56" s="105" t="n">
        <f aca="false">M29+M30-Funding!M47-Funding!M14-Funding!M25-Funding!M36</f>
        <v>0</v>
      </c>
      <c r="N56" s="105" t="n">
        <f aca="false">N29+N30-Funding!N47-Funding!N14-Funding!N25-Funding!N36</f>
        <v>0</v>
      </c>
      <c r="O56" s="105" t="n">
        <f aca="false">O29+O30-Funding!O47-Funding!O14-Funding!O25-Funding!O36</f>
        <v>0</v>
      </c>
      <c r="P56" s="105" t="n">
        <f aca="false">P29+P30-Funding!P47-Funding!P14-Funding!P25-Funding!P36</f>
        <v>0</v>
      </c>
      <c r="Q56" s="105" t="n">
        <f aca="false">Q29+Q30-Funding!Q47-Funding!Q14-Funding!Q25-Funding!Q36</f>
        <v>0</v>
      </c>
      <c r="R56" s="105" t="n">
        <f aca="false">R29+R30-Funding!R47-Funding!R14-Funding!R25-Funding!R36</f>
        <v>0</v>
      </c>
      <c r="S56" s="105" t="n">
        <f aca="false">S29+S30-Funding!S47-Funding!S14-Funding!S25-Funding!S36</f>
        <v>0</v>
      </c>
      <c r="T56" s="105" t="n">
        <f aca="false">T29+T30-Funding!T47-Funding!T14-Funding!T25-Funding!T36</f>
        <v>0</v>
      </c>
      <c r="U56" s="105" t="n">
        <f aca="false">U29+U30-Funding!U47-Funding!U14-Funding!U25-Funding!U36</f>
        <v>0</v>
      </c>
      <c r="V56" s="105" t="n">
        <f aca="false">V29+V30-Funding!V47-Funding!V14-Funding!V25-Funding!V36</f>
        <v>0</v>
      </c>
      <c r="W56" s="105" t="n">
        <f aca="false">W29+W30-Funding!W47-Funding!W14-Funding!W25-Funding!W36</f>
        <v>0</v>
      </c>
      <c r="X56" s="105" t="n">
        <f aca="false">X29+X30-Funding!X47-Funding!X14-Funding!X25-Funding!X36</f>
        <v>0</v>
      </c>
      <c r="Y56" s="105" t="n">
        <f aca="false">Y29+Y30-Funding!Y47-Funding!Y14-Funding!Y25-Funding!Y36</f>
        <v>0</v>
      </c>
      <c r="Z56" s="105" t="n">
        <f aca="false">Z29+Z30-Funding!Z47-Funding!Z14-Funding!Z25-Funding!Z36</f>
        <v>0</v>
      </c>
      <c r="AA56" s="105" t="n">
        <f aca="false">AA29+AA30-Funding!AA47-Funding!AA14-Funding!AA25-Funding!AA36</f>
        <v>0</v>
      </c>
      <c r="AB56" s="105" t="n">
        <f aca="false">AB29+AB30-Funding!AB47-Funding!AB14-Funding!AB25-Funding!AB36</f>
        <v>0</v>
      </c>
      <c r="AC56" s="105" t="n">
        <f aca="false">AC29+AC30-Funding!AC47-Funding!AC14-Funding!AC25-Funding!AC36</f>
        <v>0</v>
      </c>
      <c r="AD56" s="105" t="n">
        <f aca="false">AD29+AD30-Funding!AD47-Funding!AD14-Funding!AD25-Funding!AD36</f>
        <v>0</v>
      </c>
      <c r="AE56" s="105" t="n">
        <f aca="false">AE29+AE30-Funding!AE47-Funding!AE14-Funding!AE25-Funding!AE36</f>
        <v>0</v>
      </c>
      <c r="AF56" s="105" t="n">
        <f aca="false">AF29+AF30-Funding!AF47-Funding!AF14-Funding!AF25-Funding!AF36</f>
        <v>0</v>
      </c>
      <c r="AG56" s="105" t="n">
        <f aca="false">AG29+AG30-Funding!AG47-Funding!AG14-Funding!AG25-Funding!AG36</f>
        <v>0</v>
      </c>
      <c r="AH56" s="105" t="n">
        <f aca="false">AH29+AH30-Funding!AH47-Funding!AH14-Funding!AH25-Funding!AH36</f>
        <v>0</v>
      </c>
      <c r="AI56" s="105" t="n">
        <f aca="false">AI29+AI30-Funding!AI47-Funding!AI14-Funding!AI25-Funding!AI36</f>
        <v>0</v>
      </c>
      <c r="AJ56" s="105" t="n">
        <f aca="false">AJ29+AJ30-Funding!AJ47-Funding!AJ14-Funding!AJ25-Funding!AJ36</f>
        <v>0</v>
      </c>
      <c r="AK56" s="105" t="n">
        <f aca="false">AK29+AK30-Funding!AK47-Funding!AK14-Funding!AK25-Funding!AK36</f>
        <v>0</v>
      </c>
      <c r="AL56" s="105" t="n">
        <f aca="false">AL29+AL30-Funding!AL47-Funding!AL14-Funding!AL25-Funding!AL36</f>
        <v>0</v>
      </c>
      <c r="AM56" s="105" t="n">
        <f aca="false">AM29+AM30-Funding!AM47-Funding!AM14-Funding!AM25-Funding!AM36</f>
        <v>0</v>
      </c>
    </row>
    <row r="57" customFormat="false" ht="23" hidden="false" customHeight="true" outlineLevel="0" collapsed="false">
      <c r="C57" s="103" t="s">
        <v>5301</v>
      </c>
      <c r="D57" s="105"/>
      <c r="E57" s="105"/>
      <c r="F57" s="105"/>
      <c r="G57" s="105"/>
      <c r="H57" s="105"/>
      <c r="I57" s="105"/>
      <c r="J57" s="105" t="n">
        <f aca="false">IF(ISNUMBER(J9),IF(J9&lt;0,1,0),1)+IF(ISNUMBER(J10),IF(J10&lt;0,1,0),1)+IF(ISNUMBER(J11),IF(OR(J11&lt;0,J11&gt;1,J11&lt;&gt;INT(J11)),1,0),1)+IF(ISNUMBER(J12),IF(J12&lt;0,1,0),1)+IF(ISNUMBER(J13),IF(J13&lt;0,1,0),1)+IF(ISNUMBER(J14),IF(OR(J14&lt;0,J14&gt;1,J14&lt;&gt;INT(J14)),1,0),1)+IF(ISNUMBER(J15),IF(J15&lt;0,1,0),1)+IF(ISNUMBER(J16),IF(J16&lt;0,1,0),1)+IF(ISNUMBER(J17),IF(J17&lt;0,1,0),1)+IF(ISNUMBER(J18),IF(OR(J18&lt;0,J18&gt;1),1,0),1)+IF(ISNUMBER(J19),IF(OR(J19&lt;0,J19&gt;1,J19&lt;&gt;INT(J19)),1,0),1)+IF(ISNUMBER(J20),IF(OR(J20&lt;0,J20&gt;1,J20&lt;&gt;INT(J20)),1,0),1)+IF(ISNUMBER(J21),IF(J21&lt;0,1,0),1)+IF(ISNUMBER(J22),IF(J22&lt;0,1,0),1)+IF(J16&lt;=J17,1,0)</f>
        <v>0</v>
      </c>
      <c r="K57" s="105" t="n">
        <f aca="false">IF(ISNUMBER(K9),IF(K9&lt;0,1,0),1)+IF(ISNUMBER(K10),IF(K10&lt;0,1,0),1)+IF(ISNUMBER(K11),IF(OR(K11&lt;0,K11&gt;1,K11&lt;&gt;INT(K11)),1,0),1)+IF(ISNUMBER(K12),IF(K12&lt;0,1,0),1)+IF(ISNUMBER(K13),IF(K13&lt;0,1,0),1)+IF(ISNUMBER(K14),IF(OR(K14&lt;0,K14&gt;1,K14&lt;&gt;INT(K14)),1,0),1)+IF(ISNUMBER(K15),IF(K15&lt;0,1,0),1)+IF(ISNUMBER(K16),IF(K16&lt;0,1,0),1)+IF(ISNUMBER(K17),IF(K17&lt;0,1,0),1)+IF(ISNUMBER(K18),IF(OR(K18&lt;0,K18&gt;1),1,0),1)+IF(ISNUMBER(K19),IF(OR(K19&lt;0,K19&gt;1,K19&lt;&gt;INT(K19)),1,0),1)+IF(ISNUMBER(K20),IF(OR(K20&lt;0,K20&gt;1,K20&lt;&gt;INT(K20)),1,0),1)+IF(ISNUMBER(K21),IF(K21&lt;0,1,0),1)+IF(ISNUMBER(K22),IF(K22&lt;0,1,0),1)+IF(K16&lt;=K17,1,0)</f>
        <v>0</v>
      </c>
      <c r="L57" s="105" t="n">
        <f aca="false">IF(ISNUMBER(L9),IF(L9&lt;0,1,0),1)+IF(ISNUMBER(L10),IF(L10&lt;0,1,0),1)+IF(ISNUMBER(L11),IF(OR(L11&lt;0,L11&gt;1,L11&lt;&gt;INT(L11)),1,0),1)+IF(ISNUMBER(L12),IF(L12&lt;0,1,0),1)+IF(ISNUMBER(L13),IF(L13&lt;0,1,0),1)+IF(ISNUMBER(L14),IF(OR(L14&lt;0,L14&gt;1,L14&lt;&gt;INT(L14)),1,0),1)+IF(ISNUMBER(L15),IF(L15&lt;0,1,0),1)+IF(ISNUMBER(L16),IF(L16&lt;0,1,0),1)+IF(ISNUMBER(L17),IF(L17&lt;0,1,0),1)+IF(ISNUMBER(L18),IF(OR(L18&lt;0,L18&gt;1),1,0),1)+IF(ISNUMBER(L19),IF(OR(L19&lt;0,L19&gt;1,L19&lt;&gt;INT(L19)),1,0),1)+IF(ISNUMBER(L20),IF(OR(L20&lt;0,L20&gt;1,L20&lt;&gt;INT(L20)),1,0),1)+IF(ISNUMBER(L21),IF(L21&lt;0,1,0),1)+IF(ISNUMBER(L22),IF(L22&lt;0,1,0),1)+IF(L16&lt;=L17,1,0)</f>
        <v>0</v>
      </c>
      <c r="M57" s="105" t="n">
        <f aca="false">IF(ISNUMBER(M9),IF(M9&lt;0,1,0),1)+IF(ISNUMBER(M10),IF(M10&lt;0,1,0),1)+IF(ISNUMBER(M11),IF(OR(M11&lt;0,M11&gt;1,M11&lt;&gt;INT(M11)),1,0),1)+IF(ISNUMBER(M12),IF(M12&lt;0,1,0),1)+IF(ISNUMBER(M13),IF(M13&lt;0,1,0),1)+IF(ISNUMBER(M14),IF(OR(M14&lt;0,M14&gt;1,M14&lt;&gt;INT(M14)),1,0),1)+IF(ISNUMBER(M15),IF(M15&lt;0,1,0),1)+IF(ISNUMBER(M16),IF(M16&lt;0,1,0),1)+IF(ISNUMBER(M17),IF(M17&lt;0,1,0),1)+IF(ISNUMBER(M18),IF(OR(M18&lt;0,M18&gt;1),1,0),1)+IF(ISNUMBER(M19),IF(OR(M19&lt;0,M19&gt;1,M19&lt;&gt;INT(M19)),1,0),1)+IF(ISNUMBER(M20),IF(OR(M20&lt;0,M20&gt;1,M20&lt;&gt;INT(M20)),1,0),1)+IF(ISNUMBER(M21),IF(M21&lt;0,1,0),1)+IF(ISNUMBER(M22),IF(M22&lt;0,1,0),1)+IF(M16&lt;=M17,1,0)</f>
        <v>0</v>
      </c>
      <c r="N57" s="105" t="n">
        <f aca="false">IF(ISNUMBER(N9),IF(N9&lt;0,1,0),1)+IF(ISNUMBER(N10),IF(N10&lt;0,1,0),1)+IF(ISNUMBER(N11),IF(OR(N11&lt;0,N11&gt;1,N11&lt;&gt;INT(N11)),1,0),1)+IF(ISNUMBER(N12),IF(N12&lt;0,1,0),1)+IF(ISNUMBER(N13),IF(N13&lt;0,1,0),1)+IF(ISNUMBER(N14),IF(OR(N14&lt;0,N14&gt;1,N14&lt;&gt;INT(N14)),1,0),1)+IF(ISNUMBER(N15),IF(N15&lt;0,1,0),1)+IF(ISNUMBER(N16),IF(N16&lt;0,1,0),1)+IF(ISNUMBER(N17),IF(N17&lt;0,1,0),1)+IF(ISNUMBER(N18),IF(OR(N18&lt;0,N18&gt;1),1,0),1)+IF(ISNUMBER(N19),IF(OR(N19&lt;0,N19&gt;1,N19&lt;&gt;INT(N19)),1,0),1)+IF(ISNUMBER(N20),IF(OR(N20&lt;0,N20&gt;1,N20&lt;&gt;INT(N20)),1,0),1)+IF(ISNUMBER(N21),IF(N21&lt;0,1,0),1)+IF(ISNUMBER(N22),IF(N22&lt;0,1,0),1)+IF(N16&lt;=N17,1,0)</f>
        <v>0</v>
      </c>
      <c r="O57" s="105" t="n">
        <f aca="false">IF(ISNUMBER(O9),IF(O9&lt;0,1,0),1)+IF(ISNUMBER(O10),IF(O10&lt;0,1,0),1)+IF(ISNUMBER(O11),IF(OR(O11&lt;0,O11&gt;1,O11&lt;&gt;INT(O11)),1,0),1)+IF(ISNUMBER(O12),IF(O12&lt;0,1,0),1)+IF(ISNUMBER(O13),IF(O13&lt;0,1,0),1)+IF(ISNUMBER(O14),IF(OR(O14&lt;0,O14&gt;1,O14&lt;&gt;INT(O14)),1,0),1)+IF(ISNUMBER(O15),IF(O15&lt;0,1,0),1)+IF(ISNUMBER(O16),IF(O16&lt;0,1,0),1)+IF(ISNUMBER(O17),IF(O17&lt;0,1,0),1)+IF(ISNUMBER(O18),IF(OR(O18&lt;0,O18&gt;1),1,0),1)+IF(ISNUMBER(O19),IF(OR(O19&lt;0,O19&gt;1,O19&lt;&gt;INT(O19)),1,0),1)+IF(ISNUMBER(O20),IF(OR(O20&lt;0,O20&gt;1,O20&lt;&gt;INT(O20)),1,0),1)+IF(ISNUMBER(O21),IF(O21&lt;0,1,0),1)+IF(ISNUMBER(O22),IF(O22&lt;0,1,0),1)+IF(O16&lt;=O17,1,0)</f>
        <v>0</v>
      </c>
      <c r="P57" s="105" t="n">
        <f aca="false">IF(ISNUMBER(P9),IF(P9&lt;0,1,0),1)+IF(ISNUMBER(P10),IF(P10&lt;0,1,0),1)+IF(ISNUMBER(P11),IF(OR(P11&lt;0,P11&gt;1,P11&lt;&gt;INT(P11)),1,0),1)+IF(ISNUMBER(P12),IF(P12&lt;0,1,0),1)+IF(ISNUMBER(P13),IF(P13&lt;0,1,0),1)+IF(ISNUMBER(P14),IF(OR(P14&lt;0,P14&gt;1,P14&lt;&gt;INT(P14)),1,0),1)+IF(ISNUMBER(P15),IF(P15&lt;0,1,0),1)+IF(ISNUMBER(P16),IF(P16&lt;0,1,0),1)+IF(ISNUMBER(P17),IF(P17&lt;0,1,0),1)+IF(ISNUMBER(P18),IF(OR(P18&lt;0,P18&gt;1),1,0),1)+IF(ISNUMBER(P19),IF(OR(P19&lt;0,P19&gt;1,P19&lt;&gt;INT(P19)),1,0),1)+IF(ISNUMBER(P20),IF(OR(P20&lt;0,P20&gt;1,P20&lt;&gt;INT(P20)),1,0),1)+IF(ISNUMBER(P21),IF(P21&lt;0,1,0),1)+IF(ISNUMBER(P22),IF(P22&lt;0,1,0),1)+IF(P16&lt;=P17,1,0)</f>
        <v>0</v>
      </c>
      <c r="Q57" s="105" t="n">
        <f aca="false">IF(ISNUMBER(Q9),IF(Q9&lt;0,1,0),1)+IF(ISNUMBER(Q10),IF(Q10&lt;0,1,0),1)+IF(ISNUMBER(Q11),IF(OR(Q11&lt;0,Q11&gt;1,Q11&lt;&gt;INT(Q11)),1,0),1)+IF(ISNUMBER(Q12),IF(Q12&lt;0,1,0),1)+IF(ISNUMBER(Q13),IF(Q13&lt;0,1,0),1)+IF(ISNUMBER(Q14),IF(OR(Q14&lt;0,Q14&gt;1,Q14&lt;&gt;INT(Q14)),1,0),1)+IF(ISNUMBER(Q15),IF(Q15&lt;0,1,0),1)+IF(ISNUMBER(Q16),IF(Q16&lt;0,1,0),1)+IF(ISNUMBER(Q17),IF(Q17&lt;0,1,0),1)+IF(ISNUMBER(Q18),IF(OR(Q18&lt;0,Q18&gt;1),1,0),1)+IF(ISNUMBER(Q19),IF(OR(Q19&lt;0,Q19&gt;1,Q19&lt;&gt;INT(Q19)),1,0),1)+IF(ISNUMBER(Q20),IF(OR(Q20&lt;0,Q20&gt;1,Q20&lt;&gt;INT(Q20)),1,0),1)+IF(ISNUMBER(Q21),IF(Q21&lt;0,1,0),1)+IF(ISNUMBER(Q22),IF(Q22&lt;0,1,0),1)+IF(Q16&lt;=Q17,1,0)</f>
        <v>0</v>
      </c>
      <c r="R57" s="105" t="n">
        <f aca="false">IF(ISNUMBER(R9),IF(R9&lt;0,1,0),1)+IF(ISNUMBER(R10),IF(R10&lt;0,1,0),1)+IF(ISNUMBER(R11),IF(OR(R11&lt;0,R11&gt;1,R11&lt;&gt;INT(R11)),1,0),1)+IF(ISNUMBER(R12),IF(R12&lt;0,1,0),1)+IF(ISNUMBER(R13),IF(R13&lt;0,1,0),1)+IF(ISNUMBER(R14),IF(OR(R14&lt;0,R14&gt;1,R14&lt;&gt;INT(R14)),1,0),1)+IF(ISNUMBER(R15),IF(R15&lt;0,1,0),1)+IF(ISNUMBER(R16),IF(R16&lt;0,1,0),1)+IF(ISNUMBER(R17),IF(R17&lt;0,1,0),1)+IF(ISNUMBER(R18),IF(OR(R18&lt;0,R18&gt;1),1,0),1)+IF(ISNUMBER(R19),IF(OR(R19&lt;0,R19&gt;1,R19&lt;&gt;INT(R19)),1,0),1)+IF(ISNUMBER(R20),IF(OR(R20&lt;0,R20&gt;1,R20&lt;&gt;INT(R20)),1,0),1)+IF(ISNUMBER(R21),IF(R21&lt;0,1,0),1)+IF(ISNUMBER(R22),IF(R22&lt;0,1,0),1)+IF(R16&lt;=R17,1,0)</f>
        <v>0</v>
      </c>
      <c r="S57" s="105" t="n">
        <f aca="false">IF(ISNUMBER(S9),IF(S9&lt;0,1,0),1)+IF(ISNUMBER(S10),IF(S10&lt;0,1,0),1)+IF(ISNUMBER(S11),IF(OR(S11&lt;0,S11&gt;1,S11&lt;&gt;INT(S11)),1,0),1)+IF(ISNUMBER(S12),IF(S12&lt;0,1,0),1)+IF(ISNUMBER(S13),IF(S13&lt;0,1,0),1)+IF(ISNUMBER(S14),IF(OR(S14&lt;0,S14&gt;1,S14&lt;&gt;INT(S14)),1,0),1)+IF(ISNUMBER(S15),IF(S15&lt;0,1,0),1)+IF(ISNUMBER(S16),IF(S16&lt;0,1,0),1)+IF(ISNUMBER(S17),IF(S17&lt;0,1,0),1)+IF(ISNUMBER(S18),IF(OR(S18&lt;0,S18&gt;1),1,0),1)+IF(ISNUMBER(S19),IF(OR(S19&lt;0,S19&gt;1,S19&lt;&gt;INT(S19)),1,0),1)+IF(ISNUMBER(S20),IF(OR(S20&lt;0,S20&gt;1,S20&lt;&gt;INT(S20)),1,0),1)+IF(ISNUMBER(S21),IF(S21&lt;0,1,0),1)+IF(ISNUMBER(S22),IF(S22&lt;0,1,0),1)+IF(S16&lt;=S17,1,0)</f>
        <v>0</v>
      </c>
      <c r="T57" s="105" t="n">
        <f aca="false">IF(ISNUMBER(T9),IF(T9&lt;0,1,0),1)+IF(ISNUMBER(T10),IF(T10&lt;0,1,0),1)+IF(ISNUMBER(T11),IF(OR(T11&lt;0,T11&gt;1,T11&lt;&gt;INT(T11)),1,0),1)+IF(ISNUMBER(T12),IF(T12&lt;0,1,0),1)+IF(ISNUMBER(T13),IF(T13&lt;0,1,0),1)+IF(ISNUMBER(T14),IF(OR(T14&lt;0,T14&gt;1,T14&lt;&gt;INT(T14)),1,0),1)+IF(ISNUMBER(T15),IF(T15&lt;0,1,0),1)+IF(ISNUMBER(T16),IF(T16&lt;0,1,0),1)+IF(ISNUMBER(T17),IF(T17&lt;0,1,0),1)+IF(ISNUMBER(T18),IF(OR(T18&lt;0,T18&gt;1),1,0),1)+IF(ISNUMBER(T19),IF(OR(T19&lt;0,T19&gt;1,T19&lt;&gt;INT(T19)),1,0),1)+IF(ISNUMBER(T20),IF(OR(T20&lt;0,T20&gt;1,T20&lt;&gt;INT(T20)),1,0),1)+IF(ISNUMBER(T21),IF(T21&lt;0,1,0),1)+IF(ISNUMBER(T22),IF(T22&lt;0,1,0),1)+IF(T16&lt;=T17,1,0)</f>
        <v>0</v>
      </c>
      <c r="U57" s="105" t="n">
        <f aca="false">IF(ISNUMBER(U9),IF(U9&lt;0,1,0),1)+IF(ISNUMBER(U10),IF(U10&lt;0,1,0),1)+IF(ISNUMBER(U11),IF(OR(U11&lt;0,U11&gt;1,U11&lt;&gt;INT(U11)),1,0),1)+IF(ISNUMBER(U12),IF(U12&lt;0,1,0),1)+IF(ISNUMBER(U13),IF(U13&lt;0,1,0),1)+IF(ISNUMBER(U14),IF(OR(U14&lt;0,U14&gt;1,U14&lt;&gt;INT(U14)),1,0),1)+IF(ISNUMBER(U15),IF(U15&lt;0,1,0),1)+IF(ISNUMBER(U16),IF(U16&lt;0,1,0),1)+IF(ISNUMBER(U17),IF(U17&lt;0,1,0),1)+IF(ISNUMBER(U18),IF(OR(U18&lt;0,U18&gt;1),1,0),1)+IF(ISNUMBER(U19),IF(OR(U19&lt;0,U19&gt;1,U19&lt;&gt;INT(U19)),1,0),1)+IF(ISNUMBER(U20),IF(OR(U20&lt;0,U20&gt;1,U20&lt;&gt;INT(U20)),1,0),1)+IF(ISNUMBER(U21),IF(U21&lt;0,1,0),1)+IF(ISNUMBER(U22),IF(U22&lt;0,1,0),1)+IF(U16&lt;=U17,1,0)</f>
        <v>0</v>
      </c>
      <c r="V57" s="105" t="n">
        <f aca="false">IF(ISNUMBER(V9),IF(V9&lt;0,1,0),1)+IF(ISNUMBER(V10),IF(V10&lt;0,1,0),1)+IF(ISNUMBER(V11),IF(OR(V11&lt;0,V11&gt;1,V11&lt;&gt;INT(V11)),1,0),1)+IF(ISNUMBER(V12),IF(V12&lt;0,1,0),1)+IF(ISNUMBER(V13),IF(V13&lt;0,1,0),1)+IF(ISNUMBER(V14),IF(OR(V14&lt;0,V14&gt;1,V14&lt;&gt;INT(V14)),1,0),1)+IF(ISNUMBER(V15),IF(V15&lt;0,1,0),1)+IF(ISNUMBER(V16),IF(V16&lt;0,1,0),1)+IF(ISNUMBER(V17),IF(V17&lt;0,1,0),1)+IF(ISNUMBER(V18),IF(OR(V18&lt;0,V18&gt;1),1,0),1)+IF(ISNUMBER(V19),IF(OR(V19&lt;0,V19&gt;1,V19&lt;&gt;INT(V19)),1,0),1)+IF(ISNUMBER(V20),IF(OR(V20&lt;0,V20&gt;1,V20&lt;&gt;INT(V20)),1,0),1)+IF(ISNUMBER(V21),IF(V21&lt;0,1,0),1)+IF(ISNUMBER(V22),IF(V22&lt;0,1,0),1)+IF(V16&lt;=V17,1,0)</f>
        <v>0</v>
      </c>
      <c r="W57" s="105" t="n">
        <f aca="false">IF(ISNUMBER(W9),IF(W9&lt;0,1,0),1)+IF(ISNUMBER(W10),IF(W10&lt;0,1,0),1)+IF(ISNUMBER(W11),IF(OR(W11&lt;0,W11&gt;1,W11&lt;&gt;INT(W11)),1,0),1)+IF(ISNUMBER(W12),IF(W12&lt;0,1,0),1)+IF(ISNUMBER(W13),IF(W13&lt;0,1,0),1)+IF(ISNUMBER(W14),IF(OR(W14&lt;0,W14&gt;1,W14&lt;&gt;INT(W14)),1,0),1)+IF(ISNUMBER(W15),IF(W15&lt;0,1,0),1)+IF(ISNUMBER(W16),IF(W16&lt;0,1,0),1)+IF(ISNUMBER(W17),IF(W17&lt;0,1,0),1)+IF(ISNUMBER(W18),IF(OR(W18&lt;0,W18&gt;1),1,0),1)+IF(ISNUMBER(W19),IF(OR(W19&lt;0,W19&gt;1,W19&lt;&gt;INT(W19)),1,0),1)+IF(ISNUMBER(W20),IF(OR(W20&lt;0,W20&gt;1,W20&lt;&gt;INT(W20)),1,0),1)+IF(ISNUMBER(W21),IF(W21&lt;0,1,0),1)+IF(ISNUMBER(W22),IF(W22&lt;0,1,0),1)+IF(W16&lt;=W17,1,0)</f>
        <v>0</v>
      </c>
      <c r="X57" s="105" t="n">
        <f aca="false">IF(ISNUMBER(X9),IF(X9&lt;0,1,0),1)+IF(ISNUMBER(X10),IF(X10&lt;0,1,0),1)+IF(ISNUMBER(X11),IF(OR(X11&lt;0,X11&gt;1,X11&lt;&gt;INT(X11)),1,0),1)+IF(ISNUMBER(X12),IF(X12&lt;0,1,0),1)+IF(ISNUMBER(X13),IF(X13&lt;0,1,0),1)+IF(ISNUMBER(X14),IF(OR(X14&lt;0,X14&gt;1,X14&lt;&gt;INT(X14)),1,0),1)+IF(ISNUMBER(X15),IF(X15&lt;0,1,0),1)+IF(ISNUMBER(X16),IF(X16&lt;0,1,0),1)+IF(ISNUMBER(X17),IF(X17&lt;0,1,0),1)+IF(ISNUMBER(X18),IF(OR(X18&lt;0,X18&gt;1),1,0),1)+IF(ISNUMBER(X19),IF(OR(X19&lt;0,X19&gt;1,X19&lt;&gt;INT(X19)),1,0),1)+IF(ISNUMBER(X20),IF(OR(X20&lt;0,X20&gt;1,X20&lt;&gt;INT(X20)),1,0),1)+IF(ISNUMBER(X21),IF(X21&lt;0,1,0),1)+IF(ISNUMBER(X22),IF(X22&lt;0,1,0),1)+IF(X16&lt;=X17,1,0)</f>
        <v>0</v>
      </c>
      <c r="Y57" s="105" t="n">
        <f aca="false">IF(ISNUMBER(Y9),IF(Y9&lt;0,1,0),1)+IF(ISNUMBER(Y10),IF(Y10&lt;0,1,0),1)+IF(ISNUMBER(Y11),IF(OR(Y11&lt;0,Y11&gt;1,Y11&lt;&gt;INT(Y11)),1,0),1)+IF(ISNUMBER(Y12),IF(Y12&lt;0,1,0),1)+IF(ISNUMBER(Y13),IF(Y13&lt;0,1,0),1)+IF(ISNUMBER(Y14),IF(OR(Y14&lt;0,Y14&gt;1,Y14&lt;&gt;INT(Y14)),1,0),1)+IF(ISNUMBER(Y15),IF(Y15&lt;0,1,0),1)+IF(ISNUMBER(Y16),IF(Y16&lt;0,1,0),1)+IF(ISNUMBER(Y17),IF(Y17&lt;0,1,0),1)+IF(ISNUMBER(Y18),IF(OR(Y18&lt;0,Y18&gt;1),1,0),1)+IF(ISNUMBER(Y19),IF(OR(Y19&lt;0,Y19&gt;1,Y19&lt;&gt;INT(Y19)),1,0),1)+IF(ISNUMBER(Y20),IF(OR(Y20&lt;0,Y20&gt;1,Y20&lt;&gt;INT(Y20)),1,0),1)+IF(ISNUMBER(Y21),IF(Y21&lt;0,1,0),1)+IF(ISNUMBER(Y22),IF(Y22&lt;0,1,0),1)+IF(Y16&lt;=Y17,1,0)</f>
        <v>0</v>
      </c>
      <c r="Z57" s="105" t="n">
        <f aca="false">IF(ISNUMBER(Z9),IF(Z9&lt;0,1,0),1)+IF(ISNUMBER(Z10),IF(Z10&lt;0,1,0),1)+IF(ISNUMBER(Z11),IF(OR(Z11&lt;0,Z11&gt;1,Z11&lt;&gt;INT(Z11)),1,0),1)+IF(ISNUMBER(Z12),IF(Z12&lt;0,1,0),1)+IF(ISNUMBER(Z13),IF(Z13&lt;0,1,0),1)+IF(ISNUMBER(Z14),IF(OR(Z14&lt;0,Z14&gt;1,Z14&lt;&gt;INT(Z14)),1,0),1)+IF(ISNUMBER(Z15),IF(Z15&lt;0,1,0),1)+IF(ISNUMBER(Z16),IF(Z16&lt;0,1,0),1)+IF(ISNUMBER(Z17),IF(Z17&lt;0,1,0),1)+IF(ISNUMBER(Z18),IF(OR(Z18&lt;0,Z18&gt;1),1,0),1)+IF(ISNUMBER(Z19),IF(OR(Z19&lt;0,Z19&gt;1,Z19&lt;&gt;INT(Z19)),1,0),1)+IF(ISNUMBER(Z20),IF(OR(Z20&lt;0,Z20&gt;1,Z20&lt;&gt;INT(Z20)),1,0),1)+IF(ISNUMBER(Z21),IF(Z21&lt;0,1,0),1)+IF(ISNUMBER(Z22),IF(Z22&lt;0,1,0),1)+IF(Z16&lt;=Z17,1,0)</f>
        <v>0</v>
      </c>
      <c r="AA57" s="105" t="n">
        <f aca="false">IF(ISNUMBER(AA9),IF(AA9&lt;0,1,0),1)+IF(ISNUMBER(AA10),IF(AA10&lt;0,1,0),1)+IF(ISNUMBER(AA11),IF(OR(AA11&lt;0,AA11&gt;1,AA11&lt;&gt;INT(AA11)),1,0),1)+IF(ISNUMBER(AA12),IF(AA12&lt;0,1,0),1)+IF(ISNUMBER(AA13),IF(AA13&lt;0,1,0),1)+IF(ISNUMBER(AA14),IF(OR(AA14&lt;0,AA14&gt;1,AA14&lt;&gt;INT(AA14)),1,0),1)+IF(ISNUMBER(AA15),IF(AA15&lt;0,1,0),1)+IF(ISNUMBER(AA16),IF(AA16&lt;0,1,0),1)+IF(ISNUMBER(AA17),IF(AA17&lt;0,1,0),1)+IF(ISNUMBER(AA18),IF(OR(AA18&lt;0,AA18&gt;1),1,0),1)+IF(ISNUMBER(AA19),IF(OR(AA19&lt;0,AA19&gt;1,AA19&lt;&gt;INT(AA19)),1,0),1)+IF(ISNUMBER(AA20),IF(OR(AA20&lt;0,AA20&gt;1,AA20&lt;&gt;INT(AA20)),1,0),1)+IF(ISNUMBER(AA21),IF(AA21&lt;0,1,0),1)+IF(ISNUMBER(AA22),IF(AA22&lt;0,1,0),1)+IF(AA16&lt;=AA17,1,0)</f>
        <v>0</v>
      </c>
      <c r="AB57" s="105" t="n">
        <f aca="false">IF(ISNUMBER(AB9),IF(AB9&lt;0,1,0),1)+IF(ISNUMBER(AB10),IF(AB10&lt;0,1,0),1)+IF(ISNUMBER(AB11),IF(OR(AB11&lt;0,AB11&gt;1,AB11&lt;&gt;INT(AB11)),1,0),1)+IF(ISNUMBER(AB12),IF(AB12&lt;0,1,0),1)+IF(ISNUMBER(AB13),IF(AB13&lt;0,1,0),1)+IF(ISNUMBER(AB14),IF(OR(AB14&lt;0,AB14&gt;1,AB14&lt;&gt;INT(AB14)),1,0),1)+IF(ISNUMBER(AB15),IF(AB15&lt;0,1,0),1)+IF(ISNUMBER(AB16),IF(AB16&lt;0,1,0),1)+IF(ISNUMBER(AB17),IF(AB17&lt;0,1,0),1)+IF(ISNUMBER(AB18),IF(OR(AB18&lt;0,AB18&gt;1),1,0),1)+IF(ISNUMBER(AB19),IF(OR(AB19&lt;0,AB19&gt;1,AB19&lt;&gt;INT(AB19)),1,0),1)+IF(ISNUMBER(AB20),IF(OR(AB20&lt;0,AB20&gt;1,AB20&lt;&gt;INT(AB20)),1,0),1)+IF(ISNUMBER(AB21),IF(AB21&lt;0,1,0),1)+IF(ISNUMBER(AB22),IF(AB22&lt;0,1,0),1)+IF(AB16&lt;=AB17,1,0)</f>
        <v>0</v>
      </c>
      <c r="AC57" s="105" t="n">
        <f aca="false">IF(ISNUMBER(AC9),IF(AC9&lt;0,1,0),1)+IF(ISNUMBER(AC10),IF(AC10&lt;0,1,0),1)+IF(ISNUMBER(AC11),IF(OR(AC11&lt;0,AC11&gt;1,AC11&lt;&gt;INT(AC11)),1,0),1)+IF(ISNUMBER(AC12),IF(AC12&lt;0,1,0),1)+IF(ISNUMBER(AC13),IF(AC13&lt;0,1,0),1)+IF(ISNUMBER(AC14),IF(OR(AC14&lt;0,AC14&gt;1,AC14&lt;&gt;INT(AC14)),1,0),1)+IF(ISNUMBER(AC15),IF(AC15&lt;0,1,0),1)+IF(ISNUMBER(AC16),IF(AC16&lt;0,1,0),1)+IF(ISNUMBER(AC17),IF(AC17&lt;0,1,0),1)+IF(ISNUMBER(AC18),IF(OR(AC18&lt;0,AC18&gt;1),1,0),1)+IF(ISNUMBER(AC19),IF(OR(AC19&lt;0,AC19&gt;1,AC19&lt;&gt;INT(AC19)),1,0),1)+IF(ISNUMBER(AC20),IF(OR(AC20&lt;0,AC20&gt;1,AC20&lt;&gt;INT(AC20)),1,0),1)+IF(ISNUMBER(AC21),IF(AC21&lt;0,1,0),1)+IF(ISNUMBER(AC22),IF(AC22&lt;0,1,0),1)+IF(AC16&lt;=AC17,1,0)</f>
        <v>0</v>
      </c>
      <c r="AD57" s="105" t="n">
        <f aca="false">IF(ISNUMBER(AD9),IF(AD9&lt;0,1,0),1)+IF(ISNUMBER(AD10),IF(AD10&lt;0,1,0),1)+IF(ISNUMBER(AD11),IF(OR(AD11&lt;0,AD11&gt;1,AD11&lt;&gt;INT(AD11)),1,0),1)+IF(ISNUMBER(AD12),IF(AD12&lt;0,1,0),1)+IF(ISNUMBER(AD13),IF(AD13&lt;0,1,0),1)+IF(ISNUMBER(AD14),IF(OR(AD14&lt;0,AD14&gt;1,AD14&lt;&gt;INT(AD14)),1,0),1)+IF(ISNUMBER(AD15),IF(AD15&lt;0,1,0),1)+IF(ISNUMBER(AD16),IF(AD16&lt;0,1,0),1)+IF(ISNUMBER(AD17),IF(AD17&lt;0,1,0),1)+IF(ISNUMBER(AD18),IF(OR(AD18&lt;0,AD18&gt;1),1,0),1)+IF(ISNUMBER(AD19),IF(OR(AD19&lt;0,AD19&gt;1,AD19&lt;&gt;INT(AD19)),1,0),1)+IF(ISNUMBER(AD20),IF(OR(AD20&lt;0,AD20&gt;1,AD20&lt;&gt;INT(AD20)),1,0),1)+IF(ISNUMBER(AD21),IF(AD21&lt;0,1,0),1)+IF(ISNUMBER(AD22),IF(AD22&lt;0,1,0),1)+IF(AD16&lt;=AD17,1,0)</f>
        <v>0</v>
      </c>
      <c r="AE57" s="105" t="n">
        <f aca="false">IF(ISNUMBER(AE9),IF(AE9&lt;0,1,0),1)+IF(ISNUMBER(AE10),IF(AE10&lt;0,1,0),1)+IF(ISNUMBER(AE11),IF(OR(AE11&lt;0,AE11&gt;1,AE11&lt;&gt;INT(AE11)),1,0),1)+IF(ISNUMBER(AE12),IF(AE12&lt;0,1,0),1)+IF(ISNUMBER(AE13),IF(AE13&lt;0,1,0),1)+IF(ISNUMBER(AE14),IF(OR(AE14&lt;0,AE14&gt;1,AE14&lt;&gt;INT(AE14)),1,0),1)+IF(ISNUMBER(AE15),IF(AE15&lt;0,1,0),1)+IF(ISNUMBER(AE16),IF(AE16&lt;0,1,0),1)+IF(ISNUMBER(AE17),IF(AE17&lt;0,1,0),1)+IF(ISNUMBER(AE18),IF(OR(AE18&lt;0,AE18&gt;1),1,0),1)+IF(ISNUMBER(AE19),IF(OR(AE19&lt;0,AE19&gt;1,AE19&lt;&gt;INT(AE19)),1,0),1)+IF(ISNUMBER(AE20),IF(OR(AE20&lt;0,AE20&gt;1,AE20&lt;&gt;INT(AE20)),1,0),1)+IF(ISNUMBER(AE21),IF(AE21&lt;0,1,0),1)+IF(ISNUMBER(AE22),IF(AE22&lt;0,1,0),1)+IF(AE16&lt;=AE17,1,0)</f>
        <v>0</v>
      </c>
      <c r="AF57" s="105" t="n">
        <f aca="false">IF(ISNUMBER(AF9),IF(AF9&lt;0,1,0),1)+IF(ISNUMBER(AF10),IF(AF10&lt;0,1,0),1)+IF(ISNUMBER(AF11),IF(OR(AF11&lt;0,AF11&gt;1,AF11&lt;&gt;INT(AF11)),1,0),1)+IF(ISNUMBER(AF12),IF(AF12&lt;0,1,0),1)+IF(ISNUMBER(AF13),IF(AF13&lt;0,1,0),1)+IF(ISNUMBER(AF14),IF(OR(AF14&lt;0,AF14&gt;1,AF14&lt;&gt;INT(AF14)),1,0),1)+IF(ISNUMBER(AF15),IF(AF15&lt;0,1,0),1)+IF(ISNUMBER(AF16),IF(AF16&lt;0,1,0),1)+IF(ISNUMBER(AF17),IF(AF17&lt;0,1,0),1)+IF(ISNUMBER(AF18),IF(OR(AF18&lt;0,AF18&gt;1),1,0),1)+IF(ISNUMBER(AF19),IF(OR(AF19&lt;0,AF19&gt;1,AF19&lt;&gt;INT(AF19)),1,0),1)+IF(ISNUMBER(AF20),IF(OR(AF20&lt;0,AF20&gt;1,AF20&lt;&gt;INT(AF20)),1,0),1)+IF(ISNUMBER(AF21),IF(AF21&lt;0,1,0),1)+IF(ISNUMBER(AF22),IF(AF22&lt;0,1,0),1)+IF(AF16&lt;=AF17,1,0)</f>
        <v>0</v>
      </c>
      <c r="AG57" s="105" t="n">
        <f aca="false">IF(ISNUMBER(AG9),IF(AG9&lt;0,1,0),1)+IF(ISNUMBER(AG10),IF(AG10&lt;0,1,0),1)+IF(ISNUMBER(AG11),IF(OR(AG11&lt;0,AG11&gt;1,AG11&lt;&gt;INT(AG11)),1,0),1)+IF(ISNUMBER(AG12),IF(AG12&lt;0,1,0),1)+IF(ISNUMBER(AG13),IF(AG13&lt;0,1,0),1)+IF(ISNUMBER(AG14),IF(OR(AG14&lt;0,AG14&gt;1,AG14&lt;&gt;INT(AG14)),1,0),1)+IF(ISNUMBER(AG15),IF(AG15&lt;0,1,0),1)+IF(ISNUMBER(AG16),IF(AG16&lt;0,1,0),1)+IF(ISNUMBER(AG17),IF(AG17&lt;0,1,0),1)+IF(ISNUMBER(AG18),IF(OR(AG18&lt;0,AG18&gt;1),1,0),1)+IF(ISNUMBER(AG19),IF(OR(AG19&lt;0,AG19&gt;1,AG19&lt;&gt;INT(AG19)),1,0),1)+IF(ISNUMBER(AG20),IF(OR(AG20&lt;0,AG20&gt;1,AG20&lt;&gt;INT(AG20)),1,0),1)+IF(ISNUMBER(AG21),IF(AG21&lt;0,1,0),1)+IF(ISNUMBER(AG22),IF(AG22&lt;0,1,0),1)+IF(AG16&lt;=AG17,1,0)</f>
        <v>0</v>
      </c>
      <c r="AH57" s="105" t="n">
        <f aca="false">IF(ISNUMBER(AH9),IF(AH9&lt;0,1,0),1)+IF(ISNUMBER(AH10),IF(AH10&lt;0,1,0),1)+IF(ISNUMBER(AH11),IF(OR(AH11&lt;0,AH11&gt;1,AH11&lt;&gt;INT(AH11)),1,0),1)+IF(ISNUMBER(AH12),IF(AH12&lt;0,1,0),1)+IF(ISNUMBER(AH13),IF(AH13&lt;0,1,0),1)+IF(ISNUMBER(AH14),IF(OR(AH14&lt;0,AH14&gt;1,AH14&lt;&gt;INT(AH14)),1,0),1)+IF(ISNUMBER(AH15),IF(AH15&lt;0,1,0),1)+IF(ISNUMBER(AH16),IF(AH16&lt;0,1,0),1)+IF(ISNUMBER(AH17),IF(AH17&lt;0,1,0),1)+IF(ISNUMBER(AH18),IF(OR(AH18&lt;0,AH18&gt;1),1,0),1)+IF(ISNUMBER(AH19),IF(OR(AH19&lt;0,AH19&gt;1,AH19&lt;&gt;INT(AH19)),1,0),1)+IF(ISNUMBER(AH20),IF(OR(AH20&lt;0,AH20&gt;1,AH20&lt;&gt;INT(AH20)),1,0),1)+IF(ISNUMBER(AH21),IF(AH21&lt;0,1,0),1)+IF(ISNUMBER(AH22),IF(AH22&lt;0,1,0),1)+IF(AH16&lt;=AH17,1,0)</f>
        <v>0</v>
      </c>
      <c r="AI57" s="105" t="n">
        <f aca="false">IF(ISNUMBER(AI9),IF(AI9&lt;0,1,0),1)+IF(ISNUMBER(AI10),IF(AI10&lt;0,1,0),1)+IF(ISNUMBER(AI11),IF(OR(AI11&lt;0,AI11&gt;1,AI11&lt;&gt;INT(AI11)),1,0),1)+IF(ISNUMBER(AI12),IF(AI12&lt;0,1,0),1)+IF(ISNUMBER(AI13),IF(AI13&lt;0,1,0),1)+IF(ISNUMBER(AI14),IF(OR(AI14&lt;0,AI14&gt;1,AI14&lt;&gt;INT(AI14)),1,0),1)+IF(ISNUMBER(AI15),IF(AI15&lt;0,1,0),1)+IF(ISNUMBER(AI16),IF(AI16&lt;0,1,0),1)+IF(ISNUMBER(AI17),IF(AI17&lt;0,1,0),1)+IF(ISNUMBER(AI18),IF(OR(AI18&lt;0,AI18&gt;1),1,0),1)+IF(ISNUMBER(AI19),IF(OR(AI19&lt;0,AI19&gt;1,AI19&lt;&gt;INT(AI19)),1,0),1)+IF(ISNUMBER(AI20),IF(OR(AI20&lt;0,AI20&gt;1,AI20&lt;&gt;INT(AI20)),1,0),1)+IF(ISNUMBER(AI21),IF(AI21&lt;0,1,0),1)+IF(ISNUMBER(AI22),IF(AI22&lt;0,1,0),1)+IF(AI16&lt;=AI17,1,0)</f>
        <v>0</v>
      </c>
      <c r="AJ57" s="105" t="n">
        <f aca="false">IF(ISNUMBER(AJ9),IF(AJ9&lt;0,1,0),1)+IF(ISNUMBER(AJ10),IF(AJ10&lt;0,1,0),1)+IF(ISNUMBER(AJ11),IF(OR(AJ11&lt;0,AJ11&gt;1,AJ11&lt;&gt;INT(AJ11)),1,0),1)+IF(ISNUMBER(AJ12),IF(AJ12&lt;0,1,0),1)+IF(ISNUMBER(AJ13),IF(AJ13&lt;0,1,0),1)+IF(ISNUMBER(AJ14),IF(OR(AJ14&lt;0,AJ14&gt;1,AJ14&lt;&gt;INT(AJ14)),1,0),1)+IF(ISNUMBER(AJ15),IF(AJ15&lt;0,1,0),1)+IF(ISNUMBER(AJ16),IF(AJ16&lt;0,1,0),1)+IF(ISNUMBER(AJ17),IF(AJ17&lt;0,1,0),1)+IF(ISNUMBER(AJ18),IF(OR(AJ18&lt;0,AJ18&gt;1),1,0),1)+IF(ISNUMBER(AJ19),IF(OR(AJ19&lt;0,AJ19&gt;1,AJ19&lt;&gt;INT(AJ19)),1,0),1)+IF(ISNUMBER(AJ20),IF(OR(AJ20&lt;0,AJ20&gt;1,AJ20&lt;&gt;INT(AJ20)),1,0),1)+IF(ISNUMBER(AJ21),IF(AJ21&lt;0,1,0),1)+IF(ISNUMBER(AJ22),IF(AJ22&lt;0,1,0),1)+IF(AJ16&lt;=AJ17,1,0)</f>
        <v>0</v>
      </c>
      <c r="AK57" s="105" t="n">
        <f aca="false">IF(ISNUMBER(AK9),IF(AK9&lt;0,1,0),1)+IF(ISNUMBER(AK10),IF(AK10&lt;0,1,0),1)+IF(ISNUMBER(AK11),IF(OR(AK11&lt;0,AK11&gt;1,AK11&lt;&gt;INT(AK11)),1,0),1)+IF(ISNUMBER(AK12),IF(AK12&lt;0,1,0),1)+IF(ISNUMBER(AK13),IF(AK13&lt;0,1,0),1)+IF(ISNUMBER(AK14),IF(OR(AK14&lt;0,AK14&gt;1,AK14&lt;&gt;INT(AK14)),1,0),1)+IF(ISNUMBER(AK15),IF(AK15&lt;0,1,0),1)+IF(ISNUMBER(AK16),IF(AK16&lt;0,1,0),1)+IF(ISNUMBER(AK17),IF(AK17&lt;0,1,0),1)+IF(ISNUMBER(AK18),IF(OR(AK18&lt;0,AK18&gt;1),1,0),1)+IF(ISNUMBER(AK19),IF(OR(AK19&lt;0,AK19&gt;1,AK19&lt;&gt;INT(AK19)),1,0),1)+IF(ISNUMBER(AK20),IF(OR(AK20&lt;0,AK20&gt;1,AK20&lt;&gt;INT(AK20)),1,0),1)+IF(ISNUMBER(AK21),IF(AK21&lt;0,1,0),1)+IF(ISNUMBER(AK22),IF(AK22&lt;0,1,0),1)+IF(AK16&lt;=AK17,1,0)</f>
        <v>0</v>
      </c>
      <c r="AL57" s="105" t="n">
        <f aca="false">IF(ISNUMBER(AL9),IF(AL9&lt;0,1,0),1)+IF(ISNUMBER(AL10),IF(AL10&lt;0,1,0),1)+IF(ISNUMBER(AL11),IF(OR(AL11&lt;0,AL11&gt;1,AL11&lt;&gt;INT(AL11)),1,0),1)+IF(ISNUMBER(AL12),IF(AL12&lt;0,1,0),1)+IF(ISNUMBER(AL13),IF(AL13&lt;0,1,0),1)+IF(ISNUMBER(AL14),IF(OR(AL14&lt;0,AL14&gt;1,AL14&lt;&gt;INT(AL14)),1,0),1)+IF(ISNUMBER(AL15),IF(AL15&lt;0,1,0),1)+IF(ISNUMBER(AL16),IF(AL16&lt;0,1,0),1)+IF(ISNUMBER(AL17),IF(AL17&lt;0,1,0),1)+IF(ISNUMBER(AL18),IF(OR(AL18&lt;0,AL18&gt;1),1,0),1)+IF(ISNUMBER(AL19),IF(OR(AL19&lt;0,AL19&gt;1,AL19&lt;&gt;INT(AL19)),1,0),1)+IF(ISNUMBER(AL20),IF(OR(AL20&lt;0,AL20&gt;1,AL20&lt;&gt;INT(AL20)),1,0),1)+IF(ISNUMBER(AL21),IF(AL21&lt;0,1,0),1)+IF(ISNUMBER(AL22),IF(AL22&lt;0,1,0),1)+IF(AL16&lt;=AL17,1,0)</f>
        <v>0</v>
      </c>
      <c r="AM57" s="105" t="n">
        <f aca="false">IF(ISNUMBER(AM9),IF(AM9&lt;0,1,0),1)+IF(ISNUMBER(AM10),IF(AM10&lt;0,1,0),1)+IF(ISNUMBER(AM11),IF(OR(AM11&lt;0,AM11&gt;1,AM11&lt;&gt;INT(AM11)),1,0),1)+IF(ISNUMBER(AM12),IF(AM12&lt;0,1,0),1)+IF(ISNUMBER(AM13),IF(AM13&lt;0,1,0),1)+IF(ISNUMBER(AM14),IF(OR(AM14&lt;0,AM14&gt;1,AM14&lt;&gt;INT(AM14)),1,0),1)+IF(ISNUMBER(AM15),IF(AM15&lt;0,1,0),1)+IF(ISNUMBER(AM16),IF(AM16&lt;0,1,0),1)+IF(ISNUMBER(AM17),IF(AM17&lt;0,1,0),1)+IF(ISNUMBER(AM18),IF(OR(AM18&lt;0,AM18&gt;1),1,0),1)+IF(ISNUMBER(AM19),IF(OR(AM19&lt;0,AM19&gt;1,AM19&lt;&gt;INT(AM19)),1,0),1)+IF(ISNUMBER(AM20),IF(OR(AM20&lt;0,AM20&gt;1,AM20&lt;&gt;INT(AM20)),1,0),1)+IF(ISNUMBER(AM21),IF(AM21&lt;0,1,0),1)+IF(ISNUMBER(AM22),IF(AM22&lt;0,1,0),1)+IF(AM16&lt;=AM17,1,0)</f>
        <v>0</v>
      </c>
    </row>
    <row r="58" customFormat="false" ht="23" hidden="false" customHeight="true" outlineLevel="0" collapsed="false">
      <c r="C58" s="103" t="s">
        <v>5302</v>
      </c>
      <c r="D58" s="105"/>
      <c r="E58" s="105"/>
      <c r="F58" s="105"/>
      <c r="G58" s="105"/>
      <c r="H58" s="105"/>
      <c r="I58" s="105"/>
      <c r="J58" s="105" t="n">
        <f aca="false">IF(J39=1,MAX(0,J37-J48),0)</f>
        <v>500</v>
      </c>
      <c r="K58" s="105" t="n">
        <f aca="false">IF(K39=1,MAX(0,K37-K48),0)</f>
        <v>500</v>
      </c>
      <c r="L58" s="105" t="n">
        <f aca="false">IF(L39=1,MAX(0,L37-L48),0)</f>
        <v>500</v>
      </c>
      <c r="M58" s="105" t="n">
        <f aca="false">IF(M39=1,MAX(0,M37-M48),0)</f>
        <v>500</v>
      </c>
      <c r="N58" s="105" t="n">
        <f aca="false">IF(N39=1,MAX(0,N37-N48),0)</f>
        <v>500</v>
      </c>
      <c r="O58" s="105" t="n">
        <f aca="false">IF(O39=1,MAX(0,O37-O48),0)</f>
        <v>500</v>
      </c>
      <c r="P58" s="105" t="n">
        <f aca="false">IF(P39=1,MAX(0,P37-P48),0)</f>
        <v>500</v>
      </c>
      <c r="Q58" s="105" t="n">
        <f aca="false">IF(Q39=1,MAX(0,Q37-Q48),0)</f>
        <v>500</v>
      </c>
      <c r="R58" s="105" t="n">
        <f aca="false">IF(R39=1,MAX(0,R37-R48),0)</f>
        <v>500</v>
      </c>
      <c r="S58" s="105" t="n">
        <f aca="false">IF(S39=1,MAX(0,S37-S48),0)</f>
        <v>500</v>
      </c>
      <c r="T58" s="105" t="n">
        <f aca="false">IF(T39=1,MAX(0,T37-T48),0)</f>
        <v>500</v>
      </c>
      <c r="U58" s="105" t="n">
        <f aca="false">IF(U39=1,MAX(0,U37-U48),0)</f>
        <v>500</v>
      </c>
      <c r="V58" s="105" t="n">
        <f aca="false">IF(V39=1,MAX(0,V37-V48),0)</f>
        <v>500</v>
      </c>
      <c r="W58" s="105" t="n">
        <f aca="false">IF(W39=1,MAX(0,W37-W48),0)</f>
        <v>500</v>
      </c>
      <c r="X58" s="105" t="n">
        <f aca="false">IF(X39=1,MAX(0,X37-X48),0)</f>
        <v>500</v>
      </c>
      <c r="Y58" s="105" t="n">
        <f aca="false">IF(Y39=1,MAX(0,Y37-Y48),0)</f>
        <v>500</v>
      </c>
      <c r="Z58" s="105" t="n">
        <f aca="false">IF(Z39=1,MAX(0,Z37-Z48),0)</f>
        <v>500</v>
      </c>
      <c r="AA58" s="105" t="n">
        <f aca="false">IF(AA39=1,MAX(0,AA37-AA48),0)</f>
        <v>500</v>
      </c>
      <c r="AB58" s="105" t="n">
        <f aca="false">IF(AB39=1,MAX(0,AB37-AB48),0)</f>
        <v>500</v>
      </c>
      <c r="AC58" s="105" t="n">
        <f aca="false">IF(AC39=1,MAX(0,AC37-AC48),0)</f>
        <v>500</v>
      </c>
      <c r="AD58" s="105" t="n">
        <f aca="false">IF(AD39=1,MAX(0,AD37-AD48),0)</f>
        <v>500</v>
      </c>
      <c r="AE58" s="105" t="n">
        <f aca="false">IF(AE39=1,MAX(0,AE37-AE48),0)</f>
        <v>500</v>
      </c>
      <c r="AF58" s="105" t="n">
        <f aca="false">IF(AF39=1,MAX(0,AF37-AF48),0)</f>
        <v>500</v>
      </c>
      <c r="AG58" s="105" t="n">
        <f aca="false">IF(AG39=1,MAX(0,AG37-AG48),0)</f>
        <v>500</v>
      </c>
      <c r="AH58" s="105" t="n">
        <f aca="false">IF(AH39=1,MAX(0,AH37-AH48),0)</f>
        <v>500</v>
      </c>
      <c r="AI58" s="105" t="n">
        <f aca="false">IF(AI39=1,MAX(0,AI37-AI48),0)</f>
        <v>500</v>
      </c>
      <c r="AJ58" s="105" t="n">
        <f aca="false">IF(AJ39=1,MAX(0,AJ37-AJ48),0)</f>
        <v>500</v>
      </c>
      <c r="AK58" s="105" t="n">
        <f aca="false">IF(AK39=1,MAX(0,AK37-AK48),0)</f>
        <v>500</v>
      </c>
      <c r="AL58" s="105" t="n">
        <f aca="false">IF(AL39=1,MAX(0,AL37-AL48),0)</f>
        <v>500</v>
      </c>
      <c r="AM58" s="105" t="n">
        <f aca="false">IF(AM39=1,MAX(0,AM37-AM48),0)</f>
        <v>0</v>
      </c>
    </row>
    <row r="59" customFormat="false" ht="23" hidden="false" customHeight="true" outlineLevel="0" collapsed="false">
      <c r="C59" s="103" t="s">
        <v>5303</v>
      </c>
      <c r="D59" s="105"/>
      <c r="E59" s="105"/>
      <c r="F59" s="105"/>
      <c r="G59" s="105"/>
      <c r="H59" s="105"/>
      <c r="I59" s="105"/>
      <c r="J59" s="105" t="n">
        <f aca="false">IF(J20=1,0,J48)</f>
        <v>0</v>
      </c>
      <c r="K59" s="105" t="n">
        <f aca="false">IF(K20=1,0,K48)</f>
        <v>0</v>
      </c>
      <c r="L59" s="105" t="n">
        <f aca="false">IF(L20=1,0,L48)</f>
        <v>0</v>
      </c>
      <c r="M59" s="105" t="n">
        <f aca="false">IF(M20=1,0,M48)</f>
        <v>0</v>
      </c>
      <c r="N59" s="105" t="n">
        <f aca="false">IF(N20=1,0,N48)</f>
        <v>0</v>
      </c>
      <c r="O59" s="105" t="n">
        <f aca="false">IF(O20=1,0,O48)</f>
        <v>0</v>
      </c>
      <c r="P59" s="105" t="n">
        <f aca="false">IF(P20=1,0,P48)</f>
        <v>0</v>
      </c>
      <c r="Q59" s="105" t="n">
        <f aca="false">IF(Q20=1,0,Q48)</f>
        <v>0</v>
      </c>
      <c r="R59" s="105" t="n">
        <f aca="false">IF(R20=1,0,R48)</f>
        <v>0</v>
      </c>
      <c r="S59" s="105" t="n">
        <f aca="false">IF(S20=1,0,S48)</f>
        <v>0</v>
      </c>
      <c r="T59" s="105" t="n">
        <f aca="false">IF(T20=1,0,T48)</f>
        <v>0</v>
      </c>
      <c r="U59" s="105" t="n">
        <f aca="false">IF(U20=1,0,U48)</f>
        <v>0</v>
      </c>
      <c r="V59" s="105" t="n">
        <f aca="false">IF(V20=1,0,V48)</f>
        <v>0</v>
      </c>
      <c r="W59" s="105" t="n">
        <f aca="false">IF(W20=1,0,W48)</f>
        <v>0</v>
      </c>
      <c r="X59" s="105" t="n">
        <f aca="false">IF(X20=1,0,X48)</f>
        <v>0</v>
      </c>
      <c r="Y59" s="105" t="n">
        <f aca="false">IF(Y20=1,0,Y48)</f>
        <v>0</v>
      </c>
      <c r="Z59" s="105" t="n">
        <f aca="false">IF(Z20=1,0,Z48)</f>
        <v>0</v>
      </c>
      <c r="AA59" s="105" t="n">
        <f aca="false">IF(AA20=1,0,AA48)</f>
        <v>0</v>
      </c>
      <c r="AB59" s="105" t="n">
        <f aca="false">IF(AB20=1,0,AB48)</f>
        <v>0</v>
      </c>
      <c r="AC59" s="105" t="n">
        <f aca="false">IF(AC20=1,0,AC48)</f>
        <v>0</v>
      </c>
      <c r="AD59" s="105" t="n">
        <f aca="false">IF(AD20=1,0,AD48)</f>
        <v>0</v>
      </c>
      <c r="AE59" s="105" t="n">
        <f aca="false">IF(AE20=1,0,AE48)</f>
        <v>0</v>
      </c>
      <c r="AF59" s="105" t="n">
        <f aca="false">IF(AF20=1,0,AF48)</f>
        <v>0</v>
      </c>
      <c r="AG59" s="105" t="n">
        <f aca="false">IF(AG20=1,0,AG48)</f>
        <v>0</v>
      </c>
      <c r="AH59" s="105" t="n">
        <f aca="false">IF(AH20=1,0,AH48)</f>
        <v>0</v>
      </c>
      <c r="AI59" s="105" t="n">
        <f aca="false">IF(AI20=1,0,AI48)</f>
        <v>0</v>
      </c>
      <c r="AJ59" s="105" t="n">
        <f aca="false">IF(AJ20=1,0,AJ48)</f>
        <v>0</v>
      </c>
      <c r="AK59" s="105" t="n">
        <f aca="false">IF(AK20=1,0,AK48)</f>
        <v>0</v>
      </c>
      <c r="AL59" s="105" t="n">
        <f aca="false">IF(AL20=1,0,AL48)</f>
        <v>0</v>
      </c>
      <c r="AM59" s="105" t="n">
        <f aca="false">IF(AM20=1,0,AM48)</f>
        <v>0</v>
      </c>
    </row>
    <row r="60" customFormat="false" ht="23" hidden="false" customHeight="true" outlineLevel="0" collapsed="false">
      <c r="C60" s="103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</row>
    <row r="61" customFormat="false" ht="23" hidden="false" customHeight="true" outlineLevel="0" collapsed="false">
      <c r="C61" s="103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</row>
    <row r="62" customFormat="false" ht="23" hidden="false" customHeight="true" outlineLevel="0" collapsed="false">
      <c r="C62" s="103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</row>
    <row r="63" customFormat="false" ht="23" hidden="false" customHeight="true" outlineLevel="0" collapsed="false">
      <c r="C63" s="103" t="s">
        <v>5304</v>
      </c>
      <c r="D63" s="116" t="s">
        <v>5305</v>
      </c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</row>
    <row r="64" customFormat="false" ht="23" hidden="false" customHeight="true" outlineLevel="0" collapsed="false">
      <c r="C64" s="103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</row>
    <row r="65" customFormat="false" ht="23" hidden="false" customHeight="true" outlineLevel="0" collapsed="false">
      <c r="C65" s="103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</row>
    <row r="66" customFormat="false" ht="23" hidden="false" customHeight="true" outlineLevel="0" collapsed="false">
      <c r="C66" s="103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</row>
    <row r="67" customFormat="false" ht="23" hidden="false" customHeight="true" outlineLevel="0" collapsed="false">
      <c r="C67" s="103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</row>
    <row r="68" customFormat="false" ht="23" hidden="false" customHeight="true" outlineLevel="0" collapsed="false">
      <c r="C68" s="103" t="s">
        <v>5306</v>
      </c>
      <c r="D68" s="116" t="s">
        <v>5307</v>
      </c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</row>
    <row r="69" customFormat="false" ht="23" hidden="false" customHeight="true" outlineLevel="0" collapsed="false">
      <c r="C69" s="103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</row>
    <row r="70" customFormat="false" ht="23" hidden="false" customHeight="true" outlineLevel="0" collapsed="false">
      <c r="C70" s="103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</row>
    <row r="71" customFormat="false" ht="23" hidden="false" customHeight="true" outlineLevel="0" collapsed="false">
      <c r="C71" s="103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</row>
    <row r="72" customFormat="false" ht="23" hidden="false" customHeight="true" outlineLevel="0" collapsed="false">
      <c r="C72" s="103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</row>
    <row r="73" customFormat="false" ht="23" hidden="false" customHeight="true" outlineLevel="0" collapsed="false">
      <c r="C73" s="103" t="s">
        <v>5308</v>
      </c>
      <c r="D73" s="116" t="s">
        <v>5309</v>
      </c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</row>
    <row r="74" customFormat="false" ht="23" hidden="false" customHeight="true" outlineLevel="0" collapsed="false">
      <c r="C74" s="103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</row>
    <row r="75" customFormat="false" ht="23" hidden="false" customHeight="true" outlineLevel="0" collapsed="false">
      <c r="C75" s="103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</row>
    <row r="76" customFormat="false" ht="23" hidden="false" customHeight="true" outlineLevel="0" collapsed="false">
      <c r="C76" s="103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</row>
    <row r="77" customFormat="false" ht="23" hidden="false" customHeight="true" outlineLevel="0" collapsed="false">
      <c r="C77" s="103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</row>
    <row r="78" customFormat="false" ht="23" hidden="false" customHeight="true" outlineLevel="0" collapsed="false">
      <c r="C78" s="103" t="s">
        <v>5310</v>
      </c>
      <c r="D78" s="116" t="s">
        <v>5311</v>
      </c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</row>
    <row r="79" customFormat="false" ht="23" hidden="false" customHeight="true" outlineLevel="0" collapsed="false">
      <c r="C79" s="103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</row>
    <row r="80" customFormat="false" ht="23" hidden="false" customHeight="true" outlineLevel="0" collapsed="false">
      <c r="C80" s="103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</row>
    <row r="81" customFormat="false" ht="23" hidden="false" customHeight="true" outlineLevel="0" collapsed="false">
      <c r="C81" s="103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</row>
    <row r="82" customFormat="false" ht="23" hidden="false" customHeight="true" outlineLevel="0" collapsed="false">
      <c r="C82" s="103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</row>
    <row r="83" customFormat="false" ht="23" hidden="false" customHeight="true" outlineLevel="0" collapsed="false">
      <c r="C83" s="103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</row>
    <row r="84" customFormat="false" ht="23" hidden="false" customHeight="true" outlineLevel="0" collapsed="false">
      <c r="C84" s="103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</row>
    <row r="85" customFormat="false" ht="23" hidden="false" customHeight="true" outlineLevel="0" collapsed="false">
      <c r="C85" s="103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</row>
  </sheetData>
  <sheetProtection sheet="1" objects="1" scenarios="1" selectLockedCells="0" selectUnlockedCells="0"/>
  <mergeCells count="4">
    <mergeCell ref="D63:P66"/>
    <mergeCell ref="D68:P71"/>
    <mergeCell ref="D73:P76"/>
    <mergeCell ref="D78:P81"/>
  </mergeCells>
  <conditionalFormatting sqref="J50:AM50">
    <cfRule type="cellIs" priority="2" operator="greaterThan" aboveAverage="0" equalAverage="0" bottom="0" percent="0" rank="0" text="" dxfId="2">
      <formula>0</formula>
    </cfRule>
  </conditionalFormatting>
  <conditionalFormatting sqref="J51:AM51">
    <cfRule type="cellIs" priority="3" operator="greaterThan" aboveAverage="0" equalAverage="0" bottom="0" percent="0" rank="0" text="" dxfId="3">
      <formula>0</formula>
    </cfRule>
  </conditionalFormatting>
  <conditionalFormatting sqref="J54:AM54">
    <cfRule type="cellIs" priority="4" operator="greaterThan" aboveAverage="0" equalAverage="0" bottom="0" percent="0" rank="0" text="" dxfId="4">
      <formula>0</formula>
    </cfRule>
  </conditionalFormatting>
  <conditionalFormatting sqref="J55:AM55">
    <cfRule type="cellIs" priority="5" operator="greaterThan" aboveAverage="0" equalAverage="0" bottom="0" percent="0" rank="0" text="" dxfId="5">
      <formula>0</formula>
    </cfRule>
  </conditionalFormatting>
  <conditionalFormatting sqref="J56:AM56">
    <cfRule type="cellIs" priority="6" operator="greaterThan" aboveAverage="0" equalAverage="0" bottom="0" percent="0" rank="0" text="" dxfId="6">
      <formula>0</formula>
    </cfRule>
  </conditionalFormatting>
  <conditionalFormatting sqref="J57:AM57">
    <cfRule type="cellIs" priority="7" operator="greaterThan" aboveAverage="0" equalAverage="0" bottom="0" percent="0" rank="0" text="" dxfId="7">
      <formula>0</formula>
    </cfRule>
  </conditionalFormatting>
  <conditionalFormatting sqref="J59:AM59">
    <cfRule type="cellIs" priority="8" operator="greaterThan" aboveAverage="0" equalAverage="0" bottom="0" percent="0" rank="0" text="" dxfId="8">
      <formula>0</formula>
    </cfRule>
  </conditionalFormatting>
  <dataValidations count="14">
    <dataValidation sqref="J9:AM9" type="decimal" operator="greaterThanOrEqual" allowBlank="0" showErrorMessage="1" errorStyle="stop" error="Use numeric nonnegative inputs; binary controls are 0 or 1; dates and terms are explicit assumptions.">
      <formula1>0</formula1>
    </dataValidation>
    <dataValidation sqref="J10:AM10" type="decimal" operator="greaterThanOrEqual" allowBlank="0" showErrorMessage="1" errorStyle="stop" error="Use numeric nonnegative inputs; binary controls are 0 or 1; dates and terms are explicit assumptions.">
      <formula1>0</formula1>
    </dataValidation>
    <dataValidation sqref="J11:AM11" type="whole" operator="between" allowBlank="0" showErrorMessage="1" errorStyle="stop" error="Use numeric nonnegative inputs; binary controls are 0 or 1; dates and terms are explicit assumptions.">
      <formula1>0</formula1>
      <formula2>1</formula2>
    </dataValidation>
    <dataValidation sqref="J12:AM12" type="decimal" operator="greaterThanOrEqual" allowBlank="0" showErrorMessage="1" errorStyle="stop" error="Use numeric nonnegative inputs; binary controls are 0 or 1; dates and terms are explicit assumptions.">
      <formula1>0</formula1>
    </dataValidation>
    <dataValidation sqref="J13:AM13" type="decimal" operator="greaterThanOrEqual" allowBlank="0" showErrorMessage="1" errorStyle="stop" error="Use numeric nonnegative inputs; binary controls are 0 or 1; dates and terms are explicit assumptions.">
      <formula1>0</formula1>
    </dataValidation>
    <dataValidation sqref="J14:AM14" type="whole" operator="between" allowBlank="0" showErrorMessage="1" errorStyle="stop" error="Use numeric nonnegative inputs; binary controls are 0 or 1; dates and terms are explicit assumptions.">
      <formula1>0</formula1>
      <formula2>1</formula2>
    </dataValidation>
    <dataValidation sqref="J15:AM15" type="decimal" operator="greaterThanOrEqual" allowBlank="0" showErrorMessage="1" errorStyle="stop" error="Use numeric nonnegative inputs; binary controls are 0 or 1; dates and terms are explicit assumptions.">
      <formula1>0</formula1>
    </dataValidation>
    <dataValidation sqref="J16:AM16" type="date" operator="greaterThanOrEqual" allowBlank="0" showErrorMessage="1" errorStyle="stop" error="Use numeric nonnegative inputs; binary controls are 0 or 1; dates and terms are explicit assumptions.">
      <formula1>0</formula1>
    </dataValidation>
    <dataValidation sqref="J17:AM17" type="date" operator="greaterThanOrEqual" allowBlank="0" showErrorMessage="1" errorStyle="stop" error="Use numeric nonnegative inputs; binary controls are 0 or 1; dates and terms are explicit assumptions.">
      <formula1>0</formula1>
    </dataValidation>
    <dataValidation sqref="J18:AM18" type="decimal" operator="between" allowBlank="0" showErrorMessage="1" errorStyle="stop" error="Use numeric nonnegative inputs; binary controls are 0 or 1; dates and terms are explicit assumptions.">
      <formula1>0</formula1>
      <formula2>1</formula2>
    </dataValidation>
    <dataValidation sqref="J19:AM19" type="whole" operator="between" allowBlank="0" showErrorMessage="1" errorStyle="stop" error="Use numeric nonnegative inputs; binary controls are 0 or 1; dates and terms are explicit assumptions.">
      <formula1>0</formula1>
      <formula2>1</formula2>
    </dataValidation>
    <dataValidation sqref="J20:AM20" type="whole" operator="between" allowBlank="0" showErrorMessage="1" errorStyle="stop" error="Use numeric nonnegative inputs; binary controls are 0 or 1; dates and terms are explicit assumptions.">
      <formula1>0</formula1>
      <formula2>1</formula2>
    </dataValidation>
    <dataValidation sqref="J21:AM21" type="decimal" operator="greaterThanOrEqual" allowBlank="0" showErrorMessage="1" errorStyle="stop" error="Use numeric nonnegative inputs; binary controls are 0 or 1; dates and terms are explicit assumptions.">
      <formula1>0</formula1>
    </dataValidation>
    <dataValidation sqref="J22:AM22" type="decimal" operator="greaterThanOrEqual" allowBlank="0" showErrorMessage="1" errorStyle="stop" error="Use numeric nonnegative inputs; binary controls are 0 or 1; dates and terms are explicit assumptions.">
      <formula1>0</formula1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